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3038BA91-C02A-45A6-893E-DCDFBDB0832A}" xr6:coauthVersionLast="47" xr6:coauthVersionMax="47" xr10:uidLastSave="{00000000-0000-0000-0000-000000000000}"/>
  <bookViews>
    <workbookView xWindow="-98" yWindow="-98" windowWidth="28996" windowHeight="17745"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<sst xmlns="http://schemas.openxmlformats.org/spreadsheetml/2006/main" count="12014" uniqueCount="1010">
  <si>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</si>
  <si>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</si>
  <si>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</si>
  <si>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</si>
  <si>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</si>
  <si>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</si>
  <si>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</si>
  <si>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</si>
  <si>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</si>
  <si>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</si>
  <si>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</si>
  <si>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</si>
  <si>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</si>
  <si>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</si>
  <si>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</si>
  <si>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</si>
  <si>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</si>
  <si>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</si>
  <si>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</si>
  <si>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</si>
  <si>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</si>
  <si>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</si>
  <si>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</si>
  <si>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</si>
  <si>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</si>
  <si>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</si>
  <si>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</si>
  <si>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</si>
  <si>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</si>
  <si>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</si>
  <si>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</si>
  <si>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</si>
  <si>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</si>
  <si>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</si>
  <si>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</si>
  <si>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</si>
  <si>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</si>
  <si>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</si>
  <si>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</si>
  <si>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</si>
  <si>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</si>
  <si>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</si>
  <si>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</si>
  <si>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</si>
  <si>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</si>
  <si>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</si>
  <si>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</si>
  <si>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</si>
  <si>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</si>
  <si>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</si>
  <si>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</si>
  <si>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</si>
  <si>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</si>
  <si>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</si>
  <si>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</si>
  <si>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</si>
  <si>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</si>
  <si>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</si>
  <si>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</si>
  <si>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</si>
  <si>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</si>
  <si>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</si>
  <si>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</si>
  <si>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</si>
  <si>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</si>
  <si>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</si>
  <si>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</si>
  <si>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</si>
  <si>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</si>
  <si>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</si>
  <si>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</si>
  <si>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</si>
  <si>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</si>
  <si>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</si>
  <si>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</si>
  <si>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</si>
  <si>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</si>
  <si>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</si>
  <si>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</si>
  <si>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</si>
  <si>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</si>
  <si>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</si>
  <si>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</si>
  <si>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</si>
  <si>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</si>
  <si>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</si>
  <si>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</si>
  <si>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</si>
  <si>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</si>
  <si>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</si>
  <si>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</si>
  <si>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</si>
  <si>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</si>
  <si>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</si>
  <si>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</si>
  <si>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</si>
  <si>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</si>
  <si>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</si>
  <si>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</si>
  <si>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</si>
  <si>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</si>
  <si>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</si>
  <si>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</si>
  <si>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</si>
  <si>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</si>
  <si>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</si>
  <si>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</si>
  <si>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</si>
  <si>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</si>
  <si>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</si>
  <si>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</si>
  <si>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</si>
  <si>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</si>
  <si>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</si>
  <si>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</si>
  <si>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</si>
  <si>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</si>
  <si>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</si>
  <si>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</si>
  <si>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</si>
  <si>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</si>
  <si>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</si>
  <si>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</si>
  <si>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</si>
  <si>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</si>
  <si>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</si>
  <si>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</si>
  <si>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</si>
  <si>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</si>
  <si>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</si>
  <si>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</si>
  <si>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</si>
  <si>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</si>
  <si>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</si>
  <si>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</si>
  <si>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</si>
  <si>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</si>
  <si>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</si>
  <si>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</si>
  <si>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</si>
  <si>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</si>
  <si>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</si>
  <si>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</si>
  <si>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</si>
  <si>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</si>
  <si>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</si>
  <si>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</si>
  <si>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</si>
  <si>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</si>
  <si>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</si>
  <si>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</si>
  <si>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</si>
  <si>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</si>
  <si>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</si>
  <si>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</si>
  <si>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</si>
  <si>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</si>
  <si>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</si>
  <si>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</si>
  <si>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</si>
  <si>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</si>
  <si>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</si>
  <si>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</si>
  <si>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</si>
  <si>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</si>
  <si>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</si>
  <si>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</si>
  <si>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</si>
  <si>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</si>
  <si>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</si>
  <si>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</si>
  <si>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</si>
  <si>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</si>
  <si>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</si>
  <si>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</si>
  <si>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</si>
  <si>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</si>
  <si>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</si>
  <si>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</si>
  <si>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</si>
  <si>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</si>
  <si>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</si>
  <si>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</si>
  <si>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</si>
  <si>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</si>
  <si>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</si>
  <si>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</si>
  <si>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</si>
  <si>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</si>
  <si>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</si>
  <si>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</si>
  <si>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</si>
  <si>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</si>
  <si>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</si>
  <si>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</si>
  <si>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</si>
  <si>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</si>
  <si>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</si>
  <si>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</si>
  <si>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</si>
  <si>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</si>
  <si>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</si>
  <si>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</si>
  <si>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</si>
  <si>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</si>
  <si>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</si>
  <si>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</si>
  <si>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</si>
  <si>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</si>
  <si>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</si>
  <si>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</si>
  <si>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</si>
  <si>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</si>
  <si>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</si>
  <si>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</si>
  <si>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</si>
  <si>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</si>
  <si>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</si>
  <si>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</si>
  <si>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</si>
  <si>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</si>
  <si>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</si>
  <si>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</si>
  <si>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</si>
  <si>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</si>
  <si>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</si>
  <si>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</si>
  <si>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</si>
  <si>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</si>
  <si>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</si>
  <si>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</si>
  <si>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</si>
  <si>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</si>
  <si>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</si>
  <si>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</si>
  <si>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</si>
  <si>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</si>
  <si>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</si>
  <si>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</si>
  <si>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</si>
  <si>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</si>
  <si>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</si>
  <si>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</si>
  <si>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</si>
  <si>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</si>
  <si>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</si>
  <si>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</si>
  <si>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</si>
  <si>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</si>
  <si>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</si>
  <si>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</si>
  <si>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</si>
  <si>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</si>
  <si>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</si>
  <si>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</si>
  <si>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</si>
  <si>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</si>
  <si>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</si>
  <si>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</si>
  <si>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</si>
  <si>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</si>
  <si>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</si>
  <si>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</si>
  <si>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</si>
  <si>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</si>
  <si>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</si>
  <si>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</si>
  <si>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</si>
  <si>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</si>
  <si>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</si>
  <si>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</si>
  <si>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</si>
  <si>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</si>
  <si>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</si>
  <si>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</si>
  <si>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</si>
  <si>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</si>
  <si>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</si>
  <si>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</si>
  <si>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</si>
  <si>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</si>
  <si>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</si>
  <si>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</si>
  <si>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</si>
  <si>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</si>
  <si>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</si>
  <si>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</si>
  <si>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</si>
  <si>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</si>
  <si>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</si>
  <si>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</si>
  <si>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</si>
  <si>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</si>
  <si>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</si>
  <si>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</si>
  <si>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</si>
  <si>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</si>
  <si>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</si>
  <si>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</si>
  <si>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</si>
  <si>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</si>
  <si>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</si>
  <si>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</si>
  <si>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</si>
  <si>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</si>
  <si>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</si>
  <si>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</si>
  <si>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</si>
  <si>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</si>
  <si>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</si>
  <si>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</si>
  <si>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</si>
  <si>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</si>
  <si>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</si>
  <si>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</si>
  <si>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</si>
  <si>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</si>
  <si>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</si>
  <si>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</si>
  <si>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</si>
  <si>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</si>
  <si>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</si>
  <si>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</si>
  <si>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</si>
  <si>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</si>
  <si>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</si>
  <si>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</si>
  <si>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</si>
  <si>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</si>
  <si>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</si>
  <si>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</si>
  <si>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</si>
  <si>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</si>
  <si>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</si>
  <si>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</si>
  <si>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</si>
  <si>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</si>
  <si>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</si>
  <si>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</si>
  <si>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</si>
  <si>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</si>
  <si>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</si>
  <si>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</si>
  <si>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</si>
  <si>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</si>
  <si>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</si>
  <si>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</si>
  <si>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</si>
  <si>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</si>
  <si>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</si>
  <si>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</si>
  <si>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</si>
  <si>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</si>
  <si>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</si>
  <si>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</si>
  <si>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</si>
  <si>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</si>
  <si>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</si>
  <si>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</si>
  <si>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</si>
  <si>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</si>
  <si>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</si>
  <si>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</si>
  <si>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</si>
  <si>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</si>
  <si>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</si>
  <si>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</si>
  <si>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</si>
  <si>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</si>
  <si>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</si>
  <si>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</si>
  <si>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</si>
  <si>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</si>
  <si>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</si>
  <si>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</si>
  <si>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</si>
  <si>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</si>
  <si>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</si>
  <si>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</si>
  <si>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</si>
  <si>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</si>
  <si>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</si>
  <si>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</si>
  <si>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</si>
  <si>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</si>
  <si>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</si>
  <si>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</si>
  <si>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</si>
  <si>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</si>
  <si>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</si>
  <si>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</si>
  <si>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</si>
  <si>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</si>
  <si>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</si>
  <si>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</si>
  <si>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</si>
  <si>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</si>
  <si>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</si>
  <si>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</si>
  <si>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</si>
  <si>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</si>
  <si>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</si>
  <si>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</si>
  <si>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</si>
  <si>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</si>
  <si>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</si>
  <si>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</si>
  <si>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</si>
  <si>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</si>
  <si>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</si>
  <si>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</si>
  <si>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</si>
  <si>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</si>
  <si>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</si>
  <si>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</si>
  <si>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</si>
  <si>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</si>
  <si>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</si>
  <si>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</si>
  <si>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</si>
  <si>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</si>
  <si>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</si>
  <si>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</si>
  <si>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</si>
  <si>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</si>
  <si>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</si>
  <si>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</si>
  <si>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</si>
  <si>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</si>
  <si>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</si>
  <si>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</si>
  <si>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</si>
  <si>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</si>
  <si>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</si>
  <si>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</si>
  <si>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</si>
  <si>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</si>
  <si>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</si>
  <si>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</si>
  <si>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</si>
  <si>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</si>
  <si>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</si>
  <si>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</si>
  <si>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</si>
  <si>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</si>
  <si>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</si>
  <si>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</si>
  <si>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</si>
  <si>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</si>
  <si>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</si>
  <si>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</si>
  <si>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</si>
  <si>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</si>
  <si>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</si>
  <si>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</si>
  <si>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</si>
  <si>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</si>
  <si>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</si>
  <si>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</si>
  <si>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</si>
  <si>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</si>
  <si>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</si>
  <si>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</si>
  <si>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</si>
  <si>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</si>
  <si>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</si>
  <si>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</si>
  <si>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</si>
  <si>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</si>
  <si>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</si>
  <si>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</si>
  <si>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</si>
  <si>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</si>
  <si>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</si>
  <si>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</si>
  <si>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</si>
  <si>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</si>
  <si>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</si>
  <si>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</si>
  <si>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</si>
  <si>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</si>
  <si>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</si>
  <si>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</si>
  <si>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</si>
  <si>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</si>
  <si>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</si>
  <si>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</si>
  <si>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</si>
  <si>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</si>
  <si>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</si>
  <si>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</si>
  <si>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</si>
  <si>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</si>
  <si>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</si>
  <si>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</si>
  <si>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</si>
  <si>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</si>
  <si>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</si>
  <si>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</si>
  <si>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</si>
  <si>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</si>
  <si>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</si>
  <si>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</si>
  <si>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</si>
  <si>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</si>
  <si>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</si>
  <si>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</si>
  <si>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</si>
  <si>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</si>
  <si>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</si>
  <si>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</si>
  <si>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</si>
  <si>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</si>
  <si>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</si>
  <si>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</si>
  <si>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</si>
  <si>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</si>
  <si>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</si>
  <si>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</si>
  <si>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</si>
  <si>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</si>
  <si>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</si>
  <si>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</si>
  <si>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</si>
  <si>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</si>
  <si>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</si>
  <si>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</si>
  <si>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</si>
  <si>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</si>
  <si>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</si>
  <si>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</si>
  <si>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</si>
  <si>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</si>
  <si>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</si>
  <si>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</si>
  <si>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</si>
  <si>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</si>
  <si>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</si>
  <si>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</si>
  <si>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</si>
  <si>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</si>
  <si>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</si>
  <si>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</si>
  <si>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</si>
  <si>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</si>
  <si>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</si>
  <si>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</si>
  <si>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</si>
  <si>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</si>
  <si>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</si>
  <si>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</si>
  <si>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</si>
  <si>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</si>
  <si>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</si>
  <si>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</si>
  <si>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</si>
  <si>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</si>
  <si>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</si>
  <si>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</si>
  <si>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</si>
  <si>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</si>
  <si>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</si>
  <si>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</si>
  <si>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</si>
  <si>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</si>
  <si>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</si>
  <si>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</si>
  <si>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</si>
  <si>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</si>
  <si>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</si>
  <si>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</si>
  <si>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</si>
  <si>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</si>
  <si>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</si>
  <si>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</si>
  <si>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</si>
  <si>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</si>
  <si>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</si>
  <si>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</si>
  <si>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</si>
  <si>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</si>
  <si>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</si>
  <si>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</si>
  <si>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</si>
  <si>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</si>
  <si>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</si>
  <si>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</si>
  <si>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</si>
  <si>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</si>
  <si>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</si>
  <si>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</si>
  <si>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</si>
  <si>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</si>
  <si>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</si>
  <si>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</si>
  <si>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</si>
  <si>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</si>
  <si>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</si>
  <si>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</si>
  <si>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</si>
  <si>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</si>
  <si>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</si>
  <si>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</si>
  <si>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</si>
  <si>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</si>
  <si>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</si>
  <si>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</si>
  <si>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</si>
  <si>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</si>
  <si>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</si>
  <si>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</si>
  <si>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</si>
  <si>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</si>
  <si>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</si>
  <si>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</si>
  <si>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</si>
  <si>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</si>
  <si>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</si>
  <si>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</si>
  <si>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</si>
  <si>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</si>
  <si>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</si>
  <si>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</si>
  <si>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</si>
  <si>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</si>
  <si>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</si>
  <si>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</si>
  <si>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</si>
  <si>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</si>
  <si>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</si>
  <si>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</si>
  <si>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</si>
  <si>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</si>
  <si>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</si>
  <si>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</si>
  <si>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</si>
  <si>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</si>
  <si>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</si>
  <si>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</si>
  <si>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</si>
  <si>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</si>
  <si>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</si>
  <si>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</si>
  <si>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</si>
  <si>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</si>
  <si>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</si>
  <si>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</si>
  <si>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</si>
  <si>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</si>
  <si>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</si>
  <si>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</si>
  <si>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</si>
  <si>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</si>
  <si>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</si>
  <si>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</si>
  <si>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</si>
  <si>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</si>
  <si>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</si>
  <si>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</si>
  <si>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</si>
  <si>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</si>
  <si>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</si>
  <si>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</si>
  <si>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</si>
  <si>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</si>
  <si>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</si>
  <si>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</si>
  <si>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</si>
  <si>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</si>
  <si>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</si>
  <si>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</si>
  <si>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</si>
  <si>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</si>
  <si>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</si>
  <si>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</si>
  <si>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</si>
  <si>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</si>
  <si>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</si>
  <si>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</si>
  <si>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</si>
  <si>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</si>
  <si>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</si>
  <si>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</si>
  <si>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</si>
  <si>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</si>
  <si>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</si>
  <si>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</si>
  <si>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</si>
  <si>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</si>
  <si>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</si>
  <si>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</si>
  <si>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</si>
  <si>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</si>
  <si>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</si>
  <si>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</si>
  <si>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</si>
  <si>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</si>
  <si>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</si>
  <si>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</si>
  <si>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</si>
  <si>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</si>
  <si>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</si>
  <si>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</si>
  <si>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</si>
  <si>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</si>
  <si>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</si>
  <si>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</si>
  <si>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</si>
  <si>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</si>
  <si>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</si>
  <si>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</si>
  <si>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</si>
  <si>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</si>
  <si>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</si>
  <si>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</si>
  <si>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</si>
  <si>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</si>
  <si>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</si>
  <si>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</si>
  <si>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</si>
  <si>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</si>
  <si>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</si>
  <si>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</si>
  <si>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</si>
  <si>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</si>
  <si>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</si>
  <si>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</si>
  <si>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</si>
  <si>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</si>
  <si>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</si>
  <si>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</si>
  <si>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</si>
  <si>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</si>
  <si>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</si>
  <si>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</si>
  <si>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</si>
  <si>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</si>
  <si>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</si>
  <si>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</si>
  <si>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</si>
  <si>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</si>
  <si>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</si>
  <si>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</si>
  <si>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</si>
  <si>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</si>
  <si>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</si>
  <si>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</si>
  <si>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</si>
  <si>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</si>
  <si>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</si>
  <si>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</si>
  <si>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</si>
  <si>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</si>
  <si>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</si>
  <si>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</si>
  <si>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</si>
  <si>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</si>
  <si>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</si>
  <si>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</si>
  <si>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</si>
  <si>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</si>
  <si>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</si>
  <si>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</si>
  <si>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</si>
  <si>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</si>
  <si>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</si>
  <si>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</si>
  <si>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</si>
  <si>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</si>
  <si>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</si>
  <si>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</si>
  <si>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</si>
  <si>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</si>
  <si>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</si>
  <si>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</si>
  <si>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</si>
  <si>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</si>
  <si>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</si>
  <si>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</si>
  <si>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</si>
  <si>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</si>
  <si>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</si>
  <si>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</si>
  <si>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</si>
  <si>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</si>
  <si>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</si>
  <si>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</si>
  <si>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</si>
  <si>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</si>
  <si>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</si>
  <si>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</si>
  <si>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</si>
  <si>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</si>
  <si>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</si>
  <si>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</si>
  <si>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</si>
  <si>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</si>
  <si>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</si>
  <si>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</si>
  <si>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</si>
  <si>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</si>
  <si>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</si>
  <si>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</si>
  <si>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</si>
  <si>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</si>
  <si>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</si>
  <si>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</si>
  <si>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</si>
  <si>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</si>
  <si>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</si>
  <si>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</si>
  <si>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</si>
  <si>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</si>
  <si>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</si>
  <si>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</si>
  <si>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</si>
  <si>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</si>
  <si>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</si>
  <si>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</si>
  <si>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</si>
  <si>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</si>
  <si>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</si>
  <si>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</si>
  <si>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</si>
  <si>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</si>
  <si>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</si>
  <si>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</si>
  <si>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</si>
  <si>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</si>
  <si>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</si>
  <si>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</si>
  <si>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</si>
  <si>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</si>
  <si>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</si>
  <si>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</si>
  <si>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</si>
  <si>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</si>
  <si>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</si>
  <si>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</si>
  <si>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</si>
  <si>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</si>
  <si>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</si>
  <si>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</si>
  <si>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</si>
  <si>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</si>
  <si>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</si>
  <si>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</si>
  <si>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</si>
  <si>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</si>
  <si>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</si>
  <si>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</si>
  <si>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</si>
  <si>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</si>
  <si>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</si>
  <si>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</si>
  <si>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</si>
  <si>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</si>
  <si>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</si>
  <si>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</si>
  <si>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</si>
  <si>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</si>
  <si>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</si>
  <si>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</si>
  <si>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</si>
  <si>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</si>
  <si>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</si>
  <si>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</si>
  <si>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</si>
  <si>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</si>
  <si>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</si>
  <si>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</si>
  <si>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</si>
  <si>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</si>
  <si>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</si>
  <si>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</si>
  <si>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</si>
  <si>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</si>
  <si>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</si>
  <si>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</si>
  <si>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</si>
  <si>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</si>
  <si>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</si>
  <si>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</si>
  <si>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</si>
  <si>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</si>
  <si>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</si>
  <si>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</si>
  <si>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</si>
  <si>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</si>
  <si>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</si>
  <si>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</si>
  <si>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</si>
  <si>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</si>
  <si>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</si>
  <si>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</si>
  <si>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</si>
  <si>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</si>
  <si>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</si>
  <si>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</si>
  <si>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</si>
  <si>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</si>
  <si>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</si>
  <si>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</si>
  <si>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</si>
  <si>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</si>
  <si>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</si>
  <si>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</si>
  <si>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</si>
  <si>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</si>
  <si>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</si>
  <si>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</si>
  <si>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</si>
  <si>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</si>
  <si>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</si>
  <si>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</si>
  <si>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</si>
  <si>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</si>
  <si>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</si>
  <si>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</si>
  <si>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</si>
  <si>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</si>
  <si>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</si>
  <si>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</si>
  <si>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</si>
  <si>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</si>
  <si>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</si>
  <si>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</si>
  <si>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</si>
  <si>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</si>
  <si>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</si>
  <si>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</si>
  <si>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</si>
  <si>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</si>
  <si>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</si>
  <si>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</si>
  <si>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</si>
  <si>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</si>
  <si>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</si>
  <si>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</si>
  <si>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</si>
  <si>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</si>
  <si>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</si>
  <si>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</si>
  <si>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</si>
  <si>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</si>
  <si>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</si>
  <si>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</si>
  <si>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</si>
  <si>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</si>
  <si>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</si>
  <si>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</si>
  <si>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</si>
  <si>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</si>
  <si>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</si>
  <si>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</si>
  <si>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</si>
  <si>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</si>
  <si>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</si>
  <si>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</si>
  <si>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</si>
  <si>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</si>
  <si>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</si>
  <si>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</si>
  <si>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</si>
  <si>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</si>
  <si>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</si>
  <si>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</si>
  <si>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</si>
  <si>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</si>
  <si>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</si>
  <si>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</si>
  <si>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</si>
  <si>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</si>
  <si>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</si>
  <si>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</si>
  <si>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</si>
  <si>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</si>
  <si>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</si>
  <si>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</si>
  <si>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</si>
  <si>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</si>
  <si>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</si>
  <si>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</si>
  <si>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</si>
  <si>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</si>
  <si>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</si>
  <si>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</si>
  <si>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</si>
  <si>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</si>
  <si>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</si>
  <si>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</si>
  <si>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</si>
  <si>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</si>
  <si>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</si>
  <si>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</si>
  <si>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</si>
  <si>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</si>
  <si>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</si>
  <si>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</si>
  <si>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</si>
  <si>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</si>
  <si>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</si>
  <si>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</si>
  <si>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</si>
  <si>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</si>
  <si>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</si>
  <si>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</si>
  <si>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</si>
  <si>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</si>
  <si>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LPA3 NAVAIR #63010046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</si>
</sst>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176</c:v>
                </c:pt>
                <c:pt idx="2">
                  <c:v>918</c:v>
                </c:pt>
                <c:pt idx="3">
                  <c:v>1726</c:v>
                </c:pt>
                <c:pt idx="4">
                  <c:v>2276</c:v>
                </c:pt>
                <c:pt idx="5">
                  <c:v>3900</c:v>
                </c:pt>
                <c:pt idx="6">
                  <c:v>6230</c:v>
                </c:pt>
                <c:pt idx="7">
                  <c:v>17578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1852440</c:v>
                </c:pt>
                <c:pt idx="1">
                  <c:v>683940</c:v>
                </c:pt>
                <c:pt idx="2">
                  <c:v>141360</c:v>
                </c:pt>
                <c:pt idx="3">
                  <c:v>45430</c:v>
                </c:pt>
                <c:pt idx="4">
                  <c:v>16020</c:v>
                </c:pt>
                <c:pt idx="5">
                  <c:v>10100</c:v>
                </c:pt>
                <c:pt idx="6">
                  <c:v>4560</c:v>
                </c:pt>
                <c:pt idx="7">
                  <c:v>2680</c:v>
                </c:pt>
                <c:pt idx="8">
                  <c:v>820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1848735.3333333333</c:v>
                </c:pt>
                <c:pt idx="1">
                  <c:v>698518.66666666663</c:v>
                </c:pt>
                <c:pt idx="2">
                  <c:v>144248.66666666666</c:v>
                </c:pt>
                <c:pt idx="3">
                  <c:v>46227.666666666664</c:v>
                </c:pt>
                <c:pt idx="4">
                  <c:v>16143</c:v>
                </c:pt>
                <c:pt idx="5">
                  <c:v>10263</c:v>
                </c:pt>
                <c:pt idx="6">
                  <c:v>4596.666666666667</c:v>
                </c:pt>
                <c:pt idx="7">
                  <c:v>2609</c:v>
                </c:pt>
                <c:pt idx="8">
                  <c:v>747.33333333333337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abSelected="1" topLeftCell="A232"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63010046</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1009</v>
      </c>
      <c r="H7" s="154"/>
      <c r="I7" s="154"/>
    </row>
    <row r="8" spans="1:9" x14ac:dyDescent="0.35">
      <c r="A8" s="585" t="s">
        <v>713</v>
      </c>
      <c r="B8" s="585">
        <v>78</v>
      </c>
      <c r="H8" s="154"/>
      <c r="I8" s="154"/>
    </row>
    <row r="9" spans="1:9" x14ac:dyDescent="0.35">
      <c r="A9" s="585" t="s">
        <v>714</v>
      </c>
      <c r="B9" s="585">
        <v>176</v>
      </c>
      <c r="H9" s="154"/>
      <c r="I9" s="154"/>
    </row>
    <row r="10" spans="1:9" x14ac:dyDescent="0.35">
      <c r="A10" s="585" t="s">
        <v>715</v>
      </c>
      <c r="B10" s="585">
        <v>918</v>
      </c>
      <c r="H10" s="154"/>
      <c r="I10" s="154"/>
    </row>
    <row r="11" spans="1:9" x14ac:dyDescent="0.35">
      <c r="A11" s="585" t="s">
        <v>716</v>
      </c>
      <c r="B11" s="585">
        <v>1726</v>
      </c>
      <c r="H11" s="154"/>
      <c r="I11" s="154"/>
    </row>
    <row r="12" spans="1:9" x14ac:dyDescent="0.35">
      <c r="A12" s="585" t="s">
        <v>717</v>
      </c>
      <c r="B12" s="585">
        <v>2276</v>
      </c>
      <c r="H12" s="154"/>
      <c r="I12" s="154"/>
    </row>
    <row r="13" spans="1:9" x14ac:dyDescent="0.35">
      <c r="A13" s="585" t="s">
        <v>718</v>
      </c>
      <c r="B13" s="585">
        <v>3900</v>
      </c>
      <c r="H13" s="154"/>
      <c r="I13" s="154"/>
    </row>
    <row r="14" spans="1:9" x14ac:dyDescent="0.35">
      <c r="A14" s="585" t="s">
        <v>719</v>
      </c>
      <c r="B14" s="585">
        <v>6230</v>
      </c>
      <c r="H14" s="154"/>
      <c r="I14" s="154"/>
    </row>
    <row r="15" spans="1:9" x14ac:dyDescent="0.35">
      <c r="A15" s="585" t="s">
        <v>720</v>
      </c>
      <c r="B15" s="585">
        <v>17578</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13641</v>
      </c>
      <c r="H21" s="154"/>
      <c r="I21" s="154"/>
    </row>
    <row r="22" spans="1:9" x14ac:dyDescent="0.35">
      <c r="A22" s="585" t="s">
        <v>727</v>
      </c>
      <c r="B22" s="585">
        <v>98.72</v>
      </c>
      <c r="H22" s="154"/>
      <c r="I22" s="154"/>
    </row>
    <row r="23" spans="1:9" x14ac:dyDescent="0.35">
      <c r="A23" s="585" t="s">
        <v>728</v>
      </c>
      <c r="B23" s="585">
        <v>50</v>
      </c>
      <c r="H23" s="154"/>
      <c r="I23" s="154"/>
    </row>
    <row r="24" spans="1:9" x14ac:dyDescent="0.35">
      <c r="A24" s="585" t="s">
        <v>729</v>
      </c>
      <c r="B24" s="585">
        <v>1779113963</v>
      </c>
      <c r="H24" s="154"/>
      <c r="I24" s="154"/>
    </row>
    <row r="25" spans="1:9" x14ac:dyDescent="0.35">
      <c r="A25" s="585" t="s">
        <v>730</v>
      </c>
      <c r="B25" s="585">
        <v>1810649963</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9</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4095</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78</v>
      </c>
      <c r="H52" s="154"/>
      <c r="I52" s="154"/>
    </row>
    <row r="53" spans="1:9" x14ac:dyDescent="0.35">
      <c r="A53" s="585" t="s">
        <v>758</v>
      </c>
      <c r="B53" s="585">
        <v>122</v>
      </c>
      <c r="H53" s="154"/>
      <c r="I53" s="154"/>
    </row>
    <row r="54" spans="1:9" x14ac:dyDescent="0.35">
      <c r="A54" s="585" t="s">
        <v>759</v>
      </c>
      <c r="B54" s="585">
        <v>176</v>
      </c>
      <c r="H54" s="154"/>
      <c r="I54" s="154"/>
    </row>
    <row r="55" spans="1:9" x14ac:dyDescent="0.35">
      <c r="A55" s="585" t="s">
        <v>760</v>
      </c>
      <c r="B55" s="585">
        <v>236</v>
      </c>
      <c r="H55" s="154"/>
      <c r="I55" s="154"/>
    </row>
    <row r="56" spans="1:9" x14ac:dyDescent="0.35">
      <c r="A56" s="585" t="s">
        <v>761</v>
      </c>
      <c r="B56" s="585">
        <v>308</v>
      </c>
      <c r="H56" s="154"/>
      <c r="I56" s="154"/>
    </row>
    <row r="57" spans="1:9" x14ac:dyDescent="0.35">
      <c r="A57" s="585" t="s">
        <v>762</v>
      </c>
      <c r="B57" s="585">
        <v>392</v>
      </c>
      <c r="H57" s="154"/>
      <c r="I57" s="154"/>
    </row>
    <row r="58" spans="1:9" x14ac:dyDescent="0.35">
      <c r="A58" s="585" t="s">
        <v>763</v>
      </c>
      <c r="B58" s="585">
        <v>480</v>
      </c>
      <c r="H58" s="154"/>
    </row>
    <row r="59" spans="1:9" x14ac:dyDescent="0.35">
      <c r="A59" s="585" t="s">
        <v>764</v>
      </c>
      <c r="B59" s="585">
        <v>582</v>
      </c>
      <c r="H59" s="154"/>
      <c r="I59" s="154"/>
    </row>
    <row r="60" spans="1:9" x14ac:dyDescent="0.35">
      <c r="A60" s="585" t="s">
        <v>765</v>
      </c>
      <c r="B60" s="585">
        <v>692</v>
      </c>
      <c r="H60" s="154"/>
      <c r="I60" s="154"/>
    </row>
    <row r="61" spans="1:9" x14ac:dyDescent="0.35">
      <c r="A61" s="585" t="s">
        <v>766</v>
      </c>
      <c r="B61" s="585">
        <v>798</v>
      </c>
      <c r="H61" s="154"/>
      <c r="I61" s="154"/>
    </row>
    <row r="62" spans="1:9" x14ac:dyDescent="0.35">
      <c r="A62" s="585" t="s">
        <v>767</v>
      </c>
      <c r="B62" s="585">
        <v>918</v>
      </c>
      <c r="H62" s="154"/>
      <c r="I62" s="154"/>
    </row>
    <row r="63" spans="1:9" x14ac:dyDescent="0.35">
      <c r="A63" s="585" t="s">
        <v>768</v>
      </c>
      <c r="B63" s="585">
        <v>1034</v>
      </c>
      <c r="H63" s="154"/>
      <c r="I63" s="154"/>
    </row>
    <row r="64" spans="1:9" x14ac:dyDescent="0.35">
      <c r="A64" s="585" t="s">
        <v>769</v>
      </c>
      <c r="B64" s="585">
        <v>1150</v>
      </c>
      <c r="H64" s="154"/>
      <c r="I64" s="154"/>
    </row>
    <row r="65" spans="1:9" x14ac:dyDescent="0.35">
      <c r="A65" s="585" t="s">
        <v>770</v>
      </c>
      <c r="B65" s="585">
        <v>1252</v>
      </c>
      <c r="H65" s="154"/>
      <c r="I65" s="154"/>
    </row>
    <row r="66" spans="1:9" x14ac:dyDescent="0.35">
      <c r="A66" s="585" t="s">
        <v>771</v>
      </c>
      <c r="B66" s="585">
        <v>1358</v>
      </c>
      <c r="H66" s="154"/>
      <c r="I66" s="154"/>
    </row>
    <row r="67" spans="1:9" x14ac:dyDescent="0.35">
      <c r="A67" s="585" t="s">
        <v>772</v>
      </c>
      <c r="B67" s="585">
        <v>1474</v>
      </c>
      <c r="H67" s="154"/>
      <c r="I67" s="154"/>
    </row>
    <row r="68" spans="1:9" x14ac:dyDescent="0.35">
      <c r="A68" s="585" t="s">
        <v>773</v>
      </c>
      <c r="B68" s="585">
        <v>1594</v>
      </c>
      <c r="H68" s="154"/>
      <c r="I68" s="154"/>
    </row>
    <row r="69" spans="1:9" x14ac:dyDescent="0.35">
      <c r="A69" s="585" t="s">
        <v>774</v>
      </c>
      <c r="B69" s="585">
        <v>1726</v>
      </c>
      <c r="H69" s="154"/>
      <c r="I69" s="154"/>
    </row>
    <row r="70" spans="1:9" x14ac:dyDescent="0.35">
      <c r="A70" s="585" t="s">
        <v>775</v>
      </c>
      <c r="B70" s="585">
        <v>1864</v>
      </c>
      <c r="H70" s="154"/>
      <c r="I70" s="154"/>
    </row>
    <row r="71" spans="1:9" x14ac:dyDescent="0.35">
      <c r="A71" s="585" t="s">
        <v>776</v>
      </c>
      <c r="B71" s="585">
        <v>2010</v>
      </c>
      <c r="H71" s="154"/>
      <c r="I71" s="154"/>
    </row>
    <row r="72" spans="1:9" x14ac:dyDescent="0.35">
      <c r="A72" s="585" t="s">
        <v>777</v>
      </c>
      <c r="B72" s="585">
        <v>2146</v>
      </c>
      <c r="H72" s="154"/>
      <c r="I72" s="154"/>
    </row>
    <row r="73" spans="1:9" x14ac:dyDescent="0.35">
      <c r="A73" s="585" t="s">
        <v>778</v>
      </c>
      <c r="B73" s="585">
        <v>2276</v>
      </c>
      <c r="H73" s="154"/>
      <c r="I73" s="154"/>
    </row>
    <row r="74" spans="1:9" x14ac:dyDescent="0.35">
      <c r="A74" s="585" t="s">
        <v>779</v>
      </c>
      <c r="B74" s="585">
        <v>2456</v>
      </c>
      <c r="H74" s="154"/>
      <c r="I74" s="154"/>
    </row>
    <row r="75" spans="1:9" x14ac:dyDescent="0.35">
      <c r="A75" s="585" t="s">
        <v>780</v>
      </c>
      <c r="B75" s="585">
        <v>2588</v>
      </c>
      <c r="H75" s="154"/>
    </row>
    <row r="76" spans="1:9" x14ac:dyDescent="0.35">
      <c r="A76" s="585" t="s">
        <v>781</v>
      </c>
      <c r="B76" s="585">
        <v>2732</v>
      </c>
      <c r="H76" s="154"/>
      <c r="I76" s="154"/>
    </row>
    <row r="77" spans="1:9" x14ac:dyDescent="0.35">
      <c r="A77" s="585" t="s">
        <v>782</v>
      </c>
      <c r="B77" s="585">
        <v>2880</v>
      </c>
      <c r="H77" s="154"/>
    </row>
    <row r="78" spans="1:9" x14ac:dyDescent="0.35">
      <c r="A78" s="585" t="s">
        <v>783</v>
      </c>
      <c r="B78" s="585">
        <v>3000</v>
      </c>
      <c r="H78" s="154"/>
      <c r="I78" s="154"/>
    </row>
    <row r="79" spans="1:9" x14ac:dyDescent="0.35">
      <c r="A79" s="585" t="s">
        <v>784</v>
      </c>
      <c r="B79" s="585">
        <v>3900</v>
      </c>
      <c r="H79" s="154"/>
      <c r="I79" s="154"/>
    </row>
    <row r="80" spans="1:9" x14ac:dyDescent="0.35">
      <c r="A80" s="585" t="s">
        <v>785</v>
      </c>
      <c r="B80" s="585">
        <v>6230</v>
      </c>
      <c r="H80" s="154"/>
      <c r="I80" s="154"/>
    </row>
    <row r="81" spans="1:9" x14ac:dyDescent="0.35">
      <c r="A81" s="585" t="s">
        <v>786</v>
      </c>
      <c r="B81" s="585">
        <v>17578</v>
      </c>
      <c r="H81" s="154"/>
      <c r="I81" s="154"/>
    </row>
    <row r="82" spans="1:9" x14ac:dyDescent="0.35">
      <c r="A82" s="585" t="s">
        <v>787</v>
      </c>
      <c r="B82" s="585">
        <v>17578</v>
      </c>
      <c r="H82" s="154"/>
      <c r="I82" s="154"/>
    </row>
    <row r="83" spans="1:9" x14ac:dyDescent="0.35">
      <c r="A83" s="585" t="s">
        <v>788</v>
      </c>
      <c r="B83" s="585">
        <v>17578</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1848367</v>
      </c>
      <c r="H117" s="154"/>
      <c r="I117" s="154"/>
    </row>
    <row r="118" spans="1:9" x14ac:dyDescent="0.35">
      <c r="A118" s="585" t="s">
        <v>823</v>
      </c>
      <c r="B118" s="585">
        <v>699160</v>
      </c>
      <c r="H118" s="154"/>
      <c r="I118" s="154"/>
    </row>
    <row r="119" spans="1:9" x14ac:dyDescent="0.35">
      <c r="A119" s="585" t="s">
        <v>824</v>
      </c>
      <c r="B119" s="585">
        <v>46163</v>
      </c>
      <c r="H119" s="154"/>
      <c r="I119" s="154"/>
    </row>
    <row r="120" spans="1:9" x14ac:dyDescent="0.35">
      <c r="A120" s="585" t="s">
        <v>825</v>
      </c>
      <c r="B120" s="585">
        <v>16102</v>
      </c>
      <c r="H120" s="154"/>
      <c r="I120" s="154"/>
    </row>
    <row r="121" spans="1:9" x14ac:dyDescent="0.35">
      <c r="A121" s="585" t="s">
        <v>826</v>
      </c>
      <c r="B121" s="585">
        <v>10416</v>
      </c>
      <c r="H121" s="154"/>
      <c r="I121" s="154"/>
    </row>
    <row r="122" spans="1:9" x14ac:dyDescent="0.35">
      <c r="A122" s="585" t="s">
        <v>827</v>
      </c>
      <c r="B122" s="585">
        <v>4611</v>
      </c>
      <c r="H122" s="154"/>
      <c r="I122" s="154"/>
    </row>
    <row r="123" spans="1:9" x14ac:dyDescent="0.35">
      <c r="A123" s="585" t="s">
        <v>828</v>
      </c>
      <c r="B123" s="585">
        <v>2548</v>
      </c>
      <c r="H123" s="154"/>
      <c r="I123" s="154"/>
    </row>
    <row r="124" spans="1:9" x14ac:dyDescent="0.35">
      <c r="A124" s="585" t="s">
        <v>829</v>
      </c>
      <c r="B124" s="585">
        <v>708</v>
      </c>
      <c r="H124" s="154"/>
      <c r="I124" s="154"/>
    </row>
    <row r="125" spans="1:9" x14ac:dyDescent="0.35">
      <c r="A125" s="585" t="s">
        <v>830</v>
      </c>
      <c r="B125" s="585">
        <v>1846056</v>
      </c>
      <c r="H125" s="154"/>
      <c r="I125" s="154"/>
    </row>
    <row r="126" spans="1:9" x14ac:dyDescent="0.35">
      <c r="A126" s="585" t="s">
        <v>831</v>
      </c>
      <c r="B126" s="585">
        <v>695810</v>
      </c>
      <c r="H126" s="154"/>
      <c r="I126" s="154"/>
    </row>
    <row r="127" spans="1:9" x14ac:dyDescent="0.35">
      <c r="A127" s="585" t="s">
        <v>832</v>
      </c>
      <c r="B127" s="585">
        <v>45756</v>
      </c>
      <c r="H127" s="154"/>
      <c r="I127" s="154"/>
    </row>
    <row r="128" spans="1:9" x14ac:dyDescent="0.35">
      <c r="A128" s="585" t="s">
        <v>833</v>
      </c>
      <c r="B128" s="585">
        <v>16076</v>
      </c>
      <c r="H128" s="154"/>
      <c r="I128" s="154"/>
    </row>
    <row r="129" spans="1:9" x14ac:dyDescent="0.35">
      <c r="A129" s="585" t="s">
        <v>834</v>
      </c>
      <c r="B129" s="585">
        <v>10134</v>
      </c>
      <c r="H129" s="154"/>
      <c r="I129" s="154"/>
    </row>
    <row r="130" spans="1:9" x14ac:dyDescent="0.35">
      <c r="A130" s="585" t="s">
        <v>835</v>
      </c>
      <c r="B130" s="585">
        <v>4527</v>
      </c>
      <c r="H130" s="154"/>
      <c r="I130" s="155"/>
    </row>
    <row r="131" spans="1:9" x14ac:dyDescent="0.35">
      <c r="A131" s="585" t="s">
        <v>836</v>
      </c>
      <c r="B131" s="585">
        <v>2581</v>
      </c>
      <c r="H131" s="154"/>
      <c r="I131" s="154"/>
    </row>
    <row r="132" spans="1:9" x14ac:dyDescent="0.35">
      <c r="A132" s="585" t="s">
        <v>837</v>
      </c>
      <c r="B132" s="585">
        <v>733</v>
      </c>
      <c r="H132" s="154"/>
      <c r="I132" s="154"/>
    </row>
    <row r="133" spans="1:9" x14ac:dyDescent="0.35">
      <c r="A133" s="585" t="s">
        <v>838</v>
      </c>
      <c r="B133" s="585">
        <v>1851783</v>
      </c>
      <c r="H133" s="154"/>
      <c r="I133" s="154"/>
    </row>
    <row r="134" spans="1:9" x14ac:dyDescent="0.35">
      <c r="A134" s="585" t="s">
        <v>839</v>
      </c>
      <c r="B134" s="585">
        <v>700586</v>
      </c>
      <c r="H134" s="154"/>
      <c r="I134" s="154"/>
    </row>
    <row r="135" spans="1:9" x14ac:dyDescent="0.35">
      <c r="A135" s="585" t="s">
        <v>840</v>
      </c>
      <c r="B135" s="585">
        <v>46764</v>
      </c>
      <c r="H135" s="154"/>
      <c r="I135" s="154"/>
    </row>
    <row r="136" spans="1:9" x14ac:dyDescent="0.35">
      <c r="A136" s="585" t="s">
        <v>841</v>
      </c>
      <c r="B136" s="585">
        <v>16251</v>
      </c>
      <c r="H136" s="154"/>
      <c r="I136" s="154"/>
    </row>
    <row r="137" spans="1:9" x14ac:dyDescent="0.35">
      <c r="A137" s="585" t="s">
        <v>842</v>
      </c>
      <c r="B137" s="585">
        <v>10239</v>
      </c>
      <c r="H137" s="154"/>
      <c r="I137" s="154"/>
    </row>
    <row r="138" spans="1:9" x14ac:dyDescent="0.35">
      <c r="A138" s="585" t="s">
        <v>843</v>
      </c>
      <c r="B138" s="585">
        <v>4652</v>
      </c>
      <c r="H138" s="154"/>
      <c r="I138" s="154"/>
    </row>
    <row r="139" spans="1:9" x14ac:dyDescent="0.35">
      <c r="A139" s="585" t="s">
        <v>844</v>
      </c>
      <c r="B139" s="585">
        <v>2698</v>
      </c>
      <c r="H139" s="154"/>
      <c r="I139" s="154"/>
    </row>
    <row r="140" spans="1:9" x14ac:dyDescent="0.35">
      <c r="A140" s="585" t="s">
        <v>845</v>
      </c>
      <c r="B140" s="585">
        <v>801</v>
      </c>
      <c r="H140" s="154"/>
      <c r="I140" s="154"/>
    </row>
    <row r="141" spans="1:9" x14ac:dyDescent="0.35">
      <c r="A141" s="585" t="s">
        <v>846</v>
      </c>
      <c r="B141" s="585">
        <v>1852440</v>
      </c>
      <c r="H141" s="154"/>
      <c r="I141" s="154"/>
    </row>
    <row r="142" spans="1:9" x14ac:dyDescent="0.35">
      <c r="A142" s="585" t="s">
        <v>847</v>
      </c>
      <c r="B142" s="585">
        <v>683940</v>
      </c>
      <c r="H142" s="154"/>
      <c r="I142" s="154"/>
    </row>
    <row r="143" spans="1:9" x14ac:dyDescent="0.35">
      <c r="A143" s="585" t="s">
        <v>848</v>
      </c>
      <c r="B143" s="585">
        <v>45430</v>
      </c>
      <c r="H143" s="154"/>
      <c r="I143" s="154"/>
    </row>
    <row r="144" spans="1:9" x14ac:dyDescent="0.35">
      <c r="A144" s="585" t="s">
        <v>849</v>
      </c>
      <c r="B144" s="585">
        <v>16020</v>
      </c>
      <c r="H144" s="154"/>
      <c r="I144" s="157"/>
    </row>
    <row r="145" spans="1:2" x14ac:dyDescent="0.35">
      <c r="A145" s="585" t="s">
        <v>850</v>
      </c>
      <c r="B145" s="585">
        <v>10100</v>
      </c>
    </row>
    <row r="146" spans="1:2" x14ac:dyDescent="0.35">
      <c r="A146" s="585" t="s">
        <v>851</v>
      </c>
      <c r="B146" s="585">
        <v>4560</v>
      </c>
    </row>
    <row r="147" spans="1:2" x14ac:dyDescent="0.35">
      <c r="A147" s="585" t="s">
        <v>852</v>
      </c>
      <c r="B147" s="585">
        <v>2680</v>
      </c>
    </row>
    <row r="148" spans="1:2" x14ac:dyDescent="0.35">
      <c r="A148" s="585" t="s">
        <v>853</v>
      </c>
      <c r="B148" s="585">
        <v>820</v>
      </c>
    </row>
    <row r="149" spans="1:2" x14ac:dyDescent="0.35">
      <c r="A149" s="585" t="s">
        <v>854</v>
      </c>
      <c r="B149" s="585">
        <v>18483.7</v>
      </c>
    </row>
    <row r="150" spans="1:2" x14ac:dyDescent="0.35">
      <c r="A150" s="585" t="s">
        <v>855</v>
      </c>
      <c r="B150" s="585">
        <v>11090.7</v>
      </c>
    </row>
    <row r="151" spans="1:2" x14ac:dyDescent="0.35">
      <c r="A151" s="585" t="s">
        <v>856</v>
      </c>
      <c r="B151" s="585">
        <v>6991.61</v>
      </c>
    </row>
    <row r="152" spans="1:2" x14ac:dyDescent="0.35">
      <c r="A152" s="585" t="s">
        <v>857</v>
      </c>
      <c r="B152" s="585">
        <v>4611.55</v>
      </c>
    </row>
    <row r="153" spans="1:2" x14ac:dyDescent="0.35">
      <c r="A153" s="585" t="s">
        <v>858</v>
      </c>
      <c r="B153" s="585">
        <v>3048.73</v>
      </c>
    </row>
    <row r="154" spans="1:2" x14ac:dyDescent="0.35">
      <c r="A154" s="585" t="s">
        <v>859</v>
      </c>
      <c r="B154" s="585">
        <v>2045.18</v>
      </c>
    </row>
    <row r="155" spans="1:2" x14ac:dyDescent="0.35">
      <c r="A155" s="585" t="s">
        <v>860</v>
      </c>
      <c r="B155" s="585">
        <v>1442.17</v>
      </c>
    </row>
    <row r="156" spans="1:2" x14ac:dyDescent="0.35">
      <c r="A156" s="585" t="s">
        <v>861</v>
      </c>
      <c r="B156" s="585">
        <v>1021.48</v>
      </c>
    </row>
    <row r="157" spans="1:2" x14ac:dyDescent="0.35">
      <c r="A157" s="585" t="s">
        <v>862</v>
      </c>
      <c r="B157" s="585">
        <v>757.01199999999994</v>
      </c>
    </row>
    <row r="158" spans="1:2" x14ac:dyDescent="0.35">
      <c r="A158" s="585" t="s">
        <v>863</v>
      </c>
      <c r="B158" s="585">
        <v>588.74699999999996</v>
      </c>
    </row>
    <row r="159" spans="1:2" x14ac:dyDescent="0.35">
      <c r="A159" s="585" t="s">
        <v>864</v>
      </c>
      <c r="B159" s="585">
        <v>461.63099999999997</v>
      </c>
    </row>
    <row r="160" spans="1:2" x14ac:dyDescent="0.35">
      <c r="A160" s="585" t="s">
        <v>865</v>
      </c>
      <c r="B160" s="585">
        <v>375.87</v>
      </c>
    </row>
    <row r="161" spans="1:2" x14ac:dyDescent="0.35">
      <c r="A161" s="585" t="s">
        <v>866</v>
      </c>
      <c r="B161" s="585">
        <v>312.75099999999998</v>
      </c>
    </row>
    <row r="162" spans="1:2" x14ac:dyDescent="0.35">
      <c r="A162" s="585" t="s">
        <v>867</v>
      </c>
      <c r="B162" s="585">
        <v>273.15300000000002</v>
      </c>
    </row>
    <row r="163" spans="1:2" x14ac:dyDescent="0.35">
      <c r="A163" s="585" t="s">
        <v>868</v>
      </c>
      <c r="B163" s="585">
        <v>239.19</v>
      </c>
    </row>
    <row r="164" spans="1:2" x14ac:dyDescent="0.35">
      <c r="A164" s="585" t="s">
        <v>869</v>
      </c>
      <c r="B164" s="585">
        <v>209.05199999999999</v>
      </c>
    </row>
    <row r="165" spans="1:2" x14ac:dyDescent="0.35">
      <c r="A165" s="585" t="s">
        <v>870</v>
      </c>
      <c r="B165" s="585">
        <v>184.39400000000001</v>
      </c>
    </row>
    <row r="166" spans="1:2" x14ac:dyDescent="0.35">
      <c r="A166" s="585" t="s">
        <v>871</v>
      </c>
      <c r="B166" s="585">
        <v>161.02799999999999</v>
      </c>
    </row>
    <row r="167" spans="1:2" x14ac:dyDescent="0.35">
      <c r="A167" s="585" t="s">
        <v>872</v>
      </c>
      <c r="B167" s="585">
        <v>141.07400000000001</v>
      </c>
    </row>
    <row r="168" spans="1:2" x14ac:dyDescent="0.35">
      <c r="A168" s="585" t="s">
        <v>873</v>
      </c>
      <c r="B168" s="585">
        <v>125.41</v>
      </c>
    </row>
    <row r="169" spans="1:2" x14ac:dyDescent="0.35">
      <c r="A169" s="585" t="s">
        <v>874</v>
      </c>
      <c r="B169" s="585">
        <v>113.417</v>
      </c>
    </row>
    <row r="170" spans="1:2" x14ac:dyDescent="0.35">
      <c r="A170" s="585" t="s">
        <v>875</v>
      </c>
      <c r="B170" s="585">
        <v>104.164</v>
      </c>
    </row>
    <row r="171" spans="1:2" x14ac:dyDescent="0.35">
      <c r="A171" s="585" t="s">
        <v>876</v>
      </c>
      <c r="B171" s="585">
        <v>92.119299999999996</v>
      </c>
    </row>
    <row r="172" spans="1:2" x14ac:dyDescent="0.35">
      <c r="A172" s="585" t="s">
        <v>877</v>
      </c>
      <c r="B172" s="585">
        <v>84.1584</v>
      </c>
    </row>
    <row r="173" spans="1:2" x14ac:dyDescent="0.35">
      <c r="A173" s="585" t="s">
        <v>878</v>
      </c>
      <c r="B173" s="585">
        <v>76.972899999999996</v>
      </c>
    </row>
    <row r="174" spans="1:2" x14ac:dyDescent="0.35">
      <c r="A174" s="585" t="s">
        <v>879</v>
      </c>
      <c r="B174" s="585">
        <v>71.8035</v>
      </c>
    </row>
    <row r="175" spans="1:2" x14ac:dyDescent="0.35">
      <c r="A175" s="585" t="s">
        <v>880</v>
      </c>
      <c r="B175" s="585">
        <v>67.512799999999999</v>
      </c>
    </row>
    <row r="176" spans="1:2" x14ac:dyDescent="0.35">
      <c r="A176" s="585" t="s">
        <v>881</v>
      </c>
      <c r="B176" s="585">
        <v>46.111400000000003</v>
      </c>
    </row>
    <row r="177" spans="1:2" x14ac:dyDescent="0.35">
      <c r="A177" s="585" t="s">
        <v>882</v>
      </c>
      <c r="B177" s="585">
        <v>25.485299999999999</v>
      </c>
    </row>
    <row r="178" spans="1:2" x14ac:dyDescent="0.35">
      <c r="A178" s="585" t="s">
        <v>883</v>
      </c>
      <c r="B178" s="585">
        <v>7.0821300000000003</v>
      </c>
    </row>
    <row r="179" spans="1:2" x14ac:dyDescent="0.35">
      <c r="A179" s="585" t="s">
        <v>884</v>
      </c>
      <c r="B179" s="585">
        <v>7.0821300000000003</v>
      </c>
    </row>
    <row r="180" spans="1:2" x14ac:dyDescent="0.35">
      <c r="A180" s="585" t="s">
        <v>885</v>
      </c>
      <c r="B180" s="585">
        <v>7.0821300000000003</v>
      </c>
    </row>
    <row r="181" spans="1:2" x14ac:dyDescent="0.35">
      <c r="A181" s="585" t="s">
        <v>886</v>
      </c>
      <c r="B181" s="585">
        <v>18460.599999999999</v>
      </c>
    </row>
    <row r="182" spans="1:2" x14ac:dyDescent="0.35">
      <c r="A182" s="585" t="s">
        <v>887</v>
      </c>
      <c r="B182" s="585">
        <v>11078.7</v>
      </c>
    </row>
    <row r="183" spans="1:2" x14ac:dyDescent="0.35">
      <c r="A183" s="585" t="s">
        <v>888</v>
      </c>
      <c r="B183" s="585">
        <v>6958.1</v>
      </c>
    </row>
    <row r="184" spans="1:2" x14ac:dyDescent="0.35">
      <c r="A184" s="585" t="s">
        <v>889</v>
      </c>
      <c r="B184" s="585">
        <v>4604.1499999999996</v>
      </c>
    </row>
    <row r="185" spans="1:2" x14ac:dyDescent="0.35">
      <c r="A185" s="585" t="s">
        <v>890</v>
      </c>
      <c r="B185" s="585">
        <v>3045.96</v>
      </c>
    </row>
    <row r="186" spans="1:2" x14ac:dyDescent="0.35">
      <c r="A186" s="585" t="s">
        <v>891</v>
      </c>
      <c r="B186" s="585">
        <v>2037.8</v>
      </c>
    </row>
    <row r="187" spans="1:2" x14ac:dyDescent="0.35">
      <c r="A187" s="585" t="s">
        <v>892</v>
      </c>
      <c r="B187" s="585">
        <v>1438.62</v>
      </c>
    </row>
    <row r="188" spans="1:2" x14ac:dyDescent="0.35">
      <c r="A188" s="585" t="s">
        <v>893</v>
      </c>
      <c r="B188" s="585">
        <v>1026.9000000000001</v>
      </c>
    </row>
    <row r="189" spans="1:2" x14ac:dyDescent="0.35">
      <c r="A189" s="585" t="s">
        <v>894</v>
      </c>
      <c r="B189" s="585">
        <v>752.04200000000003</v>
      </c>
    </row>
    <row r="190" spans="1:2" x14ac:dyDescent="0.35">
      <c r="A190" s="585" t="s">
        <v>895</v>
      </c>
      <c r="B190" s="585">
        <v>583.17200000000003</v>
      </c>
    </row>
    <row r="191" spans="1:2" x14ac:dyDescent="0.35">
      <c r="A191" s="585" t="s">
        <v>896</v>
      </c>
      <c r="B191" s="585">
        <v>457.565</v>
      </c>
    </row>
    <row r="192" spans="1:2" x14ac:dyDescent="0.35">
      <c r="A192" s="585" t="s">
        <v>897</v>
      </c>
      <c r="B192" s="585">
        <v>372.74299999999999</v>
      </c>
    </row>
    <row r="193" spans="1:2" x14ac:dyDescent="0.35">
      <c r="A193" s="585" t="s">
        <v>898</v>
      </c>
      <c r="B193" s="585">
        <v>313.42399999999998</v>
      </c>
    </row>
    <row r="194" spans="1:2" x14ac:dyDescent="0.35">
      <c r="A194" s="585" t="s">
        <v>899</v>
      </c>
      <c r="B194" s="585">
        <v>272.17399999999998</v>
      </c>
    </row>
    <row r="195" spans="1:2" x14ac:dyDescent="0.35">
      <c r="A195" s="585" t="s">
        <v>900</v>
      </c>
      <c r="B195" s="585">
        <v>236.965</v>
      </c>
    </row>
    <row r="196" spans="1:2" x14ac:dyDescent="0.35">
      <c r="A196" s="585" t="s">
        <v>901</v>
      </c>
      <c r="B196" s="585">
        <v>206.815</v>
      </c>
    </row>
    <row r="197" spans="1:2" x14ac:dyDescent="0.35">
      <c r="A197" s="585" t="s">
        <v>902</v>
      </c>
      <c r="B197" s="585">
        <v>182.964</v>
      </c>
    </row>
    <row r="198" spans="1:2" x14ac:dyDescent="0.35">
      <c r="A198" s="585" t="s">
        <v>903</v>
      </c>
      <c r="B198" s="585">
        <v>160.76499999999999</v>
      </c>
    </row>
    <row r="199" spans="1:2" x14ac:dyDescent="0.35">
      <c r="A199" s="585" t="s">
        <v>904</v>
      </c>
      <c r="B199" s="585">
        <v>141.35300000000001</v>
      </c>
    </row>
    <row r="200" spans="1:2" x14ac:dyDescent="0.35">
      <c r="A200" s="585" t="s">
        <v>905</v>
      </c>
      <c r="B200" s="585">
        <v>125.246</v>
      </c>
    </row>
    <row r="201" spans="1:2" x14ac:dyDescent="0.35">
      <c r="A201" s="585" t="s">
        <v>906</v>
      </c>
      <c r="B201" s="585">
        <v>111.51300000000001</v>
      </c>
    </row>
    <row r="202" spans="1:2" x14ac:dyDescent="0.35">
      <c r="A202" s="585" t="s">
        <v>907</v>
      </c>
      <c r="B202" s="585">
        <v>101.343</v>
      </c>
    </row>
    <row r="203" spans="1:2" x14ac:dyDescent="0.35">
      <c r="A203" s="585" t="s">
        <v>908</v>
      </c>
      <c r="B203" s="585">
        <v>90.139700000000005</v>
      </c>
    </row>
    <row r="204" spans="1:2" x14ac:dyDescent="0.35">
      <c r="A204" s="585" t="s">
        <v>909</v>
      </c>
      <c r="B204" s="585">
        <v>83.376599999999996</v>
      </c>
    </row>
    <row r="205" spans="1:2" x14ac:dyDescent="0.35">
      <c r="A205" s="585" t="s">
        <v>910</v>
      </c>
      <c r="B205" s="585">
        <v>77.388000000000005</v>
      </c>
    </row>
    <row r="206" spans="1:2" x14ac:dyDescent="0.35">
      <c r="A206" s="585" t="s">
        <v>911</v>
      </c>
      <c r="B206" s="585">
        <v>71.399299999999997</v>
      </c>
    </row>
    <row r="207" spans="1:2" x14ac:dyDescent="0.35">
      <c r="A207" s="585" t="s">
        <v>912</v>
      </c>
      <c r="B207" s="585">
        <v>66.3399</v>
      </c>
    </row>
    <row r="208" spans="1:2" x14ac:dyDescent="0.35">
      <c r="A208" s="585" t="s">
        <v>913</v>
      </c>
      <c r="B208" s="585">
        <v>45.276400000000002</v>
      </c>
    </row>
    <row r="209" spans="1:2" x14ac:dyDescent="0.35">
      <c r="A209" s="585" t="s">
        <v>914</v>
      </c>
      <c r="B209" s="585">
        <v>25.813199999999998</v>
      </c>
    </row>
    <row r="210" spans="1:2" x14ac:dyDescent="0.35">
      <c r="A210" s="585" t="s">
        <v>915</v>
      </c>
      <c r="B210" s="585">
        <v>7.3309499999999996</v>
      </c>
    </row>
    <row r="211" spans="1:2" x14ac:dyDescent="0.35">
      <c r="A211" s="585" t="s">
        <v>916</v>
      </c>
      <c r="B211" s="585">
        <v>7.3309499999999996</v>
      </c>
    </row>
    <row r="212" spans="1:2" x14ac:dyDescent="0.35">
      <c r="A212" s="585" t="s">
        <v>917</v>
      </c>
      <c r="B212" s="585">
        <v>7.3309499999999996</v>
      </c>
    </row>
    <row r="213" spans="1:2" x14ac:dyDescent="0.35">
      <c r="A213" s="585" t="s">
        <v>918</v>
      </c>
      <c r="B213" s="585">
        <v>18517.8</v>
      </c>
    </row>
    <row r="214" spans="1:2" x14ac:dyDescent="0.35">
      <c r="A214" s="585" t="s">
        <v>919</v>
      </c>
      <c r="B214" s="585">
        <v>11138.3</v>
      </c>
    </row>
    <row r="215" spans="1:2" x14ac:dyDescent="0.35">
      <c r="A215" s="585" t="s">
        <v>920</v>
      </c>
      <c r="B215" s="585">
        <v>7005.87</v>
      </c>
    </row>
    <row r="216" spans="1:2" x14ac:dyDescent="0.35">
      <c r="A216" s="585" t="s">
        <v>921</v>
      </c>
      <c r="B216" s="585">
        <v>4640.91</v>
      </c>
    </row>
    <row r="217" spans="1:2" x14ac:dyDescent="0.35">
      <c r="A217" s="585" t="s">
        <v>922</v>
      </c>
      <c r="B217" s="585">
        <v>3068.27</v>
      </c>
    </row>
    <row r="218" spans="1:2" x14ac:dyDescent="0.35">
      <c r="A218" s="585" t="s">
        <v>923</v>
      </c>
      <c r="B218" s="585">
        <v>2048.8200000000002</v>
      </c>
    </row>
    <row r="219" spans="1:2" x14ac:dyDescent="0.35">
      <c r="A219" s="585" t="s">
        <v>924</v>
      </c>
      <c r="B219" s="585">
        <v>1446.67</v>
      </c>
    </row>
    <row r="220" spans="1:2" x14ac:dyDescent="0.35">
      <c r="A220" s="585" t="s">
        <v>925</v>
      </c>
      <c r="B220" s="585">
        <v>1029.1099999999999</v>
      </c>
    </row>
    <row r="221" spans="1:2" x14ac:dyDescent="0.35">
      <c r="A221" s="585" t="s">
        <v>926</v>
      </c>
      <c r="B221" s="585">
        <v>762.54300000000001</v>
      </c>
    </row>
    <row r="222" spans="1:2" x14ac:dyDescent="0.35">
      <c r="A222" s="585" t="s">
        <v>927</v>
      </c>
      <c r="B222" s="585">
        <v>595.47900000000004</v>
      </c>
    </row>
    <row r="223" spans="1:2" x14ac:dyDescent="0.35">
      <c r="A223" s="585" t="s">
        <v>928</v>
      </c>
      <c r="B223" s="585">
        <v>467.64699999999999</v>
      </c>
    </row>
    <row r="224" spans="1:2" x14ac:dyDescent="0.35">
      <c r="A224" s="585" t="s">
        <v>929</v>
      </c>
      <c r="B224" s="585">
        <v>382.46100000000001</v>
      </c>
    </row>
    <row r="225" spans="1:2" x14ac:dyDescent="0.35">
      <c r="A225" s="585" t="s">
        <v>930</v>
      </c>
      <c r="B225" s="585">
        <v>321.41399999999999</v>
      </c>
    </row>
    <row r="226" spans="1:2" x14ac:dyDescent="0.35">
      <c r="A226" s="585" t="s">
        <v>931</v>
      </c>
      <c r="B226" s="585">
        <v>279.23399999999998</v>
      </c>
    </row>
    <row r="227" spans="1:2" x14ac:dyDescent="0.35">
      <c r="A227" s="585" t="s">
        <v>932</v>
      </c>
      <c r="B227" s="585">
        <v>242.999</v>
      </c>
    </row>
    <row r="228" spans="1:2" x14ac:dyDescent="0.35">
      <c r="A228" s="585" t="s">
        <v>933</v>
      </c>
      <c r="B228" s="585">
        <v>211.31200000000001</v>
      </c>
    </row>
    <row r="229" spans="1:2" x14ac:dyDescent="0.35">
      <c r="A229" s="585" t="s">
        <v>934</v>
      </c>
      <c r="B229" s="585">
        <v>183.65799999999999</v>
      </c>
    </row>
    <row r="230" spans="1:2" x14ac:dyDescent="0.35">
      <c r="A230" s="585" t="s">
        <v>935</v>
      </c>
      <c r="B230" s="585">
        <v>162.51599999999999</v>
      </c>
    </row>
    <row r="231" spans="1:2" x14ac:dyDescent="0.35">
      <c r="A231" s="585" t="s">
        <v>936</v>
      </c>
      <c r="B231" s="585">
        <v>141.94300000000001</v>
      </c>
    </row>
    <row r="232" spans="1:2" x14ac:dyDescent="0.35">
      <c r="A232" s="585" t="s">
        <v>937</v>
      </c>
      <c r="B232" s="585">
        <v>124.678</v>
      </c>
    </row>
    <row r="233" spans="1:2" x14ac:dyDescent="0.35">
      <c r="A233" s="585" t="s">
        <v>938</v>
      </c>
      <c r="B233" s="585">
        <v>112.014</v>
      </c>
    </row>
    <row r="234" spans="1:2" x14ac:dyDescent="0.35">
      <c r="A234" s="585" t="s">
        <v>939</v>
      </c>
      <c r="B234" s="585">
        <v>102.4</v>
      </c>
    </row>
    <row r="235" spans="1:2" x14ac:dyDescent="0.35">
      <c r="A235" s="585" t="s">
        <v>940</v>
      </c>
      <c r="B235" s="585">
        <v>90.717399999999998</v>
      </c>
    </row>
    <row r="236" spans="1:2" x14ac:dyDescent="0.35">
      <c r="A236" s="585" t="s">
        <v>941</v>
      </c>
      <c r="B236" s="585">
        <v>84.049300000000002</v>
      </c>
    </row>
    <row r="237" spans="1:2" x14ac:dyDescent="0.35">
      <c r="A237" s="585" t="s">
        <v>942</v>
      </c>
      <c r="B237" s="585">
        <v>77.277799999999999</v>
      </c>
    </row>
    <row r="238" spans="1:2" x14ac:dyDescent="0.35">
      <c r="A238" s="585" t="s">
        <v>943</v>
      </c>
      <c r="B238" s="585">
        <v>70.816500000000005</v>
      </c>
    </row>
    <row r="239" spans="1:2" x14ac:dyDescent="0.35">
      <c r="A239" s="585" t="s">
        <v>944</v>
      </c>
      <c r="B239" s="585">
        <v>66.474400000000003</v>
      </c>
    </row>
    <row r="240" spans="1:2" x14ac:dyDescent="0.35">
      <c r="A240" s="585" t="s">
        <v>945</v>
      </c>
      <c r="B240" s="585">
        <v>46.521799999999999</v>
      </c>
    </row>
    <row r="241" spans="1:2" x14ac:dyDescent="0.35">
      <c r="A241" s="585" t="s">
        <v>946</v>
      </c>
      <c r="B241" s="585">
        <v>26.982600000000001</v>
      </c>
    </row>
    <row r="242" spans="1:2" x14ac:dyDescent="0.35">
      <c r="A242" s="585" t="s">
        <v>947</v>
      </c>
      <c r="B242" s="585">
        <v>8.0120799999999992</v>
      </c>
    </row>
    <row r="243" spans="1:2" x14ac:dyDescent="0.35">
      <c r="A243" s="585" t="s">
        <v>948</v>
      </c>
      <c r="B243" s="585">
        <v>8.0120799999999992</v>
      </c>
    </row>
    <row r="244" spans="1:2" x14ac:dyDescent="0.35">
      <c r="A244" s="585" t="s">
        <v>949</v>
      </c>
      <c r="B244" s="585">
        <v>8.0120799999999992</v>
      </c>
    </row>
    <row r="245" spans="1:2" x14ac:dyDescent="0.35">
      <c r="A245" s="585" t="s">
        <v>950</v>
      </c>
      <c r="B245" s="585">
        <v>18524.400000000001</v>
      </c>
    </row>
    <row r="246" spans="1:2" x14ac:dyDescent="0.35">
      <c r="A246" s="585" t="s">
        <v>951</v>
      </c>
      <c r="B246" s="585">
        <v>11026.6</v>
      </c>
    </row>
    <row r="247" spans="1:2" x14ac:dyDescent="0.35">
      <c r="A247" s="585" t="s">
        <v>952</v>
      </c>
      <c r="B247" s="585">
        <v>6839.4</v>
      </c>
    </row>
    <row r="248" spans="1:2" x14ac:dyDescent="0.35">
      <c r="A248" s="585" t="s">
        <v>953</v>
      </c>
      <c r="B248" s="585">
        <v>4559.3</v>
      </c>
    </row>
    <row r="249" spans="1:2" x14ac:dyDescent="0.35">
      <c r="A249" s="585" t="s">
        <v>954</v>
      </c>
      <c r="B249" s="585">
        <v>3015.6</v>
      </c>
    </row>
    <row r="250" spans="1:2" x14ac:dyDescent="0.35">
      <c r="A250" s="585" t="s">
        <v>955</v>
      </c>
      <c r="B250" s="585">
        <v>2016.1</v>
      </c>
    </row>
    <row r="251" spans="1:2" x14ac:dyDescent="0.35">
      <c r="A251" s="585" t="s">
        <v>956</v>
      </c>
      <c r="B251" s="585">
        <v>1413.6</v>
      </c>
    </row>
    <row r="252" spans="1:2" x14ac:dyDescent="0.35">
      <c r="A252" s="585" t="s">
        <v>957</v>
      </c>
      <c r="B252" s="585">
        <v>1005.6</v>
      </c>
    </row>
    <row r="253" spans="1:2" x14ac:dyDescent="0.35">
      <c r="A253" s="585" t="s">
        <v>958</v>
      </c>
      <c r="B253" s="585">
        <v>740</v>
      </c>
    </row>
    <row r="254" spans="1:2" x14ac:dyDescent="0.35">
      <c r="A254" s="585" t="s">
        <v>959</v>
      </c>
      <c r="B254" s="585">
        <v>577.1</v>
      </c>
    </row>
    <row r="255" spans="1:2" x14ac:dyDescent="0.35">
      <c r="A255" s="585" t="s">
        <v>960</v>
      </c>
      <c r="B255" s="585">
        <v>454.3</v>
      </c>
    </row>
    <row r="256" spans="1:2" x14ac:dyDescent="0.35">
      <c r="A256" s="585" t="s">
        <v>961</v>
      </c>
      <c r="B256" s="585">
        <v>370.8</v>
      </c>
    </row>
    <row r="257" spans="1:2" x14ac:dyDescent="0.35">
      <c r="A257" s="585" t="s">
        <v>962</v>
      </c>
      <c r="B257" s="585">
        <v>311.2</v>
      </c>
    </row>
    <row r="258" spans="1:2" x14ac:dyDescent="0.35">
      <c r="A258" s="585" t="s">
        <v>963</v>
      </c>
      <c r="B258" s="585">
        <v>270.2</v>
      </c>
    </row>
    <row r="259" spans="1:2" x14ac:dyDescent="0.35">
      <c r="A259" s="585" t="s">
        <v>964</v>
      </c>
      <c r="B259" s="585">
        <v>235.9</v>
      </c>
    </row>
    <row r="260" spans="1:2" x14ac:dyDescent="0.35">
      <c r="A260" s="585" t="s">
        <v>965</v>
      </c>
      <c r="B260" s="585">
        <v>207.3</v>
      </c>
    </row>
    <row r="261" spans="1:2" x14ac:dyDescent="0.35">
      <c r="A261" s="585" t="s">
        <v>966</v>
      </c>
      <c r="B261" s="585">
        <v>182.6</v>
      </c>
    </row>
    <row r="262" spans="1:2" x14ac:dyDescent="0.35">
      <c r="A262" s="585" t="s">
        <v>967</v>
      </c>
      <c r="B262" s="585">
        <v>160.19999999999999</v>
      </c>
    </row>
    <row r="263" spans="1:2" x14ac:dyDescent="0.35">
      <c r="A263" s="585" t="s">
        <v>968</v>
      </c>
      <c r="B263" s="585">
        <v>140.69999999999999</v>
      </c>
    </row>
    <row r="264" spans="1:2" x14ac:dyDescent="0.35">
      <c r="A264" s="585" t="s">
        <v>969</v>
      </c>
      <c r="B264" s="585">
        <v>124.1</v>
      </c>
    </row>
    <row r="265" spans="1:2" x14ac:dyDescent="0.35">
      <c r="A265" s="585" t="s">
        <v>970</v>
      </c>
      <c r="B265" s="585">
        <v>111.2</v>
      </c>
    </row>
    <row r="266" spans="1:2" x14ac:dyDescent="0.35">
      <c r="A266" s="585" t="s">
        <v>971</v>
      </c>
      <c r="B266" s="585">
        <v>101</v>
      </c>
    </row>
    <row r="267" spans="1:2" x14ac:dyDescent="0.35">
      <c r="A267" s="585" t="s">
        <v>972</v>
      </c>
      <c r="B267" s="585">
        <v>90.1</v>
      </c>
    </row>
    <row r="268" spans="1:2" x14ac:dyDescent="0.35">
      <c r="A268" s="585" t="s">
        <v>973</v>
      </c>
      <c r="B268" s="585">
        <v>82.5</v>
      </c>
    </row>
    <row r="269" spans="1:2" x14ac:dyDescent="0.35">
      <c r="A269" s="585" t="s">
        <v>974</v>
      </c>
      <c r="B269" s="585">
        <v>75.599999999999994</v>
      </c>
    </row>
    <row r="270" spans="1:2" x14ac:dyDescent="0.35">
      <c r="A270" s="585" t="s">
        <v>975</v>
      </c>
      <c r="B270" s="585">
        <v>69.7</v>
      </c>
    </row>
    <row r="271" spans="1:2" x14ac:dyDescent="0.35">
      <c r="A271" s="585" t="s">
        <v>976</v>
      </c>
      <c r="B271" s="585">
        <v>65.900000000000006</v>
      </c>
    </row>
    <row r="272" spans="1:2" x14ac:dyDescent="0.35">
      <c r="A272" s="585" t="s">
        <v>977</v>
      </c>
      <c r="B272" s="585">
        <v>45.6</v>
      </c>
    </row>
    <row r="273" spans="1:2" x14ac:dyDescent="0.35">
      <c r="A273" s="585" t="s">
        <v>978</v>
      </c>
      <c r="B273" s="585">
        <v>26.8</v>
      </c>
    </row>
    <row r="274" spans="1:2" x14ac:dyDescent="0.35">
      <c r="A274" s="585" t="s">
        <v>979</v>
      </c>
      <c r="B274" s="585">
        <v>8.1999999999999993</v>
      </c>
    </row>
    <row r="275" spans="1:2" x14ac:dyDescent="0.35">
      <c r="A275" s="585" t="s">
        <v>980</v>
      </c>
      <c r="B275" s="585">
        <v>8.1999999999999993</v>
      </c>
    </row>
    <row r="276" spans="1:2" x14ac:dyDescent="0.35">
      <c r="A276" s="585" t="s">
        <v>981</v>
      </c>
      <c r="B276" s="585">
        <v>8.1999999999999993</v>
      </c>
    </row>
    <row r="277" spans="1:2" x14ac:dyDescent="0.35">
      <c r="A277" s="585" t="s">
        <v>982</v>
      </c>
    </row>
    <row r="278" spans="1:2" x14ac:dyDescent="0.35">
      <c r="A278" s="585" t="s">
        <v>983</v>
      </c>
      <c r="B278" s="585">
        <v>43</v>
      </c>
    </row>
    <row r="279" spans="1:2" x14ac:dyDescent="0.35">
      <c r="A279" s="585" t="s">
        <v>984</v>
      </c>
      <c r="B279" s="585">
        <v>305</v>
      </c>
    </row>
    <row r="280" spans="1:2" x14ac:dyDescent="0.35">
      <c r="A280" s="585" t="s">
        <v>985</v>
      </c>
      <c r="B280" s="585">
        <v>13467</v>
      </c>
    </row>
    <row r="281" spans="1:2" x14ac:dyDescent="0.35">
      <c r="A281" s="585" t="s">
        <v>986</v>
      </c>
      <c r="B281" s="585">
        <v>31</v>
      </c>
    </row>
    <row r="282" spans="1:2" x14ac:dyDescent="0.35">
      <c r="A282" s="585" t="s">
        <v>987</v>
      </c>
    </row>
    <row r="283" spans="1:2" x14ac:dyDescent="0.35">
      <c r="A283" s="585" t="s">
        <v>988</v>
      </c>
      <c r="B283" s="585">
        <v>46160.6</v>
      </c>
    </row>
    <row r="284" spans="1:2" x14ac:dyDescent="0.35">
      <c r="A284" s="585" t="s">
        <v>989</v>
      </c>
      <c r="B284" s="585">
        <v>63010046</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63010046</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63010046</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918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63010046</v>
      </c>
      <c r="F119" s="335">
        <f t="shared" si="5"/>
        <v>4</v>
      </c>
      <c r="G119" s="377">
        <v>21</v>
      </c>
      <c r="H119" s="354">
        <f>'Auto-Calibration record'!$E$65</f>
        <v>1726</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2276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3900</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6230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17578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63010046</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63010046</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63010046</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176</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918</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1726</v>
      </c>
      <c r="H164" s="479"/>
    </row>
    <row r="165" spans="1:18" x14ac:dyDescent="0.35">
      <c r="A165" s="219" t="b">
        <v>0</v>
      </c>
      <c r="B165" s="203">
        <f t="shared" si="3"/>
        <v>167</v>
      </c>
      <c r="C165" s="228" t="s">
        <v>358</v>
      </c>
      <c r="D165" s="270"/>
      <c r="E165" s="204">
        <v>5</v>
      </c>
      <c r="F165" s="204">
        <v>25</v>
      </c>
      <c r="G165" s="478">
        <f>'Auto-Calibration record'!F65</f>
        <v>2276</v>
      </c>
      <c r="H165" s="479"/>
    </row>
    <row r="166" spans="1:18" x14ac:dyDescent="0.35">
      <c r="A166" s="219" t="b">
        <v>0</v>
      </c>
      <c r="B166" s="203">
        <f t="shared" si="3"/>
        <v>168</v>
      </c>
      <c r="C166" s="228" t="s">
        <v>359</v>
      </c>
      <c r="D166" s="273"/>
      <c r="E166" s="204">
        <v>6</v>
      </c>
      <c r="F166" s="204">
        <v>38</v>
      </c>
      <c r="G166" s="478">
        <f>'Auto-Calibration record'!G65</f>
        <v>3900</v>
      </c>
      <c r="H166" s="479"/>
    </row>
    <row r="167" spans="1:18" x14ac:dyDescent="0.35">
      <c r="A167" s="219" t="b">
        <v>0</v>
      </c>
      <c r="B167" s="203">
        <f t="shared" si="3"/>
        <v>169</v>
      </c>
      <c r="C167" s="279" t="s">
        <v>360</v>
      </c>
      <c r="D167" s="273"/>
      <c r="E167" s="204">
        <v>7</v>
      </c>
      <c r="F167" s="204">
        <v>50</v>
      </c>
      <c r="G167" s="478">
        <f>'Auto-Calibration record'!H65</f>
        <v>6230</v>
      </c>
      <c r="H167" s="479"/>
    </row>
    <row r="168" spans="1:18" x14ac:dyDescent="0.35">
      <c r="A168" s="219" t="b">
        <v>0</v>
      </c>
      <c r="B168" s="203">
        <f t="shared" si="3"/>
        <v>170</v>
      </c>
      <c r="C168" s="228" t="s">
        <v>361</v>
      </c>
      <c r="D168" s="273"/>
      <c r="E168" s="204">
        <v>8</v>
      </c>
      <c r="F168" s="204">
        <v>70</v>
      </c>
      <c r="G168" s="478">
        <f>'Auto-Calibration record'!I65</f>
        <v>17578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63010046</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63010046</v>
      </c>
      <c r="K30" s="166">
        <f>AUTO!B5</f>
        <v>1072</v>
      </c>
      <c r="L30" s="166">
        <f>AUTO!B6</f>
        <v>0</v>
      </c>
      <c r="M30" s="310" t="str">
        <f>AUTO!B7</f>
        <v>LPA3 NAVAIR #63010046 CALIBRATE</v>
      </c>
      <c r="N30" s="309">
        <f>AUTO!B8</f>
        <v>78</v>
      </c>
      <c r="O30" s="309">
        <f>AUTO!B9</f>
        <v>176</v>
      </c>
      <c r="P30" s="309">
        <f>AUTO!B10</f>
        <v>918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opLeftCell="A10" zoomScale="70" zoomScaleNormal="70" zoomScaleSheetLayoutView="100" workbookViewId="0">
      <selection activeCell="B30" sqref="B3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43</v>
      </c>
      <c r="C7" s="391" t="s">
        <v>519</v>
      </c>
      <c r="D7" s="392" t="s">
        <v>520</v>
      </c>
      <c r="E7" s="391"/>
      <c r="F7" s="183"/>
      <c r="G7" s="183"/>
      <c r="H7" s="183"/>
      <c r="I7" s="183"/>
      <c r="J7" s="183"/>
      <c r="K7" s="183"/>
      <c r="L7" s="183"/>
      <c r="M7" s="183"/>
    </row>
    <row r="8" spans="2:13" x14ac:dyDescent="0.35">
      <c r="B8" s="390">
        <f>VLOOKUP("pump_current_emptying",AUTO!$A$1:$B$1051,2,FALSE)</f>
        <v>305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31</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13467</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63010046</v>
      </c>
      <c r="I15" s="514"/>
      <c r="J15" s="515"/>
      <c r="K15" s="183"/>
      <c r="L15" s="183"/>
      <c r="M15" s="183"/>
    </row>
    <row r="16" spans="2:13" ht="13.15" x14ac:dyDescent="0.35">
      <c r="B16" s="182"/>
      <c r="C16" s="174"/>
      <c r="D16" s="398"/>
      <c r="E16" s="399"/>
      <c r="F16" s="183"/>
      <c r="G16" s="181" t="s">
        <v>236</v>
      </c>
      <c r="H16" s="510">
        <f>VLOOKUP("date_",AUTO!$A$1:$B$1051,2,FALSE)</f>
        <v>46160.6</v>
      </c>
      <c r="I16" s="511"/>
      <c r="J16" s="512"/>
      <c r="K16" s="183"/>
      <c r="L16" s="183"/>
      <c r="M16" s="183"/>
    </row>
    <row r="17" spans="2:10" ht="13.15" x14ac:dyDescent="0.35">
      <c r="B17" s="390"/>
      <c r="C17" s="402"/>
      <c r="D17" s="180"/>
      <c r="E17" s="403"/>
      <c r="F17" s="183"/>
      <c r="G17" s="181" t="s">
        <v>534</v>
      </c>
      <c r="H17" s="513" t="str">
        <f>H15&amp;" "&amp;TEXT(H16,"ddmmyy")</f>
        <v>63010046 180526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704</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78</v>
      </c>
      <c r="C65" s="196">
        <f>VLOOKUP("threshold1",AUTO!$A$1:$B$1051,2,FALSE)</f>
        <v>176</v>
      </c>
      <c r="D65" s="196">
        <f>VLOOKUP("threshold2",AUTO!$A$1:$B$1051,2,FALSE)</f>
        <v>918</v>
      </c>
      <c r="E65" s="196">
        <f>VLOOKUP("threshold3",AUTO!$A$1:$B$1051,2,FALSE)</f>
        <v>1726</v>
      </c>
      <c r="F65" s="196">
        <f>VLOOKUP("threshold4",AUTO!$A$1:$B$1051,2,FALSE)</f>
        <v>2276</v>
      </c>
      <c r="G65" s="196">
        <f>VLOOKUP("threshold5",AUTO!$A$1:$B$1051,2,FALSE)</f>
        <v>3900</v>
      </c>
      <c r="H65" s="196">
        <f>VLOOKUP("threshold6",AUTO!$A$1:$B$1051,2,FALSE)</f>
        <v>6230</v>
      </c>
      <c r="I65" s="196">
        <f>VLOOKUP("threshold7",AUTO!$A$1:$B$1051,2,FALSE)</f>
        <v>17578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1852440</v>
      </c>
      <c r="C68" s="390">
        <f>VLOOKUP("verification_count_1_0",AUTO!$A$1:$B$1051,2,FALSE)</f>
        <v>1848367</v>
      </c>
      <c r="D68" s="156">
        <f>(C68-B68)/B68</f>
        <v>-2.1987216859925287E-3</v>
      </c>
      <c r="E68" s="390">
        <f>VLOOKUP("verification_count_2_0",AUTO!$A$1:$B$1051,2,FALSE)</f>
        <v>1846056</v>
      </c>
      <c r="F68" s="156">
        <f>(E68-B68)/B68</f>
        <v>-3.4462654660879703E-3</v>
      </c>
      <c r="G68" s="390">
        <f>VLOOKUP("verification_count_3_0",AUTO!$A$1:$B$1051,2,FALSE)</f>
        <v>1851783</v>
      </c>
      <c r="H68" s="156">
        <f>(G68-B68)/B68</f>
        <v>-3.5466735764721124E-4</v>
      </c>
      <c r="I68" s="329">
        <f>(C68+E68+G68)/3</f>
        <v>1848735.3333333333</v>
      </c>
      <c r="J68" s="156">
        <f>(I68-$B68)/$B68</f>
        <v>-1.9998848365759452E-3</v>
      </c>
    </row>
    <row r="69" spans="1:10" ht="18" customHeight="1" x14ac:dyDescent="0.35">
      <c r="A69" s="139">
        <v>6</v>
      </c>
      <c r="B69" s="163">
        <f>VLOOKUP("reference_count_1",AUTO!$A$1:$B$1051,2,FALSE)</f>
        <v>683940</v>
      </c>
      <c r="C69" s="390">
        <f>VLOOKUP("verification_count_1_1",AUTO!$A$1:$B$1051,2,FALSE)</f>
        <v>699160</v>
      </c>
      <c r="D69" s="156">
        <f t="shared" ref="D69:D76" si="0">(C69-B69)/B69</f>
        <v>2.2253414042167442E-2</v>
      </c>
      <c r="E69" s="390">
        <f>VLOOKUP("verification_count_2_1",AUTO!$A$1:$B$1051,2,FALSE)</f>
        <v>695810</v>
      </c>
      <c r="F69" s="156">
        <f t="shared" ref="F69:F76" si="1">(E69-B69)/B69</f>
        <v>1.7355323566394711E-2</v>
      </c>
      <c r="G69" s="390">
        <f>VLOOKUP("verification_count_3_1",AUTO!$A$1:$B$1051,2,FALSE)</f>
        <v>700586</v>
      </c>
      <c r="H69" s="156">
        <f t="shared" ref="H69:H76" si="2">(G69-B69)/B69</f>
        <v>2.43383922566307E-2</v>
      </c>
      <c r="I69" s="329">
        <f t="shared" ref="I69:I76" si="3">(C69+E69+G69)/3</f>
        <v>698518.66666666663</v>
      </c>
      <c r="J69" s="156">
        <f t="shared" ref="J69:J76" si="4">(I69-$B69)/$B69</f>
        <v>2.1315709955064228E-2</v>
      </c>
    </row>
    <row r="70" spans="1:10" ht="18" customHeight="1" x14ac:dyDescent="0.35">
      <c r="A70" s="139">
        <v>10</v>
      </c>
      <c r="B70" s="163">
        <f>VLOOKUP("reference_count32_6",AUTO!$A$1:$B$1051,2,FALSE)*100</f>
        <v>141360</v>
      </c>
      <c r="C70" s="430">
        <f>VLOOKUP("verification_count32_1_6",AUTO!$A$1:$B$1051,2,FALSE)*100</f>
        <v>144217</v>
      </c>
      <c r="D70" s="156">
        <f t="shared" si="0"/>
        <v>2.0210809281267686E-2</v>
      </c>
      <c r="E70" s="430">
        <f>VLOOKUP("verification_count32_2_6",AUTO!$A$1:$B$1051,2,FALSE)*100</f>
        <v>143862</v>
      </c>
      <c r="F70" s="156">
        <f t="shared" si="1"/>
        <v>1.769949066213922E-2</v>
      </c>
      <c r="G70" s="430">
        <f>VLOOKUP("verification_count32_3_6",AUTO!$A$1:$B$1051,2,FALSE)*100</f>
        <v>144667</v>
      </c>
      <c r="H70" s="156">
        <f t="shared" si="2"/>
        <v>2.3394170911148839E-2</v>
      </c>
      <c r="I70" s="329">
        <f t="shared" si="3"/>
        <v>144248.66666666666</v>
      </c>
      <c r="J70" s="156">
        <f t="shared" si="4"/>
        <v>2.0434823618185178E-2</v>
      </c>
    </row>
    <row r="71" spans="1:10" ht="18" customHeight="1" x14ac:dyDescent="0.35">
      <c r="A71" s="139">
        <v>14</v>
      </c>
      <c r="B71" s="163">
        <f>VLOOKUP("reference_count_2",AUTO!$A$1:$B$1051,2,FALSE)</f>
        <v>45430</v>
      </c>
      <c r="C71" s="390">
        <f>VLOOKUP("verification_count_1_2",AUTO!$A$1:$B$1051,2,FALSE)</f>
        <v>46163</v>
      </c>
      <c r="D71" s="156">
        <f t="shared" si="0"/>
        <v>1.6134712744882235E-2</v>
      </c>
      <c r="E71" s="390">
        <f>VLOOKUP("verification_count_2_2",AUTO!$A$1:$B$1051,2,FALSE)</f>
        <v>45756</v>
      </c>
      <c r="F71" s="156">
        <f t="shared" si="1"/>
        <v>7.1758749724851424E-3</v>
      </c>
      <c r="G71" s="390">
        <f>VLOOKUP("verification_count_3_2",AUTO!$A$1:$B$1051,2,FALSE)</f>
        <v>46764</v>
      </c>
      <c r="H71" s="156">
        <f t="shared" si="2"/>
        <v>2.9363856482500551E-2</v>
      </c>
      <c r="I71" s="329">
        <f t="shared" si="3"/>
        <v>46227.666666666664</v>
      </c>
      <c r="J71" s="156">
        <f t="shared" si="4"/>
        <v>1.7558148066622589E-2</v>
      </c>
    </row>
    <row r="72" spans="1:10" ht="18" customHeight="1" x14ac:dyDescent="0.35">
      <c r="A72" s="139">
        <v>21</v>
      </c>
      <c r="B72" s="163">
        <f>VLOOKUP("reference_count_3",AUTO!$A$1:$B$1051,2,FALSE)</f>
        <v>16020</v>
      </c>
      <c r="C72" s="390">
        <f>VLOOKUP("verification_count_1_3",AUTO!$A$1:$B$1051,2,FALSE)</f>
        <v>16102</v>
      </c>
      <c r="D72" s="156">
        <f t="shared" si="0"/>
        <v>5.1186017478152311E-3</v>
      </c>
      <c r="E72" s="390">
        <f>VLOOKUP("verification_count_2_3",AUTO!$A$1:$B$1051,2,FALSE)</f>
        <v>16076</v>
      </c>
      <c r="F72" s="156">
        <f t="shared" si="1"/>
        <v>3.495630461922597E-3</v>
      </c>
      <c r="G72" s="390">
        <f>VLOOKUP("verification_count_3_3",AUTO!$A$1:$B$1051,2,FALSE)</f>
        <v>16251</v>
      </c>
      <c r="H72" s="156">
        <f t="shared" si="2"/>
        <v>1.4419475655430711E-2</v>
      </c>
      <c r="I72" s="329">
        <f t="shared" si="3"/>
        <v>16143</v>
      </c>
      <c r="J72" s="156">
        <f t="shared" si="4"/>
        <v>7.6779026217228463E-3</v>
      </c>
    </row>
    <row r="73" spans="1:10" ht="18" customHeight="1" x14ac:dyDescent="0.35">
      <c r="A73" s="139">
        <v>25</v>
      </c>
      <c r="B73" s="163">
        <f>VLOOKUP("reference_count_4",AUTO!$A$1:$B$1051,2,FALSE)</f>
        <v>10100</v>
      </c>
      <c r="C73" s="390">
        <f>VLOOKUP("verification_count_1_4",AUTO!$A$1:$B$1051,2,FALSE)</f>
        <v>10416</v>
      </c>
      <c r="D73" s="156">
        <f t="shared" si="0"/>
        <v>3.1287128712871287E-2</v>
      </c>
      <c r="E73" s="390">
        <f>VLOOKUP("verification_count_2_4",AUTO!$A$1:$B$1051,2,FALSE)</f>
        <v>10134</v>
      </c>
      <c r="F73" s="156">
        <f t="shared" si="1"/>
        <v>3.3663366336633663E-3</v>
      </c>
      <c r="G73" s="390">
        <f>VLOOKUP("verification_count_3_4",AUTO!$A$1:$B$1051,2,FALSE)</f>
        <v>10239</v>
      </c>
      <c r="H73" s="156">
        <f t="shared" si="2"/>
        <v>1.3762376237623762E-2</v>
      </c>
      <c r="I73" s="329">
        <f t="shared" si="3"/>
        <v>10263</v>
      </c>
      <c r="J73" s="156">
        <f t="shared" si="4"/>
        <v>1.6138613861386139E-2</v>
      </c>
    </row>
    <row r="74" spans="1:10" ht="18" customHeight="1" x14ac:dyDescent="0.35">
      <c r="A74" s="139">
        <v>38</v>
      </c>
      <c r="B74" s="163">
        <f>VLOOKUP("reference_count_5",AUTO!$A$1:$B$1051,2,FALSE)</f>
        <v>4560</v>
      </c>
      <c r="C74" s="390">
        <f>VLOOKUP("verification_count_1_5",AUTO!$A$1:$B$1051,2,FALSE)</f>
        <v>4611</v>
      </c>
      <c r="D74" s="156">
        <f t="shared" si="0"/>
        <v>1.118421052631579E-2</v>
      </c>
      <c r="E74" s="390">
        <f>VLOOKUP("verification_count_2_5",AUTO!$A$1:$B$1051,2,FALSE)</f>
        <v>4527</v>
      </c>
      <c r="F74" s="156">
        <f t="shared" si="1"/>
        <v>-7.2368421052631578E-3</v>
      </c>
      <c r="G74" s="390">
        <f>VLOOKUP("verification_count_3_5",AUTO!$A$1:$B$1051,2,FALSE)</f>
        <v>4652</v>
      </c>
      <c r="H74" s="156">
        <f t="shared" si="2"/>
        <v>2.0175438596491228E-2</v>
      </c>
      <c r="I74" s="329">
        <f t="shared" si="3"/>
        <v>4596.666666666667</v>
      </c>
      <c r="J74" s="156">
        <f t="shared" si="4"/>
        <v>8.0409356725146871E-3</v>
      </c>
    </row>
    <row r="75" spans="1:10" ht="18" customHeight="1" x14ac:dyDescent="0.35">
      <c r="A75" s="139">
        <v>50</v>
      </c>
      <c r="B75" s="163">
        <f>VLOOKUP("reference_count_6",AUTO!$A$1:$B$1051,2,FALSE)</f>
        <v>2680</v>
      </c>
      <c r="C75" s="390">
        <f>VLOOKUP("verification_count_1_6",AUTO!$A$1:$B$1051,2,FALSE)</f>
        <v>2548</v>
      </c>
      <c r="D75" s="156">
        <f t="shared" si="0"/>
        <v>-4.9253731343283584E-2</v>
      </c>
      <c r="E75" s="390">
        <f>VLOOKUP("verification_count_2_6",AUTO!$A$1:$B$1051,2,FALSE)</f>
        <v>2581</v>
      </c>
      <c r="F75" s="156">
        <f t="shared" si="1"/>
        <v>-3.6940298507462686E-2</v>
      </c>
      <c r="G75" s="390">
        <f>VLOOKUP("verification_count_3_6",AUTO!$A$1:$B$1051,2,FALSE)</f>
        <v>2698</v>
      </c>
      <c r="H75" s="156">
        <f t="shared" si="2"/>
        <v>6.7164179104477612E-3</v>
      </c>
      <c r="I75" s="329">
        <f t="shared" si="3"/>
        <v>2609</v>
      </c>
      <c r="J75" s="156">
        <f t="shared" si="4"/>
        <v>-2.6492537313432835E-2</v>
      </c>
    </row>
    <row r="76" spans="1:10" ht="18" customHeight="1" x14ac:dyDescent="0.35">
      <c r="A76" s="139">
        <v>70</v>
      </c>
      <c r="B76" s="163">
        <f>VLOOKUP("reference_count_7",AUTO!$A$1:$B$1051,2,FALSE)</f>
        <v>820</v>
      </c>
      <c r="C76" s="390">
        <f>VLOOKUP("verification_count_1_7",AUTO!$A$1:$B$1051,2,FALSE)</f>
        <v>708</v>
      </c>
      <c r="D76" s="156">
        <f t="shared" si="0"/>
        <v>-0.13658536585365855</v>
      </c>
      <c r="E76" s="390">
        <f>VLOOKUP("verification_count_2_7",AUTO!$A$1:$B$1051,2,FALSE)</f>
        <v>733</v>
      </c>
      <c r="F76" s="156">
        <f t="shared" si="1"/>
        <v>-0.10609756097560975</v>
      </c>
      <c r="G76" s="390">
        <f>VLOOKUP("verification_count_3_7",AUTO!$A$1:$B$1051,2,FALSE)</f>
        <v>801</v>
      </c>
      <c r="H76" s="156">
        <f t="shared" si="2"/>
        <v>-2.3170731707317073E-2</v>
      </c>
      <c r="I76" s="329">
        <f t="shared" si="3"/>
        <v>747.33333333333337</v>
      </c>
      <c r="J76" s="156">
        <f t="shared" si="4"/>
        <v>-8.8617886178861738E-2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63010046</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24"/>
      <c r="J28" s="159">
        <f>'Auto-Calibration record'!I68</f>
        <v>1848735.3333333333</v>
      </c>
      <c r="K28" s="159">
        <f t="shared" ref="K28:K33" si="0">J28-H28</f>
        <v>-3704.6666666667443</v>
      </c>
      <c r="L28" s="379">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24"/>
      <c r="J29" s="159">
        <f>'Auto-Calibration record'!I69</f>
        <v>698518.66666666663</v>
      </c>
      <c r="K29" s="159">
        <f t="shared" si="0"/>
        <v>14578.666666666628</v>
      </c>
      <c r="L29" s="379">
        <f t="shared" si="1"/>
        <v>2.1315709955064228E-2</v>
      </c>
    </row>
    <row r="30" spans="2:15" s="108" customFormat="1" ht="25.9" customHeight="1" x14ac:dyDescent="0.35">
      <c r="D30" s="541" t="s">
        <v>592</v>
      </c>
      <c r="E30" s="541"/>
      <c r="F30" s="529">
        <f>'Auto-Calibration record'!D65</f>
        <v>918</v>
      </c>
      <c r="G30" s="529"/>
      <c r="H30" s="524">
        <f>'Auto-Calibration record'!B71</f>
        <v>45430</v>
      </c>
      <c r="I30" s="524"/>
      <c r="J30" s="159">
        <f>'Auto-Calibration record'!I71</f>
        <v>46227.666666666664</v>
      </c>
      <c r="K30" s="159">
        <f t="shared" si="0"/>
        <v>797.66666666666424</v>
      </c>
      <c r="L30" s="379">
        <f t="shared" si="1"/>
        <v>1.7558148066622589E-2</v>
      </c>
    </row>
    <row r="31" spans="2:15" s="108" customFormat="1" ht="25.9" customHeight="1" x14ac:dyDescent="0.35">
      <c r="D31" s="541" t="s">
        <v>593</v>
      </c>
      <c r="E31" s="541"/>
      <c r="F31" s="529">
        <f>'Auto-Calibration record'!E65</f>
        <v>1726</v>
      </c>
      <c r="G31" s="529"/>
      <c r="H31" s="524">
        <f>'Auto-Calibration record'!B72</f>
        <v>16020</v>
      </c>
      <c r="I31" s="524"/>
      <c r="J31" s="159">
        <f>'Auto-Calibration record'!I72</f>
        <v>16143</v>
      </c>
      <c r="K31" s="159">
        <f t="shared" si="0"/>
        <v>123</v>
      </c>
      <c r="L31" s="379">
        <f t="shared" si="1"/>
        <v>7.6779026217228463E-3</v>
      </c>
    </row>
    <row r="32" spans="2:15" s="108" customFormat="1" ht="25.9" customHeight="1" x14ac:dyDescent="0.35">
      <c r="D32" s="541" t="s">
        <v>594</v>
      </c>
      <c r="E32" s="541"/>
      <c r="F32" s="529">
        <f>'Auto-Calibration record'!F65</f>
        <v>2276</v>
      </c>
      <c r="G32" s="529"/>
      <c r="H32" s="524">
        <f>'Auto-Calibration record'!B73</f>
        <v>10100</v>
      </c>
      <c r="I32" s="524"/>
      <c r="J32" s="159">
        <f>'Auto-Calibration record'!I73</f>
        <v>10263</v>
      </c>
      <c r="K32" s="159">
        <f t="shared" si="0"/>
        <v>163</v>
      </c>
      <c r="L32" s="379">
        <f t="shared" si="1"/>
        <v>1.6138613861386139E-2</v>
      </c>
    </row>
    <row r="33" spans="2:12" s="108" customFormat="1" ht="25.9" customHeight="1" x14ac:dyDescent="0.35">
      <c r="D33" s="541" t="s">
        <v>595</v>
      </c>
      <c r="E33" s="541"/>
      <c r="F33" s="529">
        <f>'Auto-Calibration record'!G65</f>
        <v>3900</v>
      </c>
      <c r="G33" s="529"/>
      <c r="H33" s="524">
        <f>'Auto-Calibration record'!B74</f>
        <v>4560</v>
      </c>
      <c r="I33" s="524"/>
      <c r="J33" s="159">
        <f>'Auto-Calibration record'!I74</f>
        <v>4596.666666666667</v>
      </c>
      <c r="K33" s="159">
        <f t="shared" si="0"/>
        <v>36.66666666666697</v>
      </c>
      <c r="L33" s="379">
        <f t="shared" si="1"/>
        <v>8.0409356725146871E-3</v>
      </c>
    </row>
    <row r="34" spans="2:12" s="108" customFormat="1" ht="25.9" customHeight="1" x14ac:dyDescent="0.35">
      <c r="D34" s="541" t="s">
        <v>596</v>
      </c>
      <c r="E34" s="541"/>
      <c r="F34" s="529">
        <f>'Auto-Calibration record'!H65</f>
        <v>6230</v>
      </c>
      <c r="G34" s="529"/>
      <c r="H34" s="524">
        <f>'Auto-Calibration record'!B75</f>
        <v>2680</v>
      </c>
      <c r="I34" s="524"/>
      <c r="J34" s="159">
        <f>'Auto-Calibration record'!I75</f>
        <v>2609</v>
      </c>
      <c r="K34" s="159" t="s">
        <v>23</v>
      </c>
      <c r="L34" s="112" t="s">
        <v>23</v>
      </c>
    </row>
    <row r="35" spans="2:12" s="102" customFormat="1" ht="25.9" customHeight="1" x14ac:dyDescent="0.45">
      <c r="D35" s="541" t="s">
        <v>597</v>
      </c>
      <c r="E35" s="541"/>
      <c r="F35" s="537">
        <f>'Auto-Calibration record'!I65</f>
        <v>17578</v>
      </c>
      <c r="G35" s="537"/>
      <c r="H35" s="524">
        <f>'Auto-Calibration record'!B76</f>
        <v>820</v>
      </c>
      <c r="I35" s="524"/>
      <c r="J35" s="380">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31</v>
      </c>
      <c r="E40" s="524">
        <f>F28-D40</f>
        <v>47</v>
      </c>
      <c r="F40" s="524"/>
      <c r="G40" s="533">
        <f>F28/D40</f>
        <v>2.5161290322580645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062810046</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062810046</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46160.6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062810046</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31</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78</v>
      </c>
      <c r="D57" s="565">
        <f>'Auto-Calibration record'!B68</f>
        <v>1852440</v>
      </c>
      <c r="E57" s="566"/>
      <c r="F57" s="160">
        <f>'Auto-Calibration record'!I68</f>
        <v>1848735.3333333333</v>
      </c>
      <c r="G57" s="145">
        <f t="shared" ref="G57:G62" si="0">F57-D57</f>
        <v>-3704.6666666667443</v>
      </c>
      <c r="H57" s="147">
        <f t="shared" ref="H57:H62" si="1">G57/D57</f>
        <v>-1.9998848365759452E-3</v>
      </c>
      <c r="I57" s="81"/>
    </row>
    <row r="58" spans="1:10" s="59" customFormat="1" x14ac:dyDescent="0.35">
      <c r="A58" s="2"/>
      <c r="B58" s="146">
        <v>6</v>
      </c>
      <c r="C58" s="145">
        <f>'Auto-Calibration record'!C65</f>
        <v>176</v>
      </c>
      <c r="D58" s="565">
        <f>'Auto-Calibration record'!B69</f>
        <v>683940</v>
      </c>
      <c r="E58" s="566"/>
      <c r="F58" s="160">
        <f>'Auto-Calibration record'!I69</f>
        <v>698518.66666666663</v>
      </c>
      <c r="G58" s="145">
        <f t="shared" si="0"/>
        <v>14578.666666666628</v>
      </c>
      <c r="H58" s="147">
        <f t="shared" si="1"/>
        <v>2.1315709955064228E-2</v>
      </c>
      <c r="I58" s="81"/>
    </row>
    <row r="59" spans="1:10" x14ac:dyDescent="0.35">
      <c r="B59" s="146">
        <v>14</v>
      </c>
      <c r="C59" s="145">
        <f>'Auto-Calibration record'!D65</f>
        <v>918</v>
      </c>
      <c r="D59" s="565">
        <f>'Auto-Calibration record'!B71</f>
        <v>45430</v>
      </c>
      <c r="E59" s="566"/>
      <c r="F59" s="160">
        <f>'Auto-Calibration record'!I71</f>
        <v>46227.666666666664</v>
      </c>
      <c r="G59" s="145">
        <f t="shared" si="0"/>
        <v>797.66666666666424</v>
      </c>
      <c r="H59" s="147">
        <f t="shared" si="1"/>
        <v>1.7558148066622589E-2</v>
      </c>
      <c r="I59" s="81"/>
    </row>
    <row r="60" spans="1:10" x14ac:dyDescent="0.35">
      <c r="A60" s="59"/>
      <c r="B60" s="146">
        <v>21</v>
      </c>
      <c r="C60" s="145">
        <f>'Auto-Calibration record'!E65</f>
        <v>1726</v>
      </c>
      <c r="D60" s="565">
        <f>'Auto-Calibration record'!B72</f>
        <v>16020</v>
      </c>
      <c r="E60" s="566"/>
      <c r="F60" s="160">
        <f>'Auto-Calibration record'!I72</f>
        <v>16143</v>
      </c>
      <c r="G60" s="145">
        <f t="shared" si="0"/>
        <v>123</v>
      </c>
      <c r="H60" s="147">
        <f t="shared" si="1"/>
        <v>7.6779026217228463E-3</v>
      </c>
      <c r="I60" s="81"/>
    </row>
    <row r="61" spans="1:10" x14ac:dyDescent="0.35">
      <c r="B61" s="146">
        <v>25</v>
      </c>
      <c r="C61" s="145">
        <f>'Auto-Calibration record'!F65</f>
        <v>2276</v>
      </c>
      <c r="D61" s="565">
        <f>'Auto-Calibration record'!B73</f>
        <v>10100</v>
      </c>
      <c r="E61" s="566"/>
      <c r="F61" s="160">
        <f>'Auto-Calibration record'!I73</f>
        <v>10263</v>
      </c>
      <c r="G61" s="145">
        <f t="shared" si="0"/>
        <v>163</v>
      </c>
      <c r="H61" s="147">
        <f t="shared" si="1"/>
        <v>1.6138613861386139E-2</v>
      </c>
      <c r="I61" s="81"/>
    </row>
    <row r="62" spans="1:10" x14ac:dyDescent="0.35">
      <c r="A62" s="2"/>
      <c r="B62" s="146">
        <v>38</v>
      </c>
      <c r="C62" s="145">
        <f>'Auto-Calibration record'!G65</f>
        <v>3900</v>
      </c>
      <c r="D62" s="565">
        <f>'Auto-Calibration record'!B74</f>
        <v>4560</v>
      </c>
      <c r="E62" s="566"/>
      <c r="F62" s="160">
        <f>'Auto-Calibration record'!I74</f>
        <v>4596.666666666667</v>
      </c>
      <c r="G62" s="145">
        <f t="shared" si="0"/>
        <v>36.66666666666697</v>
      </c>
      <c r="H62" s="147">
        <f t="shared" si="1"/>
        <v>8.0409356725146871E-3</v>
      </c>
      <c r="I62" s="81"/>
    </row>
    <row r="63" spans="1:10" x14ac:dyDescent="0.35">
      <c r="B63" s="146" t="s">
        <v>661</v>
      </c>
      <c r="C63" s="145">
        <f>'Auto-Calibration record'!H65</f>
        <v>6230</v>
      </c>
      <c r="D63" s="565">
        <f>'Auto-Calibration record'!B75</f>
        <v>2680</v>
      </c>
      <c r="E63" s="566"/>
      <c r="F63" s="160">
        <f>'Auto-Calibration record'!I75</f>
        <v>2609</v>
      </c>
      <c r="G63" s="423" t="s">
        <v>23</v>
      </c>
      <c r="H63" s="424" t="s">
        <v>23</v>
      </c>
      <c r="I63" s="81"/>
    </row>
    <row r="64" spans="1:10" ht="13.15" thickBot="1" x14ac:dyDescent="0.4">
      <c r="A64" s="59"/>
      <c r="B64" s="148" t="s">
        <v>662</v>
      </c>
      <c r="C64" s="149">
        <f>'Auto-Calibration record'!I65</f>
        <v>17578</v>
      </c>
      <c r="D64" s="565">
        <f>'Auto-Calibration record'!B76</f>
        <v>820</v>
      </c>
      <c r="E64" s="566"/>
      <c r="F64" s="161">
        <f>'Auto-Calibration record'!I76</f>
        <v>747.33333333333337</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46160.6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78</v>
      </c>
      <c r="G34" s="529"/>
      <c r="H34" s="524">
        <f>'Auto-Calibration record'!B68</f>
        <v>1852440</v>
      </c>
      <c r="I34" s="570"/>
      <c r="J34" s="158">
        <f>'Auto-Calibration record'!I68</f>
        <v>1848735.3333333333</v>
      </c>
      <c r="K34" s="159">
        <f t="shared" ref="K34:K39" si="0">J34-H34</f>
        <v>-3704.6666666667443</v>
      </c>
      <c r="L34" s="111">
        <f t="shared" ref="L34:L39" si="1">K34/H34</f>
        <v>-1.9998848365759452E-3</v>
      </c>
    </row>
    <row r="35" spans="2:12" s="108" customFormat="1" ht="25.9" customHeight="1" x14ac:dyDescent="0.35">
      <c r="D35" s="541" t="s">
        <v>591</v>
      </c>
      <c r="E35" s="541"/>
      <c r="F35" s="529">
        <f>'Auto-Calibration record'!C65</f>
        <v>176</v>
      </c>
      <c r="G35" s="529"/>
      <c r="H35" s="524">
        <f>'Auto-Calibration record'!B69</f>
        <v>683940</v>
      </c>
      <c r="I35" s="570"/>
      <c r="J35" s="158">
        <f>'Auto-Calibration record'!I69</f>
        <v>698518.66666666663</v>
      </c>
      <c r="K35" s="159">
        <f t="shared" si="0"/>
        <v>14578.666666666628</v>
      </c>
      <c r="L35" s="111">
        <f t="shared" si="1"/>
        <v>2.1315709955064228E-2</v>
      </c>
    </row>
    <row r="36" spans="2:12" s="108" customFormat="1" ht="25.9" customHeight="1" x14ac:dyDescent="0.35">
      <c r="D36" s="541" t="s">
        <v>592</v>
      </c>
      <c r="E36" s="541"/>
      <c r="F36" s="529">
        <f>'Auto-Calibration record'!D65</f>
        <v>918</v>
      </c>
      <c r="G36" s="529"/>
      <c r="H36" s="524">
        <f>'Auto-Calibration record'!B71</f>
        <v>45430</v>
      </c>
      <c r="I36" s="570"/>
      <c r="J36" s="158">
        <f>'Auto-Calibration record'!I71</f>
        <v>46227.666666666664</v>
      </c>
      <c r="K36" s="159">
        <f t="shared" si="0"/>
        <v>797.66666666666424</v>
      </c>
      <c r="L36" s="111">
        <f t="shared" si="1"/>
        <v>1.7558148066622589E-2</v>
      </c>
    </row>
    <row r="37" spans="2:12" s="108" customFormat="1" ht="25.9" customHeight="1" x14ac:dyDescent="0.35">
      <c r="D37" s="541" t="s">
        <v>593</v>
      </c>
      <c r="E37" s="541"/>
      <c r="F37" s="529">
        <f>'Auto-Calibration record'!E65</f>
        <v>1726</v>
      </c>
      <c r="G37" s="529"/>
      <c r="H37" s="524">
        <f>'Auto-Calibration record'!B72</f>
        <v>16020</v>
      </c>
      <c r="I37" s="570"/>
      <c r="J37" s="158">
        <f>'Auto-Calibration record'!I72</f>
        <v>16143</v>
      </c>
      <c r="K37" s="159">
        <f t="shared" si="0"/>
        <v>123</v>
      </c>
      <c r="L37" s="111">
        <f t="shared" si="1"/>
        <v>7.6779026217228463E-3</v>
      </c>
    </row>
    <row r="38" spans="2:12" s="108" customFormat="1" ht="25.9" customHeight="1" x14ac:dyDescent="0.35">
      <c r="D38" s="541" t="s">
        <v>594</v>
      </c>
      <c r="E38" s="541"/>
      <c r="F38" s="529">
        <f>'Auto-Calibration record'!F65</f>
        <v>2276</v>
      </c>
      <c r="G38" s="529"/>
      <c r="H38" s="524">
        <f>'Auto-Calibration record'!B73</f>
        <v>10100</v>
      </c>
      <c r="I38" s="570"/>
      <c r="J38" s="158">
        <f>'Auto-Calibration record'!I73</f>
        <v>10263</v>
      </c>
      <c r="K38" s="159">
        <f t="shared" si="0"/>
        <v>163</v>
      </c>
      <c r="L38" s="111">
        <f t="shared" si="1"/>
        <v>1.6138613861386139E-2</v>
      </c>
    </row>
    <row r="39" spans="2:12" s="108" customFormat="1" ht="25.9" customHeight="1" x14ac:dyDescent="0.35">
      <c r="D39" s="541" t="s">
        <v>595</v>
      </c>
      <c r="E39" s="541"/>
      <c r="F39" s="529">
        <f>'Auto-Calibration record'!G65</f>
        <v>3900</v>
      </c>
      <c r="G39" s="529"/>
      <c r="H39" s="524">
        <f>'Auto-Calibration record'!B74</f>
        <v>4560</v>
      </c>
      <c r="I39" s="570"/>
      <c r="J39" s="158">
        <f>'Auto-Calibration record'!I74</f>
        <v>4596.666666666667</v>
      </c>
      <c r="K39" s="159">
        <f t="shared" si="0"/>
        <v>36.66666666666697</v>
      </c>
      <c r="L39" s="111">
        <f t="shared" si="1"/>
        <v>8.0409356725146871E-3</v>
      </c>
    </row>
    <row r="40" spans="2:12" s="108" customFormat="1" ht="25.9" customHeight="1" x14ac:dyDescent="0.35">
      <c r="D40" s="541" t="s">
        <v>596</v>
      </c>
      <c r="E40" s="541"/>
      <c r="F40" s="529">
        <f>'Auto-Calibration record'!H65</f>
        <v>6230</v>
      </c>
      <c r="G40" s="529"/>
      <c r="H40" s="524">
        <f>'Auto-Calibration record'!B75</f>
        <v>2680</v>
      </c>
      <c r="I40" s="570"/>
      <c r="J40" s="158">
        <f>'Auto-Calibration record'!I75</f>
        <v>2609</v>
      </c>
      <c r="K40" s="159" t="s">
        <v>23</v>
      </c>
      <c r="L40" s="112" t="s">
        <v>23</v>
      </c>
    </row>
    <row r="41" spans="2:12" s="102" customFormat="1" ht="25.9" customHeight="1" x14ac:dyDescent="0.45">
      <c r="D41" s="541" t="s">
        <v>597</v>
      </c>
      <c r="E41" s="541"/>
      <c r="F41" s="537">
        <f>'Auto-Calibration record'!I65</f>
        <v>17578</v>
      </c>
      <c r="G41" s="537"/>
      <c r="H41" s="524">
        <f>'Auto-Calibration record'!B76</f>
        <v>820</v>
      </c>
      <c r="I41" s="570"/>
      <c r="J41" s="158">
        <f>'Auto-Calibration record'!I76</f>
        <v>747.33333333333337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78</v>
      </c>
      <c r="F46" s="524"/>
      <c r="G46" s="533" t="e">
        <f>F34/D46</f>
        <v>#DIV/0!</v>
      </c>
      <c r="H46" s="533"/>
      <c r="I46" s="116"/>
      <c r="J46" s="129">
        <f>'Auto-Calibration record'!B11</f>
        <v>31</v>
      </c>
      <c r="K46" s="159">
        <f>F35-J46</f>
        <v>145</v>
      </c>
      <c r="L46" s="151">
        <f>F35/J46</f>
        <v>5.67741935483871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70"/>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70"/>
      <c r="J29" s="158">
        <f>'Auto-Calibration record'!I69</f>
        <v>698518.66666666663</v>
      </c>
      <c r="K29" s="159">
        <f t="shared" si="0"/>
        <v>14578.666666666628</v>
      </c>
      <c r="L29" s="111">
        <f t="shared" si="1"/>
        <v>2.1315709955064228E-2</v>
      </c>
    </row>
    <row r="30" spans="2:15" s="108" customFormat="1" ht="25.9" customHeight="1" x14ac:dyDescent="0.35">
      <c r="D30" s="541" t="s">
        <v>592</v>
      </c>
      <c r="E30" s="541"/>
      <c r="F30" s="529">
        <f>'Auto-Calibration record'!D65</f>
        <v>918</v>
      </c>
      <c r="G30" s="529"/>
      <c r="H30" s="524">
        <f>'Auto-Calibration record'!B71</f>
        <v>45430</v>
      </c>
      <c r="I30" s="570"/>
      <c r="J30" s="158">
        <f>'Auto-Calibration record'!I71</f>
        <v>46227.666666666664</v>
      </c>
      <c r="K30" s="159">
        <f t="shared" si="0"/>
        <v>797.66666666666424</v>
      </c>
      <c r="L30" s="111">
        <f t="shared" si="1"/>
        <v>1.7558148066622589E-2</v>
      </c>
    </row>
    <row r="31" spans="2:15" s="108" customFormat="1" ht="25.9" customHeight="1" x14ac:dyDescent="0.35">
      <c r="D31" s="541" t="s">
        <v>593</v>
      </c>
      <c r="E31" s="541"/>
      <c r="F31" s="529">
        <f>'Auto-Calibration record'!E65</f>
        <v>1726</v>
      </c>
      <c r="G31" s="529"/>
      <c r="H31" s="524">
        <f>'Auto-Calibration record'!B72</f>
        <v>16020</v>
      </c>
      <c r="I31" s="570"/>
      <c r="J31" s="158">
        <f>'Auto-Calibration record'!I72</f>
        <v>16143</v>
      </c>
      <c r="K31" s="159">
        <f t="shared" si="0"/>
        <v>123</v>
      </c>
      <c r="L31" s="111">
        <f t="shared" si="1"/>
        <v>7.6779026217228463E-3</v>
      </c>
    </row>
    <row r="32" spans="2:15" s="108" customFormat="1" ht="25.9" customHeight="1" x14ac:dyDescent="0.35">
      <c r="D32" s="541" t="s">
        <v>594</v>
      </c>
      <c r="E32" s="541"/>
      <c r="F32" s="529">
        <f>'Auto-Calibration record'!F65</f>
        <v>2276</v>
      </c>
      <c r="G32" s="529"/>
      <c r="H32" s="524">
        <f>'Auto-Calibration record'!B73</f>
        <v>10100</v>
      </c>
      <c r="I32" s="570"/>
      <c r="J32" s="158">
        <f>'Auto-Calibration record'!I73</f>
        <v>10263</v>
      </c>
      <c r="K32" s="159">
        <f t="shared" si="0"/>
        <v>163</v>
      </c>
      <c r="L32" s="111">
        <f t="shared" si="1"/>
        <v>1.6138613861386139E-2</v>
      </c>
    </row>
    <row r="33" spans="2:14" s="108" customFormat="1" ht="25.9" customHeight="1" x14ac:dyDescent="0.35">
      <c r="D33" s="541" t="s">
        <v>595</v>
      </c>
      <c r="E33" s="541"/>
      <c r="F33" s="529">
        <f>'Auto-Calibration record'!G65</f>
        <v>3900</v>
      </c>
      <c r="G33" s="529"/>
      <c r="H33" s="524">
        <f>'Auto-Calibration record'!B74</f>
        <v>4560</v>
      </c>
      <c r="I33" s="570"/>
      <c r="J33" s="158">
        <f>'Auto-Calibration record'!I74</f>
        <v>4596.666666666667</v>
      </c>
      <c r="K33" s="159">
        <f t="shared" si="0"/>
        <v>36.66666666666697</v>
      </c>
      <c r="L33" s="111">
        <f t="shared" si="1"/>
        <v>8.0409356725146871E-3</v>
      </c>
    </row>
    <row r="34" spans="2:14" s="108" customFormat="1" ht="25.9" customHeight="1" x14ac:dyDescent="0.35">
      <c r="D34" s="541" t="s">
        <v>596</v>
      </c>
      <c r="E34" s="541"/>
      <c r="F34" s="529">
        <f>'Auto-Calibration record'!H65</f>
        <v>6230</v>
      </c>
      <c r="G34" s="529"/>
      <c r="H34" s="524">
        <f>'Auto-Calibration record'!B75</f>
        <v>2680</v>
      </c>
      <c r="I34" s="570"/>
      <c r="J34" s="158">
        <f>'Auto-Calibration record'!I75</f>
        <v>2609</v>
      </c>
      <c r="K34" s="159" t="s">
        <v>23</v>
      </c>
      <c r="L34" s="112" t="s">
        <v>23</v>
      </c>
    </row>
    <row r="35" spans="2:14" s="102" customFormat="1" ht="25.9" customHeight="1" x14ac:dyDescent="0.45">
      <c r="D35" s="541" t="s">
        <v>597</v>
      </c>
      <c r="E35" s="541"/>
      <c r="F35" s="537">
        <f>'Auto-Calibration record'!I65</f>
        <v>17578</v>
      </c>
      <c r="G35" s="537"/>
      <c r="H35" s="524">
        <f>'Auto-Calibration record'!B76</f>
        <v>820</v>
      </c>
      <c r="I35" s="570"/>
      <c r="J35" s="158">
        <f>'Auto-Calibration record'!I76</f>
        <v>747.33333333333337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78</v>
      </c>
      <c r="F40" s="524"/>
      <c r="G40" s="533" t="e">
        <f>F28/D40</f>
        <v>#DIV/0!</v>
      </c>
      <c r="H40" s="533"/>
      <c r="I40" s="116"/>
      <c r="J40" s="129">
        <f>'Auto-Calibration record'!B11</f>
        <v>31</v>
      </c>
      <c r="K40" s="159">
        <f>F29-J40</f>
        <v>145</v>
      </c>
      <c r="L40" s="151">
        <f>F29/J40</f>
        <v>5.67741935483871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70"/>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70"/>
      <c r="J29" s="158">
        <f>'Auto-Calibration record'!I69</f>
        <v>698518.66666666663</v>
      </c>
      <c r="K29" s="159">
        <f t="shared" si="0"/>
        <v>14578.666666666628</v>
      </c>
      <c r="L29" s="111">
        <f t="shared" si="1"/>
        <v>2.1315709955064228E-2</v>
      </c>
    </row>
    <row r="30" spans="2:15" s="108" customFormat="1" ht="25.9" customHeight="1" x14ac:dyDescent="0.35">
      <c r="D30" s="541" t="s">
        <v>592</v>
      </c>
      <c r="E30" s="541"/>
      <c r="F30" s="529">
        <f>'Auto-Calibration record'!D65</f>
        <v>918</v>
      </c>
      <c r="G30" s="529"/>
      <c r="H30" s="524">
        <f>'Auto-Calibration record'!B71</f>
        <v>45430</v>
      </c>
      <c r="I30" s="570"/>
      <c r="J30" s="158">
        <f>'Auto-Calibration record'!I71</f>
        <v>46227.666666666664</v>
      </c>
      <c r="K30" s="159">
        <f t="shared" si="0"/>
        <v>797.66666666666424</v>
      </c>
      <c r="L30" s="111">
        <f t="shared" si="1"/>
        <v>1.7558148066622589E-2</v>
      </c>
    </row>
    <row r="31" spans="2:15" s="108" customFormat="1" ht="25.9" customHeight="1" x14ac:dyDescent="0.35">
      <c r="D31" s="541" t="s">
        <v>593</v>
      </c>
      <c r="E31" s="541"/>
      <c r="F31" s="529">
        <f>'Auto-Calibration record'!E65</f>
        <v>1726</v>
      </c>
      <c r="G31" s="529"/>
      <c r="H31" s="524">
        <f>'Auto-Calibration record'!B72</f>
        <v>16020</v>
      </c>
      <c r="I31" s="570"/>
      <c r="J31" s="158">
        <f>'Auto-Calibration record'!I72</f>
        <v>16143</v>
      </c>
      <c r="K31" s="159">
        <f t="shared" si="0"/>
        <v>123</v>
      </c>
      <c r="L31" s="111">
        <f t="shared" si="1"/>
        <v>7.6779026217228463E-3</v>
      </c>
    </row>
    <row r="32" spans="2:15" s="108" customFormat="1" ht="25.9" customHeight="1" x14ac:dyDescent="0.35">
      <c r="D32" s="541" t="s">
        <v>594</v>
      </c>
      <c r="E32" s="541"/>
      <c r="F32" s="529">
        <f>'Auto-Calibration record'!F65</f>
        <v>2276</v>
      </c>
      <c r="G32" s="529"/>
      <c r="H32" s="524">
        <f>'Auto-Calibration record'!B73</f>
        <v>10100</v>
      </c>
      <c r="I32" s="570"/>
      <c r="J32" s="158">
        <f>'Auto-Calibration record'!I73</f>
        <v>10263</v>
      </c>
      <c r="K32" s="159">
        <f t="shared" si="0"/>
        <v>163</v>
      </c>
      <c r="L32" s="111">
        <f t="shared" si="1"/>
        <v>1.6138613861386139E-2</v>
      </c>
    </row>
    <row r="33" spans="2:12" s="108" customFormat="1" ht="25.9" customHeight="1" x14ac:dyDescent="0.35">
      <c r="D33" s="541" t="s">
        <v>595</v>
      </c>
      <c r="E33" s="541"/>
      <c r="F33" s="529">
        <f>'Auto-Calibration record'!G65</f>
        <v>3900</v>
      </c>
      <c r="G33" s="529"/>
      <c r="H33" s="524">
        <f>'Auto-Calibration record'!B74</f>
        <v>4560</v>
      </c>
      <c r="I33" s="570"/>
      <c r="J33" s="158">
        <f>'Auto-Calibration record'!I74</f>
        <v>4596.666666666667</v>
      </c>
      <c r="K33" s="159">
        <f t="shared" si="0"/>
        <v>36.66666666666697</v>
      </c>
      <c r="L33" s="111">
        <f t="shared" si="1"/>
        <v>8.0409356725146871E-3</v>
      </c>
    </row>
    <row r="34" spans="2:12" s="108" customFormat="1" ht="25.9" customHeight="1" x14ac:dyDescent="0.35">
      <c r="D34" s="541" t="s">
        <v>596</v>
      </c>
      <c r="E34" s="541"/>
      <c r="F34" s="529">
        <f>'Auto-Calibration record'!H65</f>
        <v>6230</v>
      </c>
      <c r="G34" s="529"/>
      <c r="H34" s="524">
        <f>'Auto-Calibration record'!B75</f>
        <v>2680</v>
      </c>
      <c r="I34" s="570"/>
      <c r="J34" s="158">
        <f>'Auto-Calibration record'!I75</f>
        <v>2609</v>
      </c>
      <c r="K34" s="159" t="s">
        <v>23</v>
      </c>
      <c r="L34" s="112" t="s">
        <v>23</v>
      </c>
    </row>
    <row r="35" spans="2:12" s="102" customFormat="1" ht="25.9" customHeight="1" x14ac:dyDescent="0.45">
      <c r="D35" s="541" t="s">
        <v>597</v>
      </c>
      <c r="E35" s="541"/>
      <c r="F35" s="537">
        <f>'Auto-Calibration record'!I65</f>
        <v>17578</v>
      </c>
      <c r="G35" s="537"/>
      <c r="H35" s="524">
        <f>'Auto-Calibration record'!B76</f>
        <v>820</v>
      </c>
      <c r="I35" s="570"/>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78</v>
      </c>
      <c r="F40" s="524"/>
      <c r="G40" s="533" t="e">
        <f>F28/D40</f>
        <v>#DIV/0!</v>
      </c>
      <c r="H40" s="533"/>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70"/>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70"/>
      <c r="J29" s="158">
        <f>'Auto-Calibration record'!I69</f>
        <v>698518.66666666663</v>
      </c>
      <c r="K29" s="159">
        <f t="shared" si="0"/>
        <v>14578.666666666628</v>
      </c>
      <c r="L29" s="111">
        <f t="shared" si="1"/>
        <v>2.1315709955064228E-2</v>
      </c>
    </row>
    <row r="30" spans="2:15" s="108" customFormat="1" ht="25.9" customHeight="1" x14ac:dyDescent="0.35">
      <c r="D30" s="541" t="s">
        <v>592</v>
      </c>
      <c r="E30" s="541"/>
      <c r="F30" s="529">
        <f>'Auto-Calibration record'!D65</f>
        <v>918</v>
      </c>
      <c r="G30" s="529"/>
      <c r="H30" s="524">
        <f>'Auto-Calibration record'!B71</f>
        <v>45430</v>
      </c>
      <c r="I30" s="570"/>
      <c r="J30" s="158">
        <f>'Auto-Calibration record'!I71</f>
        <v>46227.666666666664</v>
      </c>
      <c r="K30" s="159">
        <f t="shared" si="0"/>
        <v>797.66666666666424</v>
      </c>
      <c r="L30" s="111">
        <f t="shared" si="1"/>
        <v>1.7558148066622589E-2</v>
      </c>
    </row>
    <row r="31" spans="2:15" s="108" customFormat="1" ht="25.9" customHeight="1" x14ac:dyDescent="0.35">
      <c r="D31" s="541" t="s">
        <v>593</v>
      </c>
      <c r="E31" s="541"/>
      <c r="F31" s="529">
        <f>'Auto-Calibration record'!E65</f>
        <v>1726</v>
      </c>
      <c r="G31" s="529"/>
      <c r="H31" s="524">
        <f>'Auto-Calibration record'!B72</f>
        <v>16020</v>
      </c>
      <c r="I31" s="570"/>
      <c r="J31" s="158">
        <f>'Auto-Calibration record'!I72</f>
        <v>16143</v>
      </c>
      <c r="K31" s="159">
        <f t="shared" si="0"/>
        <v>123</v>
      </c>
      <c r="L31" s="111">
        <f t="shared" si="1"/>
        <v>7.6779026217228463E-3</v>
      </c>
    </row>
    <row r="32" spans="2:15" s="108" customFormat="1" ht="25.9" customHeight="1" x14ac:dyDescent="0.35">
      <c r="D32" s="541" t="s">
        <v>594</v>
      </c>
      <c r="E32" s="541"/>
      <c r="F32" s="529">
        <f>'Auto-Calibration record'!F65</f>
        <v>2276</v>
      </c>
      <c r="G32" s="529"/>
      <c r="H32" s="524">
        <f>'Auto-Calibration record'!B73</f>
        <v>10100</v>
      </c>
      <c r="I32" s="570"/>
      <c r="J32" s="158">
        <f>'Auto-Calibration record'!I73</f>
        <v>10263</v>
      </c>
      <c r="K32" s="159">
        <f t="shared" si="0"/>
        <v>163</v>
      </c>
      <c r="L32" s="111">
        <f t="shared" si="1"/>
        <v>1.6138613861386139E-2</v>
      </c>
    </row>
    <row r="33" spans="2:12" s="108" customFormat="1" ht="25.9" customHeight="1" x14ac:dyDescent="0.35">
      <c r="D33" s="541" t="s">
        <v>595</v>
      </c>
      <c r="E33" s="541"/>
      <c r="F33" s="529">
        <f>'Auto-Calibration record'!G65</f>
        <v>3900</v>
      </c>
      <c r="G33" s="529"/>
      <c r="H33" s="524">
        <f>'Auto-Calibration record'!B74</f>
        <v>4560</v>
      </c>
      <c r="I33" s="570"/>
      <c r="J33" s="158">
        <f>'Auto-Calibration record'!I74</f>
        <v>4596.666666666667</v>
      </c>
      <c r="K33" s="159">
        <f t="shared" si="0"/>
        <v>36.66666666666697</v>
      </c>
      <c r="L33" s="111">
        <f t="shared" si="1"/>
        <v>8.0409356725146871E-3</v>
      </c>
    </row>
    <row r="34" spans="2:12" s="108" customFormat="1" ht="25.9" customHeight="1" x14ac:dyDescent="0.35">
      <c r="D34" s="541" t="s">
        <v>596</v>
      </c>
      <c r="E34" s="541"/>
      <c r="F34" s="529">
        <f>'Auto-Calibration record'!H65</f>
        <v>6230</v>
      </c>
      <c r="G34" s="529"/>
      <c r="H34" s="524">
        <f>'Auto-Calibration record'!B75</f>
        <v>2680</v>
      </c>
      <c r="I34" s="570"/>
      <c r="J34" s="158">
        <f>'Auto-Calibration record'!I75</f>
        <v>2609</v>
      </c>
      <c r="K34" s="159" t="s">
        <v>23</v>
      </c>
      <c r="L34" s="112" t="s">
        <v>23</v>
      </c>
    </row>
    <row r="35" spans="2:12" s="102" customFormat="1" ht="25.9" customHeight="1" x14ac:dyDescent="0.45">
      <c r="D35" s="541" t="s">
        <v>597</v>
      </c>
      <c r="E35" s="541"/>
      <c r="F35" s="537">
        <f>'Auto-Calibration record'!I65</f>
        <v>17578</v>
      </c>
      <c r="G35" s="537"/>
      <c r="H35" s="524">
        <f>'Auto-Calibration record'!B76</f>
        <v>820</v>
      </c>
      <c r="I35" s="570"/>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78</v>
      </c>
      <c r="F40" s="524"/>
      <c r="G40" s="533" t="e">
        <f>F28/D40</f>
        <v>#DIV/0!</v>
      </c>
      <c r="H40" s="533"/>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70"/>
      <c r="J28" s="158">
        <f>'MP Calibration Certificate'!J28</f>
        <v>1848735.3333333333</v>
      </c>
      <c r="K28" s="159">
        <f t="shared" ref="K28:K33" si="0">J28-H28</f>
        <v>-3704.6666666667443</v>
      </c>
      <c r="L28" s="111">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70"/>
      <c r="J29" s="158">
        <f>'MP Calibration Certificate'!J29</f>
        <v>698518.66666666663</v>
      </c>
      <c r="K29" s="159">
        <f t="shared" si="0"/>
        <v>14578.666666666628</v>
      </c>
      <c r="L29" s="111">
        <f t="shared" si="1"/>
        <v>2.1315709955064228E-2</v>
      </c>
    </row>
    <row r="30" spans="2:15" s="108" customFormat="1" ht="25.9" customHeight="1" x14ac:dyDescent="0.35">
      <c r="D30" s="541" t="s">
        <v>592</v>
      </c>
      <c r="E30" s="541"/>
      <c r="F30" s="529">
        <f>'Auto-Calibration record'!D65</f>
        <v>918</v>
      </c>
      <c r="G30" s="529"/>
      <c r="H30" s="524">
        <f>'Auto-Calibration record'!B71</f>
        <v>45430</v>
      </c>
      <c r="I30" s="570"/>
      <c r="J30" s="158">
        <f>'MP Calibration Certificate'!J30</f>
        <v>46227.666666666664</v>
      </c>
      <c r="K30" s="159">
        <f t="shared" si="0"/>
        <v>797.66666666666424</v>
      </c>
      <c r="L30" s="111">
        <f t="shared" si="1"/>
        <v>1.7558148066622589E-2</v>
      </c>
    </row>
    <row r="31" spans="2:15" s="108" customFormat="1" ht="25.9" customHeight="1" x14ac:dyDescent="0.35">
      <c r="D31" s="541" t="s">
        <v>593</v>
      </c>
      <c r="E31" s="541"/>
      <c r="F31" s="529">
        <f>'Auto-Calibration record'!E65</f>
        <v>1726</v>
      </c>
      <c r="G31" s="529"/>
      <c r="H31" s="524">
        <f>'Auto-Calibration record'!B72</f>
        <v>16020</v>
      </c>
      <c r="I31" s="570"/>
      <c r="J31" s="158">
        <f>'MP Calibration Certificate'!J31</f>
        <v>16143</v>
      </c>
      <c r="K31" s="159">
        <f t="shared" si="0"/>
        <v>123</v>
      </c>
      <c r="L31" s="111">
        <f t="shared" si="1"/>
        <v>7.6779026217228463E-3</v>
      </c>
    </row>
    <row r="32" spans="2:15" s="108" customFormat="1" ht="25.9" customHeight="1" x14ac:dyDescent="0.35">
      <c r="D32" s="541" t="s">
        <v>594</v>
      </c>
      <c r="E32" s="541"/>
      <c r="F32" s="529">
        <f>'Auto-Calibration record'!F65</f>
        <v>2276</v>
      </c>
      <c r="G32" s="529"/>
      <c r="H32" s="524">
        <f>'Auto-Calibration record'!B73</f>
        <v>10100</v>
      </c>
      <c r="I32" s="570"/>
      <c r="J32" s="158">
        <f>'MP Calibration Certificate'!J32</f>
        <v>10263</v>
      </c>
      <c r="K32" s="159">
        <f t="shared" si="0"/>
        <v>163</v>
      </c>
      <c r="L32" s="111">
        <f t="shared" si="1"/>
        <v>1.6138613861386139E-2</v>
      </c>
    </row>
    <row r="33" spans="2:12" s="108" customFormat="1" ht="25.9" customHeight="1" x14ac:dyDescent="0.35">
      <c r="D33" s="541" t="s">
        <v>595</v>
      </c>
      <c r="E33" s="541"/>
      <c r="F33" s="529">
        <f>'Auto-Calibration record'!G65</f>
        <v>3900</v>
      </c>
      <c r="G33" s="529"/>
      <c r="H33" s="524">
        <f>'Auto-Calibration record'!B74</f>
        <v>4560</v>
      </c>
      <c r="I33" s="570"/>
      <c r="J33" s="158">
        <f>'MP Calibration Certificate'!J33</f>
        <v>4596.666666666667</v>
      </c>
      <c r="K33" s="159">
        <f t="shared" si="0"/>
        <v>36.66666666666697</v>
      </c>
      <c r="L33" s="111">
        <f t="shared" si="1"/>
        <v>8.0409356725146871E-3</v>
      </c>
    </row>
    <row r="34" spans="2:12" s="108" customFormat="1" ht="25.9" customHeight="1" x14ac:dyDescent="0.35">
      <c r="D34" s="541" t="s">
        <v>596</v>
      </c>
      <c r="E34" s="541"/>
      <c r="F34" s="529">
        <f>'Auto-Calibration record'!H65</f>
        <v>6230</v>
      </c>
      <c r="G34" s="529"/>
      <c r="H34" s="524">
        <f>'Auto-Calibration record'!B75</f>
        <v>2680</v>
      </c>
      <c r="I34" s="570"/>
      <c r="J34" s="158">
        <f>'MP Calibration Certificate'!J34</f>
        <v>2609</v>
      </c>
      <c r="K34" s="159" t="s">
        <v>23</v>
      </c>
      <c r="L34" s="112" t="s">
        <v>23</v>
      </c>
    </row>
    <row r="35" spans="2:12" s="102" customFormat="1" ht="25.9" customHeight="1" x14ac:dyDescent="0.45">
      <c r="D35" s="541" t="s">
        <v>597</v>
      </c>
      <c r="E35" s="541"/>
      <c r="F35" s="537">
        <f>'Auto-Calibration record'!I65</f>
        <v>17578</v>
      </c>
      <c r="G35" s="537"/>
      <c r="H35" s="524">
        <f>'Auto-Calibration record'!B76</f>
        <v>820</v>
      </c>
      <c r="I35" s="570"/>
      <c r="J35" s="158">
        <f>'MP Calibration Certificate'!J35</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78</v>
      </c>
      <c r="F40" s="524"/>
      <c r="G40" s="533" t="e">
        <f>F28/D40</f>
        <v>#DIV/0!</v>
      </c>
      <c r="H40" s="533"/>
      <c r="I40" s="116"/>
      <c r="J40" s="129">
        <f>'Auto-Calibration record'!B11</f>
        <v>31</v>
      </c>
      <c r="K40" s="159">
        <f>F29-J40</f>
        <v>145</v>
      </c>
      <c r="L40" s="151">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70"/>
      <c r="J28" s="158">
        <f>'Auto-Calibration record'!I68</f>
        <v>1848735.3333333333</v>
      </c>
      <c r="K28" s="159">
        <f t="shared" ref="K28:K33" si="0">J28-H28</f>
        <v>-3704.6666666667443</v>
      </c>
      <c r="L28" s="111">
        <f t="shared" ref="L28:L33" si="1">K28/H28</f>
        <v>-1.9998848365759452E-3</v>
      </c>
    </row>
    <row r="29" spans="2:15" s="108" customFormat="1" ht="25.9" customHeight="1" x14ac:dyDescent="0.35">
      <c r="D29" s="541" t="s">
        <v>591</v>
      </c>
      <c r="E29" s="541"/>
      <c r="F29" s="529">
        <f>'Auto-Calibration record'!C65</f>
        <v>176</v>
      </c>
      <c r="G29" s="529"/>
      <c r="H29" s="524">
        <f>'Auto-Calibration record'!B69</f>
        <v>683940</v>
      </c>
      <c r="I29" s="570"/>
      <c r="J29" s="158">
        <f>'Auto-Calibration record'!I69</f>
        <v>698518.66666666663</v>
      </c>
      <c r="K29" s="159">
        <f t="shared" si="0"/>
        <v>14578.666666666628</v>
      </c>
      <c r="L29" s="111">
        <f t="shared" si="1"/>
        <v>2.1315709955064228E-2</v>
      </c>
    </row>
    <row r="30" spans="2:15" s="108" customFormat="1" ht="25.9" customHeight="1" x14ac:dyDescent="0.35">
      <c r="D30" s="541" t="s">
        <v>592</v>
      </c>
      <c r="E30" s="541"/>
      <c r="F30" s="529">
        <f>'Auto-Calibration record'!D65</f>
        <v>918</v>
      </c>
      <c r="G30" s="529"/>
      <c r="H30" s="524">
        <f>'Auto-Calibration record'!B71</f>
        <v>45430</v>
      </c>
      <c r="I30" s="570"/>
      <c r="J30" s="158">
        <f>'Auto-Calibration record'!I71</f>
        <v>46227.666666666664</v>
      </c>
      <c r="K30" s="159">
        <f t="shared" si="0"/>
        <v>797.66666666666424</v>
      </c>
      <c r="L30" s="111">
        <f t="shared" si="1"/>
        <v>1.7558148066622589E-2</v>
      </c>
    </row>
    <row r="31" spans="2:15" s="108" customFormat="1" ht="25.9" customHeight="1" x14ac:dyDescent="0.35">
      <c r="D31" s="541" t="s">
        <v>593</v>
      </c>
      <c r="E31" s="541"/>
      <c r="F31" s="529">
        <f>'Auto-Calibration record'!E65</f>
        <v>1726</v>
      </c>
      <c r="G31" s="529"/>
      <c r="H31" s="524">
        <f>'Auto-Calibration record'!B72</f>
        <v>16020</v>
      </c>
      <c r="I31" s="570"/>
      <c r="J31" s="158">
        <f>'Auto-Calibration record'!I72</f>
        <v>16143</v>
      </c>
      <c r="K31" s="159">
        <f t="shared" si="0"/>
        <v>123</v>
      </c>
      <c r="L31" s="111">
        <f t="shared" si="1"/>
        <v>7.6779026217228463E-3</v>
      </c>
    </row>
    <row r="32" spans="2:15" s="108" customFormat="1" ht="25.9" customHeight="1" x14ac:dyDescent="0.35">
      <c r="D32" s="541" t="s">
        <v>594</v>
      </c>
      <c r="E32" s="541"/>
      <c r="F32" s="529">
        <f>'Auto-Calibration record'!F65</f>
        <v>2276</v>
      </c>
      <c r="G32" s="529"/>
      <c r="H32" s="524">
        <f>'Auto-Calibration record'!B73</f>
        <v>10100</v>
      </c>
      <c r="I32" s="570"/>
      <c r="J32" s="158">
        <f>'Auto-Calibration record'!I73</f>
        <v>10263</v>
      </c>
      <c r="K32" s="159">
        <f t="shared" si="0"/>
        <v>163</v>
      </c>
      <c r="L32" s="111">
        <f t="shared" si="1"/>
        <v>1.6138613861386139E-2</v>
      </c>
    </row>
    <row r="33" spans="2:12" s="108" customFormat="1" ht="25.9" customHeight="1" x14ac:dyDescent="0.35">
      <c r="D33" s="541" t="s">
        <v>595</v>
      </c>
      <c r="E33" s="541"/>
      <c r="F33" s="529">
        <f>'Auto-Calibration record'!G65</f>
        <v>3900</v>
      </c>
      <c r="G33" s="529"/>
      <c r="H33" s="524">
        <f>'Auto-Calibration record'!B74</f>
        <v>4560</v>
      </c>
      <c r="I33" s="570"/>
      <c r="J33" s="158">
        <f>'Auto-Calibration record'!I74</f>
        <v>4596.666666666667</v>
      </c>
      <c r="K33" s="159">
        <f t="shared" si="0"/>
        <v>36.66666666666697</v>
      </c>
      <c r="L33" s="111">
        <f t="shared" si="1"/>
        <v>8.0409356725146871E-3</v>
      </c>
    </row>
    <row r="34" spans="2:12" s="108" customFormat="1" ht="25.9" customHeight="1" x14ac:dyDescent="0.35">
      <c r="D34" s="541" t="s">
        <v>596</v>
      </c>
      <c r="E34" s="541"/>
      <c r="F34" s="529">
        <f>'Auto-Calibration record'!H65</f>
        <v>6230</v>
      </c>
      <c r="G34" s="529"/>
      <c r="H34" s="524">
        <f>'Auto-Calibration record'!B75</f>
        <v>2680</v>
      </c>
      <c r="I34" s="570"/>
      <c r="J34" s="158">
        <f>'Auto-Calibration record'!I75</f>
        <v>2609</v>
      </c>
      <c r="K34" s="159" t="s">
        <v>23</v>
      </c>
      <c r="L34" s="112" t="s">
        <v>23</v>
      </c>
    </row>
    <row r="35" spans="2:12" s="102" customFormat="1" ht="25.9" customHeight="1" x14ac:dyDescent="0.45">
      <c r="D35" s="541" t="s">
        <v>597</v>
      </c>
      <c r="E35" s="541"/>
      <c r="F35" s="537">
        <f>'Auto-Calibration record'!I65</f>
        <v>17578</v>
      </c>
      <c r="G35" s="537"/>
      <c r="H35" s="524">
        <f>'Auto-Calibration record'!B76</f>
        <v>820</v>
      </c>
      <c r="I35" s="570"/>
      <c r="J35" s="158">
        <f>'Auto-Calibration record'!I76</f>
        <v>747.33333333333337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78</v>
      </c>
      <c r="F40" s="570"/>
      <c r="G40" s="584" t="e">
        <f>F28/D40</f>
        <v>#DIV/0!</v>
      </c>
      <c r="H40" s="584"/>
      <c r="I40" s="116"/>
      <c r="J40" s="129">
        <f>'Auto-Calibration record'!B11</f>
        <v>31</v>
      </c>
      <c r="K40" s="110">
        <f>F29-J40</f>
        <v>145</v>
      </c>
      <c r="L40" s="117">
        <f>F29/J40</f>
        <v>5.67741935483871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63010046</v>
      </c>
      <c r="E18" s="531"/>
      <c r="F18" s="532"/>
      <c r="K18" s="98" t="s">
        <v>574</v>
      </c>
      <c r="L18" s="99"/>
      <c r="M18" s="99"/>
      <c r="N18" s="100"/>
      <c r="O18" s="55">
        <f>'Auto-Calibration record'!H16</f>
        <v>46160.6</v>
      </c>
    </row>
    <row r="19" spans="2:15" ht="25.9" customHeight="1" x14ac:dyDescent="0.45">
      <c r="B19" s="131" t="s">
        <v>575</v>
      </c>
      <c r="C19" s="132"/>
      <c r="D19" s="530" t="str">
        <f>'Auto-Calibration record'!H17</f>
        <v>63010046 180526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78</v>
      </c>
      <c r="G28" s="529"/>
      <c r="H28" s="524">
        <f>'Auto-Calibration record'!B68</f>
        <v>1852440</v>
      </c>
      <c r="I28" s="524"/>
      <c r="J28" s="159">
        <f>'Auto-Calibration record'!I68</f>
        <v>1848735.3333333333</v>
      </c>
      <c r="K28" s="159">
        <f t="shared" ref="K28:K35" si="0">J28-H28</f>
        <v>-3704.6666666667443</v>
      </c>
      <c r="L28" s="379">
        <f t="shared" ref="L28:L35" si="1">K28/H28</f>
        <v>-1.9998848365759452E-3</v>
      </c>
    </row>
    <row r="29" spans="2:15" s="108" customFormat="1" ht="25.9" customHeight="1" x14ac:dyDescent="0.35">
      <c r="D29" s="541" t="s">
        <v>591</v>
      </c>
      <c r="E29" s="541"/>
      <c r="F29" s="529">
        <f>'Auto-Calibration record'!C65</f>
        <v>176</v>
      </c>
      <c r="G29" s="529"/>
      <c r="H29" s="524">
        <f>'Auto-Calibration record'!B69</f>
        <v>683940</v>
      </c>
      <c r="I29" s="524"/>
      <c r="J29" s="159">
        <f>'Auto-Calibration record'!I69</f>
        <v>698518.66666666663</v>
      </c>
      <c r="K29" s="159">
        <f t="shared" si="0"/>
        <v>14578.666666666628</v>
      </c>
      <c r="L29" s="379">
        <f t="shared" si="1"/>
        <v>2.1315709955064228E-2</v>
      </c>
    </row>
    <row r="30" spans="2:15" s="108" customFormat="1" ht="25.9" customHeight="1" x14ac:dyDescent="0.35">
      <c r="D30" s="541" t="s">
        <v>592</v>
      </c>
      <c r="E30" s="541"/>
      <c r="F30" s="529">
        <f>'Auto-Calibration record'!D65</f>
        <v>918</v>
      </c>
      <c r="G30" s="529"/>
      <c r="H30" s="524">
        <f>'Auto-Calibration record'!B71</f>
        <v>45430</v>
      </c>
      <c r="I30" s="524"/>
      <c r="J30" s="159">
        <f>'Auto-Calibration record'!I71</f>
        <v>46227.666666666664</v>
      </c>
      <c r="K30" s="159">
        <f t="shared" si="0"/>
        <v>797.66666666666424</v>
      </c>
      <c r="L30" s="379">
        <f t="shared" si="1"/>
        <v>1.7558148066622589E-2</v>
      </c>
    </row>
    <row r="31" spans="2:15" s="108" customFormat="1" ht="25.9" customHeight="1" x14ac:dyDescent="0.35">
      <c r="D31" s="541" t="s">
        <v>593</v>
      </c>
      <c r="E31" s="541"/>
      <c r="F31" s="529">
        <f>'Auto-Calibration record'!E65</f>
        <v>1726</v>
      </c>
      <c r="G31" s="529"/>
      <c r="H31" s="524">
        <f>'Auto-Calibration record'!B72</f>
        <v>16020</v>
      </c>
      <c r="I31" s="524"/>
      <c r="J31" s="159">
        <f>'Auto-Calibration record'!I72</f>
        <v>16143</v>
      </c>
      <c r="K31" s="159">
        <f t="shared" si="0"/>
        <v>123</v>
      </c>
      <c r="L31" s="379">
        <f t="shared" si="1"/>
        <v>7.6779026217228463E-3</v>
      </c>
    </row>
    <row r="32" spans="2:15" s="108" customFormat="1" ht="25.9" customHeight="1" x14ac:dyDescent="0.35">
      <c r="D32" s="541" t="s">
        <v>594</v>
      </c>
      <c r="E32" s="541"/>
      <c r="F32" s="529">
        <f>'Auto-Calibration record'!F65</f>
        <v>2276</v>
      </c>
      <c r="G32" s="529"/>
      <c r="H32" s="524">
        <f>'Auto-Calibration record'!B73</f>
        <v>10100</v>
      </c>
      <c r="I32" s="524"/>
      <c r="J32" s="159">
        <f>'Auto-Calibration record'!I73</f>
        <v>10263</v>
      </c>
      <c r="K32" s="159">
        <f t="shared" si="0"/>
        <v>163</v>
      </c>
      <c r="L32" s="379">
        <f t="shared" si="1"/>
        <v>1.6138613861386139E-2</v>
      </c>
    </row>
    <row r="33" spans="2:12" s="108" customFormat="1" ht="25.9" customHeight="1" x14ac:dyDescent="0.35">
      <c r="D33" s="541" t="s">
        <v>595</v>
      </c>
      <c r="E33" s="541"/>
      <c r="F33" s="529">
        <f>'Auto-Calibration record'!G65</f>
        <v>3900</v>
      </c>
      <c r="G33" s="529"/>
      <c r="H33" s="524">
        <f>'Auto-Calibration record'!B74</f>
        <v>4560</v>
      </c>
      <c r="I33" s="524"/>
      <c r="J33" s="159">
        <f>'Auto-Calibration record'!I74</f>
        <v>4596.666666666667</v>
      </c>
      <c r="K33" s="159">
        <f t="shared" si="0"/>
        <v>36.66666666666697</v>
      </c>
      <c r="L33" s="379">
        <f t="shared" si="1"/>
        <v>8.0409356725146871E-3</v>
      </c>
    </row>
    <row r="34" spans="2:12" s="108" customFormat="1" ht="25.9" customHeight="1" x14ac:dyDescent="0.35">
      <c r="D34" s="541" t="s">
        <v>1005</v>
      </c>
      <c r="E34" s="541"/>
      <c r="F34" s="529">
        <f>'Auto-Calibration record'!H65</f>
        <v>6230</v>
      </c>
      <c r="G34" s="529"/>
      <c r="H34" s="524">
        <f>'Auto-Calibration record'!B75</f>
        <v>2680</v>
      </c>
      <c r="I34" s="524"/>
      <c r="J34" s="159">
        <f>'Auto-Calibration record'!I75</f>
        <v>2609</v>
      </c>
      <c r="K34" s="159">
        <f t="shared" si="0"/>
        <v>-71</v>
      </c>
      <c r="L34" s="379">
        <f t="shared" si="1"/>
        <v>-2.6492537313432835E-2</v>
      </c>
    </row>
    <row r="35" spans="2:12" s="102" customFormat="1" ht="25.9" customHeight="1" x14ac:dyDescent="0.45">
      <c r="D35" s="541" t="s">
        <v>1006</v>
      </c>
      <c r="E35" s="541"/>
      <c r="F35" s="537">
        <f>'Auto-Calibration record'!I65</f>
        <v>17578</v>
      </c>
      <c r="G35" s="537"/>
      <c r="H35" s="524">
        <f>'Auto-Calibration record'!B76</f>
        <v>820</v>
      </c>
      <c r="I35" s="524"/>
      <c r="J35" s="380">
        <f>'Auto-Calibration record'!I76</f>
        <v>747.33333333333337</v>
      </c>
      <c r="K35" s="159">
        <f t="shared" si="0"/>
        <v>-72.666666666666629</v>
      </c>
      <c r="L35" s="379">
        <f t="shared" si="1"/>
        <v>-8.8617886178861738E-2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31</v>
      </c>
      <c r="E40" s="524">
        <f>F28-D40</f>
        <v>47</v>
      </c>
      <c r="F40" s="524"/>
      <c r="G40" s="533">
        <f>F28/D40</f>
        <v>2.5161290322580645</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Jamie Soule</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2026-05-18T14:19:41Z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