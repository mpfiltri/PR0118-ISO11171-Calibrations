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ctrlProps/ctrlProp121.xml" ContentType="application/vnd.ms-excel.controlproperties+xml"/>
  <Override PartName="/xl/drawings/drawing5.xml" ContentType="application/vnd.openxmlformats-officedocument.drawing+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omments2.xml" ContentType="application/vnd.openxmlformats-officedocument.spreadsheetml.comments+xml"/>
  <Override PartName="/xl/drawings/drawing6.xml" ContentType="application/vnd.openxmlformats-officedocument.drawing+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harts/chart4.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embeddings/oleObject3.bin" ContentType="application/vnd.openxmlformats-officedocument.oleObject"/>
  <Override PartName="/xl/charts/chart5.xml" ContentType="application/vnd.openxmlformats-officedocument.drawingml.chart+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xml"/>
  <Override PartName="/xl/charts/chart7.xml" ContentType="application/vnd.openxmlformats-officedocument.drawingml.chart+xml"/>
  <Override PartName="/xl/drawings/drawing13.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charts/chart8.xml" ContentType="application/vnd.openxmlformats-officedocument.drawingml.chart+xml"/>
  <Override PartName="/xl/drawings/drawing14.xml" ContentType="application/vnd.openxmlformats-officedocument.drawing+xml"/>
  <Override PartName="/xl/charts/chart9.xml" ContentType="application/vnd.openxmlformats-officedocument.drawingml.chart+xml"/>
  <Override PartName="/xl/drawings/drawing15.xml" ContentType="application/vnd.openxmlformats-officedocument.drawing+xml"/>
  <Override PartName="/xl/embeddings/oleObject6.bin" ContentType="application/vnd.openxmlformats-officedocument.oleObject"/>
  <Override PartName="/xl/charts/chart10.xml" ContentType="application/vnd.openxmlformats-officedocument.drawingml.chart+xml"/>
  <Override PartName="/xl/drawings/drawing16.xml" ContentType="application/vnd.openxmlformats-officedocument.drawing+xml"/>
  <Override PartName="/xl/embeddings/oleObject7.bin" ContentType="application/vnd.openxmlformats-officedocument.oleObject"/>
  <Override PartName="/xl/embeddings/oleObject8.bin" ContentType="application/vnd.openxmlformats-officedocument.oleObject"/>
  <Override PartName="/xl/charts/chart1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d:\mp\projects\PR0118 - ISO 11171 Calibrations\results\cal_certs\"/>
    </mc:Choice>
  </mc:AlternateContent>
  <xr:revisionPtr revIDLastSave="0" documentId="13_ncr:1_{8A83F4E3-479C-43A0-B866-B4C419B83325}" xr6:coauthVersionLast="47" xr6:coauthVersionMax="47" xr10:uidLastSave="{00000000-0000-0000-0000-000000000000}"/>
  <bookViews>
    <workbookView xWindow="-98" yWindow="-98" windowWidth="28996" windowHeight="17745" firstSheet="3" activeTab="8" xr2:uid="{00000000-000D-0000-FFFF-FFFF00000000}"/>
  </bookViews>
  <sheets>
    <sheet name="Chart1" sheetId="87" state="hidden" r:id="rId1"/>
    <sheet name="Chart2" sheetId="65" state="hidden" r:id="rId2"/>
    <sheet name="mtd" sheetId="1" state="hidden" r:id="rId3"/>
    <sheet name="AUTO" sheetId="99" r:id="rId4"/>
    <sheet name="Cover Service Sheet" sheetId="103" r:id="rId5"/>
    <sheet name="ss" sheetId="107" state="hidden" r:id="rId6"/>
    <sheet name="Sheet1" sheetId="106" state="hidden" r:id="rId7"/>
    <sheet name="DO NOT USE post cal" sheetId="102" state="hidden" r:id="rId8"/>
    <sheet name="Auto-Calibration record" sheetId="86" r:id="rId9"/>
    <sheet name="MP Calibration Certificate" sheetId="85" r:id="rId10"/>
    <sheet name="Packing Check List" sheetId="101" state="hidden" r:id="rId11"/>
    <sheet name="LasPaCII (Stauff) Cal Cert" sheetId="89" state="hidden" r:id="rId12"/>
    <sheet name="ACE Winches" sheetId="90" state="hidden" r:id="rId13"/>
    <sheet name="Solge" sheetId="91" state="hidden" r:id="rId14"/>
    <sheet name="PLPC (RMF) Cal Cert" sheetId="93" state="hidden" r:id="rId15"/>
    <sheet name="Dutch Holding Cal Cert" sheetId="94" state="hidden" r:id="rId16"/>
    <sheet name="Blank Cal Cert (EatonWearcheck)" sheetId="96" state="hidden" r:id="rId17"/>
    <sheet name="Trescal Cal Cert" sheetId="97" state="hidden" r:id="rId18"/>
    <sheet name="NAVAIR" sheetId="108" r:id="rId19"/>
  </sheets>
  <definedNames>
    <definedName name="_666.lpacal_1" localSheetId="3">AUTO!$A$1:$B$150</definedName>
    <definedName name="_666.lpacal_2" localSheetId="3">AUTO!$H$1:$I$144</definedName>
    <definedName name="_xlnm._FilterDatabase" localSheetId="12" hidden="1">'ACE Winches'!$D$21:$J$25</definedName>
    <definedName name="LPA1.lpacal_1" localSheetId="3">AUTO!$A$1:$B$89</definedName>
    <definedName name="_xlnm.Print_Area" localSheetId="12">'ACE Winches'!$A$1:$P$88</definedName>
    <definedName name="_xlnm.Print_Area" localSheetId="8">'Auto-Calibration record'!$B$3:$L$104</definedName>
    <definedName name="_xlnm.Print_Area" localSheetId="16">'Blank Cal Cert (EatonWearcheck)'!$A$1:$P$82</definedName>
    <definedName name="_xlnm.Print_Area" localSheetId="4">'Cover Service Sheet'!$A$1:$Q$199</definedName>
    <definedName name="_xlnm.Print_Area" localSheetId="15">'Dutch Holding Cal Cert'!$A$1:$P$82</definedName>
    <definedName name="_xlnm.Print_Area" localSheetId="11">'LasPaCII (Stauff) Cal Cert'!$A$1:$I$74</definedName>
    <definedName name="_xlnm.Print_Area" localSheetId="9">'MP Calibration Certificate'!$A$1:$P$154</definedName>
    <definedName name="_xlnm.Print_Area" localSheetId="2">mtd!$A$1:$N$93</definedName>
    <definedName name="_xlnm.Print_Area" localSheetId="18">NAVAIR!$A$1:$P$154</definedName>
    <definedName name="_xlnm.Print_Area" localSheetId="14">'PLPC (RMF) Cal Cert'!$A$1:$P$82</definedName>
    <definedName name="_xlnm.Print_Area" localSheetId="13">Solge!$A$1:$P$82</definedName>
    <definedName name="_xlnm.Print_Area" localSheetId="17">'Trescal Cal Cert'!$A$1:$P$81</definedName>
    <definedName name="solver_adj" localSheetId="2" hidden="1">mtd!$I$4:$N$4</definedName>
    <definedName name="solver_cvg" localSheetId="2" hidden="1">0.0001</definedName>
    <definedName name="solver_drv" localSheetId="2" hidden="1">1</definedName>
    <definedName name="solver_est" localSheetId="2" hidden="1">1</definedName>
    <definedName name="solver_itr" localSheetId="2" hidden="1">100</definedName>
    <definedName name="solver_lin" localSheetId="2" hidden="1">2</definedName>
    <definedName name="solver_neg" localSheetId="2" hidden="1">2</definedName>
    <definedName name="solver_num" localSheetId="2" hidden="1">0</definedName>
    <definedName name="solver_nwt" localSheetId="2" hidden="1">1</definedName>
    <definedName name="solver_opt" localSheetId="2" hidden="1">mtd!$H$55</definedName>
    <definedName name="solver_pre" localSheetId="2" hidden="1">0.000001</definedName>
    <definedName name="solver_scl" localSheetId="2" hidden="1">2</definedName>
    <definedName name="solver_sho" localSheetId="2" hidden="1">2</definedName>
    <definedName name="solver_tim" localSheetId="2" hidden="1">100</definedName>
    <definedName name="solver_tol" localSheetId="2" hidden="1">0.05</definedName>
    <definedName name="solver_typ" localSheetId="2" hidden="1">2</definedName>
    <definedName name="solver_val" localSheetId="2" hidden="1">0</definedName>
  </definedNames>
  <calcPr calcId="191028" calcMode="manual"/>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52" i="108" l="1"/>
  <c r="D151" i="108"/>
  <c r="B146" i="108"/>
  <c r="B145" i="108"/>
  <c r="B144" i="108"/>
  <c r="B143" i="108"/>
  <c r="B142" i="108"/>
  <c r="B141" i="108"/>
  <c r="B138" i="108"/>
  <c r="B137" i="108"/>
  <c r="B136" i="108"/>
  <c r="B135" i="108"/>
  <c r="B134" i="108"/>
  <c r="B133" i="108"/>
  <c r="B132" i="108"/>
  <c r="B131" i="108"/>
  <c r="B130" i="108"/>
  <c r="B127" i="108"/>
  <c r="B126" i="108"/>
  <c r="B125" i="108"/>
  <c r="B124" i="108"/>
  <c r="B123" i="108"/>
  <c r="B122" i="108"/>
  <c r="B121" i="108"/>
  <c r="B120" i="108"/>
  <c r="B119" i="108"/>
  <c r="B118" i="108"/>
  <c r="B117" i="108"/>
  <c r="B116" i="108"/>
  <c r="B115" i="108"/>
  <c r="B114" i="108"/>
  <c r="B113" i="108"/>
  <c r="B112" i="108"/>
  <c r="B110" i="108"/>
  <c r="B107" i="108"/>
  <c r="B106" i="108"/>
  <c r="B103" i="108"/>
  <c r="B102" i="108"/>
  <c r="B99" i="108"/>
  <c r="B98" i="108"/>
  <c r="D76" i="108"/>
  <c r="O17" i="108"/>
  <c r="D17" i="108"/>
  <c r="G70" i="86"/>
  <c r="E70" i="86"/>
  <c r="C70" i="86"/>
  <c r="B70" i="86"/>
  <c r="B76" i="86"/>
  <c r="H35" i="108" s="1"/>
  <c r="B75" i="86"/>
  <c r="H34" i="108" s="1"/>
  <c r="B74" i="86"/>
  <c r="H33" i="108" s="1"/>
  <c r="B73" i="86"/>
  <c r="H32" i="108" s="1"/>
  <c r="B72" i="86"/>
  <c r="H31" i="108" s="1"/>
  <c r="B71" i="86"/>
  <c r="H30" i="108" s="1"/>
  <c r="B69" i="86"/>
  <c r="H29" i="108" s="1"/>
  <c r="B68" i="86"/>
  <c r="H28" i="108" s="1"/>
  <c r="C68" i="86"/>
  <c r="D17" i="103"/>
  <c r="D13" i="103"/>
  <c r="I65" i="86"/>
  <c r="F35" i="108" s="1"/>
  <c r="H65" i="86"/>
  <c r="F34" i="108" s="1"/>
  <c r="G65" i="86"/>
  <c r="F33" i="108" s="1"/>
  <c r="F65" i="86"/>
  <c r="F32" i="108" s="1"/>
  <c r="E65" i="86"/>
  <c r="F31" i="108" s="1"/>
  <c r="D65" i="86"/>
  <c r="F30" i="108" s="1"/>
  <c r="C65" i="86"/>
  <c r="F29" i="108" s="1"/>
  <c r="B65" i="86"/>
  <c r="F28" i="108" s="1"/>
  <c r="H21" i="86"/>
  <c r="G76" i="86"/>
  <c r="G75" i="86"/>
  <c r="G74" i="86"/>
  <c r="G73" i="86"/>
  <c r="G72" i="86"/>
  <c r="G71" i="86"/>
  <c r="G69" i="86"/>
  <c r="G68" i="86"/>
  <c r="E76" i="86"/>
  <c r="E75" i="86"/>
  <c r="E74" i="86"/>
  <c r="E73" i="86"/>
  <c r="E72" i="86"/>
  <c r="E71" i="86"/>
  <c r="E69" i="86"/>
  <c r="E68" i="86"/>
  <c r="C76" i="86"/>
  <c r="C75" i="86"/>
  <c r="C74" i="86"/>
  <c r="C73" i="86"/>
  <c r="C72" i="86"/>
  <c r="C71" i="86"/>
  <c r="C69" i="86"/>
  <c r="H15" i="86"/>
  <c r="D5" i="103" s="1"/>
  <c r="H19" i="86"/>
  <c r="O19" i="108" s="1"/>
  <c r="H16" i="86"/>
  <c r="O18" i="108" s="1"/>
  <c r="B11" i="86"/>
  <c r="D40" i="85" s="1"/>
  <c r="B5" i="86"/>
  <c r="B12" i="86"/>
  <c r="D70" i="86" l="1"/>
  <c r="H70" i="86"/>
  <c r="I70" i="86"/>
  <c r="J70" i="86" s="1"/>
  <c r="F70" i="86"/>
  <c r="D40" i="108"/>
  <c r="G40" i="108" s="1"/>
  <c r="D18" i="108"/>
  <c r="D68" i="86"/>
  <c r="H17" i="86"/>
  <c r="D19" i="108" s="1"/>
  <c r="B5" i="103"/>
  <c r="B6" i="103" s="1"/>
  <c r="B7" i="103" s="1"/>
  <c r="B8" i="103" s="1"/>
  <c r="B9" i="103" s="1"/>
  <c r="B10" i="103" s="1"/>
  <c r="B11" i="103" s="1"/>
  <c r="B12" i="103" s="1"/>
  <c r="B13" i="103" s="1"/>
  <c r="B14" i="103" s="1"/>
  <c r="B15" i="103" s="1"/>
  <c r="B16" i="103" s="1"/>
  <c r="B17" i="103" s="1"/>
  <c r="B20" i="103" s="1"/>
  <c r="B21" i="103" s="1"/>
  <c r="B22" i="103" s="1"/>
  <c r="B23" i="103" s="1"/>
  <c r="B24" i="103" s="1"/>
  <c r="B25" i="103" s="1"/>
  <c r="B26" i="103" s="1"/>
  <c r="B27" i="103" s="1"/>
  <c r="B28" i="103" s="1"/>
  <c r="B29" i="103" s="1"/>
  <c r="D176" i="103"/>
  <c r="D152" i="85"/>
  <c r="D151" i="85"/>
  <c r="O17" i="85"/>
  <c r="Q162" i="103"/>
  <c r="B146" i="85" s="1"/>
  <c r="Q154" i="103"/>
  <c r="B144" i="85" s="1"/>
  <c r="Q148" i="103"/>
  <c r="B143" i="85" s="1"/>
  <c r="Q130" i="103"/>
  <c r="Q116" i="103"/>
  <c r="B142" i="85" s="1"/>
  <c r="Q100" i="103"/>
  <c r="B138" i="85" s="1"/>
  <c r="B120" i="85"/>
  <c r="E40" i="108" l="1"/>
  <c r="B31" i="103"/>
  <c r="B32" i="103" s="1"/>
  <c r="B33" i="103" s="1"/>
  <c r="B34" i="103" s="1"/>
  <c r="B35" i="103" s="1"/>
  <c r="B36" i="103" s="1"/>
  <c r="B37" i="103" s="1"/>
  <c r="B38" i="103" s="1"/>
  <c r="Q7" i="103"/>
  <c r="B112" i="85" s="1"/>
  <c r="Q157" i="103"/>
  <c r="B145" i="85" s="1"/>
  <c r="Q108" i="103"/>
  <c r="B141" i="85" s="1"/>
  <c r="B137" i="85"/>
  <c r="B135" i="85"/>
  <c r="Q97" i="103"/>
  <c r="B134" i="85" s="1"/>
  <c r="Q95" i="103"/>
  <c r="B133" i="85" s="1"/>
  <c r="C94" i="103"/>
  <c r="C93" i="103"/>
  <c r="B127" i="85"/>
  <c r="B136" i="85"/>
  <c r="B126" i="85"/>
  <c r="B122" i="85" l="1"/>
  <c r="Q77" i="103"/>
  <c r="B123" i="85" s="1"/>
  <c r="B121" i="85"/>
  <c r="Q42" i="103"/>
  <c r="B118" i="85" s="1"/>
  <c r="Q39" i="103"/>
  <c r="B117" i="85" s="1"/>
  <c r="Q33" i="103"/>
  <c r="B114" i="85" s="1"/>
  <c r="Q35" i="103"/>
  <c r="B116" i="85" s="1"/>
  <c r="Q34" i="103"/>
  <c r="B115" i="85" s="1"/>
  <c r="D135" i="103"/>
  <c r="D117" i="103"/>
  <c r="D118" i="103"/>
  <c r="D152" i="103"/>
  <c r="D144" i="103"/>
  <c r="D143" i="103"/>
  <c r="D145" i="103"/>
  <c r="D142" i="103"/>
  <c r="D140" i="103" l="1"/>
  <c r="D153" i="103"/>
  <c r="D138" i="103"/>
  <c r="D137" i="103"/>
  <c r="D154" i="103"/>
  <c r="D151" i="103" l="1"/>
  <c r="D123" i="103" l="1"/>
  <c r="D124" i="103" l="1"/>
  <c r="D157" i="103"/>
  <c r="D121" i="103"/>
  <c r="D120" i="103"/>
  <c r="S99" i="103" l="1"/>
  <c r="B132" i="85"/>
  <c r="B131" i="85"/>
  <c r="Q81" i="103"/>
  <c r="B125" i="85" s="1"/>
  <c r="Q80" i="103"/>
  <c r="B124" i="85" s="1"/>
  <c r="A99" i="103" l="1"/>
  <c r="R99" i="103" s="1"/>
  <c r="G31" i="103"/>
  <c r="G176" i="103"/>
  <c r="O175" i="103"/>
  <c r="O174" i="103"/>
  <c r="O169" i="103"/>
  <c r="O168" i="103"/>
  <c r="O150" i="103"/>
  <c r="Q124" i="103"/>
  <c r="F117" i="103"/>
  <c r="F118" i="103" s="1"/>
  <c r="F119" i="103" s="1"/>
  <c r="F120" i="103" s="1"/>
  <c r="F121" i="103" s="1"/>
  <c r="F122" i="103" s="1"/>
  <c r="F123" i="103" s="1"/>
  <c r="G107" i="103"/>
  <c r="G105" i="103"/>
  <c r="O96" i="103"/>
  <c r="B130" i="85"/>
  <c r="Q94" i="103"/>
  <c r="Q93" i="103"/>
  <c r="G92" i="103"/>
  <c r="Q71" i="103"/>
  <c r="B119" i="85" s="1"/>
  <c r="D180" i="103" l="1"/>
  <c r="C194" i="103" s="1"/>
  <c r="D112" i="103"/>
  <c r="B107" i="85"/>
  <c r="B103" i="85"/>
  <c r="B99" i="85"/>
  <c r="D18" i="85"/>
  <c r="H4" i="102" s="1"/>
  <c r="A11" i="102"/>
  <c r="A12" i="102" s="1"/>
  <c r="A13" i="102" s="1"/>
  <c r="A16" i="102" s="1"/>
  <c r="A17" i="102" s="1"/>
  <c r="A18" i="102" s="1"/>
  <c r="A19" i="102" s="1"/>
  <c r="A20" i="102" s="1"/>
  <c r="A21" i="102" s="1"/>
  <c r="A22" i="102" s="1"/>
  <c r="A23" i="102" s="1"/>
  <c r="A24" i="102" s="1"/>
  <c r="A25" i="102" s="1"/>
  <c r="A26" i="102" s="1"/>
  <c r="A27" i="102" s="1"/>
  <c r="A29" i="102" s="1"/>
  <c r="H27" i="102"/>
  <c r="H7" i="102"/>
  <c r="H6" i="102"/>
  <c r="H5" i="102"/>
  <c r="D119" i="103" l="1"/>
  <c r="C186" i="103"/>
  <c r="B102" i="85" s="1"/>
  <c r="C190" i="103"/>
  <c r="B106" i="85" s="1"/>
  <c r="C182" i="103"/>
  <c r="B98" i="85" s="1"/>
  <c r="B110" i="85"/>
  <c r="A30" i="102"/>
  <c r="H121" i="103"/>
  <c r="H120" i="103"/>
  <c r="H119" i="103"/>
  <c r="A32" i="102" l="1"/>
  <c r="A33" i="102" s="1"/>
  <c r="A34" i="102" s="1"/>
  <c r="A35" i="102" s="1"/>
  <c r="A37" i="102" s="1"/>
  <c r="C1" i="107"/>
  <c r="P30" i="102"/>
  <c r="O30" i="102"/>
  <c r="N30" i="102"/>
  <c r="M30" i="102"/>
  <c r="L30" i="102"/>
  <c r="K30" i="102"/>
  <c r="J30" i="102"/>
  <c r="I30" i="102"/>
  <c r="I71" i="102"/>
  <c r="I45" i="102"/>
  <c r="F68" i="86"/>
  <c r="F69" i="86"/>
  <c r="I74" i="86"/>
  <c r="J33" i="108" s="1"/>
  <c r="K33" i="108" s="1"/>
  <c r="L33" i="108" s="1"/>
  <c r="D5" i="106"/>
  <c r="D4" i="106"/>
  <c r="O224" i="106"/>
  <c r="O223" i="106"/>
  <c r="O217" i="106"/>
  <c r="O216" i="106"/>
  <c r="O205" i="106"/>
  <c r="A197" i="106"/>
  <c r="O197" i="106"/>
  <c r="A196" i="106"/>
  <c r="O196" i="106"/>
  <c r="O140" i="106"/>
  <c r="I136" i="106"/>
  <c r="I132" i="106"/>
  <c r="O126" i="106"/>
  <c r="O125" i="106"/>
  <c r="O124" i="106"/>
  <c r="O123" i="106"/>
  <c r="O122" i="106"/>
  <c r="O121" i="106"/>
  <c r="O119" i="106"/>
  <c r="O118" i="106"/>
  <c r="O117" i="106"/>
  <c r="O116" i="106"/>
  <c r="O114" i="106"/>
  <c r="O113" i="106"/>
  <c r="O112" i="106"/>
  <c r="O110" i="106"/>
  <c r="O109" i="106"/>
  <c r="O108" i="106"/>
  <c r="O107" i="106"/>
  <c r="O104" i="106"/>
  <c r="O103" i="106"/>
  <c r="O102" i="106"/>
  <c r="O101" i="106"/>
  <c r="O100" i="106"/>
  <c r="O99" i="106"/>
  <c r="O98" i="106"/>
  <c r="O97" i="106"/>
  <c r="L96" i="106"/>
  <c r="I96" i="106"/>
  <c r="F96" i="106"/>
  <c r="E96" i="106"/>
  <c r="O94" i="106"/>
  <c r="O93" i="106"/>
  <c r="I89" i="106"/>
  <c r="O87" i="106"/>
  <c r="O86" i="106"/>
  <c r="O85" i="106"/>
  <c r="O84" i="106"/>
  <c r="O83" i="106"/>
  <c r="O82" i="106"/>
  <c r="O80" i="106"/>
  <c r="O79" i="106"/>
  <c r="O78" i="106"/>
  <c r="O77" i="106"/>
  <c r="O76" i="106"/>
  <c r="O73" i="106"/>
  <c r="O72" i="106"/>
  <c r="O71" i="106"/>
  <c r="O69" i="106"/>
  <c r="O64" i="106"/>
  <c r="O56" i="106"/>
  <c r="O54" i="106"/>
  <c r="C54" i="106"/>
  <c r="O27" i="106"/>
  <c r="O26" i="106"/>
  <c r="O25" i="106"/>
  <c r="O22" i="106"/>
  <c r="O21" i="106"/>
  <c r="O19" i="106"/>
  <c r="O18" i="106"/>
  <c r="O9" i="106"/>
  <c r="G91" i="106"/>
  <c r="B5" i="106"/>
  <c r="B6" i="106" s="1"/>
  <c r="B7" i="106" s="1"/>
  <c r="B8" i="106" s="1"/>
  <c r="B9" i="106" s="1"/>
  <c r="B10" i="106" s="1"/>
  <c r="B11" i="106" s="1"/>
  <c r="B12" i="106" s="1"/>
  <c r="B13" i="106" s="1"/>
  <c r="B15" i="106" s="1"/>
  <c r="B16" i="106" s="1"/>
  <c r="B18" i="106" s="1"/>
  <c r="B19" i="106" s="1"/>
  <c r="B20" i="106" s="1"/>
  <c r="B21" i="106" s="1"/>
  <c r="B22" i="106" s="1"/>
  <c r="B23" i="106" s="1"/>
  <c r="B24" i="106" s="1"/>
  <c r="B25" i="106" s="1"/>
  <c r="B26" i="106" s="1"/>
  <c r="B27" i="106" s="1"/>
  <c r="B28" i="106" s="1"/>
  <c r="B29" i="106" s="1"/>
  <c r="B30" i="106" s="1"/>
  <c r="B31" i="106" s="1"/>
  <c r="B32" i="106" s="1"/>
  <c r="B33" i="106" s="1"/>
  <c r="B34" i="106" s="1"/>
  <c r="B35" i="106" s="1"/>
  <c r="B36" i="106" s="1"/>
  <c r="B37" i="106" s="1"/>
  <c r="B38" i="106" s="1"/>
  <c r="B39" i="106" s="1"/>
  <c r="B40" i="106" s="1"/>
  <c r="B41" i="106" s="1"/>
  <c r="B42" i="106" s="1"/>
  <c r="B43" i="106" s="1"/>
  <c r="B44" i="106" s="1"/>
  <c r="B45" i="106" s="1"/>
  <c r="B46" i="106" s="1"/>
  <c r="B47" i="106" s="1"/>
  <c r="B48" i="106" s="1"/>
  <c r="B49" i="106" s="1"/>
  <c r="B50" i="106" s="1"/>
  <c r="B51" i="106" s="1"/>
  <c r="B52" i="106" s="1"/>
  <c r="B53" i="106" s="1"/>
  <c r="B54" i="106" s="1"/>
  <c r="B55" i="106" s="1"/>
  <c r="B56" i="106" s="1"/>
  <c r="B57" i="106" s="1"/>
  <c r="B58" i="106" s="1"/>
  <c r="B59" i="106" s="1"/>
  <c r="B60" i="106" s="1"/>
  <c r="B61" i="106" s="1"/>
  <c r="B62" i="106" s="1"/>
  <c r="B63" i="106" s="1"/>
  <c r="B64" i="106" s="1"/>
  <c r="B65" i="106" s="1"/>
  <c r="B66" i="106" s="1"/>
  <c r="B67" i="106" s="1"/>
  <c r="B68" i="106" s="1"/>
  <c r="B69" i="106" s="1"/>
  <c r="B71" i="106" s="1"/>
  <c r="B72" i="106" s="1"/>
  <c r="B73" i="106" s="1"/>
  <c r="B74" i="106" s="1"/>
  <c r="B75" i="106" s="1"/>
  <c r="B76" i="106" s="1"/>
  <c r="B77" i="106" s="1"/>
  <c r="B78" i="106" s="1"/>
  <c r="B79" i="106" s="1"/>
  <c r="B80" i="106" s="1"/>
  <c r="B82" i="106" s="1"/>
  <c r="B83" i="106" s="1"/>
  <c r="B84" i="106" s="1"/>
  <c r="B85" i="106" s="1"/>
  <c r="B86" i="106" s="1"/>
  <c r="B87" i="106" s="1"/>
  <c r="B88" i="106" s="1"/>
  <c r="B89" i="106" s="1"/>
  <c r="B91" i="106" s="1"/>
  <c r="B92" i="106" s="1"/>
  <c r="B93" i="106" s="1"/>
  <c r="B94" i="106" s="1"/>
  <c r="B95" i="106" s="1"/>
  <c r="B96" i="106" s="1"/>
  <c r="B97" i="106" s="1"/>
  <c r="B98" i="106" s="1"/>
  <c r="B99" i="106" s="1"/>
  <c r="B100" i="106" s="1"/>
  <c r="B101" i="106" s="1"/>
  <c r="B102" i="106" s="1"/>
  <c r="B103" i="106" s="1"/>
  <c r="B104" i="106" s="1"/>
  <c r="B105" i="106" s="1"/>
  <c r="B106" i="106" s="1"/>
  <c r="B107" i="106" s="1"/>
  <c r="B108" i="106" s="1"/>
  <c r="B109" i="106" s="1"/>
  <c r="B110" i="106" s="1"/>
  <c r="Q29" i="103"/>
  <c r="Q28" i="103"/>
  <c r="Q27" i="103"/>
  <c r="Q25" i="103"/>
  <c r="Q24" i="103"/>
  <c r="Q23" i="103"/>
  <c r="Q22" i="103"/>
  <c r="Q21" i="103"/>
  <c r="Q20" i="103"/>
  <c r="Q12" i="103"/>
  <c r="Q9" i="103"/>
  <c r="Q8" i="103"/>
  <c r="B113" i="85" s="1"/>
  <c r="E5" i="103"/>
  <c r="E5" i="106" s="1"/>
  <c r="D76" i="85"/>
  <c r="F40" i="90"/>
  <c r="G165" i="106"/>
  <c r="G164" i="106"/>
  <c r="F30" i="85"/>
  <c r="F35" i="90"/>
  <c r="G166" i="106"/>
  <c r="G161" i="106"/>
  <c r="I72" i="86"/>
  <c r="J31" i="108" s="1"/>
  <c r="K31" i="108" s="1"/>
  <c r="L31" i="108" s="1"/>
  <c r="I75" i="86"/>
  <c r="D19" i="85"/>
  <c r="B14" i="86"/>
  <c r="B6" i="86"/>
  <c r="F13" i="89"/>
  <c r="E15" i="89" s="1"/>
  <c r="F42" i="89" s="1"/>
  <c r="O19" i="85"/>
  <c r="D18" i="94"/>
  <c r="D18" i="96"/>
  <c r="B30" i="86"/>
  <c r="B29" i="86"/>
  <c r="B28" i="86"/>
  <c r="B27" i="86"/>
  <c r="B26" i="86"/>
  <c r="B25" i="86"/>
  <c r="B24" i="86"/>
  <c r="B23" i="86"/>
  <c r="B8" i="86"/>
  <c r="B7" i="86"/>
  <c r="J40" i="97"/>
  <c r="D40" i="97"/>
  <c r="O19" i="97"/>
  <c r="O17" i="97"/>
  <c r="J40" i="96"/>
  <c r="D40" i="96"/>
  <c r="O19" i="96"/>
  <c r="O17" i="96"/>
  <c r="J40" i="94"/>
  <c r="D40" i="94"/>
  <c r="O19" i="94"/>
  <c r="O17" i="94"/>
  <c r="J40" i="93"/>
  <c r="D40" i="93"/>
  <c r="O19" i="93"/>
  <c r="O17" i="93"/>
  <c r="J40" i="91"/>
  <c r="D40" i="91"/>
  <c r="O19" i="91"/>
  <c r="O17" i="91"/>
  <c r="J46" i="90"/>
  <c r="D46" i="90"/>
  <c r="O19" i="90"/>
  <c r="O17" i="90"/>
  <c r="E45" i="89"/>
  <c r="E44" i="89"/>
  <c r="C67" i="89"/>
  <c r="C4" i="1"/>
  <c r="F4" i="1"/>
  <c r="C5" i="1"/>
  <c r="F5" i="1"/>
  <c r="C6" i="1"/>
  <c r="F6" i="1"/>
  <c r="C7" i="1"/>
  <c r="F7" i="1"/>
  <c r="C8" i="1"/>
  <c r="F8" i="1"/>
  <c r="C9" i="1"/>
  <c r="F9" i="1"/>
  <c r="I9" i="1"/>
  <c r="C10" i="1"/>
  <c r="F10" i="1"/>
  <c r="C11" i="1"/>
  <c r="F11" i="1"/>
  <c r="C12" i="1"/>
  <c r="F12" i="1"/>
  <c r="C13" i="1"/>
  <c r="F13" i="1"/>
  <c r="C14" i="1"/>
  <c r="F14" i="1"/>
  <c r="C15" i="1"/>
  <c r="F15" i="1"/>
  <c r="C16" i="1"/>
  <c r="F16" i="1"/>
  <c r="C17" i="1"/>
  <c r="C18" i="1"/>
  <c r="F18" i="1"/>
  <c r="C19" i="1"/>
  <c r="F19" i="1"/>
  <c r="C20" i="1"/>
  <c r="F20" i="1"/>
  <c r="C21" i="1"/>
  <c r="F21" i="1"/>
  <c r="C22" i="1"/>
  <c r="F22" i="1"/>
  <c r="C23" i="1"/>
  <c r="F23" i="1"/>
  <c r="C24" i="1"/>
  <c r="F24" i="1"/>
  <c r="C25" i="1"/>
  <c r="F25" i="1"/>
  <c r="C26" i="1"/>
  <c r="F26" i="1"/>
  <c r="C27" i="1"/>
  <c r="F27" i="1"/>
  <c r="C28" i="1"/>
  <c r="F28" i="1"/>
  <c r="C29" i="1"/>
  <c r="F29" i="1"/>
  <c r="C30" i="1"/>
  <c r="F30" i="1"/>
  <c r="C31" i="1"/>
  <c r="F31" i="1"/>
  <c r="C32" i="1"/>
  <c r="F32" i="1"/>
  <c r="C33" i="1"/>
  <c r="F33" i="1"/>
  <c r="C34" i="1"/>
  <c r="F34" i="1"/>
  <c r="C35" i="1"/>
  <c r="F35" i="1"/>
  <c r="C36" i="1"/>
  <c r="F36" i="1"/>
  <c r="C37" i="1"/>
  <c r="F37" i="1"/>
  <c r="C38" i="1"/>
  <c r="F38" i="1"/>
  <c r="C39" i="1"/>
  <c r="F39" i="1"/>
  <c r="C40" i="1"/>
  <c r="F40" i="1"/>
  <c r="C41" i="1"/>
  <c r="C42" i="1"/>
  <c r="F42" i="1"/>
  <c r="C43" i="1"/>
  <c r="F43" i="1"/>
  <c r="C44" i="1"/>
  <c r="F44" i="1"/>
  <c r="C45" i="1"/>
  <c r="F45" i="1"/>
  <c r="C46" i="1"/>
  <c r="F46" i="1"/>
  <c r="C47" i="1"/>
  <c r="F47" i="1"/>
  <c r="C48" i="1"/>
  <c r="F48" i="1"/>
  <c r="C49" i="1"/>
  <c r="F49" i="1"/>
  <c r="C50" i="1"/>
  <c r="F50" i="1"/>
  <c r="C51" i="1"/>
  <c r="F51" i="1"/>
  <c r="C52" i="1"/>
  <c r="F52" i="1"/>
  <c r="C53" i="1"/>
  <c r="B54" i="1"/>
  <c r="F54" i="1"/>
  <c r="B55" i="1"/>
  <c r="F55" i="1"/>
  <c r="B56" i="1"/>
  <c r="F56" i="1"/>
  <c r="B57" i="1"/>
  <c r="F57" i="1"/>
  <c r="B58" i="1"/>
  <c r="F58" i="1"/>
  <c r="B59" i="1"/>
  <c r="F59" i="1"/>
  <c r="B60" i="1"/>
  <c r="F60" i="1"/>
  <c r="B61" i="1"/>
  <c r="F61" i="1"/>
  <c r="B62" i="1"/>
  <c r="F62" i="1"/>
  <c r="B63" i="1"/>
  <c r="F63" i="1"/>
  <c r="B64" i="1"/>
  <c r="F64" i="1"/>
  <c r="B65" i="1"/>
  <c r="F65" i="1"/>
  <c r="B66" i="1"/>
  <c r="F66" i="1"/>
  <c r="B67" i="1"/>
  <c r="F67" i="1"/>
  <c r="B68" i="1"/>
  <c r="F68" i="1"/>
  <c r="B69" i="1"/>
  <c r="F69" i="1"/>
  <c r="B70" i="1"/>
  <c r="F70" i="1"/>
  <c r="B71" i="1"/>
  <c r="F71" i="1"/>
  <c r="B72" i="1"/>
  <c r="F72" i="1"/>
  <c r="B73" i="1"/>
  <c r="F73" i="1"/>
  <c r="B74" i="1"/>
  <c r="F74" i="1"/>
  <c r="B75" i="1"/>
  <c r="F75" i="1"/>
  <c r="B76" i="1"/>
  <c r="F76" i="1"/>
  <c r="B77" i="1"/>
  <c r="F77" i="1"/>
  <c r="B78" i="1"/>
  <c r="F78" i="1"/>
  <c r="B79" i="1"/>
  <c r="F79" i="1"/>
  <c r="B80" i="1"/>
  <c r="F80" i="1"/>
  <c r="B81" i="1"/>
  <c r="F81" i="1"/>
  <c r="B82" i="1"/>
  <c r="F82" i="1"/>
  <c r="B83" i="1"/>
  <c r="F83" i="1"/>
  <c r="B84" i="1"/>
  <c r="F84" i="1"/>
  <c r="B85" i="1"/>
  <c r="F85" i="1"/>
  <c r="B86" i="1"/>
  <c r="F86" i="1"/>
  <c r="B87" i="1"/>
  <c r="F87" i="1"/>
  <c r="B88" i="1"/>
  <c r="F88" i="1"/>
  <c r="B89" i="1"/>
  <c r="F89" i="1"/>
  <c r="B90" i="1"/>
  <c r="F90" i="1"/>
  <c r="B91" i="1"/>
  <c r="F91" i="1"/>
  <c r="B92" i="1"/>
  <c r="F92" i="1"/>
  <c r="B93" i="1"/>
  <c r="F93" i="1"/>
  <c r="O18" i="97"/>
  <c r="O18" i="90"/>
  <c r="D25" i="89"/>
  <c r="O18" i="93"/>
  <c r="O18" i="91"/>
  <c r="O18" i="85"/>
  <c r="O18" i="96"/>
  <c r="O18" i="94"/>
  <c r="E13" i="89"/>
  <c r="H35" i="90"/>
  <c r="H28" i="94"/>
  <c r="F53" i="1"/>
  <c r="F41" i="1"/>
  <c r="F17" i="1"/>
  <c r="H29" i="93"/>
  <c r="H29" i="96"/>
  <c r="H28" i="85"/>
  <c r="H34" i="90"/>
  <c r="D57" i="89"/>
  <c r="H28" i="93"/>
  <c r="H28" i="91"/>
  <c r="H28" i="96"/>
  <c r="H29" i="85"/>
  <c r="H28" i="97"/>
  <c r="H29" i="91"/>
  <c r="H29" i="97"/>
  <c r="H29" i="94"/>
  <c r="D58" i="89"/>
  <c r="H68" i="86"/>
  <c r="H69" i="86"/>
  <c r="D69" i="86"/>
  <c r="F34" i="90"/>
  <c r="G46" i="90" s="1"/>
  <c r="F28" i="97"/>
  <c r="G40" i="97" s="1"/>
  <c r="F28" i="91"/>
  <c r="E40" i="91" s="1"/>
  <c r="F28" i="94"/>
  <c r="F32" i="91"/>
  <c r="F32" i="97"/>
  <c r="F32" i="85"/>
  <c r="F32" i="94"/>
  <c r="F32" i="96"/>
  <c r="C61" i="89"/>
  <c r="F38" i="90"/>
  <c r="F32" i="93"/>
  <c r="F31" i="93"/>
  <c r="F31" i="97"/>
  <c r="C64" i="89"/>
  <c r="F35" i="93"/>
  <c r="F33" i="85"/>
  <c r="F39" i="90"/>
  <c r="F33" i="91"/>
  <c r="F33" i="97"/>
  <c r="C62" i="89"/>
  <c r="F33" i="96"/>
  <c r="F33" i="94"/>
  <c r="F33" i="93"/>
  <c r="J34" i="97" l="1"/>
  <c r="J34" i="108"/>
  <c r="K34" i="108" s="1"/>
  <c r="L34" i="108" s="1"/>
  <c r="G40" i="94"/>
  <c r="F34" i="91"/>
  <c r="C59" i="89"/>
  <c r="F29" i="85"/>
  <c r="F30" i="97"/>
  <c r="G162" i="106"/>
  <c r="L46" i="90"/>
  <c r="K46" i="90"/>
  <c r="G163" i="106"/>
  <c r="H118" i="103"/>
  <c r="F30" i="96"/>
  <c r="I68" i="86"/>
  <c r="F29" i="94"/>
  <c r="L40" i="94" s="1"/>
  <c r="H117" i="103"/>
  <c r="C58" i="89"/>
  <c r="F36" i="90"/>
  <c r="F29" i="97"/>
  <c r="L40" i="97" s="1"/>
  <c r="H31" i="96"/>
  <c r="I69" i="86"/>
  <c r="F30" i="93"/>
  <c r="G167" i="106"/>
  <c r="H122" i="103"/>
  <c r="H30" i="97"/>
  <c r="H32" i="91"/>
  <c r="F30" i="91"/>
  <c r="H34" i="96"/>
  <c r="F28" i="93"/>
  <c r="G40" i="93" s="1"/>
  <c r="H116" i="103"/>
  <c r="G168" i="106"/>
  <c r="H123" i="103"/>
  <c r="F30" i="94"/>
  <c r="D17" i="93"/>
  <c r="D17" i="85"/>
  <c r="H3" i="102" s="1"/>
  <c r="E40" i="97"/>
  <c r="H33" i="93"/>
  <c r="F63" i="89"/>
  <c r="H30" i="96"/>
  <c r="J34" i="85"/>
  <c r="J34" i="96" s="1"/>
  <c r="J34" i="94"/>
  <c r="J33" i="97"/>
  <c r="J33" i="91"/>
  <c r="J39" i="90"/>
  <c r="J31" i="97"/>
  <c r="J37" i="90"/>
  <c r="F60" i="89"/>
  <c r="F35" i="91"/>
  <c r="F35" i="97"/>
  <c r="F31" i="85"/>
  <c r="E40" i="94"/>
  <c r="F35" i="96"/>
  <c r="F35" i="94"/>
  <c r="C60" i="89"/>
  <c r="F37" i="90"/>
  <c r="C57" i="89"/>
  <c r="F28" i="96"/>
  <c r="F29" i="93"/>
  <c r="F29" i="91"/>
  <c r="J34" i="91"/>
  <c r="J40" i="90"/>
  <c r="I73" i="86"/>
  <c r="D18" i="90"/>
  <c r="D18" i="93"/>
  <c r="I76" i="86"/>
  <c r="I71" i="86"/>
  <c r="F31" i="91"/>
  <c r="F35" i="85"/>
  <c r="F41" i="90"/>
  <c r="F31" i="94"/>
  <c r="F31" i="96"/>
  <c r="F28" i="85"/>
  <c r="G40" i="85" s="1"/>
  <c r="F29" i="96"/>
  <c r="F71" i="86"/>
  <c r="J34" i="93"/>
  <c r="D18" i="97"/>
  <c r="D18" i="91"/>
  <c r="D64" i="89"/>
  <c r="H41" i="90"/>
  <c r="D76" i="86"/>
  <c r="H35" i="93"/>
  <c r="H35" i="94"/>
  <c r="H35" i="91"/>
  <c r="H76" i="86"/>
  <c r="H35" i="96"/>
  <c r="H35" i="97"/>
  <c r="H35" i="85"/>
  <c r="F76" i="86"/>
  <c r="D19" i="90"/>
  <c r="J31" i="91"/>
  <c r="J31" i="93"/>
  <c r="J33" i="94"/>
  <c r="D19" i="91"/>
  <c r="E46" i="90"/>
  <c r="G40" i="91"/>
  <c r="C63" i="89"/>
  <c r="F34" i="85"/>
  <c r="F34" i="94"/>
  <c r="J31" i="94"/>
  <c r="J33" i="85"/>
  <c r="J33" i="93"/>
  <c r="F34" i="97"/>
  <c r="F34" i="96"/>
  <c r="F34" i="93"/>
  <c r="J31" i="85"/>
  <c r="F62" i="89"/>
  <c r="D19" i="97"/>
  <c r="D19" i="94"/>
  <c r="D19" i="96"/>
  <c r="D19" i="93"/>
  <c r="C60" i="106"/>
  <c r="D17" i="96"/>
  <c r="D17" i="97"/>
  <c r="D17" i="90"/>
  <c r="D144" i="106"/>
  <c r="D17" i="91"/>
  <c r="E41" i="89"/>
  <c r="D14" i="89"/>
  <c r="D17" i="94"/>
  <c r="D13" i="106"/>
  <c r="G236" i="106" s="1"/>
  <c r="B112" i="106"/>
  <c r="B113" i="106" s="1"/>
  <c r="B114" i="106" s="1"/>
  <c r="B115" i="106" s="1"/>
  <c r="B116" i="106" s="1"/>
  <c r="B117" i="106" s="1"/>
  <c r="B118" i="106" s="1"/>
  <c r="B119" i="106" s="1"/>
  <c r="B121" i="106" s="1"/>
  <c r="B122" i="106" s="1"/>
  <c r="B123" i="106" s="1"/>
  <c r="B124" i="106" s="1"/>
  <c r="B125" i="106" s="1"/>
  <c r="B126" i="106" s="1"/>
  <c r="B127" i="106" s="1"/>
  <c r="B128" i="106" s="1"/>
  <c r="B129" i="106" s="1"/>
  <c r="B130" i="106" s="1"/>
  <c r="B131" i="106" s="1"/>
  <c r="B132" i="106" s="1"/>
  <c r="B134" i="106" s="1"/>
  <c r="B135" i="106" s="1"/>
  <c r="B136" i="106" s="1"/>
  <c r="B137" i="106" s="1"/>
  <c r="B138" i="106" s="1"/>
  <c r="B139" i="106" s="1"/>
  <c r="B140" i="106" s="1"/>
  <c r="B142" i="106" s="1"/>
  <c r="B143" i="106" s="1"/>
  <c r="B144" i="106" s="1"/>
  <c r="B145" i="106" s="1"/>
  <c r="B147" i="106" s="1"/>
  <c r="B148" i="106" s="1"/>
  <c r="B149" i="106" s="1"/>
  <c r="B150" i="106" s="1"/>
  <c r="B151" i="106" s="1"/>
  <c r="B152" i="106" s="1"/>
  <c r="B153" i="106" s="1"/>
  <c r="B154" i="106" s="1"/>
  <c r="B155" i="106" s="1"/>
  <c r="B156" i="106" s="1"/>
  <c r="B157" i="106" s="1"/>
  <c r="B158" i="106" s="1"/>
  <c r="B159" i="106" s="1"/>
  <c r="B160" i="106" s="1"/>
  <c r="B161" i="106" s="1"/>
  <c r="B162" i="106" s="1"/>
  <c r="B163" i="106" s="1"/>
  <c r="B164" i="106" s="1"/>
  <c r="B165" i="106" s="1"/>
  <c r="B166" i="106" s="1"/>
  <c r="B167" i="106" s="1"/>
  <c r="B168" i="106" s="1"/>
  <c r="B169" i="106" s="1"/>
  <c r="B170" i="106" s="1"/>
  <c r="B171" i="106" s="1"/>
  <c r="B172" i="106" s="1"/>
  <c r="B174" i="106" s="1"/>
  <c r="B175" i="106" s="1"/>
  <c r="B176" i="106" s="1"/>
  <c r="B177" i="106" s="1"/>
  <c r="B178" i="106" s="1"/>
  <c r="B179" i="106" s="1"/>
  <c r="B180" i="106" s="1"/>
  <c r="B181" i="106" s="1"/>
  <c r="B182" i="106" s="1"/>
  <c r="B183" i="106" s="1"/>
  <c r="B184" i="106" s="1"/>
  <c r="B185" i="106" s="1"/>
  <c r="B186" i="106" s="1"/>
  <c r="B187" i="106" s="1"/>
  <c r="B188" i="106" s="1"/>
  <c r="B189" i="106" s="1"/>
  <c r="B190" i="106" s="1"/>
  <c r="B191" i="106" s="1"/>
  <c r="B192" i="106" s="1"/>
  <c r="B193" i="106" s="1"/>
  <c r="B194" i="106" s="1"/>
  <c r="B195" i="106" s="1"/>
  <c r="B196" i="106" s="1"/>
  <c r="B197" i="106" s="1"/>
  <c r="B198" i="106" s="1"/>
  <c r="B199" i="106" s="1"/>
  <c r="B201" i="106" s="1"/>
  <c r="B202" i="106" s="1"/>
  <c r="B203" i="106" s="1"/>
  <c r="B204" i="106" s="1"/>
  <c r="B205" i="106" s="1"/>
  <c r="B207" i="106" s="1"/>
  <c r="B208" i="106" s="1"/>
  <c r="B210" i="106" s="1"/>
  <c r="B211" i="106" s="1"/>
  <c r="B212" i="106" s="1"/>
  <c r="B213" i="106" s="1"/>
  <c r="B214" i="106" s="1"/>
  <c r="B216" i="106" s="1"/>
  <c r="B217" i="106" s="1"/>
  <c r="B218" i="106" s="1"/>
  <c r="B219" i="106" s="1"/>
  <c r="B220" i="106" s="1"/>
  <c r="B221" i="106" s="1"/>
  <c r="B222" i="106" s="1"/>
  <c r="B223" i="106" s="1"/>
  <c r="B224" i="106" s="1"/>
  <c r="B225" i="106" s="1"/>
  <c r="B226" i="106" s="1"/>
  <c r="B227" i="106" s="1"/>
  <c r="B111" i="106"/>
  <c r="D9" i="106"/>
  <c r="G15" i="106"/>
  <c r="J32" i="93" l="1"/>
  <c r="J32" i="108"/>
  <c r="K32" i="108" s="1"/>
  <c r="L32" i="108" s="1"/>
  <c r="J29" i="94"/>
  <c r="K29" i="94" s="1"/>
  <c r="L29" i="94" s="1"/>
  <c r="J29" i="108"/>
  <c r="K29" i="108" s="1"/>
  <c r="L29" i="108" s="1"/>
  <c r="J28" i="85"/>
  <c r="J28" i="96" s="1"/>
  <c r="K28" i="96" s="1"/>
  <c r="L28" i="96" s="1"/>
  <c r="J28" i="108"/>
  <c r="K28" i="108" s="1"/>
  <c r="L28" i="108" s="1"/>
  <c r="J30" i="97"/>
  <c r="K30" i="97" s="1"/>
  <c r="L30" i="97" s="1"/>
  <c r="J30" i="108"/>
  <c r="K30" i="108" s="1"/>
  <c r="L30" i="108" s="1"/>
  <c r="J35" i="93"/>
  <c r="J35" i="108"/>
  <c r="K35" i="108" s="1"/>
  <c r="L35" i="108" s="1"/>
  <c r="H32" i="85"/>
  <c r="H30" i="91"/>
  <c r="H32" i="93"/>
  <c r="K32" i="93" s="1"/>
  <c r="L32" i="93" s="1"/>
  <c r="H32" i="94"/>
  <c r="H32" i="96"/>
  <c r="H30" i="93"/>
  <c r="D71" i="86"/>
  <c r="H73" i="86"/>
  <c r="D59" i="89"/>
  <c r="H38" i="90"/>
  <c r="H32" i="97"/>
  <c r="H31" i="94"/>
  <c r="K31" i="94" s="1"/>
  <c r="L31" i="94" s="1"/>
  <c r="F73" i="86"/>
  <c r="D72" i="86"/>
  <c r="D73" i="86"/>
  <c r="H30" i="94"/>
  <c r="D61" i="89"/>
  <c r="F74" i="86"/>
  <c r="H72" i="86"/>
  <c r="J72" i="86"/>
  <c r="D63" i="89"/>
  <c r="J35" i="90"/>
  <c r="K35" i="90" s="1"/>
  <c r="L35" i="90" s="1"/>
  <c r="E40" i="93"/>
  <c r="H34" i="93"/>
  <c r="H34" i="91"/>
  <c r="H34" i="85"/>
  <c r="J28" i="97"/>
  <c r="K28" i="97" s="1"/>
  <c r="L28" i="97" s="1"/>
  <c r="F57" i="89"/>
  <c r="G57" i="89" s="1"/>
  <c r="H57" i="89" s="1"/>
  <c r="J28" i="94"/>
  <c r="K28" i="94" s="1"/>
  <c r="L28" i="94" s="1"/>
  <c r="D75" i="86"/>
  <c r="J28" i="91"/>
  <c r="K28" i="91" s="1"/>
  <c r="L28" i="91" s="1"/>
  <c r="J68" i="86"/>
  <c r="D60" i="89"/>
  <c r="G60" i="89" s="1"/>
  <c r="H60" i="89" s="1"/>
  <c r="J29" i="97"/>
  <c r="K29" i="97" s="1"/>
  <c r="L29" i="97" s="1"/>
  <c r="H75" i="86"/>
  <c r="J29" i="93"/>
  <c r="K29" i="93" s="1"/>
  <c r="L29" i="93" s="1"/>
  <c r="F72" i="86"/>
  <c r="K40" i="97"/>
  <c r="H37" i="90"/>
  <c r="K37" i="90" s="1"/>
  <c r="L37" i="90" s="1"/>
  <c r="J34" i="90"/>
  <c r="K34" i="90" s="1"/>
  <c r="L34" i="90" s="1"/>
  <c r="J28" i="93"/>
  <c r="K28" i="93" s="1"/>
  <c r="L28" i="93" s="1"/>
  <c r="J35" i="94"/>
  <c r="J29" i="91"/>
  <c r="K29" i="91" s="1"/>
  <c r="L29" i="91" s="1"/>
  <c r="J69" i="86"/>
  <c r="F58" i="89"/>
  <c r="G58" i="89" s="1"/>
  <c r="H58" i="89" s="1"/>
  <c r="J29" i="85"/>
  <c r="H40" i="90"/>
  <c r="H34" i="97"/>
  <c r="H34" i="94"/>
  <c r="H31" i="85"/>
  <c r="K31" i="85" s="1"/>
  <c r="L31" i="85" s="1"/>
  <c r="H31" i="97"/>
  <c r="K31" i="97" s="1"/>
  <c r="L31" i="97" s="1"/>
  <c r="J30" i="85"/>
  <c r="J30" i="96" s="1"/>
  <c r="K30" i="96" s="1"/>
  <c r="L30" i="96" s="1"/>
  <c r="F75" i="86"/>
  <c r="K40" i="94"/>
  <c r="H31" i="93"/>
  <c r="K31" i="93" s="1"/>
  <c r="L31" i="93" s="1"/>
  <c r="J75" i="86"/>
  <c r="H31" i="91"/>
  <c r="K31" i="91" s="1"/>
  <c r="L31" i="91" s="1"/>
  <c r="H36" i="90"/>
  <c r="H71" i="86"/>
  <c r="H30" i="85"/>
  <c r="K33" i="93"/>
  <c r="L33" i="93" s="1"/>
  <c r="J73" i="86"/>
  <c r="J32" i="94"/>
  <c r="H33" i="97"/>
  <c r="K33" i="97" s="1"/>
  <c r="L33" i="97" s="1"/>
  <c r="H74" i="86"/>
  <c r="H39" i="90"/>
  <c r="K39" i="90" s="1"/>
  <c r="L39" i="90" s="1"/>
  <c r="H33" i="85"/>
  <c r="K33" i="85" s="1"/>
  <c r="L33" i="85" s="1"/>
  <c r="D62" i="89"/>
  <c r="G62" i="89" s="1"/>
  <c r="H62" i="89" s="1"/>
  <c r="D74" i="86"/>
  <c r="J32" i="85"/>
  <c r="J32" i="96" s="1"/>
  <c r="J74" i="86"/>
  <c r="H33" i="96"/>
  <c r="H33" i="91"/>
  <c r="K33" i="91" s="1"/>
  <c r="L33" i="91" s="1"/>
  <c r="H33" i="94"/>
  <c r="K33" i="94" s="1"/>
  <c r="L33" i="94" s="1"/>
  <c r="J35" i="85"/>
  <c r="J35" i="96" s="1"/>
  <c r="J35" i="91"/>
  <c r="J35" i="97"/>
  <c r="F64" i="89"/>
  <c r="J41" i="90"/>
  <c r="J76" i="86"/>
  <c r="J30" i="91"/>
  <c r="J30" i="93"/>
  <c r="J36" i="90"/>
  <c r="K40" i="96"/>
  <c r="L40" i="96"/>
  <c r="F59" i="89"/>
  <c r="J71" i="86"/>
  <c r="L40" i="93"/>
  <c r="K40" i="93"/>
  <c r="E40" i="85"/>
  <c r="J32" i="91"/>
  <c r="K32" i="91" s="1"/>
  <c r="L32" i="91" s="1"/>
  <c r="F61" i="89"/>
  <c r="J32" i="97"/>
  <c r="K40" i="91"/>
  <c r="L40" i="91"/>
  <c r="J38" i="90"/>
  <c r="J30" i="94"/>
  <c r="E40" i="96"/>
  <c r="G40" i="96"/>
  <c r="J31" i="96"/>
  <c r="K31" i="96" s="1"/>
  <c r="L31" i="96" s="1"/>
  <c r="J33" i="96"/>
  <c r="G134" i="106"/>
  <c r="G131" i="106"/>
  <c r="K32" i="94" l="1"/>
  <c r="L32" i="94" s="1"/>
  <c r="K28" i="85"/>
  <c r="L28" i="85" s="1"/>
  <c r="G61" i="89"/>
  <c r="H61" i="89" s="1"/>
  <c r="K32" i="96"/>
  <c r="L32" i="96" s="1"/>
  <c r="K30" i="94"/>
  <c r="L30" i="94" s="1"/>
  <c r="K30" i="91"/>
  <c r="L30" i="91" s="1"/>
  <c r="K30" i="93"/>
  <c r="L30" i="93" s="1"/>
  <c r="K32" i="97"/>
  <c r="L32" i="97" s="1"/>
  <c r="G59" i="89"/>
  <c r="H59" i="89" s="1"/>
  <c r="K38" i="90"/>
  <c r="L38" i="90" s="1"/>
  <c r="K36" i="90"/>
  <c r="L36" i="90" s="1"/>
  <c r="J29" i="96"/>
  <c r="K29" i="96" s="1"/>
  <c r="L29" i="96" s="1"/>
  <c r="K29" i="85"/>
  <c r="L29" i="85" s="1"/>
  <c r="K30" i="85"/>
  <c r="L30" i="85" s="1"/>
  <c r="B39" i="103"/>
  <c r="B40" i="103" s="1"/>
  <c r="B41" i="103" s="1"/>
  <c r="B42" i="103" s="1"/>
  <c r="B43" i="103" s="1"/>
  <c r="B44" i="103" s="1"/>
  <c r="B45" i="103" s="1"/>
  <c r="B46" i="103" s="1"/>
  <c r="B47" i="103" s="1"/>
  <c r="B48" i="103" s="1"/>
  <c r="B49" i="103" s="1"/>
  <c r="B50" i="103" s="1"/>
  <c r="B51" i="103" s="1"/>
  <c r="B52" i="103" s="1"/>
  <c r="B53" i="103" s="1"/>
  <c r="B54" i="103" s="1"/>
  <c r="B55" i="103" s="1"/>
  <c r="B56" i="103" s="1"/>
  <c r="B57" i="103" s="1"/>
  <c r="B58" i="103" s="1"/>
  <c r="B59" i="103" s="1"/>
  <c r="B60" i="103" s="1"/>
  <c r="B61" i="103" s="1"/>
  <c r="B62" i="103" s="1"/>
  <c r="B63" i="103" s="1"/>
  <c r="B64" i="103" s="1"/>
  <c r="B65" i="103" s="1"/>
  <c r="B66" i="103" s="1"/>
  <c r="B67" i="103" s="1"/>
  <c r="B68" i="103" s="1"/>
  <c r="B69" i="103" s="1"/>
  <c r="B70" i="103" s="1"/>
  <c r="B71" i="103" s="1"/>
  <c r="K32" i="85"/>
  <c r="L32" i="85" s="1"/>
  <c r="K33" i="96"/>
  <c r="L33" i="96" s="1"/>
  <c r="B72" i="103" l="1"/>
  <c r="B73" i="103" s="1"/>
  <c r="B74" i="103" s="1"/>
  <c r="B76" i="103" s="1"/>
  <c r="A38" i="102"/>
  <c r="A39" i="102" s="1"/>
  <c r="A40" i="102" s="1"/>
  <c r="A42" i="102" s="1"/>
  <c r="A43" i="102" s="1"/>
  <c r="A44" i="102" s="1"/>
  <c r="A45" i="102" s="1"/>
  <c r="A46" i="102" s="1"/>
  <c r="A47" i="102" s="1"/>
  <c r="A48" i="102" s="1"/>
  <c r="A49" i="102" s="1"/>
  <c r="A51" i="102" l="1"/>
  <c r="A52" i="102" s="1"/>
  <c r="A53" i="102" s="1"/>
  <c r="A54" i="102" s="1"/>
  <c r="A57" i="102" l="1"/>
  <c r="A58" i="102" s="1"/>
  <c r="A59" i="102" s="1"/>
  <c r="A60" i="102" s="1"/>
  <c r="A61" i="102" s="1"/>
  <c r="A63" i="102" s="1"/>
  <c r="A64" i="102" s="1"/>
  <c r="A65" i="102" s="1"/>
  <c r="A66" i="102" s="1"/>
  <c r="L26" i="1"/>
  <c r="L74" i="1"/>
  <c r="N84" i="1"/>
  <c r="L20" i="1"/>
  <c r="N19" i="1"/>
  <c r="L21" i="1"/>
  <c r="L63" i="1"/>
  <c r="N29" i="1"/>
  <c r="L14" i="1"/>
  <c r="N37" i="1"/>
  <c r="L51" i="1"/>
  <c r="L15" i="1"/>
  <c r="L78" i="1"/>
  <c r="L55" i="1"/>
  <c r="I4" i="1"/>
  <c r="N70" i="1"/>
  <c r="L70" i="1"/>
  <c r="L22" i="1"/>
  <c r="N9" i="1"/>
  <c r="L10" i="1"/>
  <c r="N15" i="1"/>
  <c r="N75" i="1"/>
  <c r="L30" i="1"/>
  <c r="N38" i="1"/>
  <c r="L27" i="1"/>
  <c r="L31" i="1"/>
  <c r="N44" i="1"/>
  <c r="L11" i="1"/>
  <c r="L83" i="1"/>
  <c r="L80" i="1"/>
  <c r="L61" i="1"/>
  <c r="N57" i="1"/>
  <c r="N23" i="1"/>
  <c r="N86" i="1"/>
  <c r="L38" i="1"/>
  <c r="N67" i="1"/>
  <c r="L29" i="1"/>
  <c r="L28" i="1"/>
  <c r="N87" i="1"/>
  <c r="L13" i="1"/>
  <c r="N65" i="1"/>
  <c r="L62" i="1"/>
  <c r="N26" i="1"/>
  <c r="L45" i="1"/>
  <c r="L8" i="1"/>
  <c r="N73" i="1"/>
  <c r="N81" i="1"/>
  <c r="N74" i="1"/>
  <c r="N72" i="1"/>
  <c r="L50" i="1"/>
  <c r="L16" i="1"/>
  <c r="N62" i="1"/>
  <c r="N39" i="1"/>
  <c r="N60" i="1"/>
  <c r="L34" i="1"/>
  <c r="L56" i="1"/>
  <c r="L67" i="1"/>
  <c r="L59" i="1"/>
  <c r="N79" i="1"/>
  <c r="L79" i="1"/>
  <c r="N53" i="1"/>
  <c r="L82" i="1"/>
  <c r="N12" i="1"/>
  <c r="N63" i="1"/>
  <c r="N33" i="1"/>
  <c r="N11" i="1"/>
  <c r="N18" i="1"/>
  <c r="N83" i="1"/>
  <c r="L23" i="1"/>
  <c r="N64" i="1"/>
  <c r="N50" i="1"/>
  <c r="N68" i="1"/>
  <c r="N32" i="1"/>
  <c r="L68" i="1"/>
  <c r="N56" i="1"/>
  <c r="L36" i="1"/>
  <c r="N88" i="1"/>
  <c r="N34" i="1"/>
  <c r="L75" i="1"/>
  <c r="L86" i="1"/>
  <c r="N49" i="1"/>
  <c r="N20" i="1"/>
  <c r="L46" i="1"/>
  <c r="I10" i="1"/>
  <c r="L25" i="1"/>
  <c r="N22" i="1"/>
  <c r="L76" i="1"/>
  <c r="L65" i="1"/>
  <c r="L48" i="1"/>
  <c r="N10" i="1"/>
  <c r="N71" i="1"/>
  <c r="L44" i="1"/>
  <c r="N16" i="1"/>
  <c r="L7" i="1"/>
  <c r="N69" i="1"/>
  <c r="L4" i="1"/>
  <c r="N76" i="1"/>
  <c r="L69" i="1"/>
  <c r="N30" i="1"/>
  <c r="N31" i="1"/>
  <c r="N5" i="1"/>
  <c r="L58" i="1"/>
  <c r="N58" i="1"/>
  <c r="N42" i="1"/>
  <c r="N90" i="1"/>
  <c r="N48" i="1"/>
  <c r="N85" i="1"/>
  <c r="H17" i="1"/>
  <c r="N13" i="1"/>
  <c r="L88" i="1"/>
  <c r="L73" i="1"/>
  <c r="L57" i="1"/>
  <c r="N78" i="1"/>
  <c r="N36" i="1"/>
  <c r="N17" i="1"/>
  <c r="L12" i="1"/>
  <c r="L37" i="1"/>
  <c r="L66" i="1"/>
  <c r="L77" i="1"/>
  <c r="L90" i="1"/>
  <c r="L92" i="1"/>
  <c r="N55" i="1"/>
  <c r="N51" i="1"/>
  <c r="L6" i="1"/>
  <c r="N54" i="1"/>
  <c r="L72" i="1"/>
  <c r="N89" i="1"/>
  <c r="L35" i="1"/>
  <c r="N43" i="1"/>
  <c r="I14" i="1"/>
  <c r="L64" i="1"/>
  <c r="L84" i="1"/>
  <c r="L42" i="1"/>
  <c r="L5" i="1"/>
  <c r="L24" i="1"/>
  <c r="N59" i="1"/>
  <c r="L85" i="1"/>
  <c r="L93" i="1"/>
  <c r="N21" i="1"/>
  <c r="L71" i="1"/>
  <c r="N47" i="1"/>
  <c r="L89" i="1"/>
  <c r="N61" i="1"/>
  <c r="L40" i="1"/>
  <c r="N66" i="1"/>
  <c r="N92" i="1"/>
  <c r="L41" i="1"/>
  <c r="L43" i="1"/>
  <c r="L32" i="1"/>
  <c r="N52" i="1"/>
  <c r="N28" i="1"/>
  <c r="N45" i="1"/>
  <c r="L19" i="1"/>
  <c r="N77" i="1"/>
  <c r="N24" i="1"/>
  <c r="N93" i="1"/>
  <c r="N40" i="1"/>
  <c r="L33" i="1"/>
  <c r="N8" i="1"/>
  <c r="L53" i="1"/>
  <c r="N82" i="1"/>
  <c r="L60" i="1"/>
  <c r="L17" i="1"/>
  <c r="L49" i="1"/>
  <c r="N35" i="1"/>
  <c r="L9" i="1"/>
  <c r="N27" i="1"/>
  <c r="L47" i="1"/>
  <c r="N6" i="1"/>
  <c r="L39" i="1"/>
  <c r="N91" i="1"/>
  <c r="L52" i="1"/>
  <c r="L54" i="1"/>
  <c r="N46" i="1"/>
  <c r="N41" i="1"/>
  <c r="N14" i="1"/>
  <c r="N4" i="1"/>
  <c r="N80" i="1"/>
  <c r="L18" i="1"/>
  <c r="N7" i="1"/>
  <c r="N25" i="1"/>
  <c r="L87" i="1"/>
  <c r="L81" i="1"/>
  <c r="L91" i="1"/>
  <c r="A67" i="102" l="1"/>
  <c r="A68" i="102" s="1"/>
  <c r="A69" i="102" s="1"/>
  <c r="A70" i="102" s="1"/>
  <c r="A71" i="102" s="1"/>
  <c r="A73" i="102" s="1"/>
  <c r="A74" i="102" s="1"/>
  <c r="A75" i="102" s="1"/>
  <c r="A76" i="102" s="1"/>
  <c r="B77" i="103" l="1"/>
  <c r="B78" i="103" s="1"/>
  <c r="B79" i="103" s="1"/>
  <c r="B80" i="103" s="1"/>
  <c r="B81" i="103" s="1"/>
  <c r="B89" i="103" s="1"/>
  <c r="B90" i="103" s="1"/>
  <c r="B92" i="103" s="1"/>
  <c r="B93" i="103" s="1"/>
  <c r="B94" i="103" s="1"/>
  <c r="B95" i="103" s="1"/>
  <c r="B96" i="103" s="1"/>
  <c r="B97" i="103" s="1"/>
  <c r="A78" i="102"/>
  <c r="A79" i="102" s="1"/>
  <c r="A80" i="102" s="1"/>
  <c r="A81" i="102" s="1"/>
  <c r="A82" i="102" s="1"/>
  <c r="A83" i="102" s="1"/>
  <c r="B99" i="103" l="1"/>
  <c r="B100" i="103" s="1"/>
  <c r="B101" i="103" s="1"/>
  <c r="B102" i="103" s="1"/>
  <c r="B103" i="103" s="1"/>
  <c r="B104" i="103" s="1"/>
  <c r="B105" i="103" s="1"/>
  <c r="A85" i="102"/>
  <c r="A86" i="102" s="1"/>
  <c r="A87" i="102" s="1"/>
  <c r="A88" i="102" s="1"/>
  <c r="A89" i="102" s="1"/>
  <c r="A90" i="102" s="1"/>
  <c r="A91" i="102" s="1"/>
  <c r="A92" i="102" s="1"/>
  <c r="A93" i="102" s="1"/>
  <c r="A95" i="102" l="1"/>
  <c r="A97" i="102" s="1"/>
  <c r="A98" i="102" s="1"/>
  <c r="B107" i="103" l="1"/>
  <c r="B108" i="103" l="1"/>
  <c r="B109" i="103" s="1"/>
  <c r="B111" i="103" s="1"/>
  <c r="B112" i="103" s="1"/>
  <c r="B113" i="103" s="1"/>
  <c r="B115" i="103" s="1"/>
  <c r="B116" i="103" s="1"/>
  <c r="B117" i="103" s="1"/>
  <c r="B118" i="103" s="1"/>
  <c r="B119" i="103" s="1"/>
  <c r="B120" i="103" s="1"/>
  <c r="B121" i="103" s="1"/>
  <c r="B122" i="103" s="1"/>
  <c r="B123" i="103" s="1"/>
  <c r="B157" i="103" s="1"/>
  <c r="B124" i="103" s="1"/>
  <c r="B125" i="103" s="1"/>
  <c r="B126" i="103" s="1"/>
  <c r="B127" i="103" s="1"/>
  <c r="B128" i="103" s="1"/>
  <c r="B129" i="103" s="1"/>
  <c r="B130" i="103" s="1"/>
  <c r="B132" i="103" s="1"/>
  <c r="B134" i="103" s="1"/>
  <c r="B135" i="103" l="1"/>
  <c r="B136" i="103" s="1"/>
  <c r="B137" i="103" s="1"/>
  <c r="B138" i="103" s="1"/>
  <c r="B139" i="103" s="1"/>
  <c r="B140" i="103" s="1"/>
  <c r="B141" i="103" s="1"/>
  <c r="B142" i="103" s="1"/>
  <c r="B143" i="103" s="1"/>
  <c r="B144" i="103" s="1"/>
  <c r="B145" i="103" s="1"/>
  <c r="B146" i="103" s="1"/>
  <c r="B147" i="103" s="1"/>
  <c r="B148" i="103" s="1"/>
  <c r="B149" i="103" s="1"/>
  <c r="B150" i="103" s="1"/>
  <c r="B151" i="103" s="1"/>
  <c r="B152" i="103" s="1"/>
  <c r="B153" i="103" s="1"/>
  <c r="B154" i="103" s="1"/>
  <c r="B156" i="103" s="1"/>
  <c r="B158" i="103" l="1"/>
  <c r="B159" i="103" s="1"/>
  <c r="B160" i="103" s="1"/>
  <c r="B162" i="103" s="1"/>
  <c r="B163" i="103" s="1"/>
  <c r="B164" i="103" s="1"/>
  <c r="B165" i="103" s="1"/>
  <c r="B166" i="103" s="1"/>
  <c r="B168" i="103" s="1"/>
  <c r="B169" i="103" s="1"/>
  <c r="B170" i="103" s="1"/>
  <c r="B171" i="103" s="1"/>
  <c r="B172" i="103" s="1"/>
  <c r="B173" i="103" s="1"/>
  <c r="B174" i="103" s="1"/>
  <c r="B175" i="103" s="1"/>
  <c r="B176" i="103" s="1"/>
  <c r="B177" i="103" s="1"/>
  <c r="B183" i="103" s="1"/>
  <c r="B187" i="103" s="1"/>
  <c r="B191" i="103" s="1"/>
  <c r="B195" i="103" s="1"/>
  <c r="B197" i="103" s="1"/>
  <c r="B198" i="10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Brown</author>
    <author>tc={BC74D712-4BBA-40F2-B448-A10E7FB1FBD2}</author>
    <author>tc={4B24D107-2CB2-44F1-B33D-EFCAC3ED9174}</author>
    <author>tc={1A14CD2B-A904-4FEC-A324-52C1F1ADC759}</author>
    <author>tc={FA1466CB-070C-4260-9B97-BD3ADF909999}</author>
    <author>tc={AE1ABE23-9605-4AB3-8CA3-86E7C49EC511}</author>
    <author>tc={6BF3BCEA-D9E2-49E4-989F-20418EE85ED4}</author>
    <author>tc={57AE5F58-7BE5-44C6-9AC2-4DBE9A9B68F3}</author>
  </authors>
  <commentList>
    <comment ref="C4" authorId="0" shapeId="0" xr:uid="{0E25E784-59EC-4A62-8619-8CBDAFD14CC0}">
      <text>
        <r>
          <rPr>
            <sz val="9"/>
            <color indexed="81"/>
            <rFont val="Tahoma"/>
            <family val="2"/>
          </rPr>
          <t xml:space="preserve">
</t>
        </r>
      </text>
    </comment>
    <comment ref="D5" authorId="1" shapeId="0" xr:uid="{BC74D712-4BBA-40F2-B448-A10E7FB1FBD2}">
      <text>
        <r>
          <rPr>
            <sz val="10"/>
            <rFont val="Arial"/>
          </rPr>
          <t>[Threaded comment]
Your version of Excel allows you to read this threaded comment; however, any edits to it will get removed if the file is opened in a newer version of Excel. Learn more: https://go.microsoft.com/fwlink/?linkid=870924
Comment:
    Does this need a formula?
Reply:
    WILL SELF FILL FROM CAL RECORD</t>
        </r>
      </text>
    </comment>
    <comment ref="C7" authorId="0" shapeId="0" xr:uid="{E662A764-250F-4C67-8959-4CFC36A47E61}">
      <text>
        <r>
          <rPr>
            <b/>
            <sz val="9"/>
            <color indexed="81"/>
            <rFont val="Tahoma"/>
            <family val="2"/>
          </rPr>
          <t>If the unit has a booking date on simplybook.me, enter "yes"</t>
        </r>
      </text>
    </comment>
    <comment ref="D10" authorId="2" shapeId="0" xr:uid="{4B24D107-2CB2-44F1-B33D-EFCAC3ED9174}">
      <text>
        <r>
          <rPr>
            <sz val="10"/>
            <rFont val="Arial"/>
          </rPr>
          <t>[Threaded comment]
Your version of Excel allows you to read this threaded comment; however, any edits to it will get removed if the file is opened in a newer version of Excel. Learn more: https://go.microsoft.com/fwlink/?linkid=870924
Comment:
    For production: type "NEW BUILD"
For service: type "dd/mm/yy" e.g. 10/02/22</t>
        </r>
      </text>
    </comment>
    <comment ref="C11" authorId="3" shapeId="0" xr:uid="{1A14CD2B-A904-4FEC-A324-52C1F1ADC759}">
      <text>
        <r>
          <rPr>
            <sz val="10"/>
            <rFont val="Arial"/>
          </rPr>
          <t>[Threaded comment]
Your version of Excel allows you to read this threaded comment; however, any edits to it will get removed if the file is opened in a newer version of Excel. Learn more: https://go.microsoft.com/fwlink/?linkid=870924
Comment:
    Service "sheet"number?</t>
        </r>
      </text>
    </comment>
    <comment ref="D14" authorId="4" shapeId="0" xr:uid="{FA1466CB-070C-4260-9B97-BD3ADF909999}">
      <text>
        <r>
          <rPr>
            <sz val="10"/>
            <rFont val="Arial"/>
          </rPr>
          <t>[Threaded comment]
Your version of Excel allows you to read this threaded comment; however, any edits to it will get removed if the file is opened in a newer version of Excel. Learn more: https://go.microsoft.com/fwlink/?linkid=870924
Comment:
    MP NCR #</t>
        </r>
      </text>
    </comment>
    <comment ref="C33" authorId="0" shapeId="0" xr:uid="{8E9E9EC1-C141-441E-9805-48E87C52C88F}">
      <text>
        <r>
          <rPr>
            <b/>
            <sz val="9"/>
            <color indexed="81"/>
            <rFont val="Tahoma"/>
            <family val="2"/>
          </rPr>
          <t>Scratches and scuffs are acceptible, but any holes through the casing which will affect liquid proofing need to be addressed. Check for signs of customer damage to screen etc</t>
        </r>
      </text>
    </comment>
    <comment ref="C36" authorId="5" shapeId="0" xr:uid="{AE1ABE23-9605-4AB3-8CA3-86E7C49EC511}">
      <text>
        <r>
          <rPr>
            <sz val="10"/>
            <rFont val="Arial"/>
          </rPr>
          <t>[Threaded comment]
Your version of Excel allows you to read this threaded comment; however, any edits to it will get removed if the file is opened in a newer version of Excel. Learn more: https://go.microsoft.com/fwlink/?linkid=870924
Comment:
    No calibrated label
Reply:
    Needs checkbox</t>
        </r>
      </text>
    </comment>
    <comment ref="C37" authorId="0" shapeId="0" xr:uid="{6E95F6E6-D8D7-493C-BFB2-357F5AE55765}">
      <text>
        <r>
          <rPr>
            <b/>
            <sz val="9"/>
            <color indexed="81"/>
            <rFont val="Tahoma"/>
            <family val="2"/>
          </rPr>
          <t>Connect to mains power, plug into unit, check charging light comes on the printer and screen lights up. If there seem to be power issues, go to step 38 and 39</t>
        </r>
      </text>
    </comment>
    <comment ref="C41" authorId="0" shapeId="0" xr:uid="{CF959057-391C-44AA-A682-FACAE1A86D15}">
      <text>
        <r>
          <rPr>
            <b/>
            <sz val="9"/>
            <color indexed="81"/>
            <rFont val="Tahoma"/>
            <family val="2"/>
          </rPr>
          <t>Just insert a USB stick into the slot on the left hand side of unit, wait til USB icon that appears on screen has a green tick</t>
        </r>
      </text>
    </comment>
    <comment ref="C43" authorId="0" shapeId="0" xr:uid="{535E4996-02F5-46E3-8CC5-95B631CAE414}">
      <text>
        <r>
          <rPr>
            <sz val="9"/>
            <color indexed="81"/>
            <rFont val="Tahoma"/>
            <family val="2"/>
          </rPr>
          <t>Double click the PDF link above for instructions on updating firmware. LPA3 Firmware can be found in CMP Documentation &gt; CMP Firmware</t>
        </r>
      </text>
    </comment>
    <comment ref="C45" authorId="6" shapeId="0" xr:uid="{6BF3BCEA-D9E2-49E4-989F-20418EE85ED4}">
      <text>
        <r>
          <rPr>
            <sz val="10"/>
            <rFont val="Arial"/>
          </rPr>
          <t>[Threaded comment]
Your version of Excel allows you to read this threaded comment; however, any edits to it will get removed if the file is opened in a newer version of Excel. Learn more: https://go.microsoft.com/fwlink/?linkid=870924
Comment:
    Add photos of settings page</t>
        </r>
      </text>
    </comment>
    <comment ref="C51" authorId="0" shapeId="0" xr:uid="{0BD4C8B8-AF5E-4407-9C4D-1AC2F84924CA}">
      <text>
        <r>
          <rPr>
            <sz val="9"/>
            <color indexed="81"/>
            <rFont val="Tahoma"/>
            <family val="2"/>
          </rPr>
          <t xml:space="preserve">
</t>
        </r>
      </text>
    </comment>
    <comment ref="C53" authorId="0" shapeId="0" xr:uid="{74C64126-C98D-4B40-8DC5-23A02638A7BC}">
      <text/>
    </comment>
    <comment ref="C61" authorId="7" shapeId="0" xr:uid="{57AE5F58-7BE5-44C6-9AC2-4DBE9A9B68F3}">
      <text>
        <r>
          <rPr>
            <sz val="10"/>
            <rFont val="Arial"/>
          </rPr>
          <t>[Threaded comment]
Your version of Excel allows you to read this threaded comment; however, any edits to it will get removed if the file is opened in a newer version of Excel. Learn more: https://go.microsoft.com/fwlink/?linkid=870924
Comment:
    DROP DOWNS?</t>
        </r>
      </text>
    </comment>
    <comment ref="C71" authorId="0" shapeId="0" xr:uid="{5F4BEF33-B280-46B4-AAD8-24A8DA1D8A56}">
      <text>
        <r>
          <rPr>
            <b/>
            <sz val="9"/>
            <color indexed="81"/>
            <rFont val="Tahoma"/>
            <family val="2"/>
          </rPr>
          <t>If the unit is pristine, with no leaks and no damage to boards or wiring cause by corrosion, fluids, or physical damage like the pump piston unwinding, then check the box yes. If there is any visible damage, leave the box unchecked</t>
        </r>
      </text>
    </comment>
    <comment ref="C72" authorId="0" shapeId="0" xr:uid="{FA60807D-F13C-4691-B8CA-631C16450B94}">
      <text>
        <r>
          <rPr>
            <b/>
            <sz val="9"/>
            <color indexed="81"/>
            <rFont val="Tahoma"/>
            <family val="2"/>
          </rPr>
          <t>Vent line is located under PRV to side of case. If this is filled with fluid, it indicates a PRV block leak, and needs to be investigated, particularly the NV assembly</t>
        </r>
      </text>
    </comment>
    <comment ref="C73" authorId="0" shapeId="0" xr:uid="{10736CC3-CFD4-4666-BFB9-0FB8022D8A22}">
      <text>
        <r>
          <rPr>
            <b/>
            <sz val="9"/>
            <color indexed="81"/>
            <rFont val="Tahoma"/>
            <family val="2"/>
          </rPr>
          <t>Make sure the cable is the new rounded design, old flat cables need to be replaced</t>
        </r>
      </text>
    </comment>
    <comment ref="C80" authorId="0" shapeId="0" xr:uid="{19FA1DEA-FD9F-483B-AC2A-EA50DF934881}">
      <text>
        <r>
          <rPr>
            <b/>
            <sz val="9"/>
            <color indexed="81"/>
            <rFont val="Tahoma"/>
            <family val="2"/>
          </rPr>
          <t>Check on LPA view calibration view</t>
        </r>
      </text>
    </comment>
    <comment ref="D84" authorId="0" shapeId="0" xr:uid="{B3C5D40F-8F58-4CA1-83B0-1B859AEE7A7B}">
      <text>
        <r>
          <rPr>
            <b/>
            <sz val="9"/>
            <color indexed="81"/>
            <rFont val="Tahoma"/>
            <family val="2"/>
          </rPr>
          <t>For this test, you need to run a test with the rig oil running. Make sure the optical switch pin (brass piece on top) ends the emptying cycle roughly in the centre of the sensor (black block on pump body). 
At the same time, check that the tacho is working when the cycle is running. This will be shown by a flashing diode on the bottom right corner of the board, as well as the graphic in the test box of the LPA3 screen. If the tacho is working, there should be a progress bar running as the test cycle runs.</t>
        </r>
      </text>
    </comment>
    <comment ref="D95" authorId="0" shapeId="0" xr:uid="{DAFDA187-8DBC-415C-9900-19C502F409FA}">
      <text>
        <r>
          <rPr>
            <b/>
            <sz val="9"/>
            <color indexed="81"/>
            <rFont val="Tahoma"/>
            <family val="2"/>
          </rPr>
          <t>The old DC battery cables used had ends which were too thick to fit in the terminals, and therefore some will stick out and occasionally bridge, shorting the unit. 
If the connectors are visibly too thick to fit into the terminals, and bare wire is visible, replace them with new connectors from Scott's bench and book out on whiteboard</t>
        </r>
        <r>
          <rPr>
            <sz val="9"/>
            <color indexed="81"/>
            <rFont val="Tahoma"/>
            <family val="2"/>
          </rPr>
          <t xml:space="preserve">
</t>
        </r>
      </text>
    </comment>
    <comment ref="D97" authorId="0" shapeId="0" xr:uid="{F1111F1B-24A7-4FAF-918A-D18E308FB053}">
      <text>
        <r>
          <rPr>
            <b/>
            <sz val="9"/>
            <color indexed="81"/>
            <rFont val="Tahoma"/>
            <family val="2"/>
          </rPr>
          <t>Wiggle the brackets to ensure the threaded inserts haven't pulled out of the plastic bracket bases</t>
        </r>
        <r>
          <rPr>
            <sz val="9"/>
            <color indexed="81"/>
            <rFont val="Tahoma"/>
            <family val="2"/>
          </rPr>
          <t xml:space="preserve">
</t>
        </r>
      </text>
    </comment>
    <comment ref="C113" authorId="0" shapeId="0" xr:uid="{9BD7C201-BF24-466A-A05D-8580A578DE7B}">
      <text/>
    </comment>
    <comment ref="C122" authorId="0" shapeId="0" xr:uid="{96BC5943-46F2-42D9-BB72-068594713300}">
      <text>
        <r>
          <rPr>
            <b/>
            <sz val="9"/>
            <color indexed="81"/>
            <rFont val="Tahoma"/>
            <family val="2"/>
          </rPr>
          <t>Sensing volume parameters should be set as below:
         68
         160
         400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tc={24AF978E-B775-457F-95A1-7D9DEBA8768C}</author>
    <author>tc={8F373F8B-2779-45E9-9B9B-D01FDB54C751}</author>
  </authors>
  <commentList>
    <comment ref="D10" authorId="0" shapeId="0" xr:uid="{24AF978E-B775-457F-95A1-7D9DEBA8768C}">
      <text>
        <r>
          <rPr>
            <sz val="10"/>
            <rFont val="Arial"/>
          </rPr>
          <t>[Threaded comment]
Your version of Excel allows you to read this threaded comment; however, any edits to it will get removed if the file is opened in a newer version of Excel. Learn more: https://go.microsoft.com/fwlink/?linkid=870924
Comment:
    customers NCR #</t>
        </r>
      </text>
    </comment>
    <comment ref="E10" authorId="1" shapeId="0" xr:uid="{8F373F8B-2779-45E9-9B9B-D01FDB54C751}">
      <text>
        <r>
          <rPr>
            <sz val="10"/>
            <rFont val="Arial"/>
          </rPr>
          <t>[Threaded comment]
Your version of Excel allows you to read this threaded comment; however, any edits to it will get removed if the file is opened in a newer version of Excel. Learn more: https://go.microsoft.com/fwlink/?linkid=870924
Comment:
    MP's NCR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666" type="6" refreshedVersion="6" deleted="1" background="1" saveData="1">
    <textPr codePage="850" sourceFile="Z:\CMP Documentation\Product Records\Calibration\PC0021 090519.lpacal" comma="1">
      <textFields count="2">
        <textField/>
        <textField/>
      </textFields>
    </textPr>
  </connection>
  <connection id="2" xr16:uid="{00000000-0015-0000-FFFF-FFFF01000000}" name="6661" type="6" refreshedVersion="6" deleted="1" background="1" saveData="1">
    <textPr codePage="850" sourceFile="Z:\CMP Documentation\Product Records\Calibration\PC0021 090519.lpacal" comma="1">
      <textFields count="2">
        <textField/>
        <textField/>
      </textFields>
    </textPr>
  </connection>
  <connection id="3" xr16:uid="{00000000-0015-0000-FFFF-FFFF02000000}" name="LPA3" type="6" refreshedVersion="8" deleted="1" background="1" saveData="1">
    <textPr codePage="437" sourceFile="C:\Users\jamie.soule\MP Filtri S.p.A\MP Filtri - UK - General documentation\CMP Documentation\Product Records\Calibration\961010346-2026-04-02-CML4.lpacal" comma="1">
      <textFields count="2">
        <textField/>
        <textField/>
      </textFields>
    </textPr>
  </connection>
</connections>
</file>

<file path=xl/sharedStrings.xml><?xml version="1.0" encoding="utf-8"?>
<sst xmlns="http://schemas.openxmlformats.org/spreadsheetml/2006/main" count="12015" uniqueCount="1011">
  <si>
    <t>SRM2806 2.8mg MTD / ml</t>
  </si>
  <si>
    <t>Interpolation Order</t>
  </si>
  <si>
    <t>to 10 micron</t>
  </si>
  <si>
    <t>to 70 micron</t>
  </si>
  <si>
    <t>um</t>
  </si>
  <si>
    <t>n/ml</t>
  </si>
  <si>
    <t>n/mg/ml</t>
  </si>
  <si>
    <t>Expanded Uncertainty</t>
  </si>
  <si>
    <t>ln(n/mg/ml)</t>
  </si>
  <si>
    <t>x</t>
  </si>
  <si>
    <t>y</t>
  </si>
  <si>
    <t>n/mg/l</t>
  </si>
  <si>
    <t>ln(n/mg/l)</t>
  </si>
  <si>
    <t>(Testing area only)</t>
  </si>
  <si>
    <t>= Formulae</t>
  </si>
  <si>
    <t>= Reference Figures</t>
  </si>
  <si>
    <t>= Manual Input</t>
  </si>
  <si>
    <t>Doc. No: 200.XXX</t>
  </si>
  <si>
    <t>Sheet 3</t>
  </si>
  <si>
    <t>DCRXXXX</t>
  </si>
  <si>
    <t>Rev 0</t>
  </si>
  <si>
    <t>MP Values</t>
  </si>
  <si>
    <t>Doc No. 202.041_04 CML4 Service and Calibration Sheet DCR 0678</t>
  </si>
  <si>
    <t>-</t>
  </si>
  <si>
    <t>Op No.</t>
  </si>
  <si>
    <t>CML4 Cover Sheet</t>
  </si>
  <si>
    <t>Product:</t>
  </si>
  <si>
    <t>W</t>
  </si>
  <si>
    <t>M</t>
  </si>
  <si>
    <t>SERVICE NOTES:</t>
  </si>
  <si>
    <t>Serial No.:</t>
  </si>
  <si>
    <t>P</t>
  </si>
  <si>
    <t>Customer:</t>
  </si>
  <si>
    <t>Comments</t>
  </si>
  <si>
    <t>N</t>
  </si>
  <si>
    <t>Online booking by customer</t>
  </si>
  <si>
    <t>Alex Buckley</t>
  </si>
  <si>
    <t>T</t>
  </si>
  <si>
    <t>S</t>
  </si>
  <si>
    <t>Accessories present?</t>
  </si>
  <si>
    <t>NOTE: Please complete table below</t>
  </si>
  <si>
    <t>Luke Harding</t>
  </si>
  <si>
    <t>COSHH SUPPLIED?</t>
  </si>
  <si>
    <t>Scott Mosson</t>
  </si>
  <si>
    <t>Booking Date:</t>
  </si>
  <si>
    <t>Service sheet number:</t>
  </si>
  <si>
    <t>Trevor Whittle</t>
  </si>
  <si>
    <t>Warranty claim</t>
  </si>
  <si>
    <r>
      <t>Date of Last Calibration (NB: CELL WILL SELF FILL</t>
    </r>
    <r>
      <rPr>
        <sz val="11"/>
        <rFont val="Calibri"/>
        <family val="2"/>
        <scheme val="minor"/>
      </rPr>
      <t>)</t>
    </r>
  </si>
  <si>
    <t>If yes to warranty - NCR number(s)</t>
  </si>
  <si>
    <t>SO number:</t>
  </si>
  <si>
    <t>WO number:</t>
  </si>
  <si>
    <t>Estimated Ship Date:</t>
  </si>
  <si>
    <t>Take this from the service tag if applicable</t>
  </si>
  <si>
    <t>Carry bag</t>
  </si>
  <si>
    <t>Waste bottle</t>
  </si>
  <si>
    <t>1500mm pressure hose</t>
  </si>
  <si>
    <t>600mm pressure hose</t>
  </si>
  <si>
    <t>2000mm waste hose</t>
  </si>
  <si>
    <t>Pouches</t>
  </si>
  <si>
    <t>Qty</t>
  </si>
  <si>
    <t>portable printer</t>
  </si>
  <si>
    <t>USB-Serial converter</t>
  </si>
  <si>
    <t>Serial cable</t>
  </si>
  <si>
    <t>Power adapter</t>
  </si>
  <si>
    <t>Initial checks</t>
  </si>
  <si>
    <t>Date initial inspection started:</t>
  </si>
  <si>
    <t>Status:</t>
  </si>
  <si>
    <t>Initial checked by:</t>
  </si>
  <si>
    <t>Acceptible outer case condition?</t>
  </si>
  <si>
    <t>Is there a cap on the INPUT test point?</t>
  </si>
  <si>
    <t>Is there a cap on the WASTE test point?</t>
  </si>
  <si>
    <t>Remove old cal cert/paperwork and recycle</t>
  </si>
  <si>
    <t>Check power connector is ok and functions</t>
  </si>
  <si>
    <t xml:space="preserve">Turn unit on </t>
  </si>
  <si>
    <t>Check screen operates</t>
  </si>
  <si>
    <t>Check all touch screen tabs operate</t>
  </si>
  <si>
    <t>Download history to USB stick</t>
  </si>
  <si>
    <t>Note current firmware version on screen</t>
  </si>
  <si>
    <t>Update firmware to latest live version Note version installed</t>
  </si>
  <si>
    <t>EN</t>
  </si>
  <si>
    <t>Serial number shown on screen</t>
  </si>
  <si>
    <t>IT</t>
  </si>
  <si>
    <t>Calibration due date as shown on screen</t>
  </si>
  <si>
    <t>FR</t>
  </si>
  <si>
    <t>Test simulation setting ON?</t>
  </si>
  <si>
    <t>DE</t>
  </si>
  <si>
    <t>If simulated test ON, turn OFF</t>
  </si>
  <si>
    <t>CN</t>
  </si>
  <si>
    <t>Enter test reference</t>
  </si>
  <si>
    <t>Select language set</t>
  </si>
  <si>
    <t>Open diagnostics screen</t>
  </si>
  <si>
    <t>Check power parameters, charging current, and rate of discharge</t>
  </si>
  <si>
    <t>Note cycle count</t>
  </si>
  <si>
    <t>Check printer operation and replace roll if necessary:</t>
  </si>
  <si>
    <t>Record the set reporting format</t>
  </si>
  <si>
    <t xml:space="preserve">If NOT set to ISO, switch to ISO </t>
  </si>
  <si>
    <t>ISO 4406:1999</t>
  </si>
  <si>
    <t>Print detailed counts ON?</t>
  </si>
  <si>
    <t>NAS 1638</t>
  </si>
  <si>
    <t>Print test reference ON?</t>
  </si>
  <si>
    <t>AS 4059E Table 2</t>
  </si>
  <si>
    <t>Auto print results ON?</t>
  </si>
  <si>
    <t>AS 4059E Table 1</t>
  </si>
  <si>
    <t>Set auto print to OFF</t>
  </si>
  <si>
    <t>ISO 11218</t>
  </si>
  <si>
    <t>Print space for notes ON?</t>
  </si>
  <si>
    <t>AS 4059F Table 2</t>
  </si>
  <si>
    <t>Record test type set</t>
  </si>
  <si>
    <t>AS 4095F Table 1</t>
  </si>
  <si>
    <t>Set test type to Online - Continuous</t>
  </si>
  <si>
    <t>GBT 14039</t>
  </si>
  <si>
    <t>Flush time (s):</t>
  </si>
  <si>
    <t>GJB 420 B</t>
  </si>
  <si>
    <t>Sample Volume (ml):</t>
  </si>
  <si>
    <t>Wait time (00:00:00):</t>
  </si>
  <si>
    <t>Repeat (x) Tests:</t>
  </si>
  <si>
    <t>Set to 30s Flush, 100mL sample</t>
  </si>
  <si>
    <t>Stop testing when clean:</t>
  </si>
  <si>
    <t>RH test (if applicable) ON?</t>
  </si>
  <si>
    <t>Remove faceplate screws</t>
  </si>
  <si>
    <t>Online</t>
  </si>
  <si>
    <t>Is the unit free from leaks and/or damage to boards or wiring?</t>
  </si>
  <si>
    <t>Online - Continuous</t>
  </si>
  <si>
    <t>Check vent line for fluid</t>
  </si>
  <si>
    <t>Check RJ45 cable is current design</t>
  </si>
  <si>
    <t xml:space="preserve">Set test type to Online </t>
  </si>
  <si>
    <t>BOTTLE SAMPLER CHECKS/TESTS</t>
  </si>
  <si>
    <t>Unit flushed with IPA (50ml)</t>
  </si>
  <si>
    <t>Does pump unit show signs of leakage</t>
  </si>
  <si>
    <t>Does sensor block show signs of leakage?</t>
  </si>
  <si>
    <t>If Y to a leak, replace with refurb module</t>
  </si>
  <si>
    <t>Unit flushed with MIL5606 (25ml)</t>
  </si>
  <si>
    <t>If LEAKING, abandon further checks</t>
  </si>
  <si>
    <t>LED power:</t>
  </si>
  <si>
    <t>Electrical noise level:</t>
  </si>
  <si>
    <t>TEST RIG CHECKS/TESTS</t>
  </si>
  <si>
    <t>Perform Initial NV test on test rig - OK</t>
  </si>
  <si>
    <t>bar</t>
  </si>
  <si>
    <t>ADVISE SALES OFFICE IF NECESSARY</t>
  </si>
  <si>
    <t>SQ sent to Sales Office</t>
  </si>
  <si>
    <t>Date SQ request sent:</t>
  </si>
  <si>
    <t>SO request made to Sales Office</t>
  </si>
  <si>
    <t>Date SO request sent:</t>
  </si>
  <si>
    <t>Date initial inspection ended:</t>
  </si>
  <si>
    <t>Simplybook.me stage updated to "Ready for Service":</t>
  </si>
  <si>
    <t>SERVICE</t>
  </si>
  <si>
    <t>Date restarted:</t>
  </si>
  <si>
    <t>Sales Order been raised? (D15)</t>
  </si>
  <si>
    <t>Works Order been raised? (D16)</t>
  </si>
  <si>
    <t xml:space="preserve">Unit cleaned and hoovered? </t>
  </si>
  <si>
    <t>Battery secured in brackets?</t>
  </si>
  <si>
    <t>IF NO…..REPLACE</t>
  </si>
  <si>
    <t>Pipework replaced</t>
  </si>
  <si>
    <t xml:space="preserve">ESP test complete? </t>
  </si>
  <si>
    <t xml:space="preserve">NV pressure = </t>
  </si>
  <si>
    <t>HP Test (5mins Static &amp; Pulse) without leaks?</t>
  </si>
  <si>
    <t>Complete service sticker and attach to unit</t>
  </si>
  <si>
    <t>Test mode set to "Online"</t>
  </si>
  <si>
    <t>Signed:</t>
  </si>
  <si>
    <t>Simplybook.me stage updated to "Service complete":</t>
  </si>
  <si>
    <t>Date completed:</t>
  </si>
  <si>
    <t>CALIBRATION</t>
  </si>
  <si>
    <t>Date started:</t>
  </si>
  <si>
    <t>Calibration COMPLETE</t>
  </si>
  <si>
    <t>Signed : Fill from dropdown box</t>
  </si>
  <si>
    <t>PRE DESPATCH FINAL CHECKS</t>
  </si>
  <si>
    <t>Serial Number plate matches record</t>
  </si>
  <si>
    <t>Re-Cal Log 202.038 updated</t>
  </si>
  <si>
    <t>SERVICE MODE</t>
  </si>
  <si>
    <t>LED threshold level set correctly - see right</t>
  </si>
  <si>
    <t>Ch</t>
  </si>
  <si>
    <t>Thresh</t>
  </si>
  <si>
    <t>Check thresholds are correct on calibration certificate:</t>
  </si>
  <si>
    <t>If INPUT test point came with cap (ie green tick right), ensure it is with unit:</t>
  </si>
  <si>
    <t>If WASTE test point came with cap (ie green tick right), ensure it is with unit:</t>
  </si>
  <si>
    <t>Serial number programmed correctly:</t>
  </si>
  <si>
    <t>Restore test reference to received:</t>
  </si>
  <si>
    <t>Calibration due date as shown on screen:</t>
  </si>
  <si>
    <t>Sensing volume parameters set correctly:</t>
  </si>
  <si>
    <t xml:space="preserve">Check firmware is latest version: </t>
  </si>
  <si>
    <t>Cycle count value differs to original value as shown:</t>
  </si>
  <si>
    <t>Note cal Initial LED level:</t>
  </si>
  <si>
    <t>Last LED level %:</t>
  </si>
  <si>
    <t>Alarm LED level %:</t>
  </si>
  <si>
    <t>Bubble mitigation not ticked:</t>
  </si>
  <si>
    <t>Keep diagnostics enabled:</t>
  </si>
  <si>
    <t>USER MODE</t>
  </si>
  <si>
    <t>Time &amp; date set</t>
  </si>
  <si>
    <t>Set to Reporting Format received:</t>
  </si>
  <si>
    <t>Simulated test off</t>
  </si>
  <si>
    <t>Print Detailed Counts - set to received:</t>
  </si>
  <si>
    <t>Print Test Reference - set to received:</t>
  </si>
  <si>
    <r>
      <t xml:space="preserve">Automatically Print Results - Set to </t>
    </r>
    <r>
      <rPr>
        <b/>
        <u/>
        <sz val="11"/>
        <rFont val="Calibri"/>
        <family val="2"/>
        <scheme val="minor"/>
      </rPr>
      <t>ON</t>
    </r>
    <r>
      <rPr>
        <b/>
        <sz val="11"/>
        <rFont val="Calibri"/>
        <family val="2"/>
        <scheme val="minor"/>
      </rPr>
      <t>:</t>
    </r>
  </si>
  <si>
    <t>Print Space for Notes - set to received:</t>
  </si>
  <si>
    <t>Set to Online - Continuous</t>
  </si>
  <si>
    <t>Wait time (00:00:00) - set to received:</t>
  </si>
  <si>
    <t>Repeat (x) Tests - set to received:</t>
  </si>
  <si>
    <t>Stop Testing when clean -set to received:</t>
  </si>
  <si>
    <t>RH Test to ON (if applicable)</t>
  </si>
  <si>
    <t>Run 1 Test; everything functioning as expected?</t>
  </si>
  <si>
    <t>RH % result</t>
  </si>
  <si>
    <t>Temperature oC result</t>
  </si>
  <si>
    <t>If W option is fitted - set to received:</t>
  </si>
  <si>
    <t>Test type - set to received</t>
  </si>
  <si>
    <t>Automatically Print Results - set to received:</t>
  </si>
  <si>
    <t xml:space="preserve">Simulated test - set to received: </t>
  </si>
  <si>
    <t>Service Mode</t>
  </si>
  <si>
    <t>Disable diagnostics mode in settings:</t>
  </si>
  <si>
    <t>Language set to received</t>
  </si>
  <si>
    <t>Switch Unit OFF then ON</t>
  </si>
  <si>
    <t>Check Unit starts in User Mode</t>
  </si>
  <si>
    <t>Turn unit off</t>
  </si>
  <si>
    <t>Final Checks</t>
  </si>
  <si>
    <t>Fit faceplate screws</t>
  </si>
  <si>
    <t>Update simplybook me to "Calibration Complete", and fill in whiteboard</t>
  </si>
  <si>
    <t>Print and save as PDF file (SN#_ddmmyy_CC_service#)</t>
  </si>
  <si>
    <t>Print 2 copies from PDF file</t>
  </si>
  <si>
    <t>Signed :</t>
  </si>
  <si>
    <t>Packing</t>
  </si>
  <si>
    <t>1 x Calibration Certificate in lid organiser</t>
  </si>
  <si>
    <t>1 x Customer Service Report in lid organiser</t>
  </si>
  <si>
    <t>Mineral Oil &amp; Battery Sheet</t>
  </si>
  <si>
    <t>Pack in Box</t>
  </si>
  <si>
    <t>1 x Calibration Certificate in Documents envelope.</t>
  </si>
  <si>
    <t>1 x Customer Service Report in Documents envelope</t>
  </si>
  <si>
    <t>Complete AX</t>
  </si>
  <si>
    <t>Update online booking</t>
  </si>
  <si>
    <t>To be completed for Service units only</t>
  </si>
  <si>
    <t>NEW BUILD?</t>
  </si>
  <si>
    <t>Reported Customer Fault or Initial Check Fault</t>
  </si>
  <si>
    <t xml:space="preserve">
</t>
  </si>
  <si>
    <t>Investigation Report</t>
  </si>
  <si>
    <t>Corrective action required</t>
  </si>
  <si>
    <t>Photos if required:</t>
  </si>
  <si>
    <t xml:space="preserve">Carried out by </t>
  </si>
  <si>
    <t>Date</t>
  </si>
  <si>
    <t>Service Sheet</t>
  </si>
  <si>
    <t>Outer Case Condition</t>
  </si>
  <si>
    <t>Caps on test points</t>
  </si>
  <si>
    <t>Software Version</t>
  </si>
  <si>
    <t>Serial Number</t>
  </si>
  <si>
    <t>Calibration due date</t>
  </si>
  <si>
    <t>Reference</t>
  </si>
  <si>
    <t>Language</t>
  </si>
  <si>
    <t>Open Diagnostics screen</t>
  </si>
  <si>
    <t>Cycle Count</t>
  </si>
  <si>
    <t>Battery Parameter</t>
  </si>
  <si>
    <t>Check Printer operation</t>
  </si>
  <si>
    <t>Visually check for leaks and damage to boards and wiring</t>
  </si>
  <si>
    <t>Replace Flush Valve</t>
  </si>
  <si>
    <t>Replace pipework.</t>
  </si>
  <si>
    <t>LPA3 SERVICE SHEET</t>
  </si>
  <si>
    <t>M Gibson</t>
  </si>
  <si>
    <t>L Harding</t>
  </si>
  <si>
    <t>T Welch</t>
  </si>
  <si>
    <t>J Scarrott</t>
  </si>
  <si>
    <t>S Mosson</t>
  </si>
  <si>
    <t>G Salf</t>
  </si>
  <si>
    <t>Service number:</t>
  </si>
  <si>
    <t>M Shurmer</t>
  </si>
  <si>
    <t>J Odom</t>
  </si>
  <si>
    <t>if yes to warranty - NCR number(s)</t>
  </si>
  <si>
    <t>A Mustoe</t>
  </si>
  <si>
    <t>Ship Date:</t>
  </si>
  <si>
    <t>INITIAL INSPECTION</t>
  </si>
  <si>
    <t>Time started:</t>
  </si>
  <si>
    <t>PRE-SERVICE</t>
  </si>
  <si>
    <t>COMMENTS</t>
  </si>
  <si>
    <t xml:space="preserve">Are both caps on test points? </t>
  </si>
  <si>
    <t xml:space="preserve">In good outer condition? </t>
  </si>
  <si>
    <t>Check presence &amp; condition of case latches</t>
  </si>
  <si>
    <t>Remove old cal cert/paperwork/calibrated label</t>
  </si>
  <si>
    <t>Remove faceplate screws and keep/store in box</t>
  </si>
  <si>
    <t>Plug in mains and RS232 - chk charge light OK</t>
  </si>
  <si>
    <t>Turn ON and note Software version:</t>
  </si>
  <si>
    <t>Log downloaded succesfully onto USB stick</t>
  </si>
  <si>
    <t>Note Test reference:</t>
  </si>
  <si>
    <t>Open Dignostic screen</t>
  </si>
  <si>
    <t xml:space="preserve"> on diagnostic screen Note Cycle count:</t>
  </si>
  <si>
    <t>note reporting format</t>
  </si>
  <si>
    <t>Print detailed counts</t>
  </si>
  <si>
    <t>Print test reference</t>
  </si>
  <si>
    <t>auto print results</t>
  </si>
  <si>
    <t>print space for notes</t>
  </si>
  <si>
    <t>Test type</t>
  </si>
  <si>
    <t>Set to continuous</t>
  </si>
  <si>
    <t>flush time  30 secs</t>
  </si>
  <si>
    <t>sample 100ml</t>
  </si>
  <si>
    <t xml:space="preserve"> wait 2mins</t>
  </si>
  <si>
    <t>Ensure Stop when Clean unticked</t>
  </si>
  <si>
    <t>RH test (if applicable)</t>
  </si>
  <si>
    <t>check printer light is on, print last test</t>
  </si>
  <si>
    <t>Serial no. set correctly</t>
  </si>
  <si>
    <t>Note Contrast No.</t>
  </si>
  <si>
    <t>Simulated test set to OFF</t>
  </si>
  <si>
    <t>Low battery voltage set to 595</t>
  </si>
  <si>
    <t xml:space="preserve">Open unit and check condition inside? </t>
  </si>
  <si>
    <t>If Y to pump leak, Warranty claim?</t>
  </si>
  <si>
    <t>If Y to warranty, replace with refurb module</t>
  </si>
  <si>
    <t>Pump Refurb required</t>
  </si>
  <si>
    <t>Test run for piston rod rotation - OK</t>
  </si>
  <si>
    <t>Is Service Quote Required for any items?</t>
  </si>
  <si>
    <t>Is Sales Order Required?</t>
  </si>
  <si>
    <t>Date Initial Inspection ended:</t>
  </si>
  <si>
    <t>Time Initial Inspection ended:</t>
  </si>
  <si>
    <t>Total time taken:</t>
  </si>
  <si>
    <t>Time restarted:</t>
  </si>
  <si>
    <t xml:space="preserve">Has a Sales Order been raised? </t>
  </si>
  <si>
    <t xml:space="preserve">Has a Works Order been raised? </t>
  </si>
  <si>
    <t>Does unit have white or black pump</t>
  </si>
  <si>
    <t>if fitted with black pump new white pump to be fitted FOC</t>
  </si>
  <si>
    <t xml:space="preserve">White pump required? </t>
  </si>
  <si>
    <t>Line laser power:</t>
  </si>
  <si>
    <t>Spot laser power:</t>
  </si>
  <si>
    <t>Line Noise:</t>
  </si>
  <si>
    <t>Spot Noise:</t>
  </si>
  <si>
    <t>DC connector works correctly?</t>
  </si>
  <si>
    <t>Clock battery replaced</t>
  </si>
  <si>
    <t>SET TIME/DATE TO CORRECT GMT</t>
  </si>
  <si>
    <t>Remove FV body</t>
  </si>
  <si>
    <t>Flush valve replaced with refurbished module</t>
  </si>
  <si>
    <t xml:space="preserve">Battery clamps in good condition? </t>
  </si>
  <si>
    <t>Batch number</t>
  </si>
  <si>
    <t>Moisture sensor readings</t>
  </si>
  <si>
    <t>% RH</t>
  </si>
  <si>
    <t>deg C</t>
  </si>
  <si>
    <r>
      <t xml:space="preserve">Serviced fittings, </t>
    </r>
    <r>
      <rPr>
        <b/>
        <sz val="11"/>
        <color rgb="FFFF0000"/>
        <rFont val="Calibri"/>
        <family val="2"/>
        <scheme val="minor"/>
      </rPr>
      <t>note # of services:</t>
    </r>
  </si>
  <si>
    <t>If # of services = 3, replace all fittings</t>
  </si>
  <si>
    <t>Ribbon Cables secured to the PCB</t>
  </si>
  <si>
    <t>FV pressure =</t>
  </si>
  <si>
    <t>HP Test (5mins Static &amp; Pulse)</t>
  </si>
  <si>
    <t>Test mode set to Normal</t>
  </si>
  <si>
    <t>Set ISO clean alarm to 0 (zero)</t>
  </si>
  <si>
    <t>Set pump volumes back to 8ml and 7ml</t>
  </si>
  <si>
    <t>Time completed:</t>
  </si>
  <si>
    <t>Select applicable Certificate (MP/Stauff/RMF etc)</t>
  </si>
  <si>
    <t>pdf cal cert and save</t>
  </si>
  <si>
    <t>print 2 copies from pdf filr</t>
  </si>
  <si>
    <t>Re-Cal Log updated</t>
  </si>
  <si>
    <t>User Settings on LPA View</t>
  </si>
  <si>
    <t>Format Set to ISO4408</t>
  </si>
  <si>
    <t>If W option fitten, box is available to tick</t>
  </si>
  <si>
    <t>W Option is not selected</t>
  </si>
  <si>
    <t>Simulated test box not ticked</t>
  </si>
  <si>
    <t>Test Type : Normal</t>
  </si>
  <si>
    <t>Flush time : 30s</t>
  </si>
  <si>
    <t>Sample Volume: 100ml</t>
  </si>
  <si>
    <t>Identification: LPA3#serial number - Firmware version</t>
  </si>
  <si>
    <t>Set Current Time</t>
  </si>
  <si>
    <t>Calibrated date</t>
  </si>
  <si>
    <t>Calibration Due date</t>
  </si>
  <si>
    <t>System Settings on LPA View</t>
  </si>
  <si>
    <t>Check Thresholds are programmed on unit</t>
  </si>
  <si>
    <t>Check Thresholds are noted on calibration certificate</t>
  </si>
  <si>
    <t>Sensing Volume Parameters</t>
  </si>
  <si>
    <t>Effective Slit Width - 68</t>
  </si>
  <si>
    <t>Effective Slit Height - 160</t>
  </si>
  <si>
    <t>Effective Channel depth - 400</t>
  </si>
  <si>
    <t>Beam Divergence - 0</t>
  </si>
  <si>
    <t>Test Cycle Control</t>
  </si>
  <si>
    <t>Sampling flow Rate ml/min - 100</t>
  </si>
  <si>
    <t>Emptying Flow Rate - 100ml</t>
  </si>
  <si>
    <t>Sample Volume - 100ml</t>
  </si>
  <si>
    <t>Auto Flush - 30 seconds</t>
  </si>
  <si>
    <t>Test Number to Received</t>
  </si>
  <si>
    <t>Test Reference to received</t>
  </si>
  <si>
    <t>Current date and time correct</t>
  </si>
  <si>
    <t>Calibrated Due Date</t>
  </si>
  <si>
    <t>Cal Initial LED Level</t>
  </si>
  <si>
    <t>Last LED Level %</t>
  </si>
  <si>
    <t>Alarm LED Level</t>
  </si>
  <si>
    <t>Hardware Configuration</t>
  </si>
  <si>
    <t>Pressure Switch - Not Ticked</t>
  </si>
  <si>
    <t>If Water Sensor fitted - box ticked</t>
  </si>
  <si>
    <t>If Temp mode fitted - box ticked</t>
  </si>
  <si>
    <t>Physical Checks on unit</t>
  </si>
  <si>
    <t>Home Screen</t>
  </si>
  <si>
    <t>Test Reference - as received</t>
  </si>
  <si>
    <t>Test Format- as received</t>
  </si>
  <si>
    <t>Test Type - as received</t>
  </si>
  <si>
    <t>Diagnostics Page</t>
  </si>
  <si>
    <t>Use Pressure Switch - not ticked</t>
  </si>
  <si>
    <t>If Water Sensor fitted Use RH Sensor box ticked</t>
  </si>
  <si>
    <t>RH Sensor values seen bottom left of screen if RH Sensor box is ticked</t>
  </si>
  <si>
    <t>Clear Battery Parameters</t>
  </si>
  <si>
    <t>Settings Page</t>
  </si>
  <si>
    <t>Reference as received</t>
  </si>
  <si>
    <t>Result format as received</t>
  </si>
  <si>
    <t>Test type - Normal</t>
  </si>
  <si>
    <t>Flush set to 30s</t>
  </si>
  <si>
    <t>Sample Volume set to 100ml</t>
  </si>
  <si>
    <t>Test type - Continous</t>
  </si>
  <si>
    <t xml:space="preserve">Wait set to 2mins </t>
  </si>
  <si>
    <t>No Repeat</t>
  </si>
  <si>
    <t>Stop When Clean - not ticked</t>
  </si>
  <si>
    <t>Test Type - Normal</t>
  </si>
  <si>
    <t>If Water Sensor fitted Green Tick on Water Content  (RH)</t>
  </si>
  <si>
    <t>No Tick in Simulation Box</t>
  </si>
  <si>
    <t>Green Tick on Diagnostics box</t>
  </si>
  <si>
    <t>Language set to English</t>
  </si>
  <si>
    <t>Printer Options</t>
  </si>
  <si>
    <t>Print Detailed Counts On</t>
  </si>
  <si>
    <t>Print Test Reference On</t>
  </si>
  <si>
    <t>Print Automatically On</t>
  </si>
  <si>
    <t>Add Space for Notes OFF</t>
  </si>
  <si>
    <t>Home Page Final Tests</t>
  </si>
  <si>
    <t>Run 1 Normal Test. Note Values below</t>
  </si>
  <si>
    <t>ISO4406</t>
  </si>
  <si>
    <t>RH %</t>
  </si>
  <si>
    <t>Temp C</t>
  </si>
  <si>
    <t>Printer Operation</t>
  </si>
  <si>
    <t>Test USB Download</t>
  </si>
  <si>
    <t>Delete Log</t>
  </si>
  <si>
    <t>Print Automatically OFF</t>
  </si>
  <si>
    <t>Red Cross on Water Content if applicable</t>
  </si>
  <si>
    <t>Red Cross on Diagnostics</t>
  </si>
  <si>
    <t>Turn Oil Flow to rig OFF</t>
  </si>
  <si>
    <t>Operate Flush Valve for 10 seconds</t>
  </si>
  <si>
    <t>Switch Unit Off and remove mains lead</t>
  </si>
  <si>
    <t>Turn on unit on to check battery operation</t>
  </si>
  <si>
    <t>Switch Unit Off</t>
  </si>
  <si>
    <t>Final Fix</t>
  </si>
  <si>
    <t>Fit 10 x M4 washers and screws for faceplates</t>
  </si>
  <si>
    <t xml:space="preserve">Post Calibration Checks Carried out by </t>
  </si>
  <si>
    <t>Pump Rebuild</t>
  </si>
  <si>
    <t>YES</t>
  </si>
  <si>
    <t>PCB Replaced</t>
  </si>
  <si>
    <t>Post Calibration Checks</t>
  </si>
  <si>
    <t>Part Number</t>
  </si>
  <si>
    <t>Customer</t>
  </si>
  <si>
    <t>Sales Order</t>
  </si>
  <si>
    <t>Works Order</t>
  </si>
  <si>
    <t>Op Number</t>
  </si>
  <si>
    <t>Print 2 Calibration Certificates</t>
  </si>
  <si>
    <t>LPA3 Calibration sheet 202.038 updated</t>
  </si>
  <si>
    <t>Note LPA3 Firmware</t>
  </si>
  <si>
    <t>Check Label is fitted and details correct</t>
  </si>
  <si>
    <t/>
  </si>
  <si>
    <t>ON LPA VIEW</t>
  </si>
  <si>
    <t>User Settings</t>
  </si>
  <si>
    <t>Test number to 1</t>
  </si>
  <si>
    <t>Format set to ISO4406</t>
  </si>
  <si>
    <t>If W option fitted, box is available to tick</t>
  </si>
  <si>
    <t>W option not selected</t>
  </si>
  <si>
    <t>Test Type: Normal</t>
  </si>
  <si>
    <t>Flush time: 30s</t>
  </si>
  <si>
    <t>Sample volume: 100ml</t>
  </si>
  <si>
    <t>Identification: LPA3 - S/N - Firmware</t>
  </si>
  <si>
    <t>Calibrated - current date</t>
  </si>
  <si>
    <t xml:space="preserve">Calibration Due </t>
  </si>
  <si>
    <t>System Settings</t>
  </si>
  <si>
    <t xml:space="preserve">Check Thresholds are programmed on unit </t>
  </si>
  <si>
    <t xml:space="preserve">Check Thresholds are noted on calibration certificate </t>
  </si>
  <si>
    <t>Effective Channel Dept - 400</t>
  </si>
  <si>
    <t>Bean Divergence - 0</t>
  </si>
  <si>
    <t>Sampling Flow Rate ml/min - 100</t>
  </si>
  <si>
    <t>Sample volume - 100ml</t>
  </si>
  <si>
    <t>Auto Flush - 30 secs</t>
  </si>
  <si>
    <t>Experimental</t>
  </si>
  <si>
    <t>Bubble Mitigation not ticked</t>
  </si>
  <si>
    <t>Serial Number as shown</t>
  </si>
  <si>
    <t>Test number set to 1</t>
  </si>
  <si>
    <t>Test Ref - CERTIFIED for new build. As received for service</t>
  </si>
  <si>
    <t>Check time is correct</t>
  </si>
  <si>
    <t>Note Cal Initial LED level</t>
  </si>
  <si>
    <t>Note: Last LED level %</t>
  </si>
  <si>
    <t>Note: Alarm LED level %</t>
  </si>
  <si>
    <t>Pressure Switch not ticked</t>
  </si>
  <si>
    <t>If W option fitted, box is ticked</t>
  </si>
  <si>
    <t>T Mode not ticked</t>
  </si>
  <si>
    <t>If Printer is fitted box is ticked</t>
  </si>
  <si>
    <t>Physical checks on unit</t>
  </si>
  <si>
    <t>Use Presure Switch - not ticked</t>
  </si>
  <si>
    <t>Use RH Sensor - Ticked (if applicable)</t>
  </si>
  <si>
    <t>Check RH sensor values are seen (if applicable)</t>
  </si>
  <si>
    <t>Clear Counter Parameters (New Build Only)</t>
  </si>
  <si>
    <t>Home page settings</t>
  </si>
  <si>
    <t>Result Format reads ISO4406</t>
  </si>
  <si>
    <t>Green tick on Water Content (RH) (if applicable)</t>
  </si>
  <si>
    <t>Green tick on Diagnostics</t>
  </si>
  <si>
    <t>Language set to EN new build. As received for service</t>
  </si>
  <si>
    <t>Print Detailed Counts ON</t>
  </si>
  <si>
    <t>Print Test Reference ON</t>
  </si>
  <si>
    <t>Print Automatically ON</t>
  </si>
  <si>
    <t>Final Tests</t>
  </si>
  <si>
    <t>Run one Normal Test. Note values below</t>
  </si>
  <si>
    <t>RH% (if applicable)</t>
  </si>
  <si>
    <t>Temp C (if applicable)</t>
  </si>
  <si>
    <t>Printer operation</t>
  </si>
  <si>
    <t>Delete Log (new units only)</t>
  </si>
  <si>
    <t>Red Cross on Water Content</t>
  </si>
  <si>
    <t>Turn oil flow off rig</t>
  </si>
  <si>
    <t>Operate flush valve for 10 seconds</t>
  </si>
  <si>
    <t>Turn unit on to check battery operation</t>
  </si>
  <si>
    <t xml:space="preserve">Switch Unit Off </t>
  </si>
  <si>
    <t>Fit 10 x M4 washers and bolts for faceplates</t>
  </si>
  <si>
    <t>Checks Carried out by</t>
  </si>
  <si>
    <t>Pass unit to Logistics : LPA3 Packing Check List - New Build ONLY</t>
  </si>
  <si>
    <t>Pack of 5 paper rolls in lid organiser (63.08300)</t>
  </si>
  <si>
    <t>1 x USB A-B cable in lid organiser  (11.081)</t>
  </si>
  <si>
    <t>1 x USB stick in lid organiser (13.055001)</t>
  </si>
  <si>
    <t>1 x Fluid Handbook in lid organiser (200.059)</t>
  </si>
  <si>
    <t>1 x Battery certificate walleted in lid organiser</t>
  </si>
  <si>
    <t>1 x Calibration certificate walleted in lid organiser</t>
  </si>
  <si>
    <t xml:space="preserve">Mineral oil and battery charge sheet </t>
  </si>
  <si>
    <t>Square waste bottle</t>
  </si>
  <si>
    <t>1500mm pressure hose in pouch</t>
  </si>
  <si>
    <t>2000mm waste hose in pouch</t>
  </si>
  <si>
    <t>UK/EU/US/CN power chords</t>
  </si>
  <si>
    <t>LPA3 power adapter</t>
  </si>
  <si>
    <t>Box and foam assembled</t>
  </si>
  <si>
    <t xml:space="preserve"> 1 x Cal Cert/Battery/transport labels on outer box</t>
  </si>
  <si>
    <t>Paper work scanned</t>
  </si>
  <si>
    <t>Pump</t>
  </si>
  <si>
    <t>Units</t>
  </si>
  <si>
    <t>ml/min</t>
  </si>
  <si>
    <t>Pump Flow Emptying</t>
  </si>
  <si>
    <t>Pump Flow Sampling</t>
  </si>
  <si>
    <t>mA</t>
  </si>
  <si>
    <t>Pump current when sampling (mA)</t>
  </si>
  <si>
    <t>Pump current when emptying (mA)</t>
  </si>
  <si>
    <t>= Key detail</t>
  </si>
  <si>
    <t>Doc. No: 200.041</t>
  </si>
  <si>
    <t>Sheet 1</t>
  </si>
  <si>
    <t>LED</t>
  </si>
  <si>
    <t>= Locked cells</t>
  </si>
  <si>
    <t>Sensor "no noise" threshold</t>
  </si>
  <si>
    <t>Rev XXX</t>
  </si>
  <si>
    <t>ml</t>
  </si>
  <si>
    <t>Sample Volume</t>
  </si>
  <si>
    <t>nA</t>
  </si>
  <si>
    <t>Photocurrent</t>
  </si>
  <si>
    <t>CMP type</t>
  </si>
  <si>
    <t>Cert No.</t>
  </si>
  <si>
    <t>Test Rig No.</t>
  </si>
  <si>
    <t>No noise count/100ml 
(must not exceed 500/100ml)</t>
  </si>
  <si>
    <t>Calibration Rig</t>
  </si>
  <si>
    <t>mm</t>
  </si>
  <si>
    <t>Initial Fluid Distance</t>
  </si>
  <si>
    <t>L</t>
  </si>
  <si>
    <t>Calculated Initial Fluid Volume</t>
  </si>
  <si>
    <t>mg/L</t>
  </si>
  <si>
    <t>Desired concentration</t>
  </si>
  <si>
    <t>mg</t>
  </si>
  <si>
    <t>Required Qty of MTD to add</t>
  </si>
  <si>
    <t>Calibrated by</t>
  </si>
  <si>
    <t>Actual qty MTD added</t>
  </si>
  <si>
    <t>Chkd/verified by</t>
  </si>
  <si>
    <t>Final Fluid Level</t>
  </si>
  <si>
    <t>Calculated Final Fluid Volume</t>
  </si>
  <si>
    <t>Calculated final concentration</t>
  </si>
  <si>
    <t>Final Recommended Threshold Settings</t>
  </si>
  <si>
    <t>Particle Size Required (µm)</t>
  </si>
  <si>
    <t>Combined Thresholds</t>
  </si>
  <si>
    <t>Test result</t>
  </si>
  <si>
    <t>Target</t>
  </si>
  <si>
    <t>% Deviation 1</t>
  </si>
  <si>
    <t>% Deviation 2</t>
  </si>
  <si>
    <t>% Deviation 3</t>
  </si>
  <si>
    <t>Average value</t>
  </si>
  <si>
    <t>MP Filtri UK Ltd</t>
  </si>
  <si>
    <t>Keep House, Conference Way, Vale Park,</t>
  </si>
  <si>
    <t>Evesham</t>
  </si>
  <si>
    <t>England</t>
  </si>
  <si>
    <t>WR11 1LB</t>
  </si>
  <si>
    <t>Tel: +44 (0) 1386 258500</t>
  </si>
  <si>
    <t>www.mpfiltri.co.uk</t>
  </si>
  <si>
    <t>CERTIFICATE OF CALIBRATION</t>
  </si>
  <si>
    <t xml:space="preserve">WE HEREBY CERTIFY THAT THE CONTAMINATION MONITORING PRODUCT DETAILED BELOW HAS BEEN FULLY CALIBRATED WITH ISO MEDIUM TEST DUST (MTD) BASED ON ISO 11171:2020 ON TEST EQUIPMENT CERTIFIED TO ISO 11943 BY I.F.T.S {Institut de la Filtration et des Techniques Séparatives}. </t>
  </si>
  <si>
    <t>We hereby confirm that the above mentioned measuring system was calibrated according to DIN ISO 9001, under the observation of a certified quality assurance system. The measuring installation used for calibration are regularly calibrated to national standards by I.F.T.S. Should no national standards exist, the measuring procedure corresponds with the technical regulations and norms valid at the time of the measurement</t>
  </si>
  <si>
    <t>PRODUCT TYPE</t>
  </si>
  <si>
    <t>MEDIUM TEST DUST BATCH NUMBER</t>
  </si>
  <si>
    <t>SERIAL NUMBER</t>
  </si>
  <si>
    <t>DATE OF CALIBRATION</t>
  </si>
  <si>
    <t>CERTIFICATE NUMBER</t>
  </si>
  <si>
    <t>CALIBRATION RIG NUMBER</t>
  </si>
  <si>
    <t>PARTICLE COUNT LIMITS AT 16mg/L CONCENTRATION</t>
  </si>
  <si>
    <t>(Suspension of ISO MTD in MIL-H-5606)</t>
  </si>
  <si>
    <t>No. particles reported per 100ml volume</t>
  </si>
  <si>
    <t>Particle Size</t>
  </si>
  <si>
    <t>Calibration Pulse Height</t>
  </si>
  <si>
    <t>Target Particle Count</t>
  </si>
  <si>
    <t>Actual Particle Count</t>
  </si>
  <si>
    <t>Deviation</t>
  </si>
  <si>
    <t>% Deviation
(+/- 10%)</t>
  </si>
  <si>
    <t>[microns (c)]</t>
  </si>
  <si>
    <t>[mV]</t>
  </si>
  <si>
    <t>[n]</t>
  </si>
  <si>
    <t>[%]</t>
  </si>
  <si>
    <t>&gt;4</t>
  </si>
  <si>
    <t>&gt;6</t>
  </si>
  <si>
    <t>&gt;14</t>
  </si>
  <si>
    <t>&gt;21</t>
  </si>
  <si>
    <t>&gt;25</t>
  </si>
  <si>
    <t>&gt;38</t>
  </si>
  <si>
    <t>&gt;**50</t>
  </si>
  <si>
    <t>&gt;**70</t>
  </si>
  <si>
    <t>**These particle sizes are not yet certified by NIST</t>
  </si>
  <si>
    <t>LS1 No Noise Threshold</t>
  </si>
  <si>
    <t>LS1 Threshold Sensitivity</t>
  </si>
  <si>
    <t>Sensitivity Threshold Ratio</t>
  </si>
  <si>
    <t>[-]</t>
  </si>
  <si>
    <t>CALIBRATION RESULT</t>
  </si>
  <si>
    <t>PASS</t>
  </si>
  <si>
    <t>PASS - VERIFIED</t>
  </si>
  <si>
    <t>RE-CALIBRATION DUE</t>
  </si>
  <si>
    <t>1 YEAR FROM FIRST USE</t>
  </si>
  <si>
    <t>CALIBRATED BY</t>
  </si>
  <si>
    <t>Position</t>
  </si>
  <si>
    <t>Calibration Lab Technician</t>
  </si>
  <si>
    <t>Newly purchased products are covered under warranty for 12 months from first use</t>
  </si>
  <si>
    <t>Products being returned for re-calibration are verified for accuracy for a further 12 months. This does not extend the warranty.</t>
  </si>
  <si>
    <t>Customers are responsible for managing the intervals between calibration's as defined within IS0 9001:2000</t>
  </si>
  <si>
    <t>Doc No. 200.XXX</t>
  </si>
  <si>
    <t>Bourton on the Water Industrial Park</t>
  </si>
  <si>
    <t>Gloucestershire</t>
  </si>
  <si>
    <t>GL54 2HQ</t>
  </si>
  <si>
    <t>Tel: +44 (0) 1451 822522</t>
  </si>
  <si>
    <t>Work carried out</t>
  </si>
  <si>
    <t>UNIT SERVICING</t>
  </si>
  <si>
    <t>CALIBRATION AND FINAL CHECKS</t>
  </si>
  <si>
    <t>Walter Stauffenberg</t>
  </si>
  <si>
    <t>GmbH &amp; Co. KG</t>
  </si>
  <si>
    <t>Im Ehrenfeld 4</t>
  </si>
  <si>
    <t>D-58791 Werdohl</t>
  </si>
  <si>
    <t>Telefon +49 (0) 2392 916-0</t>
  </si>
  <si>
    <t>CALIBRATION CERTIFICATE</t>
  </si>
  <si>
    <t>Carried out by:</t>
  </si>
  <si>
    <t>Walter Stauffenberg GmbH &amp; Co. KG</t>
  </si>
  <si>
    <t>58791 Werdohl</t>
  </si>
  <si>
    <t>Germany</t>
  </si>
  <si>
    <t>Certificate No.:</t>
  </si>
  <si>
    <t>20</t>
  </si>
  <si>
    <t>Description of probe:</t>
  </si>
  <si>
    <t>We hereby confirm that the above mentioned measuring system was calibrated according to DIN ISO 9001, under the observation of a certified quality assurance system. 
The measuring installation used for calibration are regularly calibrated and are based on the national standards ISO 11171:2010 and other national standards.</t>
  </si>
  <si>
    <t>Should no national standards exist, the measuring procedure corresponds with the technical regulations and norms valid at the time of the measurement.</t>
  </si>
  <si>
    <t>The documents established for this procedure are available for viewing. All the necessary measured data can be found on the following page of this calibration certificate.</t>
  </si>
  <si>
    <t>Special remarks</t>
  </si>
  <si>
    <t xml:space="preserve">Date of calibration:                  </t>
  </si>
  <si>
    <t>Processed by J Clay</t>
  </si>
  <si>
    <t>(Laboratory Engineer)</t>
  </si>
  <si>
    <r>
      <t>(The LasPaCII unit</t>
    </r>
    <r>
      <rPr>
        <vertAlign val="superscript"/>
        <sz val="9"/>
        <rFont val="Arial"/>
        <family val="2"/>
      </rPr>
      <t xml:space="preserve"> </t>
    </r>
    <r>
      <rPr>
        <sz val="9"/>
        <rFont val="Arial"/>
        <family val="2"/>
      </rPr>
      <t>is certified for 12 months after date of sale to end-customer from first use)</t>
    </r>
  </si>
  <si>
    <t>TESTING EQUIPMENT</t>
  </si>
  <si>
    <t>Particle Counter</t>
  </si>
  <si>
    <t>Ser.No.:</t>
  </si>
  <si>
    <t>Pressure Mode</t>
  </si>
  <si>
    <t>Low Pressure</t>
  </si>
  <si>
    <t>Noise (Laser1)</t>
  </si>
  <si>
    <t>Noise (Laser2)</t>
  </si>
  <si>
    <t>Size Range</t>
  </si>
  <si>
    <t xml:space="preserve">4 - 70um(c) </t>
  </si>
  <si>
    <t>Flow rate</t>
  </si>
  <si>
    <t>6ml/min</t>
  </si>
  <si>
    <t>The ISO MTD - Calibration was performaned with 16mg/l ISO MTD in MIL-H-5606 according to ISO 11171</t>
  </si>
  <si>
    <t>CALIBRATION PERFORMANCE</t>
  </si>
  <si>
    <t>Max. Deviation: ± 10%</t>
  </si>
  <si>
    <t>Nominal</t>
  </si>
  <si>
    <t>Actual</t>
  </si>
  <si>
    <t>[um (c)]</t>
  </si>
  <si>
    <t>[Particle / 16ml]</t>
  </si>
  <si>
    <t>*50</t>
  </si>
  <si>
    <t>*70</t>
  </si>
  <si>
    <t>*These particle sizes are not yet certified by NIST therefore the deviation values are not applicable</t>
  </si>
  <si>
    <t>Date:</t>
  </si>
  <si>
    <t>(The LasPaCII unit is certified for 12 months after date of sale)</t>
  </si>
  <si>
    <t xml:space="preserve">WE HEREBY CERTIFY THAT THE CONTAMINATION MONITORING PRODUCT DETAILED BELOW HAS BEEN FULLY CALIBRATED WITH ISO MEDIUM TEST DUST (MTD) BASED ON ISO 11171 ON TEST EQUIPMENT CERTIFIED TO ISO 11943 BY I.F.T.S {Institut de la Filtration et des Techniques Séparatives}. </t>
  </si>
  <si>
    <t>ID NO.</t>
  </si>
  <si>
    <t>DESCRIPTION</t>
  </si>
  <si>
    <t>Manufacturer / Supplier</t>
  </si>
  <si>
    <t>Serial No.</t>
  </si>
  <si>
    <t>ACE 1999</t>
  </si>
  <si>
    <t>PARTICLE COUNTER</t>
  </si>
  <si>
    <t>MP FILTRI</t>
  </si>
  <si>
    <t>ACE 2048</t>
  </si>
  <si>
    <t>ACE 2625</t>
  </si>
  <si>
    <t>ACE 3614</t>
  </si>
  <si>
    <t>LS2 No Noise Threshold</t>
  </si>
  <si>
    <t>LS2 Threshold Sensitivity</t>
  </si>
  <si>
    <t>Page 1 of 1</t>
  </si>
  <si>
    <t xml:space="preserve">WE HEREBY CERTIFY THAT THE CONTAMINATION MONITORING PRODUCT DETAILED BELOW HAS BEEN FULLY CALIBRATED WITH ISO MEDIUM TEST DUST (MTD) BASED ON ISO 11171:2010 ON TEST EQUIPMENT CERTIFIED TO ISO 11943 BY I.F.T.S {Institut de la Filtration et des Techniques Séparatives}. </t>
  </si>
  <si>
    <t>MP Filtri Distributor:  Dutch Holding</t>
  </si>
  <si>
    <t>Asesorias Y Tecnologia Industrial S.A</t>
  </si>
  <si>
    <t xml:space="preserve">VDA Del Parque 4680A OF.401 </t>
  </si>
  <si>
    <t xml:space="preserve">Ciudad Empresarial Huechuraba </t>
  </si>
  <si>
    <t>Santiago - Chile</t>
  </si>
  <si>
    <t>For TRESCAL on behalf of AIRBUS OPERATIONS LTD (FILTON):BS99 7AR</t>
  </si>
  <si>
    <t>Contamination Monitoring Product Calibration Record - CML4/CML3</t>
  </si>
  <si>
    <t>Unit flushed with Petroleum Ether (50ml)</t>
  </si>
  <si>
    <t>If LEAKING, abandon further checks and repair unit</t>
  </si>
  <si>
    <t>Replaced battery cables (to thick)?</t>
  </si>
  <si>
    <t>CALIBRATION doc # 214.020</t>
  </si>
  <si>
    <t>locate file on sharepoint 202.038 and complete</t>
  </si>
  <si>
    <t xml:space="preserve">Pressure switch ticked </t>
  </si>
  <si>
    <t>Reset battery parameters (only on NEW unit/if battery replaced)</t>
  </si>
  <si>
    <t>Ensure shipping tick box is engaged</t>
  </si>
  <si>
    <t>Flush/Sample  - set to received:</t>
  </si>
  <si>
    <t>Identification should be: CML4 - S/N - Firmware</t>
  </si>
  <si>
    <t>A. Brown</t>
  </si>
  <si>
    <t>R. Eden</t>
  </si>
  <si>
    <t>A. Hayward</t>
  </si>
  <si>
    <t>J. Scarrott</t>
  </si>
  <si>
    <t>A. Mustoe</t>
  </si>
  <si>
    <t>Offline</t>
  </si>
  <si>
    <t>Jamie Soule</t>
  </si>
  <si>
    <t>product</t>
  </si>
  <si>
    <t>LPA3 NAVAIR</t>
  </si>
  <si>
    <t xml:space="preserve">   LPA SETTINGS</t>
  </si>
  <si>
    <t>model_name</t>
  </si>
  <si>
    <t>serial_number</t>
  </si>
  <si>
    <t>option_bits</t>
  </si>
  <si>
    <t>x_option_bits</t>
  </si>
  <si>
    <t>test_reference</t>
  </si>
  <si>
    <t>threshold0</t>
  </si>
  <si>
    <t>threshold1</t>
  </si>
  <si>
    <t>threshold2</t>
  </si>
  <si>
    <t>threshold3</t>
  </si>
  <si>
    <t>threshold4</t>
  </si>
  <si>
    <t>threshold5</t>
  </si>
  <si>
    <t>threshold6</t>
  </si>
  <si>
    <t>threshold7</t>
  </si>
  <si>
    <t>effective_slit_width</t>
  </si>
  <si>
    <t>effective_slit_height</t>
  </si>
  <si>
    <t>channel_width</t>
  </si>
  <si>
    <t>divergence_milliradians</t>
  </si>
  <si>
    <t>channel_depth</t>
  </si>
  <si>
    <t>calibration_led_level_initial</t>
  </si>
  <si>
    <t>calibration_led_level_last</t>
  </si>
  <si>
    <t>calibration_led_level_alarm</t>
  </si>
  <si>
    <t>calibration_date_last</t>
  </si>
  <si>
    <t>calibration_date_next</t>
  </si>
  <si>
    <t>result_format</t>
  </si>
  <si>
    <t>test_mode</t>
  </si>
  <si>
    <t>wait_time_s</t>
  </si>
  <si>
    <t>test_number</t>
  </si>
  <si>
    <t>CycleCount</t>
  </si>
  <si>
    <t>last_download</t>
  </si>
  <si>
    <t>time_stamp</t>
  </si>
  <si>
    <t>source_drive</t>
  </si>
  <si>
    <t>continous_mode_confirm_target_n</t>
  </si>
  <si>
    <t>flush_time_s</t>
  </si>
  <si>
    <t>test_sequence</t>
  </si>
  <si>
    <t>sample_portions</t>
  </si>
  <si>
    <t>pump_target_flow_ml_min</t>
  </si>
  <si>
    <t>pump_flow_emptying_ml_min</t>
  </si>
  <si>
    <t>sample_volume_ml</t>
  </si>
  <si>
    <t>pump_flush_volume_ml</t>
  </si>
  <si>
    <t>pump_flow_flushing_ml_min</t>
  </si>
  <si>
    <t>cml4_online_flush_ml</t>
  </si>
  <si>
    <t>cml4_online_flush_ml_min</t>
  </si>
  <si>
    <t>cml4_online_sample_ml</t>
  </si>
  <si>
    <t>cml4_online_sample_ml_min</t>
  </si>
  <si>
    <t>cml4_offline_flush_ml</t>
  </si>
  <si>
    <t>cml4_offline_flush_ml_min</t>
  </si>
  <si>
    <t>cml4_offline_sample_ml</t>
  </si>
  <si>
    <t>cml4_offline_sample_ml_min</t>
  </si>
  <si>
    <t>cml4_pump_leakage_ml_min</t>
  </si>
  <si>
    <t>threshold32_0_value</t>
  </si>
  <si>
    <t>threshold32_1_value</t>
  </si>
  <si>
    <t>threshold32_2_value</t>
  </si>
  <si>
    <t>threshold32_3_value</t>
  </si>
  <si>
    <t>threshold32_4_value</t>
  </si>
  <si>
    <t>threshold32_5_value</t>
  </si>
  <si>
    <t>threshold32_6_value</t>
  </si>
  <si>
    <t>threshold32_7_value</t>
  </si>
  <si>
    <t>threshold32_8_value</t>
  </si>
  <si>
    <t>threshold32_9_value</t>
  </si>
  <si>
    <t>threshold32_10_value</t>
  </si>
  <si>
    <t>threshold32_11_value</t>
  </si>
  <si>
    <t>threshold32_12_value</t>
  </si>
  <si>
    <t>threshold32_13_value</t>
  </si>
  <si>
    <t>threshold32_14_value</t>
  </si>
  <si>
    <t>threshold32_15_value</t>
  </si>
  <si>
    <t>threshold32_16_value</t>
  </si>
  <si>
    <t>threshold32_17_value</t>
  </si>
  <si>
    <t>threshold32_18_value</t>
  </si>
  <si>
    <t>threshold32_19_value</t>
  </si>
  <si>
    <t>threshold32_20_value</t>
  </si>
  <si>
    <t>threshold32_21_value</t>
  </si>
  <si>
    <t>threshold32_22_value</t>
  </si>
  <si>
    <t>threshold32_23_value</t>
  </si>
  <si>
    <t>threshold32_24_value</t>
  </si>
  <si>
    <t>threshold32_25_value</t>
  </si>
  <si>
    <t>threshold32_26_value</t>
  </si>
  <si>
    <t>threshold32_27_value</t>
  </si>
  <si>
    <t>threshold32_28_value</t>
  </si>
  <si>
    <t>threshold32_29_value</t>
  </si>
  <si>
    <t>threshold32_30_value</t>
  </si>
  <si>
    <t>threshold32_31_value</t>
  </si>
  <si>
    <t>threshold32_0_sz</t>
  </si>
  <si>
    <t>threshold32_1_sz</t>
  </si>
  <si>
    <t>threshold32_2_sz</t>
  </si>
  <si>
    <t>threshold32_3_sz</t>
  </si>
  <si>
    <t>threshold32_4_sz</t>
  </si>
  <si>
    <t>threshold32_5_sz</t>
  </si>
  <si>
    <t>threshold32_6_sz</t>
  </si>
  <si>
    <t>threshold32_7_sz</t>
  </si>
  <si>
    <t>threshold32_8_sz</t>
  </si>
  <si>
    <t>threshold32_9_sz</t>
  </si>
  <si>
    <t>threshold32_10_sz</t>
  </si>
  <si>
    <t>threshold32_11_sz</t>
  </si>
  <si>
    <t>threshold32_12_sz</t>
  </si>
  <si>
    <t>threshold32_13_sz</t>
  </si>
  <si>
    <t>threshold32_14_sz</t>
  </si>
  <si>
    <t>threshold32_15_sz</t>
  </si>
  <si>
    <t>threshold32_16_sz</t>
  </si>
  <si>
    <t>threshold32_17_sz</t>
  </si>
  <si>
    <t>threshold32_18_sz</t>
  </si>
  <si>
    <t>threshold32_19_sz</t>
  </si>
  <si>
    <t>threshold32_20_sz</t>
  </si>
  <si>
    <t>threshold32_21_sz</t>
  </si>
  <si>
    <t>threshold32_22_sz</t>
  </si>
  <si>
    <t>threshold32_23_sz</t>
  </si>
  <si>
    <t>threshold32_24_sz</t>
  </si>
  <si>
    <t>threshold32_25_sz</t>
  </si>
  <si>
    <t>threshold32_26_sz</t>
  </si>
  <si>
    <t>threshold32_27_sz</t>
  </si>
  <si>
    <t>threshold32_28_sz</t>
  </si>
  <si>
    <t>threshold32_29_sz</t>
  </si>
  <si>
    <t>threshold32_30_sz</t>
  </si>
  <si>
    <t>threshold32_31_sz</t>
  </si>
  <si>
    <t>MEASURED PARAMETERS</t>
  </si>
  <si>
    <t>verification_count_1_0</t>
  </si>
  <si>
    <t>verification_count_1_1</t>
  </si>
  <si>
    <t>verification_count_1_2</t>
  </si>
  <si>
    <t>verification_count_1_3</t>
  </si>
  <si>
    <t>verification_count_1_4</t>
  </si>
  <si>
    <t>verification_count_1_5</t>
  </si>
  <si>
    <t>verification_count_1_6</t>
  </si>
  <si>
    <t>verification_count_1_7</t>
  </si>
  <si>
    <t>verification_count_2_0</t>
  </si>
  <si>
    <t>verification_count_2_1</t>
  </si>
  <si>
    <t>verification_count_2_2</t>
  </si>
  <si>
    <t>verification_count_2_3</t>
  </si>
  <si>
    <t>verification_count_2_4</t>
  </si>
  <si>
    <t>verification_count_2_5</t>
  </si>
  <si>
    <t>verification_count_2_6</t>
  </si>
  <si>
    <t>verification_count_2_7</t>
  </si>
  <si>
    <t>verification_count_3_0</t>
  </si>
  <si>
    <t>verification_count_3_1</t>
  </si>
  <si>
    <t>verification_count_3_2</t>
  </si>
  <si>
    <t>verification_count_3_3</t>
  </si>
  <si>
    <t>verification_count_3_4</t>
  </si>
  <si>
    <t>verification_count_3_5</t>
  </si>
  <si>
    <t>verification_count_3_6</t>
  </si>
  <si>
    <t>verification_count_3_7</t>
  </si>
  <si>
    <t>reference_count_0</t>
  </si>
  <si>
    <t>reference_count_1</t>
  </si>
  <si>
    <t>reference_count_2</t>
  </si>
  <si>
    <t>reference_count_3</t>
  </si>
  <si>
    <t>reference_count_4</t>
  </si>
  <si>
    <t>reference_count_5</t>
  </si>
  <si>
    <t>reference_count_6</t>
  </si>
  <si>
    <t>reference_count_7</t>
  </si>
  <si>
    <t>verification_count32_1_0</t>
  </si>
  <si>
    <t>verification_count32_1_1</t>
  </si>
  <si>
    <t>verification_count32_1_2</t>
  </si>
  <si>
    <t>verification_count32_1_3</t>
  </si>
  <si>
    <t>verification_count32_1_4</t>
  </si>
  <si>
    <t>verification_count32_1_5</t>
  </si>
  <si>
    <t>verification_count32_1_6</t>
  </si>
  <si>
    <t>verification_count32_1_7</t>
  </si>
  <si>
    <t>verification_count32_1_8</t>
  </si>
  <si>
    <t>verification_count32_1_9</t>
  </si>
  <si>
    <t>verification_count32_1_10</t>
  </si>
  <si>
    <t>verification_count32_1_11</t>
  </si>
  <si>
    <t>verification_count32_1_12</t>
  </si>
  <si>
    <t>verification_count32_1_13</t>
  </si>
  <si>
    <t>verification_count32_1_14</t>
  </si>
  <si>
    <t>verification_count32_1_15</t>
  </si>
  <si>
    <t>verification_count32_1_16</t>
  </si>
  <si>
    <t>verification_count32_1_17</t>
  </si>
  <si>
    <t>verification_count32_1_18</t>
  </si>
  <si>
    <t>verification_count32_1_19</t>
  </si>
  <si>
    <t>verification_count32_1_20</t>
  </si>
  <si>
    <t>verification_count32_1_21</t>
  </si>
  <si>
    <t>verification_count32_1_22</t>
  </si>
  <si>
    <t>verification_count32_1_23</t>
  </si>
  <si>
    <t>verification_count32_1_24</t>
  </si>
  <si>
    <t>verification_count32_1_25</t>
  </si>
  <si>
    <t>verification_count32_1_26</t>
  </si>
  <si>
    <t>verification_count32_1_27</t>
  </si>
  <si>
    <t>verification_count32_1_28</t>
  </si>
  <si>
    <t>verification_count32_1_29</t>
  </si>
  <si>
    <t>verification_count32_1_30</t>
  </si>
  <si>
    <t>verification_count32_1_31</t>
  </si>
  <si>
    <t>verification_count32_2_0</t>
  </si>
  <si>
    <t>verification_count32_2_1</t>
  </si>
  <si>
    <t>verification_count32_2_2</t>
  </si>
  <si>
    <t>verification_count32_2_3</t>
  </si>
  <si>
    <t>verification_count32_2_4</t>
  </si>
  <si>
    <t>verification_count32_2_5</t>
  </si>
  <si>
    <t>verification_count32_2_6</t>
  </si>
  <si>
    <t>verification_count32_2_7</t>
  </si>
  <si>
    <t>verification_count32_2_8</t>
  </si>
  <si>
    <t>verification_count32_2_9</t>
  </si>
  <si>
    <t>verification_count32_2_10</t>
  </si>
  <si>
    <t>verification_count32_2_11</t>
  </si>
  <si>
    <t>verification_count32_2_12</t>
  </si>
  <si>
    <t>verification_count32_2_13</t>
  </si>
  <si>
    <t>verification_count32_2_14</t>
  </si>
  <si>
    <t>verification_count32_2_15</t>
  </si>
  <si>
    <t>verification_count32_2_16</t>
  </si>
  <si>
    <t>verification_count32_2_17</t>
  </si>
  <si>
    <t>verification_count32_2_18</t>
  </si>
  <si>
    <t>verification_count32_2_19</t>
  </si>
  <si>
    <t>verification_count32_2_20</t>
  </si>
  <si>
    <t>verification_count32_2_21</t>
  </si>
  <si>
    <t>verification_count32_2_22</t>
  </si>
  <si>
    <t>verification_count32_2_23</t>
  </si>
  <si>
    <t>verification_count32_2_24</t>
  </si>
  <si>
    <t>verification_count32_2_25</t>
  </si>
  <si>
    <t>verification_count32_2_26</t>
  </si>
  <si>
    <t>verification_count32_2_27</t>
  </si>
  <si>
    <t>verification_count32_2_28</t>
  </si>
  <si>
    <t>verification_count32_2_29</t>
  </si>
  <si>
    <t>verification_count32_2_30</t>
  </si>
  <si>
    <t>verification_count32_2_31</t>
  </si>
  <si>
    <t>verification_count32_3_0</t>
  </si>
  <si>
    <t>verification_count32_3_1</t>
  </si>
  <si>
    <t>verification_count32_3_2</t>
  </si>
  <si>
    <t>verification_count32_3_3</t>
  </si>
  <si>
    <t>verification_count32_3_4</t>
  </si>
  <si>
    <t>verification_count32_3_5</t>
  </si>
  <si>
    <t>verification_count32_3_6</t>
  </si>
  <si>
    <t>verification_count32_3_7</t>
  </si>
  <si>
    <t>verification_count32_3_8</t>
  </si>
  <si>
    <t>verification_count32_3_9</t>
  </si>
  <si>
    <t>verification_count32_3_10</t>
  </si>
  <si>
    <t>verification_count32_3_11</t>
  </si>
  <si>
    <t>verification_count32_3_12</t>
  </si>
  <si>
    <t>verification_count32_3_13</t>
  </si>
  <si>
    <t>verification_count32_3_14</t>
  </si>
  <si>
    <t>verification_count32_3_15</t>
  </si>
  <si>
    <t>verification_count32_3_16</t>
  </si>
  <si>
    <t>verification_count32_3_17</t>
  </si>
  <si>
    <t>verification_count32_3_18</t>
  </si>
  <si>
    <t>verification_count32_3_19</t>
  </si>
  <si>
    <t>verification_count32_3_20</t>
  </si>
  <si>
    <t>verification_count32_3_21</t>
  </si>
  <si>
    <t>verification_count32_3_22</t>
  </si>
  <si>
    <t>verification_count32_3_23</t>
  </si>
  <si>
    <t>verification_count32_3_24</t>
  </si>
  <si>
    <t>verification_count32_3_25</t>
  </si>
  <si>
    <t>verification_count32_3_26</t>
  </si>
  <si>
    <t>verification_count32_3_27</t>
  </si>
  <si>
    <t>verification_count32_3_28</t>
  </si>
  <si>
    <t>verification_count32_3_29</t>
  </si>
  <si>
    <t>verification_count32_3_30</t>
  </si>
  <si>
    <t>verification_count32_3_31</t>
  </si>
  <si>
    <t>reference_count32_0</t>
  </si>
  <si>
    <t>reference_count32_1</t>
  </si>
  <si>
    <t>reference_count32_2</t>
  </si>
  <si>
    <t>reference_count32_3</t>
  </si>
  <si>
    <t>reference_count32_4</t>
  </si>
  <si>
    <t>reference_count32_5</t>
  </si>
  <si>
    <t>reference_count32_6</t>
  </si>
  <si>
    <t>reference_count32_7</t>
  </si>
  <si>
    <t>reference_count32_8</t>
  </si>
  <si>
    <t>reference_count32_9</t>
  </si>
  <si>
    <t>reference_count32_10</t>
  </si>
  <si>
    <t>reference_count32_11</t>
  </si>
  <si>
    <t>reference_count32_12</t>
  </si>
  <si>
    <t>reference_count32_13</t>
  </si>
  <si>
    <t>reference_count32_14</t>
  </si>
  <si>
    <t>reference_count32_15</t>
  </si>
  <si>
    <t>reference_count32_16</t>
  </si>
  <si>
    <t>reference_count32_17</t>
  </si>
  <si>
    <t>reference_count32_18</t>
  </si>
  <si>
    <t>reference_count32_19</t>
  </si>
  <si>
    <t>reference_count32_20</t>
  </si>
  <si>
    <t>reference_count32_21</t>
  </si>
  <si>
    <t>reference_count32_22</t>
  </si>
  <si>
    <t>reference_count32_23</t>
  </si>
  <si>
    <t>reference_count32_24</t>
  </si>
  <si>
    <t>reference_count32_25</t>
  </si>
  <si>
    <t>reference_count32_26</t>
  </si>
  <si>
    <t>reference_count32_27</t>
  </si>
  <si>
    <t>reference_count32_28</t>
  </si>
  <si>
    <t>reference_count32_29</t>
  </si>
  <si>
    <t>reference_count32_30</t>
  </si>
  <si>
    <t>reference_count32_31</t>
  </si>
  <si>
    <t>Measured Counter Data</t>
  </si>
  <si>
    <t>pump_current_sampling</t>
  </si>
  <si>
    <t>pump_current_emptying</t>
  </si>
  <si>
    <t>led_level</t>
  </si>
  <si>
    <t>no_noise_threshold</t>
  </si>
  <si>
    <t>CALIBRATION DOCUMENT VALUES</t>
  </si>
  <si>
    <t>date_</t>
  </si>
  <si>
    <t>serial_number_</t>
  </si>
  <si>
    <t xml:space="preserve">   RIG PARAMETERS</t>
  </si>
  <si>
    <t>meas_init_level</t>
  </si>
  <si>
    <t>calc_init_volume</t>
  </si>
  <si>
    <t>desired_concentration</t>
  </si>
  <si>
    <t>calc_qty_add</t>
  </si>
  <si>
    <t>meas_qty_add</t>
  </si>
  <si>
    <t>meas_final_level</t>
  </si>
  <si>
    <t>calc_volume</t>
  </si>
  <si>
    <t>calc_concentration</t>
  </si>
  <si>
    <t>rig_param_volume_mult</t>
  </si>
  <si>
    <t>rig_param_volume_constant</t>
  </si>
  <si>
    <t>rig_param_identifier</t>
  </si>
  <si>
    <t>rig_cleanliness_count</t>
  </si>
  <si>
    <t>RM Batch</t>
  </si>
  <si>
    <t>REFERENCE MATERIAL BATCH NUMBER</t>
  </si>
  <si>
    <t>&gt;50</t>
  </si>
  <si>
    <t>&gt;70</t>
  </si>
  <si>
    <t>5.6mg/l RM8631b</t>
  </si>
  <si>
    <t>RM8631b</t>
  </si>
  <si>
    <t>John Devereux</t>
  </si>
  <si>
    <t>LPA3 NAVAIR #63010062 CALIBRATE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</si>
</sst>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4" formatCode="_-&quot;£&quot;* #,##0.00_-;\-&quot;£&quot;* #,##0.00_-;_-&quot;£&quot;* &quot;-&quot;??_-;_-@_-"/>
    <numFmt numFmtId="164" formatCode="0.000"/>
    <numFmt numFmtId="165" formatCode="dd\ mm\ yy"/>
    <numFmt numFmtId="166" formatCode="ddmmyy"/>
    <numFmt numFmtId="167" formatCode="dd/mm/yy"/>
    <numFmt numFmtId="168" formatCode="0.000%"/>
    <numFmt numFmtId="169" formatCode="d\-mmm\-yy"/>
    <numFmt numFmtId="170" formatCode="00##"/>
    <numFmt numFmtId="171" formatCode="0.0%"/>
    <numFmt numFmtId="172" formatCode="dd\ mm\ yyyy"/>
    <numFmt numFmtId="173" formatCode="[$-F800]dddd\,\ mmmm\ dd\,\ yyyy"/>
    <numFmt numFmtId="174" formatCode="[$-F400]h:mm:ss\ AM/PM"/>
    <numFmt numFmtId="175" formatCode="0.000000"/>
    <numFmt numFmtId="176" formatCode="\ ddmmyy"/>
    <numFmt numFmtId="177" formatCode=";;;"/>
    <numFmt numFmtId="178" formatCode="00###"/>
    <numFmt numFmtId="179" formatCode="00####"/>
  </numFmts>
  <fonts count="61" x14ac:knownFonts="1">
    <font>
      <sz val="10"/>
      <name val="Arial"/>
    </font>
    <font>
      <sz val="10"/>
      <name val="Arial"/>
      <family val="2"/>
    </font>
    <font>
      <b/>
      <sz val="10"/>
      <name val="Arial"/>
      <family val="2"/>
    </font>
    <font>
      <i/>
      <sz val="10"/>
      <name val="Arial"/>
      <family val="2"/>
    </font>
    <font>
      <sz val="10"/>
      <name val="Arial"/>
      <family val="2"/>
    </font>
    <font>
      <u/>
      <sz val="10"/>
      <color indexed="12"/>
      <name val="Arial"/>
      <family val="2"/>
    </font>
    <font>
      <sz val="9"/>
      <name val="Arial"/>
      <family val="2"/>
    </font>
    <font>
      <sz val="12"/>
      <name val="Arial"/>
      <family val="2"/>
    </font>
    <font>
      <b/>
      <sz val="22"/>
      <name val="Arial"/>
      <family val="2"/>
    </font>
    <font>
      <b/>
      <sz val="14"/>
      <name val="Arial"/>
      <family val="2"/>
    </font>
    <font>
      <sz val="8"/>
      <name val="Arial"/>
      <family val="2"/>
    </font>
    <font>
      <sz val="14"/>
      <name val="Arial"/>
      <family val="2"/>
    </font>
    <font>
      <sz val="8"/>
      <name val="Arial"/>
      <family val="2"/>
    </font>
    <font>
      <b/>
      <sz val="12"/>
      <name val="Arial"/>
      <family val="2"/>
    </font>
    <font>
      <b/>
      <sz val="16"/>
      <name val="Arial"/>
      <family val="2"/>
    </font>
    <font>
      <b/>
      <i/>
      <sz val="10"/>
      <color indexed="12"/>
      <name val="Arial"/>
      <family val="2"/>
    </font>
    <font>
      <i/>
      <sz val="10"/>
      <color indexed="12"/>
      <name val="Arial"/>
      <family val="2"/>
    </font>
    <font>
      <sz val="10"/>
      <color indexed="12"/>
      <name val="Arial"/>
      <family val="2"/>
    </font>
    <font>
      <b/>
      <sz val="10"/>
      <color indexed="10"/>
      <name val="Arial"/>
      <family val="2"/>
    </font>
    <font>
      <sz val="11"/>
      <name val="Arial"/>
      <family val="2"/>
    </font>
    <font>
      <u/>
      <sz val="11"/>
      <color indexed="12"/>
      <name val="Arial"/>
      <family val="2"/>
    </font>
    <font>
      <b/>
      <sz val="26"/>
      <color indexed="22"/>
      <name val="Arial"/>
      <family val="2"/>
    </font>
    <font>
      <b/>
      <sz val="16"/>
      <color indexed="63"/>
      <name val="Arial"/>
      <family val="2"/>
    </font>
    <font>
      <sz val="16"/>
      <color indexed="63"/>
      <name val="Arial"/>
      <family val="2"/>
    </font>
    <font>
      <sz val="16"/>
      <color indexed="23"/>
      <name val="Arial"/>
      <family val="2"/>
    </font>
    <font>
      <sz val="16"/>
      <name val="Arial"/>
      <family val="2"/>
    </font>
    <font>
      <i/>
      <sz val="14"/>
      <name val="Arial"/>
      <family val="2"/>
    </font>
    <font>
      <b/>
      <sz val="26"/>
      <name val="Arial"/>
      <family val="2"/>
    </font>
    <font>
      <b/>
      <sz val="20"/>
      <name val="Arial"/>
      <family val="2"/>
    </font>
    <font>
      <sz val="8"/>
      <color indexed="23"/>
      <name val="Arial"/>
      <family val="2"/>
    </font>
    <font>
      <b/>
      <sz val="18"/>
      <name val="Arial"/>
      <family val="2"/>
    </font>
    <font>
      <vertAlign val="superscript"/>
      <sz val="9"/>
      <name val="Arial"/>
      <family val="2"/>
    </font>
    <font>
      <sz val="14"/>
      <name val="Times New Roman"/>
      <family val="1"/>
    </font>
    <font>
      <sz val="10"/>
      <color indexed="63"/>
      <name val="Arial"/>
      <family val="2"/>
    </font>
    <font>
      <sz val="14"/>
      <color indexed="63"/>
      <name val="Arial"/>
      <family val="2"/>
    </font>
    <font>
      <sz val="14"/>
      <color theme="1"/>
      <name val="Arial"/>
      <family val="2"/>
    </font>
    <font>
      <b/>
      <sz val="10"/>
      <color theme="1"/>
      <name val="Arial"/>
      <family val="2"/>
    </font>
    <font>
      <sz val="12"/>
      <color rgb="FF000000"/>
      <name val="Arial"/>
      <family val="2"/>
    </font>
    <font>
      <sz val="10"/>
      <color rgb="FFFF0000"/>
      <name val="Arial"/>
      <family val="2"/>
    </font>
    <font>
      <sz val="10"/>
      <color rgb="FF000000"/>
      <name val="Times New Roman"/>
      <family val="1"/>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rgb="FFFF0000"/>
      <name val="Calibri"/>
      <family val="2"/>
      <scheme val="minor"/>
    </font>
    <font>
      <sz val="10"/>
      <name val="Calibri"/>
      <family val="2"/>
      <scheme val="minor"/>
    </font>
    <font>
      <b/>
      <sz val="11"/>
      <color theme="0"/>
      <name val="Calibri"/>
      <family val="2"/>
      <scheme val="minor"/>
    </font>
    <font>
      <i/>
      <sz val="11"/>
      <color rgb="FF7F7F7F"/>
      <name val="Calibri"/>
      <family val="2"/>
      <scheme val="minor"/>
    </font>
    <font>
      <b/>
      <sz val="12"/>
      <color theme="0"/>
      <name val="Calibri"/>
      <family val="2"/>
      <scheme val="minor"/>
    </font>
    <font>
      <b/>
      <sz val="10"/>
      <name val="Calibri"/>
      <family val="2"/>
      <scheme val="minor"/>
    </font>
    <font>
      <b/>
      <sz val="10"/>
      <color theme="1"/>
      <name val="Calibri"/>
      <family val="2"/>
      <scheme val="minor"/>
    </font>
    <font>
      <sz val="12"/>
      <color theme="0"/>
      <name val="Calibri"/>
      <family val="2"/>
      <scheme val="minor"/>
    </font>
    <font>
      <b/>
      <u/>
      <sz val="11"/>
      <name val="Calibri"/>
      <family val="2"/>
      <scheme val="minor"/>
    </font>
    <font>
      <b/>
      <sz val="12"/>
      <color rgb="FFFF0000"/>
      <name val="Arial"/>
      <family val="2"/>
    </font>
    <font>
      <b/>
      <sz val="10"/>
      <color theme="0"/>
      <name val="Arial"/>
      <family val="2"/>
    </font>
    <font>
      <sz val="9"/>
      <color indexed="81"/>
      <name val="Tahoma"/>
      <family val="2"/>
    </font>
    <font>
      <b/>
      <sz val="9"/>
      <color indexed="81"/>
      <name val="Tahoma"/>
      <family val="2"/>
    </font>
    <font>
      <sz val="10"/>
      <name val="Arial"/>
      <family val="2"/>
    </font>
    <font>
      <b/>
      <sz val="11"/>
      <name val="Calibri"/>
      <family val="2"/>
    </font>
    <font>
      <sz val="18"/>
      <name val="Arial"/>
      <family val="2"/>
    </font>
    <font>
      <sz val="10"/>
      <color theme="0"/>
      <name val="Arial"/>
      <family val="2"/>
    </font>
  </fonts>
  <fills count="15">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9"/>
        <bgColor indexed="26"/>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rgb="FFCCCCFF"/>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0070C0"/>
        <bgColor indexed="64"/>
      </patternFill>
    </fill>
  </fills>
  <borders count="36">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style="thin">
        <color indexed="64"/>
      </top>
      <bottom style="thin">
        <color indexed="22"/>
      </bottom>
      <diagonal/>
    </border>
    <border>
      <left/>
      <right/>
      <top style="thin">
        <color indexed="22"/>
      </top>
      <bottom style="thin">
        <color indexed="22"/>
      </bottom>
      <diagonal/>
    </border>
    <border>
      <left/>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22"/>
      </left>
      <right style="thin">
        <color indexed="8"/>
      </right>
      <top style="thin">
        <color indexed="8"/>
      </top>
      <bottom style="thin">
        <color indexed="22"/>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5">
    <xf numFmtId="0" fontId="0" fillId="0" borderId="0"/>
    <xf numFmtId="0" fontId="5" fillId="0" borderId="0" applyNumberFormat="0" applyFill="0" applyBorder="0" applyAlignment="0" applyProtection="0">
      <alignment vertical="top"/>
      <protection locked="0"/>
    </xf>
    <xf numFmtId="0" fontId="1" fillId="0" borderId="0"/>
    <xf numFmtId="0" fontId="47" fillId="0" borderId="0" applyNumberFormat="0" applyFill="0" applyBorder="0" applyAlignment="0" applyProtection="0"/>
    <xf numFmtId="44" fontId="57" fillId="0" borderId="0" applyFont="0" applyFill="0" applyBorder="0" applyAlignment="0" applyProtection="0"/>
  </cellStyleXfs>
  <cellXfs count="586">
    <xf numFmtId="0" fontId="0" fillId="0" borderId="0" xfId="0"/>
    <xf numFmtId="0" fontId="0" fillId="2" borderId="0" xfId="0" applyFill="1"/>
    <xf numFmtId="0" fontId="0" fillId="2" borderId="0" xfId="0" applyFill="1" applyAlignment="1">
      <alignment horizontal="center" vertical="center" wrapText="1"/>
    </xf>
    <xf numFmtId="0" fontId="2" fillId="2" borderId="2" xfId="0" applyFont="1" applyFill="1" applyBorder="1" applyAlignment="1">
      <alignment horizontal="center" vertical="center" wrapText="1"/>
    </xf>
    <xf numFmtId="0" fontId="0" fillId="2" borderId="0" xfId="0" applyFill="1" applyAlignment="1">
      <alignment horizontal="center"/>
    </xf>
    <xf numFmtId="2" fontId="0" fillId="2" borderId="0" xfId="0" applyNumberFormat="1" applyFill="1" applyAlignment="1">
      <alignment horizontal="center"/>
    </xf>
    <xf numFmtId="0" fontId="0" fillId="2" borderId="0" xfId="0" applyFill="1" applyAlignment="1">
      <alignment horizontal="left"/>
    </xf>
    <xf numFmtId="0" fontId="0" fillId="2" borderId="2" xfId="0" applyFill="1" applyBorder="1"/>
    <xf numFmtId="0" fontId="0" fillId="2" borderId="2" xfId="0" applyFill="1" applyBorder="1" applyAlignment="1">
      <alignment horizontal="center"/>
    </xf>
    <xf numFmtId="0" fontId="0" fillId="2" borderId="0" xfId="0" quotePrefix="1" applyFill="1"/>
    <xf numFmtId="0" fontId="0" fillId="3" borderId="2" xfId="0" applyFill="1" applyBorder="1"/>
    <xf numFmtId="0" fontId="0" fillId="4" borderId="2" xfId="0" applyFill="1" applyBorder="1"/>
    <xf numFmtId="0" fontId="0" fillId="3" borderId="2" xfId="0" applyFill="1" applyBorder="1" applyAlignment="1">
      <alignment horizontal="center"/>
    </xf>
    <xf numFmtId="0" fontId="3" fillId="2" borderId="4" xfId="0" applyFont="1" applyFill="1" applyBorder="1" applyAlignment="1">
      <alignment horizontal="center"/>
    </xf>
    <xf numFmtId="0" fontId="3" fillId="2" borderId="5" xfId="0" applyFont="1" applyFill="1" applyBorder="1" applyAlignment="1">
      <alignment horizontal="center"/>
    </xf>
    <xf numFmtId="0" fontId="3" fillId="2" borderId="2" xfId="0" applyFont="1" applyFill="1" applyBorder="1" applyAlignment="1">
      <alignment horizontal="center" vertical="center" wrapText="1"/>
    </xf>
    <xf numFmtId="2" fontId="0" fillId="2" borderId="2" xfId="0" applyNumberFormat="1" applyFill="1" applyBorder="1" applyAlignment="1">
      <alignment horizontal="center" vertical="center" wrapText="1"/>
    </xf>
    <xf numFmtId="0" fontId="0" fillId="2" borderId="2" xfId="0" applyFill="1" applyBorder="1" applyAlignment="1">
      <alignment horizontal="center" vertical="center" wrapText="1"/>
    </xf>
    <xf numFmtId="0" fontId="0" fillId="2" borderId="6" xfId="0" applyFill="1" applyBorder="1" applyAlignment="1">
      <alignment horizontal="center"/>
    </xf>
    <xf numFmtId="2" fontId="0" fillId="2" borderId="7" xfId="0" applyNumberFormat="1" applyFill="1" applyBorder="1" applyAlignment="1">
      <alignment horizontal="center"/>
    </xf>
    <xf numFmtId="0" fontId="13" fillId="2" borderId="0" xfId="0" applyFont="1" applyFill="1" applyAlignment="1">
      <alignment horizontal="left"/>
    </xf>
    <xf numFmtId="2" fontId="0" fillId="3" borderId="8" xfId="0" applyNumberFormat="1" applyFill="1" applyBorder="1" applyAlignment="1">
      <alignment horizontal="center"/>
    </xf>
    <xf numFmtId="2" fontId="0" fillId="3" borderId="4" xfId="0" applyNumberFormat="1" applyFill="1" applyBorder="1" applyAlignment="1">
      <alignment horizontal="center"/>
    </xf>
    <xf numFmtId="2" fontId="0" fillId="3" borderId="5" xfId="0" applyNumberFormat="1"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0" fontId="0" fillId="4" borderId="11" xfId="0" applyFill="1" applyBorder="1" applyAlignment="1">
      <alignment horizontal="center"/>
    </xf>
    <xf numFmtId="2" fontId="0" fillId="3" borderId="12" xfId="0" applyNumberFormat="1" applyFill="1" applyBorder="1" applyAlignment="1">
      <alignment horizontal="center"/>
    </xf>
    <xf numFmtId="2" fontId="0" fillId="3" borderId="13" xfId="0" applyNumberFormat="1" applyFill="1" applyBorder="1" applyAlignment="1">
      <alignment horizontal="center"/>
    </xf>
    <xf numFmtId="0" fontId="16" fillId="2" borderId="8" xfId="0" applyFont="1" applyFill="1" applyBorder="1" applyAlignment="1">
      <alignment horizontal="center"/>
    </xf>
    <xf numFmtId="0" fontId="16" fillId="2" borderId="4" xfId="0" applyFont="1" applyFill="1" applyBorder="1" applyAlignment="1">
      <alignment horizontal="center"/>
    </xf>
    <xf numFmtId="0" fontId="16" fillId="2" borderId="5" xfId="0" applyFont="1" applyFill="1" applyBorder="1" applyAlignment="1">
      <alignment horizontal="center"/>
    </xf>
    <xf numFmtId="164" fontId="16" fillId="3" borderId="14" xfId="0" applyNumberFormat="1" applyFont="1" applyFill="1" applyBorder="1" applyAlignment="1">
      <alignment horizontal="center"/>
    </xf>
    <xf numFmtId="164" fontId="16" fillId="3" borderId="0" xfId="0" applyNumberFormat="1" applyFont="1" applyFill="1" applyAlignment="1">
      <alignment horizontal="center"/>
    </xf>
    <xf numFmtId="164" fontId="16" fillId="3" borderId="3" xfId="0" applyNumberFormat="1" applyFont="1" applyFill="1" applyBorder="1" applyAlignment="1">
      <alignment horizontal="center"/>
    </xf>
    <xf numFmtId="0" fontId="15" fillId="4" borderId="9" xfId="0" applyFont="1" applyFill="1" applyBorder="1" applyAlignment="1">
      <alignment horizontal="center"/>
    </xf>
    <xf numFmtId="0" fontId="15" fillId="4" borderId="10" xfId="0" applyFont="1" applyFill="1" applyBorder="1" applyAlignment="1">
      <alignment horizontal="center"/>
    </xf>
    <xf numFmtId="0" fontId="17" fillId="4" borderId="10" xfId="0" applyFont="1" applyFill="1" applyBorder="1" applyAlignment="1">
      <alignment horizontal="center"/>
    </xf>
    <xf numFmtId="0" fontId="17" fillId="4" borderId="11" xfId="0" applyFont="1" applyFill="1" applyBorder="1" applyAlignment="1">
      <alignment horizontal="center"/>
    </xf>
    <xf numFmtId="2" fontId="15" fillId="4" borderId="14" xfId="0" applyNumberFormat="1" applyFont="1" applyFill="1" applyBorder="1" applyAlignment="1">
      <alignment horizontal="center"/>
    </xf>
    <xf numFmtId="2" fontId="15" fillId="4" borderId="0" xfId="0" applyNumberFormat="1" applyFont="1" applyFill="1" applyAlignment="1">
      <alignment horizontal="center"/>
    </xf>
    <xf numFmtId="2" fontId="17" fillId="4" borderId="0" xfId="0" applyNumberFormat="1" applyFont="1" applyFill="1" applyAlignment="1">
      <alignment horizontal="center"/>
    </xf>
    <xf numFmtId="2" fontId="17" fillId="4" borderId="3" xfId="0" applyNumberFormat="1" applyFont="1" applyFill="1" applyBorder="1" applyAlignment="1">
      <alignment horizontal="center"/>
    </xf>
    <xf numFmtId="2" fontId="2" fillId="3" borderId="0" xfId="0" applyNumberFormat="1" applyFont="1" applyFill="1" applyAlignment="1">
      <alignment horizontal="center"/>
    </xf>
    <xf numFmtId="2" fontId="2" fillId="3" borderId="3" xfId="0" applyNumberFormat="1" applyFont="1" applyFill="1" applyBorder="1" applyAlignment="1">
      <alignment horizontal="center"/>
    </xf>
    <xf numFmtId="0" fontId="2" fillId="4" borderId="10" xfId="0" applyFont="1" applyFill="1" applyBorder="1" applyAlignment="1">
      <alignment horizontal="center"/>
    </xf>
    <xf numFmtId="0" fontId="0" fillId="4" borderId="0" xfId="0" applyFill="1" applyAlignment="1">
      <alignment horizontal="center"/>
    </xf>
    <xf numFmtId="0" fontId="2" fillId="4" borderId="11" xfId="0" applyFont="1" applyFill="1" applyBorder="1" applyAlignment="1">
      <alignment horizontal="center"/>
    </xf>
    <xf numFmtId="0" fontId="0" fillId="4" borderId="3" xfId="0" applyFill="1" applyBorder="1" applyAlignment="1">
      <alignment horizontal="center"/>
    </xf>
    <xf numFmtId="0" fontId="3" fillId="4" borderId="4" xfId="0" applyFont="1" applyFill="1" applyBorder="1" applyAlignment="1">
      <alignment horizontal="center"/>
    </xf>
    <xf numFmtId="0" fontId="0" fillId="4" borderId="2" xfId="0" applyFill="1" applyBorder="1" applyAlignment="1">
      <alignment horizontal="center"/>
    </xf>
    <xf numFmtId="11" fontId="0" fillId="4" borderId="2" xfId="0" applyNumberFormat="1" applyFill="1" applyBorder="1" applyAlignment="1">
      <alignment horizontal="center"/>
    </xf>
    <xf numFmtId="0" fontId="2" fillId="2" borderId="0" xfId="0" applyFont="1" applyFill="1" applyAlignment="1">
      <alignment horizontal="left" vertical="center"/>
    </xf>
    <xf numFmtId="0" fontId="20" fillId="2" borderId="0" xfId="1" applyFont="1" applyFill="1" applyAlignment="1" applyProtection="1"/>
    <xf numFmtId="0" fontId="35" fillId="2" borderId="2" xfId="0" applyFont="1" applyFill="1" applyBorder="1" applyAlignment="1" applyProtection="1">
      <alignment horizontal="center" vertical="center"/>
      <protection locked="0"/>
    </xf>
    <xf numFmtId="167" fontId="35" fillId="2" borderId="2" xfId="0" applyNumberFormat="1" applyFont="1" applyFill="1" applyBorder="1" applyAlignment="1">
      <alignment horizontal="center" vertical="center"/>
    </xf>
    <xf numFmtId="2" fontId="35" fillId="2" borderId="2" xfId="0" applyNumberFormat="1" applyFont="1" applyFill="1" applyBorder="1" applyAlignment="1" applyProtection="1">
      <alignment horizontal="center" vertical="center"/>
      <protection locked="0"/>
    </xf>
    <xf numFmtId="0" fontId="36" fillId="2" borderId="0" xfId="0" applyFont="1" applyFill="1" applyAlignment="1">
      <alignment horizontal="left" vertical="center"/>
    </xf>
    <xf numFmtId="2" fontId="35" fillId="2" borderId="0" xfId="0" applyNumberFormat="1" applyFont="1" applyFill="1" applyAlignment="1" applyProtection="1">
      <alignment horizontal="center" vertical="center"/>
      <protection locked="0"/>
    </xf>
    <xf numFmtId="0" fontId="0" fillId="2" borderId="0" xfId="0" applyFill="1" applyAlignment="1">
      <alignment vertical="center"/>
    </xf>
    <xf numFmtId="0" fontId="28" fillId="2" borderId="0" xfId="0" applyFont="1" applyFill="1" applyAlignment="1">
      <alignment horizontal="left"/>
    </xf>
    <xf numFmtId="0" fontId="8" fillId="2" borderId="0" xfId="0" applyFont="1" applyFill="1"/>
    <xf numFmtId="0" fontId="9" fillId="2" borderId="0" xfId="0" applyFont="1" applyFill="1"/>
    <xf numFmtId="0" fontId="0" fillId="2" borderId="3" xfId="0" applyFill="1" applyBorder="1"/>
    <xf numFmtId="0" fontId="28" fillId="2" borderId="17" xfId="0" applyFont="1" applyFill="1" applyBorder="1" applyAlignment="1">
      <alignment horizontal="left"/>
    </xf>
    <xf numFmtId="0" fontId="30" fillId="2" borderId="17" xfId="0" applyFont="1" applyFill="1" applyBorder="1" applyAlignment="1">
      <alignment horizontal="left"/>
    </xf>
    <xf numFmtId="0" fontId="0" fillId="0" borderId="0" xfId="0" applyAlignment="1">
      <alignment horizontal="left"/>
    </xf>
    <xf numFmtId="0" fontId="7" fillId="0" borderId="0" xfId="0" applyFont="1" applyAlignment="1">
      <alignment horizontal="left" vertical="center"/>
    </xf>
    <xf numFmtId="0" fontId="6" fillId="0" borderId="0" xfId="0" applyFont="1" applyAlignment="1">
      <alignment horizontal="left" vertical="center"/>
    </xf>
    <xf numFmtId="0" fontId="11" fillId="2" borderId="17" xfId="0" applyFont="1" applyFill="1" applyBorder="1" applyAlignment="1">
      <alignment horizontal="center"/>
    </xf>
    <xf numFmtId="0" fontId="11" fillId="2" borderId="17" xfId="0" applyFont="1" applyFill="1" applyBorder="1" applyAlignment="1">
      <alignment horizontal="left" vertical="center"/>
    </xf>
    <xf numFmtId="0" fontId="0" fillId="2" borderId="33" xfId="0" applyFill="1" applyBorder="1" applyAlignment="1">
      <alignment vertical="center"/>
    </xf>
    <xf numFmtId="0" fontId="4" fillId="2" borderId="0" xfId="0" applyFont="1" applyFill="1" applyAlignment="1">
      <alignment vertical="center"/>
    </xf>
    <xf numFmtId="0" fontId="6" fillId="2" borderId="33" xfId="0" applyFont="1" applyFill="1" applyBorder="1" applyAlignment="1">
      <alignment vertical="center"/>
    </xf>
    <xf numFmtId="0" fontId="10" fillId="2" borderId="0" xfId="0" applyFont="1" applyFill="1" applyAlignment="1">
      <alignment horizontal="left" vertical="center"/>
    </xf>
    <xf numFmtId="0" fontId="0" fillId="2" borderId="18" xfId="0" applyFill="1" applyBorder="1" applyAlignment="1">
      <alignment horizontal="center" vertical="center" wrapText="1"/>
    </xf>
    <xf numFmtId="0" fontId="0" fillId="2" borderId="19" xfId="0" applyFill="1" applyBorder="1" applyAlignment="1">
      <alignment horizontal="center" vertical="center" wrapText="1"/>
    </xf>
    <xf numFmtId="0" fontId="0" fillId="2" borderId="20" xfId="0" applyFill="1" applyBorder="1" applyAlignment="1">
      <alignment horizontal="center" vertical="center" wrapText="1"/>
    </xf>
    <xf numFmtId="0" fontId="0" fillId="2" borderId="21" xfId="0" applyFill="1" applyBorder="1" applyAlignment="1">
      <alignment horizontal="center" vertical="center" wrapText="1"/>
    </xf>
    <xf numFmtId="0" fontId="0" fillId="2" borderId="22" xfId="0" applyFill="1" applyBorder="1" applyAlignment="1">
      <alignment horizontal="center" vertical="center" wrapText="1"/>
    </xf>
    <xf numFmtId="0" fontId="29" fillId="2" borderId="0" xfId="0" applyFont="1" applyFill="1" applyAlignment="1">
      <alignment horizontal="center"/>
    </xf>
    <xf numFmtId="168" fontId="0" fillId="2" borderId="0" xfId="0" applyNumberFormat="1" applyFill="1" applyAlignment="1">
      <alignment horizontal="center" vertical="center"/>
    </xf>
    <xf numFmtId="169" fontId="0" fillId="2" borderId="1" xfId="0" applyNumberFormat="1" applyFill="1" applyBorder="1" applyAlignment="1">
      <alignment horizontal="center" vertical="center"/>
    </xf>
    <xf numFmtId="0" fontId="6" fillId="2" borderId="0" xfId="0" applyFont="1" applyFill="1"/>
    <xf numFmtId="0" fontId="0" fillId="2" borderId="1" xfId="0" applyFill="1" applyBorder="1" applyAlignment="1">
      <alignment horizontal="left" vertical="center"/>
    </xf>
    <xf numFmtId="0" fontId="0" fillId="2" borderId="34" xfId="0" applyFill="1" applyBorder="1" applyAlignment="1">
      <alignment horizontal="left" vertical="center"/>
    </xf>
    <xf numFmtId="0" fontId="6" fillId="2" borderId="34" xfId="0" applyFont="1" applyFill="1" applyBorder="1" applyAlignment="1">
      <alignment horizontal="left" vertical="center"/>
    </xf>
    <xf numFmtId="0" fontId="19" fillId="2" borderId="0" xfId="0" applyFont="1" applyFill="1"/>
    <xf numFmtId="0" fontId="7" fillId="2" borderId="0" xfId="0" applyFont="1" applyFill="1"/>
    <xf numFmtId="0" fontId="8" fillId="2" borderId="0" xfId="0" applyFont="1" applyFill="1" applyAlignment="1">
      <alignment horizontal="center"/>
    </xf>
    <xf numFmtId="0" fontId="9" fillId="5" borderId="0" xfId="0" applyFont="1" applyFill="1" applyAlignment="1">
      <alignment horizontal="center" vertical="center" wrapText="1"/>
    </xf>
    <xf numFmtId="0" fontId="9" fillId="5" borderId="0" xfId="0" applyFont="1" applyFill="1" applyAlignment="1">
      <alignment vertical="center" wrapText="1"/>
    </xf>
    <xf numFmtId="0" fontId="2" fillId="2" borderId="0" xfId="0" applyFont="1" applyFill="1" applyAlignment="1">
      <alignment horizontal="center" vertical="center"/>
    </xf>
    <xf numFmtId="0" fontId="2" fillId="2" borderId="0" xfId="0" applyFont="1" applyFill="1" applyAlignment="1">
      <alignment vertical="center" wrapText="1"/>
    </xf>
    <xf numFmtId="0" fontId="9" fillId="2" borderId="0" xfId="0" applyFont="1" applyFill="1" applyAlignment="1">
      <alignment vertical="center" wrapText="1"/>
    </xf>
    <xf numFmtId="0" fontId="9" fillId="2" borderId="6" xfId="0" applyFont="1" applyFill="1" applyBorder="1" applyAlignment="1">
      <alignment vertical="center"/>
    </xf>
    <xf numFmtId="0" fontId="11" fillId="2" borderId="23" xfId="0" applyFont="1" applyFill="1" applyBorder="1"/>
    <xf numFmtId="0" fontId="11" fillId="2" borderId="7" xfId="0" applyFont="1" applyFill="1" applyBorder="1"/>
    <xf numFmtId="0" fontId="9" fillId="2" borderId="9" xfId="0" applyFont="1" applyFill="1" applyBorder="1" applyAlignment="1">
      <alignment vertical="center"/>
    </xf>
    <xf numFmtId="0" fontId="11" fillId="2" borderId="14" xfId="0" applyFont="1" applyFill="1" applyBorder="1"/>
    <xf numFmtId="0" fontId="11" fillId="2" borderId="8" xfId="0" applyFont="1" applyFill="1" applyBorder="1"/>
    <xf numFmtId="0" fontId="9" fillId="2" borderId="0" xfId="0" applyFont="1" applyFill="1" applyAlignment="1">
      <alignment vertical="center"/>
    </xf>
    <xf numFmtId="0" fontId="11" fillId="2" borderId="0" xfId="0" applyFont="1" applyFill="1"/>
    <xf numFmtId="0" fontId="13" fillId="2" borderId="0" xfId="0" applyFont="1" applyFill="1"/>
    <xf numFmtId="0" fontId="6" fillId="0" borderId="0" xfId="0" applyFont="1" applyAlignment="1">
      <alignment horizontal="center"/>
    </xf>
    <xf numFmtId="0" fontId="2" fillId="2" borderId="0" xfId="0" applyFont="1" applyFill="1"/>
    <xf numFmtId="0" fontId="7" fillId="2" borderId="0" xfId="0" applyFont="1" applyFill="1" applyAlignment="1">
      <alignment horizontal="center" vertical="center" wrapText="1"/>
    </xf>
    <xf numFmtId="0" fontId="9" fillId="2" borderId="2" xfId="0" applyFont="1" applyFill="1" applyBorder="1" applyAlignment="1">
      <alignment horizontal="center" vertical="center" wrapText="1"/>
    </xf>
    <xf numFmtId="0" fontId="11" fillId="2" borderId="0" xfId="0" applyFont="1" applyFill="1" applyAlignment="1">
      <alignment horizontal="center" vertical="center" wrapText="1"/>
    </xf>
    <xf numFmtId="0" fontId="24" fillId="2" borderId="2" xfId="0" applyFont="1" applyFill="1" applyBorder="1" applyAlignment="1">
      <alignment horizontal="center" vertical="center" wrapText="1"/>
    </xf>
    <xf numFmtId="0" fontId="23" fillId="0" borderId="2" xfId="0" applyFont="1" applyBorder="1" applyAlignment="1">
      <alignment horizontal="center" vertical="center" wrapText="1"/>
    </xf>
    <xf numFmtId="10" fontId="23" fillId="2" borderId="2" xfId="0" applyNumberFormat="1" applyFont="1" applyFill="1" applyBorder="1" applyAlignment="1">
      <alignment horizontal="center" vertical="center" wrapText="1"/>
    </xf>
    <xf numFmtId="10" fontId="23" fillId="0" borderId="2" xfId="0" applyNumberFormat="1" applyFont="1" applyBorder="1" applyAlignment="1">
      <alignment horizontal="center" vertical="center" wrapText="1"/>
    </xf>
    <xf numFmtId="0" fontId="26" fillId="2" borderId="0" xfId="0" applyFont="1" applyFill="1"/>
    <xf numFmtId="0" fontId="25" fillId="2" borderId="0" xfId="0" applyFont="1" applyFill="1"/>
    <xf numFmtId="0" fontId="3" fillId="2" borderId="0" xfId="0" applyFont="1" applyFill="1"/>
    <xf numFmtId="0" fontId="25" fillId="2" borderId="0" xfId="0" applyFont="1" applyFill="1" applyAlignment="1">
      <alignment horizontal="center" vertical="center" wrapText="1"/>
    </xf>
    <xf numFmtId="164" fontId="23" fillId="2" borderId="2" xfId="0" applyNumberFormat="1" applyFont="1" applyFill="1" applyBorder="1" applyAlignment="1">
      <alignment horizontal="center" vertical="center" wrapText="1"/>
    </xf>
    <xf numFmtId="0" fontId="3" fillId="2" borderId="17" xfId="0" applyFont="1" applyFill="1" applyBorder="1"/>
    <xf numFmtId="0" fontId="0" fillId="2" borderId="17" xfId="0" applyFill="1" applyBorder="1"/>
    <xf numFmtId="0" fontId="13" fillId="2" borderId="6" xfId="0" applyFont="1" applyFill="1" applyBorder="1" applyAlignment="1">
      <alignment vertical="center"/>
    </xf>
    <xf numFmtId="0" fontId="7" fillId="2" borderId="7" xfId="0" applyFont="1" applyFill="1" applyBorder="1"/>
    <xf numFmtId="0" fontId="13" fillId="2" borderId="2" xfId="0" applyFont="1" applyFill="1" applyBorder="1" applyAlignment="1">
      <alignment vertical="center"/>
    </xf>
    <xf numFmtId="0" fontId="7" fillId="2" borderId="0" xfId="0" applyFont="1" applyFill="1" applyAlignment="1">
      <alignment horizontal="center" vertical="center"/>
    </xf>
    <xf numFmtId="0" fontId="10" fillId="2" borderId="0" xfId="0" applyFont="1" applyFill="1" applyAlignment="1">
      <alignment horizontal="right"/>
    </xf>
    <xf numFmtId="0" fontId="10" fillId="2" borderId="0" xfId="0" applyFont="1" applyFill="1" applyAlignment="1">
      <alignment horizontal="center"/>
    </xf>
    <xf numFmtId="1" fontId="35" fillId="2" borderId="0" xfId="0" applyNumberFormat="1" applyFont="1" applyFill="1" applyAlignment="1">
      <alignment horizontal="right" vertical="center"/>
    </xf>
    <xf numFmtId="166" fontId="35" fillId="2" borderId="0" xfId="0" applyNumberFormat="1" applyFont="1" applyFill="1" applyAlignment="1">
      <alignment horizontal="left" vertical="center"/>
    </xf>
    <xf numFmtId="2" fontId="35" fillId="2" borderId="0" xfId="0" applyNumberFormat="1" applyFont="1" applyFill="1" applyAlignment="1">
      <alignment horizontal="center" vertical="center"/>
    </xf>
    <xf numFmtId="0" fontId="23" fillId="2" borderId="2" xfId="0" applyFont="1" applyFill="1" applyBorder="1" applyAlignment="1">
      <alignment horizontal="center" vertical="center" wrapText="1"/>
    </xf>
    <xf numFmtId="0" fontId="13" fillId="2" borderId="2" xfId="0" applyFont="1" applyFill="1" applyBorder="1" applyAlignment="1">
      <alignment horizontal="center" vertical="center"/>
    </xf>
    <xf numFmtId="0" fontId="9" fillId="2" borderId="2" xfId="0" applyFont="1" applyFill="1" applyBorder="1" applyAlignment="1">
      <alignment vertical="center"/>
    </xf>
    <xf numFmtId="0" fontId="0" fillId="2" borderId="6" xfId="0" applyFill="1" applyBorder="1"/>
    <xf numFmtId="1" fontId="11" fillId="2" borderId="0" xfId="0" applyNumberFormat="1" applyFont="1" applyFill="1" applyAlignment="1">
      <alignment horizontal="center" vertical="center"/>
    </xf>
    <xf numFmtId="0" fontId="37" fillId="0" borderId="2" xfId="0" applyFont="1" applyBorder="1" applyAlignment="1">
      <alignment vertical="center" wrapText="1"/>
    </xf>
    <xf numFmtId="0" fontId="37" fillId="0" borderId="2" xfId="0" applyFont="1" applyBorder="1" applyAlignment="1" applyProtection="1">
      <alignment vertical="center" wrapText="1"/>
      <protection locked="0"/>
    </xf>
    <xf numFmtId="0" fontId="32" fillId="0" borderId="0" xfId="0" applyFont="1" applyAlignment="1">
      <alignment vertical="center"/>
    </xf>
    <xf numFmtId="0" fontId="2" fillId="2" borderId="2" xfId="0" applyFont="1" applyFill="1" applyBorder="1" applyAlignment="1">
      <alignment horizontal="center" vertical="center"/>
    </xf>
    <xf numFmtId="0" fontId="2" fillId="2" borderId="2" xfId="0" applyFont="1" applyFill="1" applyBorder="1" applyAlignment="1">
      <alignment vertical="center"/>
    </xf>
    <xf numFmtId="0" fontId="2" fillId="8" borderId="2" xfId="0" applyFont="1" applyFill="1" applyBorder="1" applyAlignment="1">
      <alignment horizontal="center" vertical="center"/>
    </xf>
    <xf numFmtId="0" fontId="29" fillId="2" borderId="24" xfId="0" applyFont="1" applyFill="1" applyBorder="1" applyAlignment="1">
      <alignment horizontal="center"/>
    </xf>
    <xf numFmtId="0" fontId="29" fillId="2" borderId="9" xfId="0" applyFont="1" applyFill="1" applyBorder="1" applyAlignment="1">
      <alignment horizontal="center"/>
    </xf>
    <xf numFmtId="0" fontId="29" fillId="2" borderId="25" xfId="0" applyFont="1" applyFill="1" applyBorder="1" applyAlignment="1">
      <alignment horizontal="center"/>
    </xf>
    <xf numFmtId="0" fontId="29" fillId="2" borderId="8" xfId="0" applyFont="1" applyFill="1" applyBorder="1" applyAlignment="1">
      <alignment horizontal="center"/>
    </xf>
    <xf numFmtId="0" fontId="29" fillId="2" borderId="26" xfId="0" applyFont="1" applyFill="1" applyBorder="1" applyAlignment="1">
      <alignment horizontal="center"/>
    </xf>
    <xf numFmtId="1" fontId="0" fillId="2" borderId="2" xfId="0" applyNumberFormat="1" applyFill="1" applyBorder="1" applyAlignment="1">
      <alignment horizontal="center" vertical="center"/>
    </xf>
    <xf numFmtId="0" fontId="0" fillId="2" borderId="27" xfId="0" applyFill="1" applyBorder="1" applyAlignment="1">
      <alignment horizontal="center" vertical="center"/>
    </xf>
    <xf numFmtId="10" fontId="0" fillId="2" borderId="28" xfId="0" applyNumberFormat="1" applyFill="1" applyBorder="1" applyAlignment="1">
      <alignment horizontal="center" vertical="center"/>
    </xf>
    <xf numFmtId="0" fontId="0" fillId="2" borderId="29" xfId="0" applyFill="1" applyBorder="1" applyAlignment="1">
      <alignment horizontal="center" vertical="center"/>
    </xf>
    <xf numFmtId="1" fontId="0" fillId="2" borderId="30" xfId="0" applyNumberFormat="1" applyFill="1" applyBorder="1" applyAlignment="1">
      <alignment horizontal="center" vertical="center"/>
    </xf>
    <xf numFmtId="170" fontId="0" fillId="2" borderId="35" xfId="0" applyNumberFormat="1" applyFill="1" applyBorder="1" applyAlignment="1">
      <alignment horizontal="left" vertical="center"/>
    </xf>
    <xf numFmtId="2" fontId="23" fillId="2" borderId="2" xfId="0" applyNumberFormat="1" applyFont="1" applyFill="1" applyBorder="1" applyAlignment="1">
      <alignment horizontal="center" vertical="center" wrapText="1"/>
    </xf>
    <xf numFmtId="2" fontId="0" fillId="2" borderId="0" xfId="0" applyNumberFormat="1" applyFill="1"/>
    <xf numFmtId="0" fontId="11" fillId="2" borderId="0" xfId="0" applyFont="1" applyFill="1" applyAlignment="1">
      <alignment horizontal="center"/>
    </xf>
    <xf numFmtId="49" fontId="0" fillId="0" borderId="0" xfId="0" applyNumberFormat="1"/>
    <xf numFmtId="49" fontId="0" fillId="0" borderId="0" xfId="0" applyNumberFormat="1" applyAlignment="1">
      <alignment horizontal="center"/>
    </xf>
    <xf numFmtId="171" fontId="33" fillId="5" borderId="32" xfId="0" applyNumberFormat="1" applyFont="1" applyFill="1" applyBorder="1" applyAlignment="1">
      <alignment horizontal="center" vertical="center" wrapText="1"/>
    </xf>
    <xf numFmtId="11" fontId="0" fillId="0" borderId="0" xfId="0" applyNumberFormat="1"/>
    <xf numFmtId="1" fontId="23" fillId="0" borderId="2" xfId="0" applyNumberFormat="1" applyFont="1" applyBorder="1" applyAlignment="1" applyProtection="1">
      <alignment horizontal="center" vertical="center" wrapText="1"/>
      <protection locked="0"/>
    </xf>
    <xf numFmtId="1" fontId="23" fillId="0" borderId="2" xfId="0" applyNumberFormat="1" applyFont="1" applyBorder="1" applyAlignment="1">
      <alignment horizontal="center" vertical="center" wrapText="1"/>
    </xf>
    <xf numFmtId="1" fontId="1" fillId="6" borderId="2" xfId="0" applyNumberFormat="1" applyFont="1" applyFill="1" applyBorder="1" applyAlignment="1" applyProtection="1">
      <alignment horizontal="center" vertical="center"/>
      <protection locked="0"/>
    </xf>
    <xf numFmtId="1" fontId="1" fillId="6" borderId="30" xfId="0" applyNumberFormat="1" applyFont="1" applyFill="1" applyBorder="1" applyAlignment="1" applyProtection="1">
      <alignment horizontal="center" vertical="center"/>
      <protection locked="0"/>
    </xf>
    <xf numFmtId="1" fontId="35" fillId="2" borderId="2" xfId="0" applyNumberFormat="1" applyFont="1" applyFill="1" applyBorder="1" applyAlignment="1" applyProtection="1">
      <alignment horizontal="center" vertical="center"/>
      <protection locked="0"/>
    </xf>
    <xf numFmtId="1" fontId="33" fillId="0" borderId="2" xfId="0" applyNumberFormat="1" applyFont="1" applyBorder="1" applyAlignment="1">
      <alignment horizontal="center" vertical="center" wrapText="1"/>
    </xf>
    <xf numFmtId="49" fontId="1" fillId="0" borderId="0" xfId="0" applyNumberFormat="1" applyFont="1" applyAlignment="1">
      <alignment horizontal="right" vertical="center"/>
    </xf>
    <xf numFmtId="49" fontId="1" fillId="2" borderId="34" xfId="0" applyNumberFormat="1" applyFont="1" applyFill="1" applyBorder="1" applyAlignment="1">
      <alignment horizontal="right" vertical="center"/>
    </xf>
    <xf numFmtId="0" fontId="1" fillId="0" borderId="0" xfId="0" applyFont="1"/>
    <xf numFmtId="0" fontId="9" fillId="6" borderId="0" xfId="0" applyFont="1" applyFill="1" applyAlignment="1">
      <alignment horizontal="center" vertical="center" wrapText="1"/>
    </xf>
    <xf numFmtId="0" fontId="24" fillId="6" borderId="0" xfId="0" applyFont="1" applyFill="1" applyAlignment="1">
      <alignment horizontal="center" vertical="center" wrapText="1"/>
    </xf>
    <xf numFmtId="0" fontId="23" fillId="6" borderId="0" xfId="0" applyFont="1" applyFill="1" applyAlignment="1">
      <alignment horizontal="center" vertical="center" wrapText="1"/>
    </xf>
    <xf numFmtId="1" fontId="23" fillId="6" borderId="0" xfId="0" applyNumberFormat="1" applyFont="1" applyFill="1" applyAlignment="1">
      <alignment horizontal="center" vertical="center" wrapText="1"/>
    </xf>
    <xf numFmtId="2" fontId="23" fillId="6" borderId="0" xfId="0" applyNumberFormat="1" applyFont="1" applyFill="1" applyAlignment="1">
      <alignment horizontal="center" vertical="center" wrapText="1"/>
    </xf>
    <xf numFmtId="0" fontId="2" fillId="2" borderId="0" xfId="0" applyFont="1" applyFill="1" applyAlignment="1" applyProtection="1">
      <alignment vertical="center"/>
      <protection locked="0"/>
    </xf>
    <xf numFmtId="165" fontId="2" fillId="2" borderId="0" xfId="0" applyNumberFormat="1" applyFont="1" applyFill="1" applyAlignment="1" applyProtection="1">
      <alignment vertical="center"/>
      <protection locked="0"/>
    </xf>
    <xf numFmtId="0" fontId="2" fillId="2" borderId="3" xfId="0" applyFont="1" applyFill="1" applyBorder="1" applyAlignment="1">
      <alignment horizontal="center" vertical="center"/>
    </xf>
    <xf numFmtId="0" fontId="2" fillId="2" borderId="0" xfId="0" applyFont="1" applyFill="1" applyAlignment="1">
      <alignment vertical="center"/>
    </xf>
    <xf numFmtId="0" fontId="1" fillId="2" borderId="16" xfId="0" applyFont="1" applyFill="1" applyBorder="1" applyAlignment="1">
      <alignment horizontal="center" vertical="center"/>
    </xf>
    <xf numFmtId="0" fontId="1" fillId="2" borderId="16" xfId="0" applyFont="1" applyFill="1" applyBorder="1" applyAlignment="1">
      <alignment horizontal="left" vertical="center"/>
    </xf>
    <xf numFmtId="0" fontId="1" fillId="2" borderId="0" xfId="0" applyFont="1" applyFill="1" applyAlignment="1">
      <alignment horizontal="right" vertical="center"/>
    </xf>
    <xf numFmtId="0" fontId="2" fillId="6" borderId="3" xfId="0" applyFont="1" applyFill="1" applyBorder="1" applyAlignment="1">
      <alignment horizontal="center" vertical="center"/>
    </xf>
    <xf numFmtId="0" fontId="1" fillId="2" borderId="15" xfId="0" applyFont="1" applyFill="1" applyBorder="1" applyAlignment="1">
      <alignment horizontal="left" vertical="center"/>
    </xf>
    <xf numFmtId="0" fontId="2" fillId="2" borderId="2" xfId="0" applyFont="1" applyFill="1" applyBorder="1" applyAlignment="1">
      <alignment horizontal="left" vertical="center"/>
    </xf>
    <xf numFmtId="0" fontId="2" fillId="6" borderId="3" xfId="0" applyFont="1" applyFill="1" applyBorder="1" applyAlignment="1" applyProtection="1">
      <alignment horizontal="center" vertical="center"/>
      <protection locked="0"/>
    </xf>
    <xf numFmtId="0" fontId="1" fillId="2" borderId="0" xfId="0" applyFont="1" applyFill="1" applyAlignment="1">
      <alignment vertical="center"/>
    </xf>
    <xf numFmtId="0" fontId="1" fillId="2" borderId="2" xfId="0" applyFont="1" applyFill="1" applyBorder="1" applyAlignment="1">
      <alignment vertical="center"/>
    </xf>
    <xf numFmtId="0" fontId="2" fillId="0" borderId="0" xfId="0" applyFont="1" applyAlignment="1">
      <alignment vertical="center"/>
    </xf>
    <xf numFmtId="0" fontId="4" fillId="0" borderId="0" xfId="0" applyFont="1" applyAlignment="1">
      <alignment vertical="center"/>
    </xf>
    <xf numFmtId="0" fontId="2" fillId="0" borderId="0" xfId="0" applyFont="1" applyAlignment="1" applyProtection="1">
      <alignment horizontal="center" vertical="center"/>
      <protection locked="0"/>
    </xf>
    <xf numFmtId="2" fontId="2" fillId="0" borderId="0" xfId="0" applyNumberFormat="1" applyFont="1" applyAlignment="1">
      <alignment vertical="center"/>
    </xf>
    <xf numFmtId="1" fontId="2" fillId="0" borderId="0" xfId="0" applyNumberFormat="1" applyFont="1" applyAlignment="1">
      <alignment vertical="center"/>
    </xf>
    <xf numFmtId="1" fontId="4" fillId="0" borderId="0" xfId="0" applyNumberFormat="1" applyFont="1" applyAlignment="1">
      <alignment vertical="center"/>
    </xf>
    <xf numFmtId="1" fontId="38" fillId="0" borderId="0" xfId="0" applyNumberFormat="1" applyFont="1" applyAlignment="1">
      <alignment horizontal="center" vertical="center"/>
    </xf>
    <xf numFmtId="0" fontId="2" fillId="6" borderId="0" xfId="0" applyFont="1" applyFill="1" applyAlignment="1">
      <alignment vertical="center"/>
    </xf>
    <xf numFmtId="0" fontId="4" fillId="6" borderId="0" xfId="0" applyFont="1" applyFill="1" applyAlignment="1">
      <alignment vertical="center"/>
    </xf>
    <xf numFmtId="2" fontId="18" fillId="6" borderId="0" xfId="0" applyNumberFormat="1" applyFont="1" applyFill="1" applyAlignment="1">
      <alignment vertical="center"/>
    </xf>
    <xf numFmtId="0" fontId="36" fillId="2" borderId="0" xfId="0" applyFont="1" applyFill="1" applyAlignment="1">
      <alignment vertical="center"/>
    </xf>
    <xf numFmtId="1" fontId="36" fillId="8" borderId="2" xfId="0" applyNumberFormat="1" applyFont="1" applyFill="1" applyBorder="1" applyAlignment="1">
      <alignment horizontal="center" vertical="center"/>
    </xf>
    <xf numFmtId="0" fontId="0" fillId="0" borderId="2" xfId="0" applyBorder="1"/>
    <xf numFmtId="0" fontId="2" fillId="0" borderId="0" xfId="2" applyFont="1" applyAlignment="1">
      <alignment vertical="center"/>
    </xf>
    <xf numFmtId="0" fontId="2" fillId="0" borderId="0" xfId="2" applyFont="1" applyAlignment="1">
      <alignment horizontal="left" vertical="center"/>
    </xf>
    <xf numFmtId="0" fontId="2" fillId="0" borderId="0" xfId="2" applyFont="1" applyAlignment="1">
      <alignment horizontal="center" vertical="center"/>
    </xf>
    <xf numFmtId="0" fontId="2" fillId="0" borderId="0" xfId="0" applyFont="1" applyAlignment="1">
      <alignment horizontal="left" vertical="center"/>
    </xf>
    <xf numFmtId="14" fontId="0" fillId="0" borderId="2" xfId="0" applyNumberFormat="1" applyBorder="1"/>
    <xf numFmtId="0" fontId="42" fillId="6" borderId="0" xfId="0" applyFont="1" applyFill="1" applyAlignment="1">
      <alignment horizontal="center" vertical="center"/>
    </xf>
    <xf numFmtId="0" fontId="43" fillId="0" borderId="0" xfId="0" applyFont="1" applyAlignment="1">
      <alignment horizontal="center" vertical="center"/>
    </xf>
    <xf numFmtId="0" fontId="42" fillId="6" borderId="0" xfId="0" applyFont="1" applyFill="1" applyAlignment="1">
      <alignment horizontal="left" vertical="center"/>
    </xf>
    <xf numFmtId="0" fontId="43" fillId="6" borderId="2" xfId="0" applyFont="1" applyFill="1" applyBorder="1" applyAlignment="1">
      <alignment horizontal="center" vertical="center"/>
    </xf>
    <xf numFmtId="0" fontId="43" fillId="10" borderId="2" xfId="0" quotePrefix="1" applyFont="1" applyFill="1" applyBorder="1" applyAlignment="1" applyProtection="1">
      <alignment horizontal="center" vertical="center"/>
      <protection locked="0"/>
    </xf>
    <xf numFmtId="0" fontId="43" fillId="10" borderId="2" xfId="0" applyFont="1" applyFill="1" applyBorder="1" applyAlignment="1" applyProtection="1">
      <alignment vertical="center"/>
      <protection locked="0"/>
    </xf>
    <xf numFmtId="0" fontId="43" fillId="6" borderId="0" xfId="0" applyFont="1" applyFill="1" applyAlignment="1">
      <alignment horizontal="left" vertical="center"/>
    </xf>
    <xf numFmtId="173" fontId="43" fillId="10" borderId="2" xfId="0" applyNumberFormat="1" applyFont="1" applyFill="1" applyBorder="1" applyAlignment="1" applyProtection="1">
      <alignment horizontal="center" vertical="center"/>
      <protection locked="0"/>
    </xf>
    <xf numFmtId="0" fontId="43" fillId="0" borderId="0" xfId="0" applyFont="1" applyAlignment="1">
      <alignment horizontal="left" vertical="center"/>
    </xf>
    <xf numFmtId="0" fontId="43" fillId="10" borderId="2" xfId="0" applyFont="1" applyFill="1" applyBorder="1" applyAlignment="1" applyProtection="1">
      <alignment horizontal="center" vertical="center"/>
      <protection locked="0"/>
    </xf>
    <xf numFmtId="0" fontId="43" fillId="0" borderId="0" xfId="0" applyFont="1" applyAlignment="1">
      <alignment vertical="center"/>
    </xf>
    <xf numFmtId="0" fontId="41" fillId="0" borderId="0" xfId="0" applyFont="1" applyAlignment="1">
      <alignment vertical="center"/>
    </xf>
    <xf numFmtId="173" fontId="43" fillId="6" borderId="2" xfId="0" applyNumberFormat="1" applyFont="1" applyFill="1" applyBorder="1" applyAlignment="1">
      <alignment horizontal="center" vertical="center"/>
    </xf>
    <xf numFmtId="0" fontId="0" fillId="10" borderId="0" xfId="0" applyFill="1" applyAlignment="1" applyProtection="1">
      <alignment vertical="center"/>
      <protection locked="0"/>
    </xf>
    <xf numFmtId="0" fontId="45" fillId="0" borderId="0" xfId="0" applyFont="1" applyAlignment="1">
      <alignment horizontal="center" vertical="center"/>
    </xf>
    <xf numFmtId="0" fontId="1" fillId="0" borderId="0" xfId="0" applyFont="1" applyAlignment="1">
      <alignment horizontal="center" vertical="center"/>
    </xf>
    <xf numFmtId="0" fontId="43" fillId="0" borderId="0" xfId="0" applyFont="1" applyAlignment="1" applyProtection="1">
      <alignment horizontal="center" vertical="center"/>
      <protection locked="0"/>
    </xf>
    <xf numFmtId="0" fontId="43" fillId="6" borderId="0" xfId="0" applyFont="1" applyFill="1" applyAlignment="1">
      <alignment vertical="center"/>
    </xf>
    <xf numFmtId="0" fontId="43" fillId="6" borderId="2" xfId="0" applyFont="1" applyFill="1" applyBorder="1" applyAlignment="1">
      <alignment horizontal="right" vertical="center"/>
    </xf>
    <xf numFmtId="0" fontId="43" fillId="0" borderId="0" xfId="0" quotePrefix="1" applyFont="1" applyAlignment="1">
      <alignment horizontal="center" vertical="center"/>
    </xf>
    <xf numFmtId="0" fontId="44" fillId="6" borderId="0" xfId="0" applyFont="1" applyFill="1" applyAlignment="1">
      <alignment horizontal="center" vertical="center"/>
    </xf>
    <xf numFmtId="1" fontId="43" fillId="6" borderId="2" xfId="0" applyNumberFormat="1" applyFont="1" applyFill="1" applyBorder="1" applyAlignment="1">
      <alignment horizontal="center" vertical="center"/>
    </xf>
    <xf numFmtId="14" fontId="43" fillId="6" borderId="2" xfId="0" applyNumberFormat="1" applyFont="1" applyFill="1" applyBorder="1" applyAlignment="1">
      <alignment horizontal="center" vertical="center"/>
    </xf>
    <xf numFmtId="0" fontId="46" fillId="6" borderId="0" xfId="0" applyFont="1" applyFill="1" applyAlignment="1">
      <alignment horizontal="center" vertical="center"/>
    </xf>
    <xf numFmtId="0" fontId="43" fillId="6" borderId="0" xfId="0" applyFont="1" applyFill="1" applyAlignment="1" applyProtection="1">
      <alignment horizontal="center" vertical="center"/>
      <protection locked="0"/>
    </xf>
    <xf numFmtId="0" fontId="42" fillId="0" borderId="0" xfId="0" applyFont="1" applyAlignment="1">
      <alignment vertical="center"/>
    </xf>
    <xf numFmtId="174" fontId="43" fillId="10" borderId="2" xfId="0" applyNumberFormat="1" applyFont="1" applyFill="1" applyBorder="1" applyAlignment="1" applyProtection="1">
      <alignment horizontal="center" vertical="center"/>
      <protection locked="0"/>
    </xf>
    <xf numFmtId="174" fontId="43" fillId="6" borderId="0" xfId="0" applyNumberFormat="1" applyFont="1" applyFill="1" applyAlignment="1">
      <alignment vertical="center"/>
    </xf>
    <xf numFmtId="0" fontId="42" fillId="6" borderId="0" xfId="0" applyFont="1" applyFill="1" applyAlignment="1">
      <alignment vertical="center"/>
    </xf>
    <xf numFmtId="0" fontId="42" fillId="10" borderId="0" xfId="0" applyFont="1" applyFill="1" applyAlignment="1" applyProtection="1">
      <alignment horizontal="left" vertical="center"/>
      <protection locked="0"/>
    </xf>
    <xf numFmtId="0" fontId="42" fillId="6" borderId="2" xfId="0" applyFont="1" applyFill="1" applyBorder="1" applyAlignment="1">
      <alignment vertical="center"/>
    </xf>
    <xf numFmtId="0" fontId="42" fillId="6" borderId="13" xfId="0" applyFont="1" applyFill="1" applyBorder="1" applyAlignment="1">
      <alignment vertical="center"/>
    </xf>
    <xf numFmtId="0" fontId="42" fillId="6" borderId="13" xfId="0" applyFont="1" applyFill="1" applyBorder="1" applyAlignment="1">
      <alignment horizontal="left" vertical="center"/>
    </xf>
    <xf numFmtId="164" fontId="43" fillId="0" borderId="0" xfId="0" applyNumberFormat="1" applyFont="1" applyAlignment="1" applyProtection="1">
      <alignment horizontal="center" vertical="center"/>
      <protection locked="0"/>
    </xf>
    <xf numFmtId="164" fontId="43" fillId="10" borderId="2" xfId="0" applyNumberFormat="1" applyFont="1" applyFill="1" applyBorder="1" applyAlignment="1" applyProtection="1">
      <alignment horizontal="center" vertical="center"/>
      <protection locked="0"/>
    </xf>
    <xf numFmtId="0" fontId="43" fillId="6" borderId="0" xfId="0" applyFont="1" applyFill="1" applyAlignment="1">
      <alignment horizontal="center" vertical="center"/>
    </xf>
    <xf numFmtId="0" fontId="43" fillId="10" borderId="13" xfId="0" applyFont="1" applyFill="1" applyBorder="1" applyAlignment="1" applyProtection="1">
      <alignment horizontal="center" vertical="center"/>
      <protection locked="0"/>
    </xf>
    <xf numFmtId="0" fontId="42" fillId="6" borderId="2" xfId="0" applyFont="1" applyFill="1" applyBorder="1" applyAlignment="1">
      <alignment horizontal="left" vertical="center"/>
    </xf>
    <xf numFmtId="0" fontId="42" fillId="10" borderId="0" xfId="0" applyFont="1" applyFill="1" applyAlignment="1" applyProtection="1">
      <alignment horizontal="right" vertical="center"/>
      <protection locked="0"/>
    </xf>
    <xf numFmtId="0" fontId="42" fillId="10" borderId="0" xfId="0" applyFont="1" applyFill="1" applyAlignment="1" applyProtection="1">
      <alignment vertical="center"/>
      <protection locked="0"/>
    </xf>
    <xf numFmtId="0" fontId="42" fillId="0" borderId="2" xfId="0" applyFont="1" applyBorder="1" applyAlignment="1">
      <alignment horizontal="left" vertical="center"/>
    </xf>
    <xf numFmtId="0" fontId="42" fillId="10" borderId="0" xfId="0" applyFont="1" applyFill="1" applyAlignment="1">
      <alignment horizontal="right" vertical="center"/>
    </xf>
    <xf numFmtId="0" fontId="42" fillId="10" borderId="0" xfId="0" applyFont="1" applyFill="1" applyAlignment="1">
      <alignment horizontal="left" vertical="center"/>
    </xf>
    <xf numFmtId="0" fontId="42" fillId="0" borderId="0" xfId="0" applyFont="1" applyAlignment="1">
      <alignment horizontal="left" vertical="center"/>
    </xf>
    <xf numFmtId="0" fontId="43" fillId="0" borderId="0" xfId="0" applyFont="1" applyAlignment="1" applyProtection="1">
      <alignment vertical="center"/>
      <protection locked="0"/>
    </xf>
    <xf numFmtId="0" fontId="42" fillId="0" borderId="2" xfId="0" applyFont="1" applyBorder="1" applyAlignment="1">
      <alignment vertical="center"/>
    </xf>
    <xf numFmtId="0" fontId="42" fillId="0" borderId="0" xfId="2" applyFont="1" applyAlignment="1">
      <alignment vertical="center"/>
    </xf>
    <xf numFmtId="0" fontId="49" fillId="0" borderId="0" xfId="2" applyFont="1" applyAlignment="1">
      <alignment vertical="center"/>
    </xf>
    <xf numFmtId="0" fontId="40" fillId="0" borderId="0" xfId="2" applyFont="1" applyAlignment="1">
      <alignment horizontal="center" vertical="center"/>
    </xf>
    <xf numFmtId="0" fontId="40" fillId="10" borderId="2" xfId="2" applyFont="1" applyFill="1" applyBorder="1" applyAlignment="1" applyProtection="1">
      <alignment horizontal="center" vertical="center"/>
      <protection locked="0"/>
    </xf>
    <xf numFmtId="0" fontId="50" fillId="10" borderId="2" xfId="2" applyFont="1" applyFill="1" applyBorder="1" applyAlignment="1" applyProtection="1">
      <alignment horizontal="center" vertical="center"/>
      <protection locked="0"/>
    </xf>
    <xf numFmtId="0" fontId="42" fillId="6" borderId="0" xfId="0" applyFont="1" applyFill="1" applyAlignment="1" applyProtection="1">
      <alignment horizontal="left" vertical="center"/>
      <protection locked="0"/>
    </xf>
    <xf numFmtId="173" fontId="43" fillId="6" borderId="0" xfId="0" applyNumberFormat="1" applyFont="1" applyFill="1" applyAlignment="1">
      <alignment vertical="center"/>
    </xf>
    <xf numFmtId="0" fontId="52" fillId="10" borderId="0" xfId="0" applyFont="1" applyFill="1" applyAlignment="1" applyProtection="1">
      <alignment vertical="center"/>
      <protection locked="0"/>
    </xf>
    <xf numFmtId="0" fontId="49" fillId="10" borderId="2" xfId="2" applyFont="1" applyFill="1" applyBorder="1" applyAlignment="1">
      <alignment vertical="center"/>
    </xf>
    <xf numFmtId="0" fontId="40" fillId="10" borderId="12" xfId="2" applyFont="1" applyFill="1" applyBorder="1" applyAlignment="1" applyProtection="1">
      <alignment horizontal="center" vertical="center"/>
      <protection locked="0"/>
    </xf>
    <xf numFmtId="0" fontId="50" fillId="10" borderId="13" xfId="2" applyFont="1" applyFill="1" applyBorder="1" applyAlignment="1" applyProtection="1">
      <alignment horizontal="center" vertical="center"/>
      <protection locked="0"/>
    </xf>
    <xf numFmtId="0" fontId="42" fillId="10" borderId="0" xfId="0" applyFont="1" applyFill="1" applyAlignment="1" applyProtection="1">
      <alignment horizontal="center" vertical="center"/>
      <protection locked="0"/>
    </xf>
    <xf numFmtId="0" fontId="42" fillId="6" borderId="2" xfId="3" applyFont="1" applyFill="1" applyBorder="1" applyAlignment="1" applyProtection="1">
      <alignment vertical="center"/>
    </xf>
    <xf numFmtId="0" fontId="46" fillId="10" borderId="0" xfId="0" applyFont="1" applyFill="1" applyAlignment="1" applyProtection="1">
      <alignment horizontal="left" vertical="center"/>
      <protection locked="0"/>
    </xf>
    <xf numFmtId="0" fontId="46" fillId="6" borderId="0" xfId="0" applyFont="1" applyFill="1" applyAlignment="1">
      <alignment vertical="center"/>
    </xf>
    <xf numFmtId="0" fontId="44" fillId="6" borderId="0" xfId="0" applyFont="1" applyFill="1" applyAlignment="1">
      <alignment vertical="center"/>
    </xf>
    <xf numFmtId="0" fontId="42" fillId="10" borderId="2" xfId="0" applyFont="1" applyFill="1" applyBorder="1" applyAlignment="1" applyProtection="1">
      <alignment vertical="center"/>
      <protection locked="0"/>
    </xf>
    <xf numFmtId="0" fontId="45" fillId="0" borderId="0" xfId="0" applyFont="1" applyAlignment="1">
      <alignment vertical="center"/>
    </xf>
    <xf numFmtId="0" fontId="42" fillId="10" borderId="2" xfId="0" applyFont="1" applyFill="1" applyBorder="1" applyAlignment="1">
      <alignment vertical="center"/>
    </xf>
    <xf numFmtId="0" fontId="43" fillId="0" borderId="0" xfId="2" applyFont="1" applyAlignment="1">
      <alignment vertical="center"/>
    </xf>
    <xf numFmtId="0" fontId="46" fillId="12" borderId="0" xfId="0" applyFont="1" applyFill="1" applyAlignment="1">
      <alignment horizontal="center" vertical="center"/>
    </xf>
    <xf numFmtId="0" fontId="42" fillId="10" borderId="2" xfId="0" applyFont="1" applyFill="1" applyBorder="1" applyAlignment="1" applyProtection="1">
      <alignment horizontal="left" vertical="center"/>
      <protection locked="0"/>
    </xf>
    <xf numFmtId="0" fontId="50" fillId="0" borderId="0" xfId="2" applyFont="1" applyAlignment="1">
      <alignment vertical="center"/>
    </xf>
    <xf numFmtId="0" fontId="50" fillId="0" borderId="0" xfId="2" applyFont="1" applyAlignment="1">
      <alignment horizontal="center" vertical="center"/>
    </xf>
    <xf numFmtId="0" fontId="42" fillId="10" borderId="2" xfId="0" applyFont="1" applyFill="1" applyBorder="1" applyAlignment="1">
      <alignment horizontal="left" vertical="center"/>
    </xf>
    <xf numFmtId="0" fontId="42" fillId="10" borderId="2" xfId="0" applyFont="1" applyFill="1" applyBorder="1" applyAlignment="1" applyProtection="1">
      <alignment horizontal="center" vertical="center"/>
      <protection locked="0"/>
    </xf>
    <xf numFmtId="0" fontId="43" fillId="10" borderId="2" xfId="0" applyFont="1" applyFill="1" applyBorder="1" applyAlignment="1" applyProtection="1">
      <alignment horizontal="left" vertical="center"/>
      <protection locked="0"/>
    </xf>
    <xf numFmtId="0" fontId="42" fillId="0" borderId="0" xfId="2" applyFont="1" applyAlignment="1">
      <alignment horizontal="center" vertical="center"/>
    </xf>
    <xf numFmtId="0" fontId="40" fillId="0" borderId="2" xfId="2" applyFont="1" applyBorder="1" applyAlignment="1">
      <alignment horizontal="center" vertical="center"/>
    </xf>
    <xf numFmtId="0" fontId="43" fillId="0" borderId="0" xfId="2" applyFont="1" applyAlignment="1">
      <alignment horizontal="center" vertical="center"/>
    </xf>
    <xf numFmtId="0" fontId="42" fillId="0" borderId="0" xfId="0" applyFont="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164" fontId="40" fillId="0" borderId="6" xfId="2" applyNumberFormat="1" applyFont="1" applyBorder="1" applyAlignment="1">
      <alignment horizontal="center" vertical="center"/>
    </xf>
    <xf numFmtId="164" fontId="40" fillId="0" borderId="23" xfId="2" applyNumberFormat="1" applyFont="1" applyBorder="1" applyAlignment="1">
      <alignment horizontal="center" vertical="center"/>
    </xf>
    <xf numFmtId="164" fontId="40" fillId="0" borderId="7" xfId="2" applyNumberFormat="1" applyFont="1" applyBorder="1" applyAlignment="1">
      <alignment horizontal="center" vertical="center"/>
    </xf>
    <xf numFmtId="0" fontId="42" fillId="13" borderId="6" xfId="0" applyFont="1" applyFill="1" applyBorder="1" applyAlignment="1" applyProtection="1">
      <alignment horizontal="left" vertical="center"/>
      <protection locked="0"/>
    </xf>
    <xf numFmtId="0" fontId="42" fillId="10" borderId="6" xfId="0" applyFont="1" applyFill="1" applyBorder="1" applyAlignment="1" applyProtection="1">
      <alignment horizontal="left" vertical="center"/>
      <protection locked="0"/>
    </xf>
    <xf numFmtId="1" fontId="43" fillId="0" borderId="0" xfId="0" applyNumberFormat="1" applyFont="1" applyAlignment="1">
      <alignment horizontal="center" vertical="center"/>
    </xf>
    <xf numFmtId="1" fontId="42" fillId="0" borderId="0" xfId="0" applyNumberFormat="1" applyFont="1" applyAlignment="1">
      <alignment horizontal="center" vertical="center"/>
    </xf>
    <xf numFmtId="0" fontId="43" fillId="10" borderId="2" xfId="0" applyFont="1" applyFill="1" applyBorder="1" applyAlignment="1">
      <alignment horizontal="left" vertical="center"/>
    </xf>
    <xf numFmtId="0" fontId="42" fillId="0" borderId="2" xfId="0" applyFont="1" applyBorder="1" applyAlignment="1" applyProtection="1">
      <alignment horizontal="left" vertical="center"/>
      <protection locked="0"/>
    </xf>
    <xf numFmtId="0" fontId="40" fillId="0" borderId="23" xfId="2" applyFont="1" applyBorder="1" applyAlignment="1">
      <alignment horizontal="left" vertical="center"/>
    </xf>
    <xf numFmtId="0" fontId="40" fillId="0" borderId="6" xfId="2" applyFont="1" applyBorder="1" applyAlignment="1">
      <alignment horizontal="left" vertical="center"/>
    </xf>
    <xf numFmtId="0" fontId="40" fillId="0" borderId="7" xfId="2" applyFont="1" applyBorder="1" applyAlignment="1">
      <alignment horizontal="left" vertical="center"/>
    </xf>
    <xf numFmtId="0" fontId="42" fillId="0" borderId="0" xfId="0" applyFont="1" applyAlignment="1" applyProtection="1">
      <alignment horizontal="left" vertical="center"/>
      <protection locked="0"/>
    </xf>
    <xf numFmtId="0" fontId="2" fillId="0" borderId="0" xfId="0" applyFont="1"/>
    <xf numFmtId="0" fontId="43" fillId="0" borderId="2" xfId="0" applyFont="1" applyBorder="1" applyAlignment="1">
      <alignment horizontal="right" vertical="center"/>
    </xf>
    <xf numFmtId="176" fontId="43" fillId="0" borderId="2" xfId="0" applyNumberFormat="1" applyFont="1" applyBorder="1" applyAlignment="1">
      <alignment vertical="center"/>
    </xf>
    <xf numFmtId="14" fontId="43" fillId="10" borderId="2" xfId="0" applyNumberFormat="1" applyFont="1" applyFill="1" applyBorder="1" applyAlignment="1" applyProtection="1">
      <alignment horizontal="center" vertical="center"/>
      <protection locked="0"/>
    </xf>
    <xf numFmtId="0" fontId="2" fillId="0" borderId="3" xfId="0" applyFont="1" applyBorder="1" applyAlignment="1">
      <alignment horizontal="center" vertical="center"/>
    </xf>
    <xf numFmtId="0" fontId="19" fillId="0" borderId="0" xfId="0" applyFont="1"/>
    <xf numFmtId="0" fontId="19" fillId="0" borderId="0" xfId="2" applyFont="1" applyAlignment="1">
      <alignment vertical="center"/>
    </xf>
    <xf numFmtId="0" fontId="1" fillId="0" borderId="3" xfId="0" applyFont="1" applyBorder="1"/>
    <xf numFmtId="0" fontId="1" fillId="0" borderId="0" xfId="0" applyFont="1" applyAlignment="1">
      <alignment horizontal="left" vertical="center"/>
    </xf>
    <xf numFmtId="0" fontId="50" fillId="0" borderId="0" xfId="2" applyFont="1" applyAlignment="1">
      <alignment horizontal="left" vertical="center"/>
    </xf>
    <xf numFmtId="0" fontId="1" fillId="0" borderId="0" xfId="2" applyAlignment="1">
      <alignment horizontal="center" vertical="center"/>
    </xf>
    <xf numFmtId="0" fontId="1" fillId="0" borderId="0" xfId="2" applyAlignment="1">
      <alignment vertical="center"/>
    </xf>
    <xf numFmtId="0" fontId="1" fillId="0" borderId="11" xfId="0" quotePrefix="1" applyFont="1" applyBorder="1"/>
    <xf numFmtId="0" fontId="1" fillId="0" borderId="10" xfId="0" applyFont="1" applyBorder="1"/>
    <xf numFmtId="0" fontId="1" fillId="0" borderId="6" xfId="0" quotePrefix="1" applyFont="1" applyBorder="1"/>
    <xf numFmtId="0" fontId="1" fillId="0" borderId="6" xfId="0" applyFont="1" applyBorder="1"/>
    <xf numFmtId="0" fontId="1" fillId="0" borderId="9" xfId="0" quotePrefix="1" applyFont="1" applyBorder="1"/>
    <xf numFmtId="0" fontId="1" fillId="0" borderId="14" xfId="0" applyFont="1" applyBorder="1"/>
    <xf numFmtId="2" fontId="1" fillId="0" borderId="0" xfId="2" applyNumberFormat="1" applyAlignment="1">
      <alignment horizontal="center" vertical="center"/>
    </xf>
    <xf numFmtId="0" fontId="1" fillId="0" borderId="0" xfId="2" applyAlignment="1">
      <alignment horizontal="left" vertical="center"/>
    </xf>
    <xf numFmtId="0" fontId="1" fillId="0" borderId="25" xfId="0" quotePrefix="1" applyFont="1" applyBorder="1"/>
    <xf numFmtId="0" fontId="1" fillId="0" borderId="2" xfId="0" quotePrefix="1" applyFont="1" applyBorder="1"/>
    <xf numFmtId="14" fontId="1" fillId="0" borderId="2" xfId="0" applyNumberFormat="1" applyFont="1" applyBorder="1" applyProtection="1">
      <protection locked="0"/>
    </xf>
    <xf numFmtId="14" fontId="1" fillId="0" borderId="2" xfId="0" applyNumberFormat="1" applyFont="1" applyBorder="1"/>
    <xf numFmtId="0" fontId="1" fillId="0" borderId="23" xfId="0" applyFont="1" applyBorder="1"/>
    <xf numFmtId="0" fontId="1" fillId="0" borderId="23" xfId="0" quotePrefix="1" applyFont="1" applyBorder="1"/>
    <xf numFmtId="0" fontId="1" fillId="0" borderId="2" xfId="0" applyFont="1" applyBorder="1"/>
    <xf numFmtId="167" fontId="1" fillId="0" borderId="0" xfId="2" applyNumberFormat="1" applyAlignment="1">
      <alignment horizontal="center" vertical="center"/>
    </xf>
    <xf numFmtId="0" fontId="0" fillId="10" borderId="2" xfId="0" applyFill="1" applyBorder="1" applyProtection="1">
      <protection locked="0"/>
    </xf>
    <xf numFmtId="0" fontId="0" fillId="0" borderId="0" xfId="0" applyProtection="1">
      <protection locked="0"/>
    </xf>
    <xf numFmtId="1" fontId="2" fillId="0" borderId="2" xfId="0" applyNumberFormat="1" applyFont="1" applyBorder="1" applyAlignment="1">
      <alignment horizontal="center" vertical="center"/>
    </xf>
    <xf numFmtId="0" fontId="1" fillId="0" borderId="2" xfId="0" applyFont="1" applyBorder="1" applyProtection="1">
      <protection locked="0"/>
    </xf>
    <xf numFmtId="49" fontId="1" fillId="0" borderId="2" xfId="0" applyNumberFormat="1" applyFont="1" applyBorder="1" applyProtection="1">
      <protection locked="0"/>
    </xf>
    <xf numFmtId="0" fontId="1" fillId="0" borderId="25" xfId="0" applyFont="1" applyBorder="1" applyProtection="1">
      <protection locked="0"/>
    </xf>
    <xf numFmtId="49" fontId="0" fillId="0" borderId="0" xfId="0" applyNumberFormat="1" applyAlignment="1">
      <alignment vertical="center"/>
    </xf>
    <xf numFmtId="0" fontId="43" fillId="0" borderId="2" xfId="0" quotePrefix="1" applyFont="1" applyBorder="1" applyAlignment="1">
      <alignment horizontal="center" vertical="center"/>
    </xf>
    <xf numFmtId="0" fontId="43" fillId="0" borderId="2" xfId="0" applyFont="1" applyBorder="1" applyAlignment="1">
      <alignment horizontal="center" vertical="center"/>
    </xf>
    <xf numFmtId="14" fontId="43" fillId="6" borderId="2" xfId="0" applyNumberFormat="1" applyFont="1" applyFill="1" applyBorder="1" applyAlignment="1">
      <alignment vertical="center"/>
    </xf>
    <xf numFmtId="0" fontId="2" fillId="10" borderId="0" xfId="0" applyFont="1" applyFill="1" applyAlignment="1" applyProtection="1">
      <alignment vertical="center"/>
      <protection locked="0"/>
    </xf>
    <xf numFmtId="1" fontId="42" fillId="10" borderId="2" xfId="0" applyNumberFormat="1" applyFont="1" applyFill="1" applyBorder="1" applyAlignment="1" applyProtection="1">
      <alignment horizontal="left" vertical="center"/>
      <protection locked="0"/>
    </xf>
    <xf numFmtId="14" fontId="42" fillId="10" borderId="2" xfId="0" applyNumberFormat="1" applyFont="1" applyFill="1" applyBorder="1" applyAlignment="1" applyProtection="1">
      <alignment horizontal="left" vertical="center"/>
      <protection locked="0"/>
    </xf>
    <xf numFmtId="49" fontId="42" fillId="10" borderId="2" xfId="0" applyNumberFormat="1" applyFont="1" applyFill="1" applyBorder="1" applyAlignment="1" applyProtection="1">
      <alignment horizontal="left" vertical="center"/>
      <protection locked="0"/>
    </xf>
    <xf numFmtId="0" fontId="13" fillId="0" borderId="0" xfId="0" applyFont="1"/>
    <xf numFmtId="0" fontId="0" fillId="0" borderId="0" xfId="0" applyAlignment="1">
      <alignment vertical="center"/>
    </xf>
    <xf numFmtId="0" fontId="0" fillId="6" borderId="0" xfId="0" applyFill="1" applyAlignment="1">
      <alignment vertical="center"/>
    </xf>
    <xf numFmtId="0" fontId="43" fillId="6" borderId="2" xfId="0" quotePrefix="1" applyFont="1" applyFill="1" applyBorder="1" applyAlignment="1">
      <alignment horizontal="center" vertical="center"/>
    </xf>
    <xf numFmtId="0" fontId="44" fillId="6" borderId="0" xfId="0" applyFont="1" applyFill="1" applyAlignment="1">
      <alignment horizontal="left" vertical="center"/>
    </xf>
    <xf numFmtId="49" fontId="43" fillId="0" borderId="0" xfId="0" applyNumberFormat="1" applyFont="1" applyAlignment="1">
      <alignment vertical="center"/>
    </xf>
    <xf numFmtId="0" fontId="45" fillId="6" borderId="0" xfId="0" applyFont="1" applyFill="1" applyAlignment="1">
      <alignment horizontal="center" vertical="center"/>
    </xf>
    <xf numFmtId="0" fontId="40" fillId="0" borderId="0" xfId="2" applyFont="1" applyAlignment="1">
      <alignment vertical="center"/>
    </xf>
    <xf numFmtId="0" fontId="43" fillId="0" borderId="10" xfId="0" applyFont="1" applyBorder="1" applyAlignment="1">
      <alignment horizontal="left" vertical="center"/>
    </xf>
    <xf numFmtId="0" fontId="1" fillId="0" borderId="0" xfId="0" applyFont="1" applyAlignment="1">
      <alignment vertical="center"/>
    </xf>
    <xf numFmtId="173" fontId="48" fillId="6" borderId="0" xfId="0" applyNumberFormat="1" applyFont="1" applyFill="1" applyAlignment="1">
      <alignment horizontal="center" vertical="center"/>
    </xf>
    <xf numFmtId="0" fontId="42" fillId="6" borderId="2" xfId="0" applyFont="1" applyFill="1" applyBorder="1" applyAlignment="1">
      <alignment horizontal="center" vertical="center"/>
    </xf>
    <xf numFmtId="0" fontId="45" fillId="0" borderId="2" xfId="0" applyFont="1" applyBorder="1" applyAlignment="1">
      <alignment horizontal="left" vertical="center"/>
    </xf>
    <xf numFmtId="1" fontId="42" fillId="10" borderId="2" xfId="0" applyNumberFormat="1" applyFont="1" applyFill="1" applyBorder="1" applyAlignment="1">
      <alignment horizontal="center" vertical="center"/>
    </xf>
    <xf numFmtId="1" fontId="46" fillId="6" borderId="0" xfId="0" applyNumberFormat="1" applyFont="1" applyFill="1" applyAlignment="1">
      <alignment horizontal="center" vertical="center"/>
    </xf>
    <xf numFmtId="0" fontId="41" fillId="0" borderId="0" xfId="0" applyFont="1" applyAlignment="1">
      <alignment horizontal="center" vertical="center"/>
    </xf>
    <xf numFmtId="0" fontId="42" fillId="0" borderId="23" xfId="0" applyFont="1" applyBorder="1" applyAlignment="1">
      <alignment vertical="center"/>
    </xf>
    <xf numFmtId="0" fontId="43" fillId="0" borderId="2" xfId="0" applyFont="1" applyBorder="1" applyAlignment="1">
      <alignment vertical="center"/>
    </xf>
    <xf numFmtId="0" fontId="42" fillId="6" borderId="14" xfId="0" applyFont="1" applyFill="1" applyBorder="1" applyAlignment="1">
      <alignment horizontal="left" vertical="center"/>
    </xf>
    <xf numFmtId="0" fontId="0" fillId="0" borderId="0" xfId="0" applyAlignment="1">
      <alignment horizontal="center" vertical="center"/>
    </xf>
    <xf numFmtId="0" fontId="53" fillId="0" borderId="0" xfId="0" applyFont="1"/>
    <xf numFmtId="0" fontId="1" fillId="0" borderId="2" xfId="0" applyFont="1" applyBorder="1" applyAlignment="1">
      <alignment horizontal="center" vertical="center"/>
    </xf>
    <xf numFmtId="14" fontId="0" fillId="0" borderId="0" xfId="0" applyNumberFormat="1"/>
    <xf numFmtId="0" fontId="40" fillId="0" borderId="0" xfId="2" applyFont="1" applyAlignment="1" applyProtection="1">
      <alignment vertical="center"/>
      <protection locked="0"/>
    </xf>
    <xf numFmtId="14" fontId="1" fillId="10" borderId="2" xfId="0" applyNumberFormat="1" applyFont="1" applyFill="1" applyBorder="1" applyAlignment="1" applyProtection="1">
      <alignment horizontal="center"/>
      <protection locked="0"/>
    </xf>
    <xf numFmtId="0" fontId="0" fillId="10" borderId="2" xfId="0" applyFill="1" applyBorder="1" applyAlignment="1" applyProtection="1">
      <alignment horizontal="center" vertical="center"/>
      <protection locked="0"/>
    </xf>
    <xf numFmtId="0" fontId="2" fillId="10" borderId="0" xfId="0" applyFont="1" applyFill="1" applyProtection="1">
      <protection locked="0"/>
    </xf>
    <xf numFmtId="49" fontId="0" fillId="10" borderId="2" xfId="0" applyNumberFormat="1" applyFill="1" applyBorder="1" applyAlignment="1" applyProtection="1">
      <alignment horizontal="center" vertical="center"/>
      <protection locked="0"/>
    </xf>
    <xf numFmtId="0" fontId="1" fillId="10" borderId="2" xfId="0" applyFont="1" applyFill="1" applyBorder="1" applyAlignment="1" applyProtection="1">
      <alignment horizontal="center" vertical="center"/>
      <protection locked="0"/>
    </xf>
    <xf numFmtId="0" fontId="1" fillId="10" borderId="25" xfId="0" applyFont="1" applyFill="1" applyBorder="1" applyAlignment="1" applyProtection="1">
      <alignment horizontal="center" vertical="center"/>
      <protection locked="0"/>
    </xf>
    <xf numFmtId="0" fontId="0" fillId="10" borderId="25" xfId="0" applyFill="1" applyBorder="1" applyAlignment="1" applyProtection="1">
      <alignment horizontal="center" vertical="center"/>
      <protection locked="0"/>
    </xf>
    <xf numFmtId="177" fontId="42" fillId="10" borderId="2" xfId="0" applyNumberFormat="1" applyFont="1" applyFill="1" applyBorder="1" applyAlignment="1" applyProtection="1">
      <alignment vertical="center"/>
      <protection locked="0"/>
    </xf>
    <xf numFmtId="177" fontId="42" fillId="10" borderId="2" xfId="0" applyNumberFormat="1" applyFont="1" applyFill="1" applyBorder="1" applyAlignment="1" applyProtection="1">
      <alignment horizontal="left" vertical="center"/>
      <protection locked="0"/>
    </xf>
    <xf numFmtId="177" fontId="42" fillId="10" borderId="2" xfId="4" applyNumberFormat="1" applyFont="1" applyFill="1" applyBorder="1" applyAlignment="1" applyProtection="1">
      <alignment horizontal="left" vertical="center"/>
      <protection locked="0"/>
    </xf>
    <xf numFmtId="49" fontId="42" fillId="10" borderId="2" xfId="4" applyNumberFormat="1" applyFont="1" applyFill="1" applyBorder="1" applyAlignment="1" applyProtection="1">
      <alignment horizontal="left" vertical="center"/>
      <protection locked="0"/>
    </xf>
    <xf numFmtId="0" fontId="42" fillId="10" borderId="25" xfId="0" applyFont="1" applyFill="1" applyBorder="1" applyAlignment="1" applyProtection="1">
      <alignment horizontal="left" vertical="center"/>
      <protection locked="0"/>
    </xf>
    <xf numFmtId="0" fontId="58" fillId="6" borderId="2" xfId="0" applyFont="1" applyFill="1" applyBorder="1" applyAlignment="1">
      <alignment horizontal="center" vertical="center"/>
    </xf>
    <xf numFmtId="0" fontId="35" fillId="2" borderId="2" xfId="0" applyFont="1" applyFill="1" applyBorder="1" applyAlignment="1">
      <alignment horizontal="center" vertical="center"/>
    </xf>
    <xf numFmtId="10" fontId="34" fillId="5" borderId="32" xfId="0" applyNumberFormat="1" applyFont="1" applyFill="1" applyBorder="1" applyAlignment="1">
      <alignment horizontal="center" vertical="center" wrapText="1"/>
    </xf>
    <xf numFmtId="1" fontId="23" fillId="0" borderId="2" xfId="0" applyNumberFormat="1" applyFont="1" applyBorder="1" applyAlignment="1">
      <alignment horizontal="center" vertical="center"/>
    </xf>
    <xf numFmtId="0" fontId="7" fillId="0" borderId="0" xfId="0" applyFont="1"/>
    <xf numFmtId="0" fontId="30" fillId="0" borderId="0" xfId="0" applyFont="1"/>
    <xf numFmtId="0" fontId="59" fillId="0" borderId="0" xfId="0" applyFont="1"/>
    <xf numFmtId="14" fontId="7" fillId="0" borderId="0" xfId="0" applyNumberFormat="1" applyFont="1"/>
    <xf numFmtId="0" fontId="60" fillId="2" borderId="0" xfId="0" applyFont="1" applyFill="1"/>
    <xf numFmtId="0" fontId="43" fillId="10" borderId="2" xfId="0" applyFont="1" applyFill="1" applyBorder="1" applyAlignment="1">
      <alignment horizontal="center" vertical="center"/>
    </xf>
    <xf numFmtId="0" fontId="2" fillId="14" borderId="0" xfId="0" applyFont="1" applyFill="1" applyAlignment="1">
      <alignment vertical="center"/>
    </xf>
    <xf numFmtId="0" fontId="1" fillId="0" borderId="0" xfId="0" applyFont="1" applyAlignment="1">
      <alignment horizontal="left"/>
    </xf>
    <xf numFmtId="0" fontId="1" fillId="2" borderId="3" xfId="0" applyFont="1" applyFill="1" applyBorder="1" applyAlignment="1">
      <alignment vertical="center"/>
    </xf>
    <xf numFmtId="0" fontId="1" fillId="0" borderId="15" xfId="0" applyFont="1" applyBorder="1" applyAlignment="1">
      <alignment horizontal="center" vertical="center"/>
    </xf>
    <xf numFmtId="0" fontId="1" fillId="6" borderId="16" xfId="0" applyFont="1" applyFill="1" applyBorder="1" applyAlignment="1">
      <alignment horizontal="center" vertical="center"/>
    </xf>
    <xf numFmtId="0" fontId="1" fillId="6" borderId="16" xfId="0" applyFont="1" applyFill="1" applyBorder="1" applyAlignment="1">
      <alignment horizontal="left" vertical="center"/>
    </xf>
    <xf numFmtId="0" fontId="1" fillId="8" borderId="2" xfId="0" applyFont="1" applyFill="1" applyBorder="1" applyAlignment="1">
      <alignment vertical="center"/>
    </xf>
    <xf numFmtId="0" fontId="1" fillId="6" borderId="0" xfId="0" quotePrefix="1" applyFont="1" applyFill="1" applyAlignment="1">
      <alignment vertical="center"/>
    </xf>
    <xf numFmtId="0" fontId="1" fillId="0" borderId="0" xfId="0" applyFont="1" applyAlignment="1" applyProtection="1">
      <alignment horizontal="center" vertical="center"/>
      <protection locked="0"/>
    </xf>
    <xf numFmtId="0" fontId="1" fillId="2" borderId="0" xfId="0" applyFont="1" applyFill="1" applyAlignment="1">
      <alignment horizontal="center" vertical="center"/>
    </xf>
    <xf numFmtId="0" fontId="1" fillId="2" borderId="0" xfId="0" applyFont="1" applyFill="1" applyAlignment="1">
      <alignment horizontal="left" vertical="center"/>
    </xf>
    <xf numFmtId="0" fontId="1" fillId="2" borderId="3" xfId="0" applyFont="1" applyFill="1" applyBorder="1" applyAlignment="1">
      <alignment horizontal="left" vertical="center"/>
    </xf>
    <xf numFmtId="0" fontId="1" fillId="2" borderId="3" xfId="0" applyFont="1" applyFill="1" applyBorder="1" applyAlignment="1">
      <alignment horizontal="center" vertical="center"/>
    </xf>
    <xf numFmtId="0" fontId="1" fillId="6" borderId="2" xfId="0" applyFont="1" applyFill="1" applyBorder="1" applyAlignment="1">
      <alignment vertical="center"/>
    </xf>
    <xf numFmtId="0" fontId="1" fillId="2" borderId="0" xfId="0" quotePrefix="1" applyFont="1" applyFill="1" applyAlignment="1">
      <alignment vertical="center"/>
    </xf>
    <xf numFmtId="0" fontId="1" fillId="2" borderId="15" xfId="0" quotePrefix="1" applyFont="1" applyFill="1" applyBorder="1" applyAlignment="1">
      <alignment horizontal="center" vertical="center"/>
    </xf>
    <xf numFmtId="0" fontId="1" fillId="2" borderId="15" xfId="0" applyFont="1" applyFill="1" applyBorder="1" applyAlignment="1">
      <alignment horizontal="center" vertical="center"/>
    </xf>
    <xf numFmtId="0" fontId="1" fillId="7" borderId="2" xfId="0" applyFont="1" applyFill="1" applyBorder="1" applyAlignment="1">
      <alignment vertical="center"/>
    </xf>
    <xf numFmtId="0" fontId="1" fillId="2" borderId="16" xfId="0" quotePrefix="1" applyFont="1" applyFill="1" applyBorder="1" applyAlignment="1">
      <alignment horizontal="center" vertical="center"/>
    </xf>
    <xf numFmtId="1" fontId="1" fillId="2" borderId="0" xfId="0" applyNumberFormat="1" applyFont="1" applyFill="1" applyAlignment="1">
      <alignment horizontal="center" vertical="center"/>
    </xf>
    <xf numFmtId="0" fontId="1" fillId="6" borderId="0" xfId="0" applyFont="1" applyFill="1" applyAlignment="1" applyProtection="1">
      <alignment horizontal="center" vertical="center"/>
      <protection locked="0"/>
    </xf>
    <xf numFmtId="2" fontId="1" fillId="0" borderId="0" xfId="0" applyNumberFormat="1" applyFont="1" applyAlignment="1">
      <alignment horizontal="center" vertical="center"/>
    </xf>
    <xf numFmtId="2" fontId="1" fillId="0" borderId="0" xfId="0" applyNumberFormat="1" applyFont="1" applyAlignment="1">
      <alignment vertical="center"/>
    </xf>
    <xf numFmtId="1" fontId="1" fillId="0" borderId="0" xfId="0" applyNumberFormat="1" applyFont="1" applyAlignment="1">
      <alignment horizontal="center" vertical="center"/>
    </xf>
    <xf numFmtId="0" fontId="1" fillId="6" borderId="0" xfId="0" applyFont="1" applyFill="1" applyAlignment="1">
      <alignment vertical="center"/>
    </xf>
    <xf numFmtId="0" fontId="1" fillId="6" borderId="2" xfId="0" applyFont="1" applyFill="1" applyBorder="1" applyAlignment="1">
      <alignment horizontal="center" vertical="center"/>
    </xf>
    <xf numFmtId="0" fontId="1" fillId="2" borderId="0" xfId="0" applyFont="1" applyFill="1" applyAlignment="1" applyProtection="1">
      <alignment vertical="center"/>
      <protection locked="0"/>
    </xf>
    <xf numFmtId="1" fontId="1" fillId="2" borderId="0" xfId="0" applyNumberFormat="1" applyFont="1" applyFill="1" applyAlignment="1" applyProtection="1">
      <alignment vertical="center"/>
      <protection locked="0"/>
    </xf>
    <xf numFmtId="0" fontId="1" fillId="2" borderId="0" xfId="0" applyFont="1" applyFill="1"/>
    <xf numFmtId="0" fontId="1" fillId="2" borderId="0" xfId="0" applyFont="1" applyFill="1" applyAlignment="1">
      <alignment horizontal="left"/>
    </xf>
    <xf numFmtId="166" fontId="1" fillId="2" borderId="0" xfId="0" applyNumberFormat="1" applyFont="1" applyFill="1" applyAlignment="1">
      <alignment horizontal="center" vertical="center"/>
    </xf>
    <xf numFmtId="170" fontId="1" fillId="2" borderId="0" xfId="0" applyNumberFormat="1" applyFont="1" applyFill="1" applyAlignment="1">
      <alignment horizontal="left" vertical="center"/>
    </xf>
    <xf numFmtId="0" fontId="1" fillId="0" borderId="0" xfId="0" applyFont="1" applyAlignment="1">
      <alignment vertical="center" wrapText="1"/>
    </xf>
    <xf numFmtId="0" fontId="1" fillId="0" borderId="0" xfId="0" applyFont="1" applyAlignment="1">
      <alignment wrapText="1"/>
    </xf>
    <xf numFmtId="0" fontId="1" fillId="2" borderId="34" xfId="0" applyFont="1" applyFill="1" applyBorder="1" applyAlignment="1">
      <alignment horizontal="left" vertical="center"/>
    </xf>
    <xf numFmtId="0" fontId="1" fillId="2" borderId="33" xfId="0" applyFont="1" applyFill="1" applyBorder="1" applyAlignment="1">
      <alignment vertical="center"/>
    </xf>
    <xf numFmtId="1" fontId="1" fillId="2" borderId="2" xfId="0" applyNumberFormat="1" applyFont="1" applyFill="1" applyBorder="1" applyAlignment="1">
      <alignment horizontal="center" vertical="center"/>
    </xf>
    <xf numFmtId="10" fontId="1" fillId="2" borderId="28" xfId="0" applyNumberFormat="1" applyFont="1" applyFill="1" applyBorder="1" applyAlignment="1">
      <alignment horizontal="center" vertical="center"/>
    </xf>
    <xf numFmtId="1" fontId="1" fillId="2" borderId="30" xfId="0" applyNumberFormat="1" applyFont="1" applyFill="1" applyBorder="1" applyAlignment="1">
      <alignment horizontal="center" vertical="center"/>
    </xf>
    <xf numFmtId="10" fontId="1" fillId="2" borderId="31" xfId="0" applyNumberFormat="1" applyFont="1" applyFill="1" applyBorder="1" applyAlignment="1">
      <alignment horizontal="center" vertical="center"/>
    </xf>
    <xf numFmtId="2" fontId="1" fillId="0" borderId="15" xfId="0" applyNumberFormat="1" applyFont="1" applyBorder="1" applyAlignment="1">
      <alignment horizontal="center" vertical="center"/>
    </xf>
    <xf numFmtId="179" fontId="35" fillId="2" borderId="2" xfId="0" applyNumberFormat="1" applyFont="1" applyFill="1" applyBorder="1" applyAlignment="1">
      <alignment horizontal="center" vertical="center"/>
    </xf>
    <xf numFmtId="1" fontId="43" fillId="0" borderId="2" xfId="0" applyNumberFormat="1" applyFont="1" applyBorder="1" applyAlignment="1">
      <alignment horizontal="right" vertical="center"/>
    </xf>
    <xf numFmtId="1" fontId="1" fillId="0" borderId="15" xfId="0" applyNumberFormat="1" applyFont="1" applyBorder="1" applyAlignment="1">
      <alignment horizontal="center" vertical="center"/>
    </xf>
    <xf numFmtId="0" fontId="54" fillId="12" borderId="0" xfId="0" applyFont="1" applyFill="1" applyAlignment="1">
      <alignment horizontal="center" vertical="center"/>
    </xf>
    <xf numFmtId="0" fontId="46" fillId="12" borderId="0" xfId="0" applyFont="1" applyFill="1" applyAlignment="1">
      <alignment horizontal="center" vertical="center"/>
    </xf>
    <xf numFmtId="0" fontId="43" fillId="6" borderId="0" xfId="0" applyFont="1" applyFill="1" applyAlignment="1">
      <alignment horizontal="center" vertical="center"/>
    </xf>
    <xf numFmtId="0" fontId="42" fillId="0" borderId="0" xfId="0" applyFont="1" applyAlignment="1">
      <alignment horizontal="left" vertical="center"/>
    </xf>
    <xf numFmtId="173" fontId="48" fillId="6" borderId="0" xfId="0" applyNumberFormat="1" applyFont="1" applyFill="1" applyAlignment="1">
      <alignment horizontal="center" vertical="center"/>
    </xf>
    <xf numFmtId="0" fontId="46" fillId="6" borderId="0" xfId="0" applyFont="1" applyFill="1" applyAlignment="1">
      <alignment horizontal="center" vertical="center"/>
    </xf>
    <xf numFmtId="0" fontId="43" fillId="11" borderId="0" xfId="0" applyFont="1" applyFill="1" applyAlignment="1">
      <alignment horizontal="center" vertical="center"/>
    </xf>
    <xf numFmtId="173" fontId="43" fillId="10" borderId="0" xfId="0" applyNumberFormat="1" applyFont="1" applyFill="1" applyAlignment="1">
      <alignment horizontal="center" vertical="center"/>
    </xf>
    <xf numFmtId="0" fontId="43" fillId="6" borderId="0" xfId="0" applyFont="1" applyFill="1" applyAlignment="1">
      <alignment horizontal="left" vertical="center"/>
    </xf>
    <xf numFmtId="0" fontId="2" fillId="0" borderId="0" xfId="0" applyFont="1"/>
    <xf numFmtId="0" fontId="1" fillId="10" borderId="2" xfId="0" applyFont="1" applyFill="1" applyBorder="1" applyAlignment="1" applyProtection="1">
      <alignment horizontal="center" wrapText="1"/>
      <protection locked="0"/>
    </xf>
    <xf numFmtId="0" fontId="1" fillId="10" borderId="2" xfId="0" applyFont="1" applyFill="1" applyBorder="1" applyAlignment="1" applyProtection="1">
      <alignment horizontal="center"/>
      <protection locked="0"/>
    </xf>
    <xf numFmtId="0" fontId="0" fillId="0" borderId="0" xfId="0"/>
    <xf numFmtId="0" fontId="1" fillId="10" borderId="6" xfId="0" applyFont="1" applyFill="1" applyBorder="1" applyAlignment="1" applyProtection="1">
      <alignment horizontal="center"/>
      <protection locked="0"/>
    </xf>
    <xf numFmtId="0" fontId="1" fillId="10" borderId="23" xfId="0" applyFont="1" applyFill="1" applyBorder="1" applyAlignment="1" applyProtection="1">
      <alignment horizontal="center"/>
      <protection locked="0"/>
    </xf>
    <xf numFmtId="0" fontId="1" fillId="10" borderId="7" xfId="0" applyFont="1" applyFill="1" applyBorder="1" applyAlignment="1" applyProtection="1">
      <alignment horizontal="center"/>
      <protection locked="0"/>
    </xf>
    <xf numFmtId="0" fontId="43" fillId="0" borderId="10" xfId="0" applyFont="1" applyBorder="1" applyAlignment="1">
      <alignment horizontal="left" vertical="center"/>
    </xf>
    <xf numFmtId="0" fontId="43" fillId="0" borderId="0" xfId="0" applyFont="1" applyAlignment="1">
      <alignment horizontal="left" vertical="center"/>
    </xf>
    <xf numFmtId="0" fontId="42" fillId="6" borderId="10" xfId="0" applyFont="1" applyFill="1" applyBorder="1" applyAlignment="1">
      <alignment horizontal="center" vertical="center"/>
    </xf>
    <xf numFmtId="0" fontId="42" fillId="6" borderId="0" xfId="0" applyFont="1" applyFill="1" applyAlignment="1">
      <alignment horizontal="center" vertical="center"/>
    </xf>
    <xf numFmtId="0" fontId="43" fillId="6" borderId="10" xfId="0" applyFont="1" applyFill="1" applyBorder="1" applyAlignment="1">
      <alignment horizontal="left" vertical="center"/>
    </xf>
    <xf numFmtId="0" fontId="43" fillId="11" borderId="10" xfId="0" applyFont="1" applyFill="1" applyBorder="1" applyAlignment="1">
      <alignment horizontal="left" vertical="center"/>
    </xf>
    <xf numFmtId="0" fontId="43" fillId="11" borderId="0" xfId="0" applyFont="1" applyFill="1" applyAlignment="1">
      <alignment horizontal="left" vertical="center"/>
    </xf>
    <xf numFmtId="0" fontId="43" fillId="0" borderId="11" xfId="0" applyFont="1" applyBorder="1" applyAlignment="1">
      <alignment horizontal="left" vertical="center"/>
    </xf>
    <xf numFmtId="0" fontId="43" fillId="0" borderId="3" xfId="0" applyFont="1" applyBorder="1" applyAlignment="1">
      <alignment horizontal="left" vertical="center"/>
    </xf>
    <xf numFmtId="0" fontId="43" fillId="10" borderId="10" xfId="0" applyFont="1" applyFill="1" applyBorder="1" applyAlignment="1" applyProtection="1">
      <alignment horizontal="center" vertical="center"/>
      <protection locked="0"/>
    </xf>
    <xf numFmtId="0" fontId="43" fillId="10" borderId="0" xfId="0" applyFont="1" applyFill="1" applyAlignment="1" applyProtection="1">
      <alignment horizontal="center" vertical="center"/>
      <protection locked="0"/>
    </xf>
    <xf numFmtId="0" fontId="44" fillId="6" borderId="0" xfId="0" applyFont="1" applyFill="1" applyAlignment="1">
      <alignment horizontal="center" vertical="center"/>
    </xf>
    <xf numFmtId="0" fontId="42" fillId="6" borderId="10" xfId="0" applyFont="1" applyFill="1" applyBorder="1" applyAlignment="1">
      <alignment vertical="center"/>
    </xf>
    <xf numFmtId="0" fontId="0" fillId="0" borderId="0" xfId="0" applyAlignment="1">
      <alignment vertical="center"/>
    </xf>
    <xf numFmtId="174" fontId="43" fillId="6" borderId="0" xfId="0" applyNumberFormat="1" applyFont="1" applyFill="1" applyAlignment="1">
      <alignment horizontal="center" vertical="center"/>
    </xf>
    <xf numFmtId="173" fontId="51" fillId="6" borderId="0" xfId="0" applyNumberFormat="1" applyFont="1" applyFill="1" applyAlignment="1">
      <alignment horizontal="center" vertical="center"/>
    </xf>
    <xf numFmtId="0" fontId="43" fillId="0" borderId="0" xfId="0" applyFont="1" applyAlignment="1">
      <alignment horizontal="center" vertical="center"/>
    </xf>
    <xf numFmtId="0" fontId="48" fillId="12" borderId="0" xfId="0" applyFont="1" applyFill="1" applyAlignment="1">
      <alignment horizontal="center" vertical="center"/>
    </xf>
    <xf numFmtId="0" fontId="43" fillId="0" borderId="10" xfId="0" applyFont="1" applyBorder="1" applyAlignment="1">
      <alignment vertical="center"/>
    </xf>
    <xf numFmtId="0" fontId="46" fillId="12" borderId="4" xfId="0" applyFont="1" applyFill="1" applyBorder="1" applyAlignment="1">
      <alignment horizontal="center" vertical="center"/>
    </xf>
    <xf numFmtId="0" fontId="1" fillId="0" borderId="0" xfId="0" applyFont="1"/>
    <xf numFmtId="0" fontId="43" fillId="6" borderId="2" xfId="0" applyFont="1" applyFill="1" applyBorder="1" applyAlignment="1">
      <alignment horizontal="left" vertical="center"/>
    </xf>
    <xf numFmtId="0" fontId="43" fillId="6" borderId="2" xfId="0" applyFont="1" applyFill="1" applyBorder="1" applyAlignment="1">
      <alignment horizontal="center" vertical="center"/>
    </xf>
    <xf numFmtId="164" fontId="43" fillId="6" borderId="0" xfId="0" applyNumberFormat="1" applyFont="1" applyFill="1" applyAlignment="1">
      <alignment horizontal="center" vertical="center"/>
    </xf>
    <xf numFmtId="0" fontId="7" fillId="0" borderId="0" xfId="2" applyFont="1" applyAlignment="1">
      <alignment vertical="center" wrapText="1"/>
    </xf>
    <xf numFmtId="0" fontId="7" fillId="0" borderId="4" xfId="2" applyFont="1" applyBorder="1" applyAlignment="1">
      <alignment vertical="center" wrapText="1"/>
    </xf>
    <xf numFmtId="173" fontId="43" fillId="10" borderId="0" xfId="0" applyNumberFormat="1" applyFont="1" applyFill="1" applyAlignment="1" applyProtection="1">
      <alignment horizontal="center" vertical="center"/>
      <protection locked="0"/>
    </xf>
    <xf numFmtId="0" fontId="43" fillId="10" borderId="7" xfId="0" applyFont="1" applyFill="1" applyBorder="1" applyAlignment="1" applyProtection="1">
      <alignment horizontal="center" vertical="center"/>
      <protection locked="0"/>
    </xf>
    <xf numFmtId="0" fontId="43" fillId="10" borderId="2" xfId="0" applyFont="1" applyFill="1" applyBorder="1" applyAlignment="1" applyProtection="1">
      <alignment horizontal="center" vertical="center"/>
      <protection locked="0"/>
    </xf>
    <xf numFmtId="0" fontId="43" fillId="6" borderId="10" xfId="0" applyFont="1" applyFill="1" applyBorder="1" applyAlignment="1">
      <alignment horizontal="center" vertical="center"/>
    </xf>
    <xf numFmtId="0" fontId="42" fillId="10" borderId="2" xfId="0" applyFont="1" applyFill="1" applyBorder="1" applyAlignment="1" applyProtection="1">
      <alignment horizontal="left" vertical="center"/>
      <protection locked="0"/>
    </xf>
    <xf numFmtId="1" fontId="42" fillId="10" borderId="2" xfId="0" applyNumberFormat="1" applyFont="1" applyFill="1" applyBorder="1" applyAlignment="1">
      <alignment horizontal="center" vertical="center"/>
    </xf>
    <xf numFmtId="0" fontId="42" fillId="10" borderId="2" xfId="0" applyFont="1" applyFill="1" applyBorder="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0" fontId="40" fillId="0" borderId="6" xfId="2" applyFont="1" applyBorder="1" applyAlignment="1">
      <alignment horizontal="left" vertical="center"/>
    </xf>
    <xf numFmtId="0" fontId="0" fillId="0" borderId="23" xfId="0" applyBorder="1" applyAlignment="1">
      <alignment horizontal="left" vertical="center"/>
    </xf>
    <xf numFmtId="0" fontId="40" fillId="0" borderId="0" xfId="2" applyFont="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0" fontId="1" fillId="0" borderId="13" xfId="0" applyFont="1" applyBorder="1" applyAlignment="1">
      <alignment horizontal="left" vertical="center"/>
    </xf>
    <xf numFmtId="1" fontId="1" fillId="0" borderId="2" xfId="0" applyNumberFormat="1" applyFont="1" applyBorder="1" applyAlignment="1">
      <alignment horizontal="left" vertical="center"/>
    </xf>
    <xf numFmtId="0" fontId="1" fillId="0" borderId="2" xfId="0" applyFont="1" applyBorder="1" applyAlignment="1">
      <alignment horizontal="left" vertical="center"/>
    </xf>
    <xf numFmtId="0" fontId="1" fillId="0" borderId="2" xfId="0" quotePrefix="1" applyFont="1" applyBorder="1"/>
    <xf numFmtId="0" fontId="1" fillId="0" borderId="2" xfId="0" applyFont="1" applyBorder="1"/>
    <xf numFmtId="14" fontId="1" fillId="0" borderId="2" xfId="0" applyNumberFormat="1" applyFont="1" applyBorder="1" applyProtection="1">
      <protection locked="0"/>
    </xf>
    <xf numFmtId="0" fontId="1" fillId="0" borderId="2" xfId="0" applyFont="1" applyBorder="1" applyProtection="1">
      <protection locked="0"/>
    </xf>
    <xf numFmtId="0" fontId="2" fillId="0" borderId="0" xfId="0" applyFont="1" applyAlignment="1">
      <alignment horizontal="center"/>
    </xf>
    <xf numFmtId="0" fontId="1" fillId="0" borderId="0" xfId="0" applyFont="1" applyAlignment="1">
      <alignment horizontal="center"/>
    </xf>
    <xf numFmtId="0" fontId="2" fillId="0" borderId="0" xfId="0" applyFont="1" applyAlignment="1">
      <alignment horizontal="left"/>
    </xf>
    <xf numFmtId="0" fontId="1" fillId="0" borderId="0" xfId="0" applyFont="1" applyAlignment="1">
      <alignment horizontal="left"/>
    </xf>
    <xf numFmtId="0" fontId="1" fillId="0" borderId="4" xfId="0" applyFont="1" applyBorder="1"/>
    <xf numFmtId="0" fontId="1" fillId="11" borderId="10" xfId="0" applyFont="1" applyFill="1" applyBorder="1"/>
    <xf numFmtId="0" fontId="1" fillId="11" borderId="0" xfId="0" applyFont="1" applyFill="1"/>
    <xf numFmtId="0" fontId="1" fillId="7" borderId="2" xfId="0" quotePrefix="1" applyFont="1" applyFill="1" applyBorder="1" applyProtection="1">
      <protection locked="0"/>
    </xf>
    <xf numFmtId="0" fontId="1" fillId="7" borderId="2" xfId="0" applyFont="1" applyFill="1" applyBorder="1" applyProtection="1">
      <protection locked="0"/>
    </xf>
    <xf numFmtId="14" fontId="1" fillId="2" borderId="2" xfId="0" applyNumberFormat="1" applyFont="1" applyFill="1" applyBorder="1" applyAlignment="1">
      <alignment horizontal="left" vertical="center" wrapText="1"/>
    </xf>
    <xf numFmtId="0" fontId="1" fillId="8" borderId="25" xfId="0" applyFont="1" applyFill="1" applyBorder="1" applyAlignment="1">
      <alignment horizontal="center" vertical="center"/>
    </xf>
    <xf numFmtId="0" fontId="1" fillId="8" borderId="12" xfId="0" applyFont="1" applyFill="1" applyBorder="1" applyAlignment="1">
      <alignment horizontal="center" vertical="center"/>
    </xf>
    <xf numFmtId="0" fontId="1" fillId="8" borderId="13" xfId="0" applyFont="1" applyFill="1" applyBorder="1" applyAlignment="1">
      <alignment horizontal="center" vertical="center"/>
    </xf>
    <xf numFmtId="0" fontId="14" fillId="2" borderId="0" xfId="0" applyFont="1" applyFill="1" applyAlignment="1">
      <alignment horizontal="center" vertical="center" wrapText="1"/>
    </xf>
    <xf numFmtId="172" fontId="1" fillId="0" borderId="6" xfId="0" applyNumberFormat="1" applyFont="1" applyBorder="1" applyAlignment="1">
      <alignment horizontal="center" vertical="center"/>
    </xf>
    <xf numFmtId="172" fontId="1" fillId="0" borderId="23" xfId="0" applyNumberFormat="1" applyFont="1" applyBorder="1" applyAlignment="1">
      <alignment horizontal="center" vertical="center"/>
    </xf>
    <xf numFmtId="172" fontId="1" fillId="0" borderId="7" xfId="0" applyNumberFormat="1" applyFont="1" applyBorder="1" applyAlignment="1">
      <alignment horizontal="center" vertical="center"/>
    </xf>
    <xf numFmtId="170" fontId="1" fillId="0" borderId="6" xfId="0" applyNumberFormat="1" applyFont="1" applyBorder="1" applyAlignment="1">
      <alignment horizontal="center" vertical="center"/>
    </xf>
    <xf numFmtId="170" fontId="1" fillId="0" borderId="23" xfId="0" applyNumberFormat="1" applyFont="1" applyBorder="1" applyAlignment="1">
      <alignment horizontal="center" vertical="center"/>
    </xf>
    <xf numFmtId="170" fontId="1" fillId="0" borderId="7" xfId="0" applyNumberFormat="1" applyFont="1" applyBorder="1" applyAlignment="1">
      <alignment horizontal="center" vertical="center"/>
    </xf>
    <xf numFmtId="178" fontId="1" fillId="0" borderId="6" xfId="0" applyNumberFormat="1" applyFont="1" applyBorder="1" applyAlignment="1">
      <alignment horizontal="center" vertical="center"/>
    </xf>
    <xf numFmtId="178" fontId="1" fillId="0" borderId="23" xfId="0" applyNumberFormat="1" applyFont="1" applyBorder="1" applyAlignment="1">
      <alignment horizontal="center" vertical="center"/>
    </xf>
    <xf numFmtId="178" fontId="1" fillId="0" borderId="7" xfId="0" applyNumberFormat="1" applyFont="1" applyBorder="1" applyAlignment="1">
      <alignment horizontal="center" vertical="center"/>
    </xf>
    <xf numFmtId="0" fontId="1" fillId="6" borderId="6" xfId="0" applyFont="1" applyFill="1" applyBorder="1" applyAlignment="1">
      <alignment horizontal="center" vertical="center"/>
    </xf>
    <xf numFmtId="0" fontId="1" fillId="6" borderId="23" xfId="0" applyFont="1" applyFill="1" applyBorder="1" applyAlignment="1">
      <alignment horizontal="center" vertical="center"/>
    </xf>
    <xf numFmtId="0" fontId="1" fillId="6" borderId="7" xfId="0" applyFont="1" applyFill="1" applyBorder="1" applyAlignment="1">
      <alignment horizontal="center" vertical="center"/>
    </xf>
    <xf numFmtId="0" fontId="1" fillId="0" borderId="6" xfId="0" applyFont="1" applyBorder="1" applyAlignment="1">
      <alignment horizontal="center" vertical="center"/>
    </xf>
    <xf numFmtId="0" fontId="1" fillId="0" borderId="23" xfId="0" applyFont="1" applyBorder="1" applyAlignment="1">
      <alignment horizontal="center" vertical="center"/>
    </xf>
    <xf numFmtId="0" fontId="27" fillId="2" borderId="0" xfId="0" applyFont="1" applyFill="1" applyAlignment="1">
      <alignment horizontal="center"/>
    </xf>
    <xf numFmtId="49" fontId="7" fillId="0" borderId="6" xfId="0" applyNumberFormat="1" applyFont="1" applyBorder="1" applyAlignment="1">
      <alignment horizontal="center" vertical="center" wrapText="1"/>
    </xf>
    <xf numFmtId="49" fontId="7" fillId="0" borderId="23" xfId="0" applyNumberFormat="1" applyFont="1" applyBorder="1" applyAlignment="1">
      <alignment horizontal="center" vertical="center" wrapText="1"/>
    </xf>
    <xf numFmtId="49" fontId="7" fillId="0" borderId="7" xfId="0" applyNumberFormat="1" applyFont="1" applyBorder="1" applyAlignment="1">
      <alignment horizontal="center" vertical="center" wrapText="1"/>
    </xf>
    <xf numFmtId="0" fontId="9" fillId="2" borderId="2" xfId="0" applyFont="1" applyFill="1" applyBorder="1" applyAlignment="1">
      <alignment horizontal="center" vertical="center" wrapText="1"/>
    </xf>
    <xf numFmtId="0" fontId="24" fillId="2" borderId="2" xfId="0" applyFont="1" applyFill="1" applyBorder="1" applyAlignment="1">
      <alignment horizontal="center" vertical="center" wrapText="1"/>
    </xf>
    <xf numFmtId="0" fontId="22" fillId="0" borderId="2" xfId="0" applyFont="1" applyBorder="1" applyAlignment="1">
      <alignment horizontal="center" vertical="center" wrapText="1"/>
    </xf>
    <xf numFmtId="0" fontId="21" fillId="2" borderId="9" xfId="0" applyFont="1" applyFill="1" applyBorder="1" applyAlignment="1">
      <alignment horizontal="center" vertical="center"/>
    </xf>
    <xf numFmtId="0" fontId="21" fillId="2" borderId="14" xfId="0" applyFont="1" applyFill="1" applyBorder="1" applyAlignment="1">
      <alignment horizontal="center" vertical="center"/>
    </xf>
    <xf numFmtId="0" fontId="21" fillId="2" borderId="8" xfId="0" applyFont="1" applyFill="1" applyBorder="1" applyAlignment="1">
      <alignment horizontal="center" vertical="center"/>
    </xf>
    <xf numFmtId="0" fontId="21" fillId="2" borderId="10" xfId="0" applyFont="1" applyFill="1" applyBorder="1" applyAlignment="1">
      <alignment horizontal="center" vertical="center"/>
    </xf>
    <xf numFmtId="0" fontId="21" fillId="2" borderId="0" xfId="0" applyFont="1" applyFill="1" applyAlignment="1">
      <alignment horizontal="center" vertical="center"/>
    </xf>
    <xf numFmtId="0" fontId="21" fillId="2" borderId="4" xfId="0" applyFont="1" applyFill="1" applyBorder="1" applyAlignment="1">
      <alignment horizontal="center" vertical="center"/>
    </xf>
    <xf numFmtId="0" fontId="21" fillId="2" borderId="11" xfId="0" applyFont="1" applyFill="1" applyBorder="1" applyAlignment="1">
      <alignment horizontal="center" vertical="center"/>
    </xf>
    <xf numFmtId="0" fontId="21" fillId="2" borderId="3" xfId="0" applyFont="1" applyFill="1" applyBorder="1" applyAlignment="1">
      <alignment horizontal="center" vertical="center"/>
    </xf>
    <xf numFmtId="0" fontId="21" fillId="2" borderId="5" xfId="0" applyFont="1" applyFill="1" applyBorder="1" applyAlignment="1">
      <alignment horizontal="center" vertical="center"/>
    </xf>
    <xf numFmtId="0" fontId="9" fillId="5" borderId="0" xfId="0" applyFont="1" applyFill="1" applyAlignment="1">
      <alignment horizontal="center" vertical="center" wrapText="1"/>
    </xf>
    <xf numFmtId="1" fontId="23" fillId="0" borderId="2" xfId="0" applyNumberFormat="1" applyFont="1" applyBorder="1" applyAlignment="1">
      <alignment horizontal="center" vertical="center" wrapText="1"/>
    </xf>
    <xf numFmtId="0" fontId="11" fillId="2" borderId="6" xfId="0" applyFont="1" applyFill="1" applyBorder="1" applyAlignment="1">
      <alignment horizontal="center" vertical="center"/>
    </xf>
    <xf numFmtId="0" fontId="11" fillId="2" borderId="23" xfId="0" applyFont="1" applyFill="1" applyBorder="1" applyAlignment="1">
      <alignment horizontal="center" vertical="center"/>
    </xf>
    <xf numFmtId="0" fontId="11" fillId="2" borderId="7" xfId="0" applyFont="1" applyFill="1" applyBorder="1" applyAlignment="1">
      <alignment horizontal="center" vertical="center"/>
    </xf>
    <xf numFmtId="1" fontId="23" fillId="2" borderId="2" xfId="0" applyNumberFormat="1" applyFont="1" applyFill="1" applyBorder="1" applyAlignment="1">
      <alignment horizontal="center" vertical="center" wrapText="1"/>
    </xf>
    <xf numFmtId="1" fontId="23" fillId="2" borderId="2" xfId="0" applyNumberFormat="1" applyFont="1" applyFill="1" applyBorder="1" applyAlignment="1">
      <alignment horizontal="center" vertical="center"/>
    </xf>
    <xf numFmtId="0" fontId="7" fillId="2" borderId="6" xfId="0" applyFont="1" applyFill="1" applyBorder="1" applyAlignment="1">
      <alignment horizontal="center" vertical="center"/>
    </xf>
    <xf numFmtId="0" fontId="7" fillId="2" borderId="23" xfId="0" applyFont="1" applyFill="1" applyBorder="1" applyAlignment="1">
      <alignment horizontal="center" vertical="center"/>
    </xf>
    <xf numFmtId="0" fontId="7" fillId="2" borderId="7" xfId="0" applyFont="1" applyFill="1" applyBorder="1" applyAlignment="1">
      <alignment horizontal="center" vertical="center"/>
    </xf>
    <xf numFmtId="0" fontId="59" fillId="0" borderId="0" xfId="0" applyFont="1" applyAlignment="1">
      <alignment horizontal="left" vertical="center"/>
    </xf>
    <xf numFmtId="0" fontId="35" fillId="2" borderId="25" xfId="0" applyFont="1" applyFill="1" applyBorder="1" applyAlignment="1">
      <alignment horizontal="center" vertical="center"/>
    </xf>
    <xf numFmtId="1" fontId="35" fillId="2" borderId="6" xfId="0" applyNumberFormat="1" applyFont="1" applyFill="1" applyBorder="1" applyAlignment="1">
      <alignment horizontal="center" vertical="center"/>
    </xf>
    <xf numFmtId="1" fontId="35" fillId="2" borderId="23" xfId="0" applyNumberFormat="1" applyFont="1" applyFill="1" applyBorder="1" applyAlignment="1">
      <alignment horizontal="center" vertical="center"/>
    </xf>
    <xf numFmtId="1" fontId="35" fillId="2" borderId="7" xfId="0" applyNumberFormat="1" applyFont="1" applyFill="1" applyBorder="1" applyAlignment="1">
      <alignment horizontal="center" vertical="center"/>
    </xf>
    <xf numFmtId="2" fontId="23" fillId="2" borderId="2" xfId="0" applyNumberFormat="1" applyFont="1" applyFill="1" applyBorder="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left" vertical="center" wrapText="1"/>
    </xf>
    <xf numFmtId="0" fontId="0" fillId="2" borderId="0" xfId="0" applyFill="1" applyAlignment="1">
      <alignment horizontal="center" vertical="center" wrapText="1"/>
    </xf>
    <xf numFmtId="1" fontId="0" fillId="2" borderId="2" xfId="0" applyNumberFormat="1" applyFill="1" applyBorder="1" applyAlignment="1">
      <alignment horizontal="center" vertical="center"/>
    </xf>
    <xf numFmtId="0" fontId="0" fillId="2" borderId="2" xfId="0" applyFill="1" applyBorder="1" applyAlignment="1">
      <alignment horizontal="center" vertical="center"/>
    </xf>
    <xf numFmtId="0" fontId="0" fillId="2" borderId="20" xfId="0" applyFill="1" applyBorder="1" applyAlignment="1">
      <alignment horizontal="center" vertical="center" wrapText="1"/>
    </xf>
    <xf numFmtId="0" fontId="29" fillId="2" borderId="25" xfId="0" applyFont="1" applyFill="1" applyBorder="1" applyAlignment="1">
      <alignment horizontal="center"/>
    </xf>
    <xf numFmtId="0" fontId="0" fillId="2" borderId="34" xfId="0" applyFill="1" applyBorder="1" applyAlignment="1">
      <alignment horizontal="center" vertical="center"/>
    </xf>
    <xf numFmtId="0" fontId="0" fillId="2" borderId="35" xfId="0" applyFill="1" applyBorder="1" applyAlignment="1">
      <alignment horizontal="center" vertical="center"/>
    </xf>
    <xf numFmtId="0" fontId="1" fillId="0" borderId="0" xfId="0" applyFont="1" applyAlignment="1">
      <alignment horizontal="center" vertical="center" wrapText="1"/>
    </xf>
    <xf numFmtId="0" fontId="1" fillId="2" borderId="34" xfId="0" applyFont="1" applyFill="1" applyBorder="1" applyAlignment="1">
      <alignment horizontal="center" vertical="center"/>
    </xf>
    <xf numFmtId="0" fontId="1" fillId="2" borderId="35" xfId="0" applyFont="1" applyFill="1" applyBorder="1" applyAlignment="1">
      <alignment horizontal="center" vertical="center"/>
    </xf>
    <xf numFmtId="14" fontId="0" fillId="2" borderId="0" xfId="0" applyNumberFormat="1" applyFill="1" applyAlignment="1">
      <alignment horizontal="center" vertical="center"/>
    </xf>
    <xf numFmtId="0" fontId="37" fillId="9" borderId="2" xfId="0" applyFont="1" applyFill="1" applyBorder="1" applyAlignment="1" applyProtection="1">
      <alignment horizontal="center" vertical="center" wrapText="1"/>
      <protection locked="0"/>
    </xf>
    <xf numFmtId="0" fontId="37" fillId="9" borderId="2" xfId="0" applyFont="1" applyFill="1" applyBorder="1" applyAlignment="1">
      <alignment horizontal="center" vertical="center" wrapText="1"/>
    </xf>
    <xf numFmtId="0" fontId="23" fillId="0" borderId="2" xfId="0" applyFont="1" applyBorder="1" applyAlignment="1">
      <alignment horizontal="center" vertical="center" wrapText="1"/>
    </xf>
    <xf numFmtId="49" fontId="7" fillId="0" borderId="6" xfId="0" applyNumberFormat="1" applyFont="1" applyBorder="1" applyAlignment="1" applyProtection="1">
      <alignment horizontal="center" vertical="center" wrapText="1"/>
      <protection locked="0"/>
    </xf>
    <xf numFmtId="49" fontId="7" fillId="0" borderId="23" xfId="0" applyNumberFormat="1" applyFont="1" applyBorder="1" applyAlignment="1" applyProtection="1">
      <alignment horizontal="center" vertical="center" wrapText="1"/>
      <protection locked="0"/>
    </xf>
    <xf numFmtId="49" fontId="7" fillId="0" borderId="7" xfId="0" applyNumberFormat="1" applyFont="1" applyBorder="1" applyAlignment="1" applyProtection="1">
      <alignment horizontal="center" vertical="center" wrapText="1"/>
      <protection locked="0"/>
    </xf>
    <xf numFmtId="0" fontId="39" fillId="0" borderId="9" xfId="0" applyFont="1" applyBorder="1" applyAlignment="1">
      <alignment horizontal="left" vertical="center" readingOrder="1"/>
    </xf>
    <xf numFmtId="0" fontId="39" fillId="0" borderId="14" xfId="0" applyFont="1" applyBorder="1" applyAlignment="1">
      <alignment horizontal="left" vertical="center" readingOrder="1"/>
    </xf>
    <xf numFmtId="0" fontId="39" fillId="0" borderId="8" xfId="0" applyFont="1" applyBorder="1" applyAlignment="1">
      <alignment horizontal="left" vertical="center" readingOrder="1"/>
    </xf>
    <xf numFmtId="0" fontId="39" fillId="0" borderId="10" xfId="0" applyFont="1" applyBorder="1" applyAlignment="1">
      <alignment horizontal="left" vertical="center" readingOrder="1"/>
    </xf>
    <xf numFmtId="0" fontId="39" fillId="0" borderId="0" xfId="0" applyFont="1" applyAlignment="1">
      <alignment horizontal="left" vertical="center" readingOrder="1"/>
    </xf>
    <xf numFmtId="0" fontId="39" fillId="0" borderId="4" xfId="0" applyFont="1" applyBorder="1" applyAlignment="1">
      <alignment horizontal="left" vertical="center" readingOrder="1"/>
    </xf>
    <xf numFmtId="0" fontId="39" fillId="0" borderId="11" xfId="0" applyFont="1" applyBorder="1" applyAlignment="1">
      <alignment horizontal="left" vertical="center" readingOrder="1"/>
    </xf>
    <xf numFmtId="0" fontId="39" fillId="0" borderId="3" xfId="0" applyFont="1" applyBorder="1" applyAlignment="1">
      <alignment horizontal="left" vertical="center" readingOrder="1"/>
    </xf>
    <xf numFmtId="0" fontId="39" fillId="0" borderId="5" xfId="0" applyFont="1" applyBorder="1" applyAlignment="1">
      <alignment horizontal="left" vertical="center" readingOrder="1"/>
    </xf>
    <xf numFmtId="164" fontId="23" fillId="2" borderId="2" xfId="0" applyNumberFormat="1" applyFont="1" applyFill="1" applyBorder="1" applyAlignment="1">
      <alignment horizontal="center" vertical="center" wrapText="1"/>
    </xf>
    <xf numFmtId="0" fontId="0" fillId="0" borderId="0" xfId="0" applyNumberFormat="1"/>
  </cellXfs>
  <cellStyles count="5">
    <cellStyle name="Currency" xfId="4" builtinId="4"/>
    <cellStyle name="Explanatory Text" xfId="3" builtinId="53"/>
    <cellStyle name="Hyperlink" xfId="1" builtinId="8"/>
    <cellStyle name="Normal" xfId="0" builtinId="0"/>
    <cellStyle name="Normal 2" xfId="2" xr:uid="{00000000-0005-0000-0000-000002000000}"/>
  </cellStyles>
  <dxfs count="410">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ont>
        <color auto="1"/>
      </font>
      <fill>
        <patternFill>
          <bgColor rgb="FFFF0000"/>
        </patternFill>
      </fill>
    </dxf>
    <dxf>
      <font>
        <color auto="1"/>
      </font>
      <fill>
        <patternFill>
          <bgColor rgb="FFFF0000"/>
        </patternFill>
      </fill>
    </dxf>
    <dxf>
      <font>
        <color auto="1"/>
      </font>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b/>
        <i val="0"/>
        <condense val="0"/>
        <extend val="0"/>
        <color indexed="1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00B050"/>
        </patternFill>
      </fill>
    </dxf>
    <dxf>
      <font>
        <color theme="0"/>
      </font>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ont>
        <strike val="0"/>
        <color auto="1"/>
      </font>
      <fill>
        <patternFill>
          <bgColor rgb="FFFF0000"/>
        </patternFill>
      </fill>
    </dxf>
    <dxf>
      <font>
        <b/>
        <i val="0"/>
        <color rgb="FFFF0000"/>
      </font>
      <fill>
        <patternFill>
          <bgColor theme="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auto="1"/>
      </font>
      <fill>
        <patternFill>
          <bgColor rgb="FF00B05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ont>
        <color rgb="FFFF0000"/>
      </font>
      <fill>
        <patternFill>
          <bgColor theme="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1"/>
      </font>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6.xml"/><Relationship Id="rId26" Type="http://schemas.openxmlformats.org/officeDocument/2006/relationships/customXml" Target="../customXml/item2.xml"/><Relationship Id="rId3" Type="http://schemas.openxmlformats.org/officeDocument/2006/relationships/worksheet" Target="worksheets/sheet1.xml"/><Relationship Id="rId21" Type="http://schemas.openxmlformats.org/officeDocument/2006/relationships/connections" Target="connections.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worksheet" Target="worksheets/sheet15.xml"/><Relationship Id="rId25" Type="http://schemas.openxmlformats.org/officeDocument/2006/relationships/customXml" Target="../customXml/item1.xml"/><Relationship Id="rId2" Type="http://schemas.openxmlformats.org/officeDocument/2006/relationships/chartsheet" Target="chartsheets/sheet2.xml"/><Relationship Id="rId16" Type="http://schemas.openxmlformats.org/officeDocument/2006/relationships/worksheet" Target="worksheets/sheet14.xml"/><Relationship Id="rId20" Type="http://schemas.openxmlformats.org/officeDocument/2006/relationships/theme" Target="theme/theme1.xml"/><Relationship Id="rId1" Type="http://schemas.openxmlformats.org/officeDocument/2006/relationships/chartsheet" Target="chartsheets/sheet1.xml"/><Relationship Id="rId6" Type="http://schemas.openxmlformats.org/officeDocument/2006/relationships/worksheet" Target="worksheets/sheet4.xml"/><Relationship Id="rId11" Type="http://schemas.openxmlformats.org/officeDocument/2006/relationships/worksheet" Target="worksheets/sheet9.xml"/><Relationship Id="rId24" Type="http://schemas.openxmlformats.org/officeDocument/2006/relationships/calcChain" Target="calcChain.xml"/><Relationship Id="rId5" Type="http://schemas.openxmlformats.org/officeDocument/2006/relationships/worksheet" Target="worksheets/sheet3.xml"/><Relationship Id="rId15" Type="http://schemas.openxmlformats.org/officeDocument/2006/relationships/worksheet" Target="worksheets/sheet13.xml"/><Relationship Id="rId23" Type="http://schemas.openxmlformats.org/officeDocument/2006/relationships/sharedStrings" Target="sharedStrings.xml"/><Relationship Id="rId28" Type="http://schemas.microsoft.com/office/2017/10/relationships/person" Target="persons/person.xml"/><Relationship Id="rId10" Type="http://schemas.openxmlformats.org/officeDocument/2006/relationships/worksheet" Target="worksheets/sheet8.xml"/><Relationship Id="rId19" Type="http://schemas.openxmlformats.org/officeDocument/2006/relationships/worksheet" Target="worksheets/sheet17.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styles" Target="styles.xml"/><Relationship Id="rId27"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manualLayout>
          <c:layoutTarget val="inner"/>
          <c:xMode val="edge"/>
          <c:yMode val="edge"/>
          <c:x val="7.8801331853496109E-2"/>
          <c:y val="3.2626427406199018E-2"/>
          <c:w val="0.79578246392896779"/>
          <c:h val="0.90701468189233281"/>
        </c:manualLayout>
      </c:layout>
      <c:scatterChart>
        <c:scatterStyle val="smoothMarker"/>
        <c:varyColors val="0"/>
        <c:ser>
          <c:idx val="1"/>
          <c:order val="0"/>
          <c:tx>
            <c:strRef>
              <c:f>mtd!$F$3</c:f>
              <c:strCache>
                <c:ptCount val="1"/>
                <c:pt idx="0">
                  <c:v>ln(n/mg/ml)</c:v>
                </c:pt>
              </c:strCache>
            </c:strRef>
          </c:tx>
          <c:spPr>
            <a:ln w="28575">
              <a:noFill/>
            </a:ln>
          </c:spPr>
          <c:marker>
            <c:symbol val="square"/>
            <c:size val="5"/>
            <c:spPr>
              <a:solidFill>
                <a:srgbClr val="FF00FF"/>
              </a:solidFill>
              <a:ln>
                <a:solidFill>
                  <a:srgbClr val="FF00FF"/>
                </a:solidFill>
                <a:prstDash val="solid"/>
              </a:ln>
            </c:spPr>
          </c:marker>
          <c:xVal>
            <c:numRef>
              <c:f>mtd!$A$4:$A$13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mtd!$C$4:$C$13</c:f>
              <c:numCache>
                <c:formatCode>0.00</c:formatCode>
                <c:ptCount val="1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numCache>
            </c:numRef>
          </c:yVal>
          <c:smooth val="1"/>
          <c:extLst>
            <c:ext xmlns:c16="http://schemas.microsoft.com/office/drawing/2014/chart" uri="{C3380CC4-5D6E-409C-BE32-E72D297353CC}">
              <c16:uniqueId val="{00000000-3294-4840-A0C5-78883B8234FE}"/>
            </c:ext>
          </c:extLst>
        </c:ser>
        <c:ser>
          <c:idx val="3"/>
          <c:order val="1"/>
          <c:tx>
            <c:strRef>
              <c:f>mtd!$L$3</c:f>
              <c:strCache>
                <c:ptCount val="1"/>
                <c:pt idx="0">
                  <c:v>y</c:v>
                </c:pt>
              </c:strCache>
            </c:strRef>
          </c:tx>
          <c:spPr>
            <a:ln w="12700">
              <a:solidFill>
                <a:srgbClr val="00FFFF"/>
              </a:solidFill>
              <a:prstDash val="solid"/>
            </a:ln>
          </c:spPr>
          <c:marker>
            <c:symbol val="x"/>
            <c:size val="5"/>
            <c:spPr>
              <a:noFill/>
              <a:ln>
                <a:solidFill>
                  <a:srgbClr val="00FFFF"/>
                </a:solidFill>
                <a:prstDash val="solid"/>
              </a:ln>
            </c:spPr>
          </c:marker>
          <c:xVal>
            <c:numRef>
              <c:f>mtd!$K$4:$K$93</c:f>
              <c:numCache>
                <c:formatCode>General</c:formatCode>
                <c:ptCount val="90"/>
                <c:pt idx="0">
                  <c:v>1</c:v>
                </c:pt>
                <c:pt idx="1">
                  <c:v>1.1000000000000001</c:v>
                </c:pt>
                <c:pt idx="2">
                  <c:v>1.2</c:v>
                </c:pt>
                <c:pt idx="3">
                  <c:v>1.3</c:v>
                </c:pt>
                <c:pt idx="4">
                  <c:v>1.4</c:v>
                </c:pt>
                <c:pt idx="5">
                  <c:v>1.5</c:v>
                </c:pt>
                <c:pt idx="6">
                  <c:v>1.6</c:v>
                </c:pt>
                <c:pt idx="7">
                  <c:v>1.7</c:v>
                </c:pt>
                <c:pt idx="8">
                  <c:v>1.8</c:v>
                </c:pt>
                <c:pt idx="9">
                  <c:v>1.9</c:v>
                </c:pt>
                <c:pt idx="10">
                  <c:v>2</c:v>
                </c:pt>
                <c:pt idx="11">
                  <c:v>2.1</c:v>
                </c:pt>
                <c:pt idx="12">
                  <c:v>2.2000000000000002</c:v>
                </c:pt>
                <c:pt idx="13">
                  <c:v>2.2999999999999998</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4.0999999999999996</c:v>
                </c:pt>
                <c:pt idx="32">
                  <c:v>4.2</c:v>
                </c:pt>
                <c:pt idx="33">
                  <c:v>4.3</c:v>
                </c:pt>
                <c:pt idx="34">
                  <c:v>4.4000000000000004</c:v>
                </c:pt>
                <c:pt idx="35">
                  <c:v>4.5</c:v>
                </c:pt>
                <c:pt idx="36">
                  <c:v>4.5999999999999996</c:v>
                </c:pt>
                <c:pt idx="37">
                  <c:v>4.7</c:v>
                </c:pt>
                <c:pt idx="38">
                  <c:v>4.8</c:v>
                </c:pt>
                <c:pt idx="39">
                  <c:v>4.9000000000000004</c:v>
                </c:pt>
                <c:pt idx="40">
                  <c:v>5</c:v>
                </c:pt>
                <c:pt idx="41">
                  <c:v>5.0999999999999996</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6.5000000000000098</c:v>
                </c:pt>
                <c:pt idx="56">
                  <c:v>6.6</c:v>
                </c:pt>
                <c:pt idx="57">
                  <c:v>6.7</c:v>
                </c:pt>
                <c:pt idx="58">
                  <c:v>6.8000000000000096</c:v>
                </c:pt>
                <c:pt idx="59">
                  <c:v>6.9000000000000101</c:v>
                </c:pt>
                <c:pt idx="60">
                  <c:v>7.0000000000000098</c:v>
                </c:pt>
                <c:pt idx="61">
                  <c:v>7.1</c:v>
                </c:pt>
                <c:pt idx="62">
                  <c:v>7.2000000000000099</c:v>
                </c:pt>
                <c:pt idx="63">
                  <c:v>7.3000000000000096</c:v>
                </c:pt>
                <c:pt idx="64">
                  <c:v>7.4000000000000101</c:v>
                </c:pt>
                <c:pt idx="65">
                  <c:v>7.5000000000000098</c:v>
                </c:pt>
                <c:pt idx="66">
                  <c:v>7.6000000000000103</c:v>
                </c:pt>
                <c:pt idx="67">
                  <c:v>7.7000000000000099</c:v>
                </c:pt>
                <c:pt idx="68">
                  <c:v>7.8000000000000096</c:v>
                </c:pt>
                <c:pt idx="69">
                  <c:v>7.9000000000000101</c:v>
                </c:pt>
                <c:pt idx="70">
                  <c:v>8.0000000000000107</c:v>
                </c:pt>
                <c:pt idx="71">
                  <c:v>8.1000000000000103</c:v>
                </c:pt>
                <c:pt idx="72">
                  <c:v>8.2000000000000099</c:v>
                </c:pt>
                <c:pt idx="73">
                  <c:v>8.3000000000000096</c:v>
                </c:pt>
                <c:pt idx="74">
                  <c:v>8.4000000000000092</c:v>
                </c:pt>
                <c:pt idx="75">
                  <c:v>8.5000000000000107</c:v>
                </c:pt>
                <c:pt idx="76">
                  <c:v>8.6000000000000103</c:v>
                </c:pt>
                <c:pt idx="77">
                  <c:v>8.7000000000000099</c:v>
                </c:pt>
                <c:pt idx="78">
                  <c:v>8.8000000000000096</c:v>
                </c:pt>
                <c:pt idx="79">
                  <c:v>8.9000000000000092</c:v>
                </c:pt>
                <c:pt idx="80">
                  <c:v>9.0000000000000107</c:v>
                </c:pt>
                <c:pt idx="81">
                  <c:v>9.1000000000000103</c:v>
                </c:pt>
                <c:pt idx="82">
                  <c:v>9.2000000000000099</c:v>
                </c:pt>
                <c:pt idx="83">
                  <c:v>9.3000000000000096</c:v>
                </c:pt>
                <c:pt idx="84">
                  <c:v>9.4000000000000092</c:v>
                </c:pt>
                <c:pt idx="85">
                  <c:v>9.5000000000000107</c:v>
                </c:pt>
                <c:pt idx="86">
                  <c:v>9.6000000000000103</c:v>
                </c:pt>
                <c:pt idx="87">
                  <c:v>9.7000000000000099</c:v>
                </c:pt>
                <c:pt idx="88">
                  <c:v>9.8000000000000096</c:v>
                </c:pt>
                <c:pt idx="89">
                  <c:v>9.9000000000000092</c:v>
                </c:pt>
              </c:numCache>
            </c:numRef>
          </c:xVal>
          <c:yVal>
            <c:numRef>
              <c:f>mtd!$L$4:$L$93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0"/>
          <c:extLst>
            <c:ext xmlns:c16="http://schemas.microsoft.com/office/drawing/2014/chart" uri="{C3380CC4-5D6E-409C-BE32-E72D297353CC}">
              <c16:uniqueId val="{00000001-3294-4840-A0C5-78883B8234FE}"/>
            </c:ext>
          </c:extLst>
        </c:ser>
        <c:dLbls>
          <c:showLegendKey val="0"/>
          <c:showVal val="0"/>
          <c:showCatName val="0"/>
          <c:showSerName val="0"/>
          <c:showPercent val="0"/>
          <c:showBubbleSize val="0"/>
        </c:dLbls>
        <c:axId val="56718464"/>
        <c:axId val="144243712"/>
      </c:scatterChart>
      <c:valAx>
        <c:axId val="56718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44243712"/>
        <c:crosses val="autoZero"/>
        <c:crossBetween val="midCat"/>
      </c:valAx>
      <c:valAx>
        <c:axId val="144243712"/>
        <c:scaling>
          <c:logBase val="10"/>
          <c:orientation val="minMax"/>
        </c:scaling>
        <c:delete val="0"/>
        <c:axPos val="l"/>
        <c:majorGridlines>
          <c:spPr>
            <a:ln w="3175">
              <a:solidFill>
                <a:srgbClr val="000000"/>
              </a:solidFill>
              <a:prstDash val="solid"/>
            </a:ln>
          </c:spPr>
        </c:majorGridlines>
        <c:numFmt formatCode="0.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6718464"/>
        <c:crosses val="autoZero"/>
        <c:crossBetween val="midCat"/>
      </c:valAx>
      <c:spPr>
        <a:solidFill>
          <a:srgbClr val="C0C0C0"/>
        </a:solidFill>
        <a:ln w="12700">
          <a:solidFill>
            <a:srgbClr val="808080"/>
          </a:solidFill>
          <a:prstDash val="solid"/>
        </a:ln>
      </c:spPr>
    </c:plotArea>
    <c:legend>
      <c:legendPos val="r"/>
      <c:layout>
        <c:manualLayout>
          <c:xMode val="edge"/>
          <c:yMode val="edge"/>
          <c:x val="0.89567147613762488"/>
          <c:y val="0.45513866231647637"/>
          <c:w val="9.9889012208657091E-2"/>
          <c:h val="6.3621533442088096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Arial"/>
                <a:ea typeface="Arial"/>
                <a:cs typeface="Arial"/>
              </a:defRPr>
            </a:pPr>
            <a:r>
              <a:rPr lang="en-GB"/>
              <a:t>MTD - up to 70 micron</a:t>
            </a:r>
          </a:p>
        </c:rich>
      </c:tx>
      <c:layout>
        <c:manualLayout>
          <c:xMode val="edge"/>
          <c:yMode val="edge"/>
          <c:x val="0.41176470588235292"/>
          <c:y val="1.9575856443719411E-2"/>
        </c:manualLayout>
      </c:layout>
      <c:overlay val="0"/>
      <c:spPr>
        <a:noFill/>
        <a:ln w="25400">
          <a:noFill/>
        </a:ln>
      </c:spPr>
    </c:title>
    <c:autoTitleDeleted val="0"/>
    <c:plotArea>
      <c:layout>
        <c:manualLayout>
          <c:layoutTarget val="inner"/>
          <c:xMode val="edge"/>
          <c:yMode val="edge"/>
          <c:x val="0.11542730299667037"/>
          <c:y val="0.12071778140293637"/>
          <c:w val="0.78690344062153161"/>
          <c:h val="0.80750407830342574"/>
        </c:manualLayout>
      </c:layout>
      <c:scatterChart>
        <c:scatterStyle val="smoothMarker"/>
        <c:varyColors val="0"/>
        <c:ser>
          <c:idx val="0"/>
          <c:order val="0"/>
          <c:tx>
            <c:strRef>
              <c:f>mtd!$N$3</c:f>
              <c:strCache>
                <c:ptCount val="1"/>
                <c:pt idx="0">
                  <c:v>y</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mtd!$M$4:$M$93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mtd!$N$4:$N$93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1"/>
          <c:extLst>
            <c:ext xmlns:c16="http://schemas.microsoft.com/office/drawing/2014/chart" uri="{C3380CC4-5D6E-409C-BE32-E72D297353CC}">
              <c16:uniqueId val="{00000000-19A1-46DB-8A83-0C810492467F}"/>
            </c:ext>
          </c:extLst>
        </c:ser>
        <c:ser>
          <c:idx val="1"/>
          <c:order val="1"/>
          <c:tx>
            <c:v>srm</c:v>
          </c:tx>
          <c:spPr>
            <a:ln w="12700">
              <a:solidFill>
                <a:srgbClr val="FF00FF"/>
              </a:solidFill>
              <a:prstDash val="solid"/>
            </a:ln>
          </c:spPr>
          <c:marker>
            <c:symbol val="square"/>
            <c:size val="5"/>
            <c:spPr>
              <a:solidFill>
                <a:srgbClr val="FF00FF"/>
              </a:solidFill>
              <a:ln>
                <a:solidFill>
                  <a:srgbClr val="FF00FF"/>
                </a:solidFill>
                <a:prstDash val="solid"/>
              </a:ln>
            </c:spPr>
          </c:marker>
          <c:xVal>
            <c:numRef>
              <c:f>mtd!$A$4:$A$93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mtd!$C$4:$C$93</c:f>
              <c:numCache>
                <c:formatCode>0.00</c:formatCode>
                <c:ptCount val="9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pt idx="10">
                  <c:v>133.78571428571431</c:v>
                </c:pt>
                <c:pt idx="11">
                  <c:v>100.35714285714286</c:v>
                </c:pt>
                <c:pt idx="12">
                  <c:v>77.285714285714292</c:v>
                </c:pt>
                <c:pt idx="13">
                  <c:v>60.857142857142861</c:v>
                </c:pt>
                <c:pt idx="14">
                  <c:v>48.857142857142861</c:v>
                </c:pt>
                <c:pt idx="15">
                  <c:v>39.75</c:v>
                </c:pt>
                <c:pt idx="16">
                  <c:v>32.617857142857147</c:v>
                </c:pt>
                <c:pt idx="17">
                  <c:v>26.88928571428572</c:v>
                </c:pt>
                <c:pt idx="18">
                  <c:v>22.203571428571429</c:v>
                </c:pt>
                <c:pt idx="19">
                  <c:v>18.339285714285715</c:v>
                </c:pt>
                <c:pt idx="20">
                  <c:v>15.142857142857144</c:v>
                </c:pt>
                <c:pt idx="21">
                  <c:v>12.503571428571428</c:v>
                </c:pt>
                <c:pt idx="22">
                  <c:v>10.339285714285715</c:v>
                </c:pt>
                <c:pt idx="23">
                  <c:v>8.5678571428571431</c:v>
                </c:pt>
                <c:pt idx="24">
                  <c:v>7.125</c:v>
                </c:pt>
                <c:pt idx="25">
                  <c:v>5.95</c:v>
                </c:pt>
                <c:pt idx="26">
                  <c:v>4.9928571428571429</c:v>
                </c:pt>
                <c:pt idx="27">
                  <c:v>4.2142857142857144</c:v>
                </c:pt>
                <c:pt idx="28">
                  <c:v>3.5785714285714287</c:v>
                </c:pt>
                <c:pt idx="29">
                  <c:v>3.06</c:v>
                </c:pt>
                <c:pt idx="30">
                  <c:v>2.6357142857142857</c:v>
                </c:pt>
                <c:pt idx="31">
                  <c:v>2.2867857142857142</c:v>
                </c:pt>
                <c:pt idx="32">
                  <c:v>1.997857142857143</c:v>
                </c:pt>
                <c:pt idx="33">
                  <c:v>1.7575000000000003</c:v>
                </c:pt>
                <c:pt idx="34">
                  <c:v>1.5557142857142858</c:v>
                </c:pt>
                <c:pt idx="35">
                  <c:v>1.3857142857142857</c:v>
                </c:pt>
                <c:pt idx="36">
                  <c:v>1.2414285714285715</c:v>
                </c:pt>
                <c:pt idx="37">
                  <c:v>1.1182142857142856</c:v>
                </c:pt>
                <c:pt idx="38">
                  <c:v>1.0121428571428572</c:v>
                </c:pt>
                <c:pt idx="39">
                  <c:v>0.92035714285714287</c:v>
                </c:pt>
                <c:pt idx="40">
                  <c:v>0.84071428571428575</c:v>
                </c:pt>
                <c:pt idx="41">
                  <c:v>0.77107142857142852</c:v>
                </c:pt>
                <c:pt idx="42">
                  <c:v>0.71000000000000008</c:v>
                </c:pt>
                <c:pt idx="43">
                  <c:v>0.65571428571428581</c:v>
                </c:pt>
                <c:pt idx="44">
                  <c:v>0.60785714285714287</c:v>
                </c:pt>
                <c:pt idx="45">
                  <c:v>0.56464285714285711</c:v>
                </c:pt>
                <c:pt idx="46">
                  <c:v>0.52642857142857147</c:v>
                </c:pt>
                <c:pt idx="47">
                  <c:v>0.49178571428571433</c:v>
                </c:pt>
                <c:pt idx="48">
                  <c:v>0.46035714285714285</c:v>
                </c:pt>
                <c:pt idx="49">
                  <c:v>0.43178571428571433</c:v>
                </c:pt>
                <c:pt idx="50">
                  <c:v>0.4</c:v>
                </c:pt>
                <c:pt idx="51">
                  <c:v>0.38</c:v>
                </c:pt>
                <c:pt idx="52">
                  <c:v>0.36</c:v>
                </c:pt>
                <c:pt idx="53">
                  <c:v>0.34</c:v>
                </c:pt>
                <c:pt idx="54">
                  <c:v>0.32</c:v>
                </c:pt>
                <c:pt idx="55">
                  <c:v>0.3</c:v>
                </c:pt>
                <c:pt idx="56">
                  <c:v>0.28999999999999998</c:v>
                </c:pt>
                <c:pt idx="57">
                  <c:v>0.27</c:v>
                </c:pt>
                <c:pt idx="58">
                  <c:v>0.25</c:v>
                </c:pt>
                <c:pt idx="59">
                  <c:v>0.23</c:v>
                </c:pt>
                <c:pt idx="60">
                  <c:v>0.21</c:v>
                </c:pt>
                <c:pt idx="61">
                  <c:v>0.2</c:v>
                </c:pt>
                <c:pt idx="62">
                  <c:v>0.19</c:v>
                </c:pt>
                <c:pt idx="63">
                  <c:v>0.18</c:v>
                </c:pt>
                <c:pt idx="64">
                  <c:v>0.16</c:v>
                </c:pt>
                <c:pt idx="65">
                  <c:v>0.14000000000000001</c:v>
                </c:pt>
                <c:pt idx="66">
                  <c:v>0.13</c:v>
                </c:pt>
                <c:pt idx="67">
                  <c:v>0.12</c:v>
                </c:pt>
                <c:pt idx="68">
                  <c:v>0.11</c:v>
                </c:pt>
                <c:pt idx="69">
                  <c:v>0.1</c:v>
                </c:pt>
                <c:pt idx="70">
                  <c:v>0.09</c:v>
                </c:pt>
                <c:pt idx="71">
                  <c:v>0.08</c:v>
                </c:pt>
                <c:pt idx="72">
                  <c:v>7.0000000000000007E-2</c:v>
                </c:pt>
                <c:pt idx="73">
                  <c:v>6.7000000000000004E-2</c:v>
                </c:pt>
                <c:pt idx="74">
                  <c:v>6.4000000000000001E-2</c:v>
                </c:pt>
                <c:pt idx="75">
                  <c:v>6.0999999999999999E-2</c:v>
                </c:pt>
                <c:pt idx="76">
                  <c:v>5.8000000000000003E-2</c:v>
                </c:pt>
                <c:pt idx="77">
                  <c:v>5.5E-2</c:v>
                </c:pt>
                <c:pt idx="78">
                  <c:v>5.1999999999999998E-2</c:v>
                </c:pt>
                <c:pt idx="79">
                  <c:v>4.9000000000000002E-2</c:v>
                </c:pt>
                <c:pt idx="80">
                  <c:v>4.5999999999999999E-2</c:v>
                </c:pt>
                <c:pt idx="81">
                  <c:v>4.2999999999999997E-2</c:v>
                </c:pt>
                <c:pt idx="82">
                  <c:v>0.04</c:v>
                </c:pt>
                <c:pt idx="83">
                  <c:v>3.6999999999999998E-2</c:v>
                </c:pt>
                <c:pt idx="84">
                  <c:v>3.4000000000000002E-2</c:v>
                </c:pt>
                <c:pt idx="85">
                  <c:v>3.1E-2</c:v>
                </c:pt>
                <c:pt idx="86">
                  <c:v>2.8000000000000001E-2</c:v>
                </c:pt>
                <c:pt idx="87">
                  <c:v>2.5000000000000001E-2</c:v>
                </c:pt>
                <c:pt idx="88">
                  <c:v>2.1999999999999999E-2</c:v>
                </c:pt>
                <c:pt idx="89">
                  <c:v>0.02</c:v>
                </c:pt>
              </c:numCache>
            </c:numRef>
          </c:yVal>
          <c:smooth val="1"/>
          <c:extLst>
            <c:ext xmlns:c16="http://schemas.microsoft.com/office/drawing/2014/chart" uri="{C3380CC4-5D6E-409C-BE32-E72D297353CC}">
              <c16:uniqueId val="{00000001-19A1-46DB-8A83-0C810492467F}"/>
            </c:ext>
          </c:extLst>
        </c:ser>
        <c:dLbls>
          <c:showLegendKey val="0"/>
          <c:showVal val="0"/>
          <c:showCatName val="0"/>
          <c:showSerName val="0"/>
          <c:showPercent val="0"/>
          <c:showBubbleSize val="0"/>
        </c:dLbls>
        <c:axId val="56824576"/>
        <c:axId val="56852480"/>
      </c:scatterChart>
      <c:valAx>
        <c:axId val="56824576"/>
        <c:scaling>
          <c:orientation val="minMax"/>
        </c:scaling>
        <c:delete val="0"/>
        <c:axPos val="b"/>
        <c:title>
          <c:tx>
            <c:rich>
              <a:bodyPr/>
              <a:lstStyle/>
              <a:p>
                <a:pPr>
                  <a:defRPr sz="925" b="1" i="0" u="none" strike="noStrike" baseline="0">
                    <a:solidFill>
                      <a:srgbClr val="000000"/>
                    </a:solidFill>
                    <a:latin typeface="Arial"/>
                    <a:ea typeface="Arial"/>
                    <a:cs typeface="Arial"/>
                  </a:defRPr>
                </a:pPr>
                <a:r>
                  <a:rPr lang="en-GB"/>
                  <a:t>µm</a:t>
                </a:r>
              </a:p>
            </c:rich>
          </c:tx>
          <c:layout>
            <c:manualLayout>
              <c:xMode val="edge"/>
              <c:yMode val="edge"/>
              <c:x val="0.49611542730299668"/>
              <c:y val="0.946166394779771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52480"/>
        <c:crosses val="autoZero"/>
        <c:crossBetween val="midCat"/>
      </c:valAx>
      <c:valAx>
        <c:axId val="56852480"/>
        <c:scaling>
          <c:logBase val="10"/>
          <c:orientation val="minMax"/>
        </c:scaling>
        <c:delete val="0"/>
        <c:axPos val="l"/>
        <c:majorGridlines>
          <c:spPr>
            <a:ln w="3175">
              <a:solidFill>
                <a:srgbClr val="000000"/>
              </a:solidFill>
              <a:prstDash val="solid"/>
            </a:ln>
          </c:spPr>
        </c:majorGridlines>
        <c:title>
          <c:tx>
            <c:rich>
              <a:bodyPr/>
              <a:lstStyle/>
              <a:p>
                <a:pPr>
                  <a:defRPr sz="925" b="1" i="0" u="none" strike="noStrike" baseline="0">
                    <a:solidFill>
                      <a:srgbClr val="000000"/>
                    </a:solidFill>
                    <a:latin typeface="Arial"/>
                    <a:ea typeface="Arial"/>
                    <a:cs typeface="Arial"/>
                  </a:defRPr>
                </a:pPr>
                <a:r>
                  <a:rPr lang="en-GB"/>
                  <a:t>n/mg/ml</a:t>
                </a:r>
              </a:p>
            </c:rich>
          </c:tx>
          <c:layout>
            <c:manualLayout>
              <c:xMode val="edge"/>
              <c:yMode val="edge"/>
              <c:x val="1.2208657047724751E-2"/>
              <c:y val="0.48450244698205547"/>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24576"/>
        <c:crosses val="autoZero"/>
        <c:crossBetween val="midCat"/>
      </c:valAx>
      <c:spPr>
        <a:solidFill>
          <a:srgbClr val="C0C0C0"/>
        </a:solidFill>
        <a:ln w="12700">
          <a:solidFill>
            <a:srgbClr val="808080"/>
          </a:solidFill>
          <a:prstDash val="solid"/>
        </a:ln>
      </c:spPr>
    </c:plotArea>
    <c:legend>
      <c:legendPos val="r"/>
      <c:layout>
        <c:manualLayout>
          <c:xMode val="edge"/>
          <c:yMode val="edge"/>
          <c:x val="0.92785793562708108"/>
          <c:y val="0.49102773246329529"/>
          <c:w val="6.7702552719200892E-2"/>
          <c:h val="6.6884176182707977E-2"/>
        </c:manualLayout>
      </c:layout>
      <c:overlay val="0"/>
      <c:spPr>
        <a:solidFill>
          <a:srgbClr val="FFFFFF"/>
        </a:solidFill>
        <a:ln w="3175">
          <a:solidFill>
            <a:srgbClr val="000000"/>
          </a:solidFill>
          <a:prstDash val="solid"/>
        </a:ln>
      </c:spPr>
      <c:txPr>
        <a:bodyPr/>
        <a:lstStyle/>
        <a:p>
          <a:pPr>
            <a:defRPr sz="78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GB"/>
              <a:t>Calibration Chart</a:t>
            </a:r>
          </a:p>
        </c:rich>
      </c:tx>
      <c:layout>
        <c:manualLayout>
          <c:xMode val="edge"/>
          <c:yMode val="edge"/>
          <c:x val="0.3625737133735476"/>
          <c:y val="4.1970778652668413E-2"/>
        </c:manualLayout>
      </c:layout>
      <c:overlay val="0"/>
      <c:spPr>
        <a:noFill/>
        <a:ln w="25400">
          <a:noFill/>
        </a:ln>
      </c:spPr>
    </c:title>
    <c:autoTitleDeleted val="0"/>
    <c:plotArea>
      <c:layout>
        <c:manualLayout>
          <c:layoutTarget val="inner"/>
          <c:xMode val="edge"/>
          <c:yMode val="edge"/>
          <c:x val="0.11500996552518412"/>
          <c:y val="0.1259124087591241"/>
          <c:w val="0.83041093752082096"/>
          <c:h val="0.71167883211678828"/>
        </c:manualLayout>
      </c:layout>
      <c:scatterChart>
        <c:scatterStyle val="smoothMarker"/>
        <c:varyColors val="0"/>
        <c:ser>
          <c:idx val="0"/>
          <c:order val="0"/>
          <c:tx>
            <c:v>Trial Run</c:v>
          </c:tx>
          <c:spPr>
            <a:ln w="12700">
              <a:solidFill>
                <a:srgbClr val="000080"/>
              </a:solidFill>
              <a:prstDash val="solid"/>
            </a:ln>
          </c:spPr>
          <c:marker>
            <c:symbol val="diamond"/>
            <c:size val="5"/>
            <c:spPr>
              <a:solidFill>
                <a:srgbClr val="000080"/>
              </a:solidFill>
              <a:ln>
                <a:solidFill>
                  <a:srgbClr val="000080"/>
                </a:solidFill>
                <a:prstDash val="solid"/>
              </a:ln>
            </c:spPr>
          </c:marker>
          <c:xVal>
            <c:numRef>
              <c:f>'Auto-Calibration record'!$B$34:$I$34</c:f>
            </c:numRef>
          </c:xVal>
          <c:yVal>
            <c:numRef>
              <c:f>'Auto-Calibration record'!$B$37:$I$37</c:f>
            </c:numRef>
          </c:yVal>
          <c:smooth val="1"/>
          <c:extLst>
            <c:ext xmlns:c16="http://schemas.microsoft.com/office/drawing/2014/chart" uri="{C3380CC4-5D6E-409C-BE32-E72D297353CC}">
              <c16:uniqueId val="{00000000-C0AE-4C3E-B4B2-E8088D029694}"/>
            </c:ext>
          </c:extLst>
        </c:ser>
        <c:ser>
          <c:idx val="1"/>
          <c:order val="1"/>
          <c:tx>
            <c:v>Final Calibration</c:v>
          </c:tx>
          <c:spPr>
            <a:ln w="12700">
              <a:solidFill>
                <a:srgbClr val="FF00FF"/>
              </a:solidFill>
              <a:prstDash val="solid"/>
            </a:ln>
          </c:spPr>
          <c:marker>
            <c:symbol val="square"/>
            <c:size val="5"/>
            <c:spPr>
              <a:solidFill>
                <a:srgbClr val="FF00FF"/>
              </a:solidFill>
              <a:ln>
                <a:solidFill>
                  <a:srgbClr val="FF00FF"/>
                </a:solidFill>
                <a:prstDash val="solid"/>
              </a:ln>
            </c:spPr>
          </c:marker>
          <c:xVal>
            <c:numRef>
              <c:f>'Auto-Calibration record'!$B$65:$I$65</c:f>
              <c:numCache>
                <c:formatCode>0</c:formatCode>
                <c:ptCount val="8"/>
                <c:pt idx="0">
                  <c:v>76</c:v>
                </c:pt>
                <c:pt idx="1">
                  <c:v>180</c:v>
                </c:pt>
                <c:pt idx="2">
                  <c:v>1020</c:v>
                </c:pt>
                <c:pt idx="3">
                  <c:v>2204</c:v>
                </c:pt>
                <c:pt idx="4">
                  <c:v>3244</c:v>
                </c:pt>
                <c:pt idx="5">
                  <c:v>11420</c:v>
                </c:pt>
                <c:pt idx="6">
                  <c:v>18008</c:v>
                </c:pt>
                <c:pt idx="7">
                  <c:v>30374</c:v>
                </c:pt>
              </c:numCache>
            </c:numRef>
          </c:xVal>
          <c:yVal>
            <c:numRef>
              <c:f>'Auto-Calibration record'!$B$64:$I$64</c:f>
              <c:numCache>
                <c:formatCode>General</c:formatCode>
                <c:ptCount val="8"/>
                <c:pt idx="0">
                  <c:v>4</c:v>
                </c:pt>
                <c:pt idx="1">
                  <c:v>6</c:v>
                </c:pt>
                <c:pt idx="2">
                  <c:v>14</c:v>
                </c:pt>
                <c:pt idx="3">
                  <c:v>21</c:v>
                </c:pt>
                <c:pt idx="4">
                  <c:v>25</c:v>
                </c:pt>
                <c:pt idx="5">
                  <c:v>38</c:v>
                </c:pt>
                <c:pt idx="6">
                  <c:v>50</c:v>
                </c:pt>
                <c:pt idx="7">
                  <c:v>70</c:v>
                </c:pt>
              </c:numCache>
            </c:numRef>
          </c:yVal>
          <c:smooth val="1"/>
          <c:extLst>
            <c:ext xmlns:c16="http://schemas.microsoft.com/office/drawing/2014/chart" uri="{C3380CC4-5D6E-409C-BE32-E72D297353CC}">
              <c16:uniqueId val="{00000001-C0AE-4C3E-B4B2-E8088D029694}"/>
            </c:ext>
          </c:extLst>
        </c:ser>
        <c:dLbls>
          <c:showLegendKey val="0"/>
          <c:showVal val="0"/>
          <c:showCatName val="0"/>
          <c:showSerName val="0"/>
          <c:showPercent val="0"/>
          <c:showBubbleSize val="0"/>
        </c:dLbls>
        <c:axId val="57280000"/>
        <c:axId val="57290752"/>
      </c:scatterChart>
      <c:valAx>
        <c:axId val="57280000"/>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Threshold Setting</a:t>
                </a:r>
              </a:p>
            </c:rich>
          </c:tx>
          <c:layout>
            <c:manualLayout>
              <c:xMode val="edge"/>
              <c:yMode val="edge"/>
              <c:x val="0.43080003888402835"/>
              <c:y val="0.8868612423447068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90752"/>
        <c:crosses val="autoZero"/>
        <c:crossBetween val="midCat"/>
      </c:valAx>
      <c:valAx>
        <c:axId val="57290752"/>
        <c:scaling>
          <c:orientation val="minMax"/>
          <c:max val="74"/>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Particle Size</a:t>
                </a:r>
              </a:p>
            </c:rich>
          </c:tx>
          <c:layout>
            <c:manualLayout>
              <c:xMode val="edge"/>
              <c:yMode val="edge"/>
              <c:x val="3.1189083820662766E-2"/>
              <c:y val="0.4178831146106736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80000"/>
        <c:crosses val="autoZero"/>
        <c:crossBetween val="midCat"/>
      </c:valAx>
      <c:spPr>
        <a:solidFill>
          <a:srgbClr val="C0C0C0"/>
        </a:solidFill>
        <a:ln w="12700">
          <a:solidFill>
            <a:srgbClr val="808080"/>
          </a:solidFill>
          <a:prstDash val="solid"/>
        </a:ln>
      </c:spPr>
    </c:plotArea>
    <c:legend>
      <c:legendPos val="b"/>
      <c:layout>
        <c:manualLayout>
          <c:xMode val="edge"/>
          <c:yMode val="edge"/>
          <c:x val="0.34308053598563337"/>
          <c:y val="0.94708031496062994"/>
          <c:w val="0.37426961980629614"/>
          <c:h val="4.0145931758530207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3"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1415270</c:v>
                </c:pt>
                <c:pt idx="1">
                  <c:v>580231</c:v>
                </c:pt>
                <c:pt idx="2">
                  <c:v>136892</c:v>
                </c:pt>
                <c:pt idx="3">
                  <c:v>45814.7</c:v>
                </c:pt>
                <c:pt idx="4">
                  <c:v>11873.6</c:v>
                </c:pt>
                <c:pt idx="5">
                  <c:v>5545.63</c:v>
                </c:pt>
                <c:pt idx="6">
                  <c:v>184.08699999999999</c:v>
                </c:pt>
                <c:pt idx="7">
                  <c:v>34.516399999999997</c:v>
                </c:pt>
                <c:pt idx="8">
                  <c:v>4.4329299999999998</c:v>
                </c:pt>
              </c:numCache>
            </c:numRef>
          </c:val>
          <c:extLst>
            <c:ext xmlns:c16="http://schemas.microsoft.com/office/drawing/2014/chart" uri="{C3380CC4-5D6E-409C-BE32-E72D297353CC}">
              <c16:uniqueId val="{00000000-FE2A-40B6-A6BF-A253EEADBE15}"/>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1429381</c:v>
                </c:pt>
                <c:pt idx="1">
                  <c:v>582583</c:v>
                </c:pt>
                <c:pt idx="2">
                  <c:v>136243</c:v>
                </c:pt>
                <c:pt idx="3">
                  <c:v>46338.333333333336</c:v>
                </c:pt>
                <c:pt idx="4">
                  <c:v>12191</c:v>
                </c:pt>
                <c:pt idx="5">
                  <c:v>5583.666666666667</c:v>
                </c:pt>
                <c:pt idx="6">
                  <c:v>169</c:v>
                </c:pt>
                <c:pt idx="7">
                  <c:v>35</c:v>
                </c:pt>
                <c:pt idx="8">
                  <c:v>5.333333333333333</c:v>
                </c:pt>
              </c:numCache>
            </c:numRef>
          </c:val>
          <c:extLst>
            <c:ext xmlns:c16="http://schemas.microsoft.com/office/drawing/2014/chart" uri="{C3380CC4-5D6E-409C-BE32-E72D297353CC}">
              <c16:uniqueId val="{00000001-FE2A-40B6-A6BF-A253EEADBE15}"/>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664354963"/>
          <c:y val="3.418796334668692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1415270</c:v>
                </c:pt>
                <c:pt idx="1">
                  <c:v>580231</c:v>
                </c:pt>
                <c:pt idx="2">
                  <c:v>136892</c:v>
                </c:pt>
                <c:pt idx="3">
                  <c:v>45814.7</c:v>
                </c:pt>
                <c:pt idx="4">
                  <c:v>11873.6</c:v>
                </c:pt>
                <c:pt idx="5">
                  <c:v>5545.63</c:v>
                </c:pt>
                <c:pt idx="6">
                  <c:v>184.08699999999999</c:v>
                </c:pt>
                <c:pt idx="7">
                  <c:v>34.516399999999997</c:v>
                </c:pt>
                <c:pt idx="8">
                  <c:v>4.4329299999999998</c:v>
                </c:pt>
              </c:numCache>
            </c:numRef>
          </c:val>
          <c:extLst>
            <c:ext xmlns:c16="http://schemas.microsoft.com/office/drawing/2014/chart" uri="{C3380CC4-5D6E-409C-BE32-E72D297353CC}">
              <c16:uniqueId val="{00000000-0A29-4E3C-B115-20F6D4295357}"/>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1429381</c:v>
                </c:pt>
                <c:pt idx="1">
                  <c:v>582583</c:v>
                </c:pt>
                <c:pt idx="2">
                  <c:v>136243</c:v>
                </c:pt>
                <c:pt idx="3">
                  <c:v>46338.333333333336</c:v>
                </c:pt>
                <c:pt idx="4">
                  <c:v>12191</c:v>
                </c:pt>
                <c:pt idx="5">
                  <c:v>5583.666666666667</c:v>
                </c:pt>
                <c:pt idx="6">
                  <c:v>169</c:v>
                </c:pt>
                <c:pt idx="7">
                  <c:v>35</c:v>
                </c:pt>
                <c:pt idx="8">
                  <c:v>5.333333333333333</c:v>
                </c:pt>
              </c:numCache>
            </c:numRef>
          </c:val>
          <c:extLst>
            <c:ext xmlns:c16="http://schemas.microsoft.com/office/drawing/2014/chart" uri="{C3380CC4-5D6E-409C-BE32-E72D297353CC}">
              <c16:uniqueId val="{00000001-0A29-4E3C-B115-20F6D4295357}"/>
            </c:ext>
          </c:extLst>
        </c:ser>
        <c:dLbls>
          <c:showLegendKey val="0"/>
          <c:showVal val="0"/>
          <c:showCatName val="0"/>
          <c:showSerName val="0"/>
          <c:showPercent val="0"/>
          <c:showBubbleSize val="0"/>
        </c:dLbls>
        <c:gapWidth val="150"/>
        <c:axId val="58089472"/>
        <c:axId val="58091392"/>
      </c:barChart>
      <c:catAx>
        <c:axId val="580894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4041639104"/>
              <c:y val="0.79772321223005027"/>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91392"/>
        <c:crosses val="autoZero"/>
        <c:auto val="1"/>
        <c:lblAlgn val="ctr"/>
        <c:lblOffset val="100"/>
        <c:tickLblSkip val="1"/>
        <c:tickMarkSkip val="1"/>
        <c:noMultiLvlLbl val="0"/>
      </c:catAx>
      <c:valAx>
        <c:axId val="580913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606889585957E-2"/>
              <c:y val="0.373220288253442"/>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89472"/>
        <c:crosses val="autoZero"/>
        <c:crossBetween val="between"/>
      </c:valAx>
    </c:plotArea>
    <c:legend>
      <c:legendPos val="b"/>
      <c:layout>
        <c:manualLayout>
          <c:xMode val="edge"/>
          <c:yMode val="edge"/>
          <c:x val="0.36683936865615374"/>
          <c:y val="0.89743841230372523"/>
          <c:w val="0.29430054982964526"/>
          <c:h val="8.5470368835474542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6811496692"/>
          <c:y val="3.418778946338001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1415270</c:v>
                </c:pt>
                <c:pt idx="1">
                  <c:v>580231</c:v>
                </c:pt>
                <c:pt idx="2">
                  <c:v>136892</c:v>
                </c:pt>
                <c:pt idx="3">
                  <c:v>45814.7</c:v>
                </c:pt>
                <c:pt idx="4">
                  <c:v>11873.6</c:v>
                </c:pt>
                <c:pt idx="5">
                  <c:v>5545.63</c:v>
                </c:pt>
                <c:pt idx="6">
                  <c:v>184.08699999999999</c:v>
                </c:pt>
                <c:pt idx="7">
                  <c:v>34.516399999999997</c:v>
                </c:pt>
                <c:pt idx="8">
                  <c:v>4.4329299999999998</c:v>
                </c:pt>
              </c:numCache>
            </c:numRef>
          </c:val>
          <c:extLst>
            <c:ext xmlns:c16="http://schemas.microsoft.com/office/drawing/2014/chart" uri="{C3380CC4-5D6E-409C-BE32-E72D297353CC}">
              <c16:uniqueId val="{00000000-E78D-4B5E-B638-C2ADC602E10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1429381</c:v>
                </c:pt>
                <c:pt idx="1">
                  <c:v>582583</c:v>
                </c:pt>
                <c:pt idx="2">
                  <c:v>136243</c:v>
                </c:pt>
                <c:pt idx="3">
                  <c:v>46338.333333333336</c:v>
                </c:pt>
                <c:pt idx="4">
                  <c:v>12191</c:v>
                </c:pt>
                <c:pt idx="5">
                  <c:v>5583.666666666667</c:v>
                </c:pt>
                <c:pt idx="6">
                  <c:v>169</c:v>
                </c:pt>
                <c:pt idx="7">
                  <c:v>35</c:v>
                </c:pt>
                <c:pt idx="8">
                  <c:v>5.333333333333333</c:v>
                </c:pt>
              </c:numCache>
            </c:numRef>
          </c:val>
          <c:extLst>
            <c:ext xmlns:c16="http://schemas.microsoft.com/office/drawing/2014/chart" uri="{C3380CC4-5D6E-409C-BE32-E72D297353CC}">
              <c16:uniqueId val="{00000001-E78D-4B5E-B638-C2ADC602E10C}"/>
            </c:ext>
          </c:extLst>
        </c:ser>
        <c:dLbls>
          <c:showLegendKey val="0"/>
          <c:showVal val="0"/>
          <c:showCatName val="0"/>
          <c:showSerName val="0"/>
          <c:showPercent val="0"/>
          <c:showBubbleSize val="0"/>
        </c:dLbls>
        <c:gapWidth val="150"/>
        <c:axId val="58249600"/>
        <c:axId val="58251520"/>
      </c:barChart>
      <c:catAx>
        <c:axId val="5824960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1059715673"/>
              <c:y val="0.79772332654222422"/>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51520"/>
        <c:crosses val="autoZero"/>
        <c:auto val="1"/>
        <c:lblAlgn val="ctr"/>
        <c:lblOffset val="100"/>
        <c:tickLblSkip val="1"/>
        <c:tickMarkSkip val="1"/>
        <c:noMultiLvlLbl val="0"/>
      </c:catAx>
      <c:valAx>
        <c:axId val="58251520"/>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80868980162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49600"/>
        <c:crosses val="autoZero"/>
        <c:crossBetween val="between"/>
      </c:valAx>
    </c:plotArea>
    <c:legend>
      <c:legendPos val="b"/>
      <c:layout>
        <c:manualLayout>
          <c:xMode val="edge"/>
          <c:yMode val="edge"/>
          <c:x val="0.36683935536095374"/>
          <c:y val="0.89743834468243922"/>
          <c:w val="0.29430050215685649"/>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1415270</c:v>
                </c:pt>
                <c:pt idx="1">
                  <c:v>580231</c:v>
                </c:pt>
                <c:pt idx="2">
                  <c:v>136892</c:v>
                </c:pt>
                <c:pt idx="3">
                  <c:v>45814.7</c:v>
                </c:pt>
                <c:pt idx="4">
                  <c:v>11873.6</c:v>
                </c:pt>
                <c:pt idx="5">
                  <c:v>5545.63</c:v>
                </c:pt>
                <c:pt idx="6">
                  <c:v>184.08699999999999</c:v>
                </c:pt>
                <c:pt idx="7">
                  <c:v>34.516399999999997</c:v>
                </c:pt>
                <c:pt idx="8">
                  <c:v>4.4329299999999998</c:v>
                </c:pt>
              </c:numCache>
            </c:numRef>
          </c:val>
          <c:extLst>
            <c:ext xmlns:c16="http://schemas.microsoft.com/office/drawing/2014/chart" uri="{C3380CC4-5D6E-409C-BE32-E72D297353CC}">
              <c16:uniqueId val="{00000000-7E9E-4CF7-AC86-6E7F905C7F9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1429381</c:v>
                </c:pt>
                <c:pt idx="1">
                  <c:v>582583</c:v>
                </c:pt>
                <c:pt idx="2">
                  <c:v>136243</c:v>
                </c:pt>
                <c:pt idx="3">
                  <c:v>46338.333333333336</c:v>
                </c:pt>
                <c:pt idx="4">
                  <c:v>12191</c:v>
                </c:pt>
                <c:pt idx="5">
                  <c:v>5583.666666666667</c:v>
                </c:pt>
                <c:pt idx="6">
                  <c:v>169</c:v>
                </c:pt>
                <c:pt idx="7">
                  <c:v>35</c:v>
                </c:pt>
                <c:pt idx="8">
                  <c:v>5.333333333333333</c:v>
                </c:pt>
              </c:numCache>
            </c:numRef>
          </c:val>
          <c:extLst>
            <c:ext xmlns:c16="http://schemas.microsoft.com/office/drawing/2014/chart" uri="{C3380CC4-5D6E-409C-BE32-E72D297353CC}">
              <c16:uniqueId val="{00000001-7E9E-4CF7-AC86-6E7F905C7F9C}"/>
            </c:ext>
          </c:extLst>
        </c:ser>
        <c:dLbls>
          <c:showLegendKey val="0"/>
          <c:showVal val="0"/>
          <c:showCatName val="0"/>
          <c:showSerName val="0"/>
          <c:showPercent val="0"/>
          <c:showBubbleSize val="0"/>
        </c:dLbls>
        <c:gapWidth val="150"/>
        <c:axId val="59507456"/>
        <c:axId val="59509376"/>
      </c:barChart>
      <c:catAx>
        <c:axId val="5950745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9376"/>
        <c:crosses val="autoZero"/>
        <c:auto val="1"/>
        <c:lblAlgn val="ctr"/>
        <c:lblOffset val="100"/>
        <c:tickLblSkip val="1"/>
        <c:tickMarkSkip val="1"/>
        <c:noMultiLvlLbl val="0"/>
      </c:catAx>
      <c:valAx>
        <c:axId val="59509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7456"/>
        <c:crosses val="autoZero"/>
        <c:crossBetween val="between"/>
      </c:valAx>
    </c:plotArea>
    <c:legend>
      <c:legendPos val="b"/>
      <c:layout>
        <c:manualLayout>
          <c:xMode val="edge"/>
          <c:yMode val="edge"/>
          <c:x val="0.36683935438302773"/>
          <c:y val="0.89743834468243922"/>
          <c:w val="0.29430053801414358"/>
          <c:h val="8.547033019473959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1415270</c:v>
                </c:pt>
                <c:pt idx="1">
                  <c:v>580231</c:v>
                </c:pt>
                <c:pt idx="2">
                  <c:v>136892</c:v>
                </c:pt>
                <c:pt idx="3">
                  <c:v>45814.7</c:v>
                </c:pt>
                <c:pt idx="4">
                  <c:v>11873.6</c:v>
                </c:pt>
                <c:pt idx="5">
                  <c:v>5545.63</c:v>
                </c:pt>
                <c:pt idx="6">
                  <c:v>184.08699999999999</c:v>
                </c:pt>
                <c:pt idx="7">
                  <c:v>34.516399999999997</c:v>
                </c:pt>
                <c:pt idx="8">
                  <c:v>4.4329299999999998</c:v>
                </c:pt>
              </c:numCache>
            </c:numRef>
          </c:val>
          <c:extLst>
            <c:ext xmlns:c16="http://schemas.microsoft.com/office/drawing/2014/chart" uri="{C3380CC4-5D6E-409C-BE32-E72D297353CC}">
              <c16:uniqueId val="{00000000-E7F4-483E-B21C-A3E7F3EC576D}"/>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1429381</c:v>
                </c:pt>
                <c:pt idx="1">
                  <c:v>582583</c:v>
                </c:pt>
                <c:pt idx="2">
                  <c:v>136243</c:v>
                </c:pt>
                <c:pt idx="3">
                  <c:v>46338.333333333336</c:v>
                </c:pt>
                <c:pt idx="4">
                  <c:v>12191</c:v>
                </c:pt>
                <c:pt idx="5">
                  <c:v>5583.666666666667</c:v>
                </c:pt>
                <c:pt idx="6">
                  <c:v>169</c:v>
                </c:pt>
                <c:pt idx="7">
                  <c:v>35</c:v>
                </c:pt>
                <c:pt idx="8">
                  <c:v>5.333333333333333</c:v>
                </c:pt>
              </c:numCache>
            </c:numRef>
          </c:val>
          <c:extLst>
            <c:ext xmlns:c16="http://schemas.microsoft.com/office/drawing/2014/chart" uri="{C3380CC4-5D6E-409C-BE32-E72D297353CC}">
              <c16:uniqueId val="{00000001-E7F4-483E-B21C-A3E7F3EC576D}"/>
            </c:ext>
          </c:extLst>
        </c:ser>
        <c:dLbls>
          <c:showLegendKey val="0"/>
          <c:showVal val="0"/>
          <c:showCatName val="0"/>
          <c:showSerName val="0"/>
          <c:showPercent val="0"/>
          <c:showBubbleSize val="0"/>
        </c:dLbls>
        <c:gapWidth val="150"/>
        <c:axId val="57939072"/>
        <c:axId val="57940992"/>
      </c:barChart>
      <c:catAx>
        <c:axId val="579390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40992"/>
        <c:crosses val="autoZero"/>
        <c:auto val="1"/>
        <c:lblAlgn val="ctr"/>
        <c:lblOffset val="100"/>
        <c:tickLblSkip val="1"/>
        <c:tickMarkSkip val="1"/>
        <c:noMultiLvlLbl val="0"/>
      </c:catAx>
      <c:valAx>
        <c:axId val="579409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39072"/>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1415270</c:v>
                </c:pt>
                <c:pt idx="1">
                  <c:v>580231</c:v>
                </c:pt>
                <c:pt idx="2">
                  <c:v>136892</c:v>
                </c:pt>
                <c:pt idx="3">
                  <c:v>45814.7</c:v>
                </c:pt>
                <c:pt idx="4">
                  <c:v>11873.6</c:v>
                </c:pt>
                <c:pt idx="5">
                  <c:v>5545.63</c:v>
                </c:pt>
                <c:pt idx="6">
                  <c:v>184.08699999999999</c:v>
                </c:pt>
                <c:pt idx="7">
                  <c:v>34.516399999999997</c:v>
                </c:pt>
                <c:pt idx="8">
                  <c:v>4.4329299999999998</c:v>
                </c:pt>
              </c:numCache>
            </c:numRef>
          </c:val>
          <c:extLst>
            <c:ext xmlns:c16="http://schemas.microsoft.com/office/drawing/2014/chart" uri="{C3380CC4-5D6E-409C-BE32-E72D297353CC}">
              <c16:uniqueId val="{00000000-5F0B-4D22-9FA5-A41BD843EC1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1429381</c:v>
                </c:pt>
                <c:pt idx="1">
                  <c:v>582583</c:v>
                </c:pt>
                <c:pt idx="2">
                  <c:v>136243</c:v>
                </c:pt>
                <c:pt idx="3">
                  <c:v>46338.333333333336</c:v>
                </c:pt>
                <c:pt idx="4">
                  <c:v>12191</c:v>
                </c:pt>
                <c:pt idx="5">
                  <c:v>5583.666666666667</c:v>
                </c:pt>
                <c:pt idx="6">
                  <c:v>169</c:v>
                </c:pt>
                <c:pt idx="7">
                  <c:v>35</c:v>
                </c:pt>
                <c:pt idx="8">
                  <c:v>5.333333333333333</c:v>
                </c:pt>
              </c:numCache>
            </c:numRef>
          </c:val>
          <c:extLst>
            <c:ext xmlns:c16="http://schemas.microsoft.com/office/drawing/2014/chart" uri="{C3380CC4-5D6E-409C-BE32-E72D297353CC}">
              <c16:uniqueId val="{00000001-5F0B-4D22-9FA5-A41BD843EC10}"/>
            </c:ext>
          </c:extLst>
        </c:ser>
        <c:dLbls>
          <c:showLegendKey val="0"/>
          <c:showVal val="0"/>
          <c:showCatName val="0"/>
          <c:showSerName val="0"/>
          <c:showPercent val="0"/>
          <c:showBubbleSize val="0"/>
        </c:dLbls>
        <c:gapWidth val="150"/>
        <c:axId val="59918208"/>
        <c:axId val="59920384"/>
      </c:barChart>
      <c:catAx>
        <c:axId val="5991820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20384"/>
        <c:crosses val="autoZero"/>
        <c:auto val="1"/>
        <c:lblAlgn val="ctr"/>
        <c:lblOffset val="100"/>
        <c:tickLblSkip val="1"/>
        <c:tickMarkSkip val="1"/>
        <c:noMultiLvlLbl val="0"/>
      </c:catAx>
      <c:valAx>
        <c:axId val="5992038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1820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1415270</c:v>
                </c:pt>
                <c:pt idx="1">
                  <c:v>580231</c:v>
                </c:pt>
                <c:pt idx="2">
                  <c:v>136892</c:v>
                </c:pt>
                <c:pt idx="3">
                  <c:v>45814.7</c:v>
                </c:pt>
                <c:pt idx="4">
                  <c:v>11873.6</c:v>
                </c:pt>
                <c:pt idx="5">
                  <c:v>5545.63</c:v>
                </c:pt>
                <c:pt idx="6">
                  <c:v>184.08699999999999</c:v>
                </c:pt>
                <c:pt idx="7">
                  <c:v>34.516399999999997</c:v>
                </c:pt>
                <c:pt idx="8">
                  <c:v>4.4329299999999998</c:v>
                </c:pt>
              </c:numCache>
            </c:numRef>
          </c:val>
          <c:extLst>
            <c:ext xmlns:c16="http://schemas.microsoft.com/office/drawing/2014/chart" uri="{C3380CC4-5D6E-409C-BE32-E72D297353CC}">
              <c16:uniqueId val="{00000000-13F1-4824-BC15-9586C7A137A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1429381</c:v>
                </c:pt>
                <c:pt idx="1">
                  <c:v>582583</c:v>
                </c:pt>
                <c:pt idx="2">
                  <c:v>136243</c:v>
                </c:pt>
                <c:pt idx="3">
                  <c:v>46338.333333333336</c:v>
                </c:pt>
                <c:pt idx="4">
                  <c:v>12191</c:v>
                </c:pt>
                <c:pt idx="5">
                  <c:v>5583.666666666667</c:v>
                </c:pt>
                <c:pt idx="6">
                  <c:v>169</c:v>
                </c:pt>
                <c:pt idx="7">
                  <c:v>35</c:v>
                </c:pt>
                <c:pt idx="8">
                  <c:v>5.333333333333333</c:v>
                </c:pt>
              </c:numCache>
            </c:numRef>
          </c:val>
          <c:extLst>
            <c:ext xmlns:c16="http://schemas.microsoft.com/office/drawing/2014/chart" uri="{C3380CC4-5D6E-409C-BE32-E72D297353CC}">
              <c16:uniqueId val="{00000001-13F1-4824-BC15-9586C7A137A0}"/>
            </c:ext>
          </c:extLst>
        </c:ser>
        <c:dLbls>
          <c:showLegendKey val="0"/>
          <c:showVal val="0"/>
          <c:showCatName val="0"/>
          <c:showSerName val="0"/>
          <c:showPercent val="0"/>
          <c:showBubbleSize val="0"/>
        </c:dLbls>
        <c:gapWidth val="150"/>
        <c:axId val="61602048"/>
        <c:axId val="61481344"/>
      </c:barChart>
      <c:catAx>
        <c:axId val="6160204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481344"/>
        <c:crosses val="autoZero"/>
        <c:auto val="1"/>
        <c:lblAlgn val="ctr"/>
        <c:lblOffset val="100"/>
        <c:tickLblSkip val="1"/>
        <c:tickMarkSkip val="1"/>
        <c:noMultiLvlLbl val="0"/>
      </c:catAx>
      <c:valAx>
        <c:axId val="6148134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60204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1415270</c:v>
                </c:pt>
                <c:pt idx="1">
                  <c:v>580231</c:v>
                </c:pt>
                <c:pt idx="2">
                  <c:v>136892</c:v>
                </c:pt>
                <c:pt idx="3">
                  <c:v>45814.7</c:v>
                </c:pt>
                <c:pt idx="4">
                  <c:v>11873.6</c:v>
                </c:pt>
                <c:pt idx="5">
                  <c:v>5545.63</c:v>
                </c:pt>
                <c:pt idx="6">
                  <c:v>184.08699999999999</c:v>
                </c:pt>
                <c:pt idx="7">
                  <c:v>34.516399999999997</c:v>
                </c:pt>
                <c:pt idx="8">
                  <c:v>4.4329299999999998</c:v>
                </c:pt>
              </c:numCache>
            </c:numRef>
          </c:val>
          <c:extLst>
            <c:ext xmlns:c16="http://schemas.microsoft.com/office/drawing/2014/chart" uri="{C3380CC4-5D6E-409C-BE32-E72D297353CC}">
              <c16:uniqueId val="{00000000-F17D-4B89-8B19-A60DB0CBB1B2}"/>
            </c:ext>
          </c:extLst>
        </c:ser>
        <c:ser>
          <c:idx val="1"/>
          <c:order val="1"/>
          <c:tx>
            <c:v>Actual Particle Count</c:v>
          </c:tx>
          <c:spPr>
            <a:solidFill>
              <a:schemeClr val="bg1">
                <a:lumMod val="6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1429381</c:v>
                </c:pt>
                <c:pt idx="1">
                  <c:v>582583</c:v>
                </c:pt>
                <c:pt idx="2">
                  <c:v>136243</c:v>
                </c:pt>
                <c:pt idx="3">
                  <c:v>46338.333333333336</c:v>
                </c:pt>
                <c:pt idx="4">
                  <c:v>12191</c:v>
                </c:pt>
                <c:pt idx="5">
                  <c:v>5583.666666666667</c:v>
                </c:pt>
                <c:pt idx="6">
                  <c:v>169</c:v>
                </c:pt>
                <c:pt idx="7">
                  <c:v>35</c:v>
                </c:pt>
                <c:pt idx="8">
                  <c:v>5.333333333333333</c:v>
                </c:pt>
              </c:numCache>
            </c:numRef>
          </c:val>
          <c:extLst>
            <c:ext xmlns:c16="http://schemas.microsoft.com/office/drawing/2014/chart" uri="{C3380CC4-5D6E-409C-BE32-E72D297353CC}">
              <c16:uniqueId val="{00000001-F17D-4B89-8B19-A60DB0CBB1B2}"/>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codeName="Chart5"/>
  <sheetViews>
    <sheetView workbookViewId="0"/>
  </sheetViews>
  <sheetProtection content="1" objects="1"/>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codeName="Chart6"/>
  <sheetViews>
    <sheetView workbookViewId="0"/>
  </sheetViews>
  <pageMargins left="0.75" right="0.75" top="1" bottom="1" header="0.5" footer="0.5"/>
  <headerFooter alignWithMargins="0"/>
  <drawing r:id="rId1"/>
</chartsheet>
</file>

<file path=xl/ctrlProps/ctrlProp1.xml><?xml version="1.0" encoding="utf-8"?>
<formControlPr xmlns="http://schemas.microsoft.com/office/spreadsheetml/2009/9/main" objectType="CheckBox" fmlaLink="$A$7" noThreeD="1"/>
</file>

<file path=xl/ctrlProps/ctrlProp2.xml><?xml version="1.0" encoding="utf-8"?>
<formControlPr xmlns="http://schemas.microsoft.com/office/spreadsheetml/2009/9/main" objectType="CheckBox" fmlaLink="$A$20" lockText="1" noThreeD="1"/>
</file>

<file path=xl/ctrlProps/ctrlProp3.xml><?xml version="1.0" encoding="utf-8"?>
<formControlPr xmlns="http://schemas.microsoft.com/office/spreadsheetml/2009/9/main" objectType="CheckBox" fmlaLink="$A$21" lockText="1" noThreeD="1"/>
</file>

<file path=xl/ctrlProps/ctrlProp4.xml><?xml version="1.0" encoding="utf-8"?>
<formControlPr xmlns="http://schemas.microsoft.com/office/spreadsheetml/2009/9/main" objectType="CheckBox" fmlaLink="$A$22" lockText="1" noThreeD="1"/>
</file>

<file path=xl/ctrlProps/ctrlProp5.xml><?xml version="1.0" encoding="utf-8"?>
<formControlPr xmlns="http://schemas.microsoft.com/office/spreadsheetml/2009/9/main" objectType="CheckBox" fmlaLink="$A$23" lockText="1" noThreeD="1"/>
</file>

<file path=xl/ctrlProps/ctrlProp6.xml><?xml version="1.0" encoding="utf-8"?>
<formControlPr xmlns="http://schemas.microsoft.com/office/spreadsheetml/2009/9/main" objectType="CheckBox" fmlaLink="$A$24" lockText="1" noThreeD="1"/>
</file>

<file path=xl/ctrlProps/ctrlProp7.xml><?xml version="1.0" encoding="utf-8"?>
<formControlPr xmlns="http://schemas.microsoft.com/office/spreadsheetml/2009/9/main" objectType="CheckBox" fmlaLink="$A$25" lockText="1" noThreeD="1"/>
</file>

<file path=xl/ctrlProps/ctrlProp8.xml><?xml version="1.0" encoding="utf-8"?>
<formControlPr xmlns="http://schemas.microsoft.com/office/spreadsheetml/2009/9/main" objectType="CheckBox" fmlaLink="$A$27" lockText="1" noThreeD="1"/>
</file>

<file path=xl/ctrlProps/ctrlProp9.xml><?xml version="1.0" encoding="utf-8"?>
<formControlPr xmlns="http://schemas.microsoft.com/office/spreadsheetml/2009/9/main" objectType="CheckBox" fmlaLink="$A$28" lockText="1" noThreeD="1"/>
</file>

<file path=xl/ctrlProps/ctrlProp10.xml><?xml version="1.0" encoding="utf-8"?>
<formControlPr xmlns="http://schemas.microsoft.com/office/spreadsheetml/2009/9/main" objectType="CheckBox" fmlaLink="$A$29" lockText="1" noThreeD="1"/>
</file>

<file path=xl/ctrlProps/ctrlProp11.xml><?xml version="1.0" encoding="utf-8"?>
<formControlPr xmlns="http://schemas.microsoft.com/office/spreadsheetml/2009/9/main" objectType="CheckBox" fmlaLink="$A$8" lockText="1" noThreeD="1"/>
</file>

<file path=xl/ctrlProps/ctrlProp12.xml><?xml version="1.0" encoding="utf-8"?>
<formControlPr xmlns="http://schemas.microsoft.com/office/spreadsheetml/2009/9/main" objectType="CheckBox" fmlaLink="$A$9" lockText="1" noThreeD="1"/>
</file>

<file path=xl/ctrlProps/ctrlProp13.xml><?xml version="1.0" encoding="utf-8"?>
<formControlPr xmlns="http://schemas.microsoft.com/office/spreadsheetml/2009/9/main" objectType="CheckBox" fmlaLink="$A$12" lockText="1" noThreeD="1"/>
</file>

<file path=xl/ctrlProps/ctrlProp14.xml><?xml version="1.0" encoding="utf-8"?>
<formControlPr xmlns="http://schemas.microsoft.com/office/spreadsheetml/2009/9/main" objectType="CheckBox" fmlaLink="$A$34" lockText="1" noThreeD="1"/>
</file>

<file path=xl/ctrlProps/ctrlProp15.xml><?xml version="1.0" encoding="utf-8"?>
<formControlPr xmlns="http://schemas.microsoft.com/office/spreadsheetml/2009/9/main" objectType="CheckBox" fmlaLink="$A$38" lockText="1" noThreeD="1"/>
</file>

<file path=xl/ctrlProps/ctrlProp16.xml><?xml version="1.0" encoding="utf-8"?>
<formControlPr xmlns="http://schemas.microsoft.com/office/spreadsheetml/2009/9/main" objectType="CheckBox" fmlaLink="$A$40" lockText="1" noThreeD="1"/>
</file>

<file path=xl/ctrlProps/ctrlProp17.xml><?xml version="1.0" encoding="utf-8"?>
<formControlPr xmlns="http://schemas.microsoft.com/office/spreadsheetml/2009/9/main" objectType="CheckBox" fmlaLink="$A$50" lockText="1" noThreeD="1"/>
</file>

<file path=xl/ctrlProps/ctrlProp18.xml><?xml version="1.0" encoding="utf-8"?>
<formControlPr xmlns="http://schemas.microsoft.com/office/spreadsheetml/2009/9/main" objectType="CheckBox" fmlaLink="$A$53" lockText="1" noThreeD="1"/>
</file>

<file path=xl/ctrlProps/ctrlProp19.xml><?xml version="1.0" encoding="utf-8"?>
<formControlPr xmlns="http://schemas.microsoft.com/office/spreadsheetml/2009/9/main" objectType="CheckBox" fmlaLink="$A$71" lockText="1" noThreeD="1"/>
</file>

<file path=xl/ctrlProps/ctrlProp20.xml><?xml version="1.0" encoding="utf-8"?>
<formControlPr xmlns="http://schemas.microsoft.com/office/spreadsheetml/2009/9/main" objectType="CheckBox" fmlaLink="$A$37" lockText="1" noThreeD="1"/>
</file>

<file path=xl/ctrlProps/ctrlProp21.xml><?xml version="1.0" encoding="utf-8"?>
<formControlPr xmlns="http://schemas.microsoft.com/office/spreadsheetml/2009/9/main" objectType="CheckBox" fmlaLink="$A$39" lockText="1" noThreeD="1"/>
</file>

<file path=xl/ctrlProps/ctrlProp22.xml><?xml version="1.0" encoding="utf-8"?>
<formControlPr xmlns="http://schemas.microsoft.com/office/spreadsheetml/2009/9/main" objectType="CheckBox" fmlaLink="$A$41" lockText="1" noThreeD="1"/>
</file>

<file path=xl/ctrlProps/ctrlProp23.xml><?xml version="1.0" encoding="utf-8"?>
<formControlPr xmlns="http://schemas.microsoft.com/office/spreadsheetml/2009/9/main" objectType="CheckBox" fmlaLink="$A$70" lockText="1" noThreeD="1"/>
</file>

<file path=xl/ctrlProps/ctrlProp24.xml><?xml version="1.0" encoding="utf-8"?>
<formControlPr xmlns="http://schemas.microsoft.com/office/spreadsheetml/2009/9/main" objectType="CheckBox" fmlaLink="$A$33" lockText="1" noThreeD="1"/>
</file>

<file path=xl/ctrlProps/ctrlProp25.xml><?xml version="1.0" encoding="utf-8"?>
<formControlPr xmlns="http://schemas.microsoft.com/office/spreadsheetml/2009/9/main" objectType="CheckBox" fmlaLink="$A$62" noThreeD="1"/>
</file>

<file path=xl/ctrlProps/ctrlProp26.xml><?xml version="1.0" encoding="utf-8"?>
<formControlPr xmlns="http://schemas.microsoft.com/office/spreadsheetml/2009/9/main" objectType="CheckBox" fmlaLink="$A$55" lockText="1" noThreeD="1"/>
</file>

<file path=xl/ctrlProps/ctrlProp27.xml><?xml version="1.0" encoding="utf-8"?>
<formControlPr xmlns="http://schemas.microsoft.com/office/spreadsheetml/2009/9/main" objectType="CheckBox" fmlaLink="$A$59" lockText="1" noThreeD="1"/>
</file>

<file path=xl/ctrlProps/ctrlProp28.xml><?xml version="1.0" encoding="utf-8"?>
<formControlPr xmlns="http://schemas.microsoft.com/office/spreadsheetml/2009/9/main" objectType="CheckBox" fmlaLink="$A$79" noThreeD="1"/>
</file>

<file path=xl/ctrlProps/ctrlProp29.xml><?xml version="1.0" encoding="utf-8"?>
<formControlPr xmlns="http://schemas.microsoft.com/office/spreadsheetml/2009/9/main" objectType="CheckBox" fmlaLink="$A$76" lockText="1" noThreeD="1"/>
</file>

<file path=xl/ctrlProps/ctrlProp30.xml><?xml version="1.0" encoding="utf-8"?>
<formControlPr xmlns="http://schemas.microsoft.com/office/spreadsheetml/2009/9/main" objectType="CheckBox" fmlaLink="#REF!" noThreeD="1"/>
</file>

<file path=xl/ctrlProps/ctrlProp31.xml><?xml version="1.0" encoding="utf-8"?>
<formControlPr xmlns="http://schemas.microsoft.com/office/spreadsheetml/2009/9/main" objectType="CheckBox" fmlaLink="$A$78" noThreeD="1"/>
</file>

<file path=xl/ctrlProps/ctrlProp32.xml><?xml version="1.0" encoding="utf-8"?>
<formControlPr xmlns="http://schemas.microsoft.com/office/spreadsheetml/2009/9/main" objectType="CheckBox" fmlaLink="$A$77" noThreeD="1"/>
</file>

<file path=xl/ctrlProps/ctrlProp33.xml><?xml version="1.0" encoding="utf-8"?>
<formControlPr xmlns="http://schemas.microsoft.com/office/spreadsheetml/2009/9/main" objectType="CheckBox" fmlaLink="$A$94" lockText="1" noThreeD="1"/>
</file>

<file path=xl/ctrlProps/ctrlProp34.xml><?xml version="1.0" encoding="utf-8"?>
<formControlPr xmlns="http://schemas.microsoft.com/office/spreadsheetml/2009/9/main" objectType="CheckBox" fmlaLink="$A$95" lockText="1" noThreeD="1"/>
</file>

<file path=xl/ctrlProps/ctrlProp35.xml><?xml version="1.0" encoding="utf-8"?>
<formControlPr xmlns="http://schemas.microsoft.com/office/spreadsheetml/2009/9/main" objectType="CheckBox" fmlaLink="#REF!" lockText="1" noThreeD="1"/>
</file>

<file path=xl/ctrlProps/ctrlProp36.xml><?xml version="1.0" encoding="utf-8"?>
<formControlPr xmlns="http://schemas.microsoft.com/office/spreadsheetml/2009/9/main" objectType="CheckBox" fmlaLink="$A$97" lockText="1" noThreeD="1"/>
</file>

<file path=xl/ctrlProps/ctrlProp37.xml><?xml version="1.0" encoding="utf-8"?>
<formControlPr xmlns="http://schemas.microsoft.com/office/spreadsheetml/2009/9/main" objectType="CheckBox" fmlaLink="$A$96" lockText="1" noThreeD="1"/>
</file>

<file path=xl/ctrlProps/ctrlProp38.xml><?xml version="1.0" encoding="utf-8"?>
<formControlPr xmlns="http://schemas.microsoft.com/office/spreadsheetml/2009/9/main" objectType="CheckBox" fmlaLink="#REF!" lockText="1" noThreeD="1"/>
</file>

<file path=xl/ctrlProps/ctrlProp39.xml><?xml version="1.0" encoding="utf-8"?>
<formControlPr xmlns="http://schemas.microsoft.com/office/spreadsheetml/2009/9/main" objectType="CheckBox" fmlaLink="$A$93" lockText="1" noThreeD="1"/>
</file>

<file path=xl/ctrlProps/ctrlProp40.xml><?xml version="1.0" encoding="utf-8"?>
<formControlPr xmlns="http://schemas.microsoft.com/office/spreadsheetml/2009/9/main" objectType="CheckBox" fmlaLink="$A113" lockText="1" noThreeD="1"/>
</file>

<file path=xl/ctrlProps/ctrlProp41.xml><?xml version="1.0" encoding="utf-8"?>
<formControlPr xmlns="http://schemas.microsoft.com/office/spreadsheetml/2009/9/main" objectType="CheckBox" fmlaLink="$A$115" lockText="1" noThreeD="1"/>
</file>

<file path=xl/ctrlProps/ctrlProp42.xml><?xml version="1.0" encoding="utf-8"?>
<formControlPr xmlns="http://schemas.microsoft.com/office/spreadsheetml/2009/9/main" objectType="CheckBox" fmlaLink="$A$118" lockText="1" noThreeD="1"/>
</file>

<file path=xl/ctrlProps/ctrlProp43.xml><?xml version="1.0" encoding="utf-8"?>
<formControlPr xmlns="http://schemas.microsoft.com/office/spreadsheetml/2009/9/main" objectType="CheckBox" fmlaLink="$A$119" lockText="1" noThreeD="1"/>
</file>

<file path=xl/ctrlProps/ctrlProp44.xml><?xml version="1.0" encoding="utf-8"?>
<formControlPr xmlns="http://schemas.microsoft.com/office/spreadsheetml/2009/9/main" objectType="CheckBox" fmlaLink="$A$120" lockText="1" noThreeD="1"/>
</file>

<file path=xl/ctrlProps/ctrlProp45.xml><?xml version="1.0" encoding="utf-8"?>
<formControlPr xmlns="http://schemas.microsoft.com/office/spreadsheetml/2009/9/main" objectType="CheckBox" fmlaLink="$A$121" lockText="1" noThreeD="1"/>
</file>

<file path=xl/ctrlProps/ctrlProp46.xml><?xml version="1.0" encoding="utf-8"?>
<formControlPr xmlns="http://schemas.microsoft.com/office/spreadsheetml/2009/9/main" objectType="CheckBox" fmlaLink="$A$122" lockText="1" noThreeD="1"/>
</file>

<file path=xl/ctrlProps/ctrlProp47.xml><?xml version="1.0" encoding="utf-8"?>
<formControlPr xmlns="http://schemas.microsoft.com/office/spreadsheetml/2009/9/main" objectType="CheckBox" fmlaLink="$A$123" lockText="1" noThreeD="1"/>
</file>

<file path=xl/ctrlProps/ctrlProp48.xml><?xml version="1.0" encoding="utf-8"?>
<formControlPr xmlns="http://schemas.microsoft.com/office/spreadsheetml/2009/9/main" objectType="CheckBox" fmlaLink="#REF!" lockText="1" noThreeD="1"/>
</file>

<file path=xl/ctrlProps/ctrlProp49.xml><?xml version="1.0" encoding="utf-8"?>
<formControlPr xmlns="http://schemas.microsoft.com/office/spreadsheetml/2009/9/main" objectType="CheckBox" fmlaLink="$A$124" lockText="1" noThreeD="1"/>
</file>

<file path=xl/ctrlProps/ctrlProp50.xml><?xml version="1.0" encoding="utf-8"?>
<formControlPr xmlns="http://schemas.microsoft.com/office/spreadsheetml/2009/9/main" objectType="CheckBox" fmlaLink="$A$130" lockText="1" noThreeD="1"/>
</file>

<file path=xl/ctrlProps/ctrlProp51.xml><?xml version="1.0" encoding="utf-8"?>
<formControlPr xmlns="http://schemas.microsoft.com/office/spreadsheetml/2009/9/main" objectType="CheckBox" fmlaLink="$A$132" lockText="1" noThreeD="1"/>
</file>

<file path=xl/ctrlProps/ctrlProp52.xml><?xml version="1.0" encoding="utf-8"?>
<formControlPr xmlns="http://schemas.microsoft.com/office/spreadsheetml/2009/9/main" objectType="CheckBox" fmlaLink="$A134" lockText="1" noThreeD="1"/>
</file>

<file path=xl/ctrlProps/ctrlProp53.xml><?xml version="1.0" encoding="utf-8"?>
<formControlPr xmlns="http://schemas.microsoft.com/office/spreadsheetml/2009/9/main" objectType="CheckBox" fmlaLink="$A$152" lockText="1" noThreeD="1"/>
</file>

<file path=xl/ctrlProps/ctrlProp54.xml><?xml version="1.0" encoding="utf-8"?>
<formControlPr xmlns="http://schemas.microsoft.com/office/spreadsheetml/2009/9/main" objectType="CheckBox" fmlaLink="$A$112" lockText="1" noThreeD="1"/>
</file>

<file path=xl/ctrlProps/ctrlProp55.xml><?xml version="1.0" encoding="utf-8"?>
<formControlPr xmlns="http://schemas.microsoft.com/office/spreadsheetml/2009/9/main" objectType="CheckBox" fmlaLink="$A$135" lockText="1" noThreeD="1"/>
</file>

<file path=xl/ctrlProps/ctrlProp56.xml><?xml version="1.0" encoding="utf-8"?>
<formControlPr xmlns="http://schemas.microsoft.com/office/spreadsheetml/2009/9/main" objectType="CheckBox" fmlaLink="$A$147" lockText="1" noThreeD="1"/>
</file>

<file path=xl/ctrlProps/ctrlProp57.xml><?xml version="1.0" encoding="utf-8"?>
<formControlPr xmlns="http://schemas.microsoft.com/office/spreadsheetml/2009/9/main" objectType="CheckBox" fmlaLink="$A$148" lockText="1" noThreeD="1"/>
</file>

<file path=xl/ctrlProps/ctrlProp58.xml><?xml version="1.0" encoding="utf-8"?>
<formControlPr xmlns="http://schemas.microsoft.com/office/spreadsheetml/2009/9/main" objectType="CheckBox" fmlaLink="$A$156" lockText="1" noThreeD="1"/>
</file>

<file path=xl/ctrlProps/ctrlProp59.xml><?xml version="1.0" encoding="utf-8"?>
<formControlPr xmlns="http://schemas.microsoft.com/office/spreadsheetml/2009/9/main" objectType="CheckBox" fmlaLink="$A158" lockText="1" noThreeD="1"/>
</file>

<file path=xl/ctrlProps/ctrlProp60.xml><?xml version="1.0" encoding="utf-8"?>
<formControlPr xmlns="http://schemas.microsoft.com/office/spreadsheetml/2009/9/main" objectType="CheckBox" fmlaLink="$A159" lockText="1" noThreeD="1"/>
</file>

<file path=xl/ctrlProps/ctrlProp61.xml><?xml version="1.0" encoding="utf-8"?>
<formControlPr xmlns="http://schemas.microsoft.com/office/spreadsheetml/2009/9/main" objectType="CheckBox" fmlaLink="$A162" lockText="1" noThreeD="1"/>
</file>

<file path=xl/ctrlProps/ctrlProp62.xml><?xml version="1.0" encoding="utf-8"?>
<formControlPr xmlns="http://schemas.microsoft.com/office/spreadsheetml/2009/9/main" objectType="CheckBox" fmlaLink="$A$163" lockText="1" noThreeD="1"/>
</file>

<file path=xl/ctrlProps/ctrlProp63.xml><?xml version="1.0" encoding="utf-8"?>
<formControlPr xmlns="http://schemas.microsoft.com/office/spreadsheetml/2009/9/main" objectType="CheckBox" checked="Checked" fmlaLink="$A168" lockText="1" noThreeD="1"/>
</file>

<file path=xl/ctrlProps/ctrlProp64.xml><?xml version="1.0" encoding="utf-8"?>
<formControlPr xmlns="http://schemas.microsoft.com/office/spreadsheetml/2009/9/main" objectType="CheckBox" checked="Checked" fmlaLink="$A169" lockText="1" noThreeD="1"/>
</file>

<file path=xl/ctrlProps/ctrlProp65.xml><?xml version="1.0" encoding="utf-8"?>
<formControlPr xmlns="http://schemas.microsoft.com/office/spreadsheetml/2009/9/main" objectType="CheckBox" checked="Checked" fmlaLink="$A170" lockText="1" noThreeD="1"/>
</file>

<file path=xl/ctrlProps/ctrlProp66.xml><?xml version="1.0" encoding="utf-8"?>
<formControlPr xmlns="http://schemas.microsoft.com/office/spreadsheetml/2009/9/main" objectType="CheckBox" checked="Checked" fmlaLink="$A171" lockText="1" noThreeD="1"/>
</file>

<file path=xl/ctrlProps/ctrlProp67.xml><?xml version="1.0" encoding="utf-8"?>
<formControlPr xmlns="http://schemas.microsoft.com/office/spreadsheetml/2009/9/main" objectType="CheckBox" checked="Checked" fmlaLink="$A172" lockText="1" noThreeD="1"/>
</file>

<file path=xl/ctrlProps/ctrlProp68.xml><?xml version="1.0" encoding="utf-8"?>
<formControlPr xmlns="http://schemas.microsoft.com/office/spreadsheetml/2009/9/main" objectType="CheckBox" checked="Checked" fmlaLink="A$173" lockText="1" noThreeD="1"/>
</file>

<file path=xl/ctrlProps/ctrlProp69.xml><?xml version="1.0" encoding="utf-8"?>
<formControlPr xmlns="http://schemas.microsoft.com/office/spreadsheetml/2009/9/main" objectType="CheckBox" checked="Checked" fmlaLink="$A$174" lockText="1" noThreeD="1"/>
</file>

<file path=xl/ctrlProps/ctrlProp70.xml><?xml version="1.0" encoding="utf-8"?>
<formControlPr xmlns="http://schemas.microsoft.com/office/spreadsheetml/2009/9/main" objectType="CheckBox" checked="Checked" fmlaLink="A$175" lockText="1" noThreeD="1"/>
</file>

<file path=xl/ctrlProps/ctrlProp71.xml><?xml version="1.0" encoding="utf-8"?>
<formControlPr xmlns="http://schemas.microsoft.com/office/spreadsheetml/2009/9/main" objectType="CheckBox" fmlaLink="$A$141" lockText="1" noThreeD="1"/>
</file>

<file path=xl/ctrlProps/ctrlProp72.xml><?xml version="1.0" encoding="utf-8"?>
<formControlPr xmlns="http://schemas.microsoft.com/office/spreadsheetml/2009/9/main" objectType="CheckBox" fmlaLink="$A$142" lockText="1" noThreeD="1"/>
</file>

<file path=xl/ctrlProps/ctrlProp73.xml><?xml version="1.0" encoding="utf-8"?>
<formControlPr xmlns="http://schemas.microsoft.com/office/spreadsheetml/2009/9/main" objectType="CheckBox" fmlaLink="#REF!" lockText="1" noThreeD="1"/>
</file>

<file path=xl/ctrlProps/ctrlProp74.xml><?xml version="1.0" encoding="utf-8"?>
<formControlPr xmlns="http://schemas.microsoft.com/office/spreadsheetml/2009/9/main" objectType="CheckBox" fmlaLink="$A$145" lockText="1" noThreeD="1"/>
</file>

<file path=xl/ctrlProps/ctrlProp75.xml><?xml version="1.0" encoding="utf-8"?>
<formControlPr xmlns="http://schemas.microsoft.com/office/spreadsheetml/2009/9/main" objectType="CheckBox" fmlaLink="$A$102" noThreeD="1"/>
</file>

<file path=xl/ctrlProps/ctrlProp76.xml><?xml version="1.0" encoding="utf-8"?>
<formControlPr xmlns="http://schemas.microsoft.com/office/spreadsheetml/2009/9/main" objectType="CheckBox" fmlaLink="$A$144" lockText="1" noThreeD="1"/>
</file>

<file path=xl/ctrlProps/ctrlProp77.xml><?xml version="1.0" encoding="utf-8"?>
<formControlPr xmlns="http://schemas.microsoft.com/office/spreadsheetml/2009/9/main" objectType="CheckBox" fmlaLink="$A108" lockText="1" noThreeD="1"/>
</file>

<file path=xl/ctrlProps/ctrlProp78.xml><?xml version="1.0" encoding="utf-8"?>
<formControlPr xmlns="http://schemas.microsoft.com/office/spreadsheetml/2009/9/main" objectType="CheckBox" fmlaLink="$A164" lockText="1" noThreeD="1"/>
</file>

<file path=xl/ctrlProps/ctrlProp79.xml><?xml version="1.0" encoding="utf-8"?>
<formControlPr xmlns="http://schemas.microsoft.com/office/spreadsheetml/2009/9/main" objectType="CheckBox" fmlaLink="$A165" lockText="1" noThreeD="1"/>
</file>

<file path=xl/ctrlProps/ctrlProp80.xml><?xml version="1.0" encoding="utf-8"?>
<formControlPr xmlns="http://schemas.microsoft.com/office/spreadsheetml/2009/9/main" objectType="CheckBox" fmlaLink="#REF!" lockText="1" noThreeD="1"/>
</file>

<file path=xl/ctrlProps/ctrlProp81.xml><?xml version="1.0" encoding="utf-8"?>
<formControlPr xmlns="http://schemas.microsoft.com/office/spreadsheetml/2009/9/main" objectType="CheckBox" fmlaLink="$A$146" lockText="1" noThreeD="1"/>
</file>

<file path=xl/ctrlProps/ctrlProp82.xml><?xml version="1.0" encoding="utf-8"?>
<formControlPr xmlns="http://schemas.microsoft.com/office/spreadsheetml/2009/9/main" objectType="CheckBox" fmlaLink="#REF!" lockText="1" noThreeD="1"/>
</file>

<file path=xl/ctrlProps/ctrlProp83.xml><?xml version="1.0" encoding="utf-8"?>
<formControlPr xmlns="http://schemas.microsoft.com/office/spreadsheetml/2009/9/main" objectType="CheckBox" fmlaLink="#REF!" lockText="1" noThreeD="1"/>
</file>

<file path=xl/ctrlProps/ctrlProp84.xml><?xml version="1.0" encoding="utf-8"?>
<formControlPr xmlns="http://schemas.microsoft.com/office/spreadsheetml/2009/9/main" objectType="CheckBox" fmlaLink="#REF!" lockText="1" noThreeD="1"/>
</file>

<file path=xl/ctrlProps/ctrlProp85.xml><?xml version="1.0" encoding="utf-8"?>
<formControlPr xmlns="http://schemas.microsoft.com/office/spreadsheetml/2009/9/main" objectType="CheckBox" fmlaLink="#REF!" lockText="1" noThreeD="1"/>
</file>

<file path=xl/ctrlProps/ctrlProp86.xml><?xml version="1.0" encoding="utf-8"?>
<formControlPr xmlns="http://schemas.microsoft.com/office/spreadsheetml/2009/9/main" objectType="CheckBox" fmlaLink="$A$72" lockText="1" noThreeD="1"/>
</file>

<file path=xl/ctrlProps/ctrlProp87.xml><?xml version="1.0" encoding="utf-8"?>
<formControlPr xmlns="http://schemas.microsoft.com/office/spreadsheetml/2009/9/main" objectType="CheckBox" fmlaLink="$A$73" lockText="1" noThreeD="1"/>
</file>

<file path=xl/ctrlProps/ctrlProp88.xml><?xml version="1.0" encoding="utf-8"?>
<formControlPr xmlns="http://schemas.microsoft.com/office/spreadsheetml/2009/9/main" objectType="CheckBox" fmlaLink="$A$100" lockText="1" noThreeD="1"/>
</file>

<file path=xl/ctrlProps/ctrlProp89.xml><?xml version="1.0" encoding="utf-8"?>
<formControlPr xmlns="http://schemas.microsoft.com/office/spreadsheetml/2009/9/main" objectType="CheckBox" fmlaLink="#REF!" lockText="1" noThreeD="1"/>
</file>

<file path=xl/ctrlProps/ctrlProp90.xml><?xml version="1.0" encoding="utf-8"?>
<formControlPr xmlns="http://schemas.microsoft.com/office/spreadsheetml/2009/9/main" objectType="CheckBox" fmlaLink="$A$90" lockText="1" noThreeD="1"/>
</file>

<file path=xl/ctrlProps/ctrlProp91.xml><?xml version="1.0" encoding="utf-8"?>
<formControlPr xmlns="http://schemas.microsoft.com/office/spreadsheetml/2009/9/main" objectType="CheckBox" fmlaLink="$A$36" lockText="1" noThreeD="1"/>
</file>

<file path=xl/ctrlProps/ctrlProp92.xml><?xml version="1.0" encoding="utf-8"?>
<formControlPr xmlns="http://schemas.microsoft.com/office/spreadsheetml/2009/9/main" objectType="CheckBox" fmlaLink="$A$56" lockText="1" noThreeD="1"/>
</file>

<file path=xl/ctrlProps/ctrlProp93.xml><?xml version="1.0" encoding="utf-8"?>
<formControlPr xmlns="http://schemas.microsoft.com/office/spreadsheetml/2009/9/main" objectType="CheckBox" fmlaLink="$A$57" lockText="1" noThreeD="1"/>
</file>

<file path=xl/ctrlProps/ctrlProp94.xml><?xml version="1.0" encoding="utf-8"?>
<formControlPr xmlns="http://schemas.microsoft.com/office/spreadsheetml/2009/9/main" objectType="CheckBox" fmlaLink="$A$58" lockText="1" noThreeD="1"/>
</file>

<file path=xl/ctrlProps/ctrlProp95.xml><?xml version="1.0" encoding="utf-8"?>
<formControlPr xmlns="http://schemas.microsoft.com/office/spreadsheetml/2009/9/main" objectType="CheckBox" fmlaLink="$A$60" lockText="1" noThreeD="1"/>
</file>

<file path=xl/ctrlProps/ctrlProp96.xml><?xml version="1.0" encoding="utf-8"?>
<formControlPr xmlns="http://schemas.microsoft.com/office/spreadsheetml/2009/9/main" objectType="CheckBox" fmlaLink="$A$51" lockText="1" noThreeD="1"/>
</file>

<file path=xl/ctrlProps/ctrlProp97.xml><?xml version="1.0" encoding="utf-8"?>
<formControlPr xmlns="http://schemas.microsoft.com/office/spreadsheetml/2009/9/main" objectType="CheckBox" fmlaLink="$A$104" lockText="1" noThreeD="1"/>
</file>

<file path=xl/ctrlProps/ctrlProp98.xml><?xml version="1.0" encoding="utf-8"?>
<formControlPr xmlns="http://schemas.microsoft.com/office/spreadsheetml/2009/9/main" objectType="CheckBox" fmlaLink="$A$46" lockText="1" noThreeD="1"/>
</file>

<file path=xl/ctrlProps/ctrlProp99.xml><?xml version="1.0" encoding="utf-8"?>
<formControlPr xmlns="http://schemas.microsoft.com/office/spreadsheetml/2009/9/main" objectType="CheckBox" fmlaLink="$A$47" lockText="1" noThreeD="1"/>
</file>

<file path=xl/ctrlProps/ctrlProp100.xml><?xml version="1.0" encoding="utf-8"?>
<formControlPr xmlns="http://schemas.microsoft.com/office/spreadsheetml/2009/9/main" objectType="CheckBox" fmlaLink="$A$116" lockText="1" noThreeD="1"/>
</file>

<file path=xl/ctrlProps/ctrlProp101.xml><?xml version="1.0" encoding="utf-8"?>
<formControlPr xmlns="http://schemas.microsoft.com/office/spreadsheetml/2009/9/main" objectType="CheckBox" fmlaLink="$A$128" lockText="1" noThreeD="1"/>
</file>

<file path=xl/ctrlProps/ctrlProp102.xml><?xml version="1.0" encoding="utf-8"?>
<formControlPr xmlns="http://schemas.microsoft.com/office/spreadsheetml/2009/9/main" objectType="CheckBox" fmlaLink="$A$129" lockText="1" noThreeD="1"/>
</file>

<file path=xl/ctrlProps/ctrlProp103.xml><?xml version="1.0" encoding="utf-8"?>
<formControlPr xmlns="http://schemas.microsoft.com/office/spreadsheetml/2009/9/main" objectType="CheckBox" fmlaLink="#REF!" lockText="1" noThreeD="1"/>
</file>

<file path=xl/ctrlProps/ctrlProp104.xml><?xml version="1.0" encoding="utf-8"?>
<formControlPr xmlns="http://schemas.microsoft.com/office/spreadsheetml/2009/9/main" objectType="CheckBox" fmlaLink="$A$151" lockText="1" noThreeD="1"/>
</file>

<file path=xl/ctrlProps/ctrlProp105.xml><?xml version="1.0" encoding="utf-8"?>
<formControlPr xmlns="http://schemas.microsoft.com/office/spreadsheetml/2009/9/main" objectType="CheckBox" fmlaLink="$A$136" lockText="1" noThreeD="1"/>
</file>

<file path=xl/ctrlProps/ctrlProp106.xml><?xml version="1.0" encoding="utf-8"?>
<formControlPr xmlns="http://schemas.microsoft.com/office/spreadsheetml/2009/9/main" objectType="CheckBox" fmlaLink="$A$137" lockText="1" noThreeD="1"/>
</file>

<file path=xl/ctrlProps/ctrlProp107.xml><?xml version="1.0" encoding="utf-8"?>
<formControlPr xmlns="http://schemas.microsoft.com/office/spreadsheetml/2009/9/main" objectType="CheckBox" fmlaLink="$A$138" lockText="1" noThreeD="1"/>
</file>

<file path=xl/ctrlProps/ctrlProp108.xml><?xml version="1.0" encoding="utf-8"?>
<formControlPr xmlns="http://schemas.microsoft.com/office/spreadsheetml/2009/9/main" objectType="CheckBox" fmlaLink="$A$153" lockText="1" noThreeD="1"/>
</file>

<file path=xl/ctrlProps/ctrlProp109.xml><?xml version="1.0" encoding="utf-8"?>
<formControlPr xmlns="http://schemas.microsoft.com/office/spreadsheetml/2009/9/main" objectType="CheckBox" fmlaLink="$A$140" lockText="1" noThreeD="1"/>
</file>

<file path=xl/ctrlProps/ctrlProp110.xml><?xml version="1.0" encoding="utf-8"?>
<formControlPr xmlns="http://schemas.microsoft.com/office/spreadsheetml/2009/9/main" objectType="CheckBox" fmlaLink="$A$69" lockText="1" noThreeD="1"/>
</file>

<file path=xl/ctrlProps/ctrlProp111.xml><?xml version="1.0" encoding="utf-8"?>
<formControlPr xmlns="http://schemas.microsoft.com/office/spreadsheetml/2009/9/main" objectType="CheckBox" fmlaLink="$A$68" lockText="1" noThreeD="1"/>
</file>

<file path=xl/ctrlProps/ctrlProp112.xml><?xml version="1.0" encoding="utf-8"?>
<formControlPr xmlns="http://schemas.microsoft.com/office/spreadsheetml/2009/9/main" objectType="CheckBox" fmlaLink="$A$67" lockText="1" noThreeD="1"/>
</file>

<file path=xl/ctrlProps/ctrlProp113.xml><?xml version="1.0" encoding="utf-8"?>
<formControlPr xmlns="http://schemas.microsoft.com/office/spreadsheetml/2009/9/main" objectType="CheckBox" fmlaLink="$A$160" lockText="1" noThreeD="1"/>
</file>

<file path=xl/ctrlProps/ctrlProp114.xml><?xml version="1.0" encoding="utf-8"?>
<formControlPr xmlns="http://schemas.microsoft.com/office/spreadsheetml/2009/9/main" objectType="CheckBox" fmlaLink="$A$154" lockText="1" noThreeD="1"/>
</file>

<file path=xl/ctrlProps/ctrlProp115.xml><?xml version="1.0" encoding="utf-8"?>
<formControlPr xmlns="http://schemas.microsoft.com/office/spreadsheetml/2009/9/main" objectType="CheckBox" fmlaLink="$A$35" lockText="1" noThreeD="1"/>
</file>

<file path=xl/ctrlProps/ctrlProp116.xml><?xml version="1.0" encoding="utf-8"?>
<formControlPr xmlns="http://schemas.microsoft.com/office/spreadsheetml/2009/9/main" objectType="CheckBox" fmlaLink="$A$117" lockText="1" noThreeD="1"/>
</file>

<file path=xl/ctrlProps/ctrlProp117.xml><?xml version="1.0" encoding="utf-8"?>
<formControlPr xmlns="http://schemas.microsoft.com/office/spreadsheetml/2009/9/main" objectType="CheckBox" fmlaLink="$A$74" noThreeD="1"/>
</file>

<file path=xl/ctrlProps/ctrlProp118.xml><?xml version="1.0" encoding="utf-8"?>
<formControlPr xmlns="http://schemas.microsoft.com/office/spreadsheetml/2009/9/main" objectType="CheckBox" fmlaLink="$A$101" lockText="1" noThreeD="1"/>
</file>

<file path=xl/ctrlProps/ctrlProp119.xml><?xml version="1.0" encoding="utf-8"?>
<formControlPr xmlns="http://schemas.microsoft.com/office/spreadsheetml/2009/9/main" objectType="CheckBox" fmlaLink="$A$139" lockText="1" noThreeD="1"/>
</file>

<file path=xl/ctrlProps/ctrlProp120.xml><?xml version="1.0" encoding="utf-8"?>
<formControlPr xmlns="http://schemas.microsoft.com/office/spreadsheetml/2009/9/main" objectType="CheckBox" fmlaLink="$A$157"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fmlaLink="$A$18" lockText="1" noThreeD="1"/>
</file>

<file path=xl/ctrlProps/ctrlProp123.xml><?xml version="1.0" encoding="utf-8"?>
<formControlPr xmlns="http://schemas.microsoft.com/office/spreadsheetml/2009/9/main" objectType="CheckBox" fmlaLink="$A$19" lockText="1" noThreeD="1"/>
</file>

<file path=xl/ctrlProps/ctrlProp124.xml><?xml version="1.0" encoding="utf-8"?>
<formControlPr xmlns="http://schemas.microsoft.com/office/spreadsheetml/2009/9/main" objectType="CheckBox" fmlaLink="$A$69" lockText="1" noThreeD="1"/>
</file>

<file path=xl/ctrlProps/ctrlProp125.xml><?xml version="1.0" encoding="utf-8"?>
<formControlPr xmlns="http://schemas.microsoft.com/office/spreadsheetml/2009/9/main" objectType="CheckBox" fmlaLink="$A$64" lockText="1" noThreeD="1"/>
</file>

<file path=xl/ctrlProps/ctrlProp126.xml><?xml version="1.0" encoding="utf-8"?>
<formControlPr xmlns="http://schemas.microsoft.com/office/spreadsheetml/2009/9/main" objectType="CheckBox" fmlaLink="$A$25" noThreeD="1"/>
</file>

<file path=xl/ctrlProps/ctrlProp127.xml><?xml version="1.0" encoding="utf-8"?>
<formControlPr xmlns="http://schemas.microsoft.com/office/spreadsheetml/2009/9/main" objectType="CheckBox" fmlaLink="$A$27" lockText="1" noThreeD="1"/>
</file>

<file path=xl/ctrlProps/ctrlProp128.xml><?xml version="1.0" encoding="utf-8"?>
<formControlPr xmlns="http://schemas.microsoft.com/office/spreadsheetml/2009/9/main" objectType="CheckBox" fmlaLink="$A$94" lockText="1" noThreeD="1"/>
</file>

<file path=xl/ctrlProps/ctrlProp129.xml><?xml version="1.0" encoding="utf-8"?>
<formControlPr xmlns="http://schemas.microsoft.com/office/spreadsheetml/2009/9/main" objectType="CheckBox" fmlaLink="$A$57" noThreeD="1"/>
</file>

<file path=xl/ctrlProps/ctrlProp130.xml><?xml version="1.0" encoding="utf-8"?>
<formControlPr xmlns="http://schemas.microsoft.com/office/spreadsheetml/2009/9/main" objectType="CheckBox" fmlaLink="$A$40" noThreeD="1"/>
</file>

<file path=xl/ctrlProps/ctrlProp131.xml><?xml version="1.0" encoding="utf-8"?>
<formControlPr xmlns="http://schemas.microsoft.com/office/spreadsheetml/2009/9/main" objectType="CheckBox" fmlaLink="$A$76" noThreeD="1"/>
</file>

<file path=xl/ctrlProps/ctrlProp132.xml><?xml version="1.0" encoding="utf-8"?>
<formControlPr xmlns="http://schemas.microsoft.com/office/spreadsheetml/2009/9/main" objectType="CheckBox" fmlaLink="$A$32" lockText="1" noThreeD="1"/>
</file>

<file path=xl/ctrlProps/ctrlProp133.xml><?xml version="1.0" encoding="utf-8"?>
<formControlPr xmlns="http://schemas.microsoft.com/office/spreadsheetml/2009/9/main" objectType="CheckBox" fmlaLink="$A$46" lockText="1" noThreeD="1"/>
</file>

<file path=xl/ctrlProps/ctrlProp134.xml><?xml version="1.0" encoding="utf-8"?>
<formControlPr xmlns="http://schemas.microsoft.com/office/spreadsheetml/2009/9/main" objectType="CheckBox" fmlaLink="$A$71" lockText="1" noThreeD="1"/>
</file>

<file path=xl/ctrlProps/ctrlProp135.xml><?xml version="1.0" encoding="utf-8"?>
<formControlPr xmlns="http://schemas.microsoft.com/office/spreadsheetml/2009/9/main" objectType="CheckBox" fmlaLink="$A$103" lockText="1" noThreeD="1"/>
</file>

<file path=xl/ctrlProps/ctrlProp136.xml><?xml version="1.0" encoding="utf-8"?>
<formControlPr xmlns="http://schemas.microsoft.com/office/spreadsheetml/2009/9/main" objectType="CheckBox" fmlaLink="$A$108" lockText="1" noThreeD="1"/>
</file>

<file path=xl/ctrlProps/ctrlProp137.xml><?xml version="1.0" encoding="utf-8"?>
<formControlPr xmlns="http://schemas.microsoft.com/office/spreadsheetml/2009/9/main" objectType="CheckBox" fmlaLink="$A$104" lockText="1" noThreeD="1"/>
</file>

<file path=xl/ctrlProps/ctrlProp138.xml><?xml version="1.0" encoding="utf-8"?>
<formControlPr xmlns="http://schemas.microsoft.com/office/spreadsheetml/2009/9/main" objectType="CheckBox" fmlaLink="$A$109" lockText="1" noThreeD="1"/>
</file>

<file path=xl/ctrlProps/ctrlProp139.xml><?xml version="1.0" encoding="utf-8"?>
<formControlPr xmlns="http://schemas.microsoft.com/office/spreadsheetml/2009/9/main" objectType="CheckBox" fmlaLink="$A$110" lockText="1" noThreeD="1"/>
</file>

<file path=xl/ctrlProps/ctrlProp140.xml><?xml version="1.0" encoding="utf-8"?>
<formControlPr xmlns="http://schemas.microsoft.com/office/spreadsheetml/2009/9/main" objectType="CheckBox" fmlaLink="$A$107" lockText="1" noThreeD="1"/>
</file>

<file path=xl/ctrlProps/ctrlProp141.xml><?xml version="1.0" encoding="utf-8"?>
<formControlPr xmlns="http://schemas.microsoft.com/office/spreadsheetml/2009/9/main" objectType="CheckBox" fmlaLink="$A$114" lockText="1" noThreeD="1"/>
</file>

<file path=xl/ctrlProps/ctrlProp142.xml><?xml version="1.0" encoding="utf-8"?>
<formControlPr xmlns="http://schemas.microsoft.com/office/spreadsheetml/2009/9/main" objectType="CheckBox" fmlaLink="$A$117" lockText="1" noThreeD="1"/>
</file>

<file path=xl/ctrlProps/ctrlProp143.xml><?xml version="1.0" encoding="utf-8"?>
<formControlPr xmlns="http://schemas.microsoft.com/office/spreadsheetml/2009/9/main" objectType="CheckBox" fmlaLink="$A$118" lockText="1" noThreeD="1"/>
</file>

<file path=xl/ctrlProps/ctrlProp144.xml><?xml version="1.0" encoding="utf-8"?>
<formControlPr xmlns="http://schemas.microsoft.com/office/spreadsheetml/2009/9/main" objectType="CheckBox" fmlaLink="$A$119" lockText="1" noThreeD="1"/>
</file>

<file path=xl/ctrlProps/ctrlProp145.xml><?xml version="1.0" encoding="utf-8"?>
<formControlPr xmlns="http://schemas.microsoft.com/office/spreadsheetml/2009/9/main" objectType="CheckBox" fmlaLink="$A$121" lockText="1" noThreeD="1"/>
</file>

<file path=xl/ctrlProps/ctrlProp146.xml><?xml version="1.0" encoding="utf-8"?>
<formControlPr xmlns="http://schemas.microsoft.com/office/spreadsheetml/2009/9/main" objectType="CheckBox" fmlaLink="$A$93" lockText="1" noThreeD="1"/>
</file>

<file path=xl/ctrlProps/ctrlProp147.xml><?xml version="1.0" encoding="utf-8"?>
<formControlPr xmlns="http://schemas.microsoft.com/office/spreadsheetml/2009/9/main" objectType="CheckBox" fmlaLink="$A$54" lockText="1" noThreeD="1"/>
</file>

<file path=xl/ctrlProps/ctrlProp148.xml><?xml version="1.0" encoding="utf-8"?>
<formControlPr xmlns="http://schemas.microsoft.com/office/spreadsheetml/2009/9/main" objectType="CheckBox" fmlaLink="$A$82" noThreeD="1"/>
</file>

<file path=xl/ctrlProps/ctrlProp149.xml><?xml version="1.0" encoding="utf-8"?>
<formControlPr xmlns="http://schemas.microsoft.com/office/spreadsheetml/2009/9/main" objectType="CheckBox" fmlaLink="$A$72" noThreeD="1"/>
</file>

<file path=xl/ctrlProps/ctrlProp150.xml><?xml version="1.0" encoding="utf-8"?>
<formControlPr xmlns="http://schemas.microsoft.com/office/spreadsheetml/2009/9/main" objectType="CheckBox" fmlaLink="$A$83" noThreeD="1"/>
</file>

<file path=xl/ctrlProps/ctrlProp151.xml><?xml version="1.0" encoding="utf-8"?>
<formControlPr xmlns="http://schemas.microsoft.com/office/spreadsheetml/2009/9/main" objectType="CheckBox" fmlaLink="$A$84" noThreeD="1"/>
</file>

<file path=xl/ctrlProps/ctrlProp152.xml><?xml version="1.0" encoding="utf-8"?>
<formControlPr xmlns="http://schemas.microsoft.com/office/spreadsheetml/2009/9/main" objectType="CheckBox" fmlaLink="$A$85" noThreeD="1"/>
</file>

<file path=xl/ctrlProps/ctrlProp153.xml><?xml version="1.0" encoding="utf-8"?>
<formControlPr xmlns="http://schemas.microsoft.com/office/spreadsheetml/2009/9/main" objectType="CheckBox" fmlaLink="$A$112" lockText="1" noThreeD="1"/>
</file>

<file path=xl/ctrlProps/ctrlProp154.xml><?xml version="1.0" encoding="utf-8"?>
<formControlPr xmlns="http://schemas.microsoft.com/office/spreadsheetml/2009/9/main" objectType="CheckBox" fmlaLink="$A$113" lockText="1" noThreeD="1"/>
</file>

<file path=xl/ctrlProps/ctrlProp155.xml><?xml version="1.0" encoding="utf-8"?>
<formControlPr xmlns="http://schemas.microsoft.com/office/spreadsheetml/2009/9/main" objectType="CheckBox" fmlaLink="$A$126" lockText="1" noThreeD="1"/>
</file>

<file path=xl/ctrlProps/ctrlProp156.xml><?xml version="1.0" encoding="utf-8"?>
<formControlPr xmlns="http://schemas.microsoft.com/office/spreadsheetml/2009/9/main" objectType="CheckBox" fmlaLink="$A$85" noThreeD="1"/>
</file>

<file path=xl/ctrlProps/ctrlProp157.xml><?xml version="1.0" encoding="utf-8"?>
<formControlPr xmlns="http://schemas.microsoft.com/office/spreadsheetml/2009/9/main" objectType="CheckBox" fmlaLink="$A$87" noThreeD="1"/>
</file>

<file path=xl/ctrlProps/ctrlProp158.xml><?xml version="1.0" encoding="utf-8"?>
<formControlPr xmlns="http://schemas.microsoft.com/office/spreadsheetml/2009/9/main" objectType="CheckBox" fmlaLink="$A$65" lockText="1" noThreeD="1"/>
</file>

<file path=xl/ctrlProps/ctrlProp159.xml><?xml version="1.0" encoding="utf-8"?>
<formControlPr xmlns="http://schemas.microsoft.com/office/spreadsheetml/2009/9/main" objectType="CheckBox" fmlaLink="$A$74" noThreeD="1"/>
</file>

<file path=xl/ctrlProps/ctrlProp160.xml><?xml version="1.0" encoding="utf-8"?>
<formControlPr xmlns="http://schemas.microsoft.com/office/spreadsheetml/2009/9/main" objectType="CheckBox" fmlaLink="$A$73" noThreeD="1"/>
</file>

<file path=xl/ctrlProps/ctrlProp161.xml><?xml version="1.0" encoding="utf-8"?>
<formControlPr xmlns="http://schemas.microsoft.com/office/spreadsheetml/2009/9/main" objectType="CheckBox" fmlaLink="$A$106" lockText="1" noThreeD="1"/>
</file>

<file path=xl/ctrlProps/ctrlProp162.xml><?xml version="1.0" encoding="utf-8"?>
<formControlPr xmlns="http://schemas.microsoft.com/office/spreadsheetml/2009/9/main" objectType="CheckBox" fmlaLink="$A$113" lockText="1" noThreeD="1"/>
</file>

<file path=xl/ctrlProps/ctrlProp163.xml><?xml version="1.0" encoding="utf-8"?>
<formControlPr xmlns="http://schemas.microsoft.com/office/spreadsheetml/2009/9/main" objectType="CheckBox" fmlaLink="$A$95" lockText="1" noThreeD="1"/>
</file>

<file path=xl/ctrlProps/ctrlProp164.xml><?xml version="1.0" encoding="utf-8"?>
<formControlPr xmlns="http://schemas.microsoft.com/office/spreadsheetml/2009/9/main" objectType="CheckBox" fmlaLink="$A$97" noThreeD="1"/>
</file>

<file path=xl/ctrlProps/ctrlProp165.xml><?xml version="1.0" encoding="utf-8"?>
<formControlPr xmlns="http://schemas.microsoft.com/office/spreadsheetml/2009/9/main" objectType="CheckBox" fmlaLink="$A$98" noThreeD="1"/>
</file>

<file path=xl/ctrlProps/ctrlProp166.xml><?xml version="1.0" encoding="utf-8"?>
<formControlPr xmlns="http://schemas.microsoft.com/office/spreadsheetml/2009/9/main" objectType="CheckBox" fmlaLink="$A145" lockText="1" noThreeD="1"/>
</file>

<file path=xl/ctrlProps/ctrlProp167.xml><?xml version="1.0" encoding="utf-8"?>
<formControlPr xmlns="http://schemas.microsoft.com/office/spreadsheetml/2009/9/main" objectType="CheckBox" fmlaLink="$A148" lockText="1" noThreeD="1"/>
</file>

<file path=xl/ctrlProps/ctrlProp168.xml><?xml version="1.0" encoding="utf-8"?>
<formControlPr xmlns="http://schemas.microsoft.com/office/spreadsheetml/2009/9/main" objectType="CheckBox" fmlaLink="$A149" lockText="1" noThreeD="1"/>
</file>

<file path=xl/ctrlProps/ctrlProp169.xml><?xml version="1.0" encoding="utf-8"?>
<formControlPr xmlns="http://schemas.microsoft.com/office/spreadsheetml/2009/9/main" objectType="CheckBox" fmlaLink="$A$150" lockText="1" noThreeD="1"/>
</file>

<file path=xl/ctrlProps/ctrlProp170.xml><?xml version="1.0" encoding="utf-8"?>
<formControlPr xmlns="http://schemas.microsoft.com/office/spreadsheetml/2009/9/main" objectType="CheckBox" fmlaLink="$A$151" lockText="1" noThreeD="1"/>
</file>

<file path=xl/ctrlProps/ctrlProp171.xml><?xml version="1.0" encoding="utf-8"?>
<formControlPr xmlns="http://schemas.microsoft.com/office/spreadsheetml/2009/9/main" objectType="CheckBox" fmlaLink="$A$152" lockText="1" noThreeD="1"/>
</file>

<file path=xl/ctrlProps/ctrlProp172.xml><?xml version="1.0" encoding="utf-8"?>
<formControlPr xmlns="http://schemas.microsoft.com/office/spreadsheetml/2009/9/main" objectType="CheckBox" fmlaLink="$A$153" lockText="1" noThreeD="1"/>
</file>

<file path=xl/ctrlProps/ctrlProp173.xml><?xml version="1.0" encoding="utf-8"?>
<formControlPr xmlns="http://schemas.microsoft.com/office/spreadsheetml/2009/9/main" objectType="CheckBox" fmlaLink="$A$154" lockText="1" noThreeD="1"/>
</file>

<file path=xl/ctrlProps/ctrlProp174.xml><?xml version="1.0" encoding="utf-8"?>
<formControlPr xmlns="http://schemas.microsoft.com/office/spreadsheetml/2009/9/main" objectType="CheckBox" fmlaLink="$A$155" lockText="1" noThreeD="1"/>
</file>

<file path=xl/ctrlProps/ctrlProp175.xml><?xml version="1.0" encoding="utf-8"?>
<formControlPr xmlns="http://schemas.microsoft.com/office/spreadsheetml/2009/9/main" objectType="CheckBox" fmlaLink="$A$156" lockText="1" noThreeD="1"/>
</file>

<file path=xl/ctrlProps/ctrlProp176.xml><?xml version="1.0" encoding="utf-8"?>
<formControlPr xmlns="http://schemas.microsoft.com/office/spreadsheetml/2009/9/main" objectType="CheckBox" fmlaLink="$A$159" lockText="1" noThreeD="1"/>
</file>

<file path=xl/ctrlProps/ctrlProp177.xml><?xml version="1.0" encoding="utf-8"?>
<formControlPr xmlns="http://schemas.microsoft.com/office/spreadsheetml/2009/9/main" objectType="CheckBox" fmlaLink="$A$160" lockText="1" noThreeD="1"/>
</file>

<file path=xl/ctrlProps/ctrlProp178.xml><?xml version="1.0" encoding="utf-8"?>
<formControlPr xmlns="http://schemas.microsoft.com/office/spreadsheetml/2009/9/main" objectType="CheckBox" fmlaLink="$A$161" lockText="1" noThreeD="1"/>
</file>

<file path=xl/ctrlProps/ctrlProp179.xml><?xml version="1.0" encoding="utf-8"?>
<formControlPr xmlns="http://schemas.microsoft.com/office/spreadsheetml/2009/9/main" objectType="CheckBox" fmlaLink="$A$162" lockText="1" noThreeD="1"/>
</file>

<file path=xl/ctrlProps/ctrlProp180.xml><?xml version="1.0" encoding="utf-8"?>
<formControlPr xmlns="http://schemas.microsoft.com/office/spreadsheetml/2009/9/main" objectType="CheckBox" fmlaLink="$A$163" lockText="1" noThreeD="1"/>
</file>

<file path=xl/ctrlProps/ctrlProp181.xml><?xml version="1.0" encoding="utf-8"?>
<formControlPr xmlns="http://schemas.microsoft.com/office/spreadsheetml/2009/9/main" objectType="CheckBox" fmlaLink="$A$164" lockText="1" noThreeD="1"/>
</file>

<file path=xl/ctrlProps/ctrlProp182.xml><?xml version="1.0" encoding="utf-8"?>
<formControlPr xmlns="http://schemas.microsoft.com/office/spreadsheetml/2009/9/main" objectType="CheckBox" fmlaLink="$A$165" lockText="1" noThreeD="1"/>
</file>

<file path=xl/ctrlProps/ctrlProp183.xml><?xml version="1.0" encoding="utf-8"?>
<formControlPr xmlns="http://schemas.microsoft.com/office/spreadsheetml/2009/9/main" objectType="CheckBox" fmlaLink="$A$166" lockText="1" noThreeD="1"/>
</file>

<file path=xl/ctrlProps/ctrlProp184.xml><?xml version="1.0" encoding="utf-8"?>
<formControlPr xmlns="http://schemas.microsoft.com/office/spreadsheetml/2009/9/main" objectType="CheckBox" fmlaLink="$A$167" lockText="1" noThreeD="1"/>
</file>

<file path=xl/ctrlProps/ctrlProp185.xml><?xml version="1.0" encoding="utf-8"?>
<formControlPr xmlns="http://schemas.microsoft.com/office/spreadsheetml/2009/9/main" objectType="CheckBox" fmlaLink="$A$168" lockText="1" noThreeD="1"/>
</file>

<file path=xl/ctrlProps/ctrlProp186.xml><?xml version="1.0" encoding="utf-8"?>
<formControlPr xmlns="http://schemas.microsoft.com/office/spreadsheetml/2009/9/main" objectType="CheckBox" fmlaLink="$A$169" lockText="1" noThreeD="1"/>
</file>

<file path=xl/ctrlProps/ctrlProp187.xml><?xml version="1.0" encoding="utf-8"?>
<formControlPr xmlns="http://schemas.microsoft.com/office/spreadsheetml/2009/9/main" objectType="CheckBox" fmlaLink="$A$170" lockText="1" noThreeD="1"/>
</file>

<file path=xl/ctrlProps/ctrlProp188.xml><?xml version="1.0" encoding="utf-8"?>
<formControlPr xmlns="http://schemas.microsoft.com/office/spreadsheetml/2009/9/main" objectType="CheckBox" fmlaLink="$A$171" lockText="1" noThreeD="1"/>
</file>

<file path=xl/ctrlProps/ctrlProp189.xml><?xml version="1.0" encoding="utf-8"?>
<formControlPr xmlns="http://schemas.microsoft.com/office/spreadsheetml/2009/9/main" objectType="CheckBox" fmlaLink="$A175" lockText="1" noThreeD="1"/>
</file>

<file path=xl/ctrlProps/ctrlProp190.xml><?xml version="1.0" encoding="utf-8"?>
<formControlPr xmlns="http://schemas.microsoft.com/office/spreadsheetml/2009/9/main" objectType="CheckBox" fmlaLink="$A$144" lockText="1" noThreeD="1"/>
</file>

<file path=xl/ctrlProps/ctrlProp191.xml><?xml version="1.0" encoding="utf-8"?>
<formControlPr xmlns="http://schemas.microsoft.com/office/spreadsheetml/2009/9/main" objectType="CheckBox" fmlaLink="$A$178" lockText="1" noThreeD="1"/>
</file>

<file path=xl/ctrlProps/ctrlProp192.xml><?xml version="1.0" encoding="utf-8"?>
<formControlPr xmlns="http://schemas.microsoft.com/office/spreadsheetml/2009/9/main" objectType="CheckBox" fmlaLink="$A$179" lockText="1" noThreeD="1"/>
</file>

<file path=xl/ctrlProps/ctrlProp193.xml><?xml version="1.0" encoding="utf-8"?>
<formControlPr xmlns="http://schemas.microsoft.com/office/spreadsheetml/2009/9/main" objectType="CheckBox" fmlaLink="$A$180" lockText="1" noThreeD="1"/>
</file>

<file path=xl/ctrlProps/ctrlProp194.xml><?xml version="1.0" encoding="utf-8"?>
<formControlPr xmlns="http://schemas.microsoft.com/office/spreadsheetml/2009/9/main" objectType="CheckBox" fmlaLink="#REF!" lockText="1" noThreeD="1"/>
</file>

<file path=xl/ctrlProps/ctrlProp195.xml><?xml version="1.0" encoding="utf-8"?>
<formControlPr xmlns="http://schemas.microsoft.com/office/spreadsheetml/2009/9/main" objectType="CheckBox" fmlaLink="$A$181" lockText="1" noThreeD="1"/>
</file>

<file path=xl/ctrlProps/ctrlProp196.xml><?xml version="1.0" encoding="utf-8"?>
<formControlPr xmlns="http://schemas.microsoft.com/office/spreadsheetml/2009/9/main" objectType="CheckBox" fmlaLink="$A$182" lockText="1" noThreeD="1"/>
</file>

<file path=xl/ctrlProps/ctrlProp197.xml><?xml version="1.0" encoding="utf-8"?>
<formControlPr xmlns="http://schemas.microsoft.com/office/spreadsheetml/2009/9/main" objectType="CheckBox" fmlaLink="$A$183" lockText="1" noThreeD="1"/>
</file>

<file path=xl/ctrlProps/ctrlProp198.xml><?xml version="1.0" encoding="utf-8"?>
<formControlPr xmlns="http://schemas.microsoft.com/office/spreadsheetml/2009/9/main" objectType="CheckBox" fmlaLink="$A$184" lockText="1" noThreeD="1"/>
</file>

<file path=xl/ctrlProps/ctrlProp199.xml><?xml version="1.0" encoding="utf-8"?>
<formControlPr xmlns="http://schemas.microsoft.com/office/spreadsheetml/2009/9/main" objectType="CheckBox" fmlaLink="$A$186" lockText="1" noThreeD="1"/>
</file>

<file path=xl/ctrlProps/ctrlProp200.xml><?xml version="1.0" encoding="utf-8"?>
<formControlPr xmlns="http://schemas.microsoft.com/office/spreadsheetml/2009/9/main" objectType="CheckBox" fmlaLink="$A$187" lockText="1" noThreeD="1"/>
</file>

<file path=xl/ctrlProps/ctrlProp201.xml><?xml version="1.0" encoding="utf-8"?>
<formControlPr xmlns="http://schemas.microsoft.com/office/spreadsheetml/2009/9/main" objectType="CheckBox" fmlaLink="$A$189" lockText="1" noThreeD="1"/>
</file>

<file path=xl/ctrlProps/ctrlProp202.xml><?xml version="1.0" encoding="utf-8"?>
<formControlPr xmlns="http://schemas.microsoft.com/office/spreadsheetml/2009/9/main" objectType="CheckBox" fmlaLink="$A$190" lockText="1" noThreeD="1"/>
</file>

<file path=xl/ctrlProps/ctrlProp203.xml><?xml version="1.0" encoding="utf-8"?>
<formControlPr xmlns="http://schemas.microsoft.com/office/spreadsheetml/2009/9/main" objectType="CheckBox" fmlaLink="$A$191" lockText="1" noThreeD="1"/>
</file>

<file path=xl/ctrlProps/ctrlProp204.xml><?xml version="1.0" encoding="utf-8"?>
<formControlPr xmlns="http://schemas.microsoft.com/office/spreadsheetml/2009/9/main" objectType="CheckBox" fmlaLink="$A$192" lockText="1" noThreeD="1"/>
</file>

<file path=xl/ctrlProps/ctrlProp205.xml><?xml version="1.0" encoding="utf-8"?>
<formControlPr xmlns="http://schemas.microsoft.com/office/spreadsheetml/2009/9/main" objectType="CheckBox" fmlaLink="$A$193" lockText="1" noThreeD="1"/>
</file>

<file path=xl/ctrlProps/ctrlProp206.xml><?xml version="1.0" encoding="utf-8"?>
<formControlPr xmlns="http://schemas.microsoft.com/office/spreadsheetml/2009/9/main" objectType="CheckBox" fmlaLink="#REF!" lockText="1" noThreeD="1"/>
</file>

<file path=xl/ctrlProps/ctrlProp207.xml><?xml version="1.0" encoding="utf-8"?>
<formControlPr xmlns="http://schemas.microsoft.com/office/spreadsheetml/2009/9/main" objectType="CheckBox" fmlaLink="$A$194" lockText="1" noThreeD="1"/>
</file>

<file path=xl/ctrlProps/ctrlProp208.xml><?xml version="1.0" encoding="utf-8"?>
<formControlPr xmlns="http://schemas.microsoft.com/office/spreadsheetml/2009/9/main" objectType="CheckBox" fmlaLink="$A$198" lockText="1" noThreeD="1"/>
</file>

<file path=xl/ctrlProps/ctrlProp209.xml><?xml version="1.0" encoding="utf-8"?>
<formControlPr xmlns="http://schemas.microsoft.com/office/spreadsheetml/2009/9/main" objectType="CheckBox" fmlaLink="$A201" lockText="1" noThreeD="1"/>
</file>

<file path=xl/ctrlProps/ctrlProp210.xml><?xml version="1.0" encoding="utf-8"?>
<formControlPr xmlns="http://schemas.microsoft.com/office/spreadsheetml/2009/9/main" objectType="CheckBox" fmlaLink="$A202" lockText="1" noThreeD="1"/>
</file>

<file path=xl/ctrlProps/ctrlProp211.xml><?xml version="1.0" encoding="utf-8"?>
<formControlPr xmlns="http://schemas.microsoft.com/office/spreadsheetml/2009/9/main" objectType="CheckBox" fmlaLink="$A203" lockText="1" noThreeD="1"/>
</file>

<file path=xl/ctrlProps/ctrlProp212.xml><?xml version="1.0" encoding="utf-8"?>
<formControlPr xmlns="http://schemas.microsoft.com/office/spreadsheetml/2009/9/main" objectType="CheckBox" fmlaLink="$A204" lockText="1" noThreeD="1"/>
</file>

<file path=xl/ctrlProps/ctrlProp213.xml><?xml version="1.0" encoding="utf-8"?>
<formControlPr xmlns="http://schemas.microsoft.com/office/spreadsheetml/2009/9/main" objectType="CheckBox" fmlaLink="$A205" lockText="1" noThreeD="1"/>
</file>

<file path=xl/ctrlProps/ctrlProp214.xml><?xml version="1.0" encoding="utf-8"?>
<formControlPr xmlns="http://schemas.microsoft.com/office/spreadsheetml/2009/9/main" objectType="CheckBox" fmlaLink="$A207" lockText="1" noThreeD="1"/>
</file>

<file path=xl/ctrlProps/ctrlProp215.xml><?xml version="1.0" encoding="utf-8"?>
<formControlPr xmlns="http://schemas.microsoft.com/office/spreadsheetml/2009/9/main" objectType="CheckBox" fmlaLink="$A210" lockText="1" noThreeD="1"/>
</file>

<file path=xl/ctrlProps/ctrlProp216.xml><?xml version="1.0" encoding="utf-8"?>
<formControlPr xmlns="http://schemas.microsoft.com/office/spreadsheetml/2009/9/main" objectType="CheckBox" fmlaLink="$A211" lockText="1" noThreeD="1"/>
</file>

<file path=xl/ctrlProps/ctrlProp217.xml><?xml version="1.0" encoding="utf-8"?>
<formControlPr xmlns="http://schemas.microsoft.com/office/spreadsheetml/2009/9/main" objectType="CheckBox" fmlaLink="$A213" lockText="1" noThreeD="1"/>
</file>

<file path=xl/ctrlProps/ctrlProp218.xml><?xml version="1.0" encoding="utf-8"?>
<formControlPr xmlns="http://schemas.microsoft.com/office/spreadsheetml/2009/9/main" objectType="CheckBox" fmlaLink="$A214" lockText="1" noThreeD="1"/>
</file>

<file path=xl/ctrlProps/ctrlProp219.xml><?xml version="1.0" encoding="utf-8"?>
<formControlPr xmlns="http://schemas.microsoft.com/office/spreadsheetml/2009/9/main" objectType="CheckBox" fmlaLink="$A216" lockText="1" noThreeD="1"/>
</file>

<file path=xl/ctrlProps/ctrlProp220.xml><?xml version="1.0" encoding="utf-8"?>
<formControlPr xmlns="http://schemas.microsoft.com/office/spreadsheetml/2009/9/main" objectType="CheckBox" checked="Checked" fmlaLink="#REF!" lockText="1" noThreeD="1"/>
</file>

<file path=xl/ctrlProps/ctrlProp221.xml><?xml version="1.0" encoding="utf-8"?>
<formControlPr xmlns="http://schemas.microsoft.com/office/spreadsheetml/2009/9/main" objectType="CheckBox" fmlaLink="$A219" lockText="1" noThreeD="1"/>
</file>

<file path=xl/ctrlProps/ctrlProp222.xml><?xml version="1.0" encoding="utf-8"?>
<formControlPr xmlns="http://schemas.microsoft.com/office/spreadsheetml/2009/9/main" objectType="CheckBox" fmlaLink="$A220" lockText="1" noThreeD="1"/>
</file>

<file path=xl/ctrlProps/ctrlProp223.xml><?xml version="1.0" encoding="utf-8"?>
<formControlPr xmlns="http://schemas.microsoft.com/office/spreadsheetml/2009/9/main" objectType="CheckBox" fmlaLink="$A221" lockText="1" noThreeD="1"/>
</file>

<file path=xl/ctrlProps/ctrlProp224.xml><?xml version="1.0" encoding="utf-8"?>
<formControlPr xmlns="http://schemas.microsoft.com/office/spreadsheetml/2009/9/main" objectType="CheckBox" fmlaLink="A$222" lockText="1" noThreeD="1"/>
</file>

<file path=xl/ctrlProps/ctrlProp225.xml><?xml version="1.0" encoding="utf-8"?>
<formControlPr xmlns="http://schemas.microsoft.com/office/spreadsheetml/2009/9/main" objectType="CheckBox" fmlaLink="A$223" lockText="1" noThreeD="1"/>
</file>

<file path=xl/ctrlProps/ctrlProp226.xml><?xml version="1.0" encoding="utf-8"?>
<formControlPr xmlns="http://schemas.microsoft.com/office/spreadsheetml/2009/9/main" objectType="CheckBox" fmlaLink="A$224" lockText="1" noThreeD="1"/>
</file>

<file path=xl/ctrlProps/ctrlProp227.xml><?xml version="1.0" encoding="utf-8"?>
<formControlPr xmlns="http://schemas.microsoft.com/office/spreadsheetml/2009/9/main" objectType="CheckBox" fmlaLink="$A$24" lockText="1" noThreeD="1"/>
</file>

<file path=xl/ctrlProps/ctrlProp228.xml><?xml version="1.0" encoding="utf-8"?>
<formControlPr xmlns="http://schemas.microsoft.com/office/spreadsheetml/2009/9/main" objectType="CheckBox" fmlaLink="$A$56" lockText="1" noThreeD="1"/>
</file>

<file path=xl/ctrlProps/ctrlProp229.xml><?xml version="1.0" encoding="utf-8"?>
<formControlPr xmlns="http://schemas.microsoft.com/office/spreadsheetml/2009/9/main" objectType="CheckBox" fmlaLink="$A$55" noThreeD="1"/>
</file>

<file path=xl/ctrlProps/ctrlProp230.xml><?xml version="1.0" encoding="utf-8"?>
<formControlPr xmlns="http://schemas.microsoft.com/office/spreadsheetml/2009/9/main" objectType="CheckBox" fmlaLink="$A$58" noThreeD="1"/>
</file>

<file path=xl/ctrlProps/ctrlProp231.xml><?xml version="1.0" encoding="utf-8"?>
<formControlPr xmlns="http://schemas.microsoft.com/office/spreadsheetml/2009/9/main" objectType="CheckBox" fmlaLink="$A$59" noThreeD="1"/>
</file>

<file path=xl/ctrlProps/ctrlProp232.xml><?xml version="1.0" encoding="utf-8"?>
<formControlPr xmlns="http://schemas.microsoft.com/office/spreadsheetml/2009/9/main" objectType="CheckBox" fmlaLink="$A$61" noThreeD="1"/>
</file>

<file path=xl/ctrlProps/ctrlProp233.xml><?xml version="1.0" encoding="utf-8"?>
<formControlPr xmlns="http://schemas.microsoft.com/office/spreadsheetml/2009/9/main" objectType="CheckBox" fmlaLink="$A$60" noThreeD="1"/>
</file>

<file path=xl/ctrlProps/ctrlProp234.xml><?xml version="1.0" encoding="utf-8"?>
<formControlPr xmlns="http://schemas.microsoft.com/office/spreadsheetml/2009/9/main" objectType="CheckBox" fmlaLink="$A$67" noThreeD="1"/>
</file>

<file path=xl/ctrlProps/ctrlProp235.xml><?xml version="1.0" encoding="utf-8"?>
<formControlPr xmlns="http://schemas.microsoft.com/office/spreadsheetml/2009/9/main" objectType="CheckBox" fmlaLink="$A$68" lockText="1" noThreeD="1"/>
</file>

<file path=xl/ctrlProps/ctrlProp236.xml><?xml version="1.0" encoding="utf-8"?>
<formControlPr xmlns="http://schemas.microsoft.com/office/spreadsheetml/2009/9/main" objectType="CheckBox" fmlaLink="$A$36" lockText="1" noThreeD="1"/>
</file>

<file path=xl/ctrlProps/ctrlProp237.xml><?xml version="1.0" encoding="utf-8"?>
<formControlPr xmlns="http://schemas.microsoft.com/office/spreadsheetml/2009/9/main" objectType="CheckBox" fmlaLink="$A$178" lockText="1" noThreeD="1"/>
</file>

<file path=xl/ctrlProps/ctrlProp238.xml><?xml version="1.0" encoding="utf-8"?>
<formControlPr xmlns="http://schemas.microsoft.com/office/spreadsheetml/2009/9/main" objectType="CheckBox" fmlaLink="$A$179" lockText="1" noThreeD="1"/>
</file>

<file path=xl/ctrlProps/ctrlProp239.xml><?xml version="1.0" encoding="utf-8"?>
<formControlPr xmlns="http://schemas.microsoft.com/office/spreadsheetml/2009/9/main" objectType="CheckBox" fmlaLink="$A$180" lockText="1" noThreeD="1"/>
</file>

<file path=xl/ctrlProps/ctrlProp240.xml><?xml version="1.0" encoding="utf-8"?>
<formControlPr xmlns="http://schemas.microsoft.com/office/spreadsheetml/2009/9/main" objectType="CheckBox" fmlaLink="$A$181" lockText="1" noThreeD="1"/>
</file>

<file path=xl/ctrlProps/ctrlProp241.xml><?xml version="1.0" encoding="utf-8"?>
<formControlPr xmlns="http://schemas.microsoft.com/office/spreadsheetml/2009/9/main" objectType="CheckBox" fmlaLink="$A$182" lockText="1" noThreeD="1"/>
</file>

<file path=xl/ctrlProps/ctrlProp242.xml><?xml version="1.0" encoding="utf-8"?>
<formControlPr xmlns="http://schemas.microsoft.com/office/spreadsheetml/2009/9/main" objectType="CheckBox" fmlaLink="$A$183" lockText="1" noThreeD="1"/>
</file>

<file path=xl/ctrlProps/ctrlProp243.xml><?xml version="1.0" encoding="utf-8"?>
<formControlPr xmlns="http://schemas.microsoft.com/office/spreadsheetml/2009/9/main" objectType="CheckBox" fmlaLink="$A$184" lockText="1" noThreeD="1"/>
</file>

<file path=xl/ctrlProps/ctrlProp244.xml><?xml version="1.0" encoding="utf-8"?>
<formControlPr xmlns="http://schemas.microsoft.com/office/spreadsheetml/2009/9/main" objectType="CheckBox" fmlaLink="$A$186" lockText="1" noThreeD="1"/>
</file>

<file path=xl/ctrlProps/ctrlProp245.xml><?xml version="1.0" encoding="utf-8"?>
<formControlPr xmlns="http://schemas.microsoft.com/office/spreadsheetml/2009/9/main" objectType="CheckBox" fmlaLink="$A$187" lockText="1" noThreeD="1"/>
</file>

<file path=xl/ctrlProps/ctrlProp246.xml><?xml version="1.0" encoding="utf-8"?>
<formControlPr xmlns="http://schemas.microsoft.com/office/spreadsheetml/2009/9/main" objectType="CheckBox" fmlaLink="$A$189" lockText="1" noThreeD="1"/>
</file>

<file path=xl/ctrlProps/ctrlProp247.xml><?xml version="1.0" encoding="utf-8"?>
<formControlPr xmlns="http://schemas.microsoft.com/office/spreadsheetml/2009/9/main" objectType="CheckBox" fmlaLink="$A$190" lockText="1" noThreeD="1"/>
</file>

<file path=xl/ctrlProps/ctrlProp248.xml><?xml version="1.0" encoding="utf-8"?>
<formControlPr xmlns="http://schemas.microsoft.com/office/spreadsheetml/2009/9/main" objectType="CheckBox" fmlaLink="$A$191" lockText="1" noThreeD="1"/>
</file>

<file path=xl/ctrlProps/ctrlProp249.xml><?xml version="1.0" encoding="utf-8"?>
<formControlPr xmlns="http://schemas.microsoft.com/office/spreadsheetml/2009/9/main" objectType="CheckBox" fmlaLink="$A$192" lockText="1" noThreeD="1"/>
</file>

<file path=xl/ctrlProps/ctrlProp250.xml><?xml version="1.0" encoding="utf-8"?>
<formControlPr xmlns="http://schemas.microsoft.com/office/spreadsheetml/2009/9/main" objectType="CheckBox" fmlaLink="$A$128" noThreeD="1"/>
</file>

<file path=xl/ctrlProps/ctrlProp251.xml><?xml version="1.0" encoding="utf-8"?>
<formControlPr xmlns="http://schemas.microsoft.com/office/spreadsheetml/2009/9/main" objectType="CheckBox" fmlaLink="$A$129" lockText="1" noThreeD="1"/>
</file>

<file path=xl/ctrlProps/ctrlProp252.xml><?xml version="1.0" encoding="utf-8"?>
<formControlPr xmlns="http://schemas.microsoft.com/office/spreadsheetml/2009/9/main" objectType="CheckBox" fmlaLink="$A$130" lockText="1" noThreeD="1"/>
</file>

<file path=xl/ctrlProps/ctrlProp253.xml><?xml version="1.0" encoding="utf-8"?>
<formControlPr xmlns="http://schemas.microsoft.com/office/spreadsheetml/2009/9/main" objectType="CheckBox" fmlaLink="$A$188" lockText="1" noThreeD="1"/>
</file>

<file path=xl/ctrlProps/ctrlProp254.xml><?xml version="1.0" encoding="utf-8"?>
<formControlPr xmlns="http://schemas.microsoft.com/office/spreadsheetml/2009/9/main" objectType="CheckBox" fmlaLink="$A140" lockText="1" noThreeD="1"/>
</file>

<file path=xl/ctrlProps/ctrlProp255.xml><?xml version="1.0" encoding="utf-8"?>
<formControlPr xmlns="http://schemas.microsoft.com/office/spreadsheetml/2009/9/main" objectType="CheckBox" fmlaLink="$A$199" lockText="1" noThreeD="1"/>
</file>

<file path=xl/ctrlProps/ctrlProp256.xml><?xml version="1.0" encoding="utf-8"?>
<formControlPr xmlns="http://schemas.microsoft.com/office/spreadsheetml/2009/9/main" objectType="CheckBox" fmlaLink="$A$44" lockText="1" noThreeD="1"/>
</file>

<file path=xl/ctrlProps/ctrlProp257.xml><?xml version="1.0" encoding="utf-8"?>
<formControlPr xmlns="http://schemas.microsoft.com/office/spreadsheetml/2009/9/main" objectType="CheckBox" fmlaLink="$A$110" lockText="1" noThreeD="1"/>
</file>

<file path=xl/ctrlProps/ctrlProp258.xml><?xml version="1.0" encoding="utf-8"?>
<formControlPr xmlns="http://schemas.microsoft.com/office/spreadsheetml/2009/9/main" objectType="CheckBox" fmlaLink="$A$111" lockText="1" noThreeD="1"/>
</file>

<file path=xl/ctrlProps/ctrlProp259.xml><?xml version="1.0" encoding="utf-8"?>
<formControlPr xmlns="http://schemas.microsoft.com/office/spreadsheetml/2009/9/main" objectType="CheckBox" fmlaLink="$A138" lockText="1" noThreeD="1"/>
</file>

<file path=xl/ctrlProps/ctrlProp260.xml><?xml version="1.0" encoding="utf-8"?>
<formControlPr xmlns="http://schemas.microsoft.com/office/spreadsheetml/2009/9/main" objectType="CheckBox" fmlaLink="$A139" lockText="1" noThreeD="1"/>
</file>

<file path=xl/ctrlProps/ctrlProp261.xml><?xml version="1.0" encoding="utf-8"?>
<formControlPr xmlns="http://schemas.microsoft.com/office/spreadsheetml/2009/9/main" objectType="CheckBox" fmlaLink="$A$115" lockText="1" noThreeD="1"/>
</file>

<file path=xl/ctrlProps/ctrlProp262.xml><?xml version="1.0" encoding="utf-8"?>
<formControlPr xmlns="http://schemas.microsoft.com/office/spreadsheetml/2009/9/main" objectType="CheckBox" fmlaLink="$A$114" lockText="1" noThreeD="1"/>
</file>

<file path=xl/ctrlProps/ctrlProp263.xml><?xml version="1.0" encoding="utf-8"?>
<formControlPr xmlns="http://schemas.microsoft.com/office/spreadsheetml/2009/9/main" objectType="CheckBox" fmlaLink="$A$114" lockText="1" noThreeD="1"/>
</file>

<file path=xl/ctrlProps/ctrlProp264.xml><?xml version="1.0" encoding="utf-8"?>
<formControlPr xmlns="http://schemas.microsoft.com/office/spreadsheetml/2009/9/main" objectType="CheckBox" fmlaLink="$A$116" lockText="1" noThreeD="1"/>
</file>

<file path=xl/ctrlProps/ctrlProp265.xml><?xml version="1.0" encoding="utf-8"?>
<formControlPr xmlns="http://schemas.microsoft.com/office/spreadsheetml/2009/9/main" objectType="CheckBox" fmlaLink="$A$115" lockText="1" noThreeD="1"/>
</file>

<file path=xl/ctrlProps/ctrlProp266.xml><?xml version="1.0" encoding="utf-8"?>
<formControlPr xmlns="http://schemas.microsoft.com/office/spreadsheetml/2009/9/main" objectType="CheckBox" fmlaLink="$A$85" noThreeD="1"/>
</file>

<file path=xl/ctrlProps/ctrlProp267.xml><?xml version="1.0" encoding="utf-8"?>
<formControlPr xmlns="http://schemas.microsoft.com/office/spreadsheetml/2009/9/main" objectType="CheckBox" fmlaLink="$A$85" noThreeD="1"/>
</file>

<file path=xl/ctrlProps/ctrlProp268.xml><?xml version="1.0" encoding="utf-8"?>
<formControlPr xmlns="http://schemas.microsoft.com/office/spreadsheetml/2009/9/main" objectType="CheckBox" fmlaLink="$A$86" noThreeD="1"/>
</file>

<file path=xl/ctrlProps/ctrlProp269.xml><?xml version="1.0" encoding="utf-8"?>
<formControlPr xmlns="http://schemas.microsoft.com/office/spreadsheetml/2009/9/main" objectType="CheckBox" fmlaLink="#REF!" lockText="1" noThreeD="1"/>
</file>

<file path=xl/ctrlProps/ctrlProp270.xml><?xml version="1.0" encoding="utf-8"?>
<formControlPr xmlns="http://schemas.microsoft.com/office/spreadsheetml/2009/9/main" objectType="CheckBox" fmlaLink="$A$181" lockText="1" noThreeD="1"/>
</file>

<file path=xl/ctrlProps/ctrlProp271.xml><?xml version="1.0" encoding="utf-8"?>
<formControlPr xmlns="http://schemas.microsoft.com/office/spreadsheetml/2009/9/main" objectType="CheckBox" fmlaLink="$A$185" lockText="1" noThreeD="1"/>
</file>

<file path=xl/ctrlProps/ctrlProp272.xml><?xml version="1.0" encoding="utf-8"?>
<formControlPr xmlns="http://schemas.microsoft.com/office/spreadsheetml/2009/9/main" objectType="CheckBox" fmlaLink="$A208" lockText="1" noThreeD="1"/>
</file>

<file path=xl/ctrlProps/ctrlProp273.xml><?xml version="1.0" encoding="utf-8"?>
<formControlPr xmlns="http://schemas.microsoft.com/office/spreadsheetml/2009/9/main" objectType="CheckBox" fmlaLink="$A$104" lockText="1" noThreeD="1"/>
</file>

<file path=xl/ctrlProps/ctrlProp274.xml><?xml version="1.0" encoding="utf-8"?>
<formControlPr xmlns="http://schemas.microsoft.com/office/spreadsheetml/2009/9/main" objectType="CheckBox" fmlaLink="$A$105" lockText="1" noThreeD="1"/>
</file>

<file path=xl/ctrlProps/ctrlProp275.xml><?xml version="1.0" encoding="utf-8"?>
<formControlPr xmlns="http://schemas.microsoft.com/office/spreadsheetml/2009/9/main" objectType="CheckBox" checked="Checked" fmlaLink="$A$23" lockText="1" noThreeD="1"/>
</file>

<file path=xl/ctrlProps/ctrlProp276.xml><?xml version="1.0" encoding="utf-8"?>
<formControlPr xmlns="http://schemas.microsoft.com/office/spreadsheetml/2009/9/main" objectType="CheckBox" checked="Checked" fmlaLink="$A$23" lockText="1" noThreeD="1"/>
</file>

<file path=xl/ctrlProps/ctrlProp277.xml><?xml version="1.0" encoding="utf-8"?>
<formControlPr xmlns="http://schemas.microsoft.com/office/spreadsheetml/2009/9/main" objectType="CheckBox" checked="Checked" fmlaLink="$A$23" lockText="1" noThreeD="1"/>
</file>

<file path=xl/ctrlProps/ctrlProp278.xml><?xml version="1.0" encoding="utf-8"?>
<formControlPr xmlns="http://schemas.microsoft.com/office/spreadsheetml/2009/9/main" objectType="CheckBox" fmlaLink="$A$21" lockText="1" noThreeD="1"/>
</file>

<file path=xl/ctrlProps/ctrlProp279.xml><?xml version="1.0" encoding="utf-8"?>
<formControlPr xmlns="http://schemas.microsoft.com/office/spreadsheetml/2009/9/main" objectType="CheckBox" checked="Checked" fmlaLink="$A$23" lockText="1" noThreeD="1"/>
</file>

<file path=xl/ctrlProps/ctrlProp280.xml><?xml version="1.0" encoding="utf-8"?>
<formControlPr xmlns="http://schemas.microsoft.com/office/spreadsheetml/2009/9/main" objectType="CheckBox" checked="Checked" fmlaLink="$A$23" lockText="1" noThreeD="1"/>
</file>

<file path=xl/ctrlProps/ctrlProp281.xml><?xml version="1.0" encoding="utf-8"?>
<formControlPr xmlns="http://schemas.microsoft.com/office/spreadsheetml/2009/9/main" objectType="CheckBox" checked="Checked" fmlaLink="$A$23" lockText="1" noThreeD="1"/>
</file>

<file path=xl/ctrlProps/ctrlProp282.xml><?xml version="1.0" encoding="utf-8"?>
<formControlPr xmlns="http://schemas.microsoft.com/office/spreadsheetml/2009/9/main" objectType="CheckBox" fmlaLink="$A$22" lockText="1" noThreeD="1"/>
</file>

<file path=xl/ctrlProps/ctrlProp283.xml><?xml version="1.0" encoding="utf-8"?>
<formControlPr xmlns="http://schemas.microsoft.com/office/spreadsheetml/2009/9/main" objectType="CheckBox" checked="Checked" fmlaLink="$A$23" lockText="1" noThreeD="1"/>
</file>

<file path=xl/ctrlProps/ctrlProp284.xml><?xml version="1.0" encoding="utf-8"?>
<formControlPr xmlns="http://schemas.microsoft.com/office/spreadsheetml/2009/9/main" objectType="CheckBox" checked="Checked" fmlaLink="$A$23" lockText="1" noThreeD="1"/>
</file>

<file path=xl/ctrlProps/ctrlProp285.xml><?xml version="1.0" encoding="utf-8"?>
<formControlPr xmlns="http://schemas.microsoft.com/office/spreadsheetml/2009/9/main" objectType="CheckBox" checked="Checked" fmlaLink="$A$23" lockText="1" noThreeD="1"/>
</file>

<file path=xl/ctrlProps/ctrlProp286.xml><?xml version="1.0" encoding="utf-8"?>
<formControlPr xmlns="http://schemas.microsoft.com/office/spreadsheetml/2009/9/main" objectType="CheckBox" checked="Checked" fmlaLink="$A$23"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checked="Checked" lockText="1" noThreeD="1"/>
</file>

<file path=xl/ctrlProps/ctrlProp349.xml><?xml version="1.0" encoding="utf-8"?>
<formControlPr xmlns="http://schemas.microsoft.com/office/spreadsheetml/2009/9/main" objectType="CheckBox" checked="Checked" lockText="1" noThreeD="1"/>
</file>

<file path=xl/ctrlProps/ctrlProp350.xml><?xml version="1.0" encoding="utf-8"?>
<formControlPr xmlns="http://schemas.microsoft.com/office/spreadsheetml/2009/9/main" objectType="CheckBox" checked="Checked" lockText="1" noThreeD="1"/>
</file>

<file path=xl/ctrlProps/ctrlProp351.xml><?xml version="1.0" encoding="utf-8"?>
<formControlPr xmlns="http://schemas.microsoft.com/office/spreadsheetml/2009/9/main" objectType="CheckBox" checked="Checked" lockText="1" noThreeD="1"/>
</file>

<file path=xl/ctrlProps/ctrlProp352.xml><?xml version="1.0" encoding="utf-8"?>
<formControlPr xmlns="http://schemas.microsoft.com/office/spreadsheetml/2009/9/main" objectType="CheckBox" checked="Checked" lockText="1" noThreeD="1"/>
</file>

<file path=xl/ctrlProps/ctrlProp353.xml><?xml version="1.0" encoding="utf-8"?>
<formControlPr xmlns="http://schemas.microsoft.com/office/spreadsheetml/2009/9/main" objectType="CheckBox" checked="Checked" lockText="1" noThreeD="1"/>
</file>

<file path=xl/ctrlProps/ctrlProp354.xml><?xml version="1.0" encoding="utf-8"?>
<formControlPr xmlns="http://schemas.microsoft.com/office/spreadsheetml/2009/9/main" objectType="CheckBox" checked="Checked" lockText="1" noThreeD="1"/>
</file>

<file path=xl/ctrlProps/ctrlProp355.xml><?xml version="1.0" encoding="utf-8"?>
<formControlPr xmlns="http://schemas.microsoft.com/office/spreadsheetml/2009/9/main" objectType="CheckBox" checked="Checked" lockText="1" noThreeD="1"/>
</file>

<file path=xl/ctrlProps/ctrlProp356.xml><?xml version="1.0" encoding="utf-8"?>
<formControlPr xmlns="http://schemas.microsoft.com/office/spreadsheetml/2009/9/main" objectType="CheckBox" checked="Checked" lockText="1" noThreeD="1"/>
</file>

<file path=xl/ctrlProps/ctrlProp357.xml><?xml version="1.0" encoding="utf-8"?>
<formControlPr xmlns="http://schemas.microsoft.com/office/spreadsheetml/2009/9/main" objectType="CheckBox" checked="Checked" lockText="1" noThreeD="1"/>
</file>

<file path=xl/ctrlProps/ctrlProp358.xml><?xml version="1.0" encoding="utf-8"?>
<formControlPr xmlns="http://schemas.microsoft.com/office/spreadsheetml/2009/9/main" objectType="CheckBox" checked="Checked" lockText="1" noThreeD="1"/>
</file>

<file path=xl/ctrlProps/ctrlProp359.xml><?xml version="1.0" encoding="utf-8"?>
<formControlPr xmlns="http://schemas.microsoft.com/office/spreadsheetml/2009/9/main" objectType="CheckBox" checked="Checked" lockText="1" noThreeD="1"/>
</file>

<file path=xl/ctrlProps/ctrlProp360.xml><?xml version="1.0" encoding="utf-8"?>
<formControlPr xmlns="http://schemas.microsoft.com/office/spreadsheetml/2009/9/main" objectType="CheckBox" checked="Checked" lockText="1" noThreeD="1"/>
</file>

<file path=xl/ctrlProps/ctrlProp361.xml><?xml version="1.0" encoding="utf-8"?>
<formControlPr xmlns="http://schemas.microsoft.com/office/spreadsheetml/2009/9/main" objectType="CheckBox" checked="Checked" lockText="1" noThreeD="1"/>
</file>

<file path=xl/ctrlProps/ctrlProp362.xml><?xml version="1.0" encoding="utf-8"?>
<formControlPr xmlns="http://schemas.microsoft.com/office/spreadsheetml/2009/9/main" objectType="CheckBox" checked="Checked" lockText="1" noThreeD="1"/>
</file>

<file path=xl/ctrlProps/ctrlProp36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6.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5.jpe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582025" cy="5619750"/>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1400175</xdr:colOff>
          <xdr:row>5</xdr:row>
          <xdr:rowOff>171450</xdr:rowOff>
        </xdr:from>
        <xdr:to>
          <xdr:col>3</xdr:col>
          <xdr:colOff>1790700</xdr:colOff>
          <xdr:row>7</xdr:row>
          <xdr:rowOff>19050</xdr:rowOff>
        </xdr:to>
        <xdr:sp macro="" textlink="">
          <xdr:nvSpPr>
            <xdr:cNvPr id="263169" name="Check Box 1" hidden="1">
              <a:extLst>
                <a:ext uri="{63B3BB69-23CF-44E3-9099-C40C66FF867C}">
                  <a14:compatExt spid="_x0000_s263169"/>
                </a:ext>
                <a:ext uri="{FF2B5EF4-FFF2-40B4-BE49-F238E27FC236}">
                  <a16:creationId xmlns:a16="http://schemas.microsoft.com/office/drawing/2014/main" id="{00000000-0008-0000-0400-00000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19</xdr:row>
          <xdr:rowOff>0</xdr:rowOff>
        </xdr:from>
        <xdr:to>
          <xdr:col>3</xdr:col>
          <xdr:colOff>1743075</xdr:colOff>
          <xdr:row>30</xdr:row>
          <xdr:rowOff>0</xdr:rowOff>
        </xdr:to>
        <xdr:sp macro="" textlink="">
          <xdr:nvSpPr>
            <xdr:cNvPr id="263177" name="Check Box 9" hidden="1">
              <a:extLst>
                <a:ext uri="{63B3BB69-23CF-44E3-9099-C40C66FF867C}">
                  <a14:compatExt spid="_x0000_s263177"/>
                </a:ext>
                <a:ext uri="{FF2B5EF4-FFF2-40B4-BE49-F238E27FC236}">
                  <a16:creationId xmlns:a16="http://schemas.microsoft.com/office/drawing/2014/main" id="{00000000-0008-0000-0400-00000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9525</xdr:rowOff>
        </xdr:from>
        <xdr:to>
          <xdr:col>3</xdr:col>
          <xdr:colOff>1628775</xdr:colOff>
          <xdr:row>30</xdr:row>
          <xdr:rowOff>0</xdr:rowOff>
        </xdr:to>
        <xdr:sp macro="" textlink="">
          <xdr:nvSpPr>
            <xdr:cNvPr id="263178" name="Check Box 10" hidden="1">
              <a:extLst>
                <a:ext uri="{63B3BB69-23CF-44E3-9099-C40C66FF867C}">
                  <a14:compatExt spid="_x0000_s263178"/>
                </a:ext>
                <a:ext uri="{FF2B5EF4-FFF2-40B4-BE49-F238E27FC236}">
                  <a16:creationId xmlns:a16="http://schemas.microsoft.com/office/drawing/2014/main" id="{00000000-0008-0000-0400-00000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171450</xdr:rowOff>
        </xdr:from>
        <xdr:to>
          <xdr:col>3</xdr:col>
          <xdr:colOff>1714500</xdr:colOff>
          <xdr:row>30</xdr:row>
          <xdr:rowOff>28575</xdr:rowOff>
        </xdr:to>
        <xdr:sp macro="" textlink="">
          <xdr:nvSpPr>
            <xdr:cNvPr id="263179" name="Check Box 11" hidden="1">
              <a:extLst>
                <a:ext uri="{63B3BB69-23CF-44E3-9099-C40C66FF867C}">
                  <a14:compatExt spid="_x0000_s263179"/>
                </a:ext>
                <a:ext uri="{FF2B5EF4-FFF2-40B4-BE49-F238E27FC236}">
                  <a16:creationId xmlns:a16="http://schemas.microsoft.com/office/drawing/2014/main" id="{00000000-0008-0000-0400-00000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21</xdr:row>
          <xdr:rowOff>180975</xdr:rowOff>
        </xdr:from>
        <xdr:to>
          <xdr:col>3</xdr:col>
          <xdr:colOff>1638300</xdr:colOff>
          <xdr:row>29</xdr:row>
          <xdr:rowOff>180975</xdr:rowOff>
        </xdr:to>
        <xdr:sp macro="" textlink="">
          <xdr:nvSpPr>
            <xdr:cNvPr id="263180" name="Check Box 12" hidden="1">
              <a:extLst>
                <a:ext uri="{63B3BB69-23CF-44E3-9099-C40C66FF867C}">
                  <a14:compatExt spid="_x0000_s263180"/>
                </a:ext>
                <a:ext uri="{FF2B5EF4-FFF2-40B4-BE49-F238E27FC236}">
                  <a16:creationId xmlns:a16="http://schemas.microsoft.com/office/drawing/2014/main" id="{00000000-0008-0000-0400-00000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22</xdr:row>
          <xdr:rowOff>171450</xdr:rowOff>
        </xdr:from>
        <xdr:to>
          <xdr:col>3</xdr:col>
          <xdr:colOff>1647825</xdr:colOff>
          <xdr:row>30</xdr:row>
          <xdr:rowOff>28575</xdr:rowOff>
        </xdr:to>
        <xdr:sp macro="" textlink="">
          <xdr:nvSpPr>
            <xdr:cNvPr id="263181" name="Check Box 13" hidden="1">
              <a:extLst>
                <a:ext uri="{63B3BB69-23CF-44E3-9099-C40C66FF867C}">
                  <a14:compatExt spid="_x0000_s263181"/>
                </a:ext>
                <a:ext uri="{FF2B5EF4-FFF2-40B4-BE49-F238E27FC236}">
                  <a16:creationId xmlns:a16="http://schemas.microsoft.com/office/drawing/2014/main" id="{00000000-0008-0000-0400-00000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24</xdr:row>
          <xdr:rowOff>9525</xdr:rowOff>
        </xdr:from>
        <xdr:to>
          <xdr:col>3</xdr:col>
          <xdr:colOff>1714500</xdr:colOff>
          <xdr:row>29</xdr:row>
          <xdr:rowOff>171450</xdr:rowOff>
        </xdr:to>
        <xdr:sp macro="" textlink="">
          <xdr:nvSpPr>
            <xdr:cNvPr id="263182" name="Check Box 14" hidden="1">
              <a:extLst>
                <a:ext uri="{63B3BB69-23CF-44E3-9099-C40C66FF867C}">
                  <a14:compatExt spid="_x0000_s263182"/>
                </a:ext>
                <a:ext uri="{FF2B5EF4-FFF2-40B4-BE49-F238E27FC236}">
                  <a16:creationId xmlns:a16="http://schemas.microsoft.com/office/drawing/2014/main" id="{00000000-0008-0000-0400-00000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24</xdr:row>
          <xdr:rowOff>180975</xdr:rowOff>
        </xdr:from>
        <xdr:to>
          <xdr:col>3</xdr:col>
          <xdr:colOff>1657350</xdr:colOff>
          <xdr:row>30</xdr:row>
          <xdr:rowOff>19050</xdr:rowOff>
        </xdr:to>
        <xdr:sp macro="" textlink="">
          <xdr:nvSpPr>
            <xdr:cNvPr id="263183" name="Check Box 15" hidden="1">
              <a:extLst>
                <a:ext uri="{63B3BB69-23CF-44E3-9099-C40C66FF867C}">
                  <a14:compatExt spid="_x0000_s263183"/>
                </a:ext>
                <a:ext uri="{FF2B5EF4-FFF2-40B4-BE49-F238E27FC236}">
                  <a16:creationId xmlns:a16="http://schemas.microsoft.com/office/drawing/2014/main" id="{00000000-0008-0000-0400-00000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26</xdr:row>
          <xdr:rowOff>180975</xdr:rowOff>
        </xdr:from>
        <xdr:to>
          <xdr:col>3</xdr:col>
          <xdr:colOff>1657350</xdr:colOff>
          <xdr:row>30</xdr:row>
          <xdr:rowOff>0</xdr:rowOff>
        </xdr:to>
        <xdr:sp macro="" textlink="">
          <xdr:nvSpPr>
            <xdr:cNvPr id="263184" name="Check Box 16" hidden="1">
              <a:extLst>
                <a:ext uri="{63B3BB69-23CF-44E3-9099-C40C66FF867C}">
                  <a14:compatExt spid="_x0000_s263184"/>
                </a:ext>
                <a:ext uri="{FF2B5EF4-FFF2-40B4-BE49-F238E27FC236}">
                  <a16:creationId xmlns:a16="http://schemas.microsoft.com/office/drawing/2014/main" id="{00000000-0008-0000-0400-00001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27</xdr:row>
          <xdr:rowOff>171450</xdr:rowOff>
        </xdr:from>
        <xdr:to>
          <xdr:col>3</xdr:col>
          <xdr:colOff>1676400</xdr:colOff>
          <xdr:row>30</xdr:row>
          <xdr:rowOff>38100</xdr:rowOff>
        </xdr:to>
        <xdr:sp macro="" textlink="">
          <xdr:nvSpPr>
            <xdr:cNvPr id="263185" name="Check Box 17" hidden="1">
              <a:extLst>
                <a:ext uri="{63B3BB69-23CF-44E3-9099-C40C66FF867C}">
                  <a14:compatExt spid="_x0000_s263185"/>
                </a:ext>
                <a:ext uri="{FF2B5EF4-FFF2-40B4-BE49-F238E27FC236}">
                  <a16:creationId xmlns:a16="http://schemas.microsoft.com/office/drawing/2014/main" id="{00000000-0008-0000-0400-00001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6</xdr:row>
          <xdr:rowOff>171450</xdr:rowOff>
        </xdr:from>
        <xdr:to>
          <xdr:col>3</xdr:col>
          <xdr:colOff>1790700</xdr:colOff>
          <xdr:row>8</xdr:row>
          <xdr:rowOff>19050</xdr:rowOff>
        </xdr:to>
        <xdr:sp macro="" textlink="">
          <xdr:nvSpPr>
            <xdr:cNvPr id="263189" name="Check Box 21" hidden="1">
              <a:extLst>
                <a:ext uri="{63B3BB69-23CF-44E3-9099-C40C66FF867C}">
                  <a14:compatExt spid="_x0000_s263189"/>
                </a:ext>
                <a:ext uri="{FF2B5EF4-FFF2-40B4-BE49-F238E27FC236}">
                  <a16:creationId xmlns:a16="http://schemas.microsoft.com/office/drawing/2014/main" id="{00000000-0008-0000-0400-00001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7</xdr:row>
          <xdr:rowOff>171450</xdr:rowOff>
        </xdr:from>
        <xdr:to>
          <xdr:col>3</xdr:col>
          <xdr:colOff>1790700</xdr:colOff>
          <xdr:row>9</xdr:row>
          <xdr:rowOff>19050</xdr:rowOff>
        </xdr:to>
        <xdr:sp macro="" textlink="">
          <xdr:nvSpPr>
            <xdr:cNvPr id="263190" name="Check Box 22" hidden="1">
              <a:extLst>
                <a:ext uri="{63B3BB69-23CF-44E3-9099-C40C66FF867C}">
                  <a14:compatExt spid="_x0000_s263190"/>
                </a:ext>
                <a:ext uri="{FF2B5EF4-FFF2-40B4-BE49-F238E27FC236}">
                  <a16:creationId xmlns:a16="http://schemas.microsoft.com/office/drawing/2014/main" id="{00000000-0008-0000-0400-00001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xdr:row>
          <xdr:rowOff>161925</xdr:rowOff>
        </xdr:from>
        <xdr:to>
          <xdr:col>3</xdr:col>
          <xdr:colOff>1800225</xdr:colOff>
          <xdr:row>12</xdr:row>
          <xdr:rowOff>38100</xdr:rowOff>
        </xdr:to>
        <xdr:sp macro="" textlink="">
          <xdr:nvSpPr>
            <xdr:cNvPr id="263196" name="Check Box 28" hidden="1">
              <a:extLst>
                <a:ext uri="{63B3BB69-23CF-44E3-9099-C40C66FF867C}">
                  <a14:compatExt spid="_x0000_s263196"/>
                </a:ext>
                <a:ext uri="{FF2B5EF4-FFF2-40B4-BE49-F238E27FC236}">
                  <a16:creationId xmlns:a16="http://schemas.microsoft.com/office/drawing/2014/main" id="{00000000-0008-0000-0400-00001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32</xdr:row>
          <xdr:rowOff>180975</xdr:rowOff>
        </xdr:from>
        <xdr:to>
          <xdr:col>3</xdr:col>
          <xdr:colOff>781050</xdr:colOff>
          <xdr:row>34</xdr:row>
          <xdr:rowOff>0</xdr:rowOff>
        </xdr:to>
        <xdr:sp macro="" textlink="">
          <xdr:nvSpPr>
            <xdr:cNvPr id="263201" name="Check Box 33" hidden="1">
              <a:extLst>
                <a:ext uri="{63B3BB69-23CF-44E3-9099-C40C66FF867C}">
                  <a14:compatExt spid="_x0000_s263201"/>
                </a:ext>
                <a:ext uri="{FF2B5EF4-FFF2-40B4-BE49-F238E27FC236}">
                  <a16:creationId xmlns:a16="http://schemas.microsoft.com/office/drawing/2014/main" id="{00000000-0008-0000-0400-00002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37</xdr:row>
          <xdr:rowOff>0</xdr:rowOff>
        </xdr:from>
        <xdr:to>
          <xdr:col>3</xdr:col>
          <xdr:colOff>1657350</xdr:colOff>
          <xdr:row>38</xdr:row>
          <xdr:rowOff>19050</xdr:rowOff>
        </xdr:to>
        <xdr:sp macro="" textlink="">
          <xdr:nvSpPr>
            <xdr:cNvPr id="263214" name="Check Box 46" hidden="1">
              <a:extLst>
                <a:ext uri="{63B3BB69-23CF-44E3-9099-C40C66FF867C}">
                  <a14:compatExt spid="_x0000_s263214"/>
                </a:ext>
                <a:ext uri="{FF2B5EF4-FFF2-40B4-BE49-F238E27FC236}">
                  <a16:creationId xmlns:a16="http://schemas.microsoft.com/office/drawing/2014/main" id="{00000000-0008-0000-0400-00002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39</xdr:row>
          <xdr:rowOff>0</xdr:rowOff>
        </xdr:from>
        <xdr:to>
          <xdr:col>3</xdr:col>
          <xdr:colOff>1657350</xdr:colOff>
          <xdr:row>40</xdr:row>
          <xdr:rowOff>19050</xdr:rowOff>
        </xdr:to>
        <xdr:sp macro="" textlink="">
          <xdr:nvSpPr>
            <xdr:cNvPr id="263216" name="Check Box 48" hidden="1">
              <a:extLst>
                <a:ext uri="{63B3BB69-23CF-44E3-9099-C40C66FF867C}">
                  <a14:compatExt spid="_x0000_s263216"/>
                </a:ext>
                <a:ext uri="{FF2B5EF4-FFF2-40B4-BE49-F238E27FC236}">
                  <a16:creationId xmlns:a16="http://schemas.microsoft.com/office/drawing/2014/main" id="{00000000-0008-0000-0400-00003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48</xdr:row>
          <xdr:rowOff>171450</xdr:rowOff>
        </xdr:from>
        <xdr:to>
          <xdr:col>3</xdr:col>
          <xdr:colOff>1657350</xdr:colOff>
          <xdr:row>49</xdr:row>
          <xdr:rowOff>180975</xdr:rowOff>
        </xdr:to>
        <xdr:sp macro="" textlink="">
          <xdr:nvSpPr>
            <xdr:cNvPr id="263220" name="Check Box 52" hidden="1">
              <a:extLst>
                <a:ext uri="{63B3BB69-23CF-44E3-9099-C40C66FF867C}">
                  <a14:compatExt spid="_x0000_s263220"/>
                </a:ext>
                <a:ext uri="{FF2B5EF4-FFF2-40B4-BE49-F238E27FC236}">
                  <a16:creationId xmlns:a16="http://schemas.microsoft.com/office/drawing/2014/main" id="{00000000-0008-0000-0400-00003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51</xdr:row>
          <xdr:rowOff>171450</xdr:rowOff>
        </xdr:from>
        <xdr:to>
          <xdr:col>3</xdr:col>
          <xdr:colOff>1657350</xdr:colOff>
          <xdr:row>52</xdr:row>
          <xdr:rowOff>180975</xdr:rowOff>
        </xdr:to>
        <xdr:sp macro="" textlink="">
          <xdr:nvSpPr>
            <xdr:cNvPr id="263221" name="Check Box 53" hidden="1">
              <a:extLst>
                <a:ext uri="{63B3BB69-23CF-44E3-9099-C40C66FF867C}">
                  <a14:compatExt spid="_x0000_s263221"/>
                </a:ext>
                <a:ext uri="{FF2B5EF4-FFF2-40B4-BE49-F238E27FC236}">
                  <a16:creationId xmlns:a16="http://schemas.microsoft.com/office/drawing/2014/main" id="{00000000-0008-0000-0400-00003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69</xdr:row>
          <xdr:rowOff>171450</xdr:rowOff>
        </xdr:from>
        <xdr:to>
          <xdr:col>3</xdr:col>
          <xdr:colOff>1695450</xdr:colOff>
          <xdr:row>70</xdr:row>
          <xdr:rowOff>180975</xdr:rowOff>
        </xdr:to>
        <xdr:sp macro="" textlink="">
          <xdr:nvSpPr>
            <xdr:cNvPr id="263223" name="Check Box 55" hidden="1">
              <a:extLst>
                <a:ext uri="{63B3BB69-23CF-44E3-9099-C40C66FF867C}">
                  <a14:compatExt spid="_x0000_s263223"/>
                </a:ext>
                <a:ext uri="{FF2B5EF4-FFF2-40B4-BE49-F238E27FC236}">
                  <a16:creationId xmlns:a16="http://schemas.microsoft.com/office/drawing/2014/main" id="{00000000-0008-0000-0400-00003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36</xdr:row>
          <xdr:rowOff>0</xdr:rowOff>
        </xdr:from>
        <xdr:to>
          <xdr:col>3</xdr:col>
          <xdr:colOff>1657350</xdr:colOff>
          <xdr:row>37</xdr:row>
          <xdr:rowOff>19050</xdr:rowOff>
        </xdr:to>
        <xdr:sp macro="" textlink="">
          <xdr:nvSpPr>
            <xdr:cNvPr id="263226" name="Check Box 58" hidden="1">
              <a:extLst>
                <a:ext uri="{63B3BB69-23CF-44E3-9099-C40C66FF867C}">
                  <a14:compatExt spid="_x0000_s263226"/>
                </a:ext>
                <a:ext uri="{FF2B5EF4-FFF2-40B4-BE49-F238E27FC236}">
                  <a16:creationId xmlns:a16="http://schemas.microsoft.com/office/drawing/2014/main" id="{00000000-0008-0000-0400-00003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38</xdr:row>
          <xdr:rowOff>0</xdr:rowOff>
        </xdr:from>
        <xdr:to>
          <xdr:col>3</xdr:col>
          <xdr:colOff>1657350</xdr:colOff>
          <xdr:row>39</xdr:row>
          <xdr:rowOff>19050</xdr:rowOff>
        </xdr:to>
        <xdr:sp macro="" textlink="">
          <xdr:nvSpPr>
            <xdr:cNvPr id="263228" name="Check Box 60" hidden="1">
              <a:extLst>
                <a:ext uri="{63B3BB69-23CF-44E3-9099-C40C66FF867C}">
                  <a14:compatExt spid="_x0000_s263228"/>
                </a:ext>
                <a:ext uri="{FF2B5EF4-FFF2-40B4-BE49-F238E27FC236}">
                  <a16:creationId xmlns:a16="http://schemas.microsoft.com/office/drawing/2014/main" id="{00000000-0008-0000-0400-00003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40</xdr:row>
          <xdr:rowOff>0</xdr:rowOff>
        </xdr:from>
        <xdr:to>
          <xdr:col>3</xdr:col>
          <xdr:colOff>1657350</xdr:colOff>
          <xdr:row>41</xdr:row>
          <xdr:rowOff>19050</xdr:rowOff>
        </xdr:to>
        <xdr:sp macro="" textlink="">
          <xdr:nvSpPr>
            <xdr:cNvPr id="263229" name="Check Box 61" hidden="1">
              <a:extLst>
                <a:ext uri="{63B3BB69-23CF-44E3-9099-C40C66FF867C}">
                  <a14:compatExt spid="_x0000_s263229"/>
                </a:ext>
                <a:ext uri="{FF2B5EF4-FFF2-40B4-BE49-F238E27FC236}">
                  <a16:creationId xmlns:a16="http://schemas.microsoft.com/office/drawing/2014/main" id="{00000000-0008-0000-0400-00003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68</xdr:row>
          <xdr:rowOff>190500</xdr:rowOff>
        </xdr:from>
        <xdr:to>
          <xdr:col>3</xdr:col>
          <xdr:colOff>1695450</xdr:colOff>
          <xdr:row>70</xdr:row>
          <xdr:rowOff>0</xdr:rowOff>
        </xdr:to>
        <xdr:sp macro="" textlink="">
          <xdr:nvSpPr>
            <xdr:cNvPr id="263238" name="Check Box 70" hidden="1">
              <a:extLst>
                <a:ext uri="{63B3BB69-23CF-44E3-9099-C40C66FF867C}">
                  <a14:compatExt spid="_x0000_s263238"/>
                </a:ext>
                <a:ext uri="{FF2B5EF4-FFF2-40B4-BE49-F238E27FC236}">
                  <a16:creationId xmlns:a16="http://schemas.microsoft.com/office/drawing/2014/main" id="{00000000-0008-0000-0400-00004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1371600</xdr:colOff>
          <xdr:row>31</xdr:row>
          <xdr:rowOff>152400</xdr:rowOff>
        </xdr:from>
        <xdr:to>
          <xdr:col>3</xdr:col>
          <xdr:colOff>1647825</xdr:colOff>
          <xdr:row>33</xdr:row>
          <xdr:rowOff>19050</xdr:rowOff>
        </xdr:to>
        <xdr:sp macro="" textlink="">
          <xdr:nvSpPr>
            <xdr:cNvPr id="263239" name="Check Box 71" hidden="1">
              <a:extLst>
                <a:ext uri="{63B3BB69-23CF-44E3-9099-C40C66FF867C}">
                  <a14:compatExt spid="_x0000_s263239"/>
                </a:ext>
                <a:ext uri="{FF2B5EF4-FFF2-40B4-BE49-F238E27FC236}">
                  <a16:creationId xmlns:a16="http://schemas.microsoft.com/office/drawing/2014/main" id="{00000000-0008-0000-0400-00004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60</xdr:row>
          <xdr:rowOff>180975</xdr:rowOff>
        </xdr:from>
        <xdr:to>
          <xdr:col>2</xdr:col>
          <xdr:colOff>942975</xdr:colOff>
          <xdr:row>62</xdr:row>
          <xdr:rowOff>28575</xdr:rowOff>
        </xdr:to>
        <xdr:sp macro="" textlink="">
          <xdr:nvSpPr>
            <xdr:cNvPr id="263241" name="Check Box 73" hidden="1">
              <a:extLst>
                <a:ext uri="{63B3BB69-23CF-44E3-9099-C40C66FF867C}">
                  <a14:compatExt spid="_x0000_s263241"/>
                </a:ext>
                <a:ext uri="{FF2B5EF4-FFF2-40B4-BE49-F238E27FC236}">
                  <a16:creationId xmlns:a16="http://schemas.microsoft.com/office/drawing/2014/main" id="{00000000-0008-0000-0400-00004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1019175</xdr:colOff>
          <xdr:row>55</xdr:row>
          <xdr:rowOff>28575</xdr:rowOff>
        </xdr:to>
        <xdr:sp macro="" textlink="">
          <xdr:nvSpPr>
            <xdr:cNvPr id="263242" name="Check Box 74" hidden="1">
              <a:extLst>
                <a:ext uri="{63B3BB69-23CF-44E3-9099-C40C66FF867C}">
                  <a14:compatExt spid="_x0000_s263242"/>
                </a:ext>
                <a:ext uri="{FF2B5EF4-FFF2-40B4-BE49-F238E27FC236}">
                  <a16:creationId xmlns:a16="http://schemas.microsoft.com/office/drawing/2014/main" id="{00000000-0008-0000-0400-00004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190500</xdr:rowOff>
        </xdr:from>
        <xdr:to>
          <xdr:col>2</xdr:col>
          <xdr:colOff>1019175</xdr:colOff>
          <xdr:row>59</xdr:row>
          <xdr:rowOff>28575</xdr:rowOff>
        </xdr:to>
        <xdr:sp macro="" textlink="">
          <xdr:nvSpPr>
            <xdr:cNvPr id="263251" name="Check Box 83" hidden="1">
              <a:extLst>
                <a:ext uri="{63B3BB69-23CF-44E3-9099-C40C66FF867C}">
                  <a14:compatExt spid="_x0000_s263251"/>
                </a:ext>
                <a:ext uri="{FF2B5EF4-FFF2-40B4-BE49-F238E27FC236}">
                  <a16:creationId xmlns:a16="http://schemas.microsoft.com/office/drawing/2014/main" id="{00000000-0008-0000-0400-00005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78</xdr:row>
          <xdr:rowOff>0</xdr:rowOff>
        </xdr:from>
        <xdr:to>
          <xdr:col>2</xdr:col>
          <xdr:colOff>962025</xdr:colOff>
          <xdr:row>79</xdr:row>
          <xdr:rowOff>19050</xdr:rowOff>
        </xdr:to>
        <xdr:sp macro="" textlink="">
          <xdr:nvSpPr>
            <xdr:cNvPr id="263256" name="Check Box 88" hidden="1">
              <a:extLst>
                <a:ext uri="{63B3BB69-23CF-44E3-9099-C40C66FF867C}">
                  <a14:compatExt spid="_x0000_s263256"/>
                </a:ext>
                <a:ext uri="{FF2B5EF4-FFF2-40B4-BE49-F238E27FC236}">
                  <a16:creationId xmlns:a16="http://schemas.microsoft.com/office/drawing/2014/main" id="{00000000-0008-0000-0400-00005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74</xdr:row>
          <xdr:rowOff>257175</xdr:rowOff>
        </xdr:from>
        <xdr:to>
          <xdr:col>2</xdr:col>
          <xdr:colOff>1038225</xdr:colOff>
          <xdr:row>76</xdr:row>
          <xdr:rowOff>38100</xdr:rowOff>
        </xdr:to>
        <xdr:sp macro="" textlink="">
          <xdr:nvSpPr>
            <xdr:cNvPr id="263257" name="Check Box 89" hidden="1">
              <a:extLst>
                <a:ext uri="{63B3BB69-23CF-44E3-9099-C40C66FF867C}">
                  <a14:compatExt spid="_x0000_s263257"/>
                </a:ext>
                <a:ext uri="{FF2B5EF4-FFF2-40B4-BE49-F238E27FC236}">
                  <a16:creationId xmlns:a16="http://schemas.microsoft.com/office/drawing/2014/main" id="{00000000-0008-0000-0400-00005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75</xdr:row>
          <xdr:rowOff>180975</xdr:rowOff>
        </xdr:from>
        <xdr:to>
          <xdr:col>2</xdr:col>
          <xdr:colOff>962025</xdr:colOff>
          <xdr:row>77</xdr:row>
          <xdr:rowOff>38100</xdr:rowOff>
        </xdr:to>
        <xdr:sp macro="" textlink="">
          <xdr:nvSpPr>
            <xdr:cNvPr id="263259" name="Check Box 91" hidden="1">
              <a:extLst>
                <a:ext uri="{63B3BB69-23CF-44E3-9099-C40C66FF867C}">
                  <a14:compatExt spid="_x0000_s263259"/>
                </a:ext>
                <a:ext uri="{FF2B5EF4-FFF2-40B4-BE49-F238E27FC236}">
                  <a16:creationId xmlns:a16="http://schemas.microsoft.com/office/drawing/2014/main" id="{00000000-0008-0000-0400-00005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171450</xdr:rowOff>
        </xdr:from>
        <xdr:to>
          <xdr:col>2</xdr:col>
          <xdr:colOff>962025</xdr:colOff>
          <xdr:row>78</xdr:row>
          <xdr:rowOff>38100</xdr:rowOff>
        </xdr:to>
        <xdr:sp macro="" textlink="">
          <xdr:nvSpPr>
            <xdr:cNvPr id="263265" name="Check Box 97" hidden="1">
              <a:extLst>
                <a:ext uri="{63B3BB69-23CF-44E3-9099-C40C66FF867C}">
                  <a14:compatExt spid="_x0000_s263265"/>
                </a:ext>
                <a:ext uri="{FF2B5EF4-FFF2-40B4-BE49-F238E27FC236}">
                  <a16:creationId xmlns:a16="http://schemas.microsoft.com/office/drawing/2014/main" id="{00000000-0008-0000-0400-00006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0</xdr:rowOff>
        </xdr:from>
        <xdr:to>
          <xdr:col>2</xdr:col>
          <xdr:colOff>962025</xdr:colOff>
          <xdr:row>77</xdr:row>
          <xdr:rowOff>47625</xdr:rowOff>
        </xdr:to>
        <xdr:sp macro="" textlink="">
          <xdr:nvSpPr>
            <xdr:cNvPr id="263266" name="Check Box 98" hidden="1">
              <a:extLst>
                <a:ext uri="{63B3BB69-23CF-44E3-9099-C40C66FF867C}">
                  <a14:compatExt spid="_x0000_s263266"/>
                </a:ext>
                <a:ext uri="{FF2B5EF4-FFF2-40B4-BE49-F238E27FC236}">
                  <a16:creationId xmlns:a16="http://schemas.microsoft.com/office/drawing/2014/main" id="{00000000-0008-0000-0400-00006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93</xdr:row>
          <xdr:rowOff>28575</xdr:rowOff>
        </xdr:from>
        <xdr:to>
          <xdr:col>2</xdr:col>
          <xdr:colOff>914400</xdr:colOff>
          <xdr:row>94</xdr:row>
          <xdr:rowOff>9525</xdr:rowOff>
        </xdr:to>
        <xdr:sp macro="" textlink="">
          <xdr:nvSpPr>
            <xdr:cNvPr id="263271" name="Check Box 103" hidden="1">
              <a:extLst>
                <a:ext uri="{63B3BB69-23CF-44E3-9099-C40C66FF867C}">
                  <a14:compatExt spid="_x0000_s263271"/>
                </a:ext>
                <a:ext uri="{FF2B5EF4-FFF2-40B4-BE49-F238E27FC236}">
                  <a16:creationId xmlns:a16="http://schemas.microsoft.com/office/drawing/2014/main" id="{00000000-0008-0000-0400-00006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94</xdr:row>
          <xdr:rowOff>28575</xdr:rowOff>
        </xdr:from>
        <xdr:to>
          <xdr:col>2</xdr:col>
          <xdr:colOff>914400</xdr:colOff>
          <xdr:row>95</xdr:row>
          <xdr:rowOff>9525</xdr:rowOff>
        </xdr:to>
        <xdr:sp macro="" textlink="">
          <xdr:nvSpPr>
            <xdr:cNvPr id="263272" name="Check Box 104" hidden="1">
              <a:extLst>
                <a:ext uri="{63B3BB69-23CF-44E3-9099-C40C66FF867C}">
                  <a14:compatExt spid="_x0000_s263272"/>
                </a:ext>
                <a:ext uri="{FF2B5EF4-FFF2-40B4-BE49-F238E27FC236}">
                  <a16:creationId xmlns:a16="http://schemas.microsoft.com/office/drawing/2014/main" id="{00000000-0008-0000-0400-00006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0</xdr:rowOff>
        </xdr:from>
        <xdr:to>
          <xdr:col>2</xdr:col>
          <xdr:colOff>914400</xdr:colOff>
          <xdr:row>96</xdr:row>
          <xdr:rowOff>171450</xdr:rowOff>
        </xdr:to>
        <xdr:sp macro="" textlink="">
          <xdr:nvSpPr>
            <xdr:cNvPr id="263273" name="Check Box 105" hidden="1">
              <a:extLst>
                <a:ext uri="{63B3BB69-23CF-44E3-9099-C40C66FF867C}">
                  <a14:compatExt spid="_x0000_s263273"/>
                </a:ext>
                <a:ext uri="{FF2B5EF4-FFF2-40B4-BE49-F238E27FC236}">
                  <a16:creationId xmlns:a16="http://schemas.microsoft.com/office/drawing/2014/main" id="{00000000-0008-0000-0400-00006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28575</xdr:rowOff>
        </xdr:from>
        <xdr:to>
          <xdr:col>2</xdr:col>
          <xdr:colOff>914400</xdr:colOff>
          <xdr:row>97</xdr:row>
          <xdr:rowOff>9525</xdr:rowOff>
        </xdr:to>
        <xdr:sp macro="" textlink="">
          <xdr:nvSpPr>
            <xdr:cNvPr id="263275" name="Check Box 107" hidden="1">
              <a:extLst>
                <a:ext uri="{63B3BB69-23CF-44E3-9099-C40C66FF867C}">
                  <a14:compatExt spid="_x0000_s263275"/>
                </a:ext>
                <a:ext uri="{FF2B5EF4-FFF2-40B4-BE49-F238E27FC236}">
                  <a16:creationId xmlns:a16="http://schemas.microsoft.com/office/drawing/2014/main" id="{00000000-0008-0000-0400-00006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95</xdr:row>
          <xdr:rowOff>28575</xdr:rowOff>
        </xdr:from>
        <xdr:to>
          <xdr:col>2</xdr:col>
          <xdr:colOff>914400</xdr:colOff>
          <xdr:row>96</xdr:row>
          <xdr:rowOff>9525</xdr:rowOff>
        </xdr:to>
        <xdr:sp macro="" textlink="">
          <xdr:nvSpPr>
            <xdr:cNvPr id="263277" name="Check Box 109" hidden="1">
              <a:extLst>
                <a:ext uri="{63B3BB69-23CF-44E3-9099-C40C66FF867C}">
                  <a14:compatExt spid="_x0000_s263277"/>
                </a:ext>
                <a:ext uri="{FF2B5EF4-FFF2-40B4-BE49-F238E27FC236}">
                  <a16:creationId xmlns:a16="http://schemas.microsoft.com/office/drawing/2014/main" id="{00000000-0008-0000-0400-00006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98</xdr:row>
          <xdr:rowOff>0</xdr:rowOff>
        </xdr:from>
        <xdr:to>
          <xdr:col>2</xdr:col>
          <xdr:colOff>942975</xdr:colOff>
          <xdr:row>98</xdr:row>
          <xdr:rowOff>180975</xdr:rowOff>
        </xdr:to>
        <xdr:sp macro="" textlink="">
          <xdr:nvSpPr>
            <xdr:cNvPr id="263282" name="Check Box 114" hidden="1">
              <a:extLst>
                <a:ext uri="{63B3BB69-23CF-44E3-9099-C40C66FF867C}">
                  <a14:compatExt spid="_x0000_s263282"/>
                </a:ext>
                <a:ext uri="{FF2B5EF4-FFF2-40B4-BE49-F238E27FC236}">
                  <a16:creationId xmlns:a16="http://schemas.microsoft.com/office/drawing/2014/main" id="{00000000-0008-0000-0400-00007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92</xdr:row>
          <xdr:rowOff>28575</xdr:rowOff>
        </xdr:from>
        <xdr:to>
          <xdr:col>2</xdr:col>
          <xdr:colOff>914400</xdr:colOff>
          <xdr:row>93</xdr:row>
          <xdr:rowOff>9525</xdr:rowOff>
        </xdr:to>
        <xdr:sp macro="" textlink="">
          <xdr:nvSpPr>
            <xdr:cNvPr id="263283" name="Check Box 115" hidden="1">
              <a:extLst>
                <a:ext uri="{63B3BB69-23CF-44E3-9099-C40C66FF867C}">
                  <a14:compatExt spid="_x0000_s263283"/>
                </a:ext>
                <a:ext uri="{FF2B5EF4-FFF2-40B4-BE49-F238E27FC236}">
                  <a16:creationId xmlns:a16="http://schemas.microsoft.com/office/drawing/2014/main" id="{00000000-0008-0000-0400-00007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112</xdr:row>
          <xdr:rowOff>9525</xdr:rowOff>
        </xdr:from>
        <xdr:to>
          <xdr:col>3</xdr:col>
          <xdr:colOff>1790700</xdr:colOff>
          <xdr:row>113</xdr:row>
          <xdr:rowOff>9525</xdr:rowOff>
        </xdr:to>
        <xdr:sp macro="" textlink="">
          <xdr:nvSpPr>
            <xdr:cNvPr id="263292" name="Check Box 124" hidden="1">
              <a:extLst>
                <a:ext uri="{63B3BB69-23CF-44E3-9099-C40C66FF867C}">
                  <a14:compatExt spid="_x0000_s263292"/>
                </a:ext>
                <a:ext uri="{FF2B5EF4-FFF2-40B4-BE49-F238E27FC236}">
                  <a16:creationId xmlns:a16="http://schemas.microsoft.com/office/drawing/2014/main" id="{00000000-0008-0000-0400-00007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9525</xdr:rowOff>
        </xdr:from>
        <xdr:to>
          <xdr:col>3</xdr:col>
          <xdr:colOff>1790700</xdr:colOff>
          <xdr:row>115</xdr:row>
          <xdr:rowOff>9525</xdr:rowOff>
        </xdr:to>
        <xdr:sp macro="" textlink="">
          <xdr:nvSpPr>
            <xdr:cNvPr id="263293" name="Check Box 125" hidden="1">
              <a:extLst>
                <a:ext uri="{63B3BB69-23CF-44E3-9099-C40C66FF867C}">
                  <a14:compatExt spid="_x0000_s263293"/>
                </a:ext>
                <a:ext uri="{FF2B5EF4-FFF2-40B4-BE49-F238E27FC236}">
                  <a16:creationId xmlns:a16="http://schemas.microsoft.com/office/drawing/2014/main" id="{00000000-0008-0000-0400-00007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117</xdr:row>
          <xdr:rowOff>9525</xdr:rowOff>
        </xdr:from>
        <xdr:to>
          <xdr:col>3</xdr:col>
          <xdr:colOff>1790700</xdr:colOff>
          <xdr:row>118</xdr:row>
          <xdr:rowOff>9525</xdr:rowOff>
        </xdr:to>
        <xdr:sp macro="" textlink="">
          <xdr:nvSpPr>
            <xdr:cNvPr id="263297" name="Check Box 129" hidden="1">
              <a:extLst>
                <a:ext uri="{63B3BB69-23CF-44E3-9099-C40C66FF867C}">
                  <a14:compatExt spid="_x0000_s263297"/>
                </a:ext>
                <a:ext uri="{FF2B5EF4-FFF2-40B4-BE49-F238E27FC236}">
                  <a16:creationId xmlns:a16="http://schemas.microsoft.com/office/drawing/2014/main" id="{00000000-0008-0000-0400-00008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118</xdr:row>
          <xdr:rowOff>9525</xdr:rowOff>
        </xdr:from>
        <xdr:to>
          <xdr:col>3</xdr:col>
          <xdr:colOff>1790700</xdr:colOff>
          <xdr:row>119</xdr:row>
          <xdr:rowOff>9525</xdr:rowOff>
        </xdr:to>
        <xdr:sp macro="" textlink="">
          <xdr:nvSpPr>
            <xdr:cNvPr id="263298" name="Check Box 130" hidden="1">
              <a:extLst>
                <a:ext uri="{63B3BB69-23CF-44E3-9099-C40C66FF867C}">
                  <a14:compatExt spid="_x0000_s263298"/>
                </a:ext>
                <a:ext uri="{FF2B5EF4-FFF2-40B4-BE49-F238E27FC236}">
                  <a16:creationId xmlns:a16="http://schemas.microsoft.com/office/drawing/2014/main" id="{00000000-0008-0000-0400-00008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119</xdr:row>
          <xdr:rowOff>9525</xdr:rowOff>
        </xdr:from>
        <xdr:to>
          <xdr:col>3</xdr:col>
          <xdr:colOff>1790700</xdr:colOff>
          <xdr:row>120</xdr:row>
          <xdr:rowOff>9525</xdr:rowOff>
        </xdr:to>
        <xdr:sp macro="" textlink="">
          <xdr:nvSpPr>
            <xdr:cNvPr id="263299" name="Check Box 131" hidden="1">
              <a:extLst>
                <a:ext uri="{63B3BB69-23CF-44E3-9099-C40C66FF867C}">
                  <a14:compatExt spid="_x0000_s263299"/>
                </a:ext>
                <a:ext uri="{FF2B5EF4-FFF2-40B4-BE49-F238E27FC236}">
                  <a16:creationId xmlns:a16="http://schemas.microsoft.com/office/drawing/2014/main" id="{00000000-0008-0000-0400-00008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120</xdr:row>
          <xdr:rowOff>9525</xdr:rowOff>
        </xdr:from>
        <xdr:to>
          <xdr:col>3</xdr:col>
          <xdr:colOff>1790700</xdr:colOff>
          <xdr:row>121</xdr:row>
          <xdr:rowOff>9525</xdr:rowOff>
        </xdr:to>
        <xdr:sp macro="" textlink="">
          <xdr:nvSpPr>
            <xdr:cNvPr id="263300" name="Check Box 132" hidden="1">
              <a:extLst>
                <a:ext uri="{63B3BB69-23CF-44E3-9099-C40C66FF867C}">
                  <a14:compatExt spid="_x0000_s263300"/>
                </a:ext>
                <a:ext uri="{FF2B5EF4-FFF2-40B4-BE49-F238E27FC236}">
                  <a16:creationId xmlns:a16="http://schemas.microsoft.com/office/drawing/2014/main" id="{00000000-0008-0000-0400-00008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121</xdr:row>
          <xdr:rowOff>9525</xdr:rowOff>
        </xdr:from>
        <xdr:to>
          <xdr:col>3</xdr:col>
          <xdr:colOff>1790700</xdr:colOff>
          <xdr:row>122</xdr:row>
          <xdr:rowOff>9525</xdr:rowOff>
        </xdr:to>
        <xdr:sp macro="" textlink="">
          <xdr:nvSpPr>
            <xdr:cNvPr id="263301" name="Check Box 133" hidden="1">
              <a:extLst>
                <a:ext uri="{63B3BB69-23CF-44E3-9099-C40C66FF867C}">
                  <a14:compatExt spid="_x0000_s263301"/>
                </a:ext>
                <a:ext uri="{FF2B5EF4-FFF2-40B4-BE49-F238E27FC236}">
                  <a16:creationId xmlns:a16="http://schemas.microsoft.com/office/drawing/2014/main" id="{00000000-0008-0000-0400-00008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122</xdr:row>
          <xdr:rowOff>9525</xdr:rowOff>
        </xdr:from>
        <xdr:to>
          <xdr:col>3</xdr:col>
          <xdr:colOff>1790700</xdr:colOff>
          <xdr:row>123</xdr:row>
          <xdr:rowOff>9525</xdr:rowOff>
        </xdr:to>
        <xdr:sp macro="" textlink="">
          <xdr:nvSpPr>
            <xdr:cNvPr id="263306" name="Check Box 138" hidden="1">
              <a:extLst>
                <a:ext uri="{63B3BB69-23CF-44E3-9099-C40C66FF867C}">
                  <a14:compatExt spid="_x0000_s263306"/>
                </a:ext>
                <a:ext uri="{FF2B5EF4-FFF2-40B4-BE49-F238E27FC236}">
                  <a16:creationId xmlns:a16="http://schemas.microsoft.com/office/drawing/2014/main" id="{00000000-0008-0000-0400-00008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0</xdr:rowOff>
        </xdr:from>
        <xdr:to>
          <xdr:col>3</xdr:col>
          <xdr:colOff>1790700</xdr:colOff>
          <xdr:row>124</xdr:row>
          <xdr:rowOff>0</xdr:rowOff>
        </xdr:to>
        <xdr:sp macro="" textlink="">
          <xdr:nvSpPr>
            <xdr:cNvPr id="263307" name="Check Box 139" hidden="1">
              <a:extLst>
                <a:ext uri="{63B3BB69-23CF-44E3-9099-C40C66FF867C}">
                  <a14:compatExt spid="_x0000_s263307"/>
                </a:ext>
                <a:ext uri="{FF2B5EF4-FFF2-40B4-BE49-F238E27FC236}">
                  <a16:creationId xmlns:a16="http://schemas.microsoft.com/office/drawing/2014/main" id="{00000000-0008-0000-0400-00008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9525</xdr:rowOff>
        </xdr:from>
        <xdr:to>
          <xdr:col>3</xdr:col>
          <xdr:colOff>1800225</xdr:colOff>
          <xdr:row>124</xdr:row>
          <xdr:rowOff>9525</xdr:rowOff>
        </xdr:to>
        <xdr:sp macro="" textlink="">
          <xdr:nvSpPr>
            <xdr:cNvPr id="263312" name="Check Box 144" hidden="1">
              <a:extLst>
                <a:ext uri="{63B3BB69-23CF-44E3-9099-C40C66FF867C}">
                  <a14:compatExt spid="_x0000_s263312"/>
                </a:ext>
                <a:ext uri="{FF2B5EF4-FFF2-40B4-BE49-F238E27FC236}">
                  <a16:creationId xmlns:a16="http://schemas.microsoft.com/office/drawing/2014/main" id="{00000000-0008-0000-0400-00009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9525</xdr:rowOff>
        </xdr:from>
        <xdr:to>
          <xdr:col>3</xdr:col>
          <xdr:colOff>1781175</xdr:colOff>
          <xdr:row>130</xdr:row>
          <xdr:rowOff>9525</xdr:rowOff>
        </xdr:to>
        <xdr:sp macro="" textlink="">
          <xdr:nvSpPr>
            <xdr:cNvPr id="263314" name="Check Box 146" hidden="1">
              <a:extLst>
                <a:ext uri="{63B3BB69-23CF-44E3-9099-C40C66FF867C}">
                  <a14:compatExt spid="_x0000_s263314"/>
                </a:ext>
                <a:ext uri="{FF2B5EF4-FFF2-40B4-BE49-F238E27FC236}">
                  <a16:creationId xmlns:a16="http://schemas.microsoft.com/office/drawing/2014/main" id="{00000000-0008-0000-0400-00009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131</xdr:row>
          <xdr:rowOff>9525</xdr:rowOff>
        </xdr:from>
        <xdr:to>
          <xdr:col>3</xdr:col>
          <xdr:colOff>1781175</xdr:colOff>
          <xdr:row>132</xdr:row>
          <xdr:rowOff>9525</xdr:rowOff>
        </xdr:to>
        <xdr:sp macro="" textlink="">
          <xdr:nvSpPr>
            <xdr:cNvPr id="263315" name="Check Box 147" hidden="1">
              <a:extLst>
                <a:ext uri="{63B3BB69-23CF-44E3-9099-C40C66FF867C}">
                  <a14:compatExt spid="_x0000_s263315"/>
                </a:ext>
                <a:ext uri="{FF2B5EF4-FFF2-40B4-BE49-F238E27FC236}">
                  <a16:creationId xmlns:a16="http://schemas.microsoft.com/office/drawing/2014/main" id="{00000000-0008-0000-0400-00009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133</xdr:row>
          <xdr:rowOff>9525</xdr:rowOff>
        </xdr:from>
        <xdr:to>
          <xdr:col>3</xdr:col>
          <xdr:colOff>1781175</xdr:colOff>
          <xdr:row>134</xdr:row>
          <xdr:rowOff>9525</xdr:rowOff>
        </xdr:to>
        <xdr:sp macro="" textlink="">
          <xdr:nvSpPr>
            <xdr:cNvPr id="263319" name="Check Box 151" hidden="1">
              <a:extLst>
                <a:ext uri="{63B3BB69-23CF-44E3-9099-C40C66FF867C}">
                  <a14:compatExt spid="_x0000_s263319"/>
                </a:ext>
                <a:ext uri="{FF2B5EF4-FFF2-40B4-BE49-F238E27FC236}">
                  <a16:creationId xmlns:a16="http://schemas.microsoft.com/office/drawing/2014/main" id="{00000000-0008-0000-0400-00009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9525</xdr:rowOff>
        </xdr:from>
        <xdr:to>
          <xdr:col>3</xdr:col>
          <xdr:colOff>1781175</xdr:colOff>
          <xdr:row>152</xdr:row>
          <xdr:rowOff>9525</xdr:rowOff>
        </xdr:to>
        <xdr:sp macro="" textlink="">
          <xdr:nvSpPr>
            <xdr:cNvPr id="263320" name="Check Box 152" hidden="1">
              <a:extLst>
                <a:ext uri="{63B3BB69-23CF-44E3-9099-C40C66FF867C}">
                  <a14:compatExt spid="_x0000_s263320"/>
                </a:ext>
                <a:ext uri="{FF2B5EF4-FFF2-40B4-BE49-F238E27FC236}">
                  <a16:creationId xmlns:a16="http://schemas.microsoft.com/office/drawing/2014/main" id="{00000000-0008-0000-0400-00009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111</xdr:row>
          <xdr:rowOff>9525</xdr:rowOff>
        </xdr:from>
        <xdr:to>
          <xdr:col>3</xdr:col>
          <xdr:colOff>1790700</xdr:colOff>
          <xdr:row>112</xdr:row>
          <xdr:rowOff>9525</xdr:rowOff>
        </xdr:to>
        <xdr:sp macro="" textlink="">
          <xdr:nvSpPr>
            <xdr:cNvPr id="263321" name="Check Box 153" hidden="1">
              <a:extLst>
                <a:ext uri="{63B3BB69-23CF-44E3-9099-C40C66FF867C}">
                  <a14:compatExt spid="_x0000_s263321"/>
                </a:ext>
                <a:ext uri="{FF2B5EF4-FFF2-40B4-BE49-F238E27FC236}">
                  <a16:creationId xmlns:a16="http://schemas.microsoft.com/office/drawing/2014/main" id="{00000000-0008-0000-0400-00009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9525</xdr:rowOff>
        </xdr:from>
        <xdr:to>
          <xdr:col>3</xdr:col>
          <xdr:colOff>1781175</xdr:colOff>
          <xdr:row>135</xdr:row>
          <xdr:rowOff>9525</xdr:rowOff>
        </xdr:to>
        <xdr:sp macro="" textlink="">
          <xdr:nvSpPr>
            <xdr:cNvPr id="263322" name="Check Box 154" hidden="1">
              <a:extLst>
                <a:ext uri="{63B3BB69-23CF-44E3-9099-C40C66FF867C}">
                  <a14:compatExt spid="_x0000_s263322"/>
                </a:ext>
                <a:ext uri="{FF2B5EF4-FFF2-40B4-BE49-F238E27FC236}">
                  <a16:creationId xmlns:a16="http://schemas.microsoft.com/office/drawing/2014/main" id="{00000000-0008-0000-0400-00009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146</xdr:row>
          <xdr:rowOff>9525</xdr:rowOff>
        </xdr:from>
        <xdr:to>
          <xdr:col>3</xdr:col>
          <xdr:colOff>1781175</xdr:colOff>
          <xdr:row>147</xdr:row>
          <xdr:rowOff>9525</xdr:rowOff>
        </xdr:to>
        <xdr:sp macro="" textlink="">
          <xdr:nvSpPr>
            <xdr:cNvPr id="263340" name="Check Box 172" hidden="1">
              <a:extLst>
                <a:ext uri="{63B3BB69-23CF-44E3-9099-C40C66FF867C}">
                  <a14:compatExt spid="_x0000_s263340"/>
                </a:ext>
                <a:ext uri="{FF2B5EF4-FFF2-40B4-BE49-F238E27FC236}">
                  <a16:creationId xmlns:a16="http://schemas.microsoft.com/office/drawing/2014/main" id="{00000000-0008-0000-0400-0000A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147</xdr:row>
          <xdr:rowOff>9525</xdr:rowOff>
        </xdr:from>
        <xdr:to>
          <xdr:col>3</xdr:col>
          <xdr:colOff>1781175</xdr:colOff>
          <xdr:row>148</xdr:row>
          <xdr:rowOff>9525</xdr:rowOff>
        </xdr:to>
        <xdr:sp macro="" textlink="">
          <xdr:nvSpPr>
            <xdr:cNvPr id="263341" name="Check Box 173" hidden="1">
              <a:extLst>
                <a:ext uri="{63B3BB69-23CF-44E3-9099-C40C66FF867C}">
                  <a14:compatExt spid="_x0000_s263341"/>
                </a:ext>
                <a:ext uri="{FF2B5EF4-FFF2-40B4-BE49-F238E27FC236}">
                  <a16:creationId xmlns:a16="http://schemas.microsoft.com/office/drawing/2014/main" id="{00000000-0008-0000-0400-0000A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154</xdr:row>
          <xdr:rowOff>180975</xdr:rowOff>
        </xdr:from>
        <xdr:to>
          <xdr:col>3</xdr:col>
          <xdr:colOff>1790700</xdr:colOff>
          <xdr:row>155</xdr:row>
          <xdr:rowOff>180975</xdr:rowOff>
        </xdr:to>
        <xdr:sp macro="" textlink="">
          <xdr:nvSpPr>
            <xdr:cNvPr id="263344" name="Check Box 176" hidden="1">
              <a:extLst>
                <a:ext uri="{63B3BB69-23CF-44E3-9099-C40C66FF867C}">
                  <a14:compatExt spid="_x0000_s263344"/>
                </a:ext>
                <a:ext uri="{FF2B5EF4-FFF2-40B4-BE49-F238E27FC236}">
                  <a16:creationId xmlns:a16="http://schemas.microsoft.com/office/drawing/2014/main" id="{00000000-0008-0000-0400-0000B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157</xdr:row>
          <xdr:rowOff>0</xdr:rowOff>
        </xdr:from>
        <xdr:to>
          <xdr:col>3</xdr:col>
          <xdr:colOff>1800225</xdr:colOff>
          <xdr:row>158</xdr:row>
          <xdr:rowOff>0</xdr:rowOff>
        </xdr:to>
        <xdr:sp macro="" textlink="">
          <xdr:nvSpPr>
            <xdr:cNvPr id="263345" name="Check Box 177" hidden="1">
              <a:extLst>
                <a:ext uri="{63B3BB69-23CF-44E3-9099-C40C66FF867C}">
                  <a14:compatExt spid="_x0000_s263345"/>
                </a:ext>
                <a:ext uri="{FF2B5EF4-FFF2-40B4-BE49-F238E27FC236}">
                  <a16:creationId xmlns:a16="http://schemas.microsoft.com/office/drawing/2014/main" id="{00000000-0008-0000-0400-0000B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0</xdr:rowOff>
        </xdr:from>
        <xdr:to>
          <xdr:col>3</xdr:col>
          <xdr:colOff>1800225</xdr:colOff>
          <xdr:row>159</xdr:row>
          <xdr:rowOff>0</xdr:rowOff>
        </xdr:to>
        <xdr:sp macro="" textlink="">
          <xdr:nvSpPr>
            <xdr:cNvPr id="263346" name="Check Box 178" hidden="1">
              <a:extLst>
                <a:ext uri="{63B3BB69-23CF-44E3-9099-C40C66FF867C}">
                  <a14:compatExt spid="_x0000_s263346"/>
                </a:ext>
                <a:ext uri="{FF2B5EF4-FFF2-40B4-BE49-F238E27FC236}">
                  <a16:creationId xmlns:a16="http://schemas.microsoft.com/office/drawing/2014/main" id="{00000000-0008-0000-0400-0000B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161</xdr:row>
          <xdr:rowOff>0</xdr:rowOff>
        </xdr:from>
        <xdr:to>
          <xdr:col>3</xdr:col>
          <xdr:colOff>1800225</xdr:colOff>
          <xdr:row>162</xdr:row>
          <xdr:rowOff>0</xdr:rowOff>
        </xdr:to>
        <xdr:sp macro="" textlink="">
          <xdr:nvSpPr>
            <xdr:cNvPr id="263351" name="Check Box 183" hidden="1">
              <a:extLst>
                <a:ext uri="{63B3BB69-23CF-44E3-9099-C40C66FF867C}">
                  <a14:compatExt spid="_x0000_s263351"/>
                </a:ext>
                <a:ext uri="{FF2B5EF4-FFF2-40B4-BE49-F238E27FC236}">
                  <a16:creationId xmlns:a16="http://schemas.microsoft.com/office/drawing/2014/main" id="{00000000-0008-0000-0400-0000B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162</xdr:row>
          <xdr:rowOff>0</xdr:rowOff>
        </xdr:from>
        <xdr:to>
          <xdr:col>3</xdr:col>
          <xdr:colOff>1800225</xdr:colOff>
          <xdr:row>163</xdr:row>
          <xdr:rowOff>0</xdr:rowOff>
        </xdr:to>
        <xdr:sp macro="" textlink="">
          <xdr:nvSpPr>
            <xdr:cNvPr id="263352" name="Check Box 184" hidden="1">
              <a:extLst>
                <a:ext uri="{63B3BB69-23CF-44E3-9099-C40C66FF867C}">
                  <a14:compatExt spid="_x0000_s263352"/>
                </a:ext>
                <a:ext uri="{FF2B5EF4-FFF2-40B4-BE49-F238E27FC236}">
                  <a16:creationId xmlns:a16="http://schemas.microsoft.com/office/drawing/2014/main" id="{00000000-0008-0000-0400-0000B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167</xdr:row>
          <xdr:rowOff>0</xdr:rowOff>
        </xdr:from>
        <xdr:to>
          <xdr:col>3</xdr:col>
          <xdr:colOff>1800225</xdr:colOff>
          <xdr:row>168</xdr:row>
          <xdr:rowOff>0</xdr:rowOff>
        </xdr:to>
        <xdr:sp macro="" textlink="">
          <xdr:nvSpPr>
            <xdr:cNvPr id="263354" name="Check Box 186" hidden="1">
              <a:extLst>
                <a:ext uri="{63B3BB69-23CF-44E3-9099-C40C66FF867C}">
                  <a14:compatExt spid="_x0000_s263354"/>
                </a:ext>
                <a:ext uri="{FF2B5EF4-FFF2-40B4-BE49-F238E27FC236}">
                  <a16:creationId xmlns:a16="http://schemas.microsoft.com/office/drawing/2014/main" id="{00000000-0008-0000-0400-0000B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168</xdr:row>
          <xdr:rowOff>0</xdr:rowOff>
        </xdr:from>
        <xdr:to>
          <xdr:col>3</xdr:col>
          <xdr:colOff>1800225</xdr:colOff>
          <xdr:row>169</xdr:row>
          <xdr:rowOff>0</xdr:rowOff>
        </xdr:to>
        <xdr:sp macro="" textlink="">
          <xdr:nvSpPr>
            <xdr:cNvPr id="263355" name="Check Box 187" hidden="1">
              <a:extLst>
                <a:ext uri="{63B3BB69-23CF-44E3-9099-C40C66FF867C}">
                  <a14:compatExt spid="_x0000_s263355"/>
                </a:ext>
                <a:ext uri="{FF2B5EF4-FFF2-40B4-BE49-F238E27FC236}">
                  <a16:creationId xmlns:a16="http://schemas.microsoft.com/office/drawing/2014/main" id="{00000000-0008-0000-0400-0000B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169</xdr:row>
          <xdr:rowOff>0</xdr:rowOff>
        </xdr:from>
        <xdr:to>
          <xdr:col>3</xdr:col>
          <xdr:colOff>1800225</xdr:colOff>
          <xdr:row>170</xdr:row>
          <xdr:rowOff>0</xdr:rowOff>
        </xdr:to>
        <xdr:sp macro="" textlink="">
          <xdr:nvSpPr>
            <xdr:cNvPr id="263356" name="Check Box 188" hidden="1">
              <a:extLst>
                <a:ext uri="{63B3BB69-23CF-44E3-9099-C40C66FF867C}">
                  <a14:compatExt spid="_x0000_s263356"/>
                </a:ext>
                <a:ext uri="{FF2B5EF4-FFF2-40B4-BE49-F238E27FC236}">
                  <a16:creationId xmlns:a16="http://schemas.microsoft.com/office/drawing/2014/main" id="{00000000-0008-0000-0400-0000B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170</xdr:row>
          <xdr:rowOff>0</xdr:rowOff>
        </xdr:from>
        <xdr:to>
          <xdr:col>3</xdr:col>
          <xdr:colOff>1800225</xdr:colOff>
          <xdr:row>171</xdr:row>
          <xdr:rowOff>0</xdr:rowOff>
        </xdr:to>
        <xdr:sp macro="" textlink="">
          <xdr:nvSpPr>
            <xdr:cNvPr id="263359" name="Check Box 191" hidden="1">
              <a:extLst>
                <a:ext uri="{63B3BB69-23CF-44E3-9099-C40C66FF867C}">
                  <a14:compatExt spid="_x0000_s263359"/>
                </a:ext>
                <a:ext uri="{FF2B5EF4-FFF2-40B4-BE49-F238E27FC236}">
                  <a16:creationId xmlns:a16="http://schemas.microsoft.com/office/drawing/2014/main" id="{00000000-0008-0000-0400-0000B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171</xdr:row>
          <xdr:rowOff>0</xdr:rowOff>
        </xdr:from>
        <xdr:to>
          <xdr:col>3</xdr:col>
          <xdr:colOff>1800225</xdr:colOff>
          <xdr:row>172</xdr:row>
          <xdr:rowOff>0</xdr:rowOff>
        </xdr:to>
        <xdr:sp macro="" textlink="">
          <xdr:nvSpPr>
            <xdr:cNvPr id="263360" name="Check Box 192" hidden="1">
              <a:extLst>
                <a:ext uri="{63B3BB69-23CF-44E3-9099-C40C66FF867C}">
                  <a14:compatExt spid="_x0000_s263360"/>
                </a:ext>
                <a:ext uri="{FF2B5EF4-FFF2-40B4-BE49-F238E27FC236}">
                  <a16:creationId xmlns:a16="http://schemas.microsoft.com/office/drawing/2014/main" id="{00000000-0008-0000-0400-0000C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172</xdr:row>
          <xdr:rowOff>0</xdr:rowOff>
        </xdr:from>
        <xdr:to>
          <xdr:col>3</xdr:col>
          <xdr:colOff>1800225</xdr:colOff>
          <xdr:row>173</xdr:row>
          <xdr:rowOff>0</xdr:rowOff>
        </xdr:to>
        <xdr:sp macro="" textlink="">
          <xdr:nvSpPr>
            <xdr:cNvPr id="263361" name="Check Box 193" hidden="1">
              <a:extLst>
                <a:ext uri="{63B3BB69-23CF-44E3-9099-C40C66FF867C}">
                  <a14:compatExt spid="_x0000_s263361"/>
                </a:ext>
                <a:ext uri="{FF2B5EF4-FFF2-40B4-BE49-F238E27FC236}">
                  <a16:creationId xmlns:a16="http://schemas.microsoft.com/office/drawing/2014/main" id="{00000000-0008-0000-0400-0000C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173</xdr:row>
          <xdr:rowOff>0</xdr:rowOff>
        </xdr:from>
        <xdr:to>
          <xdr:col>3</xdr:col>
          <xdr:colOff>1800225</xdr:colOff>
          <xdr:row>174</xdr:row>
          <xdr:rowOff>0</xdr:rowOff>
        </xdr:to>
        <xdr:sp macro="" textlink="">
          <xdr:nvSpPr>
            <xdr:cNvPr id="263362" name="Check Box 194" hidden="1">
              <a:extLst>
                <a:ext uri="{63B3BB69-23CF-44E3-9099-C40C66FF867C}">
                  <a14:compatExt spid="_x0000_s263362"/>
                </a:ext>
                <a:ext uri="{FF2B5EF4-FFF2-40B4-BE49-F238E27FC236}">
                  <a16:creationId xmlns:a16="http://schemas.microsoft.com/office/drawing/2014/main" id="{00000000-0008-0000-0400-0000C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174</xdr:row>
          <xdr:rowOff>0</xdr:rowOff>
        </xdr:from>
        <xdr:to>
          <xdr:col>3</xdr:col>
          <xdr:colOff>1800225</xdr:colOff>
          <xdr:row>175</xdr:row>
          <xdr:rowOff>0</xdr:rowOff>
        </xdr:to>
        <xdr:sp macro="" textlink="">
          <xdr:nvSpPr>
            <xdr:cNvPr id="263363" name="Check Box 195" hidden="1">
              <a:extLst>
                <a:ext uri="{63B3BB69-23CF-44E3-9099-C40C66FF867C}">
                  <a14:compatExt spid="_x0000_s263363"/>
                </a:ext>
                <a:ext uri="{FF2B5EF4-FFF2-40B4-BE49-F238E27FC236}">
                  <a16:creationId xmlns:a16="http://schemas.microsoft.com/office/drawing/2014/main" id="{00000000-0008-0000-0400-0000C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140</xdr:row>
          <xdr:rowOff>9525</xdr:rowOff>
        </xdr:from>
        <xdr:to>
          <xdr:col>3</xdr:col>
          <xdr:colOff>1781175</xdr:colOff>
          <xdr:row>141</xdr:row>
          <xdr:rowOff>9525</xdr:rowOff>
        </xdr:to>
        <xdr:sp macro="" textlink="">
          <xdr:nvSpPr>
            <xdr:cNvPr id="263367" name="Check Box 199" hidden="1">
              <a:extLst>
                <a:ext uri="{63B3BB69-23CF-44E3-9099-C40C66FF867C}">
                  <a14:compatExt spid="_x0000_s263367"/>
                </a:ext>
                <a:ext uri="{FF2B5EF4-FFF2-40B4-BE49-F238E27FC236}">
                  <a16:creationId xmlns:a16="http://schemas.microsoft.com/office/drawing/2014/main" id="{00000000-0008-0000-0400-0000C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141</xdr:row>
          <xdr:rowOff>9525</xdr:rowOff>
        </xdr:from>
        <xdr:to>
          <xdr:col>3</xdr:col>
          <xdr:colOff>1781175</xdr:colOff>
          <xdr:row>142</xdr:row>
          <xdr:rowOff>9525</xdr:rowOff>
        </xdr:to>
        <xdr:sp macro="" textlink="">
          <xdr:nvSpPr>
            <xdr:cNvPr id="263368" name="Check Box 200" hidden="1">
              <a:extLst>
                <a:ext uri="{63B3BB69-23CF-44E3-9099-C40C66FF867C}">
                  <a14:compatExt spid="_x0000_s263368"/>
                </a:ext>
                <a:ext uri="{FF2B5EF4-FFF2-40B4-BE49-F238E27FC236}">
                  <a16:creationId xmlns:a16="http://schemas.microsoft.com/office/drawing/2014/main" id="{00000000-0008-0000-0400-0000C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142</xdr:row>
          <xdr:rowOff>0</xdr:rowOff>
        </xdr:from>
        <xdr:to>
          <xdr:col>3</xdr:col>
          <xdr:colOff>1781175</xdr:colOff>
          <xdr:row>143</xdr:row>
          <xdr:rowOff>0</xdr:rowOff>
        </xdr:to>
        <xdr:sp macro="" textlink="">
          <xdr:nvSpPr>
            <xdr:cNvPr id="263371" name="Check Box 203" hidden="1">
              <a:extLst>
                <a:ext uri="{63B3BB69-23CF-44E3-9099-C40C66FF867C}">
                  <a14:compatExt spid="_x0000_s263371"/>
                </a:ext>
                <a:ext uri="{FF2B5EF4-FFF2-40B4-BE49-F238E27FC236}">
                  <a16:creationId xmlns:a16="http://schemas.microsoft.com/office/drawing/2014/main" id="{00000000-0008-0000-0400-0000C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144</xdr:row>
          <xdr:rowOff>9525</xdr:rowOff>
        </xdr:from>
        <xdr:to>
          <xdr:col>3</xdr:col>
          <xdr:colOff>1781175</xdr:colOff>
          <xdr:row>145</xdr:row>
          <xdr:rowOff>9525</xdr:rowOff>
        </xdr:to>
        <xdr:sp macro="" textlink="">
          <xdr:nvSpPr>
            <xdr:cNvPr id="263373" name="Check Box 205" hidden="1">
              <a:extLst>
                <a:ext uri="{63B3BB69-23CF-44E3-9099-C40C66FF867C}">
                  <a14:compatExt spid="_x0000_s263373"/>
                </a:ext>
                <a:ext uri="{FF2B5EF4-FFF2-40B4-BE49-F238E27FC236}">
                  <a16:creationId xmlns:a16="http://schemas.microsoft.com/office/drawing/2014/main" id="{00000000-0008-0000-0400-0000C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101</xdr:row>
          <xdr:rowOff>9525</xdr:rowOff>
        </xdr:from>
        <xdr:to>
          <xdr:col>2</xdr:col>
          <xdr:colOff>942975</xdr:colOff>
          <xdr:row>102</xdr:row>
          <xdr:rowOff>0</xdr:rowOff>
        </xdr:to>
        <xdr:sp macro="" textlink="">
          <xdr:nvSpPr>
            <xdr:cNvPr id="263377" name="Check Box 209" hidden="1">
              <a:extLst>
                <a:ext uri="{63B3BB69-23CF-44E3-9099-C40C66FF867C}">
                  <a14:compatExt spid="_x0000_s263377"/>
                </a:ext>
                <a:ext uri="{FF2B5EF4-FFF2-40B4-BE49-F238E27FC236}">
                  <a16:creationId xmlns:a16="http://schemas.microsoft.com/office/drawing/2014/main" id="{00000000-0008-0000-0400-0000D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143</xdr:row>
          <xdr:rowOff>9525</xdr:rowOff>
        </xdr:from>
        <xdr:to>
          <xdr:col>3</xdr:col>
          <xdr:colOff>1781175</xdr:colOff>
          <xdr:row>144</xdr:row>
          <xdr:rowOff>9525</xdr:rowOff>
        </xdr:to>
        <xdr:sp macro="" textlink="">
          <xdr:nvSpPr>
            <xdr:cNvPr id="263380" name="Check Box 212" hidden="1">
              <a:extLst>
                <a:ext uri="{63B3BB69-23CF-44E3-9099-C40C66FF867C}">
                  <a14:compatExt spid="_x0000_s263380"/>
                </a:ext>
                <a:ext uri="{FF2B5EF4-FFF2-40B4-BE49-F238E27FC236}">
                  <a16:creationId xmlns:a16="http://schemas.microsoft.com/office/drawing/2014/main" id="{00000000-0008-0000-0400-0000D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107</xdr:row>
          <xdr:rowOff>9525</xdr:rowOff>
        </xdr:from>
        <xdr:to>
          <xdr:col>3</xdr:col>
          <xdr:colOff>1790700</xdr:colOff>
          <xdr:row>108</xdr:row>
          <xdr:rowOff>9525</xdr:rowOff>
        </xdr:to>
        <xdr:sp macro="" textlink="">
          <xdr:nvSpPr>
            <xdr:cNvPr id="263381" name="Check Box 213" hidden="1">
              <a:extLst>
                <a:ext uri="{63B3BB69-23CF-44E3-9099-C40C66FF867C}">
                  <a14:compatExt spid="_x0000_s263381"/>
                </a:ext>
                <a:ext uri="{FF2B5EF4-FFF2-40B4-BE49-F238E27FC236}">
                  <a16:creationId xmlns:a16="http://schemas.microsoft.com/office/drawing/2014/main" id="{00000000-0008-0000-0400-0000D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163</xdr:row>
          <xdr:rowOff>0</xdr:rowOff>
        </xdr:from>
        <xdr:to>
          <xdr:col>3</xdr:col>
          <xdr:colOff>1800225</xdr:colOff>
          <xdr:row>164</xdr:row>
          <xdr:rowOff>0</xdr:rowOff>
        </xdr:to>
        <xdr:sp macro="" textlink="">
          <xdr:nvSpPr>
            <xdr:cNvPr id="263385" name="Check Box 217" hidden="1">
              <a:extLst>
                <a:ext uri="{63B3BB69-23CF-44E3-9099-C40C66FF867C}">
                  <a14:compatExt spid="_x0000_s263385"/>
                </a:ext>
                <a:ext uri="{FF2B5EF4-FFF2-40B4-BE49-F238E27FC236}">
                  <a16:creationId xmlns:a16="http://schemas.microsoft.com/office/drawing/2014/main" id="{00000000-0008-0000-0400-0000D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164</xdr:row>
          <xdr:rowOff>0</xdr:rowOff>
        </xdr:from>
        <xdr:to>
          <xdr:col>3</xdr:col>
          <xdr:colOff>1800225</xdr:colOff>
          <xdr:row>165</xdr:row>
          <xdr:rowOff>0</xdr:rowOff>
        </xdr:to>
        <xdr:sp macro="" textlink="">
          <xdr:nvSpPr>
            <xdr:cNvPr id="263386" name="Check Box 218" hidden="1">
              <a:extLst>
                <a:ext uri="{63B3BB69-23CF-44E3-9099-C40C66FF867C}">
                  <a14:compatExt spid="_x0000_s263386"/>
                </a:ext>
                <a:ext uri="{FF2B5EF4-FFF2-40B4-BE49-F238E27FC236}">
                  <a16:creationId xmlns:a16="http://schemas.microsoft.com/office/drawing/2014/main" id="{00000000-0008-0000-0400-0000D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97</xdr:row>
          <xdr:rowOff>0</xdr:rowOff>
        </xdr:from>
        <xdr:to>
          <xdr:col>2</xdr:col>
          <xdr:colOff>914400</xdr:colOff>
          <xdr:row>97</xdr:row>
          <xdr:rowOff>171450</xdr:rowOff>
        </xdr:to>
        <xdr:sp macro="" textlink="">
          <xdr:nvSpPr>
            <xdr:cNvPr id="263388" name="Check Box 220" hidden="1">
              <a:extLst>
                <a:ext uri="{63B3BB69-23CF-44E3-9099-C40C66FF867C}">
                  <a14:compatExt spid="_x0000_s263388"/>
                </a:ext>
                <a:ext uri="{FF2B5EF4-FFF2-40B4-BE49-F238E27FC236}">
                  <a16:creationId xmlns:a16="http://schemas.microsoft.com/office/drawing/2014/main" id="{00000000-0008-0000-0400-0000D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145</xdr:row>
          <xdr:rowOff>9525</xdr:rowOff>
        </xdr:from>
        <xdr:to>
          <xdr:col>3</xdr:col>
          <xdr:colOff>1781175</xdr:colOff>
          <xdr:row>146</xdr:row>
          <xdr:rowOff>9525</xdr:rowOff>
        </xdr:to>
        <xdr:sp macro="" textlink="">
          <xdr:nvSpPr>
            <xdr:cNvPr id="263394" name="Check Box 226" hidden="1">
              <a:extLst>
                <a:ext uri="{63B3BB69-23CF-44E3-9099-C40C66FF867C}">
                  <a14:compatExt spid="_x0000_s263394"/>
                </a:ext>
                <a:ext uri="{FF2B5EF4-FFF2-40B4-BE49-F238E27FC236}">
                  <a16:creationId xmlns:a16="http://schemas.microsoft.com/office/drawing/2014/main" id="{00000000-0008-0000-0400-0000E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0" name="Check Box 232" hidden="1">
              <a:extLst>
                <a:ext uri="{63B3BB69-23CF-44E3-9099-C40C66FF867C}">
                  <a14:compatExt spid="_x0000_s263400"/>
                </a:ext>
                <a:ext uri="{FF2B5EF4-FFF2-40B4-BE49-F238E27FC236}">
                  <a16:creationId xmlns:a16="http://schemas.microsoft.com/office/drawing/2014/main" id="{00000000-0008-0000-0400-0000E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1" name="Check Box 233" hidden="1">
              <a:extLst>
                <a:ext uri="{63B3BB69-23CF-44E3-9099-C40C66FF867C}">
                  <a14:compatExt spid="_x0000_s263401"/>
                </a:ext>
                <a:ext uri="{FF2B5EF4-FFF2-40B4-BE49-F238E27FC236}">
                  <a16:creationId xmlns:a16="http://schemas.microsoft.com/office/drawing/2014/main" id="{00000000-0008-0000-0400-0000E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3" name="Check Box 235" hidden="1">
              <a:extLst>
                <a:ext uri="{63B3BB69-23CF-44E3-9099-C40C66FF867C}">
                  <a14:compatExt spid="_x0000_s263403"/>
                </a:ext>
                <a:ext uri="{FF2B5EF4-FFF2-40B4-BE49-F238E27FC236}">
                  <a16:creationId xmlns:a16="http://schemas.microsoft.com/office/drawing/2014/main" id="{00000000-0008-0000-0400-0000E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4" name="Check Box 236" hidden="1">
              <a:extLst>
                <a:ext uri="{63B3BB69-23CF-44E3-9099-C40C66FF867C}">
                  <a14:compatExt spid="_x0000_s263404"/>
                </a:ext>
                <a:ext uri="{FF2B5EF4-FFF2-40B4-BE49-F238E27FC236}">
                  <a16:creationId xmlns:a16="http://schemas.microsoft.com/office/drawing/2014/main" id="{00000000-0008-0000-0400-0000E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6" name="Check Box 238" hidden="1">
              <a:extLst>
                <a:ext uri="{63B3BB69-23CF-44E3-9099-C40C66FF867C}">
                  <a14:compatExt spid="_x0000_s263406"/>
                </a:ext>
                <a:ext uri="{FF2B5EF4-FFF2-40B4-BE49-F238E27FC236}">
                  <a16:creationId xmlns:a16="http://schemas.microsoft.com/office/drawing/2014/main" id="{00000000-0008-0000-0400-0000E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171450</xdr:rowOff>
        </xdr:from>
        <xdr:to>
          <xdr:col>3</xdr:col>
          <xdr:colOff>1695450</xdr:colOff>
          <xdr:row>72</xdr:row>
          <xdr:rowOff>171450</xdr:rowOff>
        </xdr:to>
        <xdr:sp macro="" textlink="">
          <xdr:nvSpPr>
            <xdr:cNvPr id="263407" name="Check Box 239" hidden="1">
              <a:extLst>
                <a:ext uri="{63B3BB69-23CF-44E3-9099-C40C66FF867C}">
                  <a14:compatExt spid="_x0000_s263407"/>
                </a:ext>
                <a:ext uri="{FF2B5EF4-FFF2-40B4-BE49-F238E27FC236}">
                  <a16:creationId xmlns:a16="http://schemas.microsoft.com/office/drawing/2014/main" id="{00000000-0008-0000-0400-0000E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9525</xdr:rowOff>
        </xdr:from>
        <xdr:to>
          <xdr:col>2</xdr:col>
          <xdr:colOff>942975</xdr:colOff>
          <xdr:row>100</xdr:row>
          <xdr:rowOff>0</xdr:rowOff>
        </xdr:to>
        <xdr:sp macro="" textlink="">
          <xdr:nvSpPr>
            <xdr:cNvPr id="263411" name="Check Box 243" hidden="1">
              <a:extLst>
                <a:ext uri="{63B3BB69-23CF-44E3-9099-C40C66FF867C}">
                  <a14:compatExt spid="_x0000_s263411"/>
                </a:ext>
                <a:ext uri="{FF2B5EF4-FFF2-40B4-BE49-F238E27FC236}">
                  <a16:creationId xmlns:a16="http://schemas.microsoft.com/office/drawing/2014/main" id="{00000000-0008-0000-0400-0000F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72</xdr:row>
          <xdr:rowOff>171450</xdr:rowOff>
        </xdr:from>
        <xdr:to>
          <xdr:col>3</xdr:col>
          <xdr:colOff>1695450</xdr:colOff>
          <xdr:row>73</xdr:row>
          <xdr:rowOff>171450</xdr:rowOff>
        </xdr:to>
        <xdr:sp macro="" textlink="">
          <xdr:nvSpPr>
            <xdr:cNvPr id="263418" name="Check Box 250" hidden="1">
              <a:extLst>
                <a:ext uri="{63B3BB69-23CF-44E3-9099-C40C66FF867C}">
                  <a14:compatExt spid="_x0000_s263418"/>
                </a:ext>
                <a:ext uri="{FF2B5EF4-FFF2-40B4-BE49-F238E27FC236}">
                  <a16:creationId xmlns:a16="http://schemas.microsoft.com/office/drawing/2014/main" id="{00000000-0008-0000-0400-0000F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88</xdr:row>
          <xdr:rowOff>171450</xdr:rowOff>
        </xdr:from>
        <xdr:to>
          <xdr:col>3</xdr:col>
          <xdr:colOff>1657350</xdr:colOff>
          <xdr:row>90</xdr:row>
          <xdr:rowOff>28575</xdr:rowOff>
        </xdr:to>
        <xdr:sp macro="" textlink="">
          <xdr:nvSpPr>
            <xdr:cNvPr id="263429" name="Check Box 261" hidden="1">
              <a:extLst>
                <a:ext uri="{63B3BB69-23CF-44E3-9099-C40C66FF867C}">
                  <a14:compatExt spid="_x0000_s263429"/>
                </a:ext>
                <a:ext uri="{FF2B5EF4-FFF2-40B4-BE49-F238E27FC236}">
                  <a16:creationId xmlns:a16="http://schemas.microsoft.com/office/drawing/2014/main" id="{00000000-0008-0000-0400-00000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34</xdr:row>
          <xdr:rowOff>161925</xdr:rowOff>
        </xdr:from>
        <xdr:to>
          <xdr:col>3</xdr:col>
          <xdr:colOff>1695450</xdr:colOff>
          <xdr:row>36</xdr:row>
          <xdr:rowOff>9525</xdr:rowOff>
        </xdr:to>
        <xdr:sp macro="" textlink="">
          <xdr:nvSpPr>
            <xdr:cNvPr id="263437" name="Check Box 269" hidden="1">
              <a:extLst>
                <a:ext uri="{63B3BB69-23CF-44E3-9099-C40C66FF867C}">
                  <a14:compatExt spid="_x0000_s263437"/>
                </a:ext>
                <a:ext uri="{FF2B5EF4-FFF2-40B4-BE49-F238E27FC236}">
                  <a16:creationId xmlns:a16="http://schemas.microsoft.com/office/drawing/2014/main" id="{00000000-0008-0000-0400-00000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54</xdr:row>
          <xdr:rowOff>180975</xdr:rowOff>
        </xdr:from>
        <xdr:to>
          <xdr:col>3</xdr:col>
          <xdr:colOff>876300</xdr:colOff>
          <xdr:row>56</xdr:row>
          <xdr:rowOff>9525</xdr:rowOff>
        </xdr:to>
        <xdr:sp macro="" textlink="">
          <xdr:nvSpPr>
            <xdr:cNvPr id="263445" name="Check Box 277" hidden="1">
              <a:extLst>
                <a:ext uri="{63B3BB69-23CF-44E3-9099-C40C66FF867C}">
                  <a14:compatExt spid="_x0000_s263445"/>
                </a:ext>
                <a:ext uri="{FF2B5EF4-FFF2-40B4-BE49-F238E27FC236}">
                  <a16:creationId xmlns:a16="http://schemas.microsoft.com/office/drawing/2014/main" id="{00000000-0008-0000-0400-00001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55</xdr:row>
          <xdr:rowOff>180975</xdr:rowOff>
        </xdr:from>
        <xdr:to>
          <xdr:col>3</xdr:col>
          <xdr:colOff>885825</xdr:colOff>
          <xdr:row>57</xdr:row>
          <xdr:rowOff>28575</xdr:rowOff>
        </xdr:to>
        <xdr:sp macro="" textlink="">
          <xdr:nvSpPr>
            <xdr:cNvPr id="263446" name="Check Box 278" hidden="1">
              <a:extLst>
                <a:ext uri="{63B3BB69-23CF-44E3-9099-C40C66FF867C}">
                  <a14:compatExt spid="_x0000_s263446"/>
                </a:ext>
                <a:ext uri="{FF2B5EF4-FFF2-40B4-BE49-F238E27FC236}">
                  <a16:creationId xmlns:a16="http://schemas.microsoft.com/office/drawing/2014/main" id="{00000000-0008-0000-0400-00001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56</xdr:row>
          <xdr:rowOff>190500</xdr:rowOff>
        </xdr:from>
        <xdr:to>
          <xdr:col>3</xdr:col>
          <xdr:colOff>876300</xdr:colOff>
          <xdr:row>58</xdr:row>
          <xdr:rowOff>19050</xdr:rowOff>
        </xdr:to>
        <xdr:sp macro="" textlink="">
          <xdr:nvSpPr>
            <xdr:cNvPr id="263447" name="Check Box 279" hidden="1">
              <a:extLst>
                <a:ext uri="{63B3BB69-23CF-44E3-9099-C40C66FF867C}">
                  <a14:compatExt spid="_x0000_s263447"/>
                </a:ext>
                <a:ext uri="{FF2B5EF4-FFF2-40B4-BE49-F238E27FC236}">
                  <a16:creationId xmlns:a16="http://schemas.microsoft.com/office/drawing/2014/main" id="{00000000-0008-0000-0400-00001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58</xdr:row>
          <xdr:rowOff>180975</xdr:rowOff>
        </xdr:from>
        <xdr:to>
          <xdr:col>3</xdr:col>
          <xdr:colOff>866775</xdr:colOff>
          <xdr:row>60</xdr:row>
          <xdr:rowOff>9525</xdr:rowOff>
        </xdr:to>
        <xdr:sp macro="" textlink="">
          <xdr:nvSpPr>
            <xdr:cNvPr id="263448" name="Check Box 280" hidden="1">
              <a:extLst>
                <a:ext uri="{63B3BB69-23CF-44E3-9099-C40C66FF867C}">
                  <a14:compatExt spid="_x0000_s263448"/>
                </a:ext>
                <a:ext uri="{FF2B5EF4-FFF2-40B4-BE49-F238E27FC236}">
                  <a16:creationId xmlns:a16="http://schemas.microsoft.com/office/drawing/2014/main" id="{00000000-0008-0000-0400-00001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50</xdr:row>
          <xdr:rowOff>0</xdr:rowOff>
        </xdr:from>
        <xdr:to>
          <xdr:col>3</xdr:col>
          <xdr:colOff>1571625</xdr:colOff>
          <xdr:row>50</xdr:row>
          <xdr:rowOff>171450</xdr:rowOff>
        </xdr:to>
        <xdr:sp macro="" textlink="">
          <xdr:nvSpPr>
            <xdr:cNvPr id="263464" name="Check Box 296" hidden="1">
              <a:extLst>
                <a:ext uri="{63B3BB69-23CF-44E3-9099-C40C66FF867C}">
                  <a14:compatExt spid="_x0000_s263464"/>
                </a:ext>
                <a:ext uri="{FF2B5EF4-FFF2-40B4-BE49-F238E27FC236}">
                  <a16:creationId xmlns:a16="http://schemas.microsoft.com/office/drawing/2014/main" id="{00000000-0008-0000-0400-00002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102</xdr:row>
          <xdr:rowOff>171450</xdr:rowOff>
        </xdr:from>
        <xdr:to>
          <xdr:col>3</xdr:col>
          <xdr:colOff>1647825</xdr:colOff>
          <xdr:row>104</xdr:row>
          <xdr:rowOff>19050</xdr:rowOff>
        </xdr:to>
        <xdr:sp macro="" textlink="">
          <xdr:nvSpPr>
            <xdr:cNvPr id="263480" name="Check Box 312" hidden="1">
              <a:extLst>
                <a:ext uri="{63B3BB69-23CF-44E3-9099-C40C66FF867C}">
                  <a14:compatExt spid="_x0000_s263480"/>
                </a:ext>
                <a:ext uri="{FF2B5EF4-FFF2-40B4-BE49-F238E27FC236}">
                  <a16:creationId xmlns:a16="http://schemas.microsoft.com/office/drawing/2014/main" id="{00000000-0008-0000-0400-00003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44</xdr:row>
          <xdr:rowOff>171450</xdr:rowOff>
        </xdr:from>
        <xdr:to>
          <xdr:col>3</xdr:col>
          <xdr:colOff>876300</xdr:colOff>
          <xdr:row>46</xdr:row>
          <xdr:rowOff>9525</xdr:rowOff>
        </xdr:to>
        <xdr:sp macro="" textlink="">
          <xdr:nvSpPr>
            <xdr:cNvPr id="263482" name="Check Box 314" hidden="1">
              <a:extLst>
                <a:ext uri="{63B3BB69-23CF-44E3-9099-C40C66FF867C}">
                  <a14:compatExt spid="_x0000_s263482"/>
                </a:ext>
                <a:ext uri="{FF2B5EF4-FFF2-40B4-BE49-F238E27FC236}">
                  <a16:creationId xmlns:a16="http://schemas.microsoft.com/office/drawing/2014/main" id="{00000000-0008-0000-0400-00003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45</xdr:row>
          <xdr:rowOff>180975</xdr:rowOff>
        </xdr:from>
        <xdr:to>
          <xdr:col>2</xdr:col>
          <xdr:colOff>809625</xdr:colOff>
          <xdr:row>47</xdr:row>
          <xdr:rowOff>19050</xdr:rowOff>
        </xdr:to>
        <xdr:sp macro="" textlink="">
          <xdr:nvSpPr>
            <xdr:cNvPr id="263483" name="Check Box 315" hidden="1">
              <a:extLst>
                <a:ext uri="{63B3BB69-23CF-44E3-9099-C40C66FF867C}">
                  <a14:compatExt spid="_x0000_s263483"/>
                </a:ext>
                <a:ext uri="{FF2B5EF4-FFF2-40B4-BE49-F238E27FC236}">
                  <a16:creationId xmlns:a16="http://schemas.microsoft.com/office/drawing/2014/main" id="{00000000-0008-0000-0400-00003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161925</xdr:rowOff>
        </xdr:from>
        <xdr:to>
          <xdr:col>3</xdr:col>
          <xdr:colOff>1752600</xdr:colOff>
          <xdr:row>116</xdr:row>
          <xdr:rowOff>19050</xdr:rowOff>
        </xdr:to>
        <xdr:sp macro="" textlink="">
          <xdr:nvSpPr>
            <xdr:cNvPr id="263498" name="Check Box 330" hidden="1">
              <a:extLst>
                <a:ext uri="{63B3BB69-23CF-44E3-9099-C40C66FF867C}">
                  <a14:compatExt spid="_x0000_s263498"/>
                </a:ext>
                <a:ext uri="{FF2B5EF4-FFF2-40B4-BE49-F238E27FC236}">
                  <a16:creationId xmlns:a16="http://schemas.microsoft.com/office/drawing/2014/main" id="{00000000-0008-0000-0400-00004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126</xdr:row>
          <xdr:rowOff>161925</xdr:rowOff>
        </xdr:from>
        <xdr:to>
          <xdr:col>3</xdr:col>
          <xdr:colOff>1752600</xdr:colOff>
          <xdr:row>128</xdr:row>
          <xdr:rowOff>28575</xdr:rowOff>
        </xdr:to>
        <xdr:sp macro="" textlink="">
          <xdr:nvSpPr>
            <xdr:cNvPr id="263499" name="Check Box 331" hidden="1">
              <a:extLst>
                <a:ext uri="{63B3BB69-23CF-44E3-9099-C40C66FF867C}">
                  <a14:compatExt spid="_x0000_s263499"/>
                </a:ext>
                <a:ext uri="{FF2B5EF4-FFF2-40B4-BE49-F238E27FC236}">
                  <a16:creationId xmlns:a16="http://schemas.microsoft.com/office/drawing/2014/main" id="{00000000-0008-0000-0400-00004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127</xdr:row>
          <xdr:rowOff>142875</xdr:rowOff>
        </xdr:from>
        <xdr:to>
          <xdr:col>3</xdr:col>
          <xdr:colOff>1724025</xdr:colOff>
          <xdr:row>129</xdr:row>
          <xdr:rowOff>28575</xdr:rowOff>
        </xdr:to>
        <xdr:sp macro="" textlink="">
          <xdr:nvSpPr>
            <xdr:cNvPr id="263500" name="Check Box 332" hidden="1">
              <a:extLst>
                <a:ext uri="{63B3BB69-23CF-44E3-9099-C40C66FF867C}">
                  <a14:compatExt spid="_x0000_s263500"/>
                </a:ext>
                <a:ext uri="{FF2B5EF4-FFF2-40B4-BE49-F238E27FC236}">
                  <a16:creationId xmlns:a16="http://schemas.microsoft.com/office/drawing/2014/main" id="{00000000-0008-0000-0400-00004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0</xdr:rowOff>
        </xdr:from>
        <xdr:to>
          <xdr:col>3</xdr:col>
          <xdr:colOff>1724025</xdr:colOff>
          <xdr:row>130</xdr:row>
          <xdr:rowOff>38100</xdr:rowOff>
        </xdr:to>
        <xdr:sp macro="" textlink="">
          <xdr:nvSpPr>
            <xdr:cNvPr id="263501" name="Check Box 333" hidden="1">
              <a:extLst>
                <a:ext uri="{63B3BB69-23CF-44E3-9099-C40C66FF867C}">
                  <a14:compatExt spid="_x0000_s263501"/>
                </a:ext>
                <a:ext uri="{FF2B5EF4-FFF2-40B4-BE49-F238E27FC236}">
                  <a16:creationId xmlns:a16="http://schemas.microsoft.com/office/drawing/2014/main" id="{00000000-0008-0000-0400-00004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149</xdr:row>
          <xdr:rowOff>180975</xdr:rowOff>
        </xdr:from>
        <xdr:to>
          <xdr:col>3</xdr:col>
          <xdr:colOff>1800225</xdr:colOff>
          <xdr:row>151</xdr:row>
          <xdr:rowOff>19050</xdr:rowOff>
        </xdr:to>
        <xdr:sp macro="" textlink="">
          <xdr:nvSpPr>
            <xdr:cNvPr id="263503" name="Check Box 335" hidden="1">
              <a:extLst>
                <a:ext uri="{63B3BB69-23CF-44E3-9099-C40C66FF867C}">
                  <a14:compatExt spid="_x0000_s263503"/>
                </a:ext>
                <a:ext uri="{FF2B5EF4-FFF2-40B4-BE49-F238E27FC236}">
                  <a16:creationId xmlns:a16="http://schemas.microsoft.com/office/drawing/2014/main" id="{00000000-0008-0000-0400-00004F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171450</xdr:rowOff>
        </xdr:from>
        <xdr:to>
          <xdr:col>3</xdr:col>
          <xdr:colOff>1704975</xdr:colOff>
          <xdr:row>136</xdr:row>
          <xdr:rowOff>9525</xdr:rowOff>
        </xdr:to>
        <xdr:sp macro="" textlink="">
          <xdr:nvSpPr>
            <xdr:cNvPr id="263506" name="Check Box 338" hidden="1">
              <a:extLst>
                <a:ext uri="{63B3BB69-23CF-44E3-9099-C40C66FF867C}">
                  <a14:compatExt spid="_x0000_s263506"/>
                </a:ext>
                <a:ext uri="{FF2B5EF4-FFF2-40B4-BE49-F238E27FC236}">
                  <a16:creationId xmlns:a16="http://schemas.microsoft.com/office/drawing/2014/main" id="{00000000-0008-0000-0400-000052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135</xdr:row>
          <xdr:rowOff>171450</xdr:rowOff>
        </xdr:from>
        <xdr:to>
          <xdr:col>3</xdr:col>
          <xdr:colOff>1800225</xdr:colOff>
          <xdr:row>137</xdr:row>
          <xdr:rowOff>9525</xdr:rowOff>
        </xdr:to>
        <xdr:sp macro="" textlink="">
          <xdr:nvSpPr>
            <xdr:cNvPr id="263507" name="Check Box 339" hidden="1">
              <a:extLst>
                <a:ext uri="{63B3BB69-23CF-44E3-9099-C40C66FF867C}">
                  <a14:compatExt spid="_x0000_s263507"/>
                </a:ext>
                <a:ext uri="{FF2B5EF4-FFF2-40B4-BE49-F238E27FC236}">
                  <a16:creationId xmlns:a16="http://schemas.microsoft.com/office/drawing/2014/main" id="{00000000-0008-0000-0400-00005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136</xdr:row>
          <xdr:rowOff>171450</xdr:rowOff>
        </xdr:from>
        <xdr:to>
          <xdr:col>3</xdr:col>
          <xdr:colOff>1781175</xdr:colOff>
          <xdr:row>138</xdr:row>
          <xdr:rowOff>9525</xdr:rowOff>
        </xdr:to>
        <xdr:sp macro="" textlink="">
          <xdr:nvSpPr>
            <xdr:cNvPr id="263508" name="Check Box 340" hidden="1">
              <a:extLst>
                <a:ext uri="{63B3BB69-23CF-44E3-9099-C40C66FF867C}">
                  <a14:compatExt spid="_x0000_s263508"/>
                </a:ext>
                <a:ext uri="{FF2B5EF4-FFF2-40B4-BE49-F238E27FC236}">
                  <a16:creationId xmlns:a16="http://schemas.microsoft.com/office/drawing/2014/main" id="{00000000-0008-0000-0400-00005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180975</xdr:rowOff>
        </xdr:from>
        <xdr:to>
          <xdr:col>3</xdr:col>
          <xdr:colOff>1790700</xdr:colOff>
          <xdr:row>153</xdr:row>
          <xdr:rowOff>19050</xdr:rowOff>
        </xdr:to>
        <xdr:sp macro="" textlink="">
          <xdr:nvSpPr>
            <xdr:cNvPr id="263509" name="Check Box 341" hidden="1">
              <a:extLst>
                <a:ext uri="{63B3BB69-23CF-44E3-9099-C40C66FF867C}">
                  <a14:compatExt spid="_x0000_s263509"/>
                </a:ext>
                <a:ext uri="{FF2B5EF4-FFF2-40B4-BE49-F238E27FC236}">
                  <a16:creationId xmlns:a16="http://schemas.microsoft.com/office/drawing/2014/main" id="{00000000-0008-0000-0400-00005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139</xdr:row>
          <xdr:rowOff>0</xdr:rowOff>
        </xdr:from>
        <xdr:to>
          <xdr:col>3</xdr:col>
          <xdr:colOff>1781175</xdr:colOff>
          <xdr:row>140</xdr:row>
          <xdr:rowOff>28575</xdr:rowOff>
        </xdr:to>
        <xdr:sp macro="" textlink="">
          <xdr:nvSpPr>
            <xdr:cNvPr id="263510" name="Check Box 342" hidden="1">
              <a:extLst>
                <a:ext uri="{63B3BB69-23CF-44E3-9099-C40C66FF867C}">
                  <a14:compatExt spid="_x0000_s263510"/>
                </a:ext>
                <a:ext uri="{FF2B5EF4-FFF2-40B4-BE49-F238E27FC236}">
                  <a16:creationId xmlns:a16="http://schemas.microsoft.com/office/drawing/2014/main" id="{00000000-0008-0000-0400-00005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180975</xdr:rowOff>
        </xdr:from>
        <xdr:to>
          <xdr:col>3</xdr:col>
          <xdr:colOff>923925</xdr:colOff>
          <xdr:row>69</xdr:row>
          <xdr:rowOff>0</xdr:rowOff>
        </xdr:to>
        <xdr:sp macro="" textlink="">
          <xdr:nvSpPr>
            <xdr:cNvPr id="263512" name="Check Box 344" hidden="1">
              <a:extLst>
                <a:ext uri="{63B3BB69-23CF-44E3-9099-C40C66FF867C}">
                  <a14:compatExt spid="_x0000_s263512"/>
                </a:ext>
                <a:ext uri="{FF2B5EF4-FFF2-40B4-BE49-F238E27FC236}">
                  <a16:creationId xmlns:a16="http://schemas.microsoft.com/office/drawing/2014/main" id="{00000000-0008-0000-0400-00005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9525</xdr:rowOff>
        </xdr:from>
        <xdr:to>
          <xdr:col>3</xdr:col>
          <xdr:colOff>923925</xdr:colOff>
          <xdr:row>68</xdr:row>
          <xdr:rowOff>0</xdr:rowOff>
        </xdr:to>
        <xdr:sp macro="" textlink="">
          <xdr:nvSpPr>
            <xdr:cNvPr id="263515" name="Check Box 347" hidden="1">
              <a:extLst>
                <a:ext uri="{63B3BB69-23CF-44E3-9099-C40C66FF867C}">
                  <a14:compatExt spid="_x0000_s263515"/>
                </a:ext>
                <a:ext uri="{FF2B5EF4-FFF2-40B4-BE49-F238E27FC236}">
                  <a16:creationId xmlns:a16="http://schemas.microsoft.com/office/drawing/2014/main" id="{00000000-0008-0000-0400-00005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65</xdr:row>
          <xdr:rowOff>190500</xdr:rowOff>
        </xdr:from>
        <xdr:to>
          <xdr:col>3</xdr:col>
          <xdr:colOff>1695450</xdr:colOff>
          <xdr:row>66</xdr:row>
          <xdr:rowOff>190500</xdr:rowOff>
        </xdr:to>
        <xdr:sp macro="" textlink="">
          <xdr:nvSpPr>
            <xdr:cNvPr id="263517" name="Check Box 349" hidden="1">
              <a:extLst>
                <a:ext uri="{63B3BB69-23CF-44E3-9099-C40C66FF867C}">
                  <a14:compatExt spid="_x0000_s263517"/>
                </a:ext>
                <a:ext uri="{FF2B5EF4-FFF2-40B4-BE49-F238E27FC236}">
                  <a16:creationId xmlns:a16="http://schemas.microsoft.com/office/drawing/2014/main" id="{00000000-0008-0000-0400-00005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171450</xdr:rowOff>
        </xdr:from>
        <xdr:to>
          <xdr:col>3</xdr:col>
          <xdr:colOff>1657350</xdr:colOff>
          <xdr:row>160</xdr:row>
          <xdr:rowOff>19050</xdr:rowOff>
        </xdr:to>
        <xdr:sp macro="" textlink="">
          <xdr:nvSpPr>
            <xdr:cNvPr id="263520" name="Check Box 352" hidden="1">
              <a:extLst>
                <a:ext uri="{63B3BB69-23CF-44E3-9099-C40C66FF867C}">
                  <a14:compatExt spid="_x0000_s263520"/>
                </a:ext>
                <a:ext uri="{FF2B5EF4-FFF2-40B4-BE49-F238E27FC236}">
                  <a16:creationId xmlns:a16="http://schemas.microsoft.com/office/drawing/2014/main" id="{00000000-0008-0000-0400-000060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153</xdr:row>
          <xdr:rowOff>0</xdr:rowOff>
        </xdr:from>
        <xdr:to>
          <xdr:col>3</xdr:col>
          <xdr:colOff>1619250</xdr:colOff>
          <xdr:row>154</xdr:row>
          <xdr:rowOff>19050</xdr:rowOff>
        </xdr:to>
        <xdr:sp macro="" textlink="">
          <xdr:nvSpPr>
            <xdr:cNvPr id="263523" name="Check Box 355" hidden="1">
              <a:extLst>
                <a:ext uri="{63B3BB69-23CF-44E3-9099-C40C66FF867C}">
                  <a14:compatExt spid="_x0000_s263523"/>
                </a:ext>
                <a:ext uri="{FF2B5EF4-FFF2-40B4-BE49-F238E27FC236}">
                  <a16:creationId xmlns:a16="http://schemas.microsoft.com/office/drawing/2014/main" id="{00000000-0008-0000-0400-00006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33</xdr:row>
          <xdr:rowOff>161925</xdr:rowOff>
        </xdr:from>
        <xdr:to>
          <xdr:col>3</xdr:col>
          <xdr:colOff>771525</xdr:colOff>
          <xdr:row>35</xdr:row>
          <xdr:rowOff>19050</xdr:rowOff>
        </xdr:to>
        <xdr:sp macro="" textlink="">
          <xdr:nvSpPr>
            <xdr:cNvPr id="263524" name="Check Box 356" hidden="1">
              <a:extLst>
                <a:ext uri="{63B3BB69-23CF-44E3-9099-C40C66FF867C}">
                  <a14:compatExt spid="_x0000_s263524"/>
                </a:ext>
                <a:ext uri="{FF2B5EF4-FFF2-40B4-BE49-F238E27FC236}">
                  <a16:creationId xmlns:a16="http://schemas.microsoft.com/office/drawing/2014/main" id="{00000000-0008-0000-0400-00006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115</xdr:row>
          <xdr:rowOff>161925</xdr:rowOff>
        </xdr:from>
        <xdr:to>
          <xdr:col>3</xdr:col>
          <xdr:colOff>1657350</xdr:colOff>
          <xdr:row>117</xdr:row>
          <xdr:rowOff>19050</xdr:rowOff>
        </xdr:to>
        <xdr:sp macro="" textlink="">
          <xdr:nvSpPr>
            <xdr:cNvPr id="263525" name="Check Box 357" hidden="1">
              <a:extLst>
                <a:ext uri="{63B3BB69-23CF-44E3-9099-C40C66FF867C}">
                  <a14:compatExt spid="_x0000_s263525"/>
                </a:ext>
                <a:ext uri="{FF2B5EF4-FFF2-40B4-BE49-F238E27FC236}">
                  <a16:creationId xmlns:a16="http://schemas.microsoft.com/office/drawing/2014/main" id="{00000000-0008-0000-0400-00006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73</xdr:row>
          <xdr:rowOff>0</xdr:rowOff>
        </xdr:from>
        <xdr:to>
          <xdr:col>2</xdr:col>
          <xdr:colOff>952500</xdr:colOff>
          <xdr:row>74</xdr:row>
          <xdr:rowOff>57150</xdr:rowOff>
        </xdr:to>
        <xdr:sp macro="" textlink="">
          <xdr:nvSpPr>
            <xdr:cNvPr id="263527" name="Check Box 359" hidden="1">
              <a:extLst>
                <a:ext uri="{63B3BB69-23CF-44E3-9099-C40C66FF867C}">
                  <a14:compatExt spid="_x0000_s263527"/>
                </a:ext>
                <a:ext uri="{FF2B5EF4-FFF2-40B4-BE49-F238E27FC236}">
                  <a16:creationId xmlns:a16="http://schemas.microsoft.com/office/drawing/2014/main" id="{00000000-0008-0000-0400-00006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171450</xdr:rowOff>
        </xdr:from>
        <xdr:to>
          <xdr:col>2</xdr:col>
          <xdr:colOff>866775</xdr:colOff>
          <xdr:row>101</xdr:row>
          <xdr:rowOff>9525</xdr:rowOff>
        </xdr:to>
        <xdr:sp macro="" textlink="">
          <xdr:nvSpPr>
            <xdr:cNvPr id="263528" name="Check Box 360" hidden="1">
              <a:extLst>
                <a:ext uri="{63B3BB69-23CF-44E3-9099-C40C66FF867C}">
                  <a14:compatExt spid="_x0000_s263528"/>
                </a:ext>
                <a:ext uri="{FF2B5EF4-FFF2-40B4-BE49-F238E27FC236}">
                  <a16:creationId xmlns:a16="http://schemas.microsoft.com/office/drawing/2014/main" id="{00000000-0008-0000-0400-00006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137</xdr:row>
          <xdr:rowOff>161925</xdr:rowOff>
        </xdr:from>
        <xdr:to>
          <xdr:col>3</xdr:col>
          <xdr:colOff>1695450</xdr:colOff>
          <xdr:row>139</xdr:row>
          <xdr:rowOff>0</xdr:rowOff>
        </xdr:to>
        <xdr:sp macro="" textlink="">
          <xdr:nvSpPr>
            <xdr:cNvPr id="263529" name="Check Box 361" hidden="1">
              <a:extLst>
                <a:ext uri="{63B3BB69-23CF-44E3-9099-C40C66FF867C}">
                  <a14:compatExt spid="_x0000_s263529"/>
                </a:ext>
                <a:ext uri="{FF2B5EF4-FFF2-40B4-BE49-F238E27FC236}">
                  <a16:creationId xmlns:a16="http://schemas.microsoft.com/office/drawing/2014/main" id="{00000000-0008-0000-0400-000069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155</xdr:row>
          <xdr:rowOff>171450</xdr:rowOff>
        </xdr:from>
        <xdr:to>
          <xdr:col>3</xdr:col>
          <xdr:colOff>1733550</xdr:colOff>
          <xdr:row>157</xdr:row>
          <xdr:rowOff>38100</xdr:rowOff>
        </xdr:to>
        <xdr:sp macro="" textlink="">
          <xdr:nvSpPr>
            <xdr:cNvPr id="263532" name="Check Box 364" hidden="1">
              <a:extLst>
                <a:ext uri="{63B3BB69-23CF-44E3-9099-C40C66FF867C}">
                  <a14:compatExt spid="_x0000_s263532"/>
                </a:ext>
                <a:ext uri="{FF2B5EF4-FFF2-40B4-BE49-F238E27FC236}">
                  <a16:creationId xmlns:a16="http://schemas.microsoft.com/office/drawing/2014/main" id="{00000000-0008-0000-0400-00006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247650</xdr:colOff>
          <xdr:row>2</xdr:row>
          <xdr:rowOff>142875</xdr:rowOff>
        </xdr:from>
        <xdr:to>
          <xdr:col>7</xdr:col>
          <xdr:colOff>209550</xdr:colOff>
          <xdr:row>4</xdr:row>
          <xdr:rowOff>19050</xdr:rowOff>
        </xdr:to>
        <xdr:sp macro="" textlink="">
          <xdr:nvSpPr>
            <xdr:cNvPr id="290817" name="Check Box 1" hidden="1">
              <a:extLst>
                <a:ext uri="{63B3BB69-23CF-44E3-9099-C40C66FF867C}">
                  <a14:compatExt spid="_x0000_s290817"/>
                </a:ext>
                <a:ext uri="{FF2B5EF4-FFF2-40B4-BE49-F238E27FC236}">
                  <a16:creationId xmlns:a16="http://schemas.microsoft.com/office/drawing/2014/main" id="{00000000-0008-0000-0500-0000017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523875</xdr:colOff>
          <xdr:row>17</xdr:row>
          <xdr:rowOff>0</xdr:rowOff>
        </xdr:from>
        <xdr:to>
          <xdr:col>2</xdr:col>
          <xdr:colOff>914400</xdr:colOff>
          <xdr:row>18</xdr:row>
          <xdr:rowOff>85725</xdr:rowOff>
        </xdr:to>
        <xdr:sp macro="" textlink="">
          <xdr:nvSpPr>
            <xdr:cNvPr id="277505" name="Check Box 1" hidden="1">
              <a:extLst>
                <a:ext uri="{63B3BB69-23CF-44E3-9099-C40C66FF867C}">
                  <a14:compatExt spid="_x0000_s277505"/>
                </a:ext>
                <a:ext uri="{FF2B5EF4-FFF2-40B4-BE49-F238E27FC236}">
                  <a16:creationId xmlns:a16="http://schemas.microsoft.com/office/drawing/2014/main" id="{00000000-0008-0000-0600-00000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17</xdr:row>
          <xdr:rowOff>190500</xdr:rowOff>
        </xdr:from>
        <xdr:to>
          <xdr:col>2</xdr:col>
          <xdr:colOff>914400</xdr:colOff>
          <xdr:row>19</xdr:row>
          <xdr:rowOff>38100</xdr:rowOff>
        </xdr:to>
        <xdr:sp macro="" textlink="">
          <xdr:nvSpPr>
            <xdr:cNvPr id="277506" name="Check Box 2" hidden="1">
              <a:extLst>
                <a:ext uri="{63B3BB69-23CF-44E3-9099-C40C66FF867C}">
                  <a14:compatExt spid="_x0000_s277506"/>
                </a:ext>
                <a:ext uri="{FF2B5EF4-FFF2-40B4-BE49-F238E27FC236}">
                  <a16:creationId xmlns:a16="http://schemas.microsoft.com/office/drawing/2014/main" id="{00000000-0008-0000-0600-00000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68</xdr:row>
          <xdr:rowOff>0</xdr:rowOff>
        </xdr:from>
        <xdr:to>
          <xdr:col>2</xdr:col>
          <xdr:colOff>914400</xdr:colOff>
          <xdr:row>69</xdr:row>
          <xdr:rowOff>38100</xdr:rowOff>
        </xdr:to>
        <xdr:sp macro="" textlink="">
          <xdr:nvSpPr>
            <xdr:cNvPr id="277507" name="Check Box 3" hidden="1">
              <a:extLst>
                <a:ext uri="{63B3BB69-23CF-44E3-9099-C40C66FF867C}">
                  <a14:compatExt spid="_x0000_s277507"/>
                </a:ext>
                <a:ext uri="{FF2B5EF4-FFF2-40B4-BE49-F238E27FC236}">
                  <a16:creationId xmlns:a16="http://schemas.microsoft.com/office/drawing/2014/main" id="{00000000-0008-0000-0600-00000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62</xdr:row>
          <xdr:rowOff>190500</xdr:rowOff>
        </xdr:from>
        <xdr:to>
          <xdr:col>2</xdr:col>
          <xdr:colOff>914400</xdr:colOff>
          <xdr:row>64</xdr:row>
          <xdr:rowOff>47625</xdr:rowOff>
        </xdr:to>
        <xdr:sp macro="" textlink="">
          <xdr:nvSpPr>
            <xdr:cNvPr id="277508" name="Check Box 4" hidden="1">
              <a:extLst>
                <a:ext uri="{63B3BB69-23CF-44E3-9099-C40C66FF867C}">
                  <a14:compatExt spid="_x0000_s277508"/>
                </a:ext>
                <a:ext uri="{FF2B5EF4-FFF2-40B4-BE49-F238E27FC236}">
                  <a16:creationId xmlns:a16="http://schemas.microsoft.com/office/drawing/2014/main" id="{00000000-0008-0000-0600-00000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23</xdr:row>
          <xdr:rowOff>161925</xdr:rowOff>
        </xdr:from>
        <xdr:to>
          <xdr:col>2</xdr:col>
          <xdr:colOff>942975</xdr:colOff>
          <xdr:row>25</xdr:row>
          <xdr:rowOff>66675</xdr:rowOff>
        </xdr:to>
        <xdr:sp macro="" textlink="">
          <xdr:nvSpPr>
            <xdr:cNvPr id="277509" name="Check Box 5" hidden="1">
              <a:extLst>
                <a:ext uri="{63B3BB69-23CF-44E3-9099-C40C66FF867C}">
                  <a14:compatExt spid="_x0000_s277509"/>
                </a:ext>
                <a:ext uri="{FF2B5EF4-FFF2-40B4-BE49-F238E27FC236}">
                  <a16:creationId xmlns:a16="http://schemas.microsoft.com/office/drawing/2014/main" id="{00000000-0008-0000-0600-00000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25</xdr:row>
          <xdr:rowOff>152400</xdr:rowOff>
        </xdr:from>
        <xdr:to>
          <xdr:col>2</xdr:col>
          <xdr:colOff>1019175</xdr:colOff>
          <xdr:row>27</xdr:row>
          <xdr:rowOff>114300</xdr:rowOff>
        </xdr:to>
        <xdr:sp macro="" textlink="">
          <xdr:nvSpPr>
            <xdr:cNvPr id="277510" name="Check Box 6" hidden="1">
              <a:extLst>
                <a:ext uri="{63B3BB69-23CF-44E3-9099-C40C66FF867C}">
                  <a14:compatExt spid="_x0000_s277510"/>
                </a:ext>
                <a:ext uri="{FF2B5EF4-FFF2-40B4-BE49-F238E27FC236}">
                  <a16:creationId xmlns:a16="http://schemas.microsoft.com/office/drawing/2014/main" id="{00000000-0008-0000-0600-00000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93</xdr:row>
          <xdr:rowOff>19050</xdr:rowOff>
        </xdr:from>
        <xdr:to>
          <xdr:col>2</xdr:col>
          <xdr:colOff>914400</xdr:colOff>
          <xdr:row>94</xdr:row>
          <xdr:rowOff>38100</xdr:rowOff>
        </xdr:to>
        <xdr:sp macro="" textlink="">
          <xdr:nvSpPr>
            <xdr:cNvPr id="277511" name="Check Box 7" hidden="1">
              <a:extLst>
                <a:ext uri="{63B3BB69-23CF-44E3-9099-C40C66FF867C}">
                  <a14:compatExt spid="_x0000_s277511"/>
                </a:ext>
                <a:ext uri="{FF2B5EF4-FFF2-40B4-BE49-F238E27FC236}">
                  <a16:creationId xmlns:a16="http://schemas.microsoft.com/office/drawing/2014/main" id="{00000000-0008-0000-0600-00000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55</xdr:row>
          <xdr:rowOff>152400</xdr:rowOff>
        </xdr:from>
        <xdr:to>
          <xdr:col>2</xdr:col>
          <xdr:colOff>942975</xdr:colOff>
          <xdr:row>57</xdr:row>
          <xdr:rowOff>85725</xdr:rowOff>
        </xdr:to>
        <xdr:sp macro="" textlink="">
          <xdr:nvSpPr>
            <xdr:cNvPr id="277512" name="Check Box 8" hidden="1">
              <a:extLst>
                <a:ext uri="{63B3BB69-23CF-44E3-9099-C40C66FF867C}">
                  <a14:compatExt spid="_x0000_s277512"/>
                </a:ext>
                <a:ext uri="{FF2B5EF4-FFF2-40B4-BE49-F238E27FC236}">
                  <a16:creationId xmlns:a16="http://schemas.microsoft.com/office/drawing/2014/main" id="{00000000-0008-0000-0600-00000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38</xdr:row>
          <xdr:rowOff>180975</xdr:rowOff>
        </xdr:from>
        <xdr:to>
          <xdr:col>2</xdr:col>
          <xdr:colOff>942975</xdr:colOff>
          <xdr:row>40</xdr:row>
          <xdr:rowOff>76200</xdr:rowOff>
        </xdr:to>
        <xdr:sp macro="" textlink="">
          <xdr:nvSpPr>
            <xdr:cNvPr id="277513" name="Check Box 9" hidden="1">
              <a:extLst>
                <a:ext uri="{63B3BB69-23CF-44E3-9099-C40C66FF867C}">
                  <a14:compatExt spid="_x0000_s277513"/>
                </a:ext>
                <a:ext uri="{FF2B5EF4-FFF2-40B4-BE49-F238E27FC236}">
                  <a16:creationId xmlns:a16="http://schemas.microsoft.com/office/drawing/2014/main" id="{00000000-0008-0000-0600-00000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74</xdr:row>
          <xdr:rowOff>171450</xdr:rowOff>
        </xdr:from>
        <xdr:to>
          <xdr:col>2</xdr:col>
          <xdr:colOff>962025</xdr:colOff>
          <xdr:row>76</xdr:row>
          <xdr:rowOff>57150</xdr:rowOff>
        </xdr:to>
        <xdr:sp macro="" textlink="">
          <xdr:nvSpPr>
            <xdr:cNvPr id="277514" name="Check Box 10" hidden="1">
              <a:extLst>
                <a:ext uri="{63B3BB69-23CF-44E3-9099-C40C66FF867C}">
                  <a14:compatExt spid="_x0000_s277514"/>
                </a:ext>
                <a:ext uri="{FF2B5EF4-FFF2-40B4-BE49-F238E27FC236}">
                  <a16:creationId xmlns:a16="http://schemas.microsoft.com/office/drawing/2014/main" id="{00000000-0008-0000-0600-00000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30</xdr:row>
          <xdr:rowOff>190500</xdr:rowOff>
        </xdr:from>
        <xdr:to>
          <xdr:col>2</xdr:col>
          <xdr:colOff>1019175</xdr:colOff>
          <xdr:row>32</xdr:row>
          <xdr:rowOff>66675</xdr:rowOff>
        </xdr:to>
        <xdr:sp macro="" textlink="">
          <xdr:nvSpPr>
            <xdr:cNvPr id="277515" name="Check Box 11" hidden="1">
              <a:extLst>
                <a:ext uri="{63B3BB69-23CF-44E3-9099-C40C66FF867C}">
                  <a14:compatExt spid="_x0000_s277515"/>
                </a:ext>
                <a:ext uri="{FF2B5EF4-FFF2-40B4-BE49-F238E27FC236}">
                  <a16:creationId xmlns:a16="http://schemas.microsoft.com/office/drawing/2014/main" id="{00000000-0008-0000-0600-00000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44</xdr:row>
          <xdr:rowOff>171450</xdr:rowOff>
        </xdr:from>
        <xdr:to>
          <xdr:col>2</xdr:col>
          <xdr:colOff>1019175</xdr:colOff>
          <xdr:row>46</xdr:row>
          <xdr:rowOff>57150</xdr:rowOff>
        </xdr:to>
        <xdr:sp macro="" textlink="">
          <xdr:nvSpPr>
            <xdr:cNvPr id="277516" name="Check Box 12" hidden="1">
              <a:extLst>
                <a:ext uri="{63B3BB69-23CF-44E3-9099-C40C66FF867C}">
                  <a14:compatExt spid="_x0000_s277516"/>
                </a:ext>
                <a:ext uri="{FF2B5EF4-FFF2-40B4-BE49-F238E27FC236}">
                  <a16:creationId xmlns:a16="http://schemas.microsoft.com/office/drawing/2014/main" id="{00000000-0008-0000-0600-00000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69</xdr:row>
          <xdr:rowOff>247650</xdr:rowOff>
        </xdr:from>
        <xdr:to>
          <xdr:col>2</xdr:col>
          <xdr:colOff>1038225</xdr:colOff>
          <xdr:row>71</xdr:row>
          <xdr:rowOff>66675</xdr:rowOff>
        </xdr:to>
        <xdr:sp macro="" textlink="">
          <xdr:nvSpPr>
            <xdr:cNvPr id="277517" name="Check Box 13" hidden="1">
              <a:extLst>
                <a:ext uri="{63B3BB69-23CF-44E3-9099-C40C66FF867C}">
                  <a14:compatExt spid="_x0000_s277517"/>
                </a:ext>
                <a:ext uri="{FF2B5EF4-FFF2-40B4-BE49-F238E27FC236}">
                  <a16:creationId xmlns:a16="http://schemas.microsoft.com/office/drawing/2014/main" id="{00000000-0008-0000-0600-00000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102</xdr:row>
          <xdr:rowOff>19050</xdr:rowOff>
        </xdr:from>
        <xdr:to>
          <xdr:col>2</xdr:col>
          <xdr:colOff>914400</xdr:colOff>
          <xdr:row>103</xdr:row>
          <xdr:rowOff>38100</xdr:rowOff>
        </xdr:to>
        <xdr:sp macro="" textlink="">
          <xdr:nvSpPr>
            <xdr:cNvPr id="277518" name="Check Box 14" hidden="1">
              <a:extLst>
                <a:ext uri="{63B3BB69-23CF-44E3-9099-C40C66FF867C}">
                  <a14:compatExt spid="_x0000_s277518"/>
                </a:ext>
                <a:ext uri="{FF2B5EF4-FFF2-40B4-BE49-F238E27FC236}">
                  <a16:creationId xmlns:a16="http://schemas.microsoft.com/office/drawing/2014/main" id="{00000000-0008-0000-0600-00000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107</xdr:row>
          <xdr:rowOff>19050</xdr:rowOff>
        </xdr:from>
        <xdr:to>
          <xdr:col>2</xdr:col>
          <xdr:colOff>914400</xdr:colOff>
          <xdr:row>108</xdr:row>
          <xdr:rowOff>38100</xdr:rowOff>
        </xdr:to>
        <xdr:sp macro="" textlink="">
          <xdr:nvSpPr>
            <xdr:cNvPr id="277519" name="Check Box 15" hidden="1">
              <a:extLst>
                <a:ext uri="{63B3BB69-23CF-44E3-9099-C40C66FF867C}">
                  <a14:compatExt spid="_x0000_s277519"/>
                </a:ext>
                <a:ext uri="{FF2B5EF4-FFF2-40B4-BE49-F238E27FC236}">
                  <a16:creationId xmlns:a16="http://schemas.microsoft.com/office/drawing/2014/main" id="{00000000-0008-0000-0600-00000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520" name="Check Box 16" hidden="1">
              <a:extLst>
                <a:ext uri="{63B3BB69-23CF-44E3-9099-C40C66FF867C}">
                  <a14:compatExt spid="_x0000_s277520"/>
                </a:ext>
                <a:ext uri="{FF2B5EF4-FFF2-40B4-BE49-F238E27FC236}">
                  <a16:creationId xmlns:a16="http://schemas.microsoft.com/office/drawing/2014/main" id="{00000000-0008-0000-0600-00001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108</xdr:row>
          <xdr:rowOff>19050</xdr:rowOff>
        </xdr:from>
        <xdr:to>
          <xdr:col>2</xdr:col>
          <xdr:colOff>914400</xdr:colOff>
          <xdr:row>109</xdr:row>
          <xdr:rowOff>38100</xdr:rowOff>
        </xdr:to>
        <xdr:sp macro="" textlink="">
          <xdr:nvSpPr>
            <xdr:cNvPr id="277521" name="Check Box 17" hidden="1">
              <a:extLst>
                <a:ext uri="{63B3BB69-23CF-44E3-9099-C40C66FF867C}">
                  <a14:compatExt spid="_x0000_s277521"/>
                </a:ext>
                <a:ext uri="{FF2B5EF4-FFF2-40B4-BE49-F238E27FC236}">
                  <a16:creationId xmlns:a16="http://schemas.microsoft.com/office/drawing/2014/main" id="{00000000-0008-0000-0600-00001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28575</xdr:rowOff>
        </xdr:from>
        <xdr:to>
          <xdr:col>2</xdr:col>
          <xdr:colOff>914400</xdr:colOff>
          <xdr:row>110</xdr:row>
          <xdr:rowOff>38100</xdr:rowOff>
        </xdr:to>
        <xdr:sp macro="" textlink="">
          <xdr:nvSpPr>
            <xdr:cNvPr id="277522" name="Check Box 18" hidden="1">
              <a:extLst>
                <a:ext uri="{63B3BB69-23CF-44E3-9099-C40C66FF867C}">
                  <a14:compatExt spid="_x0000_s277522"/>
                </a:ext>
                <a:ext uri="{FF2B5EF4-FFF2-40B4-BE49-F238E27FC236}">
                  <a16:creationId xmlns:a16="http://schemas.microsoft.com/office/drawing/2014/main" id="{00000000-0008-0000-0600-00001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106</xdr:row>
          <xdr:rowOff>19050</xdr:rowOff>
        </xdr:from>
        <xdr:to>
          <xdr:col>2</xdr:col>
          <xdr:colOff>914400</xdr:colOff>
          <xdr:row>107</xdr:row>
          <xdr:rowOff>38100</xdr:rowOff>
        </xdr:to>
        <xdr:sp macro="" textlink="">
          <xdr:nvSpPr>
            <xdr:cNvPr id="277523" name="Check Box 19" hidden="1">
              <a:extLst>
                <a:ext uri="{63B3BB69-23CF-44E3-9099-C40C66FF867C}">
                  <a14:compatExt spid="_x0000_s277523"/>
                </a:ext>
                <a:ext uri="{FF2B5EF4-FFF2-40B4-BE49-F238E27FC236}">
                  <a16:creationId xmlns:a16="http://schemas.microsoft.com/office/drawing/2014/main" id="{00000000-0008-0000-0600-00001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19050</xdr:rowOff>
        </xdr:from>
        <xdr:to>
          <xdr:col>2</xdr:col>
          <xdr:colOff>914400</xdr:colOff>
          <xdr:row>114</xdr:row>
          <xdr:rowOff>38100</xdr:rowOff>
        </xdr:to>
        <xdr:sp macro="" textlink="">
          <xdr:nvSpPr>
            <xdr:cNvPr id="277524" name="Check Box 20" hidden="1">
              <a:extLst>
                <a:ext uri="{63B3BB69-23CF-44E3-9099-C40C66FF867C}">
                  <a14:compatExt spid="_x0000_s277524"/>
                </a:ext>
                <a:ext uri="{FF2B5EF4-FFF2-40B4-BE49-F238E27FC236}">
                  <a16:creationId xmlns:a16="http://schemas.microsoft.com/office/drawing/2014/main" id="{00000000-0008-0000-0600-00001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116</xdr:row>
          <xdr:rowOff>28575</xdr:rowOff>
        </xdr:from>
        <xdr:to>
          <xdr:col>2</xdr:col>
          <xdr:colOff>914400</xdr:colOff>
          <xdr:row>117</xdr:row>
          <xdr:rowOff>38100</xdr:rowOff>
        </xdr:to>
        <xdr:sp macro="" textlink="">
          <xdr:nvSpPr>
            <xdr:cNvPr id="277525" name="Check Box 21" hidden="1">
              <a:extLst>
                <a:ext uri="{63B3BB69-23CF-44E3-9099-C40C66FF867C}">
                  <a14:compatExt spid="_x0000_s277525"/>
                </a:ext>
                <a:ext uri="{FF2B5EF4-FFF2-40B4-BE49-F238E27FC236}">
                  <a16:creationId xmlns:a16="http://schemas.microsoft.com/office/drawing/2014/main" id="{00000000-0008-0000-0600-00001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117</xdr:row>
          <xdr:rowOff>28575</xdr:rowOff>
        </xdr:from>
        <xdr:to>
          <xdr:col>2</xdr:col>
          <xdr:colOff>914400</xdr:colOff>
          <xdr:row>118</xdr:row>
          <xdr:rowOff>38100</xdr:rowOff>
        </xdr:to>
        <xdr:sp macro="" textlink="">
          <xdr:nvSpPr>
            <xdr:cNvPr id="277526" name="Check Box 22" hidden="1">
              <a:extLst>
                <a:ext uri="{63B3BB69-23CF-44E3-9099-C40C66FF867C}">
                  <a14:compatExt spid="_x0000_s277526"/>
                </a:ext>
                <a:ext uri="{FF2B5EF4-FFF2-40B4-BE49-F238E27FC236}">
                  <a16:creationId xmlns:a16="http://schemas.microsoft.com/office/drawing/2014/main" id="{00000000-0008-0000-0600-00001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118</xdr:row>
          <xdr:rowOff>28575</xdr:rowOff>
        </xdr:from>
        <xdr:to>
          <xdr:col>2</xdr:col>
          <xdr:colOff>914400</xdr:colOff>
          <xdr:row>119</xdr:row>
          <xdr:rowOff>38100</xdr:rowOff>
        </xdr:to>
        <xdr:sp macro="" textlink="">
          <xdr:nvSpPr>
            <xdr:cNvPr id="277527" name="Check Box 23" hidden="1">
              <a:extLst>
                <a:ext uri="{63B3BB69-23CF-44E3-9099-C40C66FF867C}">
                  <a14:compatExt spid="_x0000_s277527"/>
                </a:ext>
                <a:ext uri="{FF2B5EF4-FFF2-40B4-BE49-F238E27FC236}">
                  <a16:creationId xmlns:a16="http://schemas.microsoft.com/office/drawing/2014/main" id="{00000000-0008-0000-0600-00001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120</xdr:row>
          <xdr:rowOff>9525</xdr:rowOff>
        </xdr:from>
        <xdr:to>
          <xdr:col>2</xdr:col>
          <xdr:colOff>942975</xdr:colOff>
          <xdr:row>121</xdr:row>
          <xdr:rowOff>28575</xdr:rowOff>
        </xdr:to>
        <xdr:sp macro="" textlink="">
          <xdr:nvSpPr>
            <xdr:cNvPr id="277528" name="Check Box 24" hidden="1">
              <a:extLst>
                <a:ext uri="{63B3BB69-23CF-44E3-9099-C40C66FF867C}">
                  <a14:compatExt spid="_x0000_s277528"/>
                </a:ext>
                <a:ext uri="{FF2B5EF4-FFF2-40B4-BE49-F238E27FC236}">
                  <a16:creationId xmlns:a16="http://schemas.microsoft.com/office/drawing/2014/main" id="{00000000-0008-0000-0600-00001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92</xdr:row>
          <xdr:rowOff>19050</xdr:rowOff>
        </xdr:from>
        <xdr:to>
          <xdr:col>2</xdr:col>
          <xdr:colOff>914400</xdr:colOff>
          <xdr:row>93</xdr:row>
          <xdr:rowOff>38100</xdr:rowOff>
        </xdr:to>
        <xdr:sp macro="" textlink="">
          <xdr:nvSpPr>
            <xdr:cNvPr id="277529" name="Check Box 25" hidden="1">
              <a:extLst>
                <a:ext uri="{63B3BB69-23CF-44E3-9099-C40C66FF867C}">
                  <a14:compatExt spid="_x0000_s277529"/>
                </a:ext>
                <a:ext uri="{FF2B5EF4-FFF2-40B4-BE49-F238E27FC236}">
                  <a16:creationId xmlns:a16="http://schemas.microsoft.com/office/drawing/2014/main" id="{00000000-0008-0000-0600-00001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52</xdr:row>
          <xdr:rowOff>161925</xdr:rowOff>
        </xdr:from>
        <xdr:to>
          <xdr:col>2</xdr:col>
          <xdr:colOff>923925</xdr:colOff>
          <xdr:row>54</xdr:row>
          <xdr:rowOff>76200</xdr:rowOff>
        </xdr:to>
        <xdr:sp macro="" textlink="">
          <xdr:nvSpPr>
            <xdr:cNvPr id="277530" name="Check Box 26" hidden="1">
              <a:extLst>
                <a:ext uri="{63B3BB69-23CF-44E3-9099-C40C66FF867C}">
                  <a14:compatExt spid="_x0000_s277530"/>
                </a:ext>
                <a:ext uri="{FF2B5EF4-FFF2-40B4-BE49-F238E27FC236}">
                  <a16:creationId xmlns:a16="http://schemas.microsoft.com/office/drawing/2014/main" id="{00000000-0008-0000-0600-00001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80</xdr:row>
          <xdr:rowOff>238125</xdr:rowOff>
        </xdr:from>
        <xdr:to>
          <xdr:col>2</xdr:col>
          <xdr:colOff>962025</xdr:colOff>
          <xdr:row>82</xdr:row>
          <xdr:rowOff>66675</xdr:rowOff>
        </xdr:to>
        <xdr:sp macro="" textlink="">
          <xdr:nvSpPr>
            <xdr:cNvPr id="277531" name="Check Box 27" hidden="1">
              <a:extLst>
                <a:ext uri="{63B3BB69-23CF-44E3-9099-C40C66FF867C}">
                  <a14:compatExt spid="_x0000_s277531"/>
                </a:ext>
                <a:ext uri="{FF2B5EF4-FFF2-40B4-BE49-F238E27FC236}">
                  <a16:creationId xmlns:a16="http://schemas.microsoft.com/office/drawing/2014/main" id="{00000000-0008-0000-0600-00001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70</xdr:row>
          <xdr:rowOff>180975</xdr:rowOff>
        </xdr:from>
        <xdr:to>
          <xdr:col>2</xdr:col>
          <xdr:colOff>962025</xdr:colOff>
          <xdr:row>72</xdr:row>
          <xdr:rowOff>76200</xdr:rowOff>
        </xdr:to>
        <xdr:sp macro="" textlink="">
          <xdr:nvSpPr>
            <xdr:cNvPr id="277532" name="Check Box 28" hidden="1">
              <a:extLst>
                <a:ext uri="{63B3BB69-23CF-44E3-9099-C40C66FF867C}">
                  <a14:compatExt spid="_x0000_s277532"/>
                </a:ext>
                <a:ext uri="{FF2B5EF4-FFF2-40B4-BE49-F238E27FC236}">
                  <a16:creationId xmlns:a16="http://schemas.microsoft.com/office/drawing/2014/main" id="{00000000-0008-0000-0600-00001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81</xdr:row>
          <xdr:rowOff>180975</xdr:rowOff>
        </xdr:from>
        <xdr:to>
          <xdr:col>2</xdr:col>
          <xdr:colOff>962025</xdr:colOff>
          <xdr:row>83</xdr:row>
          <xdr:rowOff>76200</xdr:rowOff>
        </xdr:to>
        <xdr:sp macro="" textlink="">
          <xdr:nvSpPr>
            <xdr:cNvPr id="277533" name="Check Box 29" hidden="1">
              <a:extLst>
                <a:ext uri="{63B3BB69-23CF-44E3-9099-C40C66FF867C}">
                  <a14:compatExt spid="_x0000_s277533"/>
                </a:ext>
                <a:ext uri="{FF2B5EF4-FFF2-40B4-BE49-F238E27FC236}">
                  <a16:creationId xmlns:a16="http://schemas.microsoft.com/office/drawing/2014/main" id="{00000000-0008-0000-0600-00001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83</xdr:row>
          <xdr:rowOff>0</xdr:rowOff>
        </xdr:from>
        <xdr:to>
          <xdr:col>2</xdr:col>
          <xdr:colOff>962025</xdr:colOff>
          <xdr:row>84</xdr:row>
          <xdr:rowOff>66675</xdr:rowOff>
        </xdr:to>
        <xdr:sp macro="" textlink="">
          <xdr:nvSpPr>
            <xdr:cNvPr id="277534" name="Check Box 30" hidden="1">
              <a:extLst>
                <a:ext uri="{63B3BB69-23CF-44E3-9099-C40C66FF867C}">
                  <a14:compatExt spid="_x0000_s277534"/>
                </a:ext>
                <a:ext uri="{FF2B5EF4-FFF2-40B4-BE49-F238E27FC236}">
                  <a16:creationId xmlns:a16="http://schemas.microsoft.com/office/drawing/2014/main" id="{00000000-0008-0000-0600-00001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5" name="Check Box 31" hidden="1">
              <a:extLst>
                <a:ext uri="{63B3BB69-23CF-44E3-9099-C40C66FF867C}">
                  <a14:compatExt spid="_x0000_s277535"/>
                </a:ext>
                <a:ext uri="{FF2B5EF4-FFF2-40B4-BE49-F238E27FC236}">
                  <a16:creationId xmlns:a16="http://schemas.microsoft.com/office/drawing/2014/main" id="{00000000-0008-0000-0600-00001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111</xdr:row>
          <xdr:rowOff>9525</xdr:rowOff>
        </xdr:from>
        <xdr:to>
          <xdr:col>2</xdr:col>
          <xdr:colOff>904875</xdr:colOff>
          <xdr:row>112</xdr:row>
          <xdr:rowOff>28575</xdr:rowOff>
        </xdr:to>
        <xdr:sp macro="" textlink="">
          <xdr:nvSpPr>
            <xdr:cNvPr id="277536" name="Check Box 32" hidden="1">
              <a:extLst>
                <a:ext uri="{63B3BB69-23CF-44E3-9099-C40C66FF867C}">
                  <a14:compatExt spid="_x0000_s277536"/>
                </a:ext>
                <a:ext uri="{FF2B5EF4-FFF2-40B4-BE49-F238E27FC236}">
                  <a16:creationId xmlns:a16="http://schemas.microsoft.com/office/drawing/2014/main" id="{00000000-0008-0000-0600-00002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37" name="Check Box 33" hidden="1">
              <a:extLst>
                <a:ext uri="{63B3BB69-23CF-44E3-9099-C40C66FF867C}">
                  <a14:compatExt spid="_x0000_s277537"/>
                </a:ext>
                <a:ext uri="{FF2B5EF4-FFF2-40B4-BE49-F238E27FC236}">
                  <a16:creationId xmlns:a16="http://schemas.microsoft.com/office/drawing/2014/main" id="{00000000-0008-0000-0600-00002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125</xdr:row>
          <xdr:rowOff>9525</xdr:rowOff>
        </xdr:from>
        <xdr:to>
          <xdr:col>2</xdr:col>
          <xdr:colOff>942975</xdr:colOff>
          <xdr:row>126</xdr:row>
          <xdr:rowOff>57150</xdr:rowOff>
        </xdr:to>
        <xdr:sp macro="" textlink="">
          <xdr:nvSpPr>
            <xdr:cNvPr id="277538" name="Check Box 34" hidden="1">
              <a:extLst>
                <a:ext uri="{63B3BB69-23CF-44E3-9099-C40C66FF867C}">
                  <a14:compatExt spid="_x0000_s277538"/>
                </a:ext>
                <a:ext uri="{FF2B5EF4-FFF2-40B4-BE49-F238E27FC236}">
                  <a16:creationId xmlns:a16="http://schemas.microsoft.com/office/drawing/2014/main" id="{00000000-0008-0000-0600-00002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9" name="Check Box 35" hidden="1">
              <a:extLst>
                <a:ext uri="{63B3BB69-23CF-44E3-9099-C40C66FF867C}">
                  <a14:compatExt spid="_x0000_s277539"/>
                </a:ext>
                <a:ext uri="{FF2B5EF4-FFF2-40B4-BE49-F238E27FC236}">
                  <a16:creationId xmlns:a16="http://schemas.microsoft.com/office/drawing/2014/main" id="{00000000-0008-0000-0600-00002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86</xdr:row>
          <xdr:rowOff>0</xdr:rowOff>
        </xdr:from>
        <xdr:to>
          <xdr:col>2</xdr:col>
          <xdr:colOff>962025</xdr:colOff>
          <xdr:row>87</xdr:row>
          <xdr:rowOff>66675</xdr:rowOff>
        </xdr:to>
        <xdr:sp macro="" textlink="">
          <xdr:nvSpPr>
            <xdr:cNvPr id="277540" name="Check Box 36" hidden="1">
              <a:extLst>
                <a:ext uri="{63B3BB69-23CF-44E3-9099-C40C66FF867C}">
                  <a14:compatExt spid="_x0000_s277540"/>
                </a:ext>
                <a:ext uri="{FF2B5EF4-FFF2-40B4-BE49-F238E27FC236}">
                  <a16:creationId xmlns:a16="http://schemas.microsoft.com/office/drawing/2014/main" id="{00000000-0008-0000-0600-00002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63</xdr:row>
          <xdr:rowOff>180975</xdr:rowOff>
        </xdr:from>
        <xdr:to>
          <xdr:col>2</xdr:col>
          <xdr:colOff>923925</xdr:colOff>
          <xdr:row>65</xdr:row>
          <xdr:rowOff>47625</xdr:rowOff>
        </xdr:to>
        <xdr:sp macro="" textlink="">
          <xdr:nvSpPr>
            <xdr:cNvPr id="277541" name="Check Box 37" hidden="1">
              <a:extLst>
                <a:ext uri="{63B3BB69-23CF-44E3-9099-C40C66FF867C}">
                  <a14:compatExt spid="_x0000_s277541"/>
                </a:ext>
                <a:ext uri="{FF2B5EF4-FFF2-40B4-BE49-F238E27FC236}">
                  <a16:creationId xmlns:a16="http://schemas.microsoft.com/office/drawing/2014/main" id="{00000000-0008-0000-0600-00002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72</xdr:row>
          <xdr:rowOff>180975</xdr:rowOff>
        </xdr:from>
        <xdr:to>
          <xdr:col>2</xdr:col>
          <xdr:colOff>962025</xdr:colOff>
          <xdr:row>74</xdr:row>
          <xdr:rowOff>76200</xdr:rowOff>
        </xdr:to>
        <xdr:sp macro="" textlink="">
          <xdr:nvSpPr>
            <xdr:cNvPr id="277542" name="Check Box 38" hidden="1">
              <a:extLst>
                <a:ext uri="{63B3BB69-23CF-44E3-9099-C40C66FF867C}">
                  <a14:compatExt spid="_x0000_s277542"/>
                </a:ext>
                <a:ext uri="{FF2B5EF4-FFF2-40B4-BE49-F238E27FC236}">
                  <a16:creationId xmlns:a16="http://schemas.microsoft.com/office/drawing/2014/main" id="{00000000-0008-0000-0600-00002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71</xdr:row>
          <xdr:rowOff>180975</xdr:rowOff>
        </xdr:from>
        <xdr:to>
          <xdr:col>2</xdr:col>
          <xdr:colOff>962025</xdr:colOff>
          <xdr:row>73</xdr:row>
          <xdr:rowOff>76200</xdr:rowOff>
        </xdr:to>
        <xdr:sp macro="" textlink="">
          <xdr:nvSpPr>
            <xdr:cNvPr id="277543" name="Check Box 39" hidden="1">
              <a:extLst>
                <a:ext uri="{63B3BB69-23CF-44E3-9099-C40C66FF867C}">
                  <a14:compatExt spid="_x0000_s277543"/>
                </a:ext>
                <a:ext uri="{FF2B5EF4-FFF2-40B4-BE49-F238E27FC236}">
                  <a16:creationId xmlns:a16="http://schemas.microsoft.com/office/drawing/2014/main" id="{00000000-0008-0000-0600-00002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44" name="Check Box 40" hidden="1">
              <a:extLst>
                <a:ext uri="{63B3BB69-23CF-44E3-9099-C40C66FF867C}">
                  <a14:compatExt spid="_x0000_s277544"/>
                </a:ext>
                <a:ext uri="{FF2B5EF4-FFF2-40B4-BE49-F238E27FC236}">
                  <a16:creationId xmlns:a16="http://schemas.microsoft.com/office/drawing/2014/main" id="{00000000-0008-0000-0600-00002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112</xdr:row>
          <xdr:rowOff>28575</xdr:rowOff>
        </xdr:from>
        <xdr:to>
          <xdr:col>2</xdr:col>
          <xdr:colOff>914400</xdr:colOff>
          <xdr:row>113</xdr:row>
          <xdr:rowOff>38100</xdr:rowOff>
        </xdr:to>
        <xdr:sp macro="" textlink="">
          <xdr:nvSpPr>
            <xdr:cNvPr id="277545" name="Check Box 41" hidden="1">
              <a:extLst>
                <a:ext uri="{63B3BB69-23CF-44E3-9099-C40C66FF867C}">
                  <a14:compatExt spid="_x0000_s277545"/>
                </a:ext>
                <a:ext uri="{FF2B5EF4-FFF2-40B4-BE49-F238E27FC236}">
                  <a16:creationId xmlns:a16="http://schemas.microsoft.com/office/drawing/2014/main" id="{00000000-0008-0000-0600-00002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94</xdr:row>
          <xdr:rowOff>19050</xdr:rowOff>
        </xdr:from>
        <xdr:to>
          <xdr:col>2</xdr:col>
          <xdr:colOff>914400</xdr:colOff>
          <xdr:row>95</xdr:row>
          <xdr:rowOff>38100</xdr:rowOff>
        </xdr:to>
        <xdr:sp macro="" textlink="">
          <xdr:nvSpPr>
            <xdr:cNvPr id="277546" name="Check Box 42" hidden="1">
              <a:extLst>
                <a:ext uri="{63B3BB69-23CF-44E3-9099-C40C66FF867C}">
                  <a14:compatExt spid="_x0000_s277546"/>
                </a:ext>
                <a:ext uri="{FF2B5EF4-FFF2-40B4-BE49-F238E27FC236}">
                  <a16:creationId xmlns:a16="http://schemas.microsoft.com/office/drawing/2014/main" id="{00000000-0008-0000-0600-00002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95</xdr:row>
          <xdr:rowOff>238125</xdr:rowOff>
        </xdr:from>
        <xdr:to>
          <xdr:col>2</xdr:col>
          <xdr:colOff>962025</xdr:colOff>
          <xdr:row>97</xdr:row>
          <xdr:rowOff>66675</xdr:rowOff>
        </xdr:to>
        <xdr:sp macro="" textlink="">
          <xdr:nvSpPr>
            <xdr:cNvPr id="277547" name="Check Box 43" hidden="1">
              <a:extLst>
                <a:ext uri="{63B3BB69-23CF-44E3-9099-C40C66FF867C}">
                  <a14:compatExt spid="_x0000_s277547"/>
                </a:ext>
                <a:ext uri="{FF2B5EF4-FFF2-40B4-BE49-F238E27FC236}">
                  <a16:creationId xmlns:a16="http://schemas.microsoft.com/office/drawing/2014/main" id="{00000000-0008-0000-0600-00002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96</xdr:row>
          <xdr:rowOff>180975</xdr:rowOff>
        </xdr:from>
        <xdr:to>
          <xdr:col>2</xdr:col>
          <xdr:colOff>962025</xdr:colOff>
          <xdr:row>98</xdr:row>
          <xdr:rowOff>76200</xdr:rowOff>
        </xdr:to>
        <xdr:sp macro="" textlink="">
          <xdr:nvSpPr>
            <xdr:cNvPr id="277548" name="Check Box 44" hidden="1">
              <a:extLst>
                <a:ext uri="{63B3BB69-23CF-44E3-9099-C40C66FF867C}">
                  <a14:compatExt spid="_x0000_s277548"/>
                </a:ext>
                <a:ext uri="{FF2B5EF4-FFF2-40B4-BE49-F238E27FC236}">
                  <a16:creationId xmlns:a16="http://schemas.microsoft.com/office/drawing/2014/main" id="{00000000-0008-0000-0600-00002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144</xdr:row>
          <xdr:rowOff>0</xdr:rowOff>
        </xdr:from>
        <xdr:to>
          <xdr:col>3</xdr:col>
          <xdr:colOff>1733550</xdr:colOff>
          <xdr:row>145</xdr:row>
          <xdr:rowOff>19050</xdr:rowOff>
        </xdr:to>
        <xdr:sp macro="" textlink="">
          <xdr:nvSpPr>
            <xdr:cNvPr id="277549" name="Check Box 45" hidden="1">
              <a:extLst>
                <a:ext uri="{63B3BB69-23CF-44E3-9099-C40C66FF867C}">
                  <a14:compatExt spid="_x0000_s277549"/>
                </a:ext>
                <a:ext uri="{FF2B5EF4-FFF2-40B4-BE49-F238E27FC236}">
                  <a16:creationId xmlns:a16="http://schemas.microsoft.com/office/drawing/2014/main" id="{00000000-0008-0000-0600-00002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147</xdr:row>
          <xdr:rowOff>0</xdr:rowOff>
        </xdr:from>
        <xdr:to>
          <xdr:col>3</xdr:col>
          <xdr:colOff>1733550</xdr:colOff>
          <xdr:row>148</xdr:row>
          <xdr:rowOff>19050</xdr:rowOff>
        </xdr:to>
        <xdr:sp macro="" textlink="">
          <xdr:nvSpPr>
            <xdr:cNvPr id="277551" name="Check Box 47" hidden="1">
              <a:extLst>
                <a:ext uri="{63B3BB69-23CF-44E3-9099-C40C66FF867C}">
                  <a14:compatExt spid="_x0000_s277551"/>
                </a:ext>
                <a:ext uri="{FF2B5EF4-FFF2-40B4-BE49-F238E27FC236}">
                  <a16:creationId xmlns:a16="http://schemas.microsoft.com/office/drawing/2014/main" id="{00000000-0008-0000-0600-00002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148</xdr:row>
          <xdr:rowOff>0</xdr:rowOff>
        </xdr:from>
        <xdr:to>
          <xdr:col>3</xdr:col>
          <xdr:colOff>1733550</xdr:colOff>
          <xdr:row>149</xdr:row>
          <xdr:rowOff>19050</xdr:rowOff>
        </xdr:to>
        <xdr:sp macro="" textlink="">
          <xdr:nvSpPr>
            <xdr:cNvPr id="277552" name="Check Box 48" hidden="1">
              <a:extLst>
                <a:ext uri="{63B3BB69-23CF-44E3-9099-C40C66FF867C}">
                  <a14:compatExt spid="_x0000_s277552"/>
                </a:ext>
                <a:ext uri="{FF2B5EF4-FFF2-40B4-BE49-F238E27FC236}">
                  <a16:creationId xmlns:a16="http://schemas.microsoft.com/office/drawing/2014/main" id="{00000000-0008-0000-0600-00003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149</xdr:row>
          <xdr:rowOff>0</xdr:rowOff>
        </xdr:from>
        <xdr:to>
          <xdr:col>3</xdr:col>
          <xdr:colOff>1733550</xdr:colOff>
          <xdr:row>150</xdr:row>
          <xdr:rowOff>19050</xdr:rowOff>
        </xdr:to>
        <xdr:sp macro="" textlink="">
          <xdr:nvSpPr>
            <xdr:cNvPr id="277553" name="Check Box 49" hidden="1">
              <a:extLst>
                <a:ext uri="{63B3BB69-23CF-44E3-9099-C40C66FF867C}">
                  <a14:compatExt spid="_x0000_s277553"/>
                </a:ext>
                <a:ext uri="{FF2B5EF4-FFF2-40B4-BE49-F238E27FC236}">
                  <a16:creationId xmlns:a16="http://schemas.microsoft.com/office/drawing/2014/main" id="{00000000-0008-0000-0600-00003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150</xdr:row>
          <xdr:rowOff>0</xdr:rowOff>
        </xdr:from>
        <xdr:to>
          <xdr:col>3</xdr:col>
          <xdr:colOff>1733550</xdr:colOff>
          <xdr:row>151</xdr:row>
          <xdr:rowOff>19050</xdr:rowOff>
        </xdr:to>
        <xdr:sp macro="" textlink="">
          <xdr:nvSpPr>
            <xdr:cNvPr id="277554" name="Check Box 50" hidden="1">
              <a:extLst>
                <a:ext uri="{63B3BB69-23CF-44E3-9099-C40C66FF867C}">
                  <a14:compatExt spid="_x0000_s277554"/>
                </a:ext>
                <a:ext uri="{FF2B5EF4-FFF2-40B4-BE49-F238E27FC236}">
                  <a16:creationId xmlns:a16="http://schemas.microsoft.com/office/drawing/2014/main" id="{00000000-0008-0000-0600-00003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151</xdr:row>
          <xdr:rowOff>0</xdr:rowOff>
        </xdr:from>
        <xdr:to>
          <xdr:col>3</xdr:col>
          <xdr:colOff>1733550</xdr:colOff>
          <xdr:row>152</xdr:row>
          <xdr:rowOff>19050</xdr:rowOff>
        </xdr:to>
        <xdr:sp macro="" textlink="">
          <xdr:nvSpPr>
            <xdr:cNvPr id="277555" name="Check Box 51" hidden="1">
              <a:extLst>
                <a:ext uri="{63B3BB69-23CF-44E3-9099-C40C66FF867C}">
                  <a14:compatExt spid="_x0000_s277555"/>
                </a:ext>
                <a:ext uri="{FF2B5EF4-FFF2-40B4-BE49-F238E27FC236}">
                  <a16:creationId xmlns:a16="http://schemas.microsoft.com/office/drawing/2014/main" id="{00000000-0008-0000-0600-00003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152</xdr:row>
          <xdr:rowOff>0</xdr:rowOff>
        </xdr:from>
        <xdr:to>
          <xdr:col>3</xdr:col>
          <xdr:colOff>1733550</xdr:colOff>
          <xdr:row>153</xdr:row>
          <xdr:rowOff>19050</xdr:rowOff>
        </xdr:to>
        <xdr:sp macro="" textlink="">
          <xdr:nvSpPr>
            <xdr:cNvPr id="277556" name="Check Box 52" hidden="1">
              <a:extLst>
                <a:ext uri="{63B3BB69-23CF-44E3-9099-C40C66FF867C}">
                  <a14:compatExt spid="_x0000_s277556"/>
                </a:ext>
                <a:ext uri="{FF2B5EF4-FFF2-40B4-BE49-F238E27FC236}">
                  <a16:creationId xmlns:a16="http://schemas.microsoft.com/office/drawing/2014/main" id="{00000000-0008-0000-0600-00003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153</xdr:row>
          <xdr:rowOff>0</xdr:rowOff>
        </xdr:from>
        <xdr:to>
          <xdr:col>3</xdr:col>
          <xdr:colOff>1733550</xdr:colOff>
          <xdr:row>154</xdr:row>
          <xdr:rowOff>19050</xdr:rowOff>
        </xdr:to>
        <xdr:sp macro="" textlink="">
          <xdr:nvSpPr>
            <xdr:cNvPr id="277557" name="Check Box 53" hidden="1">
              <a:extLst>
                <a:ext uri="{63B3BB69-23CF-44E3-9099-C40C66FF867C}">
                  <a14:compatExt spid="_x0000_s277557"/>
                </a:ext>
                <a:ext uri="{FF2B5EF4-FFF2-40B4-BE49-F238E27FC236}">
                  <a16:creationId xmlns:a16="http://schemas.microsoft.com/office/drawing/2014/main" id="{00000000-0008-0000-0600-00003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154</xdr:row>
          <xdr:rowOff>0</xdr:rowOff>
        </xdr:from>
        <xdr:to>
          <xdr:col>3</xdr:col>
          <xdr:colOff>1733550</xdr:colOff>
          <xdr:row>155</xdr:row>
          <xdr:rowOff>19050</xdr:rowOff>
        </xdr:to>
        <xdr:sp macro="" textlink="">
          <xdr:nvSpPr>
            <xdr:cNvPr id="277558" name="Check Box 54" hidden="1">
              <a:extLst>
                <a:ext uri="{63B3BB69-23CF-44E3-9099-C40C66FF867C}">
                  <a14:compatExt spid="_x0000_s277558"/>
                </a:ext>
                <a:ext uri="{FF2B5EF4-FFF2-40B4-BE49-F238E27FC236}">
                  <a16:creationId xmlns:a16="http://schemas.microsoft.com/office/drawing/2014/main" id="{00000000-0008-0000-0600-00003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155</xdr:row>
          <xdr:rowOff>0</xdr:rowOff>
        </xdr:from>
        <xdr:to>
          <xdr:col>3</xdr:col>
          <xdr:colOff>1733550</xdr:colOff>
          <xdr:row>156</xdr:row>
          <xdr:rowOff>19050</xdr:rowOff>
        </xdr:to>
        <xdr:sp macro="" textlink="">
          <xdr:nvSpPr>
            <xdr:cNvPr id="277559" name="Check Box 55" hidden="1">
              <a:extLst>
                <a:ext uri="{63B3BB69-23CF-44E3-9099-C40C66FF867C}">
                  <a14:compatExt spid="_x0000_s277559"/>
                </a:ext>
                <a:ext uri="{FF2B5EF4-FFF2-40B4-BE49-F238E27FC236}">
                  <a16:creationId xmlns:a16="http://schemas.microsoft.com/office/drawing/2014/main" id="{00000000-0008-0000-0600-00003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158</xdr:row>
          <xdr:rowOff>0</xdr:rowOff>
        </xdr:from>
        <xdr:to>
          <xdr:col>3</xdr:col>
          <xdr:colOff>1733550</xdr:colOff>
          <xdr:row>159</xdr:row>
          <xdr:rowOff>19050</xdr:rowOff>
        </xdr:to>
        <xdr:sp macro="" textlink="">
          <xdr:nvSpPr>
            <xdr:cNvPr id="277562" name="Check Box 58" hidden="1">
              <a:extLst>
                <a:ext uri="{63B3BB69-23CF-44E3-9099-C40C66FF867C}">
                  <a14:compatExt spid="_x0000_s277562"/>
                </a:ext>
                <a:ext uri="{FF2B5EF4-FFF2-40B4-BE49-F238E27FC236}">
                  <a16:creationId xmlns:a16="http://schemas.microsoft.com/office/drawing/2014/main" id="{00000000-0008-0000-0600-00003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159</xdr:row>
          <xdr:rowOff>0</xdr:rowOff>
        </xdr:from>
        <xdr:to>
          <xdr:col>3</xdr:col>
          <xdr:colOff>1733550</xdr:colOff>
          <xdr:row>160</xdr:row>
          <xdr:rowOff>19050</xdr:rowOff>
        </xdr:to>
        <xdr:sp macro="" textlink="">
          <xdr:nvSpPr>
            <xdr:cNvPr id="277563" name="Check Box 59" hidden="1">
              <a:extLst>
                <a:ext uri="{63B3BB69-23CF-44E3-9099-C40C66FF867C}">
                  <a14:compatExt spid="_x0000_s277563"/>
                </a:ext>
                <a:ext uri="{FF2B5EF4-FFF2-40B4-BE49-F238E27FC236}">
                  <a16:creationId xmlns:a16="http://schemas.microsoft.com/office/drawing/2014/main" id="{00000000-0008-0000-0600-00003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160</xdr:row>
          <xdr:rowOff>0</xdr:rowOff>
        </xdr:from>
        <xdr:to>
          <xdr:col>3</xdr:col>
          <xdr:colOff>1733550</xdr:colOff>
          <xdr:row>161</xdr:row>
          <xdr:rowOff>19050</xdr:rowOff>
        </xdr:to>
        <xdr:sp macro="" textlink="">
          <xdr:nvSpPr>
            <xdr:cNvPr id="277564" name="Check Box 60" hidden="1">
              <a:extLst>
                <a:ext uri="{63B3BB69-23CF-44E3-9099-C40C66FF867C}">
                  <a14:compatExt spid="_x0000_s277564"/>
                </a:ext>
                <a:ext uri="{FF2B5EF4-FFF2-40B4-BE49-F238E27FC236}">
                  <a16:creationId xmlns:a16="http://schemas.microsoft.com/office/drawing/2014/main" id="{00000000-0008-0000-0600-00003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161</xdr:row>
          <xdr:rowOff>0</xdr:rowOff>
        </xdr:from>
        <xdr:to>
          <xdr:col>3</xdr:col>
          <xdr:colOff>1733550</xdr:colOff>
          <xdr:row>162</xdr:row>
          <xdr:rowOff>19050</xdr:rowOff>
        </xdr:to>
        <xdr:sp macro="" textlink="">
          <xdr:nvSpPr>
            <xdr:cNvPr id="277565" name="Check Box 61" hidden="1">
              <a:extLst>
                <a:ext uri="{63B3BB69-23CF-44E3-9099-C40C66FF867C}">
                  <a14:compatExt spid="_x0000_s277565"/>
                </a:ext>
                <a:ext uri="{FF2B5EF4-FFF2-40B4-BE49-F238E27FC236}">
                  <a16:creationId xmlns:a16="http://schemas.microsoft.com/office/drawing/2014/main" id="{00000000-0008-0000-0600-00003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162</xdr:row>
          <xdr:rowOff>0</xdr:rowOff>
        </xdr:from>
        <xdr:to>
          <xdr:col>3</xdr:col>
          <xdr:colOff>1733550</xdr:colOff>
          <xdr:row>163</xdr:row>
          <xdr:rowOff>19050</xdr:rowOff>
        </xdr:to>
        <xdr:sp macro="" textlink="">
          <xdr:nvSpPr>
            <xdr:cNvPr id="277566" name="Check Box 62" hidden="1">
              <a:extLst>
                <a:ext uri="{63B3BB69-23CF-44E3-9099-C40C66FF867C}">
                  <a14:compatExt spid="_x0000_s277566"/>
                </a:ext>
                <a:ext uri="{FF2B5EF4-FFF2-40B4-BE49-F238E27FC236}">
                  <a16:creationId xmlns:a16="http://schemas.microsoft.com/office/drawing/2014/main" id="{00000000-0008-0000-0600-00003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163</xdr:row>
          <xdr:rowOff>0</xdr:rowOff>
        </xdr:from>
        <xdr:to>
          <xdr:col>3</xdr:col>
          <xdr:colOff>1733550</xdr:colOff>
          <xdr:row>164</xdr:row>
          <xdr:rowOff>19050</xdr:rowOff>
        </xdr:to>
        <xdr:sp macro="" textlink="">
          <xdr:nvSpPr>
            <xdr:cNvPr id="277567" name="Check Box 63" hidden="1">
              <a:extLst>
                <a:ext uri="{63B3BB69-23CF-44E3-9099-C40C66FF867C}">
                  <a14:compatExt spid="_x0000_s277567"/>
                </a:ext>
                <a:ext uri="{FF2B5EF4-FFF2-40B4-BE49-F238E27FC236}">
                  <a16:creationId xmlns:a16="http://schemas.microsoft.com/office/drawing/2014/main" id="{00000000-0008-0000-0600-00003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164</xdr:row>
          <xdr:rowOff>0</xdr:rowOff>
        </xdr:from>
        <xdr:to>
          <xdr:col>3</xdr:col>
          <xdr:colOff>1733550</xdr:colOff>
          <xdr:row>165</xdr:row>
          <xdr:rowOff>19050</xdr:rowOff>
        </xdr:to>
        <xdr:sp macro="" textlink="">
          <xdr:nvSpPr>
            <xdr:cNvPr id="277568" name="Check Box 64" hidden="1">
              <a:extLst>
                <a:ext uri="{63B3BB69-23CF-44E3-9099-C40C66FF867C}">
                  <a14:compatExt spid="_x0000_s277568"/>
                </a:ext>
                <a:ext uri="{FF2B5EF4-FFF2-40B4-BE49-F238E27FC236}">
                  <a16:creationId xmlns:a16="http://schemas.microsoft.com/office/drawing/2014/main" id="{00000000-0008-0000-0600-00004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165</xdr:row>
          <xdr:rowOff>0</xdr:rowOff>
        </xdr:from>
        <xdr:to>
          <xdr:col>3</xdr:col>
          <xdr:colOff>1733550</xdr:colOff>
          <xdr:row>166</xdr:row>
          <xdr:rowOff>19050</xdr:rowOff>
        </xdr:to>
        <xdr:sp macro="" textlink="">
          <xdr:nvSpPr>
            <xdr:cNvPr id="277569" name="Check Box 65" hidden="1">
              <a:extLst>
                <a:ext uri="{63B3BB69-23CF-44E3-9099-C40C66FF867C}">
                  <a14:compatExt spid="_x0000_s277569"/>
                </a:ext>
                <a:ext uri="{FF2B5EF4-FFF2-40B4-BE49-F238E27FC236}">
                  <a16:creationId xmlns:a16="http://schemas.microsoft.com/office/drawing/2014/main" id="{00000000-0008-0000-0600-00004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166</xdr:row>
          <xdr:rowOff>0</xdr:rowOff>
        </xdr:from>
        <xdr:to>
          <xdr:col>3</xdr:col>
          <xdr:colOff>1733550</xdr:colOff>
          <xdr:row>167</xdr:row>
          <xdr:rowOff>19050</xdr:rowOff>
        </xdr:to>
        <xdr:sp macro="" textlink="">
          <xdr:nvSpPr>
            <xdr:cNvPr id="277570" name="Check Box 66" hidden="1">
              <a:extLst>
                <a:ext uri="{63B3BB69-23CF-44E3-9099-C40C66FF867C}">
                  <a14:compatExt spid="_x0000_s277570"/>
                </a:ext>
                <a:ext uri="{FF2B5EF4-FFF2-40B4-BE49-F238E27FC236}">
                  <a16:creationId xmlns:a16="http://schemas.microsoft.com/office/drawing/2014/main" id="{00000000-0008-0000-0600-00004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167</xdr:row>
          <xdr:rowOff>0</xdr:rowOff>
        </xdr:from>
        <xdr:to>
          <xdr:col>3</xdr:col>
          <xdr:colOff>1733550</xdr:colOff>
          <xdr:row>168</xdr:row>
          <xdr:rowOff>19050</xdr:rowOff>
        </xdr:to>
        <xdr:sp macro="" textlink="">
          <xdr:nvSpPr>
            <xdr:cNvPr id="277571" name="Check Box 67" hidden="1">
              <a:extLst>
                <a:ext uri="{63B3BB69-23CF-44E3-9099-C40C66FF867C}">
                  <a14:compatExt spid="_x0000_s277571"/>
                </a:ext>
                <a:ext uri="{FF2B5EF4-FFF2-40B4-BE49-F238E27FC236}">
                  <a16:creationId xmlns:a16="http://schemas.microsoft.com/office/drawing/2014/main" id="{00000000-0008-0000-0600-00004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168</xdr:row>
          <xdr:rowOff>0</xdr:rowOff>
        </xdr:from>
        <xdr:to>
          <xdr:col>3</xdr:col>
          <xdr:colOff>1733550</xdr:colOff>
          <xdr:row>169</xdr:row>
          <xdr:rowOff>19050</xdr:rowOff>
        </xdr:to>
        <xdr:sp macro="" textlink="">
          <xdr:nvSpPr>
            <xdr:cNvPr id="277572" name="Check Box 68" hidden="1">
              <a:extLst>
                <a:ext uri="{63B3BB69-23CF-44E3-9099-C40C66FF867C}">
                  <a14:compatExt spid="_x0000_s277572"/>
                </a:ext>
                <a:ext uri="{FF2B5EF4-FFF2-40B4-BE49-F238E27FC236}">
                  <a16:creationId xmlns:a16="http://schemas.microsoft.com/office/drawing/2014/main" id="{00000000-0008-0000-0600-00004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169</xdr:row>
          <xdr:rowOff>0</xdr:rowOff>
        </xdr:from>
        <xdr:to>
          <xdr:col>3</xdr:col>
          <xdr:colOff>1733550</xdr:colOff>
          <xdr:row>170</xdr:row>
          <xdr:rowOff>19050</xdr:rowOff>
        </xdr:to>
        <xdr:sp macro="" textlink="">
          <xdr:nvSpPr>
            <xdr:cNvPr id="277573" name="Check Box 69" hidden="1">
              <a:extLst>
                <a:ext uri="{63B3BB69-23CF-44E3-9099-C40C66FF867C}">
                  <a14:compatExt spid="_x0000_s277573"/>
                </a:ext>
                <a:ext uri="{FF2B5EF4-FFF2-40B4-BE49-F238E27FC236}">
                  <a16:creationId xmlns:a16="http://schemas.microsoft.com/office/drawing/2014/main" id="{00000000-0008-0000-0600-00004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170</xdr:row>
          <xdr:rowOff>0</xdr:rowOff>
        </xdr:from>
        <xdr:to>
          <xdr:col>3</xdr:col>
          <xdr:colOff>1733550</xdr:colOff>
          <xdr:row>171</xdr:row>
          <xdr:rowOff>19050</xdr:rowOff>
        </xdr:to>
        <xdr:sp macro="" textlink="">
          <xdr:nvSpPr>
            <xdr:cNvPr id="277574" name="Check Box 70" hidden="1">
              <a:extLst>
                <a:ext uri="{63B3BB69-23CF-44E3-9099-C40C66FF867C}">
                  <a14:compatExt spid="_x0000_s277574"/>
                </a:ext>
                <a:ext uri="{FF2B5EF4-FFF2-40B4-BE49-F238E27FC236}">
                  <a16:creationId xmlns:a16="http://schemas.microsoft.com/office/drawing/2014/main" id="{00000000-0008-0000-0600-00004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174</xdr:row>
          <xdr:rowOff>0</xdr:rowOff>
        </xdr:from>
        <xdr:to>
          <xdr:col>3</xdr:col>
          <xdr:colOff>1733550</xdr:colOff>
          <xdr:row>175</xdr:row>
          <xdr:rowOff>19050</xdr:rowOff>
        </xdr:to>
        <xdr:sp macro="" textlink="">
          <xdr:nvSpPr>
            <xdr:cNvPr id="277576" name="Check Box 72" hidden="1">
              <a:extLst>
                <a:ext uri="{63B3BB69-23CF-44E3-9099-C40C66FF867C}">
                  <a14:compatExt spid="_x0000_s277576"/>
                </a:ext>
                <a:ext uri="{FF2B5EF4-FFF2-40B4-BE49-F238E27FC236}">
                  <a16:creationId xmlns:a16="http://schemas.microsoft.com/office/drawing/2014/main" id="{00000000-0008-0000-0600-00004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143</xdr:row>
          <xdr:rowOff>0</xdr:rowOff>
        </xdr:from>
        <xdr:to>
          <xdr:col>3</xdr:col>
          <xdr:colOff>1733550</xdr:colOff>
          <xdr:row>144</xdr:row>
          <xdr:rowOff>19050</xdr:rowOff>
        </xdr:to>
        <xdr:sp macro="" textlink="">
          <xdr:nvSpPr>
            <xdr:cNvPr id="277578" name="Check Box 74" hidden="1">
              <a:extLst>
                <a:ext uri="{63B3BB69-23CF-44E3-9099-C40C66FF867C}">
                  <a14:compatExt spid="_x0000_s277578"/>
                </a:ext>
                <a:ext uri="{FF2B5EF4-FFF2-40B4-BE49-F238E27FC236}">
                  <a16:creationId xmlns:a16="http://schemas.microsoft.com/office/drawing/2014/main" id="{00000000-0008-0000-0600-00004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581" name="Check Box 77" hidden="1">
              <a:extLst>
                <a:ext uri="{63B3BB69-23CF-44E3-9099-C40C66FF867C}">
                  <a14:compatExt spid="_x0000_s277581"/>
                </a:ext>
                <a:ext uri="{FF2B5EF4-FFF2-40B4-BE49-F238E27FC236}">
                  <a16:creationId xmlns:a16="http://schemas.microsoft.com/office/drawing/2014/main" id="{00000000-0008-0000-0600-00004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582" name="Check Box 78" hidden="1">
              <a:extLst>
                <a:ext uri="{63B3BB69-23CF-44E3-9099-C40C66FF867C}">
                  <a14:compatExt spid="_x0000_s277582"/>
                </a:ext>
                <a:ext uri="{FF2B5EF4-FFF2-40B4-BE49-F238E27FC236}">
                  <a16:creationId xmlns:a16="http://schemas.microsoft.com/office/drawing/2014/main" id="{00000000-0008-0000-0600-00004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583" name="Check Box 79" hidden="1">
              <a:extLst>
                <a:ext uri="{63B3BB69-23CF-44E3-9099-C40C66FF867C}">
                  <a14:compatExt spid="_x0000_s277583"/>
                </a:ext>
                <a:ext uri="{FF2B5EF4-FFF2-40B4-BE49-F238E27FC236}">
                  <a16:creationId xmlns:a16="http://schemas.microsoft.com/office/drawing/2014/main" id="{00000000-0008-0000-0600-00004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4" name="Check Box 80" hidden="1">
              <a:extLst>
                <a:ext uri="{63B3BB69-23CF-44E3-9099-C40C66FF867C}">
                  <a14:compatExt spid="_x0000_s277584"/>
                </a:ext>
                <a:ext uri="{FF2B5EF4-FFF2-40B4-BE49-F238E27FC236}">
                  <a16:creationId xmlns:a16="http://schemas.microsoft.com/office/drawing/2014/main" id="{00000000-0008-0000-0600-00005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5" name="Check Box 81" hidden="1">
              <a:extLst>
                <a:ext uri="{63B3BB69-23CF-44E3-9099-C40C66FF867C}">
                  <a14:compatExt spid="_x0000_s277585"/>
                </a:ext>
                <a:ext uri="{FF2B5EF4-FFF2-40B4-BE49-F238E27FC236}">
                  <a16:creationId xmlns:a16="http://schemas.microsoft.com/office/drawing/2014/main" id="{00000000-0008-0000-0600-00005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586" name="Check Box 82" hidden="1">
              <a:extLst>
                <a:ext uri="{63B3BB69-23CF-44E3-9099-C40C66FF867C}">
                  <a14:compatExt spid="_x0000_s277586"/>
                </a:ext>
                <a:ext uri="{FF2B5EF4-FFF2-40B4-BE49-F238E27FC236}">
                  <a16:creationId xmlns:a16="http://schemas.microsoft.com/office/drawing/2014/main" id="{00000000-0008-0000-0600-00005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587" name="Check Box 83" hidden="1">
              <a:extLst>
                <a:ext uri="{63B3BB69-23CF-44E3-9099-C40C66FF867C}">
                  <a14:compatExt spid="_x0000_s277587"/>
                </a:ext>
                <a:ext uri="{FF2B5EF4-FFF2-40B4-BE49-F238E27FC236}">
                  <a16:creationId xmlns:a16="http://schemas.microsoft.com/office/drawing/2014/main" id="{00000000-0008-0000-0600-00005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588" name="Check Box 84" hidden="1">
              <a:extLst>
                <a:ext uri="{63B3BB69-23CF-44E3-9099-C40C66FF867C}">
                  <a14:compatExt spid="_x0000_s277588"/>
                </a:ext>
                <a:ext uri="{FF2B5EF4-FFF2-40B4-BE49-F238E27FC236}">
                  <a16:creationId xmlns:a16="http://schemas.microsoft.com/office/drawing/2014/main" id="{00000000-0008-0000-0600-00005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589" name="Check Box 85" hidden="1">
              <a:extLst>
                <a:ext uri="{63B3BB69-23CF-44E3-9099-C40C66FF867C}">
                  <a14:compatExt spid="_x0000_s277589"/>
                </a:ext>
                <a:ext uri="{FF2B5EF4-FFF2-40B4-BE49-F238E27FC236}">
                  <a16:creationId xmlns:a16="http://schemas.microsoft.com/office/drawing/2014/main" id="{00000000-0008-0000-0600-00005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590" name="Check Box 86" hidden="1">
              <a:extLst>
                <a:ext uri="{63B3BB69-23CF-44E3-9099-C40C66FF867C}">
                  <a14:compatExt spid="_x0000_s277590"/>
                </a:ext>
                <a:ext uri="{FF2B5EF4-FFF2-40B4-BE49-F238E27FC236}">
                  <a16:creationId xmlns:a16="http://schemas.microsoft.com/office/drawing/2014/main" id="{00000000-0008-0000-0600-00005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591" name="Check Box 87" hidden="1">
              <a:extLst>
                <a:ext uri="{63B3BB69-23CF-44E3-9099-C40C66FF867C}">
                  <a14:compatExt spid="_x0000_s277591"/>
                </a:ext>
                <a:ext uri="{FF2B5EF4-FFF2-40B4-BE49-F238E27FC236}">
                  <a16:creationId xmlns:a16="http://schemas.microsoft.com/office/drawing/2014/main" id="{00000000-0008-0000-0600-00005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592" name="Check Box 88" hidden="1">
              <a:extLst>
                <a:ext uri="{63B3BB69-23CF-44E3-9099-C40C66FF867C}">
                  <a14:compatExt spid="_x0000_s277592"/>
                </a:ext>
                <a:ext uri="{FF2B5EF4-FFF2-40B4-BE49-F238E27FC236}">
                  <a16:creationId xmlns:a16="http://schemas.microsoft.com/office/drawing/2014/main" id="{00000000-0008-0000-0600-00005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593" name="Check Box 89" hidden="1">
              <a:extLst>
                <a:ext uri="{63B3BB69-23CF-44E3-9099-C40C66FF867C}">
                  <a14:compatExt spid="_x0000_s277593"/>
                </a:ext>
                <a:ext uri="{FF2B5EF4-FFF2-40B4-BE49-F238E27FC236}">
                  <a16:creationId xmlns:a16="http://schemas.microsoft.com/office/drawing/2014/main" id="{00000000-0008-0000-0600-00005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594" name="Check Box 90" hidden="1">
              <a:extLst>
                <a:ext uri="{63B3BB69-23CF-44E3-9099-C40C66FF867C}">
                  <a14:compatExt spid="_x0000_s277594"/>
                </a:ext>
                <a:ext uri="{FF2B5EF4-FFF2-40B4-BE49-F238E27FC236}">
                  <a16:creationId xmlns:a16="http://schemas.microsoft.com/office/drawing/2014/main" id="{00000000-0008-0000-0600-00005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192</xdr:row>
          <xdr:rowOff>0</xdr:rowOff>
        </xdr:from>
        <xdr:to>
          <xdr:col>3</xdr:col>
          <xdr:colOff>1733550</xdr:colOff>
          <xdr:row>193</xdr:row>
          <xdr:rowOff>19050</xdr:rowOff>
        </xdr:to>
        <xdr:sp macro="" textlink="">
          <xdr:nvSpPr>
            <xdr:cNvPr id="277595" name="Check Box 91" hidden="1">
              <a:extLst>
                <a:ext uri="{63B3BB69-23CF-44E3-9099-C40C66FF867C}">
                  <a14:compatExt spid="_x0000_s277595"/>
                </a:ext>
                <a:ext uri="{FF2B5EF4-FFF2-40B4-BE49-F238E27FC236}">
                  <a16:creationId xmlns:a16="http://schemas.microsoft.com/office/drawing/2014/main" id="{00000000-0008-0000-0600-00005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6" name="Check Box 92" hidden="1">
              <a:extLst>
                <a:ext uri="{63B3BB69-23CF-44E3-9099-C40C66FF867C}">
                  <a14:compatExt spid="_x0000_s277596"/>
                </a:ext>
                <a:ext uri="{FF2B5EF4-FFF2-40B4-BE49-F238E27FC236}">
                  <a16:creationId xmlns:a16="http://schemas.microsoft.com/office/drawing/2014/main" id="{00000000-0008-0000-0600-00005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7" name="Check Box 93" hidden="1">
              <a:extLst>
                <a:ext uri="{63B3BB69-23CF-44E3-9099-C40C66FF867C}">
                  <a14:compatExt spid="_x0000_s277597"/>
                </a:ext>
                <a:ext uri="{FF2B5EF4-FFF2-40B4-BE49-F238E27FC236}">
                  <a16:creationId xmlns:a16="http://schemas.microsoft.com/office/drawing/2014/main" id="{00000000-0008-0000-0600-00005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197</xdr:row>
          <xdr:rowOff>0</xdr:rowOff>
        </xdr:from>
        <xdr:to>
          <xdr:col>3</xdr:col>
          <xdr:colOff>1733550</xdr:colOff>
          <xdr:row>198</xdr:row>
          <xdr:rowOff>19050</xdr:rowOff>
        </xdr:to>
        <xdr:sp macro="" textlink="">
          <xdr:nvSpPr>
            <xdr:cNvPr id="277599" name="Check Box 95" hidden="1">
              <a:extLst>
                <a:ext uri="{63B3BB69-23CF-44E3-9099-C40C66FF867C}">
                  <a14:compatExt spid="_x0000_s277599"/>
                </a:ext>
                <a:ext uri="{FF2B5EF4-FFF2-40B4-BE49-F238E27FC236}">
                  <a16:creationId xmlns:a16="http://schemas.microsoft.com/office/drawing/2014/main" id="{00000000-0008-0000-0600-00005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200</xdr:row>
          <xdr:rowOff>0</xdr:rowOff>
        </xdr:from>
        <xdr:to>
          <xdr:col>3</xdr:col>
          <xdr:colOff>1733550</xdr:colOff>
          <xdr:row>201</xdr:row>
          <xdr:rowOff>19050</xdr:rowOff>
        </xdr:to>
        <xdr:sp macro="" textlink="">
          <xdr:nvSpPr>
            <xdr:cNvPr id="277600" name="Check Box 96" hidden="1">
              <a:extLst>
                <a:ext uri="{63B3BB69-23CF-44E3-9099-C40C66FF867C}">
                  <a14:compatExt spid="_x0000_s277600"/>
                </a:ext>
                <a:ext uri="{FF2B5EF4-FFF2-40B4-BE49-F238E27FC236}">
                  <a16:creationId xmlns:a16="http://schemas.microsoft.com/office/drawing/2014/main" id="{00000000-0008-0000-0600-00006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201</xdr:row>
          <xdr:rowOff>0</xdr:rowOff>
        </xdr:from>
        <xdr:to>
          <xdr:col>3</xdr:col>
          <xdr:colOff>1733550</xdr:colOff>
          <xdr:row>202</xdr:row>
          <xdr:rowOff>19050</xdr:rowOff>
        </xdr:to>
        <xdr:sp macro="" textlink="">
          <xdr:nvSpPr>
            <xdr:cNvPr id="277601" name="Check Box 97" hidden="1">
              <a:extLst>
                <a:ext uri="{63B3BB69-23CF-44E3-9099-C40C66FF867C}">
                  <a14:compatExt spid="_x0000_s277601"/>
                </a:ext>
                <a:ext uri="{FF2B5EF4-FFF2-40B4-BE49-F238E27FC236}">
                  <a16:creationId xmlns:a16="http://schemas.microsoft.com/office/drawing/2014/main" id="{00000000-0008-0000-0600-00006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202</xdr:row>
          <xdr:rowOff>0</xdr:rowOff>
        </xdr:from>
        <xdr:to>
          <xdr:col>3</xdr:col>
          <xdr:colOff>1733550</xdr:colOff>
          <xdr:row>203</xdr:row>
          <xdr:rowOff>19050</xdr:rowOff>
        </xdr:to>
        <xdr:sp macro="" textlink="">
          <xdr:nvSpPr>
            <xdr:cNvPr id="277602" name="Check Box 98" hidden="1">
              <a:extLst>
                <a:ext uri="{63B3BB69-23CF-44E3-9099-C40C66FF867C}">
                  <a14:compatExt spid="_x0000_s277602"/>
                </a:ext>
                <a:ext uri="{FF2B5EF4-FFF2-40B4-BE49-F238E27FC236}">
                  <a16:creationId xmlns:a16="http://schemas.microsoft.com/office/drawing/2014/main" id="{00000000-0008-0000-0600-00006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203</xdr:row>
          <xdr:rowOff>0</xdr:rowOff>
        </xdr:from>
        <xdr:to>
          <xdr:col>3</xdr:col>
          <xdr:colOff>1733550</xdr:colOff>
          <xdr:row>204</xdr:row>
          <xdr:rowOff>19050</xdr:rowOff>
        </xdr:to>
        <xdr:sp macro="" textlink="">
          <xdr:nvSpPr>
            <xdr:cNvPr id="277603" name="Check Box 99" hidden="1">
              <a:extLst>
                <a:ext uri="{63B3BB69-23CF-44E3-9099-C40C66FF867C}">
                  <a14:compatExt spid="_x0000_s277603"/>
                </a:ext>
                <a:ext uri="{FF2B5EF4-FFF2-40B4-BE49-F238E27FC236}">
                  <a16:creationId xmlns:a16="http://schemas.microsoft.com/office/drawing/2014/main" id="{00000000-0008-0000-0600-00006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204</xdr:row>
          <xdr:rowOff>0</xdr:rowOff>
        </xdr:from>
        <xdr:to>
          <xdr:col>3</xdr:col>
          <xdr:colOff>1733550</xdr:colOff>
          <xdr:row>205</xdr:row>
          <xdr:rowOff>19050</xdr:rowOff>
        </xdr:to>
        <xdr:sp macro="" textlink="">
          <xdr:nvSpPr>
            <xdr:cNvPr id="277604" name="Check Box 100" hidden="1">
              <a:extLst>
                <a:ext uri="{63B3BB69-23CF-44E3-9099-C40C66FF867C}">
                  <a14:compatExt spid="_x0000_s277604"/>
                </a:ext>
                <a:ext uri="{FF2B5EF4-FFF2-40B4-BE49-F238E27FC236}">
                  <a16:creationId xmlns:a16="http://schemas.microsoft.com/office/drawing/2014/main" id="{00000000-0008-0000-0600-00006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206</xdr:row>
          <xdr:rowOff>0</xdr:rowOff>
        </xdr:from>
        <xdr:to>
          <xdr:col>3</xdr:col>
          <xdr:colOff>1733550</xdr:colOff>
          <xdr:row>207</xdr:row>
          <xdr:rowOff>19050</xdr:rowOff>
        </xdr:to>
        <xdr:sp macro="" textlink="">
          <xdr:nvSpPr>
            <xdr:cNvPr id="277605" name="Check Box 101" hidden="1">
              <a:extLst>
                <a:ext uri="{63B3BB69-23CF-44E3-9099-C40C66FF867C}">
                  <a14:compatExt spid="_x0000_s277605"/>
                </a:ext>
                <a:ext uri="{FF2B5EF4-FFF2-40B4-BE49-F238E27FC236}">
                  <a16:creationId xmlns:a16="http://schemas.microsoft.com/office/drawing/2014/main" id="{00000000-0008-0000-0600-00006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209</xdr:row>
          <xdr:rowOff>0</xdr:rowOff>
        </xdr:from>
        <xdr:to>
          <xdr:col>3</xdr:col>
          <xdr:colOff>1733550</xdr:colOff>
          <xdr:row>210</xdr:row>
          <xdr:rowOff>19050</xdr:rowOff>
        </xdr:to>
        <xdr:sp macro="" textlink="">
          <xdr:nvSpPr>
            <xdr:cNvPr id="277606" name="Check Box 102" hidden="1">
              <a:extLst>
                <a:ext uri="{63B3BB69-23CF-44E3-9099-C40C66FF867C}">
                  <a14:compatExt spid="_x0000_s277606"/>
                </a:ext>
                <a:ext uri="{FF2B5EF4-FFF2-40B4-BE49-F238E27FC236}">
                  <a16:creationId xmlns:a16="http://schemas.microsoft.com/office/drawing/2014/main" id="{00000000-0008-0000-0600-00006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210</xdr:row>
          <xdr:rowOff>0</xdr:rowOff>
        </xdr:from>
        <xdr:to>
          <xdr:col>3</xdr:col>
          <xdr:colOff>1733550</xdr:colOff>
          <xdr:row>211</xdr:row>
          <xdr:rowOff>19050</xdr:rowOff>
        </xdr:to>
        <xdr:sp macro="" textlink="">
          <xdr:nvSpPr>
            <xdr:cNvPr id="277607" name="Check Box 103" hidden="1">
              <a:extLst>
                <a:ext uri="{63B3BB69-23CF-44E3-9099-C40C66FF867C}">
                  <a14:compatExt spid="_x0000_s277607"/>
                </a:ext>
                <a:ext uri="{FF2B5EF4-FFF2-40B4-BE49-F238E27FC236}">
                  <a16:creationId xmlns:a16="http://schemas.microsoft.com/office/drawing/2014/main" id="{00000000-0008-0000-0600-00006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212</xdr:row>
          <xdr:rowOff>0</xdr:rowOff>
        </xdr:from>
        <xdr:to>
          <xdr:col>3</xdr:col>
          <xdr:colOff>1733550</xdr:colOff>
          <xdr:row>213</xdr:row>
          <xdr:rowOff>19050</xdr:rowOff>
        </xdr:to>
        <xdr:sp macro="" textlink="">
          <xdr:nvSpPr>
            <xdr:cNvPr id="277609" name="Check Box 105" hidden="1">
              <a:extLst>
                <a:ext uri="{63B3BB69-23CF-44E3-9099-C40C66FF867C}">
                  <a14:compatExt spid="_x0000_s277609"/>
                </a:ext>
                <a:ext uri="{FF2B5EF4-FFF2-40B4-BE49-F238E27FC236}">
                  <a16:creationId xmlns:a16="http://schemas.microsoft.com/office/drawing/2014/main" id="{00000000-0008-0000-0600-00006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213</xdr:row>
          <xdr:rowOff>0</xdr:rowOff>
        </xdr:from>
        <xdr:to>
          <xdr:col>3</xdr:col>
          <xdr:colOff>1733550</xdr:colOff>
          <xdr:row>214</xdr:row>
          <xdr:rowOff>19050</xdr:rowOff>
        </xdr:to>
        <xdr:sp macro="" textlink="">
          <xdr:nvSpPr>
            <xdr:cNvPr id="277610" name="Check Box 106" hidden="1">
              <a:extLst>
                <a:ext uri="{63B3BB69-23CF-44E3-9099-C40C66FF867C}">
                  <a14:compatExt spid="_x0000_s277610"/>
                </a:ext>
                <a:ext uri="{FF2B5EF4-FFF2-40B4-BE49-F238E27FC236}">
                  <a16:creationId xmlns:a16="http://schemas.microsoft.com/office/drawing/2014/main" id="{00000000-0008-0000-0600-00006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215</xdr:row>
          <xdr:rowOff>0</xdr:rowOff>
        </xdr:from>
        <xdr:to>
          <xdr:col>3</xdr:col>
          <xdr:colOff>1733550</xdr:colOff>
          <xdr:row>216</xdr:row>
          <xdr:rowOff>19050</xdr:rowOff>
        </xdr:to>
        <xdr:sp macro="" textlink="">
          <xdr:nvSpPr>
            <xdr:cNvPr id="277611" name="Check Box 107" hidden="1">
              <a:extLst>
                <a:ext uri="{63B3BB69-23CF-44E3-9099-C40C66FF867C}">
                  <a14:compatExt spid="_x0000_s277611"/>
                </a:ext>
                <a:ext uri="{FF2B5EF4-FFF2-40B4-BE49-F238E27FC236}">
                  <a16:creationId xmlns:a16="http://schemas.microsoft.com/office/drawing/2014/main" id="{00000000-0008-0000-0600-00006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4" name="Check Box 110" hidden="1">
              <a:extLst>
                <a:ext uri="{63B3BB69-23CF-44E3-9099-C40C66FF867C}">
                  <a14:compatExt spid="_x0000_s277614"/>
                </a:ext>
                <a:ext uri="{FF2B5EF4-FFF2-40B4-BE49-F238E27FC236}">
                  <a16:creationId xmlns:a16="http://schemas.microsoft.com/office/drawing/2014/main" id="{00000000-0008-0000-0600-00006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5" name="Check Box 111" hidden="1">
              <a:extLst>
                <a:ext uri="{63B3BB69-23CF-44E3-9099-C40C66FF867C}">
                  <a14:compatExt spid="_x0000_s277615"/>
                </a:ext>
                <a:ext uri="{FF2B5EF4-FFF2-40B4-BE49-F238E27FC236}">
                  <a16:creationId xmlns:a16="http://schemas.microsoft.com/office/drawing/2014/main" id="{00000000-0008-0000-0600-00006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219</xdr:row>
          <xdr:rowOff>0</xdr:rowOff>
        </xdr:from>
        <xdr:to>
          <xdr:col>3</xdr:col>
          <xdr:colOff>1733550</xdr:colOff>
          <xdr:row>220</xdr:row>
          <xdr:rowOff>19050</xdr:rowOff>
        </xdr:to>
        <xdr:sp macro="" textlink="">
          <xdr:nvSpPr>
            <xdr:cNvPr id="277616" name="Check Box 112" hidden="1">
              <a:extLst>
                <a:ext uri="{63B3BB69-23CF-44E3-9099-C40C66FF867C}">
                  <a14:compatExt spid="_x0000_s277616"/>
                </a:ext>
                <a:ext uri="{FF2B5EF4-FFF2-40B4-BE49-F238E27FC236}">
                  <a16:creationId xmlns:a16="http://schemas.microsoft.com/office/drawing/2014/main" id="{00000000-0008-0000-0600-00007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220</xdr:row>
          <xdr:rowOff>0</xdr:rowOff>
        </xdr:from>
        <xdr:to>
          <xdr:col>3</xdr:col>
          <xdr:colOff>1733550</xdr:colOff>
          <xdr:row>221</xdr:row>
          <xdr:rowOff>19050</xdr:rowOff>
        </xdr:to>
        <xdr:sp macro="" textlink="">
          <xdr:nvSpPr>
            <xdr:cNvPr id="277617" name="Check Box 113" hidden="1">
              <a:extLst>
                <a:ext uri="{63B3BB69-23CF-44E3-9099-C40C66FF867C}">
                  <a14:compatExt spid="_x0000_s277617"/>
                </a:ext>
                <a:ext uri="{FF2B5EF4-FFF2-40B4-BE49-F238E27FC236}">
                  <a16:creationId xmlns:a16="http://schemas.microsoft.com/office/drawing/2014/main" id="{00000000-0008-0000-0600-00007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221</xdr:row>
          <xdr:rowOff>0</xdr:rowOff>
        </xdr:from>
        <xdr:to>
          <xdr:col>3</xdr:col>
          <xdr:colOff>1733550</xdr:colOff>
          <xdr:row>222</xdr:row>
          <xdr:rowOff>19050</xdr:rowOff>
        </xdr:to>
        <xdr:sp macro="" textlink="">
          <xdr:nvSpPr>
            <xdr:cNvPr id="277618" name="Check Box 114" hidden="1">
              <a:extLst>
                <a:ext uri="{63B3BB69-23CF-44E3-9099-C40C66FF867C}">
                  <a14:compatExt spid="_x0000_s277618"/>
                </a:ext>
                <a:ext uri="{FF2B5EF4-FFF2-40B4-BE49-F238E27FC236}">
                  <a16:creationId xmlns:a16="http://schemas.microsoft.com/office/drawing/2014/main" id="{00000000-0008-0000-0600-00007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222</xdr:row>
          <xdr:rowOff>0</xdr:rowOff>
        </xdr:from>
        <xdr:to>
          <xdr:col>3</xdr:col>
          <xdr:colOff>1733550</xdr:colOff>
          <xdr:row>223</xdr:row>
          <xdr:rowOff>19050</xdr:rowOff>
        </xdr:to>
        <xdr:sp macro="" textlink="">
          <xdr:nvSpPr>
            <xdr:cNvPr id="277619" name="Check Box 115" hidden="1">
              <a:extLst>
                <a:ext uri="{63B3BB69-23CF-44E3-9099-C40C66FF867C}">
                  <a14:compatExt spid="_x0000_s277619"/>
                </a:ext>
                <a:ext uri="{FF2B5EF4-FFF2-40B4-BE49-F238E27FC236}">
                  <a16:creationId xmlns:a16="http://schemas.microsoft.com/office/drawing/2014/main" id="{00000000-0008-0000-0600-00007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223</xdr:row>
          <xdr:rowOff>0</xdr:rowOff>
        </xdr:from>
        <xdr:to>
          <xdr:col>3</xdr:col>
          <xdr:colOff>1733550</xdr:colOff>
          <xdr:row>224</xdr:row>
          <xdr:rowOff>19050</xdr:rowOff>
        </xdr:to>
        <xdr:sp macro="" textlink="">
          <xdr:nvSpPr>
            <xdr:cNvPr id="277620" name="Check Box 116" hidden="1">
              <a:extLst>
                <a:ext uri="{63B3BB69-23CF-44E3-9099-C40C66FF867C}">
                  <a14:compatExt spid="_x0000_s277620"/>
                </a:ext>
                <a:ext uri="{FF2B5EF4-FFF2-40B4-BE49-F238E27FC236}">
                  <a16:creationId xmlns:a16="http://schemas.microsoft.com/office/drawing/2014/main" id="{00000000-0008-0000-0600-00007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22</xdr:row>
          <xdr:rowOff>190500</xdr:rowOff>
        </xdr:from>
        <xdr:to>
          <xdr:col>2</xdr:col>
          <xdr:colOff>914400</xdr:colOff>
          <xdr:row>24</xdr:row>
          <xdr:rowOff>47625</xdr:rowOff>
        </xdr:to>
        <xdr:sp macro="" textlink="">
          <xdr:nvSpPr>
            <xdr:cNvPr id="277622" name="Check Box 118" hidden="1">
              <a:extLst>
                <a:ext uri="{63B3BB69-23CF-44E3-9099-C40C66FF867C}">
                  <a14:compatExt spid="_x0000_s277622"/>
                </a:ext>
                <a:ext uri="{FF2B5EF4-FFF2-40B4-BE49-F238E27FC236}">
                  <a16:creationId xmlns:a16="http://schemas.microsoft.com/office/drawing/2014/main" id="{00000000-0008-0000-0600-00007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54</xdr:row>
          <xdr:rowOff>190500</xdr:rowOff>
        </xdr:from>
        <xdr:to>
          <xdr:col>2</xdr:col>
          <xdr:colOff>923925</xdr:colOff>
          <xdr:row>56</xdr:row>
          <xdr:rowOff>76200</xdr:rowOff>
        </xdr:to>
        <xdr:sp macro="" textlink="">
          <xdr:nvSpPr>
            <xdr:cNvPr id="277623" name="Check Box 119" hidden="1">
              <a:extLst>
                <a:ext uri="{63B3BB69-23CF-44E3-9099-C40C66FF867C}">
                  <a14:compatExt spid="_x0000_s277623"/>
                </a:ext>
                <a:ext uri="{FF2B5EF4-FFF2-40B4-BE49-F238E27FC236}">
                  <a16:creationId xmlns:a16="http://schemas.microsoft.com/office/drawing/2014/main" id="{00000000-0008-0000-0600-00007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923925</xdr:colOff>
          <xdr:row>55</xdr:row>
          <xdr:rowOff>76200</xdr:rowOff>
        </xdr:to>
        <xdr:sp macro="" textlink="">
          <xdr:nvSpPr>
            <xdr:cNvPr id="277624" name="Check Box 120" hidden="1">
              <a:extLst>
                <a:ext uri="{63B3BB69-23CF-44E3-9099-C40C66FF867C}">
                  <a14:compatExt spid="_x0000_s277624"/>
                </a:ext>
                <a:ext uri="{FF2B5EF4-FFF2-40B4-BE49-F238E27FC236}">
                  <a16:creationId xmlns:a16="http://schemas.microsoft.com/office/drawing/2014/main" id="{00000000-0008-0000-0600-00007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56</xdr:row>
          <xdr:rowOff>161925</xdr:rowOff>
        </xdr:from>
        <xdr:to>
          <xdr:col>2</xdr:col>
          <xdr:colOff>933450</xdr:colOff>
          <xdr:row>58</xdr:row>
          <xdr:rowOff>85725</xdr:rowOff>
        </xdr:to>
        <xdr:sp macro="" textlink="">
          <xdr:nvSpPr>
            <xdr:cNvPr id="277625" name="Check Box 121" hidden="1">
              <a:extLst>
                <a:ext uri="{63B3BB69-23CF-44E3-9099-C40C66FF867C}">
                  <a14:compatExt spid="_x0000_s277625"/>
                </a:ext>
                <a:ext uri="{FF2B5EF4-FFF2-40B4-BE49-F238E27FC236}">
                  <a16:creationId xmlns:a16="http://schemas.microsoft.com/office/drawing/2014/main" id="{00000000-0008-0000-0600-00007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161925</xdr:rowOff>
        </xdr:from>
        <xdr:to>
          <xdr:col>2</xdr:col>
          <xdr:colOff>933450</xdr:colOff>
          <xdr:row>59</xdr:row>
          <xdr:rowOff>85725</xdr:rowOff>
        </xdr:to>
        <xdr:sp macro="" textlink="">
          <xdr:nvSpPr>
            <xdr:cNvPr id="277626" name="Check Box 122" hidden="1">
              <a:extLst>
                <a:ext uri="{63B3BB69-23CF-44E3-9099-C40C66FF867C}">
                  <a14:compatExt spid="_x0000_s277626"/>
                </a:ext>
                <a:ext uri="{FF2B5EF4-FFF2-40B4-BE49-F238E27FC236}">
                  <a16:creationId xmlns:a16="http://schemas.microsoft.com/office/drawing/2014/main" id="{00000000-0008-0000-0600-00007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59</xdr:row>
          <xdr:rowOff>161925</xdr:rowOff>
        </xdr:from>
        <xdr:to>
          <xdr:col>2</xdr:col>
          <xdr:colOff>933450</xdr:colOff>
          <xdr:row>61</xdr:row>
          <xdr:rowOff>85725</xdr:rowOff>
        </xdr:to>
        <xdr:sp macro="" textlink="">
          <xdr:nvSpPr>
            <xdr:cNvPr id="277627" name="Check Box 123" hidden="1">
              <a:extLst>
                <a:ext uri="{63B3BB69-23CF-44E3-9099-C40C66FF867C}">
                  <a14:compatExt spid="_x0000_s277627"/>
                </a:ext>
                <a:ext uri="{FF2B5EF4-FFF2-40B4-BE49-F238E27FC236}">
                  <a16:creationId xmlns:a16="http://schemas.microsoft.com/office/drawing/2014/main" id="{00000000-0008-0000-0600-00007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58</xdr:row>
          <xdr:rowOff>161925</xdr:rowOff>
        </xdr:from>
        <xdr:to>
          <xdr:col>2</xdr:col>
          <xdr:colOff>933450</xdr:colOff>
          <xdr:row>60</xdr:row>
          <xdr:rowOff>85725</xdr:rowOff>
        </xdr:to>
        <xdr:sp macro="" textlink="">
          <xdr:nvSpPr>
            <xdr:cNvPr id="277628" name="Check Box 124" hidden="1">
              <a:extLst>
                <a:ext uri="{63B3BB69-23CF-44E3-9099-C40C66FF867C}">
                  <a14:compatExt spid="_x0000_s277628"/>
                </a:ext>
                <a:ext uri="{FF2B5EF4-FFF2-40B4-BE49-F238E27FC236}">
                  <a16:creationId xmlns:a16="http://schemas.microsoft.com/office/drawing/2014/main" id="{00000000-0008-0000-0600-00007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65</xdr:row>
          <xdr:rowOff>180975</xdr:rowOff>
        </xdr:from>
        <xdr:to>
          <xdr:col>2</xdr:col>
          <xdr:colOff>933450</xdr:colOff>
          <xdr:row>67</xdr:row>
          <xdr:rowOff>47625</xdr:rowOff>
        </xdr:to>
        <xdr:sp macro="" textlink="">
          <xdr:nvSpPr>
            <xdr:cNvPr id="277629" name="Check Box 125" hidden="1">
              <a:extLst>
                <a:ext uri="{63B3BB69-23CF-44E3-9099-C40C66FF867C}">
                  <a14:compatExt spid="_x0000_s277629"/>
                </a:ext>
                <a:ext uri="{FF2B5EF4-FFF2-40B4-BE49-F238E27FC236}">
                  <a16:creationId xmlns:a16="http://schemas.microsoft.com/office/drawing/2014/main" id="{00000000-0008-0000-0600-00007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66</xdr:row>
          <xdr:rowOff>180975</xdr:rowOff>
        </xdr:from>
        <xdr:to>
          <xdr:col>2</xdr:col>
          <xdr:colOff>933450</xdr:colOff>
          <xdr:row>68</xdr:row>
          <xdr:rowOff>47625</xdr:rowOff>
        </xdr:to>
        <xdr:sp macro="" textlink="">
          <xdr:nvSpPr>
            <xdr:cNvPr id="277630" name="Check Box 126" hidden="1">
              <a:extLst>
                <a:ext uri="{63B3BB69-23CF-44E3-9099-C40C66FF867C}">
                  <a14:compatExt spid="_x0000_s277630"/>
                </a:ext>
                <a:ext uri="{FF2B5EF4-FFF2-40B4-BE49-F238E27FC236}">
                  <a16:creationId xmlns:a16="http://schemas.microsoft.com/office/drawing/2014/main" id="{00000000-0008-0000-0600-00007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34</xdr:row>
          <xdr:rowOff>190500</xdr:rowOff>
        </xdr:from>
        <xdr:to>
          <xdr:col>2</xdr:col>
          <xdr:colOff>1019175</xdr:colOff>
          <xdr:row>36</xdr:row>
          <xdr:rowOff>66675</xdr:rowOff>
        </xdr:to>
        <xdr:sp macro="" textlink="">
          <xdr:nvSpPr>
            <xdr:cNvPr id="277631" name="Check Box 127" hidden="1">
              <a:extLst>
                <a:ext uri="{63B3BB69-23CF-44E3-9099-C40C66FF867C}">
                  <a14:compatExt spid="_x0000_s277631"/>
                </a:ext>
                <a:ext uri="{FF2B5EF4-FFF2-40B4-BE49-F238E27FC236}">
                  <a16:creationId xmlns:a16="http://schemas.microsoft.com/office/drawing/2014/main" id="{00000000-0008-0000-0600-00007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632" name="Check Box 128" hidden="1">
              <a:extLst>
                <a:ext uri="{63B3BB69-23CF-44E3-9099-C40C66FF867C}">
                  <a14:compatExt spid="_x0000_s277632"/>
                </a:ext>
                <a:ext uri="{FF2B5EF4-FFF2-40B4-BE49-F238E27FC236}">
                  <a16:creationId xmlns:a16="http://schemas.microsoft.com/office/drawing/2014/main" id="{00000000-0008-0000-0600-00008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633" name="Check Box 129" hidden="1">
              <a:extLst>
                <a:ext uri="{63B3BB69-23CF-44E3-9099-C40C66FF867C}">
                  <a14:compatExt spid="_x0000_s277633"/>
                </a:ext>
                <a:ext uri="{FF2B5EF4-FFF2-40B4-BE49-F238E27FC236}">
                  <a16:creationId xmlns:a16="http://schemas.microsoft.com/office/drawing/2014/main" id="{00000000-0008-0000-0600-00008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634" name="Check Box 130" hidden="1">
              <a:extLst>
                <a:ext uri="{63B3BB69-23CF-44E3-9099-C40C66FF867C}">
                  <a14:compatExt spid="_x0000_s277634"/>
                </a:ext>
                <a:ext uri="{FF2B5EF4-FFF2-40B4-BE49-F238E27FC236}">
                  <a16:creationId xmlns:a16="http://schemas.microsoft.com/office/drawing/2014/main" id="{00000000-0008-0000-0600-00008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635" name="Check Box 131" hidden="1">
              <a:extLst>
                <a:ext uri="{63B3BB69-23CF-44E3-9099-C40C66FF867C}">
                  <a14:compatExt spid="_x0000_s277635"/>
                </a:ext>
                <a:ext uri="{FF2B5EF4-FFF2-40B4-BE49-F238E27FC236}">
                  <a16:creationId xmlns:a16="http://schemas.microsoft.com/office/drawing/2014/main" id="{00000000-0008-0000-0600-00008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636" name="Check Box 132" hidden="1">
              <a:extLst>
                <a:ext uri="{63B3BB69-23CF-44E3-9099-C40C66FF867C}">
                  <a14:compatExt spid="_x0000_s277636"/>
                </a:ext>
                <a:ext uri="{FF2B5EF4-FFF2-40B4-BE49-F238E27FC236}">
                  <a16:creationId xmlns:a16="http://schemas.microsoft.com/office/drawing/2014/main" id="{00000000-0008-0000-0600-00008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637" name="Check Box 133" hidden="1">
              <a:extLst>
                <a:ext uri="{63B3BB69-23CF-44E3-9099-C40C66FF867C}">
                  <a14:compatExt spid="_x0000_s277637"/>
                </a:ext>
                <a:ext uri="{FF2B5EF4-FFF2-40B4-BE49-F238E27FC236}">
                  <a16:creationId xmlns:a16="http://schemas.microsoft.com/office/drawing/2014/main" id="{00000000-0008-0000-0600-00008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638" name="Check Box 134" hidden="1">
              <a:extLst>
                <a:ext uri="{63B3BB69-23CF-44E3-9099-C40C66FF867C}">
                  <a14:compatExt spid="_x0000_s277638"/>
                </a:ext>
                <a:ext uri="{FF2B5EF4-FFF2-40B4-BE49-F238E27FC236}">
                  <a16:creationId xmlns:a16="http://schemas.microsoft.com/office/drawing/2014/main" id="{00000000-0008-0000-0600-00008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639" name="Check Box 135" hidden="1">
              <a:extLst>
                <a:ext uri="{63B3BB69-23CF-44E3-9099-C40C66FF867C}">
                  <a14:compatExt spid="_x0000_s277639"/>
                </a:ext>
                <a:ext uri="{FF2B5EF4-FFF2-40B4-BE49-F238E27FC236}">
                  <a16:creationId xmlns:a16="http://schemas.microsoft.com/office/drawing/2014/main" id="{00000000-0008-0000-0600-00008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640" name="Check Box 136" hidden="1">
              <a:extLst>
                <a:ext uri="{63B3BB69-23CF-44E3-9099-C40C66FF867C}">
                  <a14:compatExt spid="_x0000_s277640"/>
                </a:ext>
                <a:ext uri="{FF2B5EF4-FFF2-40B4-BE49-F238E27FC236}">
                  <a16:creationId xmlns:a16="http://schemas.microsoft.com/office/drawing/2014/main" id="{00000000-0008-0000-0600-00008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641" name="Check Box 137" hidden="1">
              <a:extLst>
                <a:ext uri="{63B3BB69-23CF-44E3-9099-C40C66FF867C}">
                  <a14:compatExt spid="_x0000_s277641"/>
                </a:ext>
                <a:ext uri="{FF2B5EF4-FFF2-40B4-BE49-F238E27FC236}">
                  <a16:creationId xmlns:a16="http://schemas.microsoft.com/office/drawing/2014/main" id="{00000000-0008-0000-0600-00008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642" name="Check Box 138" hidden="1">
              <a:extLst>
                <a:ext uri="{63B3BB69-23CF-44E3-9099-C40C66FF867C}">
                  <a14:compatExt spid="_x0000_s277642"/>
                </a:ext>
                <a:ext uri="{FF2B5EF4-FFF2-40B4-BE49-F238E27FC236}">
                  <a16:creationId xmlns:a16="http://schemas.microsoft.com/office/drawing/2014/main" id="{00000000-0008-0000-0600-00008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643" name="Check Box 139" hidden="1">
              <a:extLst>
                <a:ext uri="{63B3BB69-23CF-44E3-9099-C40C66FF867C}">
                  <a14:compatExt spid="_x0000_s277643"/>
                </a:ext>
                <a:ext uri="{FF2B5EF4-FFF2-40B4-BE49-F238E27FC236}">
                  <a16:creationId xmlns:a16="http://schemas.microsoft.com/office/drawing/2014/main" id="{00000000-0008-0000-0600-00008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644" name="Check Box 140" hidden="1">
              <a:extLst>
                <a:ext uri="{63B3BB69-23CF-44E3-9099-C40C66FF867C}">
                  <a14:compatExt spid="_x0000_s277644"/>
                </a:ext>
                <a:ext uri="{FF2B5EF4-FFF2-40B4-BE49-F238E27FC236}">
                  <a16:creationId xmlns:a16="http://schemas.microsoft.com/office/drawing/2014/main" id="{00000000-0008-0000-0600-00008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127</xdr:row>
          <xdr:rowOff>9525</xdr:rowOff>
        </xdr:from>
        <xdr:to>
          <xdr:col>2</xdr:col>
          <xdr:colOff>942975</xdr:colOff>
          <xdr:row>128</xdr:row>
          <xdr:rowOff>28575</xdr:rowOff>
        </xdr:to>
        <xdr:sp macro="" textlink="">
          <xdr:nvSpPr>
            <xdr:cNvPr id="277645" name="Check Box 141" hidden="1">
              <a:extLst>
                <a:ext uri="{63B3BB69-23CF-44E3-9099-C40C66FF867C}">
                  <a14:compatExt spid="_x0000_s277645"/>
                </a:ext>
                <a:ext uri="{FF2B5EF4-FFF2-40B4-BE49-F238E27FC236}">
                  <a16:creationId xmlns:a16="http://schemas.microsoft.com/office/drawing/2014/main" id="{00000000-0008-0000-0600-00008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128</xdr:row>
          <xdr:rowOff>9525</xdr:rowOff>
        </xdr:from>
        <xdr:to>
          <xdr:col>2</xdr:col>
          <xdr:colOff>942975</xdr:colOff>
          <xdr:row>129</xdr:row>
          <xdr:rowOff>28575</xdr:rowOff>
        </xdr:to>
        <xdr:sp macro="" textlink="">
          <xdr:nvSpPr>
            <xdr:cNvPr id="277646" name="Check Box 142" hidden="1">
              <a:extLst>
                <a:ext uri="{63B3BB69-23CF-44E3-9099-C40C66FF867C}">
                  <a14:compatExt spid="_x0000_s277646"/>
                </a:ext>
                <a:ext uri="{FF2B5EF4-FFF2-40B4-BE49-F238E27FC236}">
                  <a16:creationId xmlns:a16="http://schemas.microsoft.com/office/drawing/2014/main" id="{00000000-0008-0000-0600-00008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129</xdr:row>
          <xdr:rowOff>9525</xdr:rowOff>
        </xdr:from>
        <xdr:to>
          <xdr:col>2</xdr:col>
          <xdr:colOff>942975</xdr:colOff>
          <xdr:row>130</xdr:row>
          <xdr:rowOff>28575</xdr:rowOff>
        </xdr:to>
        <xdr:sp macro="" textlink="">
          <xdr:nvSpPr>
            <xdr:cNvPr id="277647" name="Check Box 143" hidden="1">
              <a:extLst>
                <a:ext uri="{63B3BB69-23CF-44E3-9099-C40C66FF867C}">
                  <a14:compatExt spid="_x0000_s277647"/>
                </a:ext>
                <a:ext uri="{FF2B5EF4-FFF2-40B4-BE49-F238E27FC236}">
                  <a16:creationId xmlns:a16="http://schemas.microsoft.com/office/drawing/2014/main" id="{00000000-0008-0000-0600-00008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187</xdr:row>
          <xdr:rowOff>0</xdr:rowOff>
        </xdr:from>
        <xdr:to>
          <xdr:col>3</xdr:col>
          <xdr:colOff>1733550</xdr:colOff>
          <xdr:row>188</xdr:row>
          <xdr:rowOff>19050</xdr:rowOff>
        </xdr:to>
        <xdr:sp macro="" textlink="">
          <xdr:nvSpPr>
            <xdr:cNvPr id="277648" name="Check Box 144" hidden="1">
              <a:extLst>
                <a:ext uri="{63B3BB69-23CF-44E3-9099-C40C66FF867C}">
                  <a14:compatExt spid="_x0000_s277648"/>
                </a:ext>
                <a:ext uri="{FF2B5EF4-FFF2-40B4-BE49-F238E27FC236}">
                  <a16:creationId xmlns:a16="http://schemas.microsoft.com/office/drawing/2014/main" id="{00000000-0008-0000-0600-00009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139</xdr:row>
          <xdr:rowOff>0</xdr:rowOff>
        </xdr:from>
        <xdr:to>
          <xdr:col>3</xdr:col>
          <xdr:colOff>1733550</xdr:colOff>
          <xdr:row>140</xdr:row>
          <xdr:rowOff>19050</xdr:rowOff>
        </xdr:to>
        <xdr:sp macro="" textlink="">
          <xdr:nvSpPr>
            <xdr:cNvPr id="277649" name="Check Box 145" hidden="1">
              <a:extLst>
                <a:ext uri="{63B3BB69-23CF-44E3-9099-C40C66FF867C}">
                  <a14:compatExt spid="_x0000_s277649"/>
                </a:ext>
                <a:ext uri="{FF2B5EF4-FFF2-40B4-BE49-F238E27FC236}">
                  <a16:creationId xmlns:a16="http://schemas.microsoft.com/office/drawing/2014/main" id="{00000000-0008-0000-0600-00009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198</xdr:row>
          <xdr:rowOff>0</xdr:rowOff>
        </xdr:from>
        <xdr:to>
          <xdr:col>3</xdr:col>
          <xdr:colOff>1733550</xdr:colOff>
          <xdr:row>199</xdr:row>
          <xdr:rowOff>19050</xdr:rowOff>
        </xdr:to>
        <xdr:sp macro="" textlink="">
          <xdr:nvSpPr>
            <xdr:cNvPr id="277650" name="Check Box 146" hidden="1">
              <a:extLst>
                <a:ext uri="{63B3BB69-23CF-44E3-9099-C40C66FF867C}">
                  <a14:compatExt spid="_x0000_s277650"/>
                </a:ext>
                <a:ext uri="{FF2B5EF4-FFF2-40B4-BE49-F238E27FC236}">
                  <a16:creationId xmlns:a16="http://schemas.microsoft.com/office/drawing/2014/main" id="{00000000-0008-0000-0600-00009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42</xdr:row>
          <xdr:rowOff>171450</xdr:rowOff>
        </xdr:from>
        <xdr:to>
          <xdr:col>2</xdr:col>
          <xdr:colOff>1019175</xdr:colOff>
          <xdr:row>44</xdr:row>
          <xdr:rowOff>57150</xdr:rowOff>
        </xdr:to>
        <xdr:sp macro="" textlink="">
          <xdr:nvSpPr>
            <xdr:cNvPr id="277651" name="Check Box 147" hidden="1">
              <a:extLst>
                <a:ext uri="{63B3BB69-23CF-44E3-9099-C40C66FF867C}">
                  <a14:compatExt spid="_x0000_s277651"/>
                </a:ext>
                <a:ext uri="{FF2B5EF4-FFF2-40B4-BE49-F238E27FC236}">
                  <a16:creationId xmlns:a16="http://schemas.microsoft.com/office/drawing/2014/main" id="{00000000-0008-0000-0600-00009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19050</xdr:rowOff>
        </xdr:from>
        <xdr:to>
          <xdr:col>2</xdr:col>
          <xdr:colOff>914400</xdr:colOff>
          <xdr:row>110</xdr:row>
          <xdr:rowOff>38100</xdr:rowOff>
        </xdr:to>
        <xdr:sp macro="" textlink="">
          <xdr:nvSpPr>
            <xdr:cNvPr id="277652" name="Check Box 148" hidden="1">
              <a:extLst>
                <a:ext uri="{63B3BB69-23CF-44E3-9099-C40C66FF867C}">
                  <a14:compatExt spid="_x0000_s277652"/>
                </a:ext>
                <a:ext uri="{FF2B5EF4-FFF2-40B4-BE49-F238E27FC236}">
                  <a16:creationId xmlns:a16="http://schemas.microsoft.com/office/drawing/2014/main" id="{00000000-0008-0000-0600-00009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110</xdr:row>
          <xdr:rowOff>28575</xdr:rowOff>
        </xdr:from>
        <xdr:to>
          <xdr:col>2</xdr:col>
          <xdr:colOff>914400</xdr:colOff>
          <xdr:row>111</xdr:row>
          <xdr:rowOff>38100</xdr:rowOff>
        </xdr:to>
        <xdr:sp macro="" textlink="">
          <xdr:nvSpPr>
            <xdr:cNvPr id="277653" name="Check Box 149" hidden="1">
              <a:extLst>
                <a:ext uri="{63B3BB69-23CF-44E3-9099-C40C66FF867C}">
                  <a14:compatExt spid="_x0000_s277653"/>
                </a:ext>
                <a:ext uri="{FF2B5EF4-FFF2-40B4-BE49-F238E27FC236}">
                  <a16:creationId xmlns:a16="http://schemas.microsoft.com/office/drawing/2014/main" id="{00000000-0008-0000-0600-00009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137</xdr:row>
          <xdr:rowOff>0</xdr:rowOff>
        </xdr:from>
        <xdr:to>
          <xdr:col>3</xdr:col>
          <xdr:colOff>1733550</xdr:colOff>
          <xdr:row>138</xdr:row>
          <xdr:rowOff>19050</xdr:rowOff>
        </xdr:to>
        <xdr:sp macro="" textlink="">
          <xdr:nvSpPr>
            <xdr:cNvPr id="277654" name="Check Box 150" hidden="1">
              <a:extLst>
                <a:ext uri="{63B3BB69-23CF-44E3-9099-C40C66FF867C}">
                  <a14:compatExt spid="_x0000_s277654"/>
                </a:ext>
                <a:ext uri="{FF2B5EF4-FFF2-40B4-BE49-F238E27FC236}">
                  <a16:creationId xmlns:a16="http://schemas.microsoft.com/office/drawing/2014/main" id="{00000000-0008-0000-0600-00009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138</xdr:row>
          <xdr:rowOff>0</xdr:rowOff>
        </xdr:from>
        <xdr:to>
          <xdr:col>3</xdr:col>
          <xdr:colOff>1733550</xdr:colOff>
          <xdr:row>139</xdr:row>
          <xdr:rowOff>19050</xdr:rowOff>
        </xdr:to>
        <xdr:sp macro="" textlink="">
          <xdr:nvSpPr>
            <xdr:cNvPr id="277655" name="Check Box 151" hidden="1">
              <a:extLst>
                <a:ext uri="{63B3BB69-23CF-44E3-9099-C40C66FF867C}">
                  <a14:compatExt spid="_x0000_s277655"/>
                </a:ext>
                <a:ext uri="{FF2B5EF4-FFF2-40B4-BE49-F238E27FC236}">
                  <a16:creationId xmlns:a16="http://schemas.microsoft.com/office/drawing/2014/main" id="{00000000-0008-0000-0600-00009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6" name="Check Box 152" hidden="1">
              <a:extLst>
                <a:ext uri="{63B3BB69-23CF-44E3-9099-C40C66FF867C}">
                  <a14:compatExt spid="_x0000_s277656"/>
                </a:ext>
                <a:ext uri="{FF2B5EF4-FFF2-40B4-BE49-F238E27FC236}">
                  <a16:creationId xmlns:a16="http://schemas.microsoft.com/office/drawing/2014/main" id="{00000000-0008-0000-0600-00009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28575</xdr:rowOff>
        </xdr:from>
        <xdr:to>
          <xdr:col>2</xdr:col>
          <xdr:colOff>914400</xdr:colOff>
          <xdr:row>114</xdr:row>
          <xdr:rowOff>38100</xdr:rowOff>
        </xdr:to>
        <xdr:sp macro="" textlink="">
          <xdr:nvSpPr>
            <xdr:cNvPr id="277657" name="Check Box 153" hidden="1">
              <a:extLst>
                <a:ext uri="{63B3BB69-23CF-44E3-9099-C40C66FF867C}">
                  <a14:compatExt spid="_x0000_s277657"/>
                </a:ext>
                <a:ext uri="{FF2B5EF4-FFF2-40B4-BE49-F238E27FC236}">
                  <a16:creationId xmlns:a16="http://schemas.microsoft.com/office/drawing/2014/main" id="{00000000-0008-0000-0600-00009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8" name="Check Box 154" hidden="1">
              <a:extLst>
                <a:ext uri="{63B3BB69-23CF-44E3-9099-C40C66FF867C}">
                  <a14:compatExt spid="_x0000_s277658"/>
                </a:ext>
                <a:ext uri="{FF2B5EF4-FFF2-40B4-BE49-F238E27FC236}">
                  <a16:creationId xmlns:a16="http://schemas.microsoft.com/office/drawing/2014/main" id="{00000000-0008-0000-0600-00009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115</xdr:row>
          <xdr:rowOff>19050</xdr:rowOff>
        </xdr:from>
        <xdr:to>
          <xdr:col>2</xdr:col>
          <xdr:colOff>914400</xdr:colOff>
          <xdr:row>116</xdr:row>
          <xdr:rowOff>38100</xdr:rowOff>
        </xdr:to>
        <xdr:sp macro="" textlink="">
          <xdr:nvSpPr>
            <xdr:cNvPr id="277659" name="Check Box 155" hidden="1">
              <a:extLst>
                <a:ext uri="{63B3BB69-23CF-44E3-9099-C40C66FF867C}">
                  <a14:compatExt spid="_x0000_s277659"/>
                </a:ext>
                <a:ext uri="{FF2B5EF4-FFF2-40B4-BE49-F238E27FC236}">
                  <a16:creationId xmlns:a16="http://schemas.microsoft.com/office/drawing/2014/main" id="{00000000-0008-0000-0600-00009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28575</xdr:rowOff>
        </xdr:from>
        <xdr:to>
          <xdr:col>2</xdr:col>
          <xdr:colOff>914400</xdr:colOff>
          <xdr:row>115</xdr:row>
          <xdr:rowOff>38100</xdr:rowOff>
        </xdr:to>
        <xdr:sp macro="" textlink="">
          <xdr:nvSpPr>
            <xdr:cNvPr id="277660" name="Check Box 156" hidden="1">
              <a:extLst>
                <a:ext uri="{63B3BB69-23CF-44E3-9099-C40C66FF867C}">
                  <a14:compatExt spid="_x0000_s277660"/>
                </a:ext>
                <a:ext uri="{FF2B5EF4-FFF2-40B4-BE49-F238E27FC236}">
                  <a16:creationId xmlns:a16="http://schemas.microsoft.com/office/drawing/2014/main" id="{00000000-0008-0000-0600-00009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661" name="Check Box 157" hidden="1">
              <a:extLst>
                <a:ext uri="{63B3BB69-23CF-44E3-9099-C40C66FF867C}">
                  <a14:compatExt spid="_x0000_s277661"/>
                </a:ext>
                <a:ext uri="{FF2B5EF4-FFF2-40B4-BE49-F238E27FC236}">
                  <a16:creationId xmlns:a16="http://schemas.microsoft.com/office/drawing/2014/main" id="{00000000-0008-0000-0600-00009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2" name="Check Box 158" hidden="1">
              <a:extLst>
                <a:ext uri="{63B3BB69-23CF-44E3-9099-C40C66FF867C}">
                  <a14:compatExt spid="_x0000_s277662"/>
                </a:ext>
                <a:ext uri="{FF2B5EF4-FFF2-40B4-BE49-F238E27FC236}">
                  <a16:creationId xmlns:a16="http://schemas.microsoft.com/office/drawing/2014/main" id="{00000000-0008-0000-0600-00009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3" name="Check Box 159" hidden="1">
              <a:extLst>
                <a:ext uri="{63B3BB69-23CF-44E3-9099-C40C66FF867C}">
                  <a14:compatExt spid="_x0000_s277663"/>
                </a:ext>
                <a:ext uri="{FF2B5EF4-FFF2-40B4-BE49-F238E27FC236}">
                  <a16:creationId xmlns:a16="http://schemas.microsoft.com/office/drawing/2014/main" id="{00000000-0008-0000-0600-00009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4" name="Check Box 160" hidden="1">
              <a:extLst>
                <a:ext uri="{63B3BB69-23CF-44E3-9099-C40C66FF867C}">
                  <a14:compatExt spid="_x0000_s277664"/>
                </a:ext>
                <a:ext uri="{FF2B5EF4-FFF2-40B4-BE49-F238E27FC236}">
                  <a16:creationId xmlns:a16="http://schemas.microsoft.com/office/drawing/2014/main" id="{00000000-0008-0000-0600-0000A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5" name="Check Box 161" hidden="1">
              <a:extLst>
                <a:ext uri="{63B3BB69-23CF-44E3-9099-C40C66FF867C}">
                  <a14:compatExt spid="_x0000_s277665"/>
                </a:ext>
                <a:ext uri="{FF2B5EF4-FFF2-40B4-BE49-F238E27FC236}">
                  <a16:creationId xmlns:a16="http://schemas.microsoft.com/office/drawing/2014/main" id="{00000000-0008-0000-0600-0000A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6" name="Check Box 162" hidden="1">
              <a:extLst>
                <a:ext uri="{63B3BB69-23CF-44E3-9099-C40C66FF867C}">
                  <a14:compatExt spid="_x0000_s277666"/>
                </a:ext>
                <a:ext uri="{FF2B5EF4-FFF2-40B4-BE49-F238E27FC236}">
                  <a16:creationId xmlns:a16="http://schemas.microsoft.com/office/drawing/2014/main" id="{00000000-0008-0000-0600-0000A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207</xdr:row>
          <xdr:rowOff>0</xdr:rowOff>
        </xdr:from>
        <xdr:to>
          <xdr:col>3</xdr:col>
          <xdr:colOff>1733550</xdr:colOff>
          <xdr:row>208</xdr:row>
          <xdr:rowOff>19050</xdr:rowOff>
        </xdr:to>
        <xdr:sp macro="" textlink="">
          <xdr:nvSpPr>
            <xdr:cNvPr id="277667" name="Check Box 163" hidden="1">
              <a:extLst>
                <a:ext uri="{63B3BB69-23CF-44E3-9099-C40C66FF867C}">
                  <a14:compatExt spid="_x0000_s277667"/>
                </a:ext>
                <a:ext uri="{FF2B5EF4-FFF2-40B4-BE49-F238E27FC236}">
                  <a16:creationId xmlns:a16="http://schemas.microsoft.com/office/drawing/2014/main" id="{00000000-0008-0000-0600-0000A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668" name="Check Box 164" hidden="1">
              <a:extLst>
                <a:ext uri="{63B3BB69-23CF-44E3-9099-C40C66FF867C}">
                  <a14:compatExt spid="_x0000_s277668"/>
                </a:ext>
                <a:ext uri="{FF2B5EF4-FFF2-40B4-BE49-F238E27FC236}">
                  <a16:creationId xmlns:a16="http://schemas.microsoft.com/office/drawing/2014/main" id="{00000000-0008-0000-0600-0000A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104</xdr:row>
          <xdr:rowOff>19050</xdr:rowOff>
        </xdr:from>
        <xdr:to>
          <xdr:col>2</xdr:col>
          <xdr:colOff>914400</xdr:colOff>
          <xdr:row>105</xdr:row>
          <xdr:rowOff>38100</xdr:rowOff>
        </xdr:to>
        <xdr:sp macro="" textlink="">
          <xdr:nvSpPr>
            <xdr:cNvPr id="277669" name="Check Box 165" hidden="1">
              <a:extLst>
                <a:ext uri="{63B3BB69-23CF-44E3-9099-C40C66FF867C}">
                  <a14:compatExt spid="_x0000_s277669"/>
                </a:ext>
                <a:ext uri="{FF2B5EF4-FFF2-40B4-BE49-F238E27FC236}">
                  <a16:creationId xmlns:a16="http://schemas.microsoft.com/office/drawing/2014/main" id="{00000000-0008-0000-0600-0000A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4" name="Check Box 170" hidden="1">
              <a:extLst>
                <a:ext uri="{63B3BB69-23CF-44E3-9099-C40C66FF867C}">
                  <a14:compatExt spid="_x0000_s277674"/>
                </a:ext>
                <a:ext uri="{FF2B5EF4-FFF2-40B4-BE49-F238E27FC236}">
                  <a16:creationId xmlns:a16="http://schemas.microsoft.com/office/drawing/2014/main" id="{00000000-0008-0000-0600-0000A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5" name="Check Box 171" hidden="1">
              <a:extLst>
                <a:ext uri="{63B3BB69-23CF-44E3-9099-C40C66FF867C}">
                  <a14:compatExt spid="_x0000_s277675"/>
                </a:ext>
                <a:ext uri="{FF2B5EF4-FFF2-40B4-BE49-F238E27FC236}">
                  <a16:creationId xmlns:a16="http://schemas.microsoft.com/office/drawing/2014/main" id="{00000000-0008-0000-0600-0000A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6" name="Check Box 172" hidden="1">
              <a:extLst>
                <a:ext uri="{63B3BB69-23CF-44E3-9099-C40C66FF867C}">
                  <a14:compatExt spid="_x0000_s277676"/>
                </a:ext>
                <a:ext uri="{FF2B5EF4-FFF2-40B4-BE49-F238E27FC236}">
                  <a16:creationId xmlns:a16="http://schemas.microsoft.com/office/drawing/2014/main" id="{00000000-0008-0000-0600-0000A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77" name="Check Box 173" hidden="1">
              <a:extLst>
                <a:ext uri="{63B3BB69-23CF-44E3-9099-C40C66FF867C}">
                  <a14:compatExt spid="_x0000_s277677"/>
                </a:ext>
                <a:ext uri="{FF2B5EF4-FFF2-40B4-BE49-F238E27FC236}">
                  <a16:creationId xmlns:a16="http://schemas.microsoft.com/office/drawing/2014/main" id="{00000000-0008-0000-0600-0000A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78" name="Check Box 174" hidden="1">
              <a:extLst>
                <a:ext uri="{63B3BB69-23CF-44E3-9099-C40C66FF867C}">
                  <a14:compatExt spid="_x0000_s277678"/>
                </a:ext>
                <a:ext uri="{FF2B5EF4-FFF2-40B4-BE49-F238E27FC236}">
                  <a16:creationId xmlns:a16="http://schemas.microsoft.com/office/drawing/2014/main" id="{00000000-0008-0000-0600-0000A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9" name="Check Box 175" hidden="1">
              <a:extLst>
                <a:ext uri="{63B3BB69-23CF-44E3-9099-C40C66FF867C}">
                  <a14:compatExt spid="_x0000_s277679"/>
                </a:ext>
                <a:ext uri="{FF2B5EF4-FFF2-40B4-BE49-F238E27FC236}">
                  <a16:creationId xmlns:a16="http://schemas.microsoft.com/office/drawing/2014/main" id="{00000000-0008-0000-0600-0000A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80" name="Check Box 176" hidden="1">
              <a:extLst>
                <a:ext uri="{63B3BB69-23CF-44E3-9099-C40C66FF867C}">
                  <a14:compatExt spid="_x0000_s277680"/>
                </a:ext>
                <a:ext uri="{FF2B5EF4-FFF2-40B4-BE49-F238E27FC236}">
                  <a16:creationId xmlns:a16="http://schemas.microsoft.com/office/drawing/2014/main" id="{00000000-0008-0000-0600-0000B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81" name="Check Box 177" hidden="1">
              <a:extLst>
                <a:ext uri="{63B3BB69-23CF-44E3-9099-C40C66FF867C}">
                  <a14:compatExt spid="_x0000_s277681"/>
                </a:ext>
                <a:ext uri="{FF2B5EF4-FFF2-40B4-BE49-F238E27FC236}">
                  <a16:creationId xmlns:a16="http://schemas.microsoft.com/office/drawing/2014/main" id="{00000000-0008-0000-0600-0000B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2" name="Check Box 178" hidden="1">
              <a:extLst>
                <a:ext uri="{63B3BB69-23CF-44E3-9099-C40C66FF867C}">
                  <a14:compatExt spid="_x0000_s277682"/>
                </a:ext>
                <a:ext uri="{FF2B5EF4-FFF2-40B4-BE49-F238E27FC236}">
                  <a16:creationId xmlns:a16="http://schemas.microsoft.com/office/drawing/2014/main" id="{00000000-0008-0000-0600-0000B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3" name="Check Box 179" hidden="1">
              <a:extLst>
                <a:ext uri="{63B3BB69-23CF-44E3-9099-C40C66FF867C}">
                  <a14:compatExt spid="_x0000_s277683"/>
                </a:ext>
                <a:ext uri="{FF2B5EF4-FFF2-40B4-BE49-F238E27FC236}">
                  <a16:creationId xmlns:a16="http://schemas.microsoft.com/office/drawing/2014/main" id="{00000000-0008-0000-0600-0000B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4" name="Check Box 180" hidden="1">
              <a:extLst>
                <a:ext uri="{63B3BB69-23CF-44E3-9099-C40C66FF867C}">
                  <a14:compatExt spid="_x0000_s277684"/>
                </a:ext>
                <a:ext uri="{FF2B5EF4-FFF2-40B4-BE49-F238E27FC236}">
                  <a16:creationId xmlns:a16="http://schemas.microsoft.com/office/drawing/2014/main" id="{00000000-0008-0000-0600-0000B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38100</xdr:rowOff>
        </xdr:to>
        <xdr:sp macro="" textlink="">
          <xdr:nvSpPr>
            <xdr:cNvPr id="277685" name="Check Box 181" hidden="1">
              <a:extLst>
                <a:ext uri="{63B3BB69-23CF-44E3-9099-C40C66FF867C}">
                  <a14:compatExt spid="_x0000_s277685"/>
                </a:ext>
                <a:ext uri="{FF2B5EF4-FFF2-40B4-BE49-F238E27FC236}">
                  <a16:creationId xmlns:a16="http://schemas.microsoft.com/office/drawing/2014/main" id="{00000000-0008-0000-0600-0000B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171450</xdr:colOff>
          <xdr:row>8</xdr:row>
          <xdr:rowOff>133350</xdr:rowOff>
        </xdr:from>
        <xdr:to>
          <xdr:col>8</xdr:col>
          <xdr:colOff>57150</xdr:colOff>
          <xdr:row>10</xdr:row>
          <xdr:rowOff>19050</xdr:rowOff>
        </xdr:to>
        <xdr:sp macro="" textlink="">
          <xdr:nvSpPr>
            <xdr:cNvPr id="237579" name="Check Box 11" hidden="1">
              <a:extLst>
                <a:ext uri="{63B3BB69-23CF-44E3-9099-C40C66FF867C}">
                  <a14:compatExt spid="_x0000_s237579"/>
                </a:ext>
                <a:ext uri="{FF2B5EF4-FFF2-40B4-BE49-F238E27FC236}">
                  <a16:creationId xmlns:a16="http://schemas.microsoft.com/office/drawing/2014/main" id="{00000000-0008-0000-0700-00000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171450</xdr:colOff>
          <xdr:row>9</xdr:row>
          <xdr:rowOff>142875</xdr:rowOff>
        </xdr:from>
        <xdr:to>
          <xdr:col>8</xdr:col>
          <xdr:colOff>47625</xdr:colOff>
          <xdr:row>11</xdr:row>
          <xdr:rowOff>19050</xdr:rowOff>
        </xdr:to>
        <xdr:sp macro="" textlink="">
          <xdr:nvSpPr>
            <xdr:cNvPr id="237580" name="Check Box 12" hidden="1">
              <a:extLst>
                <a:ext uri="{63B3BB69-23CF-44E3-9099-C40C66FF867C}">
                  <a14:compatExt spid="_x0000_s237580"/>
                </a:ext>
                <a:ext uri="{FF2B5EF4-FFF2-40B4-BE49-F238E27FC236}">
                  <a16:creationId xmlns:a16="http://schemas.microsoft.com/office/drawing/2014/main" id="{00000000-0008-0000-0700-00000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11</xdr:row>
          <xdr:rowOff>133350</xdr:rowOff>
        </xdr:from>
        <xdr:to>
          <xdr:col>8</xdr:col>
          <xdr:colOff>57150</xdr:colOff>
          <xdr:row>13</xdr:row>
          <xdr:rowOff>19050</xdr:rowOff>
        </xdr:to>
        <xdr:sp macro="" textlink="">
          <xdr:nvSpPr>
            <xdr:cNvPr id="237581" name="Check Box 13" hidden="1">
              <a:extLst>
                <a:ext uri="{63B3BB69-23CF-44E3-9099-C40C66FF867C}">
                  <a14:compatExt spid="_x0000_s237581"/>
                </a:ext>
                <a:ext uri="{FF2B5EF4-FFF2-40B4-BE49-F238E27FC236}">
                  <a16:creationId xmlns:a16="http://schemas.microsoft.com/office/drawing/2014/main" id="{00000000-0008-0000-0700-00000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14</xdr:row>
          <xdr:rowOff>133350</xdr:rowOff>
        </xdr:from>
        <xdr:to>
          <xdr:col>8</xdr:col>
          <xdr:colOff>57150</xdr:colOff>
          <xdr:row>16</xdr:row>
          <xdr:rowOff>19050</xdr:rowOff>
        </xdr:to>
        <xdr:sp macro="" textlink="">
          <xdr:nvSpPr>
            <xdr:cNvPr id="237582" name="Check Box 14" hidden="1">
              <a:extLst>
                <a:ext uri="{63B3BB69-23CF-44E3-9099-C40C66FF867C}">
                  <a14:compatExt spid="_x0000_s237582"/>
                </a:ext>
                <a:ext uri="{FF2B5EF4-FFF2-40B4-BE49-F238E27FC236}">
                  <a16:creationId xmlns:a16="http://schemas.microsoft.com/office/drawing/2014/main" id="{00000000-0008-0000-0700-00000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15</xdr:row>
          <xdr:rowOff>133350</xdr:rowOff>
        </xdr:from>
        <xdr:to>
          <xdr:col>8</xdr:col>
          <xdr:colOff>57150</xdr:colOff>
          <xdr:row>17</xdr:row>
          <xdr:rowOff>19050</xdr:rowOff>
        </xdr:to>
        <xdr:sp macro="" textlink="">
          <xdr:nvSpPr>
            <xdr:cNvPr id="237583" name="Check Box 15" hidden="1">
              <a:extLst>
                <a:ext uri="{63B3BB69-23CF-44E3-9099-C40C66FF867C}">
                  <a14:compatExt spid="_x0000_s237583"/>
                </a:ext>
                <a:ext uri="{FF2B5EF4-FFF2-40B4-BE49-F238E27FC236}">
                  <a16:creationId xmlns:a16="http://schemas.microsoft.com/office/drawing/2014/main" id="{00000000-0008-0000-0700-00000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16</xdr:row>
          <xdr:rowOff>133350</xdr:rowOff>
        </xdr:from>
        <xdr:to>
          <xdr:col>8</xdr:col>
          <xdr:colOff>57150</xdr:colOff>
          <xdr:row>18</xdr:row>
          <xdr:rowOff>19050</xdr:rowOff>
        </xdr:to>
        <xdr:sp macro="" textlink="">
          <xdr:nvSpPr>
            <xdr:cNvPr id="237584" name="Check Box 16" hidden="1">
              <a:extLst>
                <a:ext uri="{63B3BB69-23CF-44E3-9099-C40C66FF867C}">
                  <a14:compatExt spid="_x0000_s237584"/>
                </a:ext>
                <a:ext uri="{FF2B5EF4-FFF2-40B4-BE49-F238E27FC236}">
                  <a16:creationId xmlns:a16="http://schemas.microsoft.com/office/drawing/2014/main" id="{00000000-0008-0000-0700-00001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17</xdr:row>
          <xdr:rowOff>133350</xdr:rowOff>
        </xdr:from>
        <xdr:to>
          <xdr:col>8</xdr:col>
          <xdr:colOff>57150</xdr:colOff>
          <xdr:row>19</xdr:row>
          <xdr:rowOff>19050</xdr:rowOff>
        </xdr:to>
        <xdr:sp macro="" textlink="">
          <xdr:nvSpPr>
            <xdr:cNvPr id="237585" name="Check Box 17" hidden="1">
              <a:extLst>
                <a:ext uri="{63B3BB69-23CF-44E3-9099-C40C66FF867C}">
                  <a14:compatExt spid="_x0000_s237585"/>
                </a:ext>
                <a:ext uri="{FF2B5EF4-FFF2-40B4-BE49-F238E27FC236}">
                  <a16:creationId xmlns:a16="http://schemas.microsoft.com/office/drawing/2014/main" id="{00000000-0008-0000-0700-00001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18</xdr:row>
          <xdr:rowOff>133350</xdr:rowOff>
        </xdr:from>
        <xdr:to>
          <xdr:col>8</xdr:col>
          <xdr:colOff>57150</xdr:colOff>
          <xdr:row>20</xdr:row>
          <xdr:rowOff>19050</xdr:rowOff>
        </xdr:to>
        <xdr:sp macro="" textlink="">
          <xdr:nvSpPr>
            <xdr:cNvPr id="237586" name="Check Box 18" hidden="1">
              <a:extLst>
                <a:ext uri="{63B3BB69-23CF-44E3-9099-C40C66FF867C}">
                  <a14:compatExt spid="_x0000_s237586"/>
                </a:ext>
                <a:ext uri="{FF2B5EF4-FFF2-40B4-BE49-F238E27FC236}">
                  <a16:creationId xmlns:a16="http://schemas.microsoft.com/office/drawing/2014/main" id="{00000000-0008-0000-0700-00001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19</xdr:row>
          <xdr:rowOff>133350</xdr:rowOff>
        </xdr:from>
        <xdr:to>
          <xdr:col>8</xdr:col>
          <xdr:colOff>57150</xdr:colOff>
          <xdr:row>21</xdr:row>
          <xdr:rowOff>19050</xdr:rowOff>
        </xdr:to>
        <xdr:sp macro="" textlink="">
          <xdr:nvSpPr>
            <xdr:cNvPr id="237587" name="Check Box 19" hidden="1">
              <a:extLst>
                <a:ext uri="{63B3BB69-23CF-44E3-9099-C40C66FF867C}">
                  <a14:compatExt spid="_x0000_s237587"/>
                </a:ext>
                <a:ext uri="{FF2B5EF4-FFF2-40B4-BE49-F238E27FC236}">
                  <a16:creationId xmlns:a16="http://schemas.microsoft.com/office/drawing/2014/main" id="{00000000-0008-0000-0700-00001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20</xdr:row>
          <xdr:rowOff>133350</xdr:rowOff>
        </xdr:from>
        <xdr:to>
          <xdr:col>8</xdr:col>
          <xdr:colOff>57150</xdr:colOff>
          <xdr:row>22</xdr:row>
          <xdr:rowOff>19050</xdr:rowOff>
        </xdr:to>
        <xdr:sp macro="" textlink="">
          <xdr:nvSpPr>
            <xdr:cNvPr id="237588" name="Check Box 20" hidden="1">
              <a:extLst>
                <a:ext uri="{63B3BB69-23CF-44E3-9099-C40C66FF867C}">
                  <a14:compatExt spid="_x0000_s237588"/>
                </a:ext>
                <a:ext uri="{FF2B5EF4-FFF2-40B4-BE49-F238E27FC236}">
                  <a16:creationId xmlns:a16="http://schemas.microsoft.com/office/drawing/2014/main" id="{00000000-0008-0000-0700-00001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21</xdr:row>
          <xdr:rowOff>133350</xdr:rowOff>
        </xdr:from>
        <xdr:to>
          <xdr:col>8</xdr:col>
          <xdr:colOff>57150</xdr:colOff>
          <xdr:row>23</xdr:row>
          <xdr:rowOff>19050</xdr:rowOff>
        </xdr:to>
        <xdr:sp macro="" textlink="">
          <xdr:nvSpPr>
            <xdr:cNvPr id="237589" name="Check Box 21" hidden="1">
              <a:extLst>
                <a:ext uri="{63B3BB69-23CF-44E3-9099-C40C66FF867C}">
                  <a14:compatExt spid="_x0000_s237589"/>
                </a:ext>
                <a:ext uri="{FF2B5EF4-FFF2-40B4-BE49-F238E27FC236}">
                  <a16:creationId xmlns:a16="http://schemas.microsoft.com/office/drawing/2014/main" id="{00000000-0008-0000-0700-00001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22</xdr:row>
          <xdr:rowOff>133350</xdr:rowOff>
        </xdr:from>
        <xdr:to>
          <xdr:col>8</xdr:col>
          <xdr:colOff>57150</xdr:colOff>
          <xdr:row>24</xdr:row>
          <xdr:rowOff>19050</xdr:rowOff>
        </xdr:to>
        <xdr:sp macro="" textlink="">
          <xdr:nvSpPr>
            <xdr:cNvPr id="237590" name="Check Box 22" hidden="1">
              <a:extLst>
                <a:ext uri="{63B3BB69-23CF-44E3-9099-C40C66FF867C}">
                  <a14:compatExt spid="_x0000_s237590"/>
                </a:ext>
                <a:ext uri="{FF2B5EF4-FFF2-40B4-BE49-F238E27FC236}">
                  <a16:creationId xmlns:a16="http://schemas.microsoft.com/office/drawing/2014/main" id="{00000000-0008-0000-0700-00001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23</xdr:row>
          <xdr:rowOff>133350</xdr:rowOff>
        </xdr:from>
        <xdr:to>
          <xdr:col>8</xdr:col>
          <xdr:colOff>57150</xdr:colOff>
          <xdr:row>25</xdr:row>
          <xdr:rowOff>19050</xdr:rowOff>
        </xdr:to>
        <xdr:sp macro="" textlink="">
          <xdr:nvSpPr>
            <xdr:cNvPr id="237591" name="Check Box 23" hidden="1">
              <a:extLst>
                <a:ext uri="{63B3BB69-23CF-44E3-9099-C40C66FF867C}">
                  <a14:compatExt spid="_x0000_s237591"/>
                </a:ext>
                <a:ext uri="{FF2B5EF4-FFF2-40B4-BE49-F238E27FC236}">
                  <a16:creationId xmlns:a16="http://schemas.microsoft.com/office/drawing/2014/main" id="{00000000-0008-0000-0700-00001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27</xdr:row>
          <xdr:rowOff>133350</xdr:rowOff>
        </xdr:from>
        <xdr:to>
          <xdr:col>8</xdr:col>
          <xdr:colOff>57150</xdr:colOff>
          <xdr:row>29</xdr:row>
          <xdr:rowOff>19050</xdr:rowOff>
        </xdr:to>
        <xdr:sp macro="" textlink="">
          <xdr:nvSpPr>
            <xdr:cNvPr id="237592" name="Check Box 24" hidden="1">
              <a:extLst>
                <a:ext uri="{63B3BB69-23CF-44E3-9099-C40C66FF867C}">
                  <a14:compatExt spid="_x0000_s237592"/>
                </a:ext>
                <a:ext uri="{FF2B5EF4-FFF2-40B4-BE49-F238E27FC236}">
                  <a16:creationId xmlns:a16="http://schemas.microsoft.com/office/drawing/2014/main" id="{00000000-0008-0000-0700-00001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28</xdr:row>
          <xdr:rowOff>133350</xdr:rowOff>
        </xdr:from>
        <xdr:to>
          <xdr:col>8</xdr:col>
          <xdr:colOff>57150</xdr:colOff>
          <xdr:row>30</xdr:row>
          <xdr:rowOff>19050</xdr:rowOff>
        </xdr:to>
        <xdr:sp macro="" textlink="">
          <xdr:nvSpPr>
            <xdr:cNvPr id="237593" name="Check Box 25" hidden="1">
              <a:extLst>
                <a:ext uri="{63B3BB69-23CF-44E3-9099-C40C66FF867C}">
                  <a14:compatExt spid="_x0000_s237593"/>
                </a:ext>
                <a:ext uri="{FF2B5EF4-FFF2-40B4-BE49-F238E27FC236}">
                  <a16:creationId xmlns:a16="http://schemas.microsoft.com/office/drawing/2014/main" id="{00000000-0008-0000-0700-00001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30</xdr:row>
          <xdr:rowOff>133350</xdr:rowOff>
        </xdr:from>
        <xdr:to>
          <xdr:col>8</xdr:col>
          <xdr:colOff>57150</xdr:colOff>
          <xdr:row>32</xdr:row>
          <xdr:rowOff>19050</xdr:rowOff>
        </xdr:to>
        <xdr:sp macro="" textlink="">
          <xdr:nvSpPr>
            <xdr:cNvPr id="237594" name="Check Box 26" hidden="1">
              <a:extLst>
                <a:ext uri="{63B3BB69-23CF-44E3-9099-C40C66FF867C}">
                  <a14:compatExt spid="_x0000_s237594"/>
                </a:ext>
                <a:ext uri="{FF2B5EF4-FFF2-40B4-BE49-F238E27FC236}">
                  <a16:creationId xmlns:a16="http://schemas.microsoft.com/office/drawing/2014/main" id="{00000000-0008-0000-0700-00001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31</xdr:row>
          <xdr:rowOff>133350</xdr:rowOff>
        </xdr:from>
        <xdr:to>
          <xdr:col>8</xdr:col>
          <xdr:colOff>57150</xdr:colOff>
          <xdr:row>33</xdr:row>
          <xdr:rowOff>0</xdr:rowOff>
        </xdr:to>
        <xdr:sp macro="" textlink="">
          <xdr:nvSpPr>
            <xdr:cNvPr id="237595" name="Check Box 27" hidden="1">
              <a:extLst>
                <a:ext uri="{63B3BB69-23CF-44E3-9099-C40C66FF867C}">
                  <a14:compatExt spid="_x0000_s237595"/>
                </a:ext>
                <a:ext uri="{FF2B5EF4-FFF2-40B4-BE49-F238E27FC236}">
                  <a16:creationId xmlns:a16="http://schemas.microsoft.com/office/drawing/2014/main" id="{00000000-0008-0000-0700-00001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32</xdr:row>
          <xdr:rowOff>133350</xdr:rowOff>
        </xdr:from>
        <xdr:to>
          <xdr:col>8</xdr:col>
          <xdr:colOff>57150</xdr:colOff>
          <xdr:row>34</xdr:row>
          <xdr:rowOff>0</xdr:rowOff>
        </xdr:to>
        <xdr:sp macro="" textlink="">
          <xdr:nvSpPr>
            <xdr:cNvPr id="237596" name="Check Box 28" hidden="1">
              <a:extLst>
                <a:ext uri="{63B3BB69-23CF-44E3-9099-C40C66FF867C}">
                  <a14:compatExt spid="_x0000_s237596"/>
                </a:ext>
                <a:ext uri="{FF2B5EF4-FFF2-40B4-BE49-F238E27FC236}">
                  <a16:creationId xmlns:a16="http://schemas.microsoft.com/office/drawing/2014/main" id="{00000000-0008-0000-0700-00001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33</xdr:row>
          <xdr:rowOff>133350</xdr:rowOff>
        </xdr:from>
        <xdr:to>
          <xdr:col>8</xdr:col>
          <xdr:colOff>57150</xdr:colOff>
          <xdr:row>35</xdr:row>
          <xdr:rowOff>19050</xdr:rowOff>
        </xdr:to>
        <xdr:sp macro="" textlink="">
          <xdr:nvSpPr>
            <xdr:cNvPr id="237597" name="Check Box 29" hidden="1">
              <a:extLst>
                <a:ext uri="{63B3BB69-23CF-44E3-9099-C40C66FF867C}">
                  <a14:compatExt spid="_x0000_s237597"/>
                </a:ext>
                <a:ext uri="{FF2B5EF4-FFF2-40B4-BE49-F238E27FC236}">
                  <a16:creationId xmlns:a16="http://schemas.microsoft.com/office/drawing/2014/main" id="{00000000-0008-0000-0700-00001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35</xdr:row>
          <xdr:rowOff>133350</xdr:rowOff>
        </xdr:from>
        <xdr:to>
          <xdr:col>8</xdr:col>
          <xdr:colOff>57150</xdr:colOff>
          <xdr:row>37</xdr:row>
          <xdr:rowOff>19050</xdr:rowOff>
        </xdr:to>
        <xdr:sp macro="" textlink="">
          <xdr:nvSpPr>
            <xdr:cNvPr id="237598" name="Check Box 30" hidden="1">
              <a:extLst>
                <a:ext uri="{63B3BB69-23CF-44E3-9099-C40C66FF867C}">
                  <a14:compatExt spid="_x0000_s237598"/>
                </a:ext>
                <a:ext uri="{FF2B5EF4-FFF2-40B4-BE49-F238E27FC236}">
                  <a16:creationId xmlns:a16="http://schemas.microsoft.com/office/drawing/2014/main" id="{00000000-0008-0000-0700-00001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36</xdr:row>
          <xdr:rowOff>133350</xdr:rowOff>
        </xdr:from>
        <xdr:to>
          <xdr:col>8</xdr:col>
          <xdr:colOff>57150</xdr:colOff>
          <xdr:row>38</xdr:row>
          <xdr:rowOff>19050</xdr:rowOff>
        </xdr:to>
        <xdr:sp macro="" textlink="">
          <xdr:nvSpPr>
            <xdr:cNvPr id="237599" name="Check Box 31" hidden="1">
              <a:extLst>
                <a:ext uri="{63B3BB69-23CF-44E3-9099-C40C66FF867C}">
                  <a14:compatExt spid="_x0000_s237599"/>
                </a:ext>
                <a:ext uri="{FF2B5EF4-FFF2-40B4-BE49-F238E27FC236}">
                  <a16:creationId xmlns:a16="http://schemas.microsoft.com/office/drawing/2014/main" id="{00000000-0008-0000-0700-00001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37</xdr:row>
          <xdr:rowOff>133350</xdr:rowOff>
        </xdr:from>
        <xdr:to>
          <xdr:col>8</xdr:col>
          <xdr:colOff>57150</xdr:colOff>
          <xdr:row>39</xdr:row>
          <xdr:rowOff>19050</xdr:rowOff>
        </xdr:to>
        <xdr:sp macro="" textlink="">
          <xdr:nvSpPr>
            <xdr:cNvPr id="237600" name="Check Box 32" hidden="1">
              <a:extLst>
                <a:ext uri="{63B3BB69-23CF-44E3-9099-C40C66FF867C}">
                  <a14:compatExt spid="_x0000_s237600"/>
                </a:ext>
                <a:ext uri="{FF2B5EF4-FFF2-40B4-BE49-F238E27FC236}">
                  <a16:creationId xmlns:a16="http://schemas.microsoft.com/office/drawing/2014/main" id="{00000000-0008-0000-0700-00002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38</xdr:row>
          <xdr:rowOff>133350</xdr:rowOff>
        </xdr:from>
        <xdr:to>
          <xdr:col>8</xdr:col>
          <xdr:colOff>57150</xdr:colOff>
          <xdr:row>40</xdr:row>
          <xdr:rowOff>19050</xdr:rowOff>
        </xdr:to>
        <xdr:sp macro="" textlink="">
          <xdr:nvSpPr>
            <xdr:cNvPr id="237601" name="Check Box 33" hidden="1">
              <a:extLst>
                <a:ext uri="{63B3BB69-23CF-44E3-9099-C40C66FF867C}">
                  <a14:compatExt spid="_x0000_s237601"/>
                </a:ext>
                <a:ext uri="{FF2B5EF4-FFF2-40B4-BE49-F238E27FC236}">
                  <a16:creationId xmlns:a16="http://schemas.microsoft.com/office/drawing/2014/main" id="{00000000-0008-0000-0700-00002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49</xdr:row>
          <xdr:rowOff>133350</xdr:rowOff>
        </xdr:from>
        <xdr:to>
          <xdr:col>8</xdr:col>
          <xdr:colOff>57150</xdr:colOff>
          <xdr:row>51</xdr:row>
          <xdr:rowOff>19050</xdr:rowOff>
        </xdr:to>
        <xdr:sp macro="" textlink="">
          <xdr:nvSpPr>
            <xdr:cNvPr id="237602" name="Check Box 34" hidden="1">
              <a:extLst>
                <a:ext uri="{63B3BB69-23CF-44E3-9099-C40C66FF867C}">
                  <a14:compatExt spid="_x0000_s237602"/>
                </a:ext>
                <a:ext uri="{FF2B5EF4-FFF2-40B4-BE49-F238E27FC236}">
                  <a16:creationId xmlns:a16="http://schemas.microsoft.com/office/drawing/2014/main" id="{00000000-0008-0000-0700-00002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51</xdr:row>
          <xdr:rowOff>133350</xdr:rowOff>
        </xdr:from>
        <xdr:to>
          <xdr:col>8</xdr:col>
          <xdr:colOff>57150</xdr:colOff>
          <xdr:row>53</xdr:row>
          <xdr:rowOff>19050</xdr:rowOff>
        </xdr:to>
        <xdr:sp macro="" textlink="">
          <xdr:nvSpPr>
            <xdr:cNvPr id="237603" name="Check Box 35" hidden="1">
              <a:extLst>
                <a:ext uri="{63B3BB69-23CF-44E3-9099-C40C66FF867C}">
                  <a14:compatExt spid="_x0000_s237603"/>
                </a:ext>
                <a:ext uri="{FF2B5EF4-FFF2-40B4-BE49-F238E27FC236}">
                  <a16:creationId xmlns:a16="http://schemas.microsoft.com/office/drawing/2014/main" id="{00000000-0008-0000-0700-00002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42</xdr:row>
          <xdr:rowOff>133350</xdr:rowOff>
        </xdr:from>
        <xdr:to>
          <xdr:col>8</xdr:col>
          <xdr:colOff>57150</xdr:colOff>
          <xdr:row>44</xdr:row>
          <xdr:rowOff>19050</xdr:rowOff>
        </xdr:to>
        <xdr:sp macro="" textlink="">
          <xdr:nvSpPr>
            <xdr:cNvPr id="237604" name="Check Box 36" hidden="1">
              <a:extLst>
                <a:ext uri="{63B3BB69-23CF-44E3-9099-C40C66FF867C}">
                  <a14:compatExt spid="_x0000_s237604"/>
                </a:ext>
                <a:ext uri="{FF2B5EF4-FFF2-40B4-BE49-F238E27FC236}">
                  <a16:creationId xmlns:a16="http://schemas.microsoft.com/office/drawing/2014/main" id="{00000000-0008-0000-0700-00002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43</xdr:row>
          <xdr:rowOff>133350</xdr:rowOff>
        </xdr:from>
        <xdr:to>
          <xdr:col>8</xdr:col>
          <xdr:colOff>57150</xdr:colOff>
          <xdr:row>45</xdr:row>
          <xdr:rowOff>19050</xdr:rowOff>
        </xdr:to>
        <xdr:sp macro="" textlink="">
          <xdr:nvSpPr>
            <xdr:cNvPr id="237605" name="Check Box 37" hidden="1">
              <a:extLst>
                <a:ext uri="{63B3BB69-23CF-44E3-9099-C40C66FF867C}">
                  <a14:compatExt spid="_x0000_s237605"/>
                </a:ext>
                <a:ext uri="{FF2B5EF4-FFF2-40B4-BE49-F238E27FC236}">
                  <a16:creationId xmlns:a16="http://schemas.microsoft.com/office/drawing/2014/main" id="{00000000-0008-0000-0700-00002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44</xdr:row>
          <xdr:rowOff>133350</xdr:rowOff>
        </xdr:from>
        <xdr:to>
          <xdr:col>8</xdr:col>
          <xdr:colOff>57150</xdr:colOff>
          <xdr:row>46</xdr:row>
          <xdr:rowOff>19050</xdr:rowOff>
        </xdr:to>
        <xdr:sp macro="" textlink="">
          <xdr:nvSpPr>
            <xdr:cNvPr id="237606" name="Check Box 38" hidden="1">
              <a:extLst>
                <a:ext uri="{63B3BB69-23CF-44E3-9099-C40C66FF867C}">
                  <a14:compatExt spid="_x0000_s237606"/>
                </a:ext>
                <a:ext uri="{FF2B5EF4-FFF2-40B4-BE49-F238E27FC236}">
                  <a16:creationId xmlns:a16="http://schemas.microsoft.com/office/drawing/2014/main" id="{00000000-0008-0000-0700-00002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55</xdr:row>
          <xdr:rowOff>133350</xdr:rowOff>
        </xdr:from>
        <xdr:to>
          <xdr:col>8</xdr:col>
          <xdr:colOff>57150</xdr:colOff>
          <xdr:row>57</xdr:row>
          <xdr:rowOff>19050</xdr:rowOff>
        </xdr:to>
        <xdr:sp macro="" textlink="">
          <xdr:nvSpPr>
            <xdr:cNvPr id="237610" name="Check Box 42" hidden="1">
              <a:extLst>
                <a:ext uri="{63B3BB69-23CF-44E3-9099-C40C66FF867C}">
                  <a14:compatExt spid="_x0000_s237610"/>
                </a:ext>
                <a:ext uri="{FF2B5EF4-FFF2-40B4-BE49-F238E27FC236}">
                  <a16:creationId xmlns:a16="http://schemas.microsoft.com/office/drawing/2014/main" id="{00000000-0008-0000-0700-00002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56</xdr:row>
          <xdr:rowOff>133350</xdr:rowOff>
        </xdr:from>
        <xdr:to>
          <xdr:col>8</xdr:col>
          <xdr:colOff>57150</xdr:colOff>
          <xdr:row>58</xdr:row>
          <xdr:rowOff>19050</xdr:rowOff>
        </xdr:to>
        <xdr:sp macro="" textlink="">
          <xdr:nvSpPr>
            <xdr:cNvPr id="237611" name="Check Box 43" hidden="1">
              <a:extLst>
                <a:ext uri="{63B3BB69-23CF-44E3-9099-C40C66FF867C}">
                  <a14:compatExt spid="_x0000_s237611"/>
                </a:ext>
                <a:ext uri="{FF2B5EF4-FFF2-40B4-BE49-F238E27FC236}">
                  <a16:creationId xmlns:a16="http://schemas.microsoft.com/office/drawing/2014/main" id="{00000000-0008-0000-0700-00002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57</xdr:row>
          <xdr:rowOff>133350</xdr:rowOff>
        </xdr:from>
        <xdr:to>
          <xdr:col>8</xdr:col>
          <xdr:colOff>57150</xdr:colOff>
          <xdr:row>59</xdr:row>
          <xdr:rowOff>19050</xdr:rowOff>
        </xdr:to>
        <xdr:sp macro="" textlink="">
          <xdr:nvSpPr>
            <xdr:cNvPr id="237612" name="Check Box 44" hidden="1">
              <a:extLst>
                <a:ext uri="{63B3BB69-23CF-44E3-9099-C40C66FF867C}">
                  <a14:compatExt spid="_x0000_s237612"/>
                </a:ext>
                <a:ext uri="{FF2B5EF4-FFF2-40B4-BE49-F238E27FC236}">
                  <a16:creationId xmlns:a16="http://schemas.microsoft.com/office/drawing/2014/main" id="{00000000-0008-0000-0700-00002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58</xdr:row>
          <xdr:rowOff>133350</xdr:rowOff>
        </xdr:from>
        <xdr:to>
          <xdr:col>8</xdr:col>
          <xdr:colOff>57150</xdr:colOff>
          <xdr:row>60</xdr:row>
          <xdr:rowOff>19050</xdr:rowOff>
        </xdr:to>
        <xdr:sp macro="" textlink="">
          <xdr:nvSpPr>
            <xdr:cNvPr id="237613" name="Check Box 45" hidden="1">
              <a:extLst>
                <a:ext uri="{63B3BB69-23CF-44E3-9099-C40C66FF867C}">
                  <a14:compatExt spid="_x0000_s237613"/>
                </a:ext>
                <a:ext uri="{FF2B5EF4-FFF2-40B4-BE49-F238E27FC236}">
                  <a16:creationId xmlns:a16="http://schemas.microsoft.com/office/drawing/2014/main" id="{00000000-0008-0000-0700-00002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59</xdr:row>
          <xdr:rowOff>133350</xdr:rowOff>
        </xdr:from>
        <xdr:to>
          <xdr:col>8</xdr:col>
          <xdr:colOff>57150</xdr:colOff>
          <xdr:row>61</xdr:row>
          <xdr:rowOff>19050</xdr:rowOff>
        </xdr:to>
        <xdr:sp macro="" textlink="">
          <xdr:nvSpPr>
            <xdr:cNvPr id="237614" name="Check Box 46" hidden="1">
              <a:extLst>
                <a:ext uri="{63B3BB69-23CF-44E3-9099-C40C66FF867C}">
                  <a14:compatExt spid="_x0000_s237614"/>
                </a:ext>
                <a:ext uri="{FF2B5EF4-FFF2-40B4-BE49-F238E27FC236}">
                  <a16:creationId xmlns:a16="http://schemas.microsoft.com/office/drawing/2014/main" id="{00000000-0008-0000-0700-00002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61</xdr:row>
          <xdr:rowOff>133350</xdr:rowOff>
        </xdr:from>
        <xdr:to>
          <xdr:col>8</xdr:col>
          <xdr:colOff>57150</xdr:colOff>
          <xdr:row>63</xdr:row>
          <xdr:rowOff>19050</xdr:rowOff>
        </xdr:to>
        <xdr:sp macro="" textlink="">
          <xdr:nvSpPr>
            <xdr:cNvPr id="237615" name="Check Box 47" hidden="1">
              <a:extLst>
                <a:ext uri="{63B3BB69-23CF-44E3-9099-C40C66FF867C}">
                  <a14:compatExt spid="_x0000_s237615"/>
                </a:ext>
                <a:ext uri="{FF2B5EF4-FFF2-40B4-BE49-F238E27FC236}">
                  <a16:creationId xmlns:a16="http://schemas.microsoft.com/office/drawing/2014/main" id="{00000000-0008-0000-0700-00002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62</xdr:row>
          <xdr:rowOff>133350</xdr:rowOff>
        </xdr:from>
        <xdr:to>
          <xdr:col>8</xdr:col>
          <xdr:colOff>57150</xdr:colOff>
          <xdr:row>64</xdr:row>
          <xdr:rowOff>19050</xdr:rowOff>
        </xdr:to>
        <xdr:sp macro="" textlink="">
          <xdr:nvSpPr>
            <xdr:cNvPr id="237617" name="Check Box 49" hidden="1">
              <a:extLst>
                <a:ext uri="{63B3BB69-23CF-44E3-9099-C40C66FF867C}">
                  <a14:compatExt spid="_x0000_s237617"/>
                </a:ext>
                <a:ext uri="{FF2B5EF4-FFF2-40B4-BE49-F238E27FC236}">
                  <a16:creationId xmlns:a16="http://schemas.microsoft.com/office/drawing/2014/main" id="{00000000-0008-0000-0700-00003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63</xdr:row>
          <xdr:rowOff>133350</xdr:rowOff>
        </xdr:from>
        <xdr:to>
          <xdr:col>8</xdr:col>
          <xdr:colOff>57150</xdr:colOff>
          <xdr:row>65</xdr:row>
          <xdr:rowOff>19050</xdr:rowOff>
        </xdr:to>
        <xdr:sp macro="" textlink="">
          <xdr:nvSpPr>
            <xdr:cNvPr id="237618" name="Check Box 50" hidden="1">
              <a:extLst>
                <a:ext uri="{63B3BB69-23CF-44E3-9099-C40C66FF867C}">
                  <a14:compatExt spid="_x0000_s237618"/>
                </a:ext>
                <a:ext uri="{FF2B5EF4-FFF2-40B4-BE49-F238E27FC236}">
                  <a16:creationId xmlns:a16="http://schemas.microsoft.com/office/drawing/2014/main" id="{00000000-0008-0000-0700-00003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64</xdr:row>
          <xdr:rowOff>133350</xdr:rowOff>
        </xdr:from>
        <xdr:to>
          <xdr:col>8</xdr:col>
          <xdr:colOff>57150</xdr:colOff>
          <xdr:row>66</xdr:row>
          <xdr:rowOff>19050</xdr:rowOff>
        </xdr:to>
        <xdr:sp macro="" textlink="">
          <xdr:nvSpPr>
            <xdr:cNvPr id="237619" name="Check Box 51" hidden="1">
              <a:extLst>
                <a:ext uri="{63B3BB69-23CF-44E3-9099-C40C66FF867C}">
                  <a14:compatExt spid="_x0000_s237619"/>
                </a:ext>
                <a:ext uri="{FF2B5EF4-FFF2-40B4-BE49-F238E27FC236}">
                  <a16:creationId xmlns:a16="http://schemas.microsoft.com/office/drawing/2014/main" id="{00000000-0008-0000-0700-00003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65</xdr:row>
          <xdr:rowOff>133350</xdr:rowOff>
        </xdr:from>
        <xdr:to>
          <xdr:col>8</xdr:col>
          <xdr:colOff>57150</xdr:colOff>
          <xdr:row>67</xdr:row>
          <xdr:rowOff>19050</xdr:rowOff>
        </xdr:to>
        <xdr:sp macro="" textlink="">
          <xdr:nvSpPr>
            <xdr:cNvPr id="237620" name="Check Box 52" hidden="1">
              <a:extLst>
                <a:ext uri="{63B3BB69-23CF-44E3-9099-C40C66FF867C}">
                  <a14:compatExt spid="_x0000_s237620"/>
                </a:ext>
                <a:ext uri="{FF2B5EF4-FFF2-40B4-BE49-F238E27FC236}">
                  <a16:creationId xmlns:a16="http://schemas.microsoft.com/office/drawing/2014/main" id="{00000000-0008-0000-0700-00003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66</xdr:row>
          <xdr:rowOff>133350</xdr:rowOff>
        </xdr:from>
        <xdr:to>
          <xdr:col>8</xdr:col>
          <xdr:colOff>57150</xdr:colOff>
          <xdr:row>68</xdr:row>
          <xdr:rowOff>19050</xdr:rowOff>
        </xdr:to>
        <xdr:sp macro="" textlink="">
          <xdr:nvSpPr>
            <xdr:cNvPr id="237622" name="Check Box 54" hidden="1">
              <a:extLst>
                <a:ext uri="{63B3BB69-23CF-44E3-9099-C40C66FF867C}">
                  <a14:compatExt spid="_x0000_s237622"/>
                </a:ext>
                <a:ext uri="{FF2B5EF4-FFF2-40B4-BE49-F238E27FC236}">
                  <a16:creationId xmlns:a16="http://schemas.microsoft.com/office/drawing/2014/main" id="{00000000-0008-0000-0700-00003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67</xdr:row>
          <xdr:rowOff>133350</xdr:rowOff>
        </xdr:from>
        <xdr:to>
          <xdr:col>8</xdr:col>
          <xdr:colOff>66675</xdr:colOff>
          <xdr:row>69</xdr:row>
          <xdr:rowOff>19050</xdr:rowOff>
        </xdr:to>
        <xdr:sp macro="" textlink="">
          <xdr:nvSpPr>
            <xdr:cNvPr id="237623" name="Check Box 55" hidden="1">
              <a:extLst>
                <a:ext uri="{63B3BB69-23CF-44E3-9099-C40C66FF867C}">
                  <a14:compatExt spid="_x0000_s237623"/>
                </a:ext>
                <a:ext uri="{FF2B5EF4-FFF2-40B4-BE49-F238E27FC236}">
                  <a16:creationId xmlns:a16="http://schemas.microsoft.com/office/drawing/2014/main" id="{00000000-0008-0000-0700-00003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68</xdr:row>
          <xdr:rowOff>133350</xdr:rowOff>
        </xdr:from>
        <xdr:to>
          <xdr:col>8</xdr:col>
          <xdr:colOff>57150</xdr:colOff>
          <xdr:row>70</xdr:row>
          <xdr:rowOff>19050</xdr:rowOff>
        </xdr:to>
        <xdr:sp macro="" textlink="">
          <xdr:nvSpPr>
            <xdr:cNvPr id="237628" name="Check Box 60" hidden="1">
              <a:extLst>
                <a:ext uri="{63B3BB69-23CF-44E3-9099-C40C66FF867C}">
                  <a14:compatExt spid="_x0000_s237628"/>
                </a:ext>
                <a:ext uri="{FF2B5EF4-FFF2-40B4-BE49-F238E27FC236}">
                  <a16:creationId xmlns:a16="http://schemas.microsoft.com/office/drawing/2014/main" id="{00000000-0008-0000-0700-00003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69</xdr:row>
          <xdr:rowOff>133350</xdr:rowOff>
        </xdr:from>
        <xdr:to>
          <xdr:col>8</xdr:col>
          <xdr:colOff>57150</xdr:colOff>
          <xdr:row>71</xdr:row>
          <xdr:rowOff>19050</xdr:rowOff>
        </xdr:to>
        <xdr:sp macro="" textlink="">
          <xdr:nvSpPr>
            <xdr:cNvPr id="237629" name="Check Box 61" hidden="1">
              <a:extLst>
                <a:ext uri="{63B3BB69-23CF-44E3-9099-C40C66FF867C}">
                  <a14:compatExt spid="_x0000_s237629"/>
                </a:ext>
                <a:ext uri="{FF2B5EF4-FFF2-40B4-BE49-F238E27FC236}">
                  <a16:creationId xmlns:a16="http://schemas.microsoft.com/office/drawing/2014/main" id="{00000000-0008-0000-0700-00003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71</xdr:row>
          <xdr:rowOff>133350</xdr:rowOff>
        </xdr:from>
        <xdr:to>
          <xdr:col>8</xdr:col>
          <xdr:colOff>57150</xdr:colOff>
          <xdr:row>73</xdr:row>
          <xdr:rowOff>19050</xdr:rowOff>
        </xdr:to>
        <xdr:sp macro="" textlink="">
          <xdr:nvSpPr>
            <xdr:cNvPr id="237630" name="Check Box 62" hidden="1">
              <a:extLst>
                <a:ext uri="{63B3BB69-23CF-44E3-9099-C40C66FF867C}">
                  <a14:compatExt spid="_x0000_s237630"/>
                </a:ext>
                <a:ext uri="{FF2B5EF4-FFF2-40B4-BE49-F238E27FC236}">
                  <a16:creationId xmlns:a16="http://schemas.microsoft.com/office/drawing/2014/main" id="{00000000-0008-0000-0700-00003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72</xdr:row>
          <xdr:rowOff>133350</xdr:rowOff>
        </xdr:from>
        <xdr:to>
          <xdr:col>8</xdr:col>
          <xdr:colOff>57150</xdr:colOff>
          <xdr:row>74</xdr:row>
          <xdr:rowOff>19050</xdr:rowOff>
        </xdr:to>
        <xdr:sp macro="" textlink="">
          <xdr:nvSpPr>
            <xdr:cNvPr id="237631" name="Check Box 63" hidden="1">
              <a:extLst>
                <a:ext uri="{63B3BB69-23CF-44E3-9099-C40C66FF867C}">
                  <a14:compatExt spid="_x0000_s237631"/>
                </a:ext>
                <a:ext uri="{FF2B5EF4-FFF2-40B4-BE49-F238E27FC236}">
                  <a16:creationId xmlns:a16="http://schemas.microsoft.com/office/drawing/2014/main" id="{00000000-0008-0000-0700-00003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73</xdr:row>
          <xdr:rowOff>133350</xdr:rowOff>
        </xdr:from>
        <xdr:to>
          <xdr:col>8</xdr:col>
          <xdr:colOff>57150</xdr:colOff>
          <xdr:row>75</xdr:row>
          <xdr:rowOff>19050</xdr:rowOff>
        </xdr:to>
        <xdr:sp macro="" textlink="">
          <xdr:nvSpPr>
            <xdr:cNvPr id="237632" name="Check Box 64" hidden="1">
              <a:extLst>
                <a:ext uri="{63B3BB69-23CF-44E3-9099-C40C66FF867C}">
                  <a14:compatExt spid="_x0000_s237632"/>
                </a:ext>
                <a:ext uri="{FF2B5EF4-FFF2-40B4-BE49-F238E27FC236}">
                  <a16:creationId xmlns:a16="http://schemas.microsoft.com/office/drawing/2014/main" id="{00000000-0008-0000-0700-00004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74</xdr:row>
          <xdr:rowOff>133350</xdr:rowOff>
        </xdr:from>
        <xdr:to>
          <xdr:col>8</xdr:col>
          <xdr:colOff>57150</xdr:colOff>
          <xdr:row>76</xdr:row>
          <xdr:rowOff>19050</xdr:rowOff>
        </xdr:to>
        <xdr:sp macro="" textlink="">
          <xdr:nvSpPr>
            <xdr:cNvPr id="237633" name="Check Box 65" hidden="1">
              <a:extLst>
                <a:ext uri="{63B3BB69-23CF-44E3-9099-C40C66FF867C}">
                  <a14:compatExt spid="_x0000_s237633"/>
                </a:ext>
                <a:ext uri="{FF2B5EF4-FFF2-40B4-BE49-F238E27FC236}">
                  <a16:creationId xmlns:a16="http://schemas.microsoft.com/office/drawing/2014/main" id="{00000000-0008-0000-0700-00004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80</xdr:row>
          <xdr:rowOff>133350</xdr:rowOff>
        </xdr:from>
        <xdr:to>
          <xdr:col>8</xdr:col>
          <xdr:colOff>57150</xdr:colOff>
          <xdr:row>82</xdr:row>
          <xdr:rowOff>19050</xdr:rowOff>
        </xdr:to>
        <xdr:sp macro="" textlink="">
          <xdr:nvSpPr>
            <xdr:cNvPr id="237634" name="Check Box 66" hidden="1">
              <a:extLst>
                <a:ext uri="{63B3BB69-23CF-44E3-9099-C40C66FF867C}">
                  <a14:compatExt spid="_x0000_s237634"/>
                </a:ext>
                <a:ext uri="{FF2B5EF4-FFF2-40B4-BE49-F238E27FC236}">
                  <a16:creationId xmlns:a16="http://schemas.microsoft.com/office/drawing/2014/main" id="{00000000-0008-0000-0700-00004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81</xdr:row>
          <xdr:rowOff>133350</xdr:rowOff>
        </xdr:from>
        <xdr:to>
          <xdr:col>8</xdr:col>
          <xdr:colOff>57150</xdr:colOff>
          <xdr:row>83</xdr:row>
          <xdr:rowOff>19050</xdr:rowOff>
        </xdr:to>
        <xdr:sp macro="" textlink="">
          <xdr:nvSpPr>
            <xdr:cNvPr id="237635" name="Check Box 67" hidden="1">
              <a:extLst>
                <a:ext uri="{63B3BB69-23CF-44E3-9099-C40C66FF867C}">
                  <a14:compatExt spid="_x0000_s237635"/>
                </a:ext>
                <a:ext uri="{FF2B5EF4-FFF2-40B4-BE49-F238E27FC236}">
                  <a16:creationId xmlns:a16="http://schemas.microsoft.com/office/drawing/2014/main" id="{00000000-0008-0000-0700-00004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83</xdr:row>
          <xdr:rowOff>133350</xdr:rowOff>
        </xdr:from>
        <xdr:to>
          <xdr:col>8</xdr:col>
          <xdr:colOff>57150</xdr:colOff>
          <xdr:row>85</xdr:row>
          <xdr:rowOff>19050</xdr:rowOff>
        </xdr:to>
        <xdr:sp macro="" textlink="">
          <xdr:nvSpPr>
            <xdr:cNvPr id="237636" name="Check Box 68" hidden="1">
              <a:extLst>
                <a:ext uri="{63B3BB69-23CF-44E3-9099-C40C66FF867C}">
                  <a14:compatExt spid="_x0000_s237636"/>
                </a:ext>
                <a:ext uri="{FF2B5EF4-FFF2-40B4-BE49-F238E27FC236}">
                  <a16:creationId xmlns:a16="http://schemas.microsoft.com/office/drawing/2014/main" id="{00000000-0008-0000-0700-00004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84</xdr:row>
          <xdr:rowOff>133350</xdr:rowOff>
        </xdr:from>
        <xdr:to>
          <xdr:col>8</xdr:col>
          <xdr:colOff>57150</xdr:colOff>
          <xdr:row>86</xdr:row>
          <xdr:rowOff>19050</xdr:rowOff>
        </xdr:to>
        <xdr:sp macro="" textlink="">
          <xdr:nvSpPr>
            <xdr:cNvPr id="237637" name="Check Box 69" hidden="1">
              <a:extLst>
                <a:ext uri="{63B3BB69-23CF-44E3-9099-C40C66FF867C}">
                  <a14:compatExt spid="_x0000_s237637"/>
                </a:ext>
                <a:ext uri="{FF2B5EF4-FFF2-40B4-BE49-F238E27FC236}">
                  <a16:creationId xmlns:a16="http://schemas.microsoft.com/office/drawing/2014/main" id="{00000000-0008-0000-0700-00004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85</xdr:row>
          <xdr:rowOff>133350</xdr:rowOff>
        </xdr:from>
        <xdr:to>
          <xdr:col>8</xdr:col>
          <xdr:colOff>57150</xdr:colOff>
          <xdr:row>87</xdr:row>
          <xdr:rowOff>19050</xdr:rowOff>
        </xdr:to>
        <xdr:sp macro="" textlink="">
          <xdr:nvSpPr>
            <xdr:cNvPr id="237638" name="Check Box 70" hidden="1">
              <a:extLst>
                <a:ext uri="{63B3BB69-23CF-44E3-9099-C40C66FF867C}">
                  <a14:compatExt spid="_x0000_s237638"/>
                </a:ext>
                <a:ext uri="{FF2B5EF4-FFF2-40B4-BE49-F238E27FC236}">
                  <a16:creationId xmlns:a16="http://schemas.microsoft.com/office/drawing/2014/main" id="{00000000-0008-0000-0700-00004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86</xdr:row>
          <xdr:rowOff>133350</xdr:rowOff>
        </xdr:from>
        <xdr:to>
          <xdr:col>8</xdr:col>
          <xdr:colOff>57150</xdr:colOff>
          <xdr:row>88</xdr:row>
          <xdr:rowOff>19050</xdr:rowOff>
        </xdr:to>
        <xdr:sp macro="" textlink="">
          <xdr:nvSpPr>
            <xdr:cNvPr id="237639" name="Check Box 71" hidden="1">
              <a:extLst>
                <a:ext uri="{63B3BB69-23CF-44E3-9099-C40C66FF867C}">
                  <a14:compatExt spid="_x0000_s237639"/>
                </a:ext>
                <a:ext uri="{FF2B5EF4-FFF2-40B4-BE49-F238E27FC236}">
                  <a16:creationId xmlns:a16="http://schemas.microsoft.com/office/drawing/2014/main" id="{00000000-0008-0000-0700-00004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87</xdr:row>
          <xdr:rowOff>133350</xdr:rowOff>
        </xdr:from>
        <xdr:to>
          <xdr:col>8</xdr:col>
          <xdr:colOff>57150</xdr:colOff>
          <xdr:row>89</xdr:row>
          <xdr:rowOff>19050</xdr:rowOff>
        </xdr:to>
        <xdr:sp macro="" textlink="">
          <xdr:nvSpPr>
            <xdr:cNvPr id="237640" name="Check Box 72" hidden="1">
              <a:extLst>
                <a:ext uri="{63B3BB69-23CF-44E3-9099-C40C66FF867C}">
                  <a14:compatExt spid="_x0000_s237640"/>
                </a:ext>
                <a:ext uri="{FF2B5EF4-FFF2-40B4-BE49-F238E27FC236}">
                  <a16:creationId xmlns:a16="http://schemas.microsoft.com/office/drawing/2014/main" id="{00000000-0008-0000-0700-00004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88</xdr:row>
          <xdr:rowOff>133350</xdr:rowOff>
        </xdr:from>
        <xdr:to>
          <xdr:col>8</xdr:col>
          <xdr:colOff>57150</xdr:colOff>
          <xdr:row>90</xdr:row>
          <xdr:rowOff>19050</xdr:rowOff>
        </xdr:to>
        <xdr:sp macro="" textlink="">
          <xdr:nvSpPr>
            <xdr:cNvPr id="237641" name="Check Box 73" hidden="1">
              <a:extLst>
                <a:ext uri="{63B3BB69-23CF-44E3-9099-C40C66FF867C}">
                  <a14:compatExt spid="_x0000_s237641"/>
                </a:ext>
                <a:ext uri="{FF2B5EF4-FFF2-40B4-BE49-F238E27FC236}">
                  <a16:creationId xmlns:a16="http://schemas.microsoft.com/office/drawing/2014/main" id="{00000000-0008-0000-0700-00004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89</xdr:row>
          <xdr:rowOff>133350</xdr:rowOff>
        </xdr:from>
        <xdr:to>
          <xdr:col>8</xdr:col>
          <xdr:colOff>57150</xdr:colOff>
          <xdr:row>91</xdr:row>
          <xdr:rowOff>19050</xdr:rowOff>
        </xdr:to>
        <xdr:sp macro="" textlink="">
          <xdr:nvSpPr>
            <xdr:cNvPr id="237642" name="Check Box 74" hidden="1">
              <a:extLst>
                <a:ext uri="{63B3BB69-23CF-44E3-9099-C40C66FF867C}">
                  <a14:compatExt spid="_x0000_s237642"/>
                </a:ext>
                <a:ext uri="{FF2B5EF4-FFF2-40B4-BE49-F238E27FC236}">
                  <a16:creationId xmlns:a16="http://schemas.microsoft.com/office/drawing/2014/main" id="{00000000-0008-0000-0700-00004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90</xdr:row>
          <xdr:rowOff>133350</xdr:rowOff>
        </xdr:from>
        <xdr:to>
          <xdr:col>8</xdr:col>
          <xdr:colOff>57150</xdr:colOff>
          <xdr:row>92</xdr:row>
          <xdr:rowOff>19050</xdr:rowOff>
        </xdr:to>
        <xdr:sp macro="" textlink="">
          <xdr:nvSpPr>
            <xdr:cNvPr id="237643" name="Check Box 75" hidden="1">
              <a:extLst>
                <a:ext uri="{63B3BB69-23CF-44E3-9099-C40C66FF867C}">
                  <a14:compatExt spid="_x0000_s237643"/>
                </a:ext>
                <a:ext uri="{FF2B5EF4-FFF2-40B4-BE49-F238E27FC236}">
                  <a16:creationId xmlns:a16="http://schemas.microsoft.com/office/drawing/2014/main" id="{00000000-0008-0000-0700-00004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91</xdr:row>
          <xdr:rowOff>133350</xdr:rowOff>
        </xdr:from>
        <xdr:to>
          <xdr:col>8</xdr:col>
          <xdr:colOff>57150</xdr:colOff>
          <xdr:row>93</xdr:row>
          <xdr:rowOff>19050</xdr:rowOff>
        </xdr:to>
        <xdr:sp macro="" textlink="">
          <xdr:nvSpPr>
            <xdr:cNvPr id="237644" name="Check Box 76" hidden="1">
              <a:extLst>
                <a:ext uri="{63B3BB69-23CF-44E3-9099-C40C66FF867C}">
                  <a14:compatExt spid="_x0000_s237644"/>
                </a:ext>
                <a:ext uri="{FF2B5EF4-FFF2-40B4-BE49-F238E27FC236}">
                  <a16:creationId xmlns:a16="http://schemas.microsoft.com/office/drawing/2014/main" id="{00000000-0008-0000-0700-00004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93</xdr:row>
          <xdr:rowOff>133350</xdr:rowOff>
        </xdr:from>
        <xdr:to>
          <xdr:col>8</xdr:col>
          <xdr:colOff>57150</xdr:colOff>
          <xdr:row>95</xdr:row>
          <xdr:rowOff>19050</xdr:rowOff>
        </xdr:to>
        <xdr:sp macro="" textlink="">
          <xdr:nvSpPr>
            <xdr:cNvPr id="237645" name="Check Box 77" hidden="1">
              <a:extLst>
                <a:ext uri="{63B3BB69-23CF-44E3-9099-C40C66FF867C}">
                  <a14:compatExt spid="_x0000_s237645"/>
                </a:ext>
                <a:ext uri="{FF2B5EF4-FFF2-40B4-BE49-F238E27FC236}">
                  <a16:creationId xmlns:a16="http://schemas.microsoft.com/office/drawing/2014/main" id="{00000000-0008-0000-0700-00004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40</xdr:row>
          <xdr:rowOff>133350</xdr:rowOff>
        </xdr:from>
        <xdr:to>
          <xdr:col>8</xdr:col>
          <xdr:colOff>57150</xdr:colOff>
          <xdr:row>42</xdr:row>
          <xdr:rowOff>19050</xdr:rowOff>
        </xdr:to>
        <xdr:sp macro="" textlink="">
          <xdr:nvSpPr>
            <xdr:cNvPr id="237648" name="Check Box 80" hidden="1">
              <a:extLst>
                <a:ext uri="{63B3BB69-23CF-44E3-9099-C40C66FF867C}">
                  <a14:compatExt spid="_x0000_s237648"/>
                </a:ext>
                <a:ext uri="{FF2B5EF4-FFF2-40B4-BE49-F238E27FC236}">
                  <a16:creationId xmlns:a16="http://schemas.microsoft.com/office/drawing/2014/main" id="{00000000-0008-0000-0700-00005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50</xdr:row>
          <xdr:rowOff>133350</xdr:rowOff>
        </xdr:from>
        <xdr:to>
          <xdr:col>8</xdr:col>
          <xdr:colOff>47625</xdr:colOff>
          <xdr:row>52</xdr:row>
          <xdr:rowOff>19050</xdr:rowOff>
        </xdr:to>
        <xdr:sp macro="" textlink="">
          <xdr:nvSpPr>
            <xdr:cNvPr id="237649" name="Check Box 81" hidden="1">
              <a:extLst>
                <a:ext uri="{63B3BB69-23CF-44E3-9099-C40C66FF867C}">
                  <a14:compatExt spid="_x0000_s237649"/>
                </a:ext>
                <a:ext uri="{FF2B5EF4-FFF2-40B4-BE49-F238E27FC236}">
                  <a16:creationId xmlns:a16="http://schemas.microsoft.com/office/drawing/2014/main" id="{00000000-0008-0000-0700-00005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52</xdr:row>
          <xdr:rowOff>133350</xdr:rowOff>
        </xdr:from>
        <xdr:to>
          <xdr:col>8</xdr:col>
          <xdr:colOff>47625</xdr:colOff>
          <xdr:row>54</xdr:row>
          <xdr:rowOff>19050</xdr:rowOff>
        </xdr:to>
        <xdr:sp macro="" textlink="">
          <xdr:nvSpPr>
            <xdr:cNvPr id="237650" name="Check Box 82" hidden="1">
              <a:extLst>
                <a:ext uri="{63B3BB69-23CF-44E3-9099-C40C66FF867C}">
                  <a14:compatExt spid="_x0000_s237650"/>
                </a:ext>
                <a:ext uri="{FF2B5EF4-FFF2-40B4-BE49-F238E27FC236}">
                  <a16:creationId xmlns:a16="http://schemas.microsoft.com/office/drawing/2014/main" id="{00000000-0008-0000-0700-00005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0</xdr:rowOff>
        </xdr:from>
        <xdr:to>
          <xdr:col>7</xdr:col>
          <xdr:colOff>285750</xdr:colOff>
          <xdr:row>101</xdr:row>
          <xdr:rowOff>19050</xdr:rowOff>
        </xdr:to>
        <xdr:sp macro="" textlink="">
          <xdr:nvSpPr>
            <xdr:cNvPr id="237654" name="Check Box 86" hidden="1">
              <a:extLst>
                <a:ext uri="{63B3BB69-23CF-44E3-9099-C40C66FF867C}">
                  <a14:compatExt spid="_x0000_s237654"/>
                </a:ext>
                <a:ext uri="{FF2B5EF4-FFF2-40B4-BE49-F238E27FC236}">
                  <a16:creationId xmlns:a16="http://schemas.microsoft.com/office/drawing/2014/main" id="{00000000-0008-0000-0700-00005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171450</xdr:rowOff>
        </xdr:from>
        <xdr:to>
          <xdr:col>7</xdr:col>
          <xdr:colOff>285750</xdr:colOff>
          <xdr:row>102</xdr:row>
          <xdr:rowOff>9525</xdr:rowOff>
        </xdr:to>
        <xdr:sp macro="" textlink="">
          <xdr:nvSpPr>
            <xdr:cNvPr id="237655" name="Check Box 87" hidden="1">
              <a:extLst>
                <a:ext uri="{63B3BB69-23CF-44E3-9099-C40C66FF867C}">
                  <a14:compatExt spid="_x0000_s237655"/>
                </a:ext>
                <a:ext uri="{FF2B5EF4-FFF2-40B4-BE49-F238E27FC236}">
                  <a16:creationId xmlns:a16="http://schemas.microsoft.com/office/drawing/2014/main" id="{00000000-0008-0000-0700-00005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101</xdr:row>
          <xdr:rowOff>171450</xdr:rowOff>
        </xdr:from>
        <xdr:to>
          <xdr:col>7</xdr:col>
          <xdr:colOff>285750</xdr:colOff>
          <xdr:row>103</xdr:row>
          <xdr:rowOff>9525</xdr:rowOff>
        </xdr:to>
        <xdr:sp macro="" textlink="">
          <xdr:nvSpPr>
            <xdr:cNvPr id="237656" name="Check Box 88" hidden="1">
              <a:extLst>
                <a:ext uri="{63B3BB69-23CF-44E3-9099-C40C66FF867C}">
                  <a14:compatExt spid="_x0000_s237656"/>
                </a:ext>
                <a:ext uri="{FF2B5EF4-FFF2-40B4-BE49-F238E27FC236}">
                  <a16:creationId xmlns:a16="http://schemas.microsoft.com/office/drawing/2014/main" id="{00000000-0008-0000-0700-00005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102</xdr:row>
          <xdr:rowOff>171450</xdr:rowOff>
        </xdr:from>
        <xdr:to>
          <xdr:col>7</xdr:col>
          <xdr:colOff>285750</xdr:colOff>
          <xdr:row>104</xdr:row>
          <xdr:rowOff>9525</xdr:rowOff>
        </xdr:to>
        <xdr:sp macro="" textlink="">
          <xdr:nvSpPr>
            <xdr:cNvPr id="237657" name="Check Box 89" hidden="1">
              <a:extLst>
                <a:ext uri="{63B3BB69-23CF-44E3-9099-C40C66FF867C}">
                  <a14:compatExt spid="_x0000_s237657"/>
                </a:ext>
                <a:ext uri="{FF2B5EF4-FFF2-40B4-BE49-F238E27FC236}">
                  <a16:creationId xmlns:a16="http://schemas.microsoft.com/office/drawing/2014/main" id="{00000000-0008-0000-0700-00005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103</xdr:row>
          <xdr:rowOff>171450</xdr:rowOff>
        </xdr:from>
        <xdr:to>
          <xdr:col>7</xdr:col>
          <xdr:colOff>285750</xdr:colOff>
          <xdr:row>105</xdr:row>
          <xdr:rowOff>9525</xdr:rowOff>
        </xdr:to>
        <xdr:sp macro="" textlink="">
          <xdr:nvSpPr>
            <xdr:cNvPr id="237658" name="Check Box 90" hidden="1">
              <a:extLst>
                <a:ext uri="{63B3BB69-23CF-44E3-9099-C40C66FF867C}">
                  <a14:compatExt spid="_x0000_s237658"/>
                </a:ext>
                <a:ext uri="{FF2B5EF4-FFF2-40B4-BE49-F238E27FC236}">
                  <a16:creationId xmlns:a16="http://schemas.microsoft.com/office/drawing/2014/main" id="{00000000-0008-0000-0700-00005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104</xdr:row>
          <xdr:rowOff>171450</xdr:rowOff>
        </xdr:from>
        <xdr:to>
          <xdr:col>7</xdr:col>
          <xdr:colOff>285750</xdr:colOff>
          <xdr:row>106</xdr:row>
          <xdr:rowOff>9525</xdr:rowOff>
        </xdr:to>
        <xdr:sp macro="" textlink="">
          <xdr:nvSpPr>
            <xdr:cNvPr id="237659" name="Check Box 91" hidden="1">
              <a:extLst>
                <a:ext uri="{63B3BB69-23CF-44E3-9099-C40C66FF867C}">
                  <a14:compatExt spid="_x0000_s237659"/>
                </a:ext>
                <a:ext uri="{FF2B5EF4-FFF2-40B4-BE49-F238E27FC236}">
                  <a16:creationId xmlns:a16="http://schemas.microsoft.com/office/drawing/2014/main" id="{00000000-0008-0000-0700-00005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105</xdr:row>
          <xdr:rowOff>171450</xdr:rowOff>
        </xdr:from>
        <xdr:to>
          <xdr:col>7</xdr:col>
          <xdr:colOff>285750</xdr:colOff>
          <xdr:row>107</xdr:row>
          <xdr:rowOff>9525</xdr:rowOff>
        </xdr:to>
        <xdr:sp macro="" textlink="">
          <xdr:nvSpPr>
            <xdr:cNvPr id="237660" name="Check Box 92" hidden="1">
              <a:extLst>
                <a:ext uri="{63B3BB69-23CF-44E3-9099-C40C66FF867C}">
                  <a14:compatExt spid="_x0000_s237660"/>
                </a:ext>
                <a:ext uri="{FF2B5EF4-FFF2-40B4-BE49-F238E27FC236}">
                  <a16:creationId xmlns:a16="http://schemas.microsoft.com/office/drawing/2014/main" id="{00000000-0008-0000-0700-00005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106</xdr:row>
          <xdr:rowOff>171450</xdr:rowOff>
        </xdr:from>
        <xdr:to>
          <xdr:col>7</xdr:col>
          <xdr:colOff>285750</xdr:colOff>
          <xdr:row>108</xdr:row>
          <xdr:rowOff>9525</xdr:rowOff>
        </xdr:to>
        <xdr:sp macro="" textlink="">
          <xdr:nvSpPr>
            <xdr:cNvPr id="237661" name="Check Box 93" hidden="1">
              <a:extLst>
                <a:ext uri="{63B3BB69-23CF-44E3-9099-C40C66FF867C}">
                  <a14:compatExt spid="_x0000_s237661"/>
                </a:ext>
                <a:ext uri="{FF2B5EF4-FFF2-40B4-BE49-F238E27FC236}">
                  <a16:creationId xmlns:a16="http://schemas.microsoft.com/office/drawing/2014/main" id="{00000000-0008-0000-0700-00005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107</xdr:row>
          <xdr:rowOff>171450</xdr:rowOff>
        </xdr:from>
        <xdr:to>
          <xdr:col>7</xdr:col>
          <xdr:colOff>285750</xdr:colOff>
          <xdr:row>109</xdr:row>
          <xdr:rowOff>9525</xdr:rowOff>
        </xdr:to>
        <xdr:sp macro="" textlink="">
          <xdr:nvSpPr>
            <xdr:cNvPr id="237662" name="Check Box 94" hidden="1">
              <a:extLst>
                <a:ext uri="{63B3BB69-23CF-44E3-9099-C40C66FF867C}">
                  <a14:compatExt spid="_x0000_s237662"/>
                </a:ext>
                <a:ext uri="{FF2B5EF4-FFF2-40B4-BE49-F238E27FC236}">
                  <a16:creationId xmlns:a16="http://schemas.microsoft.com/office/drawing/2014/main" id="{00000000-0008-0000-0700-00005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108</xdr:row>
          <xdr:rowOff>171450</xdr:rowOff>
        </xdr:from>
        <xdr:to>
          <xdr:col>7</xdr:col>
          <xdr:colOff>285750</xdr:colOff>
          <xdr:row>110</xdr:row>
          <xdr:rowOff>9525</xdr:rowOff>
        </xdr:to>
        <xdr:sp macro="" textlink="">
          <xdr:nvSpPr>
            <xdr:cNvPr id="237663" name="Check Box 95" hidden="1">
              <a:extLst>
                <a:ext uri="{63B3BB69-23CF-44E3-9099-C40C66FF867C}">
                  <a14:compatExt spid="_x0000_s237663"/>
                </a:ext>
                <a:ext uri="{FF2B5EF4-FFF2-40B4-BE49-F238E27FC236}">
                  <a16:creationId xmlns:a16="http://schemas.microsoft.com/office/drawing/2014/main" id="{00000000-0008-0000-0700-00005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109</xdr:row>
          <xdr:rowOff>171450</xdr:rowOff>
        </xdr:from>
        <xdr:to>
          <xdr:col>7</xdr:col>
          <xdr:colOff>285750</xdr:colOff>
          <xdr:row>111</xdr:row>
          <xdr:rowOff>9525</xdr:rowOff>
        </xdr:to>
        <xdr:sp macro="" textlink="">
          <xdr:nvSpPr>
            <xdr:cNvPr id="237664" name="Check Box 96" hidden="1">
              <a:extLst>
                <a:ext uri="{63B3BB69-23CF-44E3-9099-C40C66FF867C}">
                  <a14:compatExt spid="_x0000_s237664"/>
                </a:ext>
                <a:ext uri="{FF2B5EF4-FFF2-40B4-BE49-F238E27FC236}">
                  <a16:creationId xmlns:a16="http://schemas.microsoft.com/office/drawing/2014/main" id="{00000000-0008-0000-0700-00006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110</xdr:row>
          <xdr:rowOff>171450</xdr:rowOff>
        </xdr:from>
        <xdr:to>
          <xdr:col>7</xdr:col>
          <xdr:colOff>285750</xdr:colOff>
          <xdr:row>112</xdr:row>
          <xdr:rowOff>9525</xdr:rowOff>
        </xdr:to>
        <xdr:sp macro="" textlink="">
          <xdr:nvSpPr>
            <xdr:cNvPr id="237665" name="Check Box 97" hidden="1">
              <a:extLst>
                <a:ext uri="{63B3BB69-23CF-44E3-9099-C40C66FF867C}">
                  <a14:compatExt spid="_x0000_s237665"/>
                </a:ext>
                <a:ext uri="{FF2B5EF4-FFF2-40B4-BE49-F238E27FC236}">
                  <a16:creationId xmlns:a16="http://schemas.microsoft.com/office/drawing/2014/main" id="{00000000-0008-0000-0700-00006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111</xdr:row>
          <xdr:rowOff>171450</xdr:rowOff>
        </xdr:from>
        <xdr:to>
          <xdr:col>7</xdr:col>
          <xdr:colOff>285750</xdr:colOff>
          <xdr:row>113</xdr:row>
          <xdr:rowOff>9525</xdr:rowOff>
        </xdr:to>
        <xdr:sp macro="" textlink="">
          <xdr:nvSpPr>
            <xdr:cNvPr id="237666" name="Check Box 98" hidden="1">
              <a:extLst>
                <a:ext uri="{63B3BB69-23CF-44E3-9099-C40C66FF867C}">
                  <a14:compatExt spid="_x0000_s237666"/>
                </a:ext>
                <a:ext uri="{FF2B5EF4-FFF2-40B4-BE49-F238E27FC236}">
                  <a16:creationId xmlns:a16="http://schemas.microsoft.com/office/drawing/2014/main" id="{00000000-0008-0000-0700-00006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112</xdr:row>
          <xdr:rowOff>171450</xdr:rowOff>
        </xdr:from>
        <xdr:to>
          <xdr:col>7</xdr:col>
          <xdr:colOff>285750</xdr:colOff>
          <xdr:row>114</xdr:row>
          <xdr:rowOff>9525</xdr:rowOff>
        </xdr:to>
        <xdr:sp macro="" textlink="">
          <xdr:nvSpPr>
            <xdr:cNvPr id="237667" name="Check Box 99" hidden="1">
              <a:extLst>
                <a:ext uri="{63B3BB69-23CF-44E3-9099-C40C66FF867C}">
                  <a14:compatExt spid="_x0000_s237667"/>
                </a:ext>
                <a:ext uri="{FF2B5EF4-FFF2-40B4-BE49-F238E27FC236}">
                  <a16:creationId xmlns:a16="http://schemas.microsoft.com/office/drawing/2014/main" id="{00000000-0008-0000-0700-00006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113</xdr:row>
          <xdr:rowOff>171450</xdr:rowOff>
        </xdr:from>
        <xdr:to>
          <xdr:col>7</xdr:col>
          <xdr:colOff>285750</xdr:colOff>
          <xdr:row>115</xdr:row>
          <xdr:rowOff>9525</xdr:rowOff>
        </xdr:to>
        <xdr:sp macro="" textlink="">
          <xdr:nvSpPr>
            <xdr:cNvPr id="237668" name="Check Box 100" hidden="1">
              <a:extLst>
                <a:ext uri="{63B3BB69-23CF-44E3-9099-C40C66FF867C}">
                  <a14:compatExt spid="_x0000_s237668"/>
                </a:ext>
                <a:ext uri="{FF2B5EF4-FFF2-40B4-BE49-F238E27FC236}">
                  <a16:creationId xmlns:a16="http://schemas.microsoft.com/office/drawing/2014/main" id="{00000000-0008-0000-0700-00006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114</xdr:row>
          <xdr:rowOff>171450</xdr:rowOff>
        </xdr:from>
        <xdr:to>
          <xdr:col>7</xdr:col>
          <xdr:colOff>285750</xdr:colOff>
          <xdr:row>116</xdr:row>
          <xdr:rowOff>9525</xdr:rowOff>
        </xdr:to>
        <xdr:sp macro="" textlink="">
          <xdr:nvSpPr>
            <xdr:cNvPr id="237669" name="Check Box 101" hidden="1">
              <a:extLst>
                <a:ext uri="{63B3BB69-23CF-44E3-9099-C40C66FF867C}">
                  <a14:compatExt spid="_x0000_s237669"/>
                </a:ext>
                <a:ext uri="{FF2B5EF4-FFF2-40B4-BE49-F238E27FC236}">
                  <a16:creationId xmlns:a16="http://schemas.microsoft.com/office/drawing/2014/main" id="{00000000-0008-0000-0700-00006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66675</xdr:colOff>
      <xdr:row>76</xdr:row>
      <xdr:rowOff>142875</xdr:rowOff>
    </xdr:from>
    <xdr:to>
      <xdr:col>5</xdr:col>
      <xdr:colOff>304800</xdr:colOff>
      <xdr:row>112</xdr:row>
      <xdr:rowOff>28575</xdr:rowOff>
    </xdr:to>
    <xdr:graphicFrame macro="">
      <xdr:nvGraphicFramePr>
        <xdr:cNvPr id="1333" name="Chart 10">
          <a:extLst>
            <a:ext uri="{FF2B5EF4-FFF2-40B4-BE49-F238E27FC236}">
              <a16:creationId xmlns:a16="http://schemas.microsoft.com/office/drawing/2014/main" id="{00000000-0008-0000-0800-000035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351" name="Chart 1">
          <a:extLst>
            <a:ext uri="{FF2B5EF4-FFF2-40B4-BE49-F238E27FC236}">
              <a16:creationId xmlns:a16="http://schemas.microsoft.com/office/drawing/2014/main" id="{00000000-0008-0000-0900-00002F0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900-000002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161925</xdr:colOff>
          <xdr:row>95</xdr:row>
          <xdr:rowOff>57150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900-000003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5</xdr:col>
      <xdr:colOff>333375</xdr:colOff>
      <xdr:row>0</xdr:row>
      <xdr:rowOff>123825</xdr:rowOff>
    </xdr:from>
    <xdr:to>
      <xdr:col>8</xdr:col>
      <xdr:colOff>552450</xdr:colOff>
      <xdr:row>2</xdr:row>
      <xdr:rowOff>114300</xdr:rowOff>
    </xdr:to>
    <xdr:pic>
      <xdr:nvPicPr>
        <xdr:cNvPr id="55795" name="Picture 6" descr="STAUFF-LOGO2">
          <a:extLst>
            <a:ext uri="{FF2B5EF4-FFF2-40B4-BE49-F238E27FC236}">
              <a16:creationId xmlns:a16="http://schemas.microsoft.com/office/drawing/2014/main" id="{00000000-0008-0000-0B00-0000F3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86075" y="123825"/>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25</xdr:row>
      <xdr:rowOff>0</xdr:rowOff>
    </xdr:from>
    <xdr:to>
      <xdr:col>7</xdr:col>
      <xdr:colOff>657225</xdr:colOff>
      <xdr:row>28</xdr:row>
      <xdr:rowOff>0</xdr:rowOff>
    </xdr:to>
    <xdr:pic>
      <xdr:nvPicPr>
        <xdr:cNvPr id="55796" name="Picture 7" descr="Stauff Sig">
          <a:extLst>
            <a:ext uri="{FF2B5EF4-FFF2-40B4-BE49-F238E27FC236}">
              <a16:creationId xmlns:a16="http://schemas.microsoft.com/office/drawing/2014/main" id="{00000000-0008-0000-0B00-0000F4D9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76600" y="5638800"/>
          <a:ext cx="13144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xdr:colOff>
      <xdr:row>67</xdr:row>
      <xdr:rowOff>104775</xdr:rowOff>
    </xdr:from>
    <xdr:to>
      <xdr:col>6</xdr:col>
      <xdr:colOff>514350</xdr:colOff>
      <xdr:row>71</xdr:row>
      <xdr:rowOff>9525</xdr:rowOff>
    </xdr:to>
    <xdr:pic>
      <xdr:nvPicPr>
        <xdr:cNvPr id="55797" name="Picture 7" descr="Stauff Sig">
          <a:extLst>
            <a:ext uri="{FF2B5EF4-FFF2-40B4-BE49-F238E27FC236}">
              <a16:creationId xmlns:a16="http://schemas.microsoft.com/office/drawing/2014/main" id="{00000000-0008-0000-0B00-0000F5D9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2225" y="13896975"/>
          <a:ext cx="12287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314325</xdr:colOff>
      <xdr:row>30</xdr:row>
      <xdr:rowOff>133350</xdr:rowOff>
    </xdr:from>
    <xdr:to>
      <xdr:col>8</xdr:col>
      <xdr:colOff>533400</xdr:colOff>
      <xdr:row>32</xdr:row>
      <xdr:rowOff>123825</xdr:rowOff>
    </xdr:to>
    <xdr:pic>
      <xdr:nvPicPr>
        <xdr:cNvPr id="55798" name="Picture 6" descr="STAUFF-LOGO2">
          <a:extLst>
            <a:ext uri="{FF2B5EF4-FFF2-40B4-BE49-F238E27FC236}">
              <a16:creationId xmlns:a16="http://schemas.microsoft.com/office/drawing/2014/main" id="{00000000-0008-0000-0B00-0000F6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67025" y="6648450"/>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117761" name="Object 1" hidden="1">
              <a:extLst>
                <a:ext uri="{63B3BB69-23CF-44E3-9099-C40C66FF867C}">
                  <a14:compatExt spid="_x0000_s117761"/>
                </a:ext>
                <a:ext uri="{FF2B5EF4-FFF2-40B4-BE49-F238E27FC236}">
                  <a16:creationId xmlns:a16="http://schemas.microsoft.com/office/drawing/2014/main" id="{00000000-0008-0000-0C00-000001CC01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81</xdr:row>
      <xdr:rowOff>19050</xdr:rowOff>
    </xdr:from>
    <xdr:to>
      <xdr:col>5</xdr:col>
      <xdr:colOff>114300</xdr:colOff>
      <xdr:row>82</xdr:row>
      <xdr:rowOff>0</xdr:rowOff>
    </xdr:to>
    <xdr:pic>
      <xdr:nvPicPr>
        <xdr:cNvPr id="117979" name="Picture 1">
          <a:extLst>
            <a:ext uri="{FF2B5EF4-FFF2-40B4-BE49-F238E27FC236}">
              <a16:creationId xmlns:a16="http://schemas.microsoft.com/office/drawing/2014/main" id="{00000000-0008-0000-0C00-0000DBCC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20840700"/>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190500</xdr:colOff>
      <xdr:row>47</xdr:row>
      <xdr:rowOff>66675</xdr:rowOff>
    </xdr:from>
    <xdr:to>
      <xdr:col>14</xdr:col>
      <xdr:colOff>1162050</xdr:colOff>
      <xdr:row>74</xdr:row>
      <xdr:rowOff>38100</xdr:rowOff>
    </xdr:to>
    <xdr:graphicFrame macro="">
      <xdr:nvGraphicFramePr>
        <xdr:cNvPr id="117980" name="Chart 1">
          <a:extLst>
            <a:ext uri="{FF2B5EF4-FFF2-40B4-BE49-F238E27FC236}">
              <a16:creationId xmlns:a16="http://schemas.microsoft.com/office/drawing/2014/main" id="{00000000-0008-0000-0C00-0000DCC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119100" name="Picture 1">
          <a:extLst>
            <a:ext uri="{FF2B5EF4-FFF2-40B4-BE49-F238E27FC236}">
              <a16:creationId xmlns:a16="http://schemas.microsoft.com/office/drawing/2014/main" id="{00000000-0008-0000-0D00-00003CD1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1114425</xdr:colOff>
      <xdr:row>1</xdr:row>
      <xdr:rowOff>114300</xdr:rowOff>
    </xdr:from>
    <xdr:to>
      <xdr:col>15</xdr:col>
      <xdr:colOff>238125</xdr:colOff>
      <xdr:row>7</xdr:row>
      <xdr:rowOff>161925</xdr:rowOff>
    </xdr:to>
    <xdr:pic>
      <xdr:nvPicPr>
        <xdr:cNvPr id="119101" name="Picture 3" descr="Y:\CMP Documentation\ICM\ICM Production\solge logo.gif">
          <a:extLst>
            <a:ext uri="{FF2B5EF4-FFF2-40B4-BE49-F238E27FC236}">
              <a16:creationId xmlns:a16="http://schemas.microsoft.com/office/drawing/2014/main" id="{00000000-0008-0000-0D00-00003DD1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25275" y="276225"/>
          <a:ext cx="32861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66675</xdr:colOff>
      <xdr:row>42</xdr:row>
      <xdr:rowOff>19050</xdr:rowOff>
    </xdr:from>
    <xdr:to>
      <xdr:col>14</xdr:col>
      <xdr:colOff>1247775</xdr:colOff>
      <xdr:row>67</xdr:row>
      <xdr:rowOff>57150</xdr:rowOff>
    </xdr:to>
    <xdr:graphicFrame macro="">
      <xdr:nvGraphicFramePr>
        <xdr:cNvPr id="119102" name="Chart 1">
          <a:extLst>
            <a:ext uri="{FF2B5EF4-FFF2-40B4-BE49-F238E27FC236}">
              <a16:creationId xmlns:a16="http://schemas.microsoft.com/office/drawing/2014/main" id="{00000000-0008-0000-0D00-00003ED1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22</xdr:col>
      <xdr:colOff>0</xdr:colOff>
      <xdr:row>10</xdr:row>
      <xdr:rowOff>0</xdr:rowOff>
    </xdr:from>
    <xdr:to>
      <xdr:col>26</xdr:col>
      <xdr:colOff>0</xdr:colOff>
      <xdr:row>17</xdr:row>
      <xdr:rowOff>66675</xdr:rowOff>
    </xdr:to>
    <xdr:pic>
      <xdr:nvPicPr>
        <xdr:cNvPr id="136602" name="Graphics 1">
          <a:extLst>
            <a:ext uri="{FF2B5EF4-FFF2-40B4-BE49-F238E27FC236}">
              <a16:creationId xmlns:a16="http://schemas.microsoft.com/office/drawing/2014/main" id="{00000000-0008-0000-0E00-00009A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73325" y="2095500"/>
          <a:ext cx="0" cy="3009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971550</xdr:colOff>
      <xdr:row>75</xdr:row>
      <xdr:rowOff>19050</xdr:rowOff>
    </xdr:from>
    <xdr:to>
      <xdr:col>5</xdr:col>
      <xdr:colOff>114300</xdr:colOff>
      <xdr:row>76</xdr:row>
      <xdr:rowOff>0</xdr:rowOff>
    </xdr:to>
    <xdr:pic>
      <xdr:nvPicPr>
        <xdr:cNvPr id="136603" name="Picture 1">
          <a:extLst>
            <a:ext uri="{FF2B5EF4-FFF2-40B4-BE49-F238E27FC236}">
              <a16:creationId xmlns:a16="http://schemas.microsoft.com/office/drawing/2014/main" id="{00000000-0008-0000-0E00-00009B1502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314325</xdr:colOff>
      <xdr:row>1</xdr:row>
      <xdr:rowOff>38100</xdr:rowOff>
    </xdr:from>
    <xdr:to>
      <xdr:col>9</xdr:col>
      <xdr:colOff>1543050</xdr:colOff>
      <xdr:row>9</xdr:row>
      <xdr:rowOff>0</xdr:rowOff>
    </xdr:to>
    <xdr:pic>
      <xdr:nvPicPr>
        <xdr:cNvPr id="136604" name="Graphics 1">
          <a:extLst>
            <a:ext uri="{FF2B5EF4-FFF2-40B4-BE49-F238E27FC236}">
              <a16:creationId xmlns:a16="http://schemas.microsoft.com/office/drawing/2014/main" id="{00000000-0008-0000-0E00-00009C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81775" y="200025"/>
          <a:ext cx="2609850" cy="1419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0</xdr:colOff>
      <xdr:row>44</xdr:row>
      <xdr:rowOff>0</xdr:rowOff>
    </xdr:from>
    <xdr:to>
      <xdr:col>14</xdr:col>
      <xdr:colOff>1247775</xdr:colOff>
      <xdr:row>69</xdr:row>
      <xdr:rowOff>28575</xdr:rowOff>
    </xdr:to>
    <xdr:graphicFrame macro="">
      <xdr:nvGraphicFramePr>
        <xdr:cNvPr id="136605" name="Chart 1">
          <a:extLst>
            <a:ext uri="{FF2B5EF4-FFF2-40B4-BE49-F238E27FC236}">
              <a16:creationId xmlns:a16="http://schemas.microsoft.com/office/drawing/2014/main" id="{00000000-0008-0000-0E00-00009D15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199681" name="Object 1" hidden="1">
              <a:extLst>
                <a:ext uri="{63B3BB69-23CF-44E3-9099-C40C66FF867C}">
                  <a14:compatExt spid="_x0000_s199681"/>
                </a:ext>
                <a:ext uri="{FF2B5EF4-FFF2-40B4-BE49-F238E27FC236}">
                  <a16:creationId xmlns:a16="http://schemas.microsoft.com/office/drawing/2014/main" id="{00000000-0008-0000-0F00-0000010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199868" name="Picture 1">
          <a:extLst>
            <a:ext uri="{FF2B5EF4-FFF2-40B4-BE49-F238E27FC236}">
              <a16:creationId xmlns:a16="http://schemas.microsoft.com/office/drawing/2014/main" id="{00000000-0008-0000-0F00-0000BC0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11</xdr:col>
          <xdr:colOff>257175</xdr:colOff>
          <xdr:row>76</xdr:row>
          <xdr:rowOff>266700</xdr:rowOff>
        </xdr:from>
        <xdr:to>
          <xdr:col>11</xdr:col>
          <xdr:colOff>876300</xdr:colOff>
          <xdr:row>78</xdr:row>
          <xdr:rowOff>161925</xdr:rowOff>
        </xdr:to>
        <xdr:sp macro="" textlink="">
          <xdr:nvSpPr>
            <xdr:cNvPr id="199682" name="Object 2" hidden="1">
              <a:extLst>
                <a:ext uri="{63B3BB69-23CF-44E3-9099-C40C66FF867C}">
                  <a14:compatExt spid="_x0000_s199682"/>
                </a:ext>
                <a:ext uri="{FF2B5EF4-FFF2-40B4-BE49-F238E27FC236}">
                  <a16:creationId xmlns:a16="http://schemas.microsoft.com/office/drawing/2014/main" id="{00000000-0008-0000-0F00-0000020C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43</xdr:row>
      <xdr:rowOff>0</xdr:rowOff>
    </xdr:from>
    <xdr:to>
      <xdr:col>14</xdr:col>
      <xdr:colOff>1247775</xdr:colOff>
      <xdr:row>68</xdr:row>
      <xdr:rowOff>38100</xdr:rowOff>
    </xdr:to>
    <xdr:graphicFrame macro="">
      <xdr:nvGraphicFramePr>
        <xdr:cNvPr id="199869" name="Chart 1">
          <a:extLst>
            <a:ext uri="{FF2B5EF4-FFF2-40B4-BE49-F238E27FC236}">
              <a16:creationId xmlns:a16="http://schemas.microsoft.com/office/drawing/2014/main" id="{00000000-0008-0000-0F00-0000BD0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215222" name="Picture 1">
          <a:extLst>
            <a:ext uri="{FF2B5EF4-FFF2-40B4-BE49-F238E27FC236}">
              <a16:creationId xmlns:a16="http://schemas.microsoft.com/office/drawing/2014/main" id="{00000000-0008-0000-1000-0000B648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0404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15223" name="Chart 1">
          <a:extLst>
            <a:ext uri="{FF2B5EF4-FFF2-40B4-BE49-F238E27FC236}">
              <a16:creationId xmlns:a16="http://schemas.microsoft.com/office/drawing/2014/main" id="{00000000-0008-0000-1000-0000B748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232449" name="Object 1" hidden="1">
              <a:extLst>
                <a:ext uri="{63B3BB69-23CF-44E3-9099-C40C66FF867C}">
                  <a14:compatExt spid="_x0000_s232449"/>
                </a:ext>
                <a:ext uri="{FF2B5EF4-FFF2-40B4-BE49-F238E27FC236}">
                  <a16:creationId xmlns:a16="http://schemas.microsoft.com/office/drawing/2014/main" id="{00000000-0008-0000-1100-0000018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232626" name="Picture 1">
          <a:extLst>
            <a:ext uri="{FF2B5EF4-FFF2-40B4-BE49-F238E27FC236}">
              <a16:creationId xmlns:a16="http://schemas.microsoft.com/office/drawing/2014/main" id="{00000000-0008-0000-1100-0000B28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32627" name="Chart 1">
          <a:extLst>
            <a:ext uri="{FF2B5EF4-FFF2-40B4-BE49-F238E27FC236}">
              <a16:creationId xmlns:a16="http://schemas.microsoft.com/office/drawing/2014/main" id="{00000000-0008-0000-1100-0000B38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166688</xdr:colOff>
          <xdr:row>7</xdr:row>
          <xdr:rowOff>19050</xdr:rowOff>
        </xdr:to>
        <xdr:sp macro="" textlink="">
          <xdr:nvSpPr>
            <xdr:cNvPr id="307201" name="Object 1" hidden="1">
              <a:extLst>
                <a:ext uri="{63B3BB69-23CF-44E3-9099-C40C66FF867C}">
                  <a14:compatExt spid="_x0000_s307201"/>
                </a:ext>
                <a:ext uri="{FF2B5EF4-FFF2-40B4-BE49-F238E27FC236}">
                  <a16:creationId xmlns:a16="http://schemas.microsoft.com/office/drawing/2014/main" id="{00000000-0008-0000-1200-000001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166688</xdr:colOff>
          <xdr:row>95</xdr:row>
          <xdr:rowOff>61913</xdr:rowOff>
        </xdr:to>
        <xdr:sp macro="" textlink="">
          <xdr:nvSpPr>
            <xdr:cNvPr id="307202" name="Object 2" hidden="1">
              <a:extLst>
                <a:ext uri="{63B3BB69-23CF-44E3-9099-C40C66FF867C}">
                  <a14:compatExt spid="_x0000_s307202"/>
                </a:ext>
                <a:ext uri="{FF2B5EF4-FFF2-40B4-BE49-F238E27FC236}">
                  <a16:creationId xmlns:a16="http://schemas.microsoft.com/office/drawing/2014/main" id="{00000000-0008-0000-1200-000002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Andrew Mustoe" id="{11D8095A-B2E6-4A15-8D0E-AE4DCCC68A9A}" userId="Andrew Mustoe" providerId="None"/>
  <person displayName="Ben Brown" id="{20B2C93A-C5FC-4DD8-9AD2-8A7D0B0C11AD}" userId="S::bbrown@mpfiltri.co.uk::0f4df510-ad5e-4849-85d8-78861a676d33" providerId="AD"/>
  <person displayName="Andrew Mustoe" id="{DD7E289E-11DB-4158-B0B1-28F647DF03E7}" userId="S::amustoe@mpfiltri.co.uk::ccad4001-39ed-47b8-bea1-57cc6ff441ba" providerId="AD"/>
  <person displayName="Andrew Mustoe" id="{D7AD2BA4-BEBE-407B-A229-548784DCD6AC}" userId="S::andrew.mustoe@mpfiltri.com::ccad4001-39ed-47b8-bea1-57cc6ff441b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LPA1.lpacal_1" connectionId="3" xr16:uid="{00000000-0016-0000-0300-000002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666.lpacal_2" connectionId="2" xr16:uid="{00000000-0016-0000-0300-000001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666.lpacal_1" connectionId="1" xr16:uid="{00000000-0016-0000-0300-000000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2-05-18T15:46:07.59" personId="{20B2C93A-C5FC-4DD8-9AD2-8A7D0B0C11AD}" id="{BC74D712-4BBA-40F2-B448-A10E7FB1FBD2}">
    <text>Does this need a formula?</text>
  </threadedComment>
  <threadedComment ref="D5" dT="2025-04-24T12:14:43.38" personId="{D7AD2BA4-BEBE-407B-A229-548784DCD6AC}" id="{CDEA4083-A4D2-46A5-9765-17EB66033774}" parentId="{BC74D712-4BBA-40F2-B448-A10E7FB1FBD2}">
    <text>WILL SELF FILL FROM CAL RECORD</text>
  </threadedComment>
  <threadedComment ref="D10" dT="2022-02-16T13:09:11.84" personId="{DD7E289E-11DB-4158-B0B1-28F647DF03E7}" id="{4B24D107-2CB2-44F1-B33D-EFCAC3ED9174}">
    <text>For production: type "NEW BUILD"
For service: type "dd/mm/yy" e.g. 10/02/22</text>
  </threadedComment>
  <threadedComment ref="C11" dT="2022-05-18T15:46:46.47" personId="{20B2C93A-C5FC-4DD8-9AD2-8A7D0B0C11AD}" id="{1A14CD2B-A904-4FEC-A324-52C1F1ADC759}">
    <text>Service "sheet"number?</text>
  </threadedComment>
  <threadedComment ref="D14" dT="2020-07-06T14:03:54.45" personId="{11D8095A-B2E6-4A15-8D0E-AE4DCCC68A9A}" id="{FA1466CB-070C-4260-9B97-BD3ADF909999}">
    <text>MP NCR #</text>
  </threadedComment>
  <threadedComment ref="C36" dT="2022-05-18T09:52:09.42" personId="{20B2C93A-C5FC-4DD8-9AD2-8A7D0B0C11AD}" id="{AE1ABE23-9605-4AB3-8CA3-86E7C49EC511}">
    <text>No calibrated label</text>
  </threadedComment>
  <threadedComment ref="C36" dT="2022-05-18T09:59:24.37" personId="{20B2C93A-C5FC-4DD8-9AD2-8A7D0B0C11AD}" id="{92296090-5114-46D4-9694-CD0C6D39F5E3}" parentId="{AE1ABE23-9605-4AB3-8CA3-86E7C49EC511}">
    <text>Needs checkbox</text>
  </threadedComment>
  <threadedComment ref="C45" dT="2022-05-24T10:19:36.73" personId="{20B2C93A-C5FC-4DD8-9AD2-8A7D0B0C11AD}" id="{6BF3BCEA-D9E2-49E4-989F-20418EE85ED4}">
    <text>Add photos of settings page</text>
  </threadedComment>
  <threadedComment ref="C61" dT="2022-05-18T10:20:38.21" personId="{20B2C93A-C5FC-4DD8-9AD2-8A7D0B0C11AD}" id="{57AE5F58-7BE5-44C6-9AC2-4DBE9A9B68F3}">
    <text>DROP DOWNS?</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0-07-06T14:03:54.45" personId="{11D8095A-B2E6-4A15-8D0E-AE4DCCC68A9A}" id="{24AF978E-B775-457F-95A1-7D9DEBA8768C}">
    <text>customers NCR #</text>
  </threadedComment>
  <threadedComment ref="E10" dT="2020-07-06T14:04:06.31" personId="{11D8095A-B2E6-4A15-8D0E-AE4DCCC68A9A}" id="{8F373F8B-2779-45E9-9B9B-D01FDB54C751}">
    <text>MP's NCR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24.xml"/><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84" Type="http://schemas.openxmlformats.org/officeDocument/2006/relationships/ctrlProp" Target="../ctrlProps/ctrlProp82.xml"/><Relationship Id="rId89" Type="http://schemas.openxmlformats.org/officeDocument/2006/relationships/ctrlProp" Target="../ctrlProps/ctrlProp87.xml"/><Relationship Id="rId112" Type="http://schemas.openxmlformats.org/officeDocument/2006/relationships/ctrlProp" Target="../ctrlProps/ctrlProp110.xml"/><Relationship Id="rId16" Type="http://schemas.openxmlformats.org/officeDocument/2006/relationships/ctrlProp" Target="../ctrlProps/ctrlProp14.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omments" Target="../comments1.xml"/><Relationship Id="rId5" Type="http://schemas.openxmlformats.org/officeDocument/2006/relationships/ctrlProp" Target="../ctrlProps/ctrlProp3.xml"/><Relationship Id="rId90" Type="http://schemas.openxmlformats.org/officeDocument/2006/relationships/ctrlProp" Target="../ctrlProps/ctrlProp88.xml"/><Relationship Id="rId95" Type="http://schemas.openxmlformats.org/officeDocument/2006/relationships/ctrlProp" Target="../ctrlProps/ctrlProp93.xml"/><Relationship Id="rId22" Type="http://schemas.openxmlformats.org/officeDocument/2006/relationships/ctrlProp" Target="../ctrlProps/ctrlProp20.xml"/><Relationship Id="rId27" Type="http://schemas.openxmlformats.org/officeDocument/2006/relationships/ctrlProp" Target="../ctrlProps/ctrlProp25.xml"/><Relationship Id="rId43" Type="http://schemas.openxmlformats.org/officeDocument/2006/relationships/ctrlProp" Target="../ctrlProps/ctrlProp41.xml"/><Relationship Id="rId48" Type="http://schemas.openxmlformats.org/officeDocument/2006/relationships/ctrlProp" Target="../ctrlProps/ctrlProp46.xml"/><Relationship Id="rId64" Type="http://schemas.openxmlformats.org/officeDocument/2006/relationships/ctrlProp" Target="../ctrlProps/ctrlProp62.xml"/><Relationship Id="rId69" Type="http://schemas.openxmlformats.org/officeDocument/2006/relationships/ctrlProp" Target="../ctrlProps/ctrlProp67.xml"/><Relationship Id="rId113" Type="http://schemas.openxmlformats.org/officeDocument/2006/relationships/ctrlProp" Target="../ctrlProps/ctrlProp111.xml"/><Relationship Id="rId118" Type="http://schemas.openxmlformats.org/officeDocument/2006/relationships/ctrlProp" Target="../ctrlProps/ctrlProp116.xml"/><Relationship Id="rId80" Type="http://schemas.openxmlformats.org/officeDocument/2006/relationships/ctrlProp" Target="../ctrlProps/ctrlProp78.xml"/><Relationship Id="rId85" Type="http://schemas.openxmlformats.org/officeDocument/2006/relationships/ctrlProp" Target="../ctrlProps/ctrlProp83.xml"/><Relationship Id="rId12" Type="http://schemas.openxmlformats.org/officeDocument/2006/relationships/ctrlProp" Target="../ctrlProps/ctrlProp10.xml"/><Relationship Id="rId17" Type="http://schemas.openxmlformats.org/officeDocument/2006/relationships/ctrlProp" Target="../ctrlProps/ctrlProp15.xml"/><Relationship Id="rId33" Type="http://schemas.openxmlformats.org/officeDocument/2006/relationships/ctrlProp" Target="../ctrlProps/ctrlProp31.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08" Type="http://schemas.openxmlformats.org/officeDocument/2006/relationships/ctrlProp" Target="../ctrlProps/ctrlProp106.xml"/><Relationship Id="rId124" Type="http://schemas.microsoft.com/office/2017/10/relationships/threadedComment" Target="../threadedComments/threadedComment1.xml"/><Relationship Id="rId54" Type="http://schemas.openxmlformats.org/officeDocument/2006/relationships/ctrlProp" Target="../ctrlProps/ctrlProp52.xml"/><Relationship Id="rId70" Type="http://schemas.openxmlformats.org/officeDocument/2006/relationships/ctrlProp" Target="../ctrlProps/ctrlProp68.xml"/><Relationship Id="rId75" Type="http://schemas.openxmlformats.org/officeDocument/2006/relationships/ctrlProp" Target="../ctrlProps/ctrlProp73.xml"/><Relationship Id="rId91" Type="http://schemas.openxmlformats.org/officeDocument/2006/relationships/ctrlProp" Target="../ctrlProps/ctrlProp89.xml"/><Relationship Id="rId96" Type="http://schemas.openxmlformats.org/officeDocument/2006/relationships/ctrlProp" Target="../ctrlProps/ctrlProp94.xml"/><Relationship Id="rId1" Type="http://schemas.openxmlformats.org/officeDocument/2006/relationships/drawing" Target="../drawings/drawing3.xml"/><Relationship Id="rId6" Type="http://schemas.openxmlformats.org/officeDocument/2006/relationships/ctrlProp" Target="../ctrlProps/ctrlProp4.xml"/><Relationship Id="rId23" Type="http://schemas.openxmlformats.org/officeDocument/2006/relationships/ctrlProp" Target="../ctrlProps/ctrlProp21.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119" Type="http://schemas.openxmlformats.org/officeDocument/2006/relationships/ctrlProp" Target="../ctrlProps/ctrlProp117.xml"/><Relationship Id="rId44" Type="http://schemas.openxmlformats.org/officeDocument/2006/relationships/ctrlProp" Target="../ctrlProps/ctrlProp42.xml"/><Relationship Id="rId60" Type="http://schemas.openxmlformats.org/officeDocument/2006/relationships/ctrlProp" Target="../ctrlProps/ctrlProp58.xml"/><Relationship Id="rId65" Type="http://schemas.openxmlformats.org/officeDocument/2006/relationships/ctrlProp" Target="../ctrlProps/ctrlProp63.xml"/><Relationship Id="rId81" Type="http://schemas.openxmlformats.org/officeDocument/2006/relationships/ctrlProp" Target="../ctrlProps/ctrlProp79.xml"/><Relationship Id="rId86" Type="http://schemas.openxmlformats.org/officeDocument/2006/relationships/ctrlProp" Target="../ctrlProps/ctrlProp84.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3" Type="http://schemas.openxmlformats.org/officeDocument/2006/relationships/ctrlProp" Target="../ctrlProps/ctrlProp1.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21.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236.xml"/><Relationship Id="rId21" Type="http://schemas.openxmlformats.org/officeDocument/2006/relationships/ctrlProp" Target="../ctrlProps/ctrlProp140.xml"/><Relationship Id="rId42" Type="http://schemas.openxmlformats.org/officeDocument/2006/relationships/ctrlProp" Target="../ctrlProps/ctrlProp161.xml"/><Relationship Id="rId63" Type="http://schemas.openxmlformats.org/officeDocument/2006/relationships/ctrlProp" Target="../ctrlProps/ctrlProp182.xml"/><Relationship Id="rId84" Type="http://schemas.openxmlformats.org/officeDocument/2006/relationships/ctrlProp" Target="../ctrlProps/ctrlProp203.xml"/><Relationship Id="rId138" Type="http://schemas.openxmlformats.org/officeDocument/2006/relationships/ctrlProp" Target="../ctrlProps/ctrlProp257.xml"/><Relationship Id="rId159" Type="http://schemas.openxmlformats.org/officeDocument/2006/relationships/ctrlProp" Target="../ctrlProps/ctrlProp278.xml"/><Relationship Id="rId107" Type="http://schemas.openxmlformats.org/officeDocument/2006/relationships/ctrlProp" Target="../ctrlProps/ctrlProp226.xml"/><Relationship Id="rId11" Type="http://schemas.openxmlformats.org/officeDocument/2006/relationships/ctrlProp" Target="../ctrlProps/ctrlProp130.xml"/><Relationship Id="rId32" Type="http://schemas.openxmlformats.org/officeDocument/2006/relationships/ctrlProp" Target="../ctrlProps/ctrlProp151.xml"/><Relationship Id="rId53" Type="http://schemas.openxmlformats.org/officeDocument/2006/relationships/ctrlProp" Target="../ctrlProps/ctrlProp172.xml"/><Relationship Id="rId74" Type="http://schemas.openxmlformats.org/officeDocument/2006/relationships/ctrlProp" Target="../ctrlProps/ctrlProp193.xml"/><Relationship Id="rId128" Type="http://schemas.openxmlformats.org/officeDocument/2006/relationships/ctrlProp" Target="../ctrlProps/ctrlProp247.xml"/><Relationship Id="rId149" Type="http://schemas.openxmlformats.org/officeDocument/2006/relationships/ctrlProp" Target="../ctrlProps/ctrlProp268.xml"/><Relationship Id="rId5" Type="http://schemas.openxmlformats.org/officeDocument/2006/relationships/ctrlProp" Target="../ctrlProps/ctrlProp124.xml"/><Relationship Id="rId95" Type="http://schemas.openxmlformats.org/officeDocument/2006/relationships/ctrlProp" Target="../ctrlProps/ctrlProp214.xml"/><Relationship Id="rId160" Type="http://schemas.openxmlformats.org/officeDocument/2006/relationships/ctrlProp" Target="../ctrlProps/ctrlProp279.xml"/><Relationship Id="rId22" Type="http://schemas.openxmlformats.org/officeDocument/2006/relationships/ctrlProp" Target="../ctrlProps/ctrlProp141.xml"/><Relationship Id="rId43" Type="http://schemas.openxmlformats.org/officeDocument/2006/relationships/ctrlProp" Target="../ctrlProps/ctrlProp162.xml"/><Relationship Id="rId64" Type="http://schemas.openxmlformats.org/officeDocument/2006/relationships/ctrlProp" Target="../ctrlProps/ctrlProp183.xml"/><Relationship Id="rId118" Type="http://schemas.openxmlformats.org/officeDocument/2006/relationships/ctrlProp" Target="../ctrlProps/ctrlProp237.xml"/><Relationship Id="rId139" Type="http://schemas.openxmlformats.org/officeDocument/2006/relationships/ctrlProp" Target="../ctrlProps/ctrlProp258.xml"/><Relationship Id="rId85" Type="http://schemas.openxmlformats.org/officeDocument/2006/relationships/ctrlProp" Target="../ctrlProps/ctrlProp204.xml"/><Relationship Id="rId150" Type="http://schemas.openxmlformats.org/officeDocument/2006/relationships/ctrlProp" Target="../ctrlProps/ctrlProp269.xml"/><Relationship Id="rId12" Type="http://schemas.openxmlformats.org/officeDocument/2006/relationships/ctrlProp" Target="../ctrlProps/ctrlProp131.xml"/><Relationship Id="rId33" Type="http://schemas.openxmlformats.org/officeDocument/2006/relationships/ctrlProp" Target="../ctrlProps/ctrlProp152.xml"/><Relationship Id="rId108" Type="http://schemas.openxmlformats.org/officeDocument/2006/relationships/ctrlProp" Target="../ctrlProps/ctrlProp227.xml"/><Relationship Id="rId129" Type="http://schemas.openxmlformats.org/officeDocument/2006/relationships/ctrlProp" Target="../ctrlProps/ctrlProp248.xml"/><Relationship Id="rId54" Type="http://schemas.openxmlformats.org/officeDocument/2006/relationships/ctrlProp" Target="../ctrlProps/ctrlProp173.xml"/><Relationship Id="rId70" Type="http://schemas.openxmlformats.org/officeDocument/2006/relationships/ctrlProp" Target="../ctrlProps/ctrlProp189.xml"/><Relationship Id="rId75" Type="http://schemas.openxmlformats.org/officeDocument/2006/relationships/ctrlProp" Target="../ctrlProps/ctrlProp194.xml"/><Relationship Id="rId91" Type="http://schemas.openxmlformats.org/officeDocument/2006/relationships/ctrlProp" Target="../ctrlProps/ctrlProp210.xml"/><Relationship Id="rId96" Type="http://schemas.openxmlformats.org/officeDocument/2006/relationships/ctrlProp" Target="../ctrlProps/ctrlProp215.xml"/><Relationship Id="rId140" Type="http://schemas.openxmlformats.org/officeDocument/2006/relationships/ctrlProp" Target="../ctrlProps/ctrlProp259.xml"/><Relationship Id="rId145" Type="http://schemas.openxmlformats.org/officeDocument/2006/relationships/ctrlProp" Target="../ctrlProps/ctrlProp264.xml"/><Relationship Id="rId161" Type="http://schemas.openxmlformats.org/officeDocument/2006/relationships/ctrlProp" Target="../ctrlProps/ctrlProp280.xml"/><Relationship Id="rId166" Type="http://schemas.openxmlformats.org/officeDocument/2006/relationships/ctrlProp" Target="../ctrlProps/ctrlProp285.xml"/><Relationship Id="rId1" Type="http://schemas.openxmlformats.org/officeDocument/2006/relationships/drawing" Target="../drawings/drawing5.xml"/><Relationship Id="rId6" Type="http://schemas.openxmlformats.org/officeDocument/2006/relationships/ctrlProp" Target="../ctrlProps/ctrlProp125.xml"/><Relationship Id="rId23" Type="http://schemas.openxmlformats.org/officeDocument/2006/relationships/ctrlProp" Target="../ctrlProps/ctrlProp142.xml"/><Relationship Id="rId28" Type="http://schemas.openxmlformats.org/officeDocument/2006/relationships/ctrlProp" Target="../ctrlProps/ctrlProp147.xml"/><Relationship Id="rId49" Type="http://schemas.openxmlformats.org/officeDocument/2006/relationships/ctrlProp" Target="../ctrlProps/ctrlProp168.xml"/><Relationship Id="rId114" Type="http://schemas.openxmlformats.org/officeDocument/2006/relationships/ctrlProp" Target="../ctrlProps/ctrlProp233.xml"/><Relationship Id="rId119" Type="http://schemas.openxmlformats.org/officeDocument/2006/relationships/ctrlProp" Target="../ctrlProps/ctrlProp238.xml"/><Relationship Id="rId44" Type="http://schemas.openxmlformats.org/officeDocument/2006/relationships/ctrlProp" Target="../ctrlProps/ctrlProp163.xml"/><Relationship Id="rId60" Type="http://schemas.openxmlformats.org/officeDocument/2006/relationships/ctrlProp" Target="../ctrlProps/ctrlProp179.xml"/><Relationship Id="rId65" Type="http://schemas.openxmlformats.org/officeDocument/2006/relationships/ctrlProp" Target="../ctrlProps/ctrlProp184.xml"/><Relationship Id="rId81" Type="http://schemas.openxmlformats.org/officeDocument/2006/relationships/ctrlProp" Target="../ctrlProps/ctrlProp200.xml"/><Relationship Id="rId86" Type="http://schemas.openxmlformats.org/officeDocument/2006/relationships/ctrlProp" Target="../ctrlProps/ctrlProp205.xml"/><Relationship Id="rId130" Type="http://schemas.openxmlformats.org/officeDocument/2006/relationships/ctrlProp" Target="../ctrlProps/ctrlProp249.xml"/><Relationship Id="rId135" Type="http://schemas.openxmlformats.org/officeDocument/2006/relationships/ctrlProp" Target="../ctrlProps/ctrlProp254.xml"/><Relationship Id="rId151" Type="http://schemas.openxmlformats.org/officeDocument/2006/relationships/ctrlProp" Target="../ctrlProps/ctrlProp270.xml"/><Relationship Id="rId156" Type="http://schemas.openxmlformats.org/officeDocument/2006/relationships/ctrlProp" Target="../ctrlProps/ctrlProp275.xml"/><Relationship Id="rId13" Type="http://schemas.openxmlformats.org/officeDocument/2006/relationships/ctrlProp" Target="../ctrlProps/ctrlProp132.xml"/><Relationship Id="rId18" Type="http://schemas.openxmlformats.org/officeDocument/2006/relationships/ctrlProp" Target="../ctrlProps/ctrlProp137.xml"/><Relationship Id="rId39" Type="http://schemas.openxmlformats.org/officeDocument/2006/relationships/ctrlProp" Target="../ctrlProps/ctrlProp158.xml"/><Relationship Id="rId109" Type="http://schemas.openxmlformats.org/officeDocument/2006/relationships/ctrlProp" Target="../ctrlProps/ctrlProp228.xml"/><Relationship Id="rId34" Type="http://schemas.openxmlformats.org/officeDocument/2006/relationships/ctrlProp" Target="../ctrlProps/ctrlProp153.xml"/><Relationship Id="rId50" Type="http://schemas.openxmlformats.org/officeDocument/2006/relationships/ctrlProp" Target="../ctrlProps/ctrlProp169.xml"/><Relationship Id="rId55" Type="http://schemas.openxmlformats.org/officeDocument/2006/relationships/ctrlProp" Target="../ctrlProps/ctrlProp174.xml"/><Relationship Id="rId76" Type="http://schemas.openxmlformats.org/officeDocument/2006/relationships/ctrlProp" Target="../ctrlProps/ctrlProp195.xml"/><Relationship Id="rId97" Type="http://schemas.openxmlformats.org/officeDocument/2006/relationships/ctrlProp" Target="../ctrlProps/ctrlProp216.xml"/><Relationship Id="rId104" Type="http://schemas.openxmlformats.org/officeDocument/2006/relationships/ctrlProp" Target="../ctrlProps/ctrlProp223.xml"/><Relationship Id="rId120" Type="http://schemas.openxmlformats.org/officeDocument/2006/relationships/ctrlProp" Target="../ctrlProps/ctrlProp239.xml"/><Relationship Id="rId125" Type="http://schemas.openxmlformats.org/officeDocument/2006/relationships/ctrlProp" Target="../ctrlProps/ctrlProp244.xml"/><Relationship Id="rId141" Type="http://schemas.openxmlformats.org/officeDocument/2006/relationships/ctrlProp" Target="../ctrlProps/ctrlProp260.xml"/><Relationship Id="rId146" Type="http://schemas.openxmlformats.org/officeDocument/2006/relationships/ctrlProp" Target="../ctrlProps/ctrlProp265.xml"/><Relationship Id="rId167" Type="http://schemas.openxmlformats.org/officeDocument/2006/relationships/ctrlProp" Target="../ctrlProps/ctrlProp286.xml"/><Relationship Id="rId7" Type="http://schemas.openxmlformats.org/officeDocument/2006/relationships/ctrlProp" Target="../ctrlProps/ctrlProp126.xml"/><Relationship Id="rId71" Type="http://schemas.openxmlformats.org/officeDocument/2006/relationships/ctrlProp" Target="../ctrlProps/ctrlProp190.xml"/><Relationship Id="rId92" Type="http://schemas.openxmlformats.org/officeDocument/2006/relationships/ctrlProp" Target="../ctrlProps/ctrlProp211.xml"/><Relationship Id="rId162" Type="http://schemas.openxmlformats.org/officeDocument/2006/relationships/ctrlProp" Target="../ctrlProps/ctrlProp281.xml"/><Relationship Id="rId2" Type="http://schemas.openxmlformats.org/officeDocument/2006/relationships/vmlDrawing" Target="../drawings/vmlDrawing3.vml"/><Relationship Id="rId29" Type="http://schemas.openxmlformats.org/officeDocument/2006/relationships/ctrlProp" Target="../ctrlProps/ctrlProp148.xml"/><Relationship Id="rId24" Type="http://schemas.openxmlformats.org/officeDocument/2006/relationships/ctrlProp" Target="../ctrlProps/ctrlProp143.xml"/><Relationship Id="rId40" Type="http://schemas.openxmlformats.org/officeDocument/2006/relationships/ctrlProp" Target="../ctrlProps/ctrlProp159.xml"/><Relationship Id="rId45" Type="http://schemas.openxmlformats.org/officeDocument/2006/relationships/ctrlProp" Target="../ctrlProps/ctrlProp164.xml"/><Relationship Id="rId66" Type="http://schemas.openxmlformats.org/officeDocument/2006/relationships/ctrlProp" Target="../ctrlProps/ctrlProp185.xml"/><Relationship Id="rId87" Type="http://schemas.openxmlformats.org/officeDocument/2006/relationships/ctrlProp" Target="../ctrlProps/ctrlProp206.xml"/><Relationship Id="rId110" Type="http://schemas.openxmlformats.org/officeDocument/2006/relationships/ctrlProp" Target="../ctrlProps/ctrlProp229.xml"/><Relationship Id="rId115" Type="http://schemas.openxmlformats.org/officeDocument/2006/relationships/ctrlProp" Target="../ctrlProps/ctrlProp234.xml"/><Relationship Id="rId131" Type="http://schemas.openxmlformats.org/officeDocument/2006/relationships/ctrlProp" Target="../ctrlProps/ctrlProp250.xml"/><Relationship Id="rId136" Type="http://schemas.openxmlformats.org/officeDocument/2006/relationships/ctrlProp" Target="../ctrlProps/ctrlProp255.xml"/><Relationship Id="rId157" Type="http://schemas.openxmlformats.org/officeDocument/2006/relationships/ctrlProp" Target="../ctrlProps/ctrlProp276.xml"/><Relationship Id="rId61" Type="http://schemas.openxmlformats.org/officeDocument/2006/relationships/ctrlProp" Target="../ctrlProps/ctrlProp180.xml"/><Relationship Id="rId82" Type="http://schemas.openxmlformats.org/officeDocument/2006/relationships/ctrlProp" Target="../ctrlProps/ctrlProp201.xml"/><Relationship Id="rId152" Type="http://schemas.openxmlformats.org/officeDocument/2006/relationships/ctrlProp" Target="../ctrlProps/ctrlProp271.xml"/><Relationship Id="rId19" Type="http://schemas.openxmlformats.org/officeDocument/2006/relationships/ctrlProp" Target="../ctrlProps/ctrlProp138.xml"/><Relationship Id="rId14" Type="http://schemas.openxmlformats.org/officeDocument/2006/relationships/ctrlProp" Target="../ctrlProps/ctrlProp133.xml"/><Relationship Id="rId30" Type="http://schemas.openxmlformats.org/officeDocument/2006/relationships/ctrlProp" Target="../ctrlProps/ctrlProp149.xml"/><Relationship Id="rId35" Type="http://schemas.openxmlformats.org/officeDocument/2006/relationships/ctrlProp" Target="../ctrlProps/ctrlProp154.xml"/><Relationship Id="rId56" Type="http://schemas.openxmlformats.org/officeDocument/2006/relationships/ctrlProp" Target="../ctrlProps/ctrlProp175.xml"/><Relationship Id="rId77" Type="http://schemas.openxmlformats.org/officeDocument/2006/relationships/ctrlProp" Target="../ctrlProps/ctrlProp196.xml"/><Relationship Id="rId100" Type="http://schemas.openxmlformats.org/officeDocument/2006/relationships/ctrlProp" Target="../ctrlProps/ctrlProp219.xml"/><Relationship Id="rId105" Type="http://schemas.openxmlformats.org/officeDocument/2006/relationships/ctrlProp" Target="../ctrlProps/ctrlProp224.xml"/><Relationship Id="rId126" Type="http://schemas.openxmlformats.org/officeDocument/2006/relationships/ctrlProp" Target="../ctrlProps/ctrlProp245.xml"/><Relationship Id="rId147" Type="http://schemas.openxmlformats.org/officeDocument/2006/relationships/ctrlProp" Target="../ctrlProps/ctrlProp266.xml"/><Relationship Id="rId168" Type="http://schemas.openxmlformats.org/officeDocument/2006/relationships/comments" Target="../comments2.xml"/><Relationship Id="rId8" Type="http://schemas.openxmlformats.org/officeDocument/2006/relationships/ctrlProp" Target="../ctrlProps/ctrlProp127.xml"/><Relationship Id="rId51" Type="http://schemas.openxmlformats.org/officeDocument/2006/relationships/ctrlProp" Target="../ctrlProps/ctrlProp170.xml"/><Relationship Id="rId72" Type="http://schemas.openxmlformats.org/officeDocument/2006/relationships/ctrlProp" Target="../ctrlProps/ctrlProp191.xml"/><Relationship Id="rId93" Type="http://schemas.openxmlformats.org/officeDocument/2006/relationships/ctrlProp" Target="../ctrlProps/ctrlProp212.xml"/><Relationship Id="rId98" Type="http://schemas.openxmlformats.org/officeDocument/2006/relationships/ctrlProp" Target="../ctrlProps/ctrlProp217.xml"/><Relationship Id="rId121" Type="http://schemas.openxmlformats.org/officeDocument/2006/relationships/ctrlProp" Target="../ctrlProps/ctrlProp240.xml"/><Relationship Id="rId142" Type="http://schemas.openxmlformats.org/officeDocument/2006/relationships/ctrlProp" Target="../ctrlProps/ctrlProp261.xml"/><Relationship Id="rId163" Type="http://schemas.openxmlformats.org/officeDocument/2006/relationships/ctrlProp" Target="../ctrlProps/ctrlProp282.xml"/><Relationship Id="rId3" Type="http://schemas.openxmlformats.org/officeDocument/2006/relationships/ctrlProp" Target="../ctrlProps/ctrlProp122.xml"/><Relationship Id="rId25" Type="http://schemas.openxmlformats.org/officeDocument/2006/relationships/ctrlProp" Target="../ctrlProps/ctrlProp144.xml"/><Relationship Id="rId46" Type="http://schemas.openxmlformats.org/officeDocument/2006/relationships/ctrlProp" Target="../ctrlProps/ctrlProp165.xml"/><Relationship Id="rId67" Type="http://schemas.openxmlformats.org/officeDocument/2006/relationships/ctrlProp" Target="../ctrlProps/ctrlProp186.xml"/><Relationship Id="rId116" Type="http://schemas.openxmlformats.org/officeDocument/2006/relationships/ctrlProp" Target="../ctrlProps/ctrlProp235.xml"/><Relationship Id="rId137" Type="http://schemas.openxmlformats.org/officeDocument/2006/relationships/ctrlProp" Target="../ctrlProps/ctrlProp256.xml"/><Relationship Id="rId158" Type="http://schemas.openxmlformats.org/officeDocument/2006/relationships/ctrlProp" Target="../ctrlProps/ctrlProp277.xml"/><Relationship Id="rId20" Type="http://schemas.openxmlformats.org/officeDocument/2006/relationships/ctrlProp" Target="../ctrlProps/ctrlProp139.xml"/><Relationship Id="rId41" Type="http://schemas.openxmlformats.org/officeDocument/2006/relationships/ctrlProp" Target="../ctrlProps/ctrlProp160.xml"/><Relationship Id="rId62" Type="http://schemas.openxmlformats.org/officeDocument/2006/relationships/ctrlProp" Target="../ctrlProps/ctrlProp181.xml"/><Relationship Id="rId83" Type="http://schemas.openxmlformats.org/officeDocument/2006/relationships/ctrlProp" Target="../ctrlProps/ctrlProp202.xml"/><Relationship Id="rId88" Type="http://schemas.openxmlformats.org/officeDocument/2006/relationships/ctrlProp" Target="../ctrlProps/ctrlProp207.xml"/><Relationship Id="rId111" Type="http://schemas.openxmlformats.org/officeDocument/2006/relationships/ctrlProp" Target="../ctrlProps/ctrlProp230.xml"/><Relationship Id="rId132" Type="http://schemas.openxmlformats.org/officeDocument/2006/relationships/ctrlProp" Target="../ctrlProps/ctrlProp251.xml"/><Relationship Id="rId153" Type="http://schemas.openxmlformats.org/officeDocument/2006/relationships/ctrlProp" Target="../ctrlProps/ctrlProp272.xml"/><Relationship Id="rId15" Type="http://schemas.openxmlformats.org/officeDocument/2006/relationships/ctrlProp" Target="../ctrlProps/ctrlProp134.xml"/><Relationship Id="rId36" Type="http://schemas.openxmlformats.org/officeDocument/2006/relationships/ctrlProp" Target="../ctrlProps/ctrlProp155.xml"/><Relationship Id="rId57" Type="http://schemas.openxmlformats.org/officeDocument/2006/relationships/ctrlProp" Target="../ctrlProps/ctrlProp176.xml"/><Relationship Id="rId106" Type="http://schemas.openxmlformats.org/officeDocument/2006/relationships/ctrlProp" Target="../ctrlProps/ctrlProp225.xml"/><Relationship Id="rId127" Type="http://schemas.openxmlformats.org/officeDocument/2006/relationships/ctrlProp" Target="../ctrlProps/ctrlProp246.xml"/><Relationship Id="rId10" Type="http://schemas.openxmlformats.org/officeDocument/2006/relationships/ctrlProp" Target="../ctrlProps/ctrlProp129.xml"/><Relationship Id="rId31" Type="http://schemas.openxmlformats.org/officeDocument/2006/relationships/ctrlProp" Target="../ctrlProps/ctrlProp150.xml"/><Relationship Id="rId52" Type="http://schemas.openxmlformats.org/officeDocument/2006/relationships/ctrlProp" Target="../ctrlProps/ctrlProp171.xml"/><Relationship Id="rId73" Type="http://schemas.openxmlformats.org/officeDocument/2006/relationships/ctrlProp" Target="../ctrlProps/ctrlProp192.xml"/><Relationship Id="rId78" Type="http://schemas.openxmlformats.org/officeDocument/2006/relationships/ctrlProp" Target="../ctrlProps/ctrlProp197.xml"/><Relationship Id="rId94" Type="http://schemas.openxmlformats.org/officeDocument/2006/relationships/ctrlProp" Target="../ctrlProps/ctrlProp213.xml"/><Relationship Id="rId99" Type="http://schemas.openxmlformats.org/officeDocument/2006/relationships/ctrlProp" Target="../ctrlProps/ctrlProp218.xml"/><Relationship Id="rId101" Type="http://schemas.openxmlformats.org/officeDocument/2006/relationships/ctrlProp" Target="../ctrlProps/ctrlProp220.xml"/><Relationship Id="rId122" Type="http://schemas.openxmlformats.org/officeDocument/2006/relationships/ctrlProp" Target="../ctrlProps/ctrlProp241.xml"/><Relationship Id="rId143" Type="http://schemas.openxmlformats.org/officeDocument/2006/relationships/ctrlProp" Target="../ctrlProps/ctrlProp262.xml"/><Relationship Id="rId148" Type="http://schemas.openxmlformats.org/officeDocument/2006/relationships/ctrlProp" Target="../ctrlProps/ctrlProp267.xml"/><Relationship Id="rId164" Type="http://schemas.openxmlformats.org/officeDocument/2006/relationships/ctrlProp" Target="../ctrlProps/ctrlProp283.xml"/><Relationship Id="rId169" Type="http://schemas.microsoft.com/office/2017/10/relationships/threadedComment" Target="../threadedComments/threadedComment2.xml"/><Relationship Id="rId4" Type="http://schemas.openxmlformats.org/officeDocument/2006/relationships/ctrlProp" Target="../ctrlProps/ctrlProp123.xml"/><Relationship Id="rId9" Type="http://schemas.openxmlformats.org/officeDocument/2006/relationships/ctrlProp" Target="../ctrlProps/ctrlProp128.xml"/><Relationship Id="rId26" Type="http://schemas.openxmlformats.org/officeDocument/2006/relationships/ctrlProp" Target="../ctrlProps/ctrlProp145.xml"/><Relationship Id="rId47" Type="http://schemas.openxmlformats.org/officeDocument/2006/relationships/ctrlProp" Target="../ctrlProps/ctrlProp166.xml"/><Relationship Id="rId68" Type="http://schemas.openxmlformats.org/officeDocument/2006/relationships/ctrlProp" Target="../ctrlProps/ctrlProp187.xml"/><Relationship Id="rId89" Type="http://schemas.openxmlformats.org/officeDocument/2006/relationships/ctrlProp" Target="../ctrlProps/ctrlProp208.xml"/><Relationship Id="rId112" Type="http://schemas.openxmlformats.org/officeDocument/2006/relationships/ctrlProp" Target="../ctrlProps/ctrlProp231.xml"/><Relationship Id="rId133" Type="http://schemas.openxmlformats.org/officeDocument/2006/relationships/ctrlProp" Target="../ctrlProps/ctrlProp252.xml"/><Relationship Id="rId154" Type="http://schemas.openxmlformats.org/officeDocument/2006/relationships/ctrlProp" Target="../ctrlProps/ctrlProp273.xml"/><Relationship Id="rId16" Type="http://schemas.openxmlformats.org/officeDocument/2006/relationships/ctrlProp" Target="../ctrlProps/ctrlProp135.xml"/><Relationship Id="rId37" Type="http://schemas.openxmlformats.org/officeDocument/2006/relationships/ctrlProp" Target="../ctrlProps/ctrlProp156.xml"/><Relationship Id="rId58" Type="http://schemas.openxmlformats.org/officeDocument/2006/relationships/ctrlProp" Target="../ctrlProps/ctrlProp177.xml"/><Relationship Id="rId79" Type="http://schemas.openxmlformats.org/officeDocument/2006/relationships/ctrlProp" Target="../ctrlProps/ctrlProp198.xml"/><Relationship Id="rId102" Type="http://schemas.openxmlformats.org/officeDocument/2006/relationships/ctrlProp" Target="../ctrlProps/ctrlProp221.xml"/><Relationship Id="rId123" Type="http://schemas.openxmlformats.org/officeDocument/2006/relationships/ctrlProp" Target="../ctrlProps/ctrlProp242.xml"/><Relationship Id="rId144" Type="http://schemas.openxmlformats.org/officeDocument/2006/relationships/ctrlProp" Target="../ctrlProps/ctrlProp263.xml"/><Relationship Id="rId90" Type="http://schemas.openxmlformats.org/officeDocument/2006/relationships/ctrlProp" Target="../ctrlProps/ctrlProp209.xml"/><Relationship Id="rId165" Type="http://schemas.openxmlformats.org/officeDocument/2006/relationships/ctrlProp" Target="../ctrlProps/ctrlProp284.xml"/><Relationship Id="rId27" Type="http://schemas.openxmlformats.org/officeDocument/2006/relationships/ctrlProp" Target="../ctrlProps/ctrlProp146.xml"/><Relationship Id="rId48" Type="http://schemas.openxmlformats.org/officeDocument/2006/relationships/ctrlProp" Target="../ctrlProps/ctrlProp167.xml"/><Relationship Id="rId69" Type="http://schemas.openxmlformats.org/officeDocument/2006/relationships/ctrlProp" Target="../ctrlProps/ctrlProp188.xml"/><Relationship Id="rId113" Type="http://schemas.openxmlformats.org/officeDocument/2006/relationships/ctrlProp" Target="../ctrlProps/ctrlProp232.xml"/><Relationship Id="rId134" Type="http://schemas.openxmlformats.org/officeDocument/2006/relationships/ctrlProp" Target="../ctrlProps/ctrlProp253.xml"/><Relationship Id="rId80" Type="http://schemas.openxmlformats.org/officeDocument/2006/relationships/ctrlProp" Target="../ctrlProps/ctrlProp199.xml"/><Relationship Id="rId155" Type="http://schemas.openxmlformats.org/officeDocument/2006/relationships/ctrlProp" Target="../ctrlProps/ctrlProp274.xml"/><Relationship Id="rId17" Type="http://schemas.openxmlformats.org/officeDocument/2006/relationships/ctrlProp" Target="../ctrlProps/ctrlProp136.xml"/><Relationship Id="rId38" Type="http://schemas.openxmlformats.org/officeDocument/2006/relationships/ctrlProp" Target="../ctrlProps/ctrlProp157.xml"/><Relationship Id="rId59" Type="http://schemas.openxmlformats.org/officeDocument/2006/relationships/ctrlProp" Target="../ctrlProps/ctrlProp178.xml"/><Relationship Id="rId103" Type="http://schemas.openxmlformats.org/officeDocument/2006/relationships/ctrlProp" Target="../ctrlProps/ctrlProp222.xml"/><Relationship Id="rId124" Type="http://schemas.openxmlformats.org/officeDocument/2006/relationships/ctrlProp" Target="../ctrlProps/ctrlProp243.xml"/></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309.xml"/><Relationship Id="rId21" Type="http://schemas.openxmlformats.org/officeDocument/2006/relationships/ctrlProp" Target="../ctrlProps/ctrlProp304.xml"/><Relationship Id="rId42" Type="http://schemas.openxmlformats.org/officeDocument/2006/relationships/ctrlProp" Target="../ctrlProps/ctrlProp325.xml"/><Relationship Id="rId47" Type="http://schemas.openxmlformats.org/officeDocument/2006/relationships/ctrlProp" Target="../ctrlProps/ctrlProp330.xml"/><Relationship Id="rId63" Type="http://schemas.openxmlformats.org/officeDocument/2006/relationships/ctrlProp" Target="../ctrlProps/ctrlProp346.xml"/><Relationship Id="rId68" Type="http://schemas.openxmlformats.org/officeDocument/2006/relationships/ctrlProp" Target="../ctrlProps/ctrlProp351.xml"/><Relationship Id="rId16" Type="http://schemas.openxmlformats.org/officeDocument/2006/relationships/ctrlProp" Target="../ctrlProps/ctrlProp299.xml"/><Relationship Id="rId11" Type="http://schemas.openxmlformats.org/officeDocument/2006/relationships/ctrlProp" Target="../ctrlProps/ctrlProp294.xml"/><Relationship Id="rId24" Type="http://schemas.openxmlformats.org/officeDocument/2006/relationships/ctrlProp" Target="../ctrlProps/ctrlProp307.xml"/><Relationship Id="rId32" Type="http://schemas.openxmlformats.org/officeDocument/2006/relationships/ctrlProp" Target="../ctrlProps/ctrlProp315.xml"/><Relationship Id="rId37" Type="http://schemas.openxmlformats.org/officeDocument/2006/relationships/ctrlProp" Target="../ctrlProps/ctrlProp320.xml"/><Relationship Id="rId40" Type="http://schemas.openxmlformats.org/officeDocument/2006/relationships/ctrlProp" Target="../ctrlProps/ctrlProp323.xml"/><Relationship Id="rId45" Type="http://schemas.openxmlformats.org/officeDocument/2006/relationships/ctrlProp" Target="../ctrlProps/ctrlProp328.xml"/><Relationship Id="rId53" Type="http://schemas.openxmlformats.org/officeDocument/2006/relationships/ctrlProp" Target="../ctrlProps/ctrlProp336.xml"/><Relationship Id="rId58" Type="http://schemas.openxmlformats.org/officeDocument/2006/relationships/ctrlProp" Target="../ctrlProps/ctrlProp341.xml"/><Relationship Id="rId66" Type="http://schemas.openxmlformats.org/officeDocument/2006/relationships/ctrlProp" Target="../ctrlProps/ctrlProp349.xml"/><Relationship Id="rId74" Type="http://schemas.openxmlformats.org/officeDocument/2006/relationships/ctrlProp" Target="../ctrlProps/ctrlProp357.xml"/><Relationship Id="rId79" Type="http://schemas.openxmlformats.org/officeDocument/2006/relationships/ctrlProp" Target="../ctrlProps/ctrlProp362.xml"/><Relationship Id="rId5" Type="http://schemas.openxmlformats.org/officeDocument/2006/relationships/ctrlProp" Target="../ctrlProps/ctrlProp288.xml"/><Relationship Id="rId61" Type="http://schemas.openxmlformats.org/officeDocument/2006/relationships/ctrlProp" Target="../ctrlProps/ctrlProp344.xml"/><Relationship Id="rId19" Type="http://schemas.openxmlformats.org/officeDocument/2006/relationships/ctrlProp" Target="../ctrlProps/ctrlProp302.xml"/><Relationship Id="rId14" Type="http://schemas.openxmlformats.org/officeDocument/2006/relationships/ctrlProp" Target="../ctrlProps/ctrlProp297.xml"/><Relationship Id="rId22" Type="http://schemas.openxmlformats.org/officeDocument/2006/relationships/ctrlProp" Target="../ctrlProps/ctrlProp305.xml"/><Relationship Id="rId27" Type="http://schemas.openxmlformats.org/officeDocument/2006/relationships/ctrlProp" Target="../ctrlProps/ctrlProp310.xml"/><Relationship Id="rId30" Type="http://schemas.openxmlformats.org/officeDocument/2006/relationships/ctrlProp" Target="../ctrlProps/ctrlProp313.xml"/><Relationship Id="rId35" Type="http://schemas.openxmlformats.org/officeDocument/2006/relationships/ctrlProp" Target="../ctrlProps/ctrlProp318.xml"/><Relationship Id="rId43" Type="http://schemas.openxmlformats.org/officeDocument/2006/relationships/ctrlProp" Target="../ctrlProps/ctrlProp326.xml"/><Relationship Id="rId48" Type="http://schemas.openxmlformats.org/officeDocument/2006/relationships/ctrlProp" Target="../ctrlProps/ctrlProp331.xml"/><Relationship Id="rId56" Type="http://schemas.openxmlformats.org/officeDocument/2006/relationships/ctrlProp" Target="../ctrlProps/ctrlProp339.xml"/><Relationship Id="rId64" Type="http://schemas.openxmlformats.org/officeDocument/2006/relationships/ctrlProp" Target="../ctrlProps/ctrlProp347.xml"/><Relationship Id="rId69" Type="http://schemas.openxmlformats.org/officeDocument/2006/relationships/ctrlProp" Target="../ctrlProps/ctrlProp352.xml"/><Relationship Id="rId77" Type="http://schemas.openxmlformats.org/officeDocument/2006/relationships/ctrlProp" Target="../ctrlProps/ctrlProp360.xml"/><Relationship Id="rId8" Type="http://schemas.openxmlformats.org/officeDocument/2006/relationships/ctrlProp" Target="../ctrlProps/ctrlProp291.xml"/><Relationship Id="rId51" Type="http://schemas.openxmlformats.org/officeDocument/2006/relationships/ctrlProp" Target="../ctrlProps/ctrlProp334.xml"/><Relationship Id="rId72" Type="http://schemas.openxmlformats.org/officeDocument/2006/relationships/ctrlProp" Target="../ctrlProps/ctrlProp355.xml"/><Relationship Id="rId80" Type="http://schemas.openxmlformats.org/officeDocument/2006/relationships/ctrlProp" Target="../ctrlProps/ctrlProp363.xml"/><Relationship Id="rId3" Type="http://schemas.openxmlformats.org/officeDocument/2006/relationships/vmlDrawing" Target="../drawings/vmlDrawing4.vml"/><Relationship Id="rId12" Type="http://schemas.openxmlformats.org/officeDocument/2006/relationships/ctrlProp" Target="../ctrlProps/ctrlProp295.xml"/><Relationship Id="rId17" Type="http://schemas.openxmlformats.org/officeDocument/2006/relationships/ctrlProp" Target="../ctrlProps/ctrlProp300.xml"/><Relationship Id="rId25" Type="http://schemas.openxmlformats.org/officeDocument/2006/relationships/ctrlProp" Target="../ctrlProps/ctrlProp308.xml"/><Relationship Id="rId33" Type="http://schemas.openxmlformats.org/officeDocument/2006/relationships/ctrlProp" Target="../ctrlProps/ctrlProp316.xml"/><Relationship Id="rId38" Type="http://schemas.openxmlformats.org/officeDocument/2006/relationships/ctrlProp" Target="../ctrlProps/ctrlProp321.xml"/><Relationship Id="rId46" Type="http://schemas.openxmlformats.org/officeDocument/2006/relationships/ctrlProp" Target="../ctrlProps/ctrlProp329.xml"/><Relationship Id="rId59" Type="http://schemas.openxmlformats.org/officeDocument/2006/relationships/ctrlProp" Target="../ctrlProps/ctrlProp342.xml"/><Relationship Id="rId67" Type="http://schemas.openxmlformats.org/officeDocument/2006/relationships/ctrlProp" Target="../ctrlProps/ctrlProp350.xml"/><Relationship Id="rId20" Type="http://schemas.openxmlformats.org/officeDocument/2006/relationships/ctrlProp" Target="../ctrlProps/ctrlProp303.xml"/><Relationship Id="rId41" Type="http://schemas.openxmlformats.org/officeDocument/2006/relationships/ctrlProp" Target="../ctrlProps/ctrlProp324.xml"/><Relationship Id="rId54" Type="http://schemas.openxmlformats.org/officeDocument/2006/relationships/ctrlProp" Target="../ctrlProps/ctrlProp337.xml"/><Relationship Id="rId62" Type="http://schemas.openxmlformats.org/officeDocument/2006/relationships/ctrlProp" Target="../ctrlProps/ctrlProp345.xml"/><Relationship Id="rId70" Type="http://schemas.openxmlformats.org/officeDocument/2006/relationships/ctrlProp" Target="../ctrlProps/ctrlProp353.xml"/><Relationship Id="rId75" Type="http://schemas.openxmlformats.org/officeDocument/2006/relationships/ctrlProp" Target="../ctrlProps/ctrlProp358.xml"/><Relationship Id="rId1" Type="http://schemas.openxmlformats.org/officeDocument/2006/relationships/printerSettings" Target="../printerSettings/printerSettings2.bin"/><Relationship Id="rId6" Type="http://schemas.openxmlformats.org/officeDocument/2006/relationships/ctrlProp" Target="../ctrlProps/ctrlProp289.xml"/><Relationship Id="rId15" Type="http://schemas.openxmlformats.org/officeDocument/2006/relationships/ctrlProp" Target="../ctrlProps/ctrlProp298.xml"/><Relationship Id="rId23" Type="http://schemas.openxmlformats.org/officeDocument/2006/relationships/ctrlProp" Target="../ctrlProps/ctrlProp306.xml"/><Relationship Id="rId28" Type="http://schemas.openxmlformats.org/officeDocument/2006/relationships/ctrlProp" Target="../ctrlProps/ctrlProp311.xml"/><Relationship Id="rId36" Type="http://schemas.openxmlformats.org/officeDocument/2006/relationships/ctrlProp" Target="../ctrlProps/ctrlProp319.xml"/><Relationship Id="rId49" Type="http://schemas.openxmlformats.org/officeDocument/2006/relationships/ctrlProp" Target="../ctrlProps/ctrlProp332.xml"/><Relationship Id="rId57" Type="http://schemas.openxmlformats.org/officeDocument/2006/relationships/ctrlProp" Target="../ctrlProps/ctrlProp340.xml"/><Relationship Id="rId10" Type="http://schemas.openxmlformats.org/officeDocument/2006/relationships/ctrlProp" Target="../ctrlProps/ctrlProp293.xml"/><Relationship Id="rId31" Type="http://schemas.openxmlformats.org/officeDocument/2006/relationships/ctrlProp" Target="../ctrlProps/ctrlProp314.xml"/><Relationship Id="rId44" Type="http://schemas.openxmlformats.org/officeDocument/2006/relationships/ctrlProp" Target="../ctrlProps/ctrlProp327.xml"/><Relationship Id="rId52" Type="http://schemas.openxmlformats.org/officeDocument/2006/relationships/ctrlProp" Target="../ctrlProps/ctrlProp335.xml"/><Relationship Id="rId60" Type="http://schemas.openxmlformats.org/officeDocument/2006/relationships/ctrlProp" Target="../ctrlProps/ctrlProp343.xml"/><Relationship Id="rId65" Type="http://schemas.openxmlformats.org/officeDocument/2006/relationships/ctrlProp" Target="../ctrlProps/ctrlProp348.xml"/><Relationship Id="rId73" Type="http://schemas.openxmlformats.org/officeDocument/2006/relationships/ctrlProp" Target="../ctrlProps/ctrlProp356.xml"/><Relationship Id="rId78" Type="http://schemas.openxmlformats.org/officeDocument/2006/relationships/ctrlProp" Target="../ctrlProps/ctrlProp361.xml"/><Relationship Id="rId4" Type="http://schemas.openxmlformats.org/officeDocument/2006/relationships/ctrlProp" Target="../ctrlProps/ctrlProp287.xml"/><Relationship Id="rId9" Type="http://schemas.openxmlformats.org/officeDocument/2006/relationships/ctrlProp" Target="../ctrlProps/ctrlProp292.xml"/><Relationship Id="rId13" Type="http://schemas.openxmlformats.org/officeDocument/2006/relationships/ctrlProp" Target="../ctrlProps/ctrlProp296.xml"/><Relationship Id="rId18" Type="http://schemas.openxmlformats.org/officeDocument/2006/relationships/ctrlProp" Target="../ctrlProps/ctrlProp301.xml"/><Relationship Id="rId39" Type="http://schemas.openxmlformats.org/officeDocument/2006/relationships/ctrlProp" Target="../ctrlProps/ctrlProp322.xml"/><Relationship Id="rId34" Type="http://schemas.openxmlformats.org/officeDocument/2006/relationships/ctrlProp" Target="../ctrlProps/ctrlProp317.xml"/><Relationship Id="rId50" Type="http://schemas.openxmlformats.org/officeDocument/2006/relationships/ctrlProp" Target="../ctrlProps/ctrlProp333.xml"/><Relationship Id="rId55" Type="http://schemas.openxmlformats.org/officeDocument/2006/relationships/ctrlProp" Target="../ctrlProps/ctrlProp338.xml"/><Relationship Id="rId76" Type="http://schemas.openxmlformats.org/officeDocument/2006/relationships/ctrlProp" Target="../ctrlProps/ctrlProp359.xml"/><Relationship Id="rId7" Type="http://schemas.openxmlformats.org/officeDocument/2006/relationships/ctrlProp" Target="../ctrlProps/ctrlProp290.xml"/><Relationship Id="rId71" Type="http://schemas.openxmlformats.org/officeDocument/2006/relationships/ctrlProp" Target="../ctrlProps/ctrlProp354.xml"/><Relationship Id="rId2" Type="http://schemas.openxmlformats.org/officeDocument/2006/relationships/drawing" Target="../drawings/drawing6.xml"/><Relationship Id="rId29" Type="http://schemas.openxmlformats.org/officeDocument/2006/relationships/ctrlProp" Target="../ctrlProps/ctrlProp3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1.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2.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5.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8.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4.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6.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3.bin"/><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7.bin"/><Relationship Id="rId1" Type="http://schemas.openxmlformats.org/officeDocument/2006/relationships/hyperlink" Target="http://www.mpfiltri.co.uk/"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drawing" Target="../drawings/drawing13.xml"/><Relationship Id="rId7" Type="http://schemas.openxmlformats.org/officeDocument/2006/relationships/oleObject" Target="../embeddings/oleObject5.bin"/><Relationship Id="rId2" Type="http://schemas.openxmlformats.org/officeDocument/2006/relationships/printerSettings" Target="../printerSettings/printerSettings9.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4.bin"/><Relationship Id="rId4"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1.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6.bin"/><Relationship Id="rId4"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7.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8.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9.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16.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12.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N93"/>
  <sheetViews>
    <sheetView workbookViewId="0">
      <selection activeCell="O19" sqref="O19"/>
    </sheetView>
  </sheetViews>
  <sheetFormatPr defaultColWidth="9.1328125" defaultRowHeight="12.75" x14ac:dyDescent="0.35"/>
  <cols>
    <col min="1" max="1" width="8.265625" style="4" customWidth="1"/>
    <col min="2" max="2" width="9.59765625" style="4" bestFit="1" customWidth="1"/>
    <col min="3" max="3" width="10.1328125" style="4" bestFit="1" customWidth="1"/>
    <col min="4" max="4" width="10.265625" style="4" customWidth="1"/>
    <col min="5" max="5" width="6.3984375" style="4" customWidth="1"/>
    <col min="6" max="6" width="13.1328125" style="5" customWidth="1"/>
    <col min="7" max="7" width="6.3984375" style="4" customWidth="1"/>
    <col min="8" max="9" width="12.3984375" style="4" bestFit="1" customWidth="1"/>
    <col min="10" max="10" width="6.3984375" style="4" customWidth="1"/>
    <col min="11" max="11" width="12.86328125" style="4" customWidth="1"/>
    <col min="12" max="12" width="12.86328125" style="5" customWidth="1"/>
    <col min="13" max="13" width="12.86328125" style="4" customWidth="1"/>
    <col min="14" max="14" width="12.86328125" style="5" customWidth="1"/>
    <col min="15" max="16384" width="9.1328125" style="1"/>
  </cols>
  <sheetData>
    <row r="1" spans="1:14" ht="15" x14ac:dyDescent="0.4">
      <c r="A1" s="20" t="s">
        <v>0</v>
      </c>
      <c r="H1" s="20" t="s">
        <v>1</v>
      </c>
    </row>
    <row r="2" spans="1:14" x14ac:dyDescent="0.35">
      <c r="H2" s="4">
        <v>4</v>
      </c>
      <c r="K2" s="18" t="s">
        <v>2</v>
      </c>
      <c r="L2" s="19"/>
      <c r="M2" s="18" t="s">
        <v>3</v>
      </c>
      <c r="N2" s="19"/>
    </row>
    <row r="3" spans="1:14" s="2" customFormat="1" ht="27" customHeight="1" x14ac:dyDescent="0.35">
      <c r="A3" s="3" t="s">
        <v>4</v>
      </c>
      <c r="B3" s="3" t="s">
        <v>5</v>
      </c>
      <c r="C3" s="3" t="s">
        <v>6</v>
      </c>
      <c r="D3" s="15" t="s">
        <v>7</v>
      </c>
      <c r="F3" s="16" t="s">
        <v>8</v>
      </c>
      <c r="H3" s="17" t="s">
        <v>4</v>
      </c>
      <c r="I3" s="17" t="s">
        <v>6</v>
      </c>
      <c r="K3" s="17" t="s">
        <v>9</v>
      </c>
      <c r="L3" s="16" t="s">
        <v>10</v>
      </c>
      <c r="M3" s="17" t="s">
        <v>9</v>
      </c>
      <c r="N3" s="16" t="s">
        <v>10</v>
      </c>
    </row>
    <row r="4" spans="1:14" ht="13.15" x14ac:dyDescent="0.4">
      <c r="A4" s="45">
        <v>1</v>
      </c>
      <c r="B4" s="46">
        <v>108400</v>
      </c>
      <c r="C4" s="43">
        <f>B4/2.8</f>
        <v>38714.285714285717</v>
      </c>
      <c r="D4" s="49">
        <v>0.27400000000000002</v>
      </c>
      <c r="F4" s="27">
        <f>LN(C4)</f>
        <v>10.563963950806524</v>
      </c>
      <c r="H4" s="50">
        <v>50</v>
      </c>
      <c r="I4" s="12" t="e">
        <f ca="1">EXP(interpolate($A$4:$A$93, $F$4:$F$93, $H4,$H$2,FALSE))</f>
        <v>#NAME?</v>
      </c>
      <c r="K4" s="24">
        <v>1</v>
      </c>
      <c r="L4" s="21" t="e">
        <f ca="1">EXP(interpolate($A$4:$A$92, $F$4:$F$92, $K4,$H$2,TRUE))</f>
        <v>#NAME?</v>
      </c>
      <c r="M4" s="24">
        <v>1</v>
      </c>
      <c r="N4" s="21" t="e">
        <f ca="1">EXP(interpolate($A$4:$A$93, $F$4:$F$93, M4,$H$2,TRUE))</f>
        <v>#NAME?</v>
      </c>
    </row>
    <row r="5" spans="1:14" ht="13.15" x14ac:dyDescent="0.4">
      <c r="A5" s="45">
        <v>2</v>
      </c>
      <c r="B5" s="46">
        <v>27035</v>
      </c>
      <c r="C5" s="43">
        <f t="shared" ref="C5:C53" si="0">B5/2.8</f>
        <v>9655.3571428571431</v>
      </c>
      <c r="D5" s="49">
        <v>0.26500000000000001</v>
      </c>
      <c r="F5" s="27">
        <f t="shared" ref="F5:F53" si="1">LN(C5)</f>
        <v>9.1752681846349464</v>
      </c>
      <c r="K5" s="25">
        <v>1.1000000000000001</v>
      </c>
      <c r="L5" s="22" t="e">
        <f t="shared" ref="L5:L68" ca="1" si="2">EXP(interpolate($A$4:$A$92, $F$4:$F$92, $K5,$H$2,TRUE))</f>
        <v>#NAME?</v>
      </c>
      <c r="M5" s="25">
        <v>2</v>
      </c>
      <c r="N5" s="22" t="e">
        <f t="shared" ref="N5:N68" ca="1" si="3">EXP(interpolate($A$4:$A$93, $F$4:$F$93, M5,$H$2,TRUE))</f>
        <v>#NAME?</v>
      </c>
    </row>
    <row r="6" spans="1:14" ht="13.15" x14ac:dyDescent="0.4">
      <c r="A6" s="45">
        <v>3</v>
      </c>
      <c r="B6" s="46">
        <v>11209</v>
      </c>
      <c r="C6" s="43">
        <f t="shared" si="0"/>
        <v>4003.2142857142858</v>
      </c>
      <c r="D6" s="49">
        <v>0.27200000000000002</v>
      </c>
      <c r="F6" s="27">
        <f t="shared" si="1"/>
        <v>8.2948528888399373</v>
      </c>
      <c r="K6" s="25">
        <v>1.2</v>
      </c>
      <c r="L6" s="22" t="e">
        <f t="shared" ca="1" si="2"/>
        <v>#NAME?</v>
      </c>
      <c r="M6" s="25">
        <v>3</v>
      </c>
      <c r="N6" s="22" t="e">
        <f t="shared" ca="1" si="3"/>
        <v>#NAME?</v>
      </c>
    </row>
    <row r="7" spans="1:14" ht="13.15" x14ac:dyDescent="0.4">
      <c r="A7" s="45">
        <v>4</v>
      </c>
      <c r="B7" s="46">
        <v>6095</v>
      </c>
      <c r="C7" s="43">
        <f t="shared" si="0"/>
        <v>2176.7857142857142</v>
      </c>
      <c r="D7" s="49">
        <v>0.308</v>
      </c>
      <c r="F7" s="27">
        <f t="shared" si="1"/>
        <v>7.6856046247342134</v>
      </c>
      <c r="K7" s="25">
        <v>1.3</v>
      </c>
      <c r="L7" s="22" t="e">
        <f t="shared" ca="1" si="2"/>
        <v>#NAME?</v>
      </c>
      <c r="M7" s="25">
        <v>4</v>
      </c>
      <c r="N7" s="22" t="e">
        <f t="shared" ca="1" si="3"/>
        <v>#NAME?</v>
      </c>
    </row>
    <row r="8" spans="1:14" ht="13.15" x14ac:dyDescent="0.4">
      <c r="A8" s="45">
        <v>5</v>
      </c>
      <c r="B8" s="46">
        <v>3737</v>
      </c>
      <c r="C8" s="43">
        <f t="shared" si="0"/>
        <v>1334.6428571428573</v>
      </c>
      <c r="D8" s="49">
        <v>0.41399999999999998</v>
      </c>
      <c r="F8" s="27">
        <f t="shared" si="1"/>
        <v>7.1964190123043261</v>
      </c>
      <c r="H8" s="8" t="s">
        <v>11</v>
      </c>
      <c r="I8" s="51">
        <v>10000</v>
      </c>
      <c r="K8" s="25">
        <v>1.4</v>
      </c>
      <c r="L8" s="22" t="e">
        <f t="shared" ca="1" si="2"/>
        <v>#NAME?</v>
      </c>
      <c r="M8" s="25">
        <v>5</v>
      </c>
      <c r="N8" s="22" t="e">
        <f t="shared" ca="1" si="3"/>
        <v>#NAME?</v>
      </c>
    </row>
    <row r="9" spans="1:14" ht="13.15" x14ac:dyDescent="0.4">
      <c r="A9" s="45">
        <v>6</v>
      </c>
      <c r="B9" s="46">
        <v>2395</v>
      </c>
      <c r="C9" s="43">
        <f t="shared" si="0"/>
        <v>855.35714285714289</v>
      </c>
      <c r="D9" s="49">
        <v>0.56000000000000005</v>
      </c>
      <c r="F9" s="27">
        <f t="shared" si="1"/>
        <v>6.7515190926638571</v>
      </c>
      <c r="H9" s="8" t="s">
        <v>12</v>
      </c>
      <c r="I9" s="12">
        <f>LN(I8)</f>
        <v>9.2103403719761836</v>
      </c>
      <c r="K9" s="25">
        <v>1.5</v>
      </c>
      <c r="L9" s="22" t="e">
        <f t="shared" ca="1" si="2"/>
        <v>#NAME?</v>
      </c>
      <c r="M9" s="25">
        <v>6</v>
      </c>
      <c r="N9" s="22" t="e">
        <f t="shared" ca="1" si="3"/>
        <v>#NAME?</v>
      </c>
    </row>
    <row r="10" spans="1:14" ht="13.15" x14ac:dyDescent="0.4">
      <c r="A10" s="45">
        <v>7</v>
      </c>
      <c r="B10" s="46">
        <v>1573</v>
      </c>
      <c r="C10" s="43">
        <f t="shared" si="0"/>
        <v>561.78571428571433</v>
      </c>
      <c r="D10" s="49">
        <v>0.54200000000000004</v>
      </c>
      <c r="F10" s="27">
        <f t="shared" si="1"/>
        <v>6.3311204858771193</v>
      </c>
      <c r="H10" s="8" t="s">
        <v>4</v>
      </c>
      <c r="I10" s="12" t="e">
        <f ca="1">interpolate($F$4:$F$93, $A$4:$A$93, $I9,$H$2,FALSE)</f>
        <v>#NAME?</v>
      </c>
      <c r="K10" s="25">
        <v>1.6</v>
      </c>
      <c r="L10" s="22" t="e">
        <f t="shared" ca="1" si="2"/>
        <v>#NAME?</v>
      </c>
      <c r="M10" s="25">
        <v>7</v>
      </c>
      <c r="N10" s="22" t="e">
        <f t="shared" ca="1" si="3"/>
        <v>#NAME?</v>
      </c>
    </row>
    <row r="11" spans="1:14" ht="13.15" x14ac:dyDescent="0.4">
      <c r="A11" s="45">
        <v>8</v>
      </c>
      <c r="B11" s="46">
        <v>1055</v>
      </c>
      <c r="C11" s="43">
        <f t="shared" si="0"/>
        <v>376.78571428571433</v>
      </c>
      <c r="D11" s="49">
        <v>0.499</v>
      </c>
      <c r="F11" s="27">
        <f t="shared" si="1"/>
        <v>5.9316766287290088</v>
      </c>
      <c r="K11" s="25">
        <v>1.7</v>
      </c>
      <c r="L11" s="22" t="e">
        <f t="shared" ca="1" si="2"/>
        <v>#NAME?</v>
      </c>
      <c r="M11" s="25">
        <v>8</v>
      </c>
      <c r="N11" s="22" t="e">
        <f t="shared" ca="1" si="3"/>
        <v>#NAME?</v>
      </c>
    </row>
    <row r="12" spans="1:14" ht="13.15" x14ac:dyDescent="0.4">
      <c r="A12" s="45">
        <v>9</v>
      </c>
      <c r="B12" s="46">
        <v>725.8</v>
      </c>
      <c r="C12" s="43">
        <f t="shared" si="0"/>
        <v>259.21428571428572</v>
      </c>
      <c r="D12" s="49">
        <v>0.54400000000000004</v>
      </c>
      <c r="F12" s="27">
        <f t="shared" si="1"/>
        <v>5.5576550775978122</v>
      </c>
      <c r="K12" s="25">
        <v>1.8</v>
      </c>
      <c r="L12" s="22" t="e">
        <f t="shared" ca="1" si="2"/>
        <v>#NAME?</v>
      </c>
      <c r="M12" s="25">
        <v>9</v>
      </c>
      <c r="N12" s="22" t="e">
        <f t="shared" ca="1" si="3"/>
        <v>#NAME?</v>
      </c>
    </row>
    <row r="13" spans="1:14" ht="13.15" x14ac:dyDescent="0.4">
      <c r="A13" s="45">
        <v>10</v>
      </c>
      <c r="B13" s="46">
        <v>513.70000000000005</v>
      </c>
      <c r="C13" s="43">
        <f t="shared" si="0"/>
        <v>183.46428571428575</v>
      </c>
      <c r="D13" s="49">
        <v>0.64300000000000002</v>
      </c>
      <c r="F13" s="27">
        <f t="shared" si="1"/>
        <v>5.2120200202920639</v>
      </c>
      <c r="K13" s="25">
        <v>1.9</v>
      </c>
      <c r="L13" s="22" t="e">
        <f t="shared" ca="1" si="2"/>
        <v>#NAME?</v>
      </c>
      <c r="M13" s="25">
        <v>10</v>
      </c>
      <c r="N13" s="22" t="e">
        <f t="shared" ca="1" si="3"/>
        <v>#NAME?</v>
      </c>
    </row>
    <row r="14" spans="1:14" ht="13.15" x14ac:dyDescent="0.4">
      <c r="A14" s="45">
        <v>11</v>
      </c>
      <c r="B14" s="46">
        <v>374.6</v>
      </c>
      <c r="C14" s="43">
        <f t="shared" si="0"/>
        <v>133.78571428571431</v>
      </c>
      <c r="D14" s="49">
        <v>0.75900000000000001</v>
      </c>
      <c r="F14" s="27">
        <f t="shared" si="1"/>
        <v>4.8962393728288305</v>
      </c>
      <c r="H14" s="8">
        <v>2</v>
      </c>
      <c r="I14" s="12" t="e">
        <f ca="1">mtd($H$14)</f>
        <v>#NAME?</v>
      </c>
      <c r="K14" s="25">
        <v>2</v>
      </c>
      <c r="L14" s="22" t="e">
        <f t="shared" ca="1" si="2"/>
        <v>#NAME?</v>
      </c>
      <c r="M14" s="25">
        <v>11</v>
      </c>
      <c r="N14" s="22" t="e">
        <f t="shared" ca="1" si="3"/>
        <v>#NAME?</v>
      </c>
    </row>
    <row r="15" spans="1:14" ht="13.15" x14ac:dyDescent="0.4">
      <c r="A15" s="45">
        <v>12</v>
      </c>
      <c r="B15" s="46">
        <v>281</v>
      </c>
      <c r="C15" s="43">
        <f t="shared" si="0"/>
        <v>100.35714285714286</v>
      </c>
      <c r="D15" s="49">
        <v>0.98099999999999998</v>
      </c>
      <c r="F15" s="27">
        <f t="shared" si="1"/>
        <v>4.6087352521525879</v>
      </c>
      <c r="K15" s="25">
        <v>2.1</v>
      </c>
      <c r="L15" s="22" t="e">
        <f t="shared" ca="1" si="2"/>
        <v>#NAME?</v>
      </c>
      <c r="M15" s="25">
        <v>12</v>
      </c>
      <c r="N15" s="22" t="e">
        <f t="shared" ca="1" si="3"/>
        <v>#NAME?</v>
      </c>
    </row>
    <row r="16" spans="1:14" ht="13.15" x14ac:dyDescent="0.4">
      <c r="A16" s="45">
        <v>13</v>
      </c>
      <c r="B16" s="46">
        <v>216.4</v>
      </c>
      <c r="C16" s="43">
        <f t="shared" si="0"/>
        <v>77.285714285714292</v>
      </c>
      <c r="D16" s="49">
        <v>1.2729999999999999</v>
      </c>
      <c r="F16" s="27">
        <f t="shared" si="1"/>
        <v>4.3475091297911685</v>
      </c>
      <c r="K16" s="25">
        <v>2.2000000000000002</v>
      </c>
      <c r="L16" s="22" t="e">
        <f t="shared" ca="1" si="2"/>
        <v>#NAME?</v>
      </c>
      <c r="M16" s="25">
        <v>13</v>
      </c>
      <c r="N16" s="22" t="e">
        <f t="shared" ca="1" si="3"/>
        <v>#NAME?</v>
      </c>
    </row>
    <row r="17" spans="1:14" ht="13.15" x14ac:dyDescent="0.4">
      <c r="A17" s="45">
        <v>14</v>
      </c>
      <c r="B17" s="46">
        <v>170.4</v>
      </c>
      <c r="C17" s="43">
        <f t="shared" si="0"/>
        <v>60.857142857142861</v>
      </c>
      <c r="D17" s="49">
        <v>1.655</v>
      </c>
      <c r="F17" s="27">
        <f t="shared" si="1"/>
        <v>4.1085291972140574</v>
      </c>
      <c r="H17" s="12" t="e">
        <f ca="1">mtd(1.7575)</f>
        <v>#NAME?</v>
      </c>
      <c r="K17" s="25">
        <v>2.2999999999999998</v>
      </c>
      <c r="L17" s="22" t="e">
        <f t="shared" ca="1" si="2"/>
        <v>#NAME?</v>
      </c>
      <c r="M17" s="25">
        <v>14</v>
      </c>
      <c r="N17" s="22" t="e">
        <f t="shared" ca="1" si="3"/>
        <v>#NAME?</v>
      </c>
    </row>
    <row r="18" spans="1:14" ht="13.15" x14ac:dyDescent="0.4">
      <c r="A18" s="45">
        <v>15</v>
      </c>
      <c r="B18" s="46">
        <v>136.80000000000001</v>
      </c>
      <c r="C18" s="43">
        <f t="shared" si="0"/>
        <v>48.857142857142861</v>
      </c>
      <c r="D18" s="49">
        <v>2.2109999999999999</v>
      </c>
      <c r="F18" s="27">
        <f t="shared" si="1"/>
        <v>3.8889005880072918</v>
      </c>
      <c r="K18" s="25">
        <v>2.4</v>
      </c>
      <c r="L18" s="22" t="e">
        <f t="shared" ca="1" si="2"/>
        <v>#NAME?</v>
      </c>
      <c r="M18" s="25">
        <v>15</v>
      </c>
      <c r="N18" s="22" t="e">
        <f t="shared" ca="1" si="3"/>
        <v>#NAME?</v>
      </c>
    </row>
    <row r="19" spans="1:14" ht="13.15" x14ac:dyDescent="0.4">
      <c r="A19" s="45">
        <v>16</v>
      </c>
      <c r="B19" s="46">
        <v>111.3</v>
      </c>
      <c r="C19" s="43">
        <f t="shared" si="0"/>
        <v>39.75</v>
      </c>
      <c r="D19" s="49">
        <v>2.4140000000000001</v>
      </c>
      <c r="F19" s="27">
        <f t="shared" si="1"/>
        <v>3.6826098411003407</v>
      </c>
      <c r="H19" s="4" t="s">
        <v>13</v>
      </c>
      <c r="K19" s="25">
        <v>2.5</v>
      </c>
      <c r="L19" s="22" t="e">
        <f t="shared" ca="1" si="2"/>
        <v>#NAME?</v>
      </c>
      <c r="M19" s="25">
        <v>16</v>
      </c>
      <c r="N19" s="22" t="e">
        <f t="shared" ca="1" si="3"/>
        <v>#NAME?</v>
      </c>
    </row>
    <row r="20" spans="1:14" ht="13.15" x14ac:dyDescent="0.4">
      <c r="A20" s="45">
        <v>17</v>
      </c>
      <c r="B20" s="46">
        <v>91.33</v>
      </c>
      <c r="C20" s="43">
        <f t="shared" si="0"/>
        <v>32.617857142857147</v>
      </c>
      <c r="D20" s="49">
        <v>2.91</v>
      </c>
      <c r="F20" s="27">
        <f t="shared" si="1"/>
        <v>3.4848599035224295</v>
      </c>
      <c r="K20" s="25">
        <v>2.6</v>
      </c>
      <c r="L20" s="22" t="e">
        <f t="shared" ca="1" si="2"/>
        <v>#NAME?</v>
      </c>
      <c r="M20" s="25">
        <v>17</v>
      </c>
      <c r="N20" s="22" t="e">
        <f t="shared" ca="1" si="3"/>
        <v>#NAME?</v>
      </c>
    </row>
    <row r="21" spans="1:14" ht="13.15" x14ac:dyDescent="0.4">
      <c r="A21" s="45">
        <v>18</v>
      </c>
      <c r="B21" s="46">
        <v>75.290000000000006</v>
      </c>
      <c r="C21" s="43">
        <f t="shared" si="0"/>
        <v>26.88928571428572</v>
      </c>
      <c r="D21" s="49">
        <v>3.444</v>
      </c>
      <c r="F21" s="27">
        <f t="shared" si="1"/>
        <v>3.2917279066808729</v>
      </c>
      <c r="K21" s="25">
        <v>2.7</v>
      </c>
      <c r="L21" s="22" t="e">
        <f t="shared" ca="1" si="2"/>
        <v>#NAME?</v>
      </c>
      <c r="M21" s="25">
        <v>18</v>
      </c>
      <c r="N21" s="22" t="e">
        <f t="shared" ca="1" si="3"/>
        <v>#NAME?</v>
      </c>
    </row>
    <row r="22" spans="1:14" ht="13.15" x14ac:dyDescent="0.4">
      <c r="A22" s="45">
        <v>19</v>
      </c>
      <c r="B22" s="46">
        <v>62.17</v>
      </c>
      <c r="C22" s="43">
        <f t="shared" si="0"/>
        <v>22.203571428571429</v>
      </c>
      <c r="D22" s="49">
        <v>4.101</v>
      </c>
      <c r="F22" s="27">
        <f t="shared" si="1"/>
        <v>3.1002531511000879</v>
      </c>
      <c r="H22" s="10"/>
      <c r="I22" s="9" t="s">
        <v>14</v>
      </c>
      <c r="K22" s="25">
        <v>2.8</v>
      </c>
      <c r="L22" s="22" t="e">
        <f t="shared" ca="1" si="2"/>
        <v>#NAME?</v>
      </c>
      <c r="M22" s="25">
        <v>19</v>
      </c>
      <c r="N22" s="22" t="e">
        <f t="shared" ca="1" si="3"/>
        <v>#NAME?</v>
      </c>
    </row>
    <row r="23" spans="1:14" ht="13.15" x14ac:dyDescent="0.4">
      <c r="A23" s="45">
        <v>20</v>
      </c>
      <c r="B23" s="46">
        <v>51.35</v>
      </c>
      <c r="C23" s="43">
        <f t="shared" si="0"/>
        <v>18.339285714285715</v>
      </c>
      <c r="D23" s="49">
        <v>5.0449999999999999</v>
      </c>
      <c r="F23" s="27">
        <f t="shared" si="1"/>
        <v>2.909045519193409</v>
      </c>
      <c r="H23" s="1"/>
      <c r="I23" s="1"/>
      <c r="K23" s="25">
        <v>2.9</v>
      </c>
      <c r="L23" s="22" t="e">
        <f t="shared" ca="1" si="2"/>
        <v>#NAME?</v>
      </c>
      <c r="M23" s="25">
        <v>20</v>
      </c>
      <c r="N23" s="22" t="e">
        <f t="shared" ca="1" si="3"/>
        <v>#NAME?</v>
      </c>
    </row>
    <row r="24" spans="1:14" ht="13.15" x14ac:dyDescent="0.4">
      <c r="A24" s="45">
        <v>21</v>
      </c>
      <c r="B24" s="46">
        <v>42.4</v>
      </c>
      <c r="C24" s="43">
        <f t="shared" si="0"/>
        <v>15.142857142857144</v>
      </c>
      <c r="D24" s="49">
        <v>4.976</v>
      </c>
      <c r="F24" s="27">
        <f t="shared" si="1"/>
        <v>2.7175289450567539</v>
      </c>
      <c r="H24" s="11"/>
      <c r="I24" s="9" t="s">
        <v>15</v>
      </c>
      <c r="K24" s="25">
        <v>3</v>
      </c>
      <c r="L24" s="22" t="e">
        <f t="shared" ca="1" si="2"/>
        <v>#NAME?</v>
      </c>
      <c r="M24" s="25">
        <v>21</v>
      </c>
      <c r="N24" s="22" t="e">
        <f t="shared" ca="1" si="3"/>
        <v>#NAME?</v>
      </c>
    </row>
    <row r="25" spans="1:14" ht="13.15" x14ac:dyDescent="0.4">
      <c r="A25" s="45">
        <v>22</v>
      </c>
      <c r="B25" s="46">
        <v>35.01</v>
      </c>
      <c r="C25" s="43">
        <f t="shared" si="0"/>
        <v>12.503571428571428</v>
      </c>
      <c r="D25" s="49">
        <v>5.508</v>
      </c>
      <c r="F25" s="27">
        <f t="shared" si="1"/>
        <v>2.5260143177854162</v>
      </c>
      <c r="H25" s="1"/>
      <c r="I25" s="1"/>
      <c r="K25" s="25">
        <v>3.1</v>
      </c>
      <c r="L25" s="22" t="e">
        <f t="shared" ca="1" si="2"/>
        <v>#NAME?</v>
      </c>
      <c r="M25" s="25">
        <v>22</v>
      </c>
      <c r="N25" s="22" t="e">
        <f t="shared" ca="1" si="3"/>
        <v>#NAME?</v>
      </c>
    </row>
    <row r="26" spans="1:14" ht="13.15" x14ac:dyDescent="0.4">
      <c r="A26" s="45">
        <v>23</v>
      </c>
      <c r="B26" s="46">
        <v>28.95</v>
      </c>
      <c r="C26" s="43">
        <f t="shared" si="0"/>
        <v>10.339285714285715</v>
      </c>
      <c r="D26" s="49">
        <v>5.9409999999999998</v>
      </c>
      <c r="F26" s="27">
        <f t="shared" si="1"/>
        <v>2.335950786837846</v>
      </c>
      <c r="H26" s="7"/>
      <c r="I26" s="9" t="s">
        <v>16</v>
      </c>
      <c r="K26" s="25">
        <v>3.2</v>
      </c>
      <c r="L26" s="22" t="e">
        <f t="shared" ca="1" si="2"/>
        <v>#NAME?</v>
      </c>
      <c r="M26" s="25">
        <v>23</v>
      </c>
      <c r="N26" s="22" t="e">
        <f t="shared" ca="1" si="3"/>
        <v>#NAME?</v>
      </c>
    </row>
    <row r="27" spans="1:14" ht="13.15" x14ac:dyDescent="0.4">
      <c r="A27" s="45">
        <v>24</v>
      </c>
      <c r="B27" s="46">
        <v>23.99</v>
      </c>
      <c r="C27" s="43">
        <f t="shared" si="0"/>
        <v>8.5678571428571431</v>
      </c>
      <c r="D27" s="49">
        <v>6.5730000000000004</v>
      </c>
      <c r="F27" s="27">
        <f t="shared" si="1"/>
        <v>2.1480176596704448</v>
      </c>
      <c r="K27" s="25">
        <v>3.3</v>
      </c>
      <c r="L27" s="22" t="e">
        <f t="shared" ca="1" si="2"/>
        <v>#NAME?</v>
      </c>
      <c r="M27" s="25">
        <v>24</v>
      </c>
      <c r="N27" s="22" t="e">
        <f t="shared" ca="1" si="3"/>
        <v>#NAME?</v>
      </c>
    </row>
    <row r="28" spans="1:14" ht="13.15" x14ac:dyDescent="0.4">
      <c r="A28" s="45">
        <v>25</v>
      </c>
      <c r="B28" s="46">
        <v>19.95</v>
      </c>
      <c r="C28" s="43">
        <f t="shared" si="0"/>
        <v>7.125</v>
      </c>
      <c r="D28" s="49">
        <v>6.9450000000000003</v>
      </c>
      <c r="F28" s="27">
        <f t="shared" si="1"/>
        <v>1.9636097261547143</v>
      </c>
      <c r="H28" s="6" t="s">
        <v>17</v>
      </c>
      <c r="K28" s="25">
        <v>3.4</v>
      </c>
      <c r="L28" s="22" t="e">
        <f t="shared" ca="1" si="2"/>
        <v>#NAME?</v>
      </c>
      <c r="M28" s="25">
        <v>25</v>
      </c>
      <c r="N28" s="22" t="e">
        <f t="shared" ca="1" si="3"/>
        <v>#NAME?</v>
      </c>
    </row>
    <row r="29" spans="1:14" ht="13.15" x14ac:dyDescent="0.4">
      <c r="A29" s="45">
        <v>26</v>
      </c>
      <c r="B29" s="46">
        <v>16.66</v>
      </c>
      <c r="C29" s="43">
        <f t="shared" si="0"/>
        <v>5.95</v>
      </c>
      <c r="D29" s="49">
        <v>7.2610000000000001</v>
      </c>
      <c r="F29" s="27">
        <f t="shared" si="1"/>
        <v>1.7833912195575383</v>
      </c>
      <c r="H29" s="6" t="s">
        <v>18</v>
      </c>
      <c r="K29" s="25">
        <v>3.5</v>
      </c>
      <c r="L29" s="22" t="e">
        <f t="shared" ca="1" si="2"/>
        <v>#NAME?</v>
      </c>
      <c r="M29" s="25">
        <v>26</v>
      </c>
      <c r="N29" s="22" t="e">
        <f t="shared" ca="1" si="3"/>
        <v>#NAME?</v>
      </c>
    </row>
    <row r="30" spans="1:14" ht="13.15" x14ac:dyDescent="0.4">
      <c r="A30" s="45">
        <v>27</v>
      </c>
      <c r="B30" s="46">
        <v>13.98</v>
      </c>
      <c r="C30" s="43">
        <f t="shared" si="0"/>
        <v>4.9928571428571429</v>
      </c>
      <c r="D30" s="49">
        <v>8.0299999999999994</v>
      </c>
      <c r="F30" s="27">
        <f t="shared" si="1"/>
        <v>1.6080083196245059</v>
      </c>
      <c r="H30" s="6" t="s">
        <v>19</v>
      </c>
      <c r="K30" s="25">
        <v>3.6</v>
      </c>
      <c r="L30" s="22" t="e">
        <f t="shared" ca="1" si="2"/>
        <v>#NAME?</v>
      </c>
      <c r="M30" s="25">
        <v>27</v>
      </c>
      <c r="N30" s="22" t="e">
        <f t="shared" ca="1" si="3"/>
        <v>#NAME?</v>
      </c>
    </row>
    <row r="31" spans="1:14" ht="13.15" x14ac:dyDescent="0.4">
      <c r="A31" s="45">
        <v>28</v>
      </c>
      <c r="B31" s="46">
        <v>11.8</v>
      </c>
      <c r="C31" s="43">
        <f t="shared" si="0"/>
        <v>4.2142857142857144</v>
      </c>
      <c r="D31" s="49">
        <v>8.3689999999999998</v>
      </c>
      <c r="F31" s="27">
        <f t="shared" si="1"/>
        <v>1.4384801142904609</v>
      </c>
      <c r="H31" s="6" t="s">
        <v>20</v>
      </c>
      <c r="K31" s="25">
        <v>3.7</v>
      </c>
      <c r="L31" s="22" t="e">
        <f t="shared" ca="1" si="2"/>
        <v>#NAME?</v>
      </c>
      <c r="M31" s="25">
        <v>28</v>
      </c>
      <c r="N31" s="22" t="e">
        <f t="shared" ca="1" si="3"/>
        <v>#NAME?</v>
      </c>
    </row>
    <row r="32" spans="1:14" ht="13.15" x14ac:dyDescent="0.4">
      <c r="A32" s="45">
        <v>29</v>
      </c>
      <c r="B32" s="46">
        <v>10.02</v>
      </c>
      <c r="C32" s="43">
        <f t="shared" si="0"/>
        <v>3.5785714285714287</v>
      </c>
      <c r="D32" s="49">
        <v>8.5950000000000006</v>
      </c>
      <c r="F32" s="27">
        <f t="shared" si="1"/>
        <v>1.2749636784755605</v>
      </c>
      <c r="K32" s="25">
        <v>3.8</v>
      </c>
      <c r="L32" s="22" t="e">
        <f t="shared" ca="1" si="2"/>
        <v>#NAME?</v>
      </c>
      <c r="M32" s="25">
        <v>29</v>
      </c>
      <c r="N32" s="22" t="e">
        <f t="shared" ca="1" si="3"/>
        <v>#NAME?</v>
      </c>
    </row>
    <row r="33" spans="1:14" ht="13.15" x14ac:dyDescent="0.4">
      <c r="A33" s="45">
        <v>30</v>
      </c>
      <c r="B33" s="46">
        <v>8.5679999999999996</v>
      </c>
      <c r="C33" s="43">
        <f t="shared" si="0"/>
        <v>3.06</v>
      </c>
      <c r="D33" s="49">
        <v>9.9429999999999996</v>
      </c>
      <c r="F33" s="27">
        <f t="shared" si="1"/>
        <v>1.1184149159642893</v>
      </c>
      <c r="K33" s="25">
        <v>3.9</v>
      </c>
      <c r="L33" s="22" t="e">
        <f t="shared" ca="1" si="2"/>
        <v>#NAME?</v>
      </c>
      <c r="M33" s="25">
        <v>30</v>
      </c>
      <c r="N33" s="22" t="e">
        <f t="shared" ca="1" si="3"/>
        <v>#NAME?</v>
      </c>
    </row>
    <row r="34" spans="1:14" ht="13.15" x14ac:dyDescent="0.4">
      <c r="A34" s="45">
        <v>31</v>
      </c>
      <c r="B34" s="46">
        <v>7.38</v>
      </c>
      <c r="C34" s="43">
        <f t="shared" si="0"/>
        <v>2.6357142857142857</v>
      </c>
      <c r="D34" s="13"/>
      <c r="F34" s="27">
        <f t="shared" si="1"/>
        <v>0.96915422143122287</v>
      </c>
      <c r="K34" s="25">
        <v>4</v>
      </c>
      <c r="L34" s="22" t="e">
        <f t="shared" ca="1" si="2"/>
        <v>#NAME?</v>
      </c>
      <c r="M34" s="25">
        <v>31</v>
      </c>
      <c r="N34" s="22" t="e">
        <f t="shared" ca="1" si="3"/>
        <v>#NAME?</v>
      </c>
    </row>
    <row r="35" spans="1:14" ht="13.15" x14ac:dyDescent="0.4">
      <c r="A35" s="45">
        <v>32</v>
      </c>
      <c r="B35" s="46">
        <v>6.4029999999999996</v>
      </c>
      <c r="C35" s="43">
        <f t="shared" si="0"/>
        <v>2.2867857142857142</v>
      </c>
      <c r="D35" s="13"/>
      <c r="F35" s="27">
        <f t="shared" si="1"/>
        <v>0.82714721335550689</v>
      </c>
      <c r="K35" s="25">
        <v>4.0999999999999996</v>
      </c>
      <c r="L35" s="22" t="e">
        <f t="shared" ca="1" si="2"/>
        <v>#NAME?</v>
      </c>
      <c r="M35" s="25">
        <v>32</v>
      </c>
      <c r="N35" s="22" t="e">
        <f t="shared" ca="1" si="3"/>
        <v>#NAME?</v>
      </c>
    </row>
    <row r="36" spans="1:14" ht="13.15" x14ac:dyDescent="0.4">
      <c r="A36" s="45">
        <v>33</v>
      </c>
      <c r="B36" s="46">
        <v>5.5940000000000003</v>
      </c>
      <c r="C36" s="43">
        <f t="shared" si="0"/>
        <v>1.997857142857143</v>
      </c>
      <c r="D36" s="13"/>
      <c r="F36" s="27">
        <f t="shared" si="1"/>
        <v>0.69207517759860981</v>
      </c>
      <c r="K36" s="25">
        <v>4.2</v>
      </c>
      <c r="L36" s="22" t="e">
        <f t="shared" ca="1" si="2"/>
        <v>#NAME?</v>
      </c>
      <c r="M36" s="25">
        <v>33</v>
      </c>
      <c r="N36" s="22" t="e">
        <f t="shared" ca="1" si="3"/>
        <v>#NAME?</v>
      </c>
    </row>
    <row r="37" spans="1:14" ht="13.15" x14ac:dyDescent="0.4">
      <c r="A37" s="45">
        <v>34</v>
      </c>
      <c r="B37" s="46">
        <v>4.9210000000000003</v>
      </c>
      <c r="C37" s="43">
        <f t="shared" si="0"/>
        <v>1.7575000000000003</v>
      </c>
      <c r="D37" s="13"/>
      <c r="F37" s="27">
        <f t="shared" si="1"/>
        <v>0.56389234470268312</v>
      </c>
      <c r="K37" s="25">
        <v>4.3</v>
      </c>
      <c r="L37" s="22" t="e">
        <f t="shared" ca="1" si="2"/>
        <v>#NAME?</v>
      </c>
      <c r="M37" s="25">
        <v>34</v>
      </c>
      <c r="N37" s="22" t="e">
        <f t="shared" ca="1" si="3"/>
        <v>#NAME?</v>
      </c>
    </row>
    <row r="38" spans="1:14" ht="13.15" x14ac:dyDescent="0.4">
      <c r="A38" s="45">
        <v>35</v>
      </c>
      <c r="B38" s="46">
        <v>4.3559999999999999</v>
      </c>
      <c r="C38" s="43">
        <f t="shared" si="0"/>
        <v>1.5557142857142858</v>
      </c>
      <c r="D38" s="13"/>
      <c r="F38" s="27">
        <f t="shared" si="1"/>
        <v>0.44193478788955587</v>
      </c>
      <c r="K38" s="25">
        <v>4.4000000000000004</v>
      </c>
      <c r="L38" s="22" t="e">
        <f t="shared" ca="1" si="2"/>
        <v>#NAME?</v>
      </c>
      <c r="M38" s="25">
        <v>35</v>
      </c>
      <c r="N38" s="22" t="e">
        <f t="shared" ca="1" si="3"/>
        <v>#NAME?</v>
      </c>
    </row>
    <row r="39" spans="1:14" ht="13.15" x14ac:dyDescent="0.4">
      <c r="A39" s="45">
        <v>36</v>
      </c>
      <c r="B39" s="46">
        <v>3.88</v>
      </c>
      <c r="C39" s="43">
        <f t="shared" si="0"/>
        <v>1.3857142857142857</v>
      </c>
      <c r="D39" s="13"/>
      <c r="F39" s="27">
        <f t="shared" si="1"/>
        <v>0.3262157364540238</v>
      </c>
      <c r="K39" s="25">
        <v>4.5</v>
      </c>
      <c r="L39" s="22" t="e">
        <f t="shared" ca="1" si="2"/>
        <v>#NAME?</v>
      </c>
      <c r="M39" s="25">
        <v>36</v>
      </c>
      <c r="N39" s="22" t="e">
        <f t="shared" ca="1" si="3"/>
        <v>#NAME?</v>
      </c>
    </row>
    <row r="40" spans="1:14" ht="13.15" x14ac:dyDescent="0.4">
      <c r="A40" s="45">
        <v>37</v>
      </c>
      <c r="B40" s="46">
        <v>3.476</v>
      </c>
      <c r="C40" s="43">
        <f t="shared" si="0"/>
        <v>1.2414285714285715</v>
      </c>
      <c r="D40" s="13"/>
      <c r="F40" s="27">
        <f t="shared" si="1"/>
        <v>0.21626279022198747</v>
      </c>
      <c r="K40" s="25">
        <v>4.5999999999999996</v>
      </c>
      <c r="L40" s="22" t="e">
        <f t="shared" ca="1" si="2"/>
        <v>#NAME?</v>
      </c>
      <c r="M40" s="25">
        <v>37</v>
      </c>
      <c r="N40" s="22" t="e">
        <f t="shared" ca="1" si="3"/>
        <v>#NAME?</v>
      </c>
    </row>
    <row r="41" spans="1:14" ht="13.15" x14ac:dyDescent="0.4">
      <c r="A41" s="45">
        <v>38</v>
      </c>
      <c r="B41" s="46">
        <v>3.1309999999999998</v>
      </c>
      <c r="C41" s="43">
        <f t="shared" si="0"/>
        <v>1.1182142857142856</v>
      </c>
      <c r="D41" s="13"/>
      <c r="F41" s="27">
        <f t="shared" si="1"/>
        <v>0.1117330251631103</v>
      </c>
      <c r="K41" s="25">
        <v>4.7</v>
      </c>
      <c r="L41" s="22" t="e">
        <f t="shared" ca="1" si="2"/>
        <v>#NAME?</v>
      </c>
      <c r="M41" s="25">
        <v>38</v>
      </c>
      <c r="N41" s="22" t="e">
        <f t="shared" ca="1" si="3"/>
        <v>#NAME?</v>
      </c>
    </row>
    <row r="42" spans="1:14" ht="13.15" x14ac:dyDescent="0.4">
      <c r="A42" s="45">
        <v>39</v>
      </c>
      <c r="B42" s="46">
        <v>2.8340000000000001</v>
      </c>
      <c r="C42" s="43">
        <f t="shared" si="0"/>
        <v>1.0121428571428572</v>
      </c>
      <c r="D42" s="13"/>
      <c r="F42" s="27">
        <f t="shared" si="1"/>
        <v>1.2069724087330543E-2</v>
      </c>
      <c r="K42" s="25">
        <v>4.8</v>
      </c>
      <c r="L42" s="22" t="e">
        <f t="shared" ca="1" si="2"/>
        <v>#NAME?</v>
      </c>
      <c r="M42" s="25">
        <v>39</v>
      </c>
      <c r="N42" s="22" t="e">
        <f t="shared" ca="1" si="3"/>
        <v>#NAME?</v>
      </c>
    </row>
    <row r="43" spans="1:14" ht="13.15" x14ac:dyDescent="0.4">
      <c r="A43" s="45">
        <v>40</v>
      </c>
      <c r="B43" s="46">
        <v>2.577</v>
      </c>
      <c r="C43" s="43">
        <f t="shared" si="0"/>
        <v>0.92035714285714287</v>
      </c>
      <c r="D43" s="13"/>
      <c r="F43" s="27">
        <f t="shared" si="1"/>
        <v>-8.2993485510930207E-2</v>
      </c>
      <c r="K43" s="25">
        <v>4.9000000000000004</v>
      </c>
      <c r="L43" s="22" t="e">
        <f t="shared" ca="1" si="2"/>
        <v>#NAME?</v>
      </c>
      <c r="M43" s="25">
        <v>40</v>
      </c>
      <c r="N43" s="22" t="e">
        <f t="shared" ca="1" si="3"/>
        <v>#NAME?</v>
      </c>
    </row>
    <row r="44" spans="1:14" ht="13.15" x14ac:dyDescent="0.4">
      <c r="A44" s="45">
        <v>41</v>
      </c>
      <c r="B44" s="46">
        <v>2.3540000000000001</v>
      </c>
      <c r="C44" s="43">
        <f t="shared" si="0"/>
        <v>0.84071428571428575</v>
      </c>
      <c r="D44" s="13"/>
      <c r="F44" s="27">
        <f t="shared" si="1"/>
        <v>-0.17350340834307323</v>
      </c>
      <c r="K44" s="25">
        <v>5</v>
      </c>
      <c r="L44" s="22" t="e">
        <f t="shared" ca="1" si="2"/>
        <v>#NAME?</v>
      </c>
      <c r="M44" s="25">
        <v>41</v>
      </c>
      <c r="N44" s="22" t="e">
        <f t="shared" ca="1" si="3"/>
        <v>#NAME?</v>
      </c>
    </row>
    <row r="45" spans="1:14" ht="13.15" x14ac:dyDescent="0.4">
      <c r="A45" s="45">
        <v>42</v>
      </c>
      <c r="B45" s="46">
        <v>2.1589999999999998</v>
      </c>
      <c r="C45" s="43">
        <f t="shared" si="0"/>
        <v>0.77107142857142852</v>
      </c>
      <c r="D45" s="13"/>
      <c r="F45" s="27">
        <f t="shared" si="1"/>
        <v>-0.25997426564848802</v>
      </c>
      <c r="K45" s="25">
        <v>5.0999999999999996</v>
      </c>
      <c r="L45" s="22" t="e">
        <f t="shared" ca="1" si="2"/>
        <v>#NAME?</v>
      </c>
      <c r="M45" s="25">
        <v>42</v>
      </c>
      <c r="N45" s="22" t="e">
        <f t="shared" ca="1" si="3"/>
        <v>#NAME?</v>
      </c>
    </row>
    <row r="46" spans="1:14" ht="13.15" x14ac:dyDescent="0.4">
      <c r="A46" s="45">
        <v>43</v>
      </c>
      <c r="B46" s="46">
        <v>1.988</v>
      </c>
      <c r="C46" s="43">
        <f t="shared" si="0"/>
        <v>0.71000000000000008</v>
      </c>
      <c r="D46" s="13"/>
      <c r="F46" s="27">
        <f t="shared" si="1"/>
        <v>-0.34249030894677585</v>
      </c>
      <c r="K46" s="25">
        <v>5.2</v>
      </c>
      <c r="L46" s="22" t="e">
        <f t="shared" ca="1" si="2"/>
        <v>#NAME?</v>
      </c>
      <c r="M46" s="25">
        <v>43</v>
      </c>
      <c r="N46" s="22" t="e">
        <f t="shared" ca="1" si="3"/>
        <v>#NAME?</v>
      </c>
    </row>
    <row r="47" spans="1:14" ht="13.15" x14ac:dyDescent="0.4">
      <c r="A47" s="45">
        <v>44</v>
      </c>
      <c r="B47" s="46">
        <v>1.8360000000000001</v>
      </c>
      <c r="C47" s="43">
        <f t="shared" si="0"/>
        <v>0.65571428571428581</v>
      </c>
      <c r="D47" s="13"/>
      <c r="F47" s="27">
        <f t="shared" si="1"/>
        <v>-0.42203012498285936</v>
      </c>
      <c r="K47" s="25">
        <v>5.3</v>
      </c>
      <c r="L47" s="22" t="e">
        <f t="shared" ca="1" si="2"/>
        <v>#NAME?</v>
      </c>
      <c r="M47" s="25">
        <v>44</v>
      </c>
      <c r="N47" s="22" t="e">
        <f t="shared" ca="1" si="3"/>
        <v>#NAME?</v>
      </c>
    </row>
    <row r="48" spans="1:14" ht="13.15" x14ac:dyDescent="0.4">
      <c r="A48" s="45">
        <v>45</v>
      </c>
      <c r="B48" s="46">
        <v>1.702</v>
      </c>
      <c r="C48" s="43">
        <f t="shared" si="0"/>
        <v>0.60785714285714287</v>
      </c>
      <c r="D48" s="13"/>
      <c r="F48" s="27">
        <f t="shared" si="1"/>
        <v>-0.4978153870299758</v>
      </c>
      <c r="K48" s="25">
        <v>5.4</v>
      </c>
      <c r="L48" s="22" t="e">
        <f t="shared" ca="1" si="2"/>
        <v>#NAME?</v>
      </c>
      <c r="M48" s="25">
        <v>45</v>
      </c>
      <c r="N48" s="22" t="e">
        <f t="shared" ca="1" si="3"/>
        <v>#NAME?</v>
      </c>
    </row>
    <row r="49" spans="1:14" ht="13.15" x14ac:dyDescent="0.4">
      <c r="A49" s="45">
        <v>46</v>
      </c>
      <c r="B49" s="46">
        <v>1.581</v>
      </c>
      <c r="C49" s="43">
        <f t="shared" si="0"/>
        <v>0.56464285714285711</v>
      </c>
      <c r="D49" s="13"/>
      <c r="F49" s="27">
        <f t="shared" si="1"/>
        <v>-0.57156185895382328</v>
      </c>
      <c r="K49" s="25">
        <v>5.5</v>
      </c>
      <c r="L49" s="22" t="e">
        <f t="shared" ca="1" si="2"/>
        <v>#NAME?</v>
      </c>
      <c r="M49" s="25">
        <v>46</v>
      </c>
      <c r="N49" s="22" t="e">
        <f t="shared" ca="1" si="3"/>
        <v>#NAME?</v>
      </c>
    </row>
    <row r="50" spans="1:14" ht="13.15" x14ac:dyDescent="0.4">
      <c r="A50" s="45">
        <v>47</v>
      </c>
      <c r="B50" s="46">
        <v>1.474</v>
      </c>
      <c r="C50" s="43">
        <f t="shared" si="0"/>
        <v>0.52642857142857147</v>
      </c>
      <c r="D50" s="13"/>
      <c r="F50" s="27">
        <f t="shared" si="1"/>
        <v>-0.64163962341401326</v>
      </c>
      <c r="K50" s="25">
        <v>5.6</v>
      </c>
      <c r="L50" s="22" t="e">
        <f t="shared" ca="1" si="2"/>
        <v>#NAME?</v>
      </c>
      <c r="M50" s="25">
        <v>47</v>
      </c>
      <c r="N50" s="22" t="e">
        <f t="shared" ca="1" si="3"/>
        <v>#NAME?</v>
      </c>
    </row>
    <row r="51" spans="1:14" ht="13.15" x14ac:dyDescent="0.4">
      <c r="A51" s="45">
        <v>48</v>
      </c>
      <c r="B51" s="46">
        <v>1.377</v>
      </c>
      <c r="C51" s="43">
        <f t="shared" si="0"/>
        <v>0.49178571428571433</v>
      </c>
      <c r="D51" s="13"/>
      <c r="F51" s="27">
        <f t="shared" si="1"/>
        <v>-0.70971219743464031</v>
      </c>
      <c r="K51" s="25">
        <v>5.7</v>
      </c>
      <c r="L51" s="22" t="e">
        <f t="shared" ca="1" si="2"/>
        <v>#NAME?</v>
      </c>
      <c r="M51" s="25">
        <v>48</v>
      </c>
      <c r="N51" s="22" t="e">
        <f t="shared" ca="1" si="3"/>
        <v>#NAME?</v>
      </c>
    </row>
    <row r="52" spans="1:14" ht="13.15" x14ac:dyDescent="0.4">
      <c r="A52" s="45">
        <v>49</v>
      </c>
      <c r="B52" s="46">
        <v>1.2889999999999999</v>
      </c>
      <c r="C52" s="43">
        <f t="shared" si="0"/>
        <v>0.46035714285714285</v>
      </c>
      <c r="D52" s="13"/>
      <c r="F52" s="27">
        <f t="shared" si="1"/>
        <v>-0.77575269322410789</v>
      </c>
      <c r="K52" s="25">
        <v>5.8</v>
      </c>
      <c r="L52" s="22" t="e">
        <f t="shared" ca="1" si="2"/>
        <v>#NAME?</v>
      </c>
      <c r="M52" s="25">
        <v>49</v>
      </c>
      <c r="N52" s="22" t="e">
        <f t="shared" ca="1" si="3"/>
        <v>#NAME?</v>
      </c>
    </row>
    <row r="53" spans="1:14" ht="13.15" x14ac:dyDescent="0.4">
      <c r="A53" s="47">
        <v>50</v>
      </c>
      <c r="B53" s="48">
        <v>1.2090000000000001</v>
      </c>
      <c r="C53" s="44">
        <f t="shared" si="0"/>
        <v>0.43178571428571433</v>
      </c>
      <c r="D53" s="14"/>
      <c r="F53" s="27">
        <f t="shared" si="1"/>
        <v>-0.83982584554850248</v>
      </c>
      <c r="K53" s="25">
        <v>5.9</v>
      </c>
      <c r="L53" s="22" t="e">
        <f t="shared" ca="1" si="2"/>
        <v>#NAME?</v>
      </c>
      <c r="M53" s="25">
        <v>50</v>
      </c>
      <c r="N53" s="22" t="e">
        <f t="shared" ca="1" si="3"/>
        <v>#NAME?</v>
      </c>
    </row>
    <row r="54" spans="1:14" x14ac:dyDescent="0.35">
      <c r="A54" s="35">
        <v>51</v>
      </c>
      <c r="B54" s="32">
        <f>C54*2.8</f>
        <v>1.1199999999999999</v>
      </c>
      <c r="C54" s="39">
        <v>0.4</v>
      </c>
      <c r="D54" s="29" t="s">
        <v>21</v>
      </c>
      <c r="F54" s="27">
        <f>LN(C54)</f>
        <v>-0.916290731874155</v>
      </c>
      <c r="K54" s="25">
        <v>6</v>
      </c>
      <c r="L54" s="22" t="e">
        <f t="shared" ca="1" si="2"/>
        <v>#NAME?</v>
      </c>
      <c r="M54" s="25">
        <v>51</v>
      </c>
      <c r="N54" s="22" t="e">
        <f t="shared" ca="1" si="3"/>
        <v>#NAME?</v>
      </c>
    </row>
    <row r="55" spans="1:14" x14ac:dyDescent="0.35">
      <c r="A55" s="36">
        <v>52</v>
      </c>
      <c r="B55" s="33">
        <f t="shared" ref="B55:B93" si="4">C55*2.8</f>
        <v>1.0639999999999998</v>
      </c>
      <c r="C55" s="40">
        <v>0.38</v>
      </c>
      <c r="D55" s="30" t="s">
        <v>21</v>
      </c>
      <c r="F55" s="27">
        <f>LN(C55)</f>
        <v>-0.96758402626170559</v>
      </c>
      <c r="K55" s="25">
        <v>6.1</v>
      </c>
      <c r="L55" s="22" t="e">
        <f t="shared" ca="1" si="2"/>
        <v>#NAME?</v>
      </c>
      <c r="M55" s="25">
        <v>52</v>
      </c>
      <c r="N55" s="22" t="e">
        <f t="shared" ca="1" si="3"/>
        <v>#NAME?</v>
      </c>
    </row>
    <row r="56" spans="1:14" x14ac:dyDescent="0.35">
      <c r="A56" s="36">
        <v>53</v>
      </c>
      <c r="B56" s="33">
        <f t="shared" si="4"/>
        <v>1.008</v>
      </c>
      <c r="C56" s="40">
        <v>0.36</v>
      </c>
      <c r="D56" s="30" t="s">
        <v>21</v>
      </c>
      <c r="F56" s="27">
        <f>LN(C56)</f>
        <v>-1.0216512475319814</v>
      </c>
      <c r="K56" s="25">
        <v>6.2</v>
      </c>
      <c r="L56" s="22" t="e">
        <f t="shared" ca="1" si="2"/>
        <v>#NAME?</v>
      </c>
      <c r="M56" s="25">
        <v>53</v>
      </c>
      <c r="N56" s="22" t="e">
        <f t="shared" ca="1" si="3"/>
        <v>#NAME?</v>
      </c>
    </row>
    <row r="57" spans="1:14" x14ac:dyDescent="0.35">
      <c r="A57" s="36">
        <v>54</v>
      </c>
      <c r="B57" s="33">
        <f t="shared" si="4"/>
        <v>0.95199999999999996</v>
      </c>
      <c r="C57" s="40">
        <v>0.34</v>
      </c>
      <c r="D57" s="30" t="s">
        <v>21</v>
      </c>
      <c r="F57" s="27">
        <f>LN(C57)</f>
        <v>-1.0788096613719298</v>
      </c>
      <c r="K57" s="25">
        <v>6.3</v>
      </c>
      <c r="L57" s="22" t="e">
        <f t="shared" ca="1" si="2"/>
        <v>#NAME?</v>
      </c>
      <c r="M57" s="25">
        <v>54</v>
      </c>
      <c r="N57" s="22" t="e">
        <f t="shared" ca="1" si="3"/>
        <v>#NAME?</v>
      </c>
    </row>
    <row r="58" spans="1:14" x14ac:dyDescent="0.35">
      <c r="A58" s="36">
        <v>55</v>
      </c>
      <c r="B58" s="33">
        <f t="shared" si="4"/>
        <v>0.89599999999999991</v>
      </c>
      <c r="C58" s="40">
        <v>0.32</v>
      </c>
      <c r="D58" s="30" t="s">
        <v>21</v>
      </c>
      <c r="F58" s="27">
        <f>LN(C58)</f>
        <v>-1.1394342831883648</v>
      </c>
      <c r="K58" s="25">
        <v>6.4</v>
      </c>
      <c r="L58" s="22" t="e">
        <f t="shared" ca="1" si="2"/>
        <v>#NAME?</v>
      </c>
      <c r="M58" s="25">
        <v>55</v>
      </c>
      <c r="N58" s="22" t="e">
        <f t="shared" ca="1" si="3"/>
        <v>#NAME?</v>
      </c>
    </row>
    <row r="59" spans="1:14" x14ac:dyDescent="0.35">
      <c r="A59" s="37">
        <v>56</v>
      </c>
      <c r="B59" s="33">
        <f t="shared" si="4"/>
        <v>0.84</v>
      </c>
      <c r="C59" s="41">
        <v>0.3</v>
      </c>
      <c r="D59" s="30" t="s">
        <v>21</v>
      </c>
      <c r="F59" s="27">
        <f t="shared" ref="F59:F93" si="5">LN(C59)</f>
        <v>-1.2039728043259361</v>
      </c>
      <c r="K59" s="25">
        <v>6.5000000000000098</v>
      </c>
      <c r="L59" s="22" t="e">
        <f t="shared" ca="1" si="2"/>
        <v>#NAME?</v>
      </c>
      <c r="M59" s="25">
        <v>56</v>
      </c>
      <c r="N59" s="22" t="e">
        <f t="shared" ca="1" si="3"/>
        <v>#NAME?</v>
      </c>
    </row>
    <row r="60" spans="1:14" x14ac:dyDescent="0.35">
      <c r="A60" s="37">
        <v>57</v>
      </c>
      <c r="B60" s="33">
        <f t="shared" si="4"/>
        <v>0.81199999999999994</v>
      </c>
      <c r="C60" s="41">
        <v>0.28999999999999998</v>
      </c>
      <c r="D60" s="30" t="s">
        <v>21</v>
      </c>
      <c r="F60" s="27">
        <f t="shared" si="5"/>
        <v>-1.2378743560016174</v>
      </c>
      <c r="K60" s="25">
        <v>6.6</v>
      </c>
      <c r="L60" s="22" t="e">
        <f t="shared" ca="1" si="2"/>
        <v>#NAME?</v>
      </c>
      <c r="M60" s="25">
        <v>57</v>
      </c>
      <c r="N60" s="22" t="e">
        <f t="shared" ca="1" si="3"/>
        <v>#NAME?</v>
      </c>
    </row>
    <row r="61" spans="1:14" x14ac:dyDescent="0.35">
      <c r="A61" s="37">
        <v>58</v>
      </c>
      <c r="B61" s="33">
        <f t="shared" si="4"/>
        <v>0.75600000000000001</v>
      </c>
      <c r="C61" s="41">
        <v>0.27</v>
      </c>
      <c r="D61" s="30" t="s">
        <v>21</v>
      </c>
      <c r="F61" s="27">
        <f t="shared" si="5"/>
        <v>-1.3093333199837622</v>
      </c>
      <c r="K61" s="25">
        <v>6.7</v>
      </c>
      <c r="L61" s="22" t="e">
        <f t="shared" ca="1" si="2"/>
        <v>#NAME?</v>
      </c>
      <c r="M61" s="25">
        <v>58</v>
      </c>
      <c r="N61" s="22" t="e">
        <f t="shared" ca="1" si="3"/>
        <v>#NAME?</v>
      </c>
    </row>
    <row r="62" spans="1:14" x14ac:dyDescent="0.35">
      <c r="A62" s="37">
        <v>59</v>
      </c>
      <c r="B62" s="33">
        <f t="shared" si="4"/>
        <v>0.7</v>
      </c>
      <c r="C62" s="41">
        <v>0.25</v>
      </c>
      <c r="D62" s="30" t="s">
        <v>21</v>
      </c>
      <c r="F62" s="27">
        <f t="shared" si="5"/>
        <v>-1.3862943611198906</v>
      </c>
      <c r="K62" s="25">
        <v>6.8000000000000096</v>
      </c>
      <c r="L62" s="22" t="e">
        <f t="shared" ca="1" si="2"/>
        <v>#NAME?</v>
      </c>
      <c r="M62" s="25">
        <v>59</v>
      </c>
      <c r="N62" s="22" t="e">
        <f t="shared" ca="1" si="3"/>
        <v>#NAME?</v>
      </c>
    </row>
    <row r="63" spans="1:14" x14ac:dyDescent="0.35">
      <c r="A63" s="37">
        <v>60</v>
      </c>
      <c r="B63" s="33">
        <f t="shared" si="4"/>
        <v>0.64400000000000002</v>
      </c>
      <c r="C63" s="41">
        <v>0.23</v>
      </c>
      <c r="D63" s="30" t="s">
        <v>21</v>
      </c>
      <c r="F63" s="27">
        <f t="shared" si="5"/>
        <v>-1.4696759700589417</v>
      </c>
      <c r="K63" s="25">
        <v>6.9000000000000101</v>
      </c>
      <c r="L63" s="22" t="e">
        <f t="shared" ca="1" si="2"/>
        <v>#NAME?</v>
      </c>
      <c r="M63" s="25">
        <v>60</v>
      </c>
      <c r="N63" s="22" t="e">
        <f t="shared" ca="1" si="3"/>
        <v>#NAME?</v>
      </c>
    </row>
    <row r="64" spans="1:14" x14ac:dyDescent="0.35">
      <c r="A64" s="37">
        <v>61</v>
      </c>
      <c r="B64" s="33">
        <f t="shared" si="4"/>
        <v>0.58799999999999997</v>
      </c>
      <c r="C64" s="41">
        <v>0.21</v>
      </c>
      <c r="D64" s="30" t="s">
        <v>21</v>
      </c>
      <c r="F64" s="27">
        <f t="shared" si="5"/>
        <v>-1.5606477482646683</v>
      </c>
      <c r="K64" s="25">
        <v>7.0000000000000098</v>
      </c>
      <c r="L64" s="22" t="e">
        <f t="shared" ca="1" si="2"/>
        <v>#NAME?</v>
      </c>
      <c r="M64" s="25">
        <v>61</v>
      </c>
      <c r="N64" s="22" t="e">
        <f t="shared" ca="1" si="3"/>
        <v>#NAME?</v>
      </c>
    </row>
    <row r="65" spans="1:14" x14ac:dyDescent="0.35">
      <c r="A65" s="37">
        <v>62</v>
      </c>
      <c r="B65" s="33">
        <f t="shared" si="4"/>
        <v>0.55999999999999994</v>
      </c>
      <c r="C65" s="41">
        <v>0.2</v>
      </c>
      <c r="D65" s="30" t="s">
        <v>21</v>
      </c>
      <c r="F65" s="27">
        <f t="shared" si="5"/>
        <v>-1.6094379124341003</v>
      </c>
      <c r="K65" s="25">
        <v>7.1</v>
      </c>
      <c r="L65" s="22" t="e">
        <f t="shared" ca="1" si="2"/>
        <v>#NAME?</v>
      </c>
      <c r="M65" s="25">
        <v>62</v>
      </c>
      <c r="N65" s="22" t="e">
        <f t="shared" ca="1" si="3"/>
        <v>#NAME?</v>
      </c>
    </row>
    <row r="66" spans="1:14" x14ac:dyDescent="0.35">
      <c r="A66" s="37">
        <v>63</v>
      </c>
      <c r="B66" s="33">
        <f t="shared" si="4"/>
        <v>0.53199999999999992</v>
      </c>
      <c r="C66" s="41">
        <v>0.19</v>
      </c>
      <c r="D66" s="30" t="s">
        <v>21</v>
      </c>
      <c r="F66" s="27">
        <f t="shared" si="5"/>
        <v>-1.6607312068216509</v>
      </c>
      <c r="K66" s="25">
        <v>7.2000000000000099</v>
      </c>
      <c r="L66" s="22" t="e">
        <f t="shared" ca="1" si="2"/>
        <v>#NAME?</v>
      </c>
      <c r="M66" s="25">
        <v>63</v>
      </c>
      <c r="N66" s="22" t="e">
        <f t="shared" ca="1" si="3"/>
        <v>#NAME?</v>
      </c>
    </row>
    <row r="67" spans="1:14" x14ac:dyDescent="0.35">
      <c r="A67" s="37">
        <v>64</v>
      </c>
      <c r="B67" s="33">
        <f t="shared" si="4"/>
        <v>0.504</v>
      </c>
      <c r="C67" s="41">
        <v>0.18</v>
      </c>
      <c r="D67" s="30" t="s">
        <v>21</v>
      </c>
      <c r="F67" s="27">
        <f t="shared" si="5"/>
        <v>-1.7147984280919266</v>
      </c>
      <c r="K67" s="25">
        <v>7.3000000000000096</v>
      </c>
      <c r="L67" s="22" t="e">
        <f t="shared" ca="1" si="2"/>
        <v>#NAME?</v>
      </c>
      <c r="M67" s="25">
        <v>64</v>
      </c>
      <c r="N67" s="22" t="e">
        <f t="shared" ca="1" si="3"/>
        <v>#NAME?</v>
      </c>
    </row>
    <row r="68" spans="1:14" x14ac:dyDescent="0.35">
      <c r="A68" s="37">
        <v>65</v>
      </c>
      <c r="B68" s="33">
        <f t="shared" si="4"/>
        <v>0.44799999999999995</v>
      </c>
      <c r="C68" s="41">
        <v>0.16</v>
      </c>
      <c r="D68" s="30" t="s">
        <v>21</v>
      </c>
      <c r="F68" s="27">
        <f t="shared" si="5"/>
        <v>-1.8325814637483102</v>
      </c>
      <c r="K68" s="25">
        <v>7.4000000000000101</v>
      </c>
      <c r="L68" s="22" t="e">
        <f t="shared" ca="1" si="2"/>
        <v>#NAME?</v>
      </c>
      <c r="M68" s="25">
        <v>65</v>
      </c>
      <c r="N68" s="22" t="e">
        <f t="shared" ca="1" si="3"/>
        <v>#NAME?</v>
      </c>
    </row>
    <row r="69" spans="1:14" x14ac:dyDescent="0.35">
      <c r="A69" s="37">
        <v>66</v>
      </c>
      <c r="B69" s="33">
        <f t="shared" si="4"/>
        <v>0.39200000000000002</v>
      </c>
      <c r="C69" s="41">
        <v>0.14000000000000001</v>
      </c>
      <c r="D69" s="30" t="s">
        <v>21</v>
      </c>
      <c r="F69" s="27">
        <f t="shared" si="5"/>
        <v>-1.9661128563728327</v>
      </c>
      <c r="K69" s="25">
        <v>7.5000000000000098</v>
      </c>
      <c r="L69" s="22" t="e">
        <f t="shared" ref="L69:L93" ca="1" si="6">EXP(interpolate($A$4:$A$92, $F$4:$F$92, $K69,$H$2,TRUE))</f>
        <v>#NAME?</v>
      </c>
      <c r="M69" s="25">
        <v>66</v>
      </c>
      <c r="N69" s="22" t="e">
        <f t="shared" ref="N69:N93" ca="1" si="7">EXP(interpolate($A$4:$A$93, $F$4:$F$93, M69,$H$2,TRUE))</f>
        <v>#NAME?</v>
      </c>
    </row>
    <row r="70" spans="1:14" x14ac:dyDescent="0.35">
      <c r="A70" s="37">
        <v>67</v>
      </c>
      <c r="B70" s="33">
        <f t="shared" si="4"/>
        <v>0.36399999999999999</v>
      </c>
      <c r="C70" s="41">
        <v>0.13</v>
      </c>
      <c r="D70" s="30" t="s">
        <v>21</v>
      </c>
      <c r="F70" s="27">
        <f t="shared" si="5"/>
        <v>-2.0402208285265546</v>
      </c>
      <c r="K70" s="25">
        <v>7.6000000000000103</v>
      </c>
      <c r="L70" s="22" t="e">
        <f t="shared" ca="1" si="6"/>
        <v>#NAME?</v>
      </c>
      <c r="M70" s="25">
        <v>67</v>
      </c>
      <c r="N70" s="22" t="e">
        <f t="shared" ca="1" si="7"/>
        <v>#NAME?</v>
      </c>
    </row>
    <row r="71" spans="1:14" x14ac:dyDescent="0.35">
      <c r="A71" s="37">
        <v>68</v>
      </c>
      <c r="B71" s="33">
        <f t="shared" si="4"/>
        <v>0.33599999999999997</v>
      </c>
      <c r="C71" s="41">
        <v>0.12</v>
      </c>
      <c r="D71" s="30" t="s">
        <v>21</v>
      </c>
      <c r="F71" s="27">
        <f t="shared" si="5"/>
        <v>-2.120263536200091</v>
      </c>
      <c r="K71" s="25">
        <v>7.7000000000000099</v>
      </c>
      <c r="L71" s="22" t="e">
        <f t="shared" ca="1" si="6"/>
        <v>#NAME?</v>
      </c>
      <c r="M71" s="25">
        <v>68</v>
      </c>
      <c r="N71" s="22" t="e">
        <f t="shared" ca="1" si="7"/>
        <v>#NAME?</v>
      </c>
    </row>
    <row r="72" spans="1:14" x14ac:dyDescent="0.35">
      <c r="A72" s="37">
        <v>69</v>
      </c>
      <c r="B72" s="33">
        <f t="shared" si="4"/>
        <v>0.308</v>
      </c>
      <c r="C72" s="41">
        <v>0.11</v>
      </c>
      <c r="D72" s="30" t="s">
        <v>21</v>
      </c>
      <c r="F72" s="27">
        <f t="shared" si="5"/>
        <v>-2.2072749131897207</v>
      </c>
      <c r="K72" s="25">
        <v>7.8000000000000096</v>
      </c>
      <c r="L72" s="22" t="e">
        <f t="shared" ca="1" si="6"/>
        <v>#NAME?</v>
      </c>
      <c r="M72" s="25">
        <v>69</v>
      </c>
      <c r="N72" s="22" t="e">
        <f t="shared" ca="1" si="7"/>
        <v>#NAME?</v>
      </c>
    </row>
    <row r="73" spans="1:14" x14ac:dyDescent="0.35">
      <c r="A73" s="37">
        <v>70</v>
      </c>
      <c r="B73" s="33">
        <f t="shared" si="4"/>
        <v>0.27999999999999997</v>
      </c>
      <c r="C73" s="41">
        <v>0.1</v>
      </c>
      <c r="D73" s="30" t="s">
        <v>21</v>
      </c>
      <c r="F73" s="27">
        <f t="shared" si="5"/>
        <v>-2.3025850929940455</v>
      </c>
      <c r="K73" s="25">
        <v>7.9000000000000101</v>
      </c>
      <c r="L73" s="22" t="e">
        <f t="shared" ca="1" si="6"/>
        <v>#NAME?</v>
      </c>
      <c r="M73" s="25">
        <v>70</v>
      </c>
      <c r="N73" s="22" t="e">
        <f t="shared" ca="1" si="7"/>
        <v>#NAME?</v>
      </c>
    </row>
    <row r="74" spans="1:14" x14ac:dyDescent="0.35">
      <c r="A74" s="37">
        <v>71</v>
      </c>
      <c r="B74" s="33">
        <f t="shared" si="4"/>
        <v>0.252</v>
      </c>
      <c r="C74" s="41">
        <v>0.09</v>
      </c>
      <c r="D74" s="30" t="s">
        <v>21</v>
      </c>
      <c r="F74" s="27">
        <f t="shared" si="5"/>
        <v>-2.4079456086518722</v>
      </c>
      <c r="K74" s="25">
        <v>8.0000000000000107</v>
      </c>
      <c r="L74" s="22" t="e">
        <f t="shared" ca="1" si="6"/>
        <v>#NAME?</v>
      </c>
      <c r="M74" s="25">
        <v>71</v>
      </c>
      <c r="N74" s="22" t="e">
        <f t="shared" ca="1" si="7"/>
        <v>#NAME?</v>
      </c>
    </row>
    <row r="75" spans="1:14" x14ac:dyDescent="0.35">
      <c r="A75" s="37">
        <v>72</v>
      </c>
      <c r="B75" s="33">
        <f t="shared" si="4"/>
        <v>0.22399999999999998</v>
      </c>
      <c r="C75" s="41">
        <v>0.08</v>
      </c>
      <c r="D75" s="30" t="s">
        <v>21</v>
      </c>
      <c r="F75" s="27">
        <f t="shared" si="5"/>
        <v>-2.5257286443082556</v>
      </c>
      <c r="K75" s="25">
        <v>8.1000000000000103</v>
      </c>
      <c r="L75" s="22" t="e">
        <f t="shared" ca="1" si="6"/>
        <v>#NAME?</v>
      </c>
      <c r="M75" s="25">
        <v>72</v>
      </c>
      <c r="N75" s="22" t="e">
        <f t="shared" ca="1" si="7"/>
        <v>#NAME?</v>
      </c>
    </row>
    <row r="76" spans="1:14" x14ac:dyDescent="0.35">
      <c r="A76" s="37">
        <v>73</v>
      </c>
      <c r="B76" s="33">
        <f t="shared" si="4"/>
        <v>0.19600000000000001</v>
      </c>
      <c r="C76" s="41">
        <v>7.0000000000000007E-2</v>
      </c>
      <c r="D76" s="30" t="s">
        <v>21</v>
      </c>
      <c r="F76" s="27">
        <f t="shared" si="5"/>
        <v>-2.6592600369327779</v>
      </c>
      <c r="K76" s="25">
        <v>8.2000000000000099</v>
      </c>
      <c r="L76" s="22" t="e">
        <f t="shared" ca="1" si="6"/>
        <v>#NAME?</v>
      </c>
      <c r="M76" s="25">
        <v>73</v>
      </c>
      <c r="N76" s="22" t="e">
        <f t="shared" ca="1" si="7"/>
        <v>#NAME?</v>
      </c>
    </row>
    <row r="77" spans="1:14" x14ac:dyDescent="0.35">
      <c r="A77" s="37">
        <v>74</v>
      </c>
      <c r="B77" s="33">
        <f t="shared" si="4"/>
        <v>0.18759999999999999</v>
      </c>
      <c r="C77" s="41">
        <v>6.7000000000000004E-2</v>
      </c>
      <c r="D77" s="30" t="s">
        <v>21</v>
      </c>
      <c r="F77" s="27">
        <f t="shared" si="5"/>
        <v>-2.7030626595911711</v>
      </c>
      <c r="K77" s="25">
        <v>8.3000000000000096</v>
      </c>
      <c r="L77" s="22" t="e">
        <f t="shared" ca="1" si="6"/>
        <v>#NAME?</v>
      </c>
      <c r="M77" s="25">
        <v>74</v>
      </c>
      <c r="N77" s="22" t="e">
        <f t="shared" ca="1" si="7"/>
        <v>#NAME?</v>
      </c>
    </row>
    <row r="78" spans="1:14" x14ac:dyDescent="0.35">
      <c r="A78" s="37">
        <v>75</v>
      </c>
      <c r="B78" s="33">
        <f t="shared" si="4"/>
        <v>0.1792</v>
      </c>
      <c r="C78" s="41">
        <v>6.4000000000000001E-2</v>
      </c>
      <c r="D78" s="30" t="s">
        <v>21</v>
      </c>
      <c r="F78" s="27">
        <f t="shared" si="5"/>
        <v>-2.7488721956224653</v>
      </c>
      <c r="K78" s="25">
        <v>8.4000000000000092</v>
      </c>
      <c r="L78" s="22" t="e">
        <f t="shared" ca="1" si="6"/>
        <v>#NAME?</v>
      </c>
      <c r="M78" s="25">
        <v>75</v>
      </c>
      <c r="N78" s="22" t="e">
        <f t="shared" ca="1" si="7"/>
        <v>#NAME?</v>
      </c>
    </row>
    <row r="79" spans="1:14" x14ac:dyDescent="0.35">
      <c r="A79" s="37">
        <v>76</v>
      </c>
      <c r="B79" s="33">
        <f t="shared" si="4"/>
        <v>0.17079999999999998</v>
      </c>
      <c r="C79" s="41">
        <v>6.0999999999999999E-2</v>
      </c>
      <c r="D79" s="30" t="s">
        <v>21</v>
      </c>
      <c r="F79" s="27">
        <f t="shared" si="5"/>
        <v>-2.7968814148088259</v>
      </c>
      <c r="K79" s="25">
        <v>8.5000000000000107</v>
      </c>
      <c r="L79" s="22" t="e">
        <f t="shared" ca="1" si="6"/>
        <v>#NAME?</v>
      </c>
      <c r="M79" s="25">
        <v>76</v>
      </c>
      <c r="N79" s="22" t="e">
        <f t="shared" ca="1" si="7"/>
        <v>#NAME?</v>
      </c>
    </row>
    <row r="80" spans="1:14" x14ac:dyDescent="0.35">
      <c r="A80" s="37">
        <v>77</v>
      </c>
      <c r="B80" s="33">
        <f t="shared" si="4"/>
        <v>0.16239999999999999</v>
      </c>
      <c r="C80" s="41">
        <v>5.8000000000000003E-2</v>
      </c>
      <c r="D80" s="30" t="s">
        <v>21</v>
      </c>
      <c r="F80" s="27">
        <f t="shared" si="5"/>
        <v>-2.8473122684357177</v>
      </c>
      <c r="K80" s="25">
        <v>8.6000000000000103</v>
      </c>
      <c r="L80" s="22" t="e">
        <f t="shared" ca="1" si="6"/>
        <v>#NAME?</v>
      </c>
      <c r="M80" s="25">
        <v>77</v>
      </c>
      <c r="N80" s="22" t="e">
        <f t="shared" ca="1" si="7"/>
        <v>#NAME?</v>
      </c>
    </row>
    <row r="81" spans="1:14" x14ac:dyDescent="0.35">
      <c r="A81" s="37">
        <v>78</v>
      </c>
      <c r="B81" s="33">
        <f t="shared" si="4"/>
        <v>0.154</v>
      </c>
      <c r="C81" s="41">
        <v>5.5E-2</v>
      </c>
      <c r="D81" s="30" t="s">
        <v>21</v>
      </c>
      <c r="F81" s="27">
        <f t="shared" si="5"/>
        <v>-2.9004220937496661</v>
      </c>
      <c r="K81" s="25">
        <v>8.7000000000000099</v>
      </c>
      <c r="L81" s="22" t="e">
        <f t="shared" ca="1" si="6"/>
        <v>#NAME?</v>
      </c>
      <c r="M81" s="25">
        <v>78</v>
      </c>
      <c r="N81" s="22" t="e">
        <f t="shared" ca="1" si="7"/>
        <v>#NAME?</v>
      </c>
    </row>
    <row r="82" spans="1:14" x14ac:dyDescent="0.35">
      <c r="A82" s="37">
        <v>79</v>
      </c>
      <c r="B82" s="33">
        <f t="shared" si="4"/>
        <v>0.14559999999999998</v>
      </c>
      <c r="C82" s="41">
        <v>5.1999999999999998E-2</v>
      </c>
      <c r="D82" s="30" t="s">
        <v>21</v>
      </c>
      <c r="F82" s="27">
        <f t="shared" si="5"/>
        <v>-2.9565115604007097</v>
      </c>
      <c r="K82" s="25">
        <v>8.8000000000000096</v>
      </c>
      <c r="L82" s="22" t="e">
        <f t="shared" ca="1" si="6"/>
        <v>#NAME?</v>
      </c>
      <c r="M82" s="25">
        <v>79</v>
      </c>
      <c r="N82" s="22" t="e">
        <f t="shared" ca="1" si="7"/>
        <v>#NAME?</v>
      </c>
    </row>
    <row r="83" spans="1:14" x14ac:dyDescent="0.35">
      <c r="A83" s="37">
        <v>80</v>
      </c>
      <c r="B83" s="33">
        <f t="shared" si="4"/>
        <v>0.13719999999999999</v>
      </c>
      <c r="C83" s="41">
        <v>4.9000000000000002E-2</v>
      </c>
      <c r="D83" s="30" t="s">
        <v>21</v>
      </c>
      <c r="F83" s="27">
        <f t="shared" si="5"/>
        <v>-3.0159349808715104</v>
      </c>
      <c r="K83" s="25">
        <v>8.9000000000000092</v>
      </c>
      <c r="L83" s="22" t="e">
        <f t="shared" ca="1" si="6"/>
        <v>#NAME?</v>
      </c>
      <c r="M83" s="25">
        <v>80</v>
      </c>
      <c r="N83" s="22" t="e">
        <f t="shared" ca="1" si="7"/>
        <v>#NAME?</v>
      </c>
    </row>
    <row r="84" spans="1:14" x14ac:dyDescent="0.35">
      <c r="A84" s="37">
        <v>81</v>
      </c>
      <c r="B84" s="33">
        <f t="shared" si="4"/>
        <v>0.1288</v>
      </c>
      <c r="C84" s="41">
        <v>4.5999999999999999E-2</v>
      </c>
      <c r="D84" s="30" t="s">
        <v>21</v>
      </c>
      <c r="F84" s="27">
        <f t="shared" si="5"/>
        <v>-3.0791138824930422</v>
      </c>
      <c r="K84" s="25">
        <v>9.0000000000000107</v>
      </c>
      <c r="L84" s="22" t="e">
        <f t="shared" ca="1" si="6"/>
        <v>#NAME?</v>
      </c>
      <c r="M84" s="25">
        <v>81</v>
      </c>
      <c r="N84" s="22" t="e">
        <f t="shared" ca="1" si="7"/>
        <v>#NAME?</v>
      </c>
    </row>
    <row r="85" spans="1:14" x14ac:dyDescent="0.35">
      <c r="A85" s="37">
        <v>82</v>
      </c>
      <c r="B85" s="33">
        <f t="shared" si="4"/>
        <v>0.12039999999999998</v>
      </c>
      <c r="C85" s="41">
        <v>4.2999999999999997E-2</v>
      </c>
      <c r="D85" s="30" t="s">
        <v>21</v>
      </c>
      <c r="F85" s="27">
        <f t="shared" si="5"/>
        <v>-3.1465551632885749</v>
      </c>
      <c r="K85" s="25">
        <v>9.1000000000000103</v>
      </c>
      <c r="L85" s="22" t="e">
        <f t="shared" ca="1" si="6"/>
        <v>#NAME?</v>
      </c>
      <c r="M85" s="25">
        <v>82</v>
      </c>
      <c r="N85" s="22" t="e">
        <f t="shared" ca="1" si="7"/>
        <v>#NAME?</v>
      </c>
    </row>
    <row r="86" spans="1:14" x14ac:dyDescent="0.35">
      <c r="A86" s="37">
        <v>83</v>
      </c>
      <c r="B86" s="33">
        <f t="shared" si="4"/>
        <v>0.11199999999999999</v>
      </c>
      <c r="C86" s="41">
        <v>0.04</v>
      </c>
      <c r="D86" s="30" t="s">
        <v>21</v>
      </c>
      <c r="F86" s="27">
        <f t="shared" si="5"/>
        <v>-3.2188758248682006</v>
      </c>
      <c r="K86" s="25">
        <v>9.2000000000000099</v>
      </c>
      <c r="L86" s="22" t="e">
        <f t="shared" ca="1" si="6"/>
        <v>#NAME?</v>
      </c>
      <c r="M86" s="25">
        <v>83</v>
      </c>
      <c r="N86" s="22" t="e">
        <f t="shared" ca="1" si="7"/>
        <v>#NAME?</v>
      </c>
    </row>
    <row r="87" spans="1:14" x14ac:dyDescent="0.35">
      <c r="A87" s="37">
        <v>84</v>
      </c>
      <c r="B87" s="33">
        <f t="shared" si="4"/>
        <v>0.10359999999999998</v>
      </c>
      <c r="C87" s="41">
        <v>3.6999999999999998E-2</v>
      </c>
      <c r="D87" s="30" t="s">
        <v>21</v>
      </c>
      <c r="F87" s="27">
        <f t="shared" si="5"/>
        <v>-3.2968373663379125</v>
      </c>
      <c r="K87" s="25">
        <v>9.3000000000000096</v>
      </c>
      <c r="L87" s="22" t="e">
        <f t="shared" ca="1" si="6"/>
        <v>#NAME?</v>
      </c>
      <c r="M87" s="25">
        <v>84</v>
      </c>
      <c r="N87" s="22" t="e">
        <f t="shared" ca="1" si="7"/>
        <v>#NAME?</v>
      </c>
    </row>
    <row r="88" spans="1:14" x14ac:dyDescent="0.35">
      <c r="A88" s="37">
        <v>85</v>
      </c>
      <c r="B88" s="33">
        <f t="shared" si="4"/>
        <v>9.5200000000000007E-2</v>
      </c>
      <c r="C88" s="41">
        <v>3.4000000000000002E-2</v>
      </c>
      <c r="D88" s="30" t="s">
        <v>21</v>
      </c>
      <c r="F88" s="27">
        <f t="shared" si="5"/>
        <v>-3.3813947543659757</v>
      </c>
      <c r="K88" s="25">
        <v>9.4000000000000092</v>
      </c>
      <c r="L88" s="22" t="e">
        <f t="shared" ca="1" si="6"/>
        <v>#NAME?</v>
      </c>
      <c r="M88" s="25">
        <v>85</v>
      </c>
      <c r="N88" s="22" t="e">
        <f t="shared" ca="1" si="7"/>
        <v>#NAME?</v>
      </c>
    </row>
    <row r="89" spans="1:14" x14ac:dyDescent="0.35">
      <c r="A89" s="37">
        <v>86</v>
      </c>
      <c r="B89" s="33">
        <f t="shared" si="4"/>
        <v>8.6799999999999988E-2</v>
      </c>
      <c r="C89" s="41">
        <v>3.1E-2</v>
      </c>
      <c r="D89" s="30" t="s">
        <v>21</v>
      </c>
      <c r="F89" s="27">
        <f t="shared" si="5"/>
        <v>-3.473768074496991</v>
      </c>
      <c r="K89" s="25">
        <v>9.5000000000000107</v>
      </c>
      <c r="L89" s="22" t="e">
        <f t="shared" ca="1" si="6"/>
        <v>#NAME?</v>
      </c>
      <c r="M89" s="25">
        <v>86</v>
      </c>
      <c r="N89" s="22" t="e">
        <f t="shared" ca="1" si="7"/>
        <v>#NAME?</v>
      </c>
    </row>
    <row r="90" spans="1:14" x14ac:dyDescent="0.35">
      <c r="A90" s="37">
        <v>87</v>
      </c>
      <c r="B90" s="33">
        <f t="shared" si="4"/>
        <v>7.8399999999999997E-2</v>
      </c>
      <c r="C90" s="41">
        <v>2.8000000000000001E-2</v>
      </c>
      <c r="D90" s="30" t="s">
        <v>21</v>
      </c>
      <c r="F90" s="27">
        <f t="shared" si="5"/>
        <v>-3.575550768806933</v>
      </c>
      <c r="K90" s="25">
        <v>9.6000000000000103</v>
      </c>
      <c r="L90" s="22" t="e">
        <f t="shared" ca="1" si="6"/>
        <v>#NAME?</v>
      </c>
      <c r="M90" s="25">
        <v>87</v>
      </c>
      <c r="N90" s="22" t="e">
        <f t="shared" ca="1" si="7"/>
        <v>#NAME?</v>
      </c>
    </row>
    <row r="91" spans="1:14" x14ac:dyDescent="0.35">
      <c r="A91" s="37">
        <v>88</v>
      </c>
      <c r="B91" s="33">
        <f t="shared" si="4"/>
        <v>6.9999999999999993E-2</v>
      </c>
      <c r="C91" s="41">
        <v>2.5000000000000001E-2</v>
      </c>
      <c r="D91" s="30" t="s">
        <v>21</v>
      </c>
      <c r="F91" s="27">
        <f t="shared" si="5"/>
        <v>-3.6888794541139363</v>
      </c>
      <c r="K91" s="25">
        <v>9.7000000000000099</v>
      </c>
      <c r="L91" s="22" t="e">
        <f t="shared" ca="1" si="6"/>
        <v>#NAME?</v>
      </c>
      <c r="M91" s="25">
        <v>88</v>
      </c>
      <c r="N91" s="22" t="e">
        <f t="shared" ca="1" si="7"/>
        <v>#NAME?</v>
      </c>
    </row>
    <row r="92" spans="1:14" x14ac:dyDescent="0.35">
      <c r="A92" s="37">
        <v>89</v>
      </c>
      <c r="B92" s="33">
        <f t="shared" si="4"/>
        <v>6.1599999999999995E-2</v>
      </c>
      <c r="C92" s="41">
        <v>2.1999999999999999E-2</v>
      </c>
      <c r="D92" s="30" t="s">
        <v>21</v>
      </c>
      <c r="F92" s="27">
        <f t="shared" si="5"/>
        <v>-3.8167128256238212</v>
      </c>
      <c r="K92" s="25">
        <v>9.8000000000000096</v>
      </c>
      <c r="L92" s="22" t="e">
        <f t="shared" ca="1" si="6"/>
        <v>#NAME?</v>
      </c>
      <c r="M92" s="25">
        <v>89</v>
      </c>
      <c r="N92" s="22" t="e">
        <f t="shared" ca="1" si="7"/>
        <v>#NAME?</v>
      </c>
    </row>
    <row r="93" spans="1:14" x14ac:dyDescent="0.35">
      <c r="A93" s="38">
        <v>90</v>
      </c>
      <c r="B93" s="34">
        <f t="shared" si="4"/>
        <v>5.5999999999999994E-2</v>
      </c>
      <c r="C93" s="42">
        <v>0.02</v>
      </c>
      <c r="D93" s="31" t="s">
        <v>21</v>
      </c>
      <c r="F93" s="28">
        <f t="shared" si="5"/>
        <v>-3.912023005428146</v>
      </c>
      <c r="K93" s="26">
        <v>9.9000000000000092</v>
      </c>
      <c r="L93" s="23" t="e">
        <f t="shared" ca="1" si="6"/>
        <v>#NAME?</v>
      </c>
      <c r="M93" s="26">
        <v>90</v>
      </c>
      <c r="N93" s="23" t="e">
        <f t="shared" ca="1" si="7"/>
        <v>#NAME?</v>
      </c>
    </row>
  </sheetData>
  <sheetProtection password="DCDE" sheet="1" objects="1" scenarios="1"/>
  <phoneticPr fontId="0" type="noConversion"/>
  <pageMargins left="0.51" right="0.24" top="0.81" bottom="0.28000000000000003" header="0.5" footer="0.17"/>
  <pageSetup paperSize="9" scale="65" orientation="portrait" r:id="rId1"/>
  <headerFooter alignWithMargins="0">
    <oddHeader>&amp;C&amp;"Arial,Bold"&amp;14Contamination Monitoring Product Calibration - Twin Light Source 30-1 Look Up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297"/>
  <sheetViews>
    <sheetView topLeftCell="A238" workbookViewId="0">
      <selection activeCell="A281" sqref="A281"/>
    </sheetView>
  </sheetViews>
  <sheetFormatPr defaultRowHeight="12.75" x14ac:dyDescent="0.35"/>
  <cols>
    <col min="1" max="1" width="32.73046875" bestFit="1" customWidth="1"/>
    <col min="2" max="2" width="12.3984375" bestFit="1" customWidth="1"/>
    <col min="5" max="5" width="32.73046875" bestFit="1" customWidth="1"/>
    <col min="6" max="6" width="15.1328125" bestFit="1" customWidth="1"/>
    <col min="8" max="8" width="32.73046875" bestFit="1" customWidth="1"/>
    <col min="9" max="9" width="9.59765625" bestFit="1" customWidth="1"/>
  </cols>
  <sheetData>
    <row r="1" spans="1:9" x14ac:dyDescent="0.35">
      <c r="A1" s="585" t="s">
        <v>705</v>
      </c>
      <c r="B1" s="585" t="s">
        <v>706</v>
      </c>
      <c r="H1" s="154"/>
    </row>
    <row r="2" spans="1:9" x14ac:dyDescent="0.35">
      <c r="A2" s="585" t="s">
        <v>707</v>
      </c>
      <c r="B2" s="585"/>
      <c r="H2" s="154"/>
      <c r="I2" s="154"/>
    </row>
    <row r="3" spans="1:9" x14ac:dyDescent="0.35">
      <c r="A3" s="585" t="s">
        <v>708</v>
      </c>
      <c r="B3" s="585" t="s">
        <v>706</v>
      </c>
      <c r="H3" s="154"/>
      <c r="I3" s="154"/>
    </row>
    <row r="4" spans="1:9" x14ac:dyDescent="0.35">
      <c r="A4" s="585" t="s">
        <v>709</v>
      </c>
      <c r="B4" s="585">
        <v>63010062</v>
      </c>
      <c r="H4" s="154"/>
    </row>
    <row r="5" spans="1:9" x14ac:dyDescent="0.35">
      <c r="A5" s="585" t="s">
        <v>710</v>
      </c>
      <c r="B5" s="585">
        <v>1072</v>
      </c>
      <c r="H5" s="154"/>
      <c r="I5" s="154"/>
    </row>
    <row r="6" spans="1:9" x14ac:dyDescent="0.35">
      <c r="A6" s="585" t="s">
        <v>711</v>
      </c>
      <c r="B6" s="585">
        <v>0</v>
      </c>
      <c r="H6" s="154"/>
      <c r="I6" s="154"/>
    </row>
    <row r="7" spans="1:9" x14ac:dyDescent="0.35">
      <c r="A7" s="585" t="s">
        <v>712</v>
      </c>
      <c r="B7" s="585" t="s">
        <v>1010</v>
      </c>
      <c r="H7" s="154"/>
      <c r="I7" s="154"/>
    </row>
    <row r="8" spans="1:9" x14ac:dyDescent="0.35">
      <c r="A8" s="585" t="s">
        <v>713</v>
      </c>
      <c r="B8" s="585">
        <v>76</v>
      </c>
      <c r="H8" s="154"/>
      <c r="I8" s="154"/>
    </row>
    <row r="9" spans="1:9" x14ac:dyDescent="0.35">
      <c r="A9" s="585" t="s">
        <v>714</v>
      </c>
      <c r="B9" s="585">
        <v>180</v>
      </c>
      <c r="H9" s="154"/>
      <c r="I9" s="154"/>
    </row>
    <row r="10" spans="1:9" x14ac:dyDescent="0.35">
      <c r="A10" s="585" t="s">
        <v>715</v>
      </c>
      <c r="B10" s="585">
        <v>1020</v>
      </c>
      <c r="H10" s="154"/>
      <c r="I10" s="154"/>
    </row>
    <row r="11" spans="1:9" x14ac:dyDescent="0.35">
      <c r="A11" s="585" t="s">
        <v>716</v>
      </c>
      <c r="B11" s="585">
        <v>2204</v>
      </c>
      <c r="H11" s="154"/>
      <c r="I11" s="154"/>
    </row>
    <row r="12" spans="1:9" x14ac:dyDescent="0.35">
      <c r="A12" s="585" t="s">
        <v>717</v>
      </c>
      <c r="B12" s="585">
        <v>3244</v>
      </c>
      <c r="H12" s="154"/>
      <c r="I12" s="154"/>
    </row>
    <row r="13" spans="1:9" x14ac:dyDescent="0.35">
      <c r="A13" s="585" t="s">
        <v>718</v>
      </c>
      <c r="B13" s="585">
        <v>11420</v>
      </c>
      <c r="H13" s="154"/>
      <c r="I13" s="154"/>
    </row>
    <row r="14" spans="1:9" x14ac:dyDescent="0.35">
      <c r="A14" s="585" t="s">
        <v>719</v>
      </c>
      <c r="B14" s="585">
        <v>18008</v>
      </c>
      <c r="H14" s="154"/>
      <c r="I14" s="154"/>
    </row>
    <row r="15" spans="1:9" x14ac:dyDescent="0.35">
      <c r="A15" s="585" t="s">
        <v>720</v>
      </c>
      <c r="B15" s="585">
        <v>30374</v>
      </c>
      <c r="H15" s="154"/>
      <c r="I15" s="154"/>
    </row>
    <row r="16" spans="1:9" x14ac:dyDescent="0.35">
      <c r="A16" s="585" t="s">
        <v>721</v>
      </c>
      <c r="B16" s="585">
        <v>60</v>
      </c>
      <c r="H16" s="154"/>
      <c r="I16" s="154"/>
    </row>
    <row r="17" spans="1:9" x14ac:dyDescent="0.35">
      <c r="A17" s="585" t="s">
        <v>722</v>
      </c>
      <c r="B17" s="585">
        <v>300</v>
      </c>
      <c r="H17" s="154"/>
      <c r="I17" s="154"/>
    </row>
    <row r="18" spans="1:9" x14ac:dyDescent="0.35">
      <c r="A18" s="585" t="s">
        <v>723</v>
      </c>
      <c r="B18" s="585">
        <v>750</v>
      </c>
      <c r="H18" s="154"/>
      <c r="I18" s="154"/>
    </row>
    <row r="19" spans="1:9" x14ac:dyDescent="0.35">
      <c r="A19" s="585" t="s">
        <v>724</v>
      </c>
      <c r="B19" s="585">
        <v>200</v>
      </c>
      <c r="H19" s="154"/>
      <c r="I19" s="154"/>
    </row>
    <row r="20" spans="1:9" x14ac:dyDescent="0.35">
      <c r="A20" s="585" t="s">
        <v>725</v>
      </c>
      <c r="B20" s="585">
        <v>500</v>
      </c>
      <c r="H20" s="154"/>
      <c r="I20" s="154"/>
    </row>
    <row r="21" spans="1:9" x14ac:dyDescent="0.35">
      <c r="A21" s="585" t="s">
        <v>726</v>
      </c>
      <c r="B21" s="585">
        <v>11060</v>
      </c>
      <c r="H21" s="154"/>
      <c r="I21" s="154"/>
    </row>
    <row r="22" spans="1:9" x14ac:dyDescent="0.35">
      <c r="A22" s="585" t="s">
        <v>727</v>
      </c>
      <c r="B22" s="585">
        <v>98.24</v>
      </c>
      <c r="H22" s="154"/>
      <c r="I22" s="154"/>
    </row>
    <row r="23" spans="1:9" x14ac:dyDescent="0.35">
      <c r="A23" s="585" t="s">
        <v>728</v>
      </c>
      <c r="B23" s="585">
        <v>50</v>
      </c>
      <c r="H23" s="154"/>
      <c r="I23" s="154"/>
    </row>
    <row r="24" spans="1:9" x14ac:dyDescent="0.35">
      <c r="A24" s="585" t="s">
        <v>729</v>
      </c>
      <c r="B24" s="585">
        <v>1779359702</v>
      </c>
      <c r="H24" s="154"/>
      <c r="I24" s="154"/>
    </row>
    <row r="25" spans="1:9" x14ac:dyDescent="0.35">
      <c r="A25" s="585" t="s">
        <v>730</v>
      </c>
      <c r="B25" s="585">
        <v>1810895702</v>
      </c>
      <c r="H25" s="154"/>
      <c r="I25" s="154"/>
    </row>
    <row r="26" spans="1:9" x14ac:dyDescent="0.35">
      <c r="A26" s="585" t="s">
        <v>731</v>
      </c>
      <c r="B26" s="585">
        <v>1</v>
      </c>
      <c r="H26" s="154"/>
      <c r="I26" s="154"/>
    </row>
    <row r="27" spans="1:9" x14ac:dyDescent="0.35">
      <c r="A27" s="585" t="s">
        <v>732</v>
      </c>
      <c r="B27" s="585">
        <v>0</v>
      </c>
      <c r="H27" s="154"/>
      <c r="I27" s="154"/>
    </row>
    <row r="28" spans="1:9" x14ac:dyDescent="0.35">
      <c r="A28" s="585" t="s">
        <v>733</v>
      </c>
      <c r="B28" s="585">
        <v>0</v>
      </c>
      <c r="H28" s="154"/>
      <c r="I28" s="154"/>
    </row>
    <row r="29" spans="1:9" x14ac:dyDescent="0.35">
      <c r="A29" s="585" t="s">
        <v>734</v>
      </c>
      <c r="B29" s="585">
        <v>8</v>
      </c>
      <c r="H29" s="154"/>
      <c r="I29" s="154"/>
    </row>
    <row r="30" spans="1:9" x14ac:dyDescent="0.35">
      <c r="A30" s="585" t="s">
        <v>735</v>
      </c>
      <c r="B30" s="585">
        <v>0</v>
      </c>
      <c r="H30" s="154"/>
      <c r="I30" s="154"/>
    </row>
    <row r="31" spans="1:9" x14ac:dyDescent="0.35">
      <c r="A31" s="585" t="s">
        <v>736</v>
      </c>
      <c r="B31" s="585">
        <v>2147483648</v>
      </c>
      <c r="H31" s="154"/>
      <c r="I31" s="154"/>
    </row>
    <row r="32" spans="1:9" x14ac:dyDescent="0.35">
      <c r="A32" s="585" t="s">
        <v>737</v>
      </c>
      <c r="B32" s="585">
        <v>0</v>
      </c>
      <c r="H32" s="154"/>
      <c r="I32" s="154"/>
    </row>
    <row r="33" spans="1:9" x14ac:dyDescent="0.35">
      <c r="A33" s="585" t="s">
        <v>738</v>
      </c>
      <c r="B33" s="585">
        <v>0</v>
      </c>
      <c r="H33" s="154"/>
      <c r="I33" s="154"/>
    </row>
    <row r="34" spans="1:9" x14ac:dyDescent="0.35">
      <c r="A34" s="585" t="s">
        <v>739</v>
      </c>
      <c r="B34" s="585">
        <v>0</v>
      </c>
      <c r="H34" s="154"/>
      <c r="I34" s="154"/>
    </row>
    <row r="35" spans="1:9" x14ac:dyDescent="0.35">
      <c r="A35" s="585" t="s">
        <v>740</v>
      </c>
      <c r="B35" s="585">
        <v>30</v>
      </c>
      <c r="H35" s="154"/>
      <c r="I35" s="154"/>
    </row>
    <row r="36" spans="1:9" x14ac:dyDescent="0.35">
      <c r="A36" s="585" t="s">
        <v>741</v>
      </c>
      <c r="B36" s="585">
        <v>0</v>
      </c>
      <c r="H36" s="154"/>
      <c r="I36" s="154"/>
    </row>
    <row r="37" spans="1:9" x14ac:dyDescent="0.35">
      <c r="A37" s="585" t="s">
        <v>742</v>
      </c>
      <c r="B37" s="585">
        <v>1</v>
      </c>
      <c r="H37" s="154"/>
      <c r="I37" s="154"/>
    </row>
    <row r="38" spans="1:9" x14ac:dyDescent="0.35">
      <c r="A38" s="585" t="s">
        <v>743</v>
      </c>
      <c r="B38" s="585">
        <v>30</v>
      </c>
      <c r="H38" s="154"/>
      <c r="I38" s="154"/>
    </row>
    <row r="39" spans="1:9" x14ac:dyDescent="0.35">
      <c r="A39" s="585" t="s">
        <v>744</v>
      </c>
      <c r="B39" s="585">
        <v>150</v>
      </c>
      <c r="H39" s="154"/>
      <c r="I39" s="154"/>
    </row>
    <row r="40" spans="1:9" x14ac:dyDescent="0.35">
      <c r="A40" s="585" t="s">
        <v>745</v>
      </c>
      <c r="B40" s="585">
        <v>40</v>
      </c>
      <c r="H40" s="154"/>
      <c r="I40" s="154"/>
    </row>
    <row r="41" spans="1:9" x14ac:dyDescent="0.35">
      <c r="A41" s="585" t="s">
        <v>746</v>
      </c>
      <c r="B41" s="585">
        <v>20</v>
      </c>
      <c r="H41" s="154"/>
      <c r="I41" s="154"/>
    </row>
    <row r="42" spans="1:9" x14ac:dyDescent="0.35">
      <c r="A42" s="585" t="s">
        <v>747</v>
      </c>
      <c r="B42" s="585">
        <v>100</v>
      </c>
      <c r="H42" s="154"/>
      <c r="I42" s="154"/>
    </row>
    <row r="43" spans="1:9" x14ac:dyDescent="0.35">
      <c r="A43" s="585" t="s">
        <v>748</v>
      </c>
      <c r="B43" s="585">
        <v>90</v>
      </c>
      <c r="H43" s="154"/>
      <c r="I43" s="154"/>
    </row>
    <row r="44" spans="1:9" x14ac:dyDescent="0.35">
      <c r="A44" s="585" t="s">
        <v>749</v>
      </c>
      <c r="B44" s="585">
        <v>50</v>
      </c>
      <c r="H44" s="154"/>
      <c r="I44" s="154"/>
    </row>
    <row r="45" spans="1:9" x14ac:dyDescent="0.35">
      <c r="A45" s="585" t="s">
        <v>750</v>
      </c>
      <c r="B45" s="585">
        <v>50</v>
      </c>
      <c r="H45" s="154"/>
      <c r="I45" s="154"/>
    </row>
    <row r="46" spans="1:9" x14ac:dyDescent="0.35">
      <c r="A46" s="585" t="s">
        <v>751</v>
      </c>
      <c r="B46" s="585">
        <v>50</v>
      </c>
      <c r="H46" s="154"/>
      <c r="I46" s="154"/>
    </row>
    <row r="47" spans="1:9" x14ac:dyDescent="0.35">
      <c r="A47" s="585" t="s">
        <v>752</v>
      </c>
      <c r="B47" s="585">
        <v>40</v>
      </c>
      <c r="H47" s="154"/>
      <c r="I47" s="154"/>
    </row>
    <row r="48" spans="1:9" x14ac:dyDescent="0.35">
      <c r="A48" s="585" t="s">
        <v>753</v>
      </c>
      <c r="B48" s="585">
        <v>20</v>
      </c>
      <c r="H48" s="154"/>
      <c r="I48" s="154"/>
    </row>
    <row r="49" spans="1:9" x14ac:dyDescent="0.35">
      <c r="A49" s="585" t="s">
        <v>754</v>
      </c>
      <c r="B49" s="585">
        <v>40</v>
      </c>
      <c r="H49" s="154"/>
      <c r="I49" s="154"/>
    </row>
    <row r="50" spans="1:9" x14ac:dyDescent="0.35">
      <c r="A50" s="585" t="s">
        <v>755</v>
      </c>
      <c r="B50" s="585">
        <v>20</v>
      </c>
      <c r="H50" s="154"/>
      <c r="I50" s="154"/>
    </row>
    <row r="51" spans="1:9" x14ac:dyDescent="0.35">
      <c r="A51" s="585" t="s">
        <v>756</v>
      </c>
      <c r="B51" s="585">
        <v>0</v>
      </c>
      <c r="H51" s="154"/>
      <c r="I51" s="154"/>
    </row>
    <row r="52" spans="1:9" x14ac:dyDescent="0.35">
      <c r="A52" s="585" t="s">
        <v>757</v>
      </c>
      <c r="B52" s="585">
        <v>76</v>
      </c>
      <c r="H52" s="154"/>
      <c r="I52" s="154"/>
    </row>
    <row r="53" spans="1:9" x14ac:dyDescent="0.35">
      <c r="A53" s="585" t="s">
        <v>758</v>
      </c>
      <c r="B53" s="585">
        <v>122</v>
      </c>
      <c r="H53" s="154"/>
      <c r="I53" s="154"/>
    </row>
    <row r="54" spans="1:9" x14ac:dyDescent="0.35">
      <c r="A54" s="585" t="s">
        <v>759</v>
      </c>
      <c r="B54" s="585">
        <v>180</v>
      </c>
      <c r="H54" s="154"/>
      <c r="I54" s="154"/>
    </row>
    <row r="55" spans="1:9" x14ac:dyDescent="0.35">
      <c r="A55" s="585" t="s">
        <v>760</v>
      </c>
      <c r="B55" s="585">
        <v>244</v>
      </c>
      <c r="H55" s="154"/>
      <c r="I55" s="154"/>
    </row>
    <row r="56" spans="1:9" x14ac:dyDescent="0.35">
      <c r="A56" s="585" t="s">
        <v>761</v>
      </c>
      <c r="B56" s="585">
        <v>322</v>
      </c>
      <c r="H56" s="154"/>
      <c r="I56" s="154"/>
    </row>
    <row r="57" spans="1:9" x14ac:dyDescent="0.35">
      <c r="A57" s="585" t="s">
        <v>762</v>
      </c>
      <c r="B57" s="585">
        <v>416</v>
      </c>
      <c r="H57" s="154"/>
      <c r="I57" s="154"/>
    </row>
    <row r="58" spans="1:9" x14ac:dyDescent="0.35">
      <c r="A58" s="585" t="s">
        <v>763</v>
      </c>
      <c r="B58" s="585">
        <v>516</v>
      </c>
      <c r="H58" s="154"/>
    </row>
    <row r="59" spans="1:9" x14ac:dyDescent="0.35">
      <c r="A59" s="585" t="s">
        <v>764</v>
      </c>
      <c r="B59" s="585">
        <v>630</v>
      </c>
      <c r="H59" s="154"/>
      <c r="I59" s="154"/>
    </row>
    <row r="60" spans="1:9" x14ac:dyDescent="0.35">
      <c r="A60" s="585" t="s">
        <v>765</v>
      </c>
      <c r="B60" s="585">
        <v>758</v>
      </c>
      <c r="H60" s="154"/>
      <c r="I60" s="154"/>
    </row>
    <row r="61" spans="1:9" x14ac:dyDescent="0.35">
      <c r="A61" s="585" t="s">
        <v>766</v>
      </c>
      <c r="B61" s="585">
        <v>888</v>
      </c>
      <c r="H61" s="154"/>
      <c r="I61" s="154"/>
    </row>
    <row r="62" spans="1:9" x14ac:dyDescent="0.35">
      <c r="A62" s="585" t="s">
        <v>767</v>
      </c>
      <c r="B62" s="585">
        <v>1020</v>
      </c>
      <c r="H62" s="154"/>
      <c r="I62" s="154"/>
    </row>
    <row r="63" spans="1:9" x14ac:dyDescent="0.35">
      <c r="A63" s="585" t="s">
        <v>768</v>
      </c>
      <c r="B63" s="585">
        <v>1160</v>
      </c>
      <c r="H63" s="154"/>
      <c r="I63" s="154"/>
    </row>
    <row r="64" spans="1:9" x14ac:dyDescent="0.35">
      <c r="A64" s="585" t="s">
        <v>769</v>
      </c>
      <c r="B64" s="585">
        <v>1304</v>
      </c>
      <c r="H64" s="154"/>
      <c r="I64" s="154"/>
    </row>
    <row r="65" spans="1:9" x14ac:dyDescent="0.35">
      <c r="A65" s="585" t="s">
        <v>770</v>
      </c>
      <c r="B65" s="585">
        <v>1448</v>
      </c>
      <c r="H65" s="154"/>
      <c r="I65" s="154"/>
    </row>
    <row r="66" spans="1:9" x14ac:dyDescent="0.35">
      <c r="A66" s="585" t="s">
        <v>771</v>
      </c>
      <c r="B66" s="585">
        <v>1594</v>
      </c>
      <c r="H66" s="154"/>
      <c r="I66" s="154"/>
    </row>
    <row r="67" spans="1:9" x14ac:dyDescent="0.35">
      <c r="A67" s="585" t="s">
        <v>772</v>
      </c>
      <c r="B67" s="585">
        <v>1760</v>
      </c>
      <c r="H67" s="154"/>
      <c r="I67" s="154"/>
    </row>
    <row r="68" spans="1:9" x14ac:dyDescent="0.35">
      <c r="A68" s="585" t="s">
        <v>773</v>
      </c>
      <c r="B68" s="585">
        <v>1964</v>
      </c>
      <c r="H68" s="154"/>
      <c r="I68" s="154"/>
    </row>
    <row r="69" spans="1:9" x14ac:dyDescent="0.35">
      <c r="A69" s="585" t="s">
        <v>774</v>
      </c>
      <c r="B69" s="585">
        <v>2204</v>
      </c>
      <c r="H69" s="154"/>
      <c r="I69" s="154"/>
    </row>
    <row r="70" spans="1:9" x14ac:dyDescent="0.35">
      <c r="A70" s="585" t="s">
        <v>775</v>
      </c>
      <c r="B70" s="585">
        <v>2458</v>
      </c>
      <c r="H70" s="154"/>
      <c r="I70" s="154"/>
    </row>
    <row r="71" spans="1:9" x14ac:dyDescent="0.35">
      <c r="A71" s="585" t="s">
        <v>776</v>
      </c>
      <c r="B71" s="585">
        <v>2698</v>
      </c>
      <c r="H71" s="154"/>
      <c r="I71" s="154"/>
    </row>
    <row r="72" spans="1:9" x14ac:dyDescent="0.35">
      <c r="A72" s="585" t="s">
        <v>777</v>
      </c>
      <c r="B72" s="585">
        <v>3006</v>
      </c>
      <c r="H72" s="154"/>
      <c r="I72" s="154"/>
    </row>
    <row r="73" spans="1:9" x14ac:dyDescent="0.35">
      <c r="A73" s="585" t="s">
        <v>778</v>
      </c>
      <c r="B73" s="585">
        <v>3244</v>
      </c>
      <c r="H73" s="154"/>
      <c r="I73" s="154"/>
    </row>
    <row r="74" spans="1:9" x14ac:dyDescent="0.35">
      <c r="A74" s="585" t="s">
        <v>779</v>
      </c>
      <c r="B74" s="585">
        <v>3572</v>
      </c>
      <c r="H74" s="154"/>
      <c r="I74" s="154"/>
    </row>
    <row r="75" spans="1:9" x14ac:dyDescent="0.35">
      <c r="A75" s="585" t="s">
        <v>780</v>
      </c>
      <c r="B75" s="585">
        <v>3932</v>
      </c>
      <c r="H75" s="154"/>
    </row>
    <row r="76" spans="1:9" x14ac:dyDescent="0.35">
      <c r="A76" s="585" t="s">
        <v>781</v>
      </c>
      <c r="B76" s="585">
        <v>4228</v>
      </c>
      <c r="H76" s="154"/>
      <c r="I76" s="154"/>
    </row>
    <row r="77" spans="1:9" x14ac:dyDescent="0.35">
      <c r="A77" s="585" t="s">
        <v>782</v>
      </c>
      <c r="B77" s="585">
        <v>4602</v>
      </c>
      <c r="H77" s="154"/>
    </row>
    <row r="78" spans="1:9" x14ac:dyDescent="0.35">
      <c r="A78" s="585" t="s">
        <v>783</v>
      </c>
      <c r="B78" s="585">
        <v>5124</v>
      </c>
      <c r="H78" s="154"/>
      <c r="I78" s="154"/>
    </row>
    <row r="79" spans="1:9" x14ac:dyDescent="0.35">
      <c r="A79" s="585" t="s">
        <v>784</v>
      </c>
      <c r="B79" s="585">
        <v>11420</v>
      </c>
      <c r="H79" s="154"/>
      <c r="I79" s="154"/>
    </row>
    <row r="80" spans="1:9" x14ac:dyDescent="0.35">
      <c r="A80" s="585" t="s">
        <v>785</v>
      </c>
      <c r="B80" s="585">
        <v>18008</v>
      </c>
      <c r="H80" s="154"/>
      <c r="I80" s="154"/>
    </row>
    <row r="81" spans="1:9" x14ac:dyDescent="0.35">
      <c r="A81" s="585" t="s">
        <v>786</v>
      </c>
      <c r="B81" s="585">
        <v>30374</v>
      </c>
      <c r="H81" s="154"/>
      <c r="I81" s="154"/>
    </row>
    <row r="82" spans="1:9" x14ac:dyDescent="0.35">
      <c r="A82" s="585" t="s">
        <v>787</v>
      </c>
      <c r="B82" s="585">
        <v>30374</v>
      </c>
      <c r="H82" s="154"/>
      <c r="I82" s="154"/>
    </row>
    <row r="83" spans="1:9" x14ac:dyDescent="0.35">
      <c r="A83" s="585" t="s">
        <v>788</v>
      </c>
      <c r="B83" s="585">
        <v>30374</v>
      </c>
      <c r="H83" s="154"/>
      <c r="I83" s="154"/>
    </row>
    <row r="84" spans="1:9" x14ac:dyDescent="0.35">
      <c r="A84" s="585" t="s">
        <v>789</v>
      </c>
      <c r="B84" s="585">
        <v>4</v>
      </c>
      <c r="H84" s="154"/>
    </row>
    <row r="85" spans="1:9" x14ac:dyDescent="0.35">
      <c r="A85" s="585" t="s">
        <v>790</v>
      </c>
      <c r="B85" s="585">
        <v>5</v>
      </c>
      <c r="H85" s="154"/>
      <c r="I85" s="154"/>
    </row>
    <row r="86" spans="1:9" x14ac:dyDescent="0.35">
      <c r="A86" s="585" t="s">
        <v>791</v>
      </c>
      <c r="B86" s="585">
        <v>6</v>
      </c>
      <c r="H86" s="154"/>
      <c r="I86" s="154"/>
    </row>
    <row r="87" spans="1:9" x14ac:dyDescent="0.35">
      <c r="A87" s="585" t="s">
        <v>792</v>
      </c>
      <c r="B87" s="585">
        <v>7</v>
      </c>
      <c r="H87" s="154"/>
    </row>
    <row r="88" spans="1:9" x14ac:dyDescent="0.35">
      <c r="A88" s="585" t="s">
        <v>793</v>
      </c>
      <c r="B88" s="585">
        <v>8</v>
      </c>
      <c r="H88" s="154"/>
      <c r="I88" s="154"/>
    </row>
    <row r="89" spans="1:9" x14ac:dyDescent="0.35">
      <c r="A89" s="585" t="s">
        <v>794</v>
      </c>
      <c r="B89" s="585">
        <v>9</v>
      </c>
      <c r="H89" s="154"/>
      <c r="I89" s="154"/>
    </row>
    <row r="90" spans="1:9" x14ac:dyDescent="0.35">
      <c r="A90" s="585" t="s">
        <v>795</v>
      </c>
      <c r="B90" s="585">
        <v>10</v>
      </c>
      <c r="H90" s="154"/>
      <c r="I90" s="154"/>
    </row>
    <row r="91" spans="1:9" x14ac:dyDescent="0.35">
      <c r="A91" s="585" t="s">
        <v>796</v>
      </c>
      <c r="B91" s="585">
        <v>11</v>
      </c>
      <c r="H91" s="154"/>
      <c r="I91" s="154"/>
    </row>
    <row r="92" spans="1:9" x14ac:dyDescent="0.35">
      <c r="A92" s="585" t="s">
        <v>797</v>
      </c>
      <c r="B92" s="585">
        <v>12</v>
      </c>
      <c r="H92" s="154"/>
      <c r="I92" s="154"/>
    </row>
    <row r="93" spans="1:9" x14ac:dyDescent="0.35">
      <c r="A93" s="585" t="s">
        <v>798</v>
      </c>
      <c r="B93" s="585">
        <v>13</v>
      </c>
      <c r="H93" s="154"/>
      <c r="I93" s="154"/>
    </row>
    <row r="94" spans="1:9" x14ac:dyDescent="0.35">
      <c r="A94" s="585" t="s">
        <v>799</v>
      </c>
      <c r="B94" s="585">
        <v>14</v>
      </c>
      <c r="H94" s="154"/>
      <c r="I94" s="154"/>
    </row>
    <row r="95" spans="1:9" x14ac:dyDescent="0.35">
      <c r="A95" s="585" t="s">
        <v>800</v>
      </c>
      <c r="B95" s="585">
        <v>15</v>
      </c>
      <c r="H95" s="154"/>
      <c r="I95" s="154"/>
    </row>
    <row r="96" spans="1:9" x14ac:dyDescent="0.35">
      <c r="A96" s="585" t="s">
        <v>801</v>
      </c>
      <c r="B96" s="585">
        <v>16</v>
      </c>
      <c r="H96" s="154"/>
      <c r="I96" s="154"/>
    </row>
    <row r="97" spans="1:9" x14ac:dyDescent="0.35">
      <c r="A97" s="585" t="s">
        <v>802</v>
      </c>
      <c r="B97" s="585">
        <v>17</v>
      </c>
      <c r="H97" s="154"/>
      <c r="I97" s="154"/>
    </row>
    <row r="98" spans="1:9" x14ac:dyDescent="0.35">
      <c r="A98" s="585" t="s">
        <v>803</v>
      </c>
      <c r="B98" s="585">
        <v>18</v>
      </c>
      <c r="H98" s="154"/>
      <c r="I98" s="154"/>
    </row>
    <row r="99" spans="1:9" x14ac:dyDescent="0.35">
      <c r="A99" s="585" t="s">
        <v>804</v>
      </c>
      <c r="B99" s="585">
        <v>19</v>
      </c>
      <c r="H99" s="154"/>
      <c r="I99" s="154"/>
    </row>
    <row r="100" spans="1:9" x14ac:dyDescent="0.35">
      <c r="A100" s="585" t="s">
        <v>805</v>
      </c>
      <c r="B100" s="585">
        <v>20</v>
      </c>
      <c r="H100" s="154"/>
      <c r="I100" s="154"/>
    </row>
    <row r="101" spans="1:9" x14ac:dyDescent="0.35">
      <c r="A101" s="585" t="s">
        <v>806</v>
      </c>
      <c r="B101" s="585">
        <v>21</v>
      </c>
      <c r="H101" s="154"/>
      <c r="I101" s="154"/>
    </row>
    <row r="102" spans="1:9" x14ac:dyDescent="0.35">
      <c r="A102" s="585" t="s">
        <v>807</v>
      </c>
      <c r="B102" s="585">
        <v>22</v>
      </c>
      <c r="H102" s="154"/>
      <c r="I102" s="154"/>
    </row>
    <row r="103" spans="1:9" x14ac:dyDescent="0.35">
      <c r="A103" s="585" t="s">
        <v>808</v>
      </c>
      <c r="B103" s="585">
        <v>23</v>
      </c>
      <c r="H103" s="154"/>
      <c r="I103" s="154"/>
    </row>
    <row r="104" spans="1:9" x14ac:dyDescent="0.35">
      <c r="A104" s="585" t="s">
        <v>809</v>
      </c>
      <c r="B104" s="585">
        <v>24</v>
      </c>
      <c r="H104" s="154"/>
      <c r="I104" s="154"/>
    </row>
    <row r="105" spans="1:9" x14ac:dyDescent="0.35">
      <c r="A105" s="585" t="s">
        <v>810</v>
      </c>
      <c r="B105" s="585">
        <v>25</v>
      </c>
      <c r="H105" s="154"/>
      <c r="I105" s="154"/>
    </row>
    <row r="106" spans="1:9" x14ac:dyDescent="0.35">
      <c r="A106" s="585" t="s">
        <v>811</v>
      </c>
      <c r="B106" s="585">
        <v>26</v>
      </c>
      <c r="H106" s="154"/>
      <c r="I106" s="154"/>
    </row>
    <row r="107" spans="1:9" x14ac:dyDescent="0.35">
      <c r="A107" s="585" t="s">
        <v>812</v>
      </c>
      <c r="B107" s="585">
        <v>27</v>
      </c>
      <c r="H107" s="154"/>
      <c r="I107" s="154"/>
    </row>
    <row r="108" spans="1:9" x14ac:dyDescent="0.35">
      <c r="A108" s="585" t="s">
        <v>813</v>
      </c>
      <c r="B108" s="585">
        <v>28</v>
      </c>
      <c r="H108" s="154"/>
      <c r="I108" s="154"/>
    </row>
    <row r="109" spans="1:9" x14ac:dyDescent="0.35">
      <c r="A109" s="585" t="s">
        <v>814</v>
      </c>
      <c r="B109" s="585">
        <v>29</v>
      </c>
      <c r="H109" s="154"/>
      <c r="I109" s="154"/>
    </row>
    <row r="110" spans="1:9" x14ac:dyDescent="0.35">
      <c r="A110" s="585" t="s">
        <v>815</v>
      </c>
      <c r="B110" s="585">
        <v>30</v>
      </c>
      <c r="H110" s="154"/>
      <c r="I110" s="154"/>
    </row>
    <row r="111" spans="1:9" x14ac:dyDescent="0.35">
      <c r="A111" s="585" t="s">
        <v>816</v>
      </c>
      <c r="B111" s="585">
        <v>38</v>
      </c>
      <c r="H111" s="154"/>
      <c r="I111" s="154"/>
    </row>
    <row r="112" spans="1:9" x14ac:dyDescent="0.35">
      <c r="A112" s="585" t="s">
        <v>817</v>
      </c>
      <c r="B112" s="585">
        <v>50</v>
      </c>
      <c r="H112" s="154"/>
      <c r="I112" s="154"/>
    </row>
    <row r="113" spans="1:9" x14ac:dyDescent="0.35">
      <c r="A113" s="585" t="s">
        <v>818</v>
      </c>
      <c r="B113" s="585">
        <v>70</v>
      </c>
      <c r="H113" s="154"/>
      <c r="I113" s="154"/>
    </row>
    <row r="114" spans="1:9" x14ac:dyDescent="0.35">
      <c r="A114" s="585" t="s">
        <v>819</v>
      </c>
      <c r="B114" s="585">
        <v>70</v>
      </c>
      <c r="H114" s="154"/>
      <c r="I114" s="154"/>
    </row>
    <row r="115" spans="1:9" x14ac:dyDescent="0.35">
      <c r="A115" s="585" t="s">
        <v>820</v>
      </c>
      <c r="B115" s="585">
        <v>70</v>
      </c>
      <c r="H115" s="154"/>
      <c r="I115" s="154"/>
    </row>
    <row r="116" spans="1:9" x14ac:dyDescent="0.35">
      <c r="A116" s="585" t="s">
        <v>821</v>
      </c>
      <c r="B116" s="585"/>
      <c r="H116" s="154"/>
      <c r="I116" s="154"/>
    </row>
    <row r="117" spans="1:9" x14ac:dyDescent="0.35">
      <c r="A117" s="585" t="s">
        <v>822</v>
      </c>
      <c r="B117" s="585">
        <v>1443077</v>
      </c>
      <c r="H117" s="154"/>
      <c r="I117" s="154"/>
    </row>
    <row r="118" spans="1:9" x14ac:dyDescent="0.35">
      <c r="A118" s="585" t="s">
        <v>823</v>
      </c>
      <c r="B118" s="585">
        <v>588111</v>
      </c>
      <c r="H118" s="154"/>
      <c r="I118" s="154"/>
    </row>
    <row r="119" spans="1:9" x14ac:dyDescent="0.35">
      <c r="A119" s="585" t="s">
        <v>824</v>
      </c>
      <c r="B119" s="585">
        <v>47076</v>
      </c>
      <c r="H119" s="154"/>
      <c r="I119" s="154"/>
    </row>
    <row r="120" spans="1:9" x14ac:dyDescent="0.35">
      <c r="A120" s="585" t="s">
        <v>825</v>
      </c>
      <c r="B120" s="585">
        <v>12122</v>
      </c>
      <c r="H120" s="154"/>
      <c r="I120" s="154"/>
    </row>
    <row r="121" spans="1:9" x14ac:dyDescent="0.35">
      <c r="A121" s="585" t="s">
        <v>826</v>
      </c>
      <c r="B121" s="585">
        <v>5515</v>
      </c>
      <c r="H121" s="154"/>
      <c r="I121" s="154"/>
    </row>
    <row r="122" spans="1:9" x14ac:dyDescent="0.35">
      <c r="A122" s="585" t="s">
        <v>827</v>
      </c>
      <c r="B122" s="585">
        <v>143</v>
      </c>
      <c r="H122" s="154"/>
      <c r="I122" s="154"/>
    </row>
    <row r="123" spans="1:9" x14ac:dyDescent="0.35">
      <c r="A123" s="585" t="s">
        <v>828</v>
      </c>
      <c r="B123" s="585">
        <v>23</v>
      </c>
      <c r="H123" s="154"/>
      <c r="I123" s="154"/>
    </row>
    <row r="124" spans="1:9" x14ac:dyDescent="0.35">
      <c r="A124" s="585" t="s">
        <v>829</v>
      </c>
      <c r="B124" s="585">
        <v>11</v>
      </c>
      <c r="H124" s="154"/>
      <c r="I124" s="154"/>
    </row>
    <row r="125" spans="1:9" x14ac:dyDescent="0.35">
      <c r="A125" s="585" t="s">
        <v>830</v>
      </c>
      <c r="B125" s="585">
        <v>1424740</v>
      </c>
      <c r="H125" s="154"/>
      <c r="I125" s="154"/>
    </row>
    <row r="126" spans="1:9" x14ac:dyDescent="0.35">
      <c r="A126" s="585" t="s">
        <v>831</v>
      </c>
      <c r="B126" s="585">
        <v>580711</v>
      </c>
      <c r="H126" s="154"/>
      <c r="I126" s="154"/>
    </row>
    <row r="127" spans="1:9" x14ac:dyDescent="0.35">
      <c r="A127" s="585" t="s">
        <v>832</v>
      </c>
      <c r="B127" s="585">
        <v>45733</v>
      </c>
      <c r="H127" s="154"/>
      <c r="I127" s="154"/>
    </row>
    <row r="128" spans="1:9" x14ac:dyDescent="0.35">
      <c r="A128" s="585" t="s">
        <v>833</v>
      </c>
      <c r="B128" s="585">
        <v>12357</v>
      </c>
      <c r="H128" s="154"/>
      <c r="I128" s="154"/>
    </row>
    <row r="129" spans="1:9" x14ac:dyDescent="0.35">
      <c r="A129" s="585" t="s">
        <v>834</v>
      </c>
      <c r="B129" s="585">
        <v>5636</v>
      </c>
      <c r="H129" s="154"/>
      <c r="I129" s="154"/>
    </row>
    <row r="130" spans="1:9" x14ac:dyDescent="0.35">
      <c r="A130" s="585" t="s">
        <v>835</v>
      </c>
      <c r="B130" s="585">
        <v>179</v>
      </c>
      <c r="H130" s="154"/>
      <c r="I130" s="155"/>
    </row>
    <row r="131" spans="1:9" x14ac:dyDescent="0.35">
      <c r="A131" s="585" t="s">
        <v>836</v>
      </c>
      <c r="B131" s="585">
        <v>23</v>
      </c>
      <c r="H131" s="154"/>
      <c r="I131" s="154"/>
    </row>
    <row r="132" spans="1:9" x14ac:dyDescent="0.35">
      <c r="A132" s="585" t="s">
        <v>837</v>
      </c>
      <c r="B132" s="585">
        <v>5</v>
      </c>
      <c r="H132" s="154"/>
      <c r="I132" s="154"/>
    </row>
    <row r="133" spans="1:9" x14ac:dyDescent="0.35">
      <c r="A133" s="585" t="s">
        <v>838</v>
      </c>
      <c r="B133" s="585">
        <v>1420326</v>
      </c>
      <c r="H133" s="154"/>
      <c r="I133" s="154"/>
    </row>
    <row r="134" spans="1:9" x14ac:dyDescent="0.35">
      <c r="A134" s="585" t="s">
        <v>839</v>
      </c>
      <c r="B134" s="585">
        <v>578927</v>
      </c>
      <c r="H134" s="154"/>
      <c r="I134" s="154"/>
    </row>
    <row r="135" spans="1:9" x14ac:dyDescent="0.35">
      <c r="A135" s="585" t="s">
        <v>840</v>
      </c>
      <c r="B135" s="585">
        <v>46206</v>
      </c>
      <c r="H135" s="154"/>
      <c r="I135" s="154"/>
    </row>
    <row r="136" spans="1:9" x14ac:dyDescent="0.35">
      <c r="A136" s="585" t="s">
        <v>841</v>
      </c>
      <c r="B136" s="585">
        <v>12094</v>
      </c>
      <c r="H136" s="154"/>
      <c r="I136" s="154"/>
    </row>
    <row r="137" spans="1:9" x14ac:dyDescent="0.35">
      <c r="A137" s="585" t="s">
        <v>842</v>
      </c>
      <c r="B137" s="585">
        <v>5600</v>
      </c>
      <c r="H137" s="154"/>
      <c r="I137" s="154"/>
    </row>
    <row r="138" spans="1:9" x14ac:dyDescent="0.35">
      <c r="A138" s="585" t="s">
        <v>843</v>
      </c>
      <c r="B138" s="585">
        <v>185</v>
      </c>
      <c r="H138" s="154"/>
      <c r="I138" s="154"/>
    </row>
    <row r="139" spans="1:9" x14ac:dyDescent="0.35">
      <c r="A139" s="585" t="s">
        <v>844</v>
      </c>
      <c r="B139" s="585">
        <v>59</v>
      </c>
      <c r="H139" s="154"/>
      <c r="I139" s="154"/>
    </row>
    <row r="140" spans="1:9" x14ac:dyDescent="0.35">
      <c r="A140" s="585" t="s">
        <v>845</v>
      </c>
      <c r="B140" s="585">
        <v>0</v>
      </c>
      <c r="H140" s="154"/>
      <c r="I140" s="154"/>
    </row>
    <row r="141" spans="1:9" x14ac:dyDescent="0.35">
      <c r="A141" s="585" t="s">
        <v>846</v>
      </c>
      <c r="B141" s="585">
        <v>1415270</v>
      </c>
      <c r="H141" s="154"/>
      <c r="I141" s="154"/>
    </row>
    <row r="142" spans="1:9" x14ac:dyDescent="0.35">
      <c r="A142" s="585" t="s">
        <v>847</v>
      </c>
      <c r="B142" s="585">
        <v>580231</v>
      </c>
      <c r="H142" s="154"/>
      <c r="I142" s="154"/>
    </row>
    <row r="143" spans="1:9" x14ac:dyDescent="0.35">
      <c r="A143" s="585" t="s">
        <v>848</v>
      </c>
      <c r="B143" s="585">
        <v>45814.7</v>
      </c>
      <c r="H143" s="154"/>
      <c r="I143" s="154"/>
    </row>
    <row r="144" spans="1:9" x14ac:dyDescent="0.35">
      <c r="A144" s="585" t="s">
        <v>849</v>
      </c>
      <c r="B144" s="585">
        <v>11873.6</v>
      </c>
      <c r="H144" s="154"/>
      <c r="I144" s="157"/>
    </row>
    <row r="145" spans="1:2" x14ac:dyDescent="0.35">
      <c r="A145" s="585" t="s">
        <v>850</v>
      </c>
      <c r="B145" s="585">
        <v>5545.63</v>
      </c>
    </row>
    <row r="146" spans="1:2" x14ac:dyDescent="0.35">
      <c r="A146" s="585" t="s">
        <v>851</v>
      </c>
      <c r="B146" s="585">
        <v>184.08699999999999</v>
      </c>
    </row>
    <row r="147" spans="1:2" x14ac:dyDescent="0.35">
      <c r="A147" s="585" t="s">
        <v>852</v>
      </c>
      <c r="B147" s="585">
        <v>34.516399999999997</v>
      </c>
    </row>
    <row r="148" spans="1:2" x14ac:dyDescent="0.35">
      <c r="A148" s="585" t="s">
        <v>853</v>
      </c>
      <c r="B148" s="585">
        <v>4.4329299999999998</v>
      </c>
    </row>
    <row r="149" spans="1:2" x14ac:dyDescent="0.35">
      <c r="A149" s="585" t="s">
        <v>854</v>
      </c>
      <c r="B149" s="585">
        <v>14430.8</v>
      </c>
    </row>
    <row r="150" spans="1:2" x14ac:dyDescent="0.35">
      <c r="A150" s="585" t="s">
        <v>855</v>
      </c>
      <c r="B150" s="585">
        <v>8992.42</v>
      </c>
    </row>
    <row r="151" spans="1:2" x14ac:dyDescent="0.35">
      <c r="A151" s="585" t="s">
        <v>856</v>
      </c>
      <c r="B151" s="585">
        <v>5881.12</v>
      </c>
    </row>
    <row r="152" spans="1:2" x14ac:dyDescent="0.35">
      <c r="A152" s="585" t="s">
        <v>857</v>
      </c>
      <c r="B152" s="585">
        <v>4058.54</v>
      </c>
    </row>
    <row r="153" spans="1:2" x14ac:dyDescent="0.35">
      <c r="A153" s="585" t="s">
        <v>858</v>
      </c>
      <c r="B153" s="585">
        <v>2792.29</v>
      </c>
    </row>
    <row r="154" spans="1:2" x14ac:dyDescent="0.35">
      <c r="A154" s="585" t="s">
        <v>859</v>
      </c>
      <c r="B154" s="585">
        <v>1913.65</v>
      </c>
    </row>
    <row r="155" spans="1:2" x14ac:dyDescent="0.35">
      <c r="A155" s="585" t="s">
        <v>860</v>
      </c>
      <c r="B155" s="585">
        <v>1375.67</v>
      </c>
    </row>
    <row r="156" spans="1:2" x14ac:dyDescent="0.35">
      <c r="A156" s="585" t="s">
        <v>861</v>
      </c>
      <c r="B156" s="585">
        <v>1007.85</v>
      </c>
    </row>
    <row r="157" spans="1:2" x14ac:dyDescent="0.35">
      <c r="A157" s="585" t="s">
        <v>862</v>
      </c>
      <c r="B157" s="585">
        <v>752.077</v>
      </c>
    </row>
    <row r="158" spans="1:2" x14ac:dyDescent="0.35">
      <c r="A158" s="585" t="s">
        <v>863</v>
      </c>
      <c r="B158" s="585">
        <v>589.35900000000004</v>
      </c>
    </row>
    <row r="159" spans="1:2" x14ac:dyDescent="0.35">
      <c r="A159" s="585" t="s">
        <v>864</v>
      </c>
      <c r="B159" s="585">
        <v>470.767</v>
      </c>
    </row>
    <row r="160" spans="1:2" x14ac:dyDescent="0.35">
      <c r="A160" s="585" t="s">
        <v>865</v>
      </c>
      <c r="B160" s="585">
        <v>382.57299999999998</v>
      </c>
    </row>
    <row r="161" spans="1:2" x14ac:dyDescent="0.35">
      <c r="A161" s="585" t="s">
        <v>866</v>
      </c>
      <c r="B161" s="585">
        <v>311.04700000000003</v>
      </c>
    </row>
    <row r="162" spans="1:2" x14ac:dyDescent="0.35">
      <c r="A162" s="585" t="s">
        <v>867</v>
      </c>
      <c r="B162" s="585">
        <v>258.70600000000002</v>
      </c>
    </row>
    <row r="163" spans="1:2" x14ac:dyDescent="0.35">
      <c r="A163" s="585" t="s">
        <v>868</v>
      </c>
      <c r="B163" s="585">
        <v>220.57499999999999</v>
      </c>
    </row>
    <row r="164" spans="1:2" x14ac:dyDescent="0.35">
      <c r="A164" s="585" t="s">
        <v>869</v>
      </c>
      <c r="B164" s="585">
        <v>182.863</v>
      </c>
    </row>
    <row r="165" spans="1:2" x14ac:dyDescent="0.35">
      <c r="A165" s="585" t="s">
        <v>870</v>
      </c>
      <c r="B165" s="585">
        <v>148.149</v>
      </c>
    </row>
    <row r="166" spans="1:2" x14ac:dyDescent="0.35">
      <c r="A166" s="585" t="s">
        <v>871</v>
      </c>
      <c r="B166" s="585">
        <v>121.229</v>
      </c>
    </row>
    <row r="167" spans="1:2" x14ac:dyDescent="0.35">
      <c r="A167" s="585" t="s">
        <v>872</v>
      </c>
      <c r="B167" s="585">
        <v>98.266400000000004</v>
      </c>
    </row>
    <row r="168" spans="1:2" x14ac:dyDescent="0.35">
      <c r="A168" s="585" t="s">
        <v>873</v>
      </c>
      <c r="B168" s="585">
        <v>82.498199999999997</v>
      </c>
    </row>
    <row r="169" spans="1:2" x14ac:dyDescent="0.35">
      <c r="A169" s="585" t="s">
        <v>874</v>
      </c>
      <c r="B169" s="585">
        <v>66.130499999999998</v>
      </c>
    </row>
    <row r="170" spans="1:2" x14ac:dyDescent="0.35">
      <c r="A170" s="585" t="s">
        <v>875</v>
      </c>
      <c r="B170" s="585">
        <v>55.158700000000003</v>
      </c>
    </row>
    <row r="171" spans="1:2" x14ac:dyDescent="0.35">
      <c r="A171" s="585" t="s">
        <v>876</v>
      </c>
      <c r="B171" s="585">
        <v>44.846400000000003</v>
      </c>
    </row>
    <row r="172" spans="1:2" x14ac:dyDescent="0.35">
      <c r="A172" s="585" t="s">
        <v>877</v>
      </c>
      <c r="B172" s="585">
        <v>36.9923</v>
      </c>
    </row>
    <row r="173" spans="1:2" x14ac:dyDescent="0.35">
      <c r="A173" s="585" t="s">
        <v>878</v>
      </c>
      <c r="B173" s="585">
        <v>31.416499999999999</v>
      </c>
    </row>
    <row r="174" spans="1:2" x14ac:dyDescent="0.35">
      <c r="A174" s="585" t="s">
        <v>879</v>
      </c>
      <c r="B174" s="585">
        <v>25.241099999999999</v>
      </c>
    </row>
    <row r="175" spans="1:2" x14ac:dyDescent="0.35">
      <c r="A175" s="585" t="s">
        <v>880</v>
      </c>
      <c r="B175" s="585">
        <v>20.024999999999999</v>
      </c>
    </row>
    <row r="176" spans="1:2" x14ac:dyDescent="0.35">
      <c r="A176" s="585" t="s">
        <v>881</v>
      </c>
      <c r="B176" s="585">
        <v>1.43892</v>
      </c>
    </row>
    <row r="177" spans="1:2" x14ac:dyDescent="0.35">
      <c r="A177" s="585" t="s">
        <v>882</v>
      </c>
      <c r="B177" s="585">
        <v>0.23982000000000001</v>
      </c>
    </row>
    <row r="178" spans="1:2" x14ac:dyDescent="0.35">
      <c r="A178" s="585" t="s">
        <v>883</v>
      </c>
      <c r="B178" s="585">
        <v>0.11991</v>
      </c>
    </row>
    <row r="179" spans="1:2" x14ac:dyDescent="0.35">
      <c r="A179" s="585" t="s">
        <v>884</v>
      </c>
      <c r="B179" s="585">
        <v>0.11991</v>
      </c>
    </row>
    <row r="180" spans="1:2" x14ac:dyDescent="0.35">
      <c r="A180" s="585" t="s">
        <v>885</v>
      </c>
      <c r="B180" s="585">
        <v>0.11991</v>
      </c>
    </row>
    <row r="181" spans="1:2" x14ac:dyDescent="0.35">
      <c r="A181" s="585" t="s">
        <v>886</v>
      </c>
      <c r="B181" s="585">
        <v>14247.4</v>
      </c>
    </row>
    <row r="182" spans="1:2" x14ac:dyDescent="0.35">
      <c r="A182" s="585" t="s">
        <v>887</v>
      </c>
      <c r="B182" s="585">
        <v>8850.1200000000008</v>
      </c>
    </row>
    <row r="183" spans="1:2" x14ac:dyDescent="0.35">
      <c r="A183" s="585" t="s">
        <v>888</v>
      </c>
      <c r="B183" s="585">
        <v>5807.12</v>
      </c>
    </row>
    <row r="184" spans="1:2" x14ac:dyDescent="0.35">
      <c r="A184" s="585" t="s">
        <v>889</v>
      </c>
      <c r="B184" s="585">
        <v>4002.89</v>
      </c>
    </row>
    <row r="185" spans="1:2" x14ac:dyDescent="0.35">
      <c r="A185" s="585" t="s">
        <v>890</v>
      </c>
      <c r="B185" s="585">
        <v>2752.01</v>
      </c>
    </row>
    <row r="186" spans="1:2" x14ac:dyDescent="0.35">
      <c r="A186" s="585" t="s">
        <v>891</v>
      </c>
      <c r="B186" s="585">
        <v>1886.53</v>
      </c>
    </row>
    <row r="187" spans="1:2" x14ac:dyDescent="0.35">
      <c r="A187" s="585" t="s">
        <v>892</v>
      </c>
      <c r="B187" s="585">
        <v>1357.62</v>
      </c>
    </row>
    <row r="188" spans="1:2" x14ac:dyDescent="0.35">
      <c r="A188" s="585" t="s">
        <v>893</v>
      </c>
      <c r="B188" s="585">
        <v>989.29600000000005</v>
      </c>
    </row>
    <row r="189" spans="1:2" x14ac:dyDescent="0.35">
      <c r="A189" s="585" t="s">
        <v>894</v>
      </c>
      <c r="B189" s="585">
        <v>741.49300000000005</v>
      </c>
    </row>
    <row r="190" spans="1:2" x14ac:dyDescent="0.35">
      <c r="A190" s="585" t="s">
        <v>895</v>
      </c>
      <c r="B190" s="585">
        <v>574.85299999999995</v>
      </c>
    </row>
    <row r="191" spans="1:2" x14ac:dyDescent="0.35">
      <c r="A191" s="585" t="s">
        <v>896</v>
      </c>
      <c r="B191" s="585">
        <v>457.33100000000002</v>
      </c>
    </row>
    <row r="192" spans="1:2" x14ac:dyDescent="0.35">
      <c r="A192" s="585" t="s">
        <v>897</v>
      </c>
      <c r="B192" s="585">
        <v>371.55500000000001</v>
      </c>
    </row>
    <row r="193" spans="1:2" x14ac:dyDescent="0.35">
      <c r="A193" s="585" t="s">
        <v>898</v>
      </c>
      <c r="B193" s="585">
        <v>309.38</v>
      </c>
    </row>
    <row r="194" spans="1:2" x14ac:dyDescent="0.35">
      <c r="A194" s="585" t="s">
        <v>899</v>
      </c>
      <c r="B194" s="585">
        <v>257.387</v>
      </c>
    </row>
    <row r="195" spans="1:2" x14ac:dyDescent="0.35">
      <c r="A195" s="585" t="s">
        <v>900</v>
      </c>
      <c r="B195" s="585">
        <v>218.63200000000001</v>
      </c>
    </row>
    <row r="196" spans="1:2" x14ac:dyDescent="0.35">
      <c r="A196" s="585" t="s">
        <v>901</v>
      </c>
      <c r="B196" s="585">
        <v>184.78899999999999</v>
      </c>
    </row>
    <row r="197" spans="1:2" x14ac:dyDescent="0.35">
      <c r="A197" s="585" t="s">
        <v>902</v>
      </c>
      <c r="B197" s="585">
        <v>154.72</v>
      </c>
    </row>
    <row r="198" spans="1:2" x14ac:dyDescent="0.35">
      <c r="A198" s="585" t="s">
        <v>903</v>
      </c>
      <c r="B198" s="585">
        <v>123.572</v>
      </c>
    </row>
    <row r="199" spans="1:2" x14ac:dyDescent="0.35">
      <c r="A199" s="585" t="s">
        <v>904</v>
      </c>
      <c r="B199" s="585">
        <v>99.971900000000005</v>
      </c>
    </row>
    <row r="200" spans="1:2" x14ac:dyDescent="0.35">
      <c r="A200" s="585" t="s">
        <v>905</v>
      </c>
      <c r="B200" s="585">
        <v>82.840699999999998</v>
      </c>
    </row>
    <row r="201" spans="1:2" x14ac:dyDescent="0.35">
      <c r="A201" s="585" t="s">
        <v>906</v>
      </c>
      <c r="B201" s="585">
        <v>66.608000000000004</v>
      </c>
    </row>
    <row r="202" spans="1:2" x14ac:dyDescent="0.35">
      <c r="A202" s="585" t="s">
        <v>907</v>
      </c>
      <c r="B202" s="585">
        <v>56.365200000000002</v>
      </c>
    </row>
    <row r="203" spans="1:2" x14ac:dyDescent="0.35">
      <c r="A203" s="585" t="s">
        <v>908</v>
      </c>
      <c r="B203" s="585">
        <v>44.804699999999997</v>
      </c>
    </row>
    <row r="204" spans="1:2" x14ac:dyDescent="0.35">
      <c r="A204" s="585" t="s">
        <v>909</v>
      </c>
      <c r="B204" s="585">
        <v>36.478700000000003</v>
      </c>
    </row>
    <row r="205" spans="1:2" x14ac:dyDescent="0.35">
      <c r="A205" s="585" t="s">
        <v>910</v>
      </c>
      <c r="B205" s="585">
        <v>30.309000000000001</v>
      </c>
    </row>
    <row r="206" spans="1:2" x14ac:dyDescent="0.35">
      <c r="A206" s="585" t="s">
        <v>911</v>
      </c>
      <c r="B206" s="585">
        <v>24.379000000000001</v>
      </c>
    </row>
    <row r="207" spans="1:2" x14ac:dyDescent="0.35">
      <c r="A207" s="585" t="s">
        <v>912</v>
      </c>
      <c r="B207" s="585">
        <v>17.9099</v>
      </c>
    </row>
    <row r="208" spans="1:2" x14ac:dyDescent="0.35">
      <c r="A208" s="585" t="s">
        <v>913</v>
      </c>
      <c r="B208" s="585">
        <v>1.79698</v>
      </c>
    </row>
    <row r="209" spans="1:2" x14ac:dyDescent="0.35">
      <c r="A209" s="585" t="s">
        <v>914</v>
      </c>
      <c r="B209" s="585">
        <v>0.239597</v>
      </c>
    </row>
    <row r="210" spans="1:2" x14ac:dyDescent="0.35">
      <c r="A210" s="585" t="s">
        <v>915</v>
      </c>
      <c r="B210" s="585">
        <v>5.9899300000000003E-2</v>
      </c>
    </row>
    <row r="211" spans="1:2" x14ac:dyDescent="0.35">
      <c r="A211" s="585" t="s">
        <v>916</v>
      </c>
      <c r="B211" s="585">
        <v>5.9899300000000003E-2</v>
      </c>
    </row>
    <row r="212" spans="1:2" x14ac:dyDescent="0.35">
      <c r="A212" s="585" t="s">
        <v>917</v>
      </c>
      <c r="B212" s="585">
        <v>5.9899300000000003E-2</v>
      </c>
    </row>
    <row r="213" spans="1:2" x14ac:dyDescent="0.35">
      <c r="A213" s="585" t="s">
        <v>918</v>
      </c>
      <c r="B213" s="585">
        <v>14203.3</v>
      </c>
    </row>
    <row r="214" spans="1:2" x14ac:dyDescent="0.35">
      <c r="A214" s="585" t="s">
        <v>919</v>
      </c>
      <c r="B214" s="585">
        <v>8858.5499999999993</v>
      </c>
    </row>
    <row r="215" spans="1:2" x14ac:dyDescent="0.35">
      <c r="A215" s="585" t="s">
        <v>920</v>
      </c>
      <c r="B215" s="585">
        <v>5789.27</v>
      </c>
    </row>
    <row r="216" spans="1:2" x14ac:dyDescent="0.35">
      <c r="A216" s="585" t="s">
        <v>921</v>
      </c>
      <c r="B216" s="585">
        <v>3994.97</v>
      </c>
    </row>
    <row r="217" spans="1:2" x14ac:dyDescent="0.35">
      <c r="A217" s="585" t="s">
        <v>922</v>
      </c>
      <c r="B217" s="585">
        <v>2748.6</v>
      </c>
    </row>
    <row r="218" spans="1:2" x14ac:dyDescent="0.35">
      <c r="A218" s="585" t="s">
        <v>923</v>
      </c>
      <c r="B218" s="585">
        <v>1891.68</v>
      </c>
    </row>
    <row r="219" spans="1:2" x14ac:dyDescent="0.35">
      <c r="A219" s="585" t="s">
        <v>924</v>
      </c>
      <c r="B219" s="585">
        <v>1354</v>
      </c>
    </row>
    <row r="220" spans="1:2" x14ac:dyDescent="0.35">
      <c r="A220" s="585" t="s">
        <v>925</v>
      </c>
      <c r="B220" s="585">
        <v>996.68899999999996</v>
      </c>
    </row>
    <row r="221" spans="1:2" x14ac:dyDescent="0.35">
      <c r="A221" s="585" t="s">
        <v>926</v>
      </c>
      <c r="B221" s="585">
        <v>742.39</v>
      </c>
    </row>
    <row r="222" spans="1:2" x14ac:dyDescent="0.35">
      <c r="A222" s="585" t="s">
        <v>927</v>
      </c>
      <c r="B222" s="585">
        <v>576.59500000000003</v>
      </c>
    </row>
    <row r="223" spans="1:2" x14ac:dyDescent="0.35">
      <c r="A223" s="585" t="s">
        <v>928</v>
      </c>
      <c r="B223" s="585">
        <v>462.06700000000001</v>
      </c>
    </row>
    <row r="224" spans="1:2" x14ac:dyDescent="0.35">
      <c r="A224" s="585" t="s">
        <v>929</v>
      </c>
      <c r="B224" s="585">
        <v>374.88299999999998</v>
      </c>
    </row>
    <row r="225" spans="1:2" x14ac:dyDescent="0.35">
      <c r="A225" s="585" t="s">
        <v>930</v>
      </c>
      <c r="B225" s="585">
        <v>308.505</v>
      </c>
    </row>
    <row r="226" spans="1:2" x14ac:dyDescent="0.35">
      <c r="A226" s="585" t="s">
        <v>931</v>
      </c>
      <c r="B226" s="585">
        <v>261.49400000000003</v>
      </c>
    </row>
    <row r="227" spans="1:2" x14ac:dyDescent="0.35">
      <c r="A227" s="585" t="s">
        <v>932</v>
      </c>
      <c r="B227" s="585">
        <v>218.68100000000001</v>
      </c>
    </row>
    <row r="228" spans="1:2" x14ac:dyDescent="0.35">
      <c r="A228" s="585" t="s">
        <v>933</v>
      </c>
      <c r="B228" s="585">
        <v>186.12200000000001</v>
      </c>
    </row>
    <row r="229" spans="1:2" x14ac:dyDescent="0.35">
      <c r="A229" s="585" t="s">
        <v>934</v>
      </c>
      <c r="B229" s="585">
        <v>151.28399999999999</v>
      </c>
    </row>
    <row r="230" spans="1:2" x14ac:dyDescent="0.35">
      <c r="A230" s="585" t="s">
        <v>935</v>
      </c>
      <c r="B230" s="585">
        <v>120.943</v>
      </c>
    </row>
    <row r="231" spans="1:2" x14ac:dyDescent="0.35">
      <c r="A231" s="585" t="s">
        <v>936</v>
      </c>
      <c r="B231" s="585">
        <v>99.536900000000003</v>
      </c>
    </row>
    <row r="232" spans="1:2" x14ac:dyDescent="0.35">
      <c r="A232" s="585" t="s">
        <v>937</v>
      </c>
      <c r="B232" s="585">
        <v>84.006799999999998</v>
      </c>
    </row>
    <row r="233" spans="1:2" x14ac:dyDescent="0.35">
      <c r="A233" s="585" t="s">
        <v>938</v>
      </c>
      <c r="B233" s="585">
        <v>65.6584</v>
      </c>
    </row>
    <row r="234" spans="1:2" x14ac:dyDescent="0.35">
      <c r="A234" s="585" t="s">
        <v>939</v>
      </c>
      <c r="B234" s="585">
        <v>56.0045</v>
      </c>
    </row>
    <row r="235" spans="1:2" x14ac:dyDescent="0.35">
      <c r="A235" s="585" t="s">
        <v>940</v>
      </c>
      <c r="B235" s="585">
        <v>46.050800000000002</v>
      </c>
    </row>
    <row r="236" spans="1:2" x14ac:dyDescent="0.35">
      <c r="A236" s="585" t="s">
        <v>941</v>
      </c>
      <c r="B236" s="585">
        <v>37.7761</v>
      </c>
    </row>
    <row r="237" spans="1:2" x14ac:dyDescent="0.35">
      <c r="A237" s="585" t="s">
        <v>942</v>
      </c>
      <c r="B237" s="585">
        <v>32.3795</v>
      </c>
    </row>
    <row r="238" spans="1:2" x14ac:dyDescent="0.35">
      <c r="A238" s="585" t="s">
        <v>943</v>
      </c>
      <c r="B238" s="585">
        <v>26.263400000000001</v>
      </c>
    </row>
    <row r="239" spans="1:2" x14ac:dyDescent="0.35">
      <c r="A239" s="585" t="s">
        <v>944</v>
      </c>
      <c r="B239" s="585">
        <v>19.727499999999999</v>
      </c>
    </row>
    <row r="240" spans="1:2" x14ac:dyDescent="0.35">
      <c r="A240" s="585" t="s">
        <v>945</v>
      </c>
      <c r="B240" s="585">
        <v>1.8588199999999999</v>
      </c>
    </row>
    <row r="241" spans="1:2" x14ac:dyDescent="0.35">
      <c r="A241" s="585" t="s">
        <v>946</v>
      </c>
      <c r="B241" s="585">
        <v>0.59962000000000004</v>
      </c>
    </row>
    <row r="242" spans="1:2" x14ac:dyDescent="0.35">
      <c r="A242" s="585" t="s">
        <v>947</v>
      </c>
      <c r="B242" s="585">
        <v>0</v>
      </c>
    </row>
    <row r="243" spans="1:2" x14ac:dyDescent="0.35">
      <c r="A243" s="585" t="s">
        <v>948</v>
      </c>
      <c r="B243" s="585">
        <v>0</v>
      </c>
    </row>
    <row r="244" spans="1:2" x14ac:dyDescent="0.35">
      <c r="A244" s="585" t="s">
        <v>949</v>
      </c>
      <c r="B244" s="585">
        <v>0</v>
      </c>
    </row>
    <row r="245" spans="1:2" x14ac:dyDescent="0.35">
      <c r="A245" s="585" t="s">
        <v>950</v>
      </c>
      <c r="B245" s="585">
        <v>14152.7</v>
      </c>
    </row>
    <row r="246" spans="1:2" x14ac:dyDescent="0.35">
      <c r="A246" s="585" t="s">
        <v>951</v>
      </c>
      <c r="B246" s="585">
        <v>8832.85</v>
      </c>
    </row>
    <row r="247" spans="1:2" x14ac:dyDescent="0.35">
      <c r="A247" s="585" t="s">
        <v>952</v>
      </c>
      <c r="B247" s="585">
        <v>5802.31</v>
      </c>
    </row>
    <row r="248" spans="1:2" x14ac:dyDescent="0.35">
      <c r="A248" s="585" t="s">
        <v>953</v>
      </c>
      <c r="B248" s="585">
        <v>4023.69</v>
      </c>
    </row>
    <row r="249" spans="1:2" x14ac:dyDescent="0.35">
      <c r="A249" s="585" t="s">
        <v>954</v>
      </c>
      <c r="B249" s="585">
        <v>2753.25</v>
      </c>
    </row>
    <row r="250" spans="1:2" x14ac:dyDescent="0.35">
      <c r="A250" s="585" t="s">
        <v>955</v>
      </c>
      <c r="B250" s="585">
        <v>1901.05</v>
      </c>
    </row>
    <row r="251" spans="1:2" x14ac:dyDescent="0.35">
      <c r="A251" s="585" t="s">
        <v>956</v>
      </c>
      <c r="B251" s="585">
        <v>1368.92</v>
      </c>
    </row>
    <row r="252" spans="1:2" x14ac:dyDescent="0.35">
      <c r="A252" s="585" t="s">
        <v>957</v>
      </c>
      <c r="B252" s="585">
        <v>999.36400000000003</v>
      </c>
    </row>
    <row r="253" spans="1:2" x14ac:dyDescent="0.35">
      <c r="A253" s="585" t="s">
        <v>958</v>
      </c>
      <c r="B253" s="585">
        <v>742.56200000000001</v>
      </c>
    </row>
    <row r="254" spans="1:2" x14ac:dyDescent="0.35">
      <c r="A254" s="585" t="s">
        <v>959</v>
      </c>
      <c r="B254" s="585">
        <v>575.73299999999995</v>
      </c>
    </row>
    <row r="255" spans="1:2" x14ac:dyDescent="0.35">
      <c r="A255" s="585" t="s">
        <v>960</v>
      </c>
      <c r="B255" s="585">
        <v>458.14699999999999</v>
      </c>
    </row>
    <row r="256" spans="1:2" x14ac:dyDescent="0.35">
      <c r="A256" s="585" t="s">
        <v>961</v>
      </c>
      <c r="B256" s="585">
        <v>369.9</v>
      </c>
    </row>
    <row r="257" spans="1:2" x14ac:dyDescent="0.35">
      <c r="A257" s="585" t="s">
        <v>962</v>
      </c>
      <c r="B257" s="585">
        <v>302.13299999999998</v>
      </c>
    </row>
    <row r="258" spans="1:2" x14ac:dyDescent="0.35">
      <c r="A258" s="585" t="s">
        <v>963</v>
      </c>
      <c r="B258" s="585">
        <v>252.77500000000001</v>
      </c>
    </row>
    <row r="259" spans="1:2" x14ac:dyDescent="0.35">
      <c r="A259" s="585" t="s">
        <v>964</v>
      </c>
      <c r="B259" s="585">
        <v>213.541</v>
      </c>
    </row>
    <row r="260" spans="1:2" x14ac:dyDescent="0.35">
      <c r="A260" s="585" t="s">
        <v>965</v>
      </c>
      <c r="B260" s="585">
        <v>178.79499999999999</v>
      </c>
    </row>
    <row r="261" spans="1:2" x14ac:dyDescent="0.35">
      <c r="A261" s="585" t="s">
        <v>966</v>
      </c>
      <c r="B261" s="585">
        <v>146.57900000000001</v>
      </c>
    </row>
    <row r="262" spans="1:2" x14ac:dyDescent="0.35">
      <c r="A262" s="585" t="s">
        <v>967</v>
      </c>
      <c r="B262" s="585">
        <v>118.736</v>
      </c>
    </row>
    <row r="263" spans="1:2" x14ac:dyDescent="0.35">
      <c r="A263" s="585" t="s">
        <v>968</v>
      </c>
      <c r="B263" s="585">
        <v>96.760900000000007</v>
      </c>
    </row>
    <row r="264" spans="1:2" x14ac:dyDescent="0.35">
      <c r="A264" s="585" t="s">
        <v>969</v>
      </c>
      <c r="B264" s="585">
        <v>80.423100000000005</v>
      </c>
    </row>
    <row r="265" spans="1:2" x14ac:dyDescent="0.35">
      <c r="A265" s="585" t="s">
        <v>970</v>
      </c>
      <c r="B265" s="585">
        <v>65.120900000000006</v>
      </c>
    </row>
    <row r="266" spans="1:2" x14ac:dyDescent="0.35">
      <c r="A266" s="585" t="s">
        <v>971</v>
      </c>
      <c r="B266" s="585">
        <v>55.456299999999999</v>
      </c>
    </row>
    <row r="267" spans="1:2" x14ac:dyDescent="0.35">
      <c r="A267" s="585" t="s">
        <v>972</v>
      </c>
      <c r="B267" s="585">
        <v>45.101399999999998</v>
      </c>
    </row>
    <row r="268" spans="1:2" x14ac:dyDescent="0.35">
      <c r="A268" s="585" t="s">
        <v>973</v>
      </c>
      <c r="B268" s="585">
        <v>37.162599999999998</v>
      </c>
    </row>
    <row r="269" spans="1:2" x14ac:dyDescent="0.35">
      <c r="A269" s="585" t="s">
        <v>974</v>
      </c>
      <c r="B269" s="585">
        <v>31.1798</v>
      </c>
    </row>
    <row r="270" spans="1:2" x14ac:dyDescent="0.35">
      <c r="A270" s="585" t="s">
        <v>975</v>
      </c>
      <c r="B270" s="585">
        <v>25.772200000000002</v>
      </c>
    </row>
    <row r="271" spans="1:2" x14ac:dyDescent="0.35">
      <c r="A271" s="585" t="s">
        <v>976</v>
      </c>
      <c r="B271" s="585">
        <v>19.674299999999999</v>
      </c>
    </row>
    <row r="272" spans="1:2" x14ac:dyDescent="0.35">
      <c r="A272" s="585" t="s">
        <v>977</v>
      </c>
      <c r="B272" s="585">
        <v>1.84087</v>
      </c>
    </row>
    <row r="273" spans="1:2" x14ac:dyDescent="0.35">
      <c r="A273" s="585" t="s">
        <v>978</v>
      </c>
      <c r="B273" s="585">
        <v>0.34516400000000003</v>
      </c>
    </row>
    <row r="274" spans="1:2" x14ac:dyDescent="0.35">
      <c r="A274" s="585" t="s">
        <v>979</v>
      </c>
      <c r="B274" s="585">
        <v>4.4329300000000002E-2</v>
      </c>
    </row>
    <row r="275" spans="1:2" x14ac:dyDescent="0.35">
      <c r="A275" s="585" t="s">
        <v>980</v>
      </c>
      <c r="B275" s="585">
        <v>4.4329300000000002E-2</v>
      </c>
    </row>
    <row r="276" spans="1:2" x14ac:dyDescent="0.35">
      <c r="A276" s="585" t="s">
        <v>981</v>
      </c>
      <c r="B276" s="585">
        <v>4.4329300000000002E-2</v>
      </c>
    </row>
    <row r="277" spans="1:2" x14ac:dyDescent="0.35">
      <c r="A277" s="585" t="s">
        <v>982</v>
      </c>
      <c r="B277" s="585"/>
    </row>
    <row r="278" spans="1:2" x14ac:dyDescent="0.35">
      <c r="A278" s="585" t="s">
        <v>983</v>
      </c>
      <c r="B278" s="585">
        <v>17</v>
      </c>
    </row>
    <row r="279" spans="1:2" x14ac:dyDescent="0.35">
      <c r="A279" s="585" t="s">
        <v>984</v>
      </c>
      <c r="B279" s="585">
        <v>253</v>
      </c>
    </row>
    <row r="280" spans="1:2" x14ac:dyDescent="0.35">
      <c r="A280" s="585" t="s">
        <v>985</v>
      </c>
      <c r="B280" s="585">
        <v>10865</v>
      </c>
    </row>
    <row r="281" spans="1:2" x14ac:dyDescent="0.35">
      <c r="A281" s="585" t="s">
        <v>986</v>
      </c>
      <c r="B281" s="585">
        <v>34</v>
      </c>
    </row>
    <row r="282" spans="1:2" x14ac:dyDescent="0.35">
      <c r="A282" s="585" t="s">
        <v>987</v>
      </c>
      <c r="B282" s="585"/>
    </row>
    <row r="283" spans="1:2" x14ac:dyDescent="0.35">
      <c r="A283" s="585" t="s">
        <v>988</v>
      </c>
      <c r="B283" s="585">
        <v>46163.5</v>
      </c>
    </row>
    <row r="284" spans="1:2" x14ac:dyDescent="0.35">
      <c r="A284" s="585" t="s">
        <v>989</v>
      </c>
      <c r="B284" s="585">
        <v>63010062</v>
      </c>
    </row>
    <row r="285" spans="1:2" x14ac:dyDescent="0.35">
      <c r="A285" s="585" t="s">
        <v>990</v>
      </c>
      <c r="B285" s="585"/>
    </row>
    <row r="286" spans="1:2" x14ac:dyDescent="0.35">
      <c r="A286" s="585" t="s">
        <v>991</v>
      </c>
      <c r="B286" s="585">
        <v>0</v>
      </c>
    </row>
    <row r="287" spans="1:2" x14ac:dyDescent="0.35">
      <c r="A287" s="585" t="s">
        <v>992</v>
      </c>
      <c r="B287" s="585">
        <v>0</v>
      </c>
    </row>
    <row r="288" spans="1:2" x14ac:dyDescent="0.35">
      <c r="A288" s="585" t="s">
        <v>993</v>
      </c>
      <c r="B288" s="585">
        <v>16</v>
      </c>
    </row>
    <row r="289" spans="1:2" x14ac:dyDescent="0.35">
      <c r="A289" s="585" t="s">
        <v>994</v>
      </c>
      <c r="B289" s="585">
        <v>0</v>
      </c>
    </row>
    <row r="290" spans="1:2" x14ac:dyDescent="0.35">
      <c r="A290" s="585" t="s">
        <v>995</v>
      </c>
      <c r="B290" s="585">
        <v>0</v>
      </c>
    </row>
    <row r="291" spans="1:2" x14ac:dyDescent="0.35">
      <c r="A291" s="585" t="s">
        <v>996</v>
      </c>
      <c r="B291" s="585">
        <v>0</v>
      </c>
    </row>
    <row r="292" spans="1:2" x14ac:dyDescent="0.35">
      <c r="A292" s="585" t="s">
        <v>997</v>
      </c>
      <c r="B292" s="585">
        <v>0</v>
      </c>
    </row>
    <row r="293" spans="1:2" x14ac:dyDescent="0.35">
      <c r="A293" s="585" t="s">
        <v>998</v>
      </c>
      <c r="B293" s="585">
        <v>16</v>
      </c>
    </row>
    <row r="294" spans="1:2" x14ac:dyDescent="0.35">
      <c r="A294" s="585" t="s">
        <v>999</v>
      </c>
      <c r="B294" s="585">
        <v>-1</v>
      </c>
    </row>
    <row r="295" spans="1:2" x14ac:dyDescent="0.35">
      <c r="A295" s="585" t="s">
        <v>1000</v>
      </c>
      <c r="B295" s="585">
        <v>0</v>
      </c>
    </row>
    <row r="296" spans="1:2" x14ac:dyDescent="0.35">
      <c r="A296" s="585" t="s">
        <v>1001</v>
      </c>
      <c r="B296" s="585">
        <v>303</v>
      </c>
    </row>
    <row r="297" spans="1:2" x14ac:dyDescent="0.35">
      <c r="A297" s="585" t="s">
        <v>1002</v>
      </c>
      <c r="B297" s="58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BEAD-33B4-486D-A577-D53EDDD85818}">
  <sheetPr codeName="Sheet5"/>
  <dimension ref="A1:BU199"/>
  <sheetViews>
    <sheetView topLeftCell="D1" zoomScale="85" zoomScaleNormal="85" zoomScaleSheetLayoutView="100" workbookViewId="0">
      <selection activeCell="R13" sqref="R13"/>
    </sheetView>
  </sheetViews>
  <sheetFormatPr defaultColWidth="10.86328125" defaultRowHeight="15" customHeight="1" x14ac:dyDescent="0.4"/>
  <cols>
    <col min="1" max="1" width="8.73046875" style="328" customWidth="1"/>
    <col min="2" max="2" width="13" style="299" customWidth="1"/>
    <col min="3" max="3" width="64.1328125" style="299" customWidth="1"/>
    <col min="4" max="4" width="38.59765625" customWidth="1"/>
    <col min="5" max="5" width="4" bestFit="1" customWidth="1"/>
    <col min="6" max="6" width="5.73046875" bestFit="1" customWidth="1"/>
    <col min="7" max="7" width="4.1328125" customWidth="1"/>
    <col min="8" max="8" width="7.265625" customWidth="1"/>
    <col min="9" max="9" width="3.1328125" customWidth="1"/>
    <col min="10" max="10" width="6.1328125" bestFit="1" customWidth="1"/>
    <col min="11" max="11" width="3.86328125" customWidth="1"/>
    <col min="12" max="12" width="5" bestFit="1" customWidth="1"/>
    <col min="13" max="13" width="4.3984375" customWidth="1"/>
    <col min="14" max="14" width="3.59765625" customWidth="1"/>
    <col min="15" max="15" width="4.3984375" customWidth="1"/>
    <col min="16" max="16" width="2" bestFit="1" customWidth="1"/>
    <col min="17" max="17" width="98.3984375" bestFit="1" customWidth="1"/>
    <col min="18" max="18" width="19.86328125" customWidth="1"/>
    <col min="19" max="19" width="6" bestFit="1" customWidth="1"/>
    <col min="20" max="20" width="2.1328125" bestFit="1" customWidth="1"/>
    <col min="21" max="21" width="2.73046875" bestFit="1" customWidth="1"/>
    <col min="22" max="23" width="2.1328125" bestFit="1" customWidth="1"/>
    <col min="24" max="24" width="31.1328125" customWidth="1"/>
    <col min="25" max="25" width="23.265625" customWidth="1"/>
    <col min="26" max="26" width="24.86328125" customWidth="1"/>
  </cols>
  <sheetData>
    <row r="1" spans="1:24" ht="15" customHeight="1" x14ac:dyDescent="0.4">
      <c r="C1" s="185" t="s">
        <v>22</v>
      </c>
      <c r="D1" s="299"/>
      <c r="E1" s="299"/>
      <c r="F1" s="299"/>
      <c r="G1" s="299"/>
      <c r="H1" s="299"/>
      <c r="I1" s="299"/>
      <c r="J1" s="299"/>
      <c r="K1" s="299"/>
      <c r="L1" s="299"/>
      <c r="M1" s="299"/>
      <c r="N1" s="299"/>
      <c r="O1" s="299"/>
      <c r="P1" s="299"/>
      <c r="Q1" s="299"/>
      <c r="R1" s="166" t="s">
        <v>23</v>
      </c>
    </row>
    <row r="2" spans="1:24" ht="15" customHeight="1" x14ac:dyDescent="0.4">
      <c r="B2" s="185"/>
      <c r="D2" s="299"/>
      <c r="E2" s="299"/>
      <c r="F2" s="299"/>
      <c r="G2" s="299"/>
      <c r="H2" s="299"/>
      <c r="I2" s="299"/>
      <c r="J2" s="299"/>
      <c r="K2" s="299"/>
      <c r="L2" s="299"/>
      <c r="M2" s="299"/>
      <c r="N2" s="299"/>
      <c r="O2" s="299"/>
      <c r="P2" s="299"/>
      <c r="Q2" s="299"/>
      <c r="R2" s="166" t="s">
        <v>698</v>
      </c>
    </row>
    <row r="3" spans="1:24" ht="15" customHeight="1" x14ac:dyDescent="0.4">
      <c r="B3" s="203" t="s">
        <v>24</v>
      </c>
      <c r="C3" s="341" t="s">
        <v>25</v>
      </c>
      <c r="D3" s="342"/>
      <c r="E3" s="342"/>
      <c r="F3" s="342"/>
      <c r="G3" s="342"/>
      <c r="H3" s="342"/>
      <c r="I3" s="342"/>
      <c r="J3" s="342"/>
      <c r="K3" s="342"/>
      <c r="L3" s="342"/>
      <c r="M3" s="342"/>
      <c r="N3" s="342"/>
      <c r="O3" s="342"/>
      <c r="P3" s="342"/>
      <c r="Q3" s="343"/>
      <c r="R3" s="166" t="s">
        <v>699</v>
      </c>
    </row>
    <row r="4" spans="1:24" ht="15" customHeight="1" x14ac:dyDescent="0.35">
      <c r="B4" s="279">
        <v>1</v>
      </c>
      <c r="C4" s="231" t="s">
        <v>26</v>
      </c>
      <c r="D4" s="300" t="s">
        <v>0</v>
      </c>
      <c r="E4" s="206"/>
      <c r="F4" s="212" t="s">
        <v>27</v>
      </c>
      <c r="G4" s="206"/>
      <c r="H4" s="212">
        <v>0</v>
      </c>
      <c r="I4" s="206"/>
      <c r="J4" s="212" t="s">
        <v>28</v>
      </c>
      <c r="K4" s="206"/>
      <c r="L4" s="207">
        <v>0</v>
      </c>
      <c r="M4" s="344"/>
      <c r="N4" s="334">
        <v>0</v>
      </c>
      <c r="O4" s="206"/>
      <c r="P4" s="386">
        <v>3</v>
      </c>
      <c r="Q4" s="345" t="s">
        <v>29</v>
      </c>
      <c r="R4" s="166" t="s">
        <v>700</v>
      </c>
    </row>
    <row r="5" spans="1:24" ht="15" customHeight="1" x14ac:dyDescent="0.35">
      <c r="B5" s="279">
        <f>B4+1</f>
        <v>2</v>
      </c>
      <c r="C5" s="231" t="s">
        <v>30</v>
      </c>
      <c r="D5" s="429">
        <f>'Auto-Calibration record'!H15</f>
        <v>63010062</v>
      </c>
      <c r="E5" s="204" t="str">
        <f>IF(D5="20","0",IF(D5="PC","00",""))</f>
        <v/>
      </c>
      <c r="F5" s="213"/>
      <c r="G5" s="333"/>
      <c r="H5" s="213"/>
      <c r="I5" s="333"/>
      <c r="J5" s="213"/>
      <c r="K5" s="211"/>
      <c r="L5" s="346"/>
      <c r="M5" s="211"/>
      <c r="N5" s="211"/>
      <c r="O5" s="211"/>
      <c r="P5" s="211"/>
      <c r="Q5" s="211"/>
      <c r="R5" s="166" t="s">
        <v>701</v>
      </c>
      <c r="S5" s="347" t="s">
        <v>27</v>
      </c>
      <c r="T5" s="347" t="s">
        <v>31</v>
      </c>
      <c r="U5" s="347" t="s">
        <v>28</v>
      </c>
      <c r="V5" s="217">
        <v>1</v>
      </c>
      <c r="W5" s="217">
        <v>0</v>
      </c>
      <c r="X5" s="217">
        <v>1</v>
      </c>
    </row>
    <row r="6" spans="1:24" ht="15" customHeight="1" x14ac:dyDescent="0.35">
      <c r="A6" s="219" t="b">
        <v>0</v>
      </c>
      <c r="B6" s="279">
        <f t="shared" ref="B6:B17" si="0">B5+1</f>
        <v>3</v>
      </c>
      <c r="C6" s="231" t="s">
        <v>32</v>
      </c>
      <c r="D6" s="212"/>
      <c r="E6" s="449" t="s">
        <v>33</v>
      </c>
      <c r="F6" s="450"/>
      <c r="G6" s="450"/>
      <c r="H6" s="450"/>
      <c r="I6" s="450"/>
      <c r="J6" s="450"/>
      <c r="K6" s="450"/>
      <c r="L6" s="450"/>
      <c r="M6" s="450"/>
      <c r="N6" s="450"/>
      <c r="O6" s="450"/>
      <c r="P6" s="450"/>
      <c r="Q6" s="211"/>
      <c r="R6" s="166" t="s">
        <v>702</v>
      </c>
      <c r="S6" s="217">
        <v>0</v>
      </c>
      <c r="T6" s="217">
        <v>0</v>
      </c>
      <c r="U6" s="217" t="s">
        <v>34</v>
      </c>
      <c r="V6" s="217">
        <v>0</v>
      </c>
      <c r="W6" s="217"/>
      <c r="X6" s="217">
        <v>2</v>
      </c>
    </row>
    <row r="7" spans="1:24" ht="15" customHeight="1" x14ac:dyDescent="0.35">
      <c r="A7" s="219" t="b">
        <v>0</v>
      </c>
      <c r="B7" s="279">
        <f t="shared" si="0"/>
        <v>4</v>
      </c>
      <c r="C7" s="348" t="s">
        <v>35</v>
      </c>
      <c r="D7" s="208"/>
      <c r="E7" s="451"/>
      <c r="F7" s="439"/>
      <c r="G7" s="439"/>
      <c r="H7" s="439"/>
      <c r="I7" s="439"/>
      <c r="J7" s="439"/>
      <c r="K7" s="439"/>
      <c r="L7" s="439"/>
      <c r="M7" s="439"/>
      <c r="N7" s="439"/>
      <c r="O7" s="439"/>
      <c r="P7" s="439"/>
      <c r="Q7" s="211" t="str">
        <f>IF(A7=TRUE,"Customer completed online booking process","Please note: Where possible, all recalibrations should be booked online at the supplied booking site")</f>
        <v>Please note: Where possible, all recalibrations should be booked online at the supplied booking site</v>
      </c>
      <c r="R7" s="166" t="s">
        <v>36</v>
      </c>
      <c r="S7" s="217"/>
      <c r="T7" s="217" t="s">
        <v>37</v>
      </c>
      <c r="U7" s="217" t="s">
        <v>38</v>
      </c>
      <c r="V7" s="218"/>
      <c r="W7" s="218"/>
      <c r="X7" s="218">
        <v>3</v>
      </c>
    </row>
    <row r="8" spans="1:24" ht="15" customHeight="1" x14ac:dyDescent="0.35">
      <c r="A8" s="219" t="b">
        <v>0</v>
      </c>
      <c r="B8" s="279">
        <f t="shared" si="0"/>
        <v>5</v>
      </c>
      <c r="C8" s="364" t="s">
        <v>39</v>
      </c>
      <c r="D8" s="208"/>
      <c r="E8" s="452" t="s">
        <v>40</v>
      </c>
      <c r="F8" s="453"/>
      <c r="G8" s="453"/>
      <c r="H8" s="453"/>
      <c r="I8" s="453"/>
      <c r="J8" s="453"/>
      <c r="K8" s="453"/>
      <c r="L8" s="453"/>
      <c r="M8" s="453"/>
      <c r="N8" s="453"/>
      <c r="O8" s="453"/>
      <c r="P8" s="453"/>
      <c r="Q8" s="211" t="str">
        <f>IF(A8=TRUE,"Please note: Accessories supplied with product, ensure return of all (see right)","No accessories present to return to end user")</f>
        <v>No accessories present to return to end user</v>
      </c>
      <c r="R8" s="166" t="s">
        <v>41</v>
      </c>
      <c r="X8" s="360">
        <v>4</v>
      </c>
    </row>
    <row r="9" spans="1:24" ht="15" customHeight="1" x14ac:dyDescent="0.35">
      <c r="A9" s="219" t="b">
        <v>0</v>
      </c>
      <c r="B9" s="279">
        <f t="shared" si="0"/>
        <v>6</v>
      </c>
      <c r="C9" s="348" t="s">
        <v>42</v>
      </c>
      <c r="D9" s="208"/>
      <c r="E9" s="447"/>
      <c r="F9" s="448"/>
      <c r="G9" s="448"/>
      <c r="H9" s="448"/>
      <c r="I9" s="448"/>
      <c r="J9" s="448"/>
      <c r="K9" s="448"/>
      <c r="L9" s="448"/>
      <c r="M9" s="448"/>
      <c r="N9" s="448"/>
      <c r="O9" s="448"/>
      <c r="P9" s="448"/>
      <c r="Q9" s="211" t="str">
        <f>IF(A9&lt;&gt;TRUE,"Relevant COSHH information provided by end user","No COSHH information supplied by end user")</f>
        <v>Relevant COSHH information provided by end user</v>
      </c>
      <c r="R9" s="166" t="s">
        <v>43</v>
      </c>
    </row>
    <row r="10" spans="1:24" ht="15" customHeight="1" x14ac:dyDescent="0.35">
      <c r="A10" s="219" t="b">
        <v>0</v>
      </c>
      <c r="B10" s="279">
        <f t="shared" si="0"/>
        <v>7</v>
      </c>
      <c r="C10" s="231" t="s">
        <v>44</v>
      </c>
      <c r="D10" s="302"/>
      <c r="E10" s="447"/>
      <c r="F10" s="448"/>
      <c r="G10" s="448"/>
      <c r="H10" s="448"/>
      <c r="I10" s="448"/>
      <c r="J10" s="448"/>
      <c r="K10" s="448"/>
      <c r="L10" s="448"/>
      <c r="M10" s="448"/>
      <c r="N10" s="448"/>
      <c r="O10" s="448"/>
      <c r="P10" s="448"/>
      <c r="Q10" s="211"/>
      <c r="R10" s="166" t="s">
        <v>704</v>
      </c>
    </row>
    <row r="11" spans="1:24" ht="15" hidden="1" customHeight="1" x14ac:dyDescent="0.35">
      <c r="A11" s="219" t="b">
        <v>0</v>
      </c>
      <c r="B11" s="279">
        <f t="shared" si="0"/>
        <v>8</v>
      </c>
      <c r="C11" s="231" t="s">
        <v>45</v>
      </c>
      <c r="D11" s="301"/>
      <c r="E11" s="447"/>
      <c r="F11" s="448"/>
      <c r="G11" s="448"/>
      <c r="H11" s="448"/>
      <c r="I11" s="448"/>
      <c r="J11" s="448"/>
      <c r="K11" s="448"/>
      <c r="L11" s="448"/>
      <c r="M11" s="448"/>
      <c r="N11" s="448"/>
      <c r="O11" s="448"/>
      <c r="P11" s="448"/>
      <c r="Q11" s="211"/>
      <c r="R11" s="166" t="s">
        <v>46</v>
      </c>
    </row>
    <row r="12" spans="1:24" ht="15" customHeight="1" x14ac:dyDescent="0.35">
      <c r="A12" s="219" t="b">
        <v>0</v>
      </c>
      <c r="B12" s="279">
        <f>B11+1</f>
        <v>9</v>
      </c>
      <c r="C12" s="231" t="s">
        <v>47</v>
      </c>
      <c r="D12" s="208"/>
      <c r="E12" s="454"/>
      <c r="F12" s="455"/>
      <c r="G12" s="455"/>
      <c r="H12" s="455"/>
      <c r="I12" s="455"/>
      <c r="J12" s="455"/>
      <c r="K12" s="455"/>
      <c r="L12" s="455"/>
      <c r="M12" s="455"/>
      <c r="N12" s="455"/>
      <c r="O12" s="455"/>
      <c r="P12" s="455"/>
      <c r="Q12" s="211" t="str">
        <f>IF(A12=TRUE,"Item is considered warranty, requires QC control on NCR","")</f>
        <v/>
      </c>
      <c r="R12" s="166" t="s">
        <v>1009</v>
      </c>
    </row>
    <row r="13" spans="1:24" ht="15" customHeight="1" x14ac:dyDescent="0.35">
      <c r="A13" s="219" t="b">
        <v>0</v>
      </c>
      <c r="B13" s="279">
        <f t="shared" si="0"/>
        <v>10</v>
      </c>
      <c r="C13" s="231" t="s">
        <v>48</v>
      </c>
      <c r="D13" s="336">
        <f>D45-365</f>
        <v>-365</v>
      </c>
      <c r="E13" s="349"/>
      <c r="F13" s="211"/>
      <c r="G13" s="211"/>
      <c r="H13" s="211"/>
      <c r="I13" s="211"/>
      <c r="J13" s="211"/>
      <c r="K13" s="211"/>
      <c r="L13" s="211"/>
      <c r="M13" s="211"/>
      <c r="N13" s="211"/>
      <c r="O13" s="211"/>
      <c r="P13" s="211"/>
      <c r="Q13" s="211"/>
      <c r="R13" s="166"/>
    </row>
    <row r="14" spans="1:24" ht="15" customHeight="1" x14ac:dyDescent="0.35">
      <c r="A14" s="219" t="b">
        <v>0</v>
      </c>
      <c r="B14" s="279">
        <f t="shared" si="0"/>
        <v>11</v>
      </c>
      <c r="C14" s="231" t="s">
        <v>49</v>
      </c>
      <c r="D14" s="210"/>
      <c r="E14" s="433"/>
      <c r="F14" s="433"/>
      <c r="G14" s="433"/>
      <c r="H14" s="433"/>
      <c r="I14" s="433"/>
      <c r="J14" s="433"/>
      <c r="K14" s="433"/>
      <c r="L14" s="433"/>
      <c r="M14" s="433"/>
      <c r="N14" s="433"/>
      <c r="O14" s="433"/>
      <c r="P14" s="433"/>
      <c r="Q14" s="211"/>
    </row>
    <row r="15" spans="1:24" ht="15" customHeight="1" x14ac:dyDescent="0.35">
      <c r="A15" s="219" t="b">
        <v>0</v>
      </c>
      <c r="B15" s="279">
        <f t="shared" si="0"/>
        <v>12</v>
      </c>
      <c r="C15" s="231" t="s">
        <v>50</v>
      </c>
      <c r="D15" s="212"/>
      <c r="E15" s="213"/>
      <c r="F15" s="213"/>
      <c r="G15" s="213"/>
      <c r="H15" s="213"/>
      <c r="I15" s="213"/>
      <c r="J15" s="213"/>
      <c r="K15" s="213"/>
      <c r="L15" s="213"/>
      <c r="M15" s="213"/>
      <c r="N15" s="213"/>
      <c r="O15" s="214"/>
      <c r="P15" s="213"/>
      <c r="Q15" s="211"/>
    </row>
    <row r="16" spans="1:24" ht="15" customHeight="1" x14ac:dyDescent="0.35">
      <c r="A16" s="219" t="b">
        <v>0</v>
      </c>
      <c r="B16" s="279">
        <f t="shared" si="0"/>
        <v>13</v>
      </c>
      <c r="C16" s="231" t="s">
        <v>51</v>
      </c>
      <c r="D16" s="212"/>
      <c r="E16" s="213"/>
      <c r="F16" s="213"/>
      <c r="G16" s="213"/>
      <c r="H16" s="213"/>
      <c r="I16" s="213"/>
      <c r="J16" s="213"/>
      <c r="K16" s="213"/>
      <c r="L16" s="213"/>
      <c r="M16" s="213"/>
      <c r="N16" s="213"/>
      <c r="O16" s="213"/>
      <c r="P16" s="213"/>
      <c r="Q16" s="211"/>
    </row>
    <row r="17" spans="1:23" ht="15" customHeight="1" x14ac:dyDescent="0.35">
      <c r="A17" s="219" t="b">
        <v>0</v>
      </c>
      <c r="B17" s="279">
        <f t="shared" si="0"/>
        <v>14</v>
      </c>
      <c r="C17" s="231" t="s">
        <v>52</v>
      </c>
      <c r="D17" s="225">
        <f>D10+5</f>
        <v>5</v>
      </c>
      <c r="E17" s="213"/>
      <c r="F17" s="213"/>
      <c r="G17" s="213"/>
      <c r="H17" s="213"/>
      <c r="I17" s="213"/>
      <c r="J17" s="213"/>
      <c r="K17" s="213"/>
      <c r="L17" s="213"/>
      <c r="M17" s="213"/>
      <c r="N17" s="213"/>
      <c r="O17" s="213"/>
      <c r="P17" s="213"/>
      <c r="Q17" s="211"/>
      <c r="W17" s="342"/>
    </row>
    <row r="18" spans="1:23" ht="15" customHeight="1" x14ac:dyDescent="0.35">
      <c r="A18" s="219" t="b">
        <v>0</v>
      </c>
      <c r="B18" s="279"/>
      <c r="C18" s="185"/>
      <c r="D18" s="342"/>
      <c r="E18" s="342"/>
      <c r="F18" s="342"/>
      <c r="G18" s="342"/>
      <c r="H18" s="342"/>
      <c r="I18" s="342"/>
      <c r="J18" s="342"/>
      <c r="K18" s="342"/>
      <c r="L18" s="342"/>
      <c r="M18" s="342"/>
      <c r="N18" s="342"/>
      <c r="O18" s="342"/>
      <c r="P18" s="342"/>
      <c r="Q18" s="343"/>
    </row>
    <row r="19" spans="1:23" ht="15" hidden="1" customHeight="1" x14ac:dyDescent="0.35">
      <c r="A19" s="219" t="b">
        <v>0</v>
      </c>
      <c r="B19" s="279"/>
      <c r="C19" s="431" t="s">
        <v>53</v>
      </c>
      <c r="D19" s="431"/>
      <c r="E19" s="431"/>
      <c r="F19" s="431"/>
      <c r="G19" s="431"/>
      <c r="H19" s="431"/>
      <c r="I19" s="431"/>
      <c r="J19" s="431"/>
      <c r="K19" s="431"/>
      <c r="L19" s="431"/>
      <c r="M19" s="431"/>
      <c r="N19" s="431"/>
      <c r="O19" s="342"/>
      <c r="P19" s="342"/>
      <c r="Q19" s="343"/>
    </row>
    <row r="20" spans="1:23" ht="15" hidden="1" customHeight="1" x14ac:dyDescent="0.35">
      <c r="A20" s="219" t="b">
        <v>0</v>
      </c>
      <c r="B20" s="279">
        <f>B17+1</f>
        <v>15</v>
      </c>
      <c r="C20" s="185" t="s">
        <v>54</v>
      </c>
      <c r="D20" s="210"/>
      <c r="E20" s="342"/>
      <c r="F20" s="342"/>
      <c r="G20" s="342"/>
      <c r="H20" s="342"/>
      <c r="I20" s="342"/>
      <c r="J20" s="342"/>
      <c r="K20" s="342"/>
      <c r="L20" s="342"/>
      <c r="M20" s="342"/>
      <c r="N20" s="342"/>
      <c r="O20" s="342"/>
      <c r="P20" s="342"/>
      <c r="Q20" s="211" t="str">
        <f>IF(A20=TRUE,"Carry bag, ","")</f>
        <v/>
      </c>
    </row>
    <row r="21" spans="1:23" ht="15" hidden="1" customHeight="1" x14ac:dyDescent="0.35">
      <c r="A21" s="219" t="b">
        <v>0</v>
      </c>
      <c r="B21" s="279">
        <f t="shared" ref="B21:B198" si="1">B20+1</f>
        <v>16</v>
      </c>
      <c r="C21" s="185" t="s">
        <v>55</v>
      </c>
      <c r="D21" s="210"/>
      <c r="E21" s="342"/>
      <c r="F21" s="342"/>
      <c r="G21" s="342"/>
      <c r="H21" s="342"/>
      <c r="I21" s="342"/>
      <c r="J21" s="342"/>
      <c r="K21" s="342"/>
      <c r="L21" s="342"/>
      <c r="M21" s="342"/>
      <c r="N21" s="342"/>
      <c r="O21" s="342"/>
      <c r="P21" s="342"/>
      <c r="Q21" s="211" t="str">
        <f>IF(A21=TRUE,"Waste bottle, ","")</f>
        <v/>
      </c>
    </row>
    <row r="22" spans="1:23" ht="15" hidden="1" customHeight="1" x14ac:dyDescent="0.35">
      <c r="A22" s="219" t="b">
        <v>0</v>
      </c>
      <c r="B22" s="279">
        <f t="shared" si="1"/>
        <v>17</v>
      </c>
      <c r="C22" s="185" t="s">
        <v>56</v>
      </c>
      <c r="D22" s="210"/>
      <c r="E22" s="342"/>
      <c r="F22" s="342"/>
      <c r="G22" s="342"/>
      <c r="H22" s="342"/>
      <c r="I22" s="342"/>
      <c r="J22" s="342"/>
      <c r="K22" s="342"/>
      <c r="L22" s="342"/>
      <c r="M22" s="342"/>
      <c r="N22" s="342"/>
      <c r="O22" s="342"/>
      <c r="P22" s="342"/>
      <c r="Q22" s="211" t="str">
        <f>IF(A22=TRUE,"1500mm pressure hose, ","")</f>
        <v/>
      </c>
    </row>
    <row r="23" spans="1:23" ht="15" hidden="1" customHeight="1" x14ac:dyDescent="0.35">
      <c r="A23" s="219" t="b">
        <v>0</v>
      </c>
      <c r="B23" s="279">
        <f t="shared" si="1"/>
        <v>18</v>
      </c>
      <c r="C23" s="185" t="s">
        <v>57</v>
      </c>
      <c r="D23" s="210"/>
      <c r="E23" s="342"/>
      <c r="F23" s="342"/>
      <c r="G23" s="342"/>
      <c r="H23" s="342"/>
      <c r="I23" s="342"/>
      <c r="J23" s="342"/>
      <c r="K23" s="342"/>
      <c r="L23" s="342"/>
      <c r="M23" s="342"/>
      <c r="N23" s="342"/>
      <c r="O23" s="342"/>
      <c r="P23" s="342"/>
      <c r="Q23" s="211" t="str">
        <f>IF(A23=TRUE,"600mm pressure hose, ","")</f>
        <v/>
      </c>
    </row>
    <row r="24" spans="1:23" ht="15" hidden="1" customHeight="1" x14ac:dyDescent="0.35">
      <c r="A24" s="219" t="b">
        <v>0</v>
      </c>
      <c r="B24" s="279">
        <f t="shared" si="1"/>
        <v>19</v>
      </c>
      <c r="C24" s="185" t="s">
        <v>58</v>
      </c>
      <c r="D24" s="210"/>
      <c r="E24" s="342"/>
      <c r="F24" s="342"/>
      <c r="G24" s="342"/>
      <c r="H24" s="342"/>
      <c r="I24" s="342"/>
      <c r="J24" s="342"/>
      <c r="K24" s="342"/>
      <c r="L24" s="342"/>
      <c r="M24" s="342"/>
      <c r="N24" s="342"/>
      <c r="O24" s="342"/>
      <c r="P24" s="342"/>
      <c r="Q24" s="211" t="str">
        <f>IF(A24=TRUE,"Waste hose, ","")</f>
        <v/>
      </c>
    </row>
    <row r="25" spans="1:23" ht="15" hidden="1" customHeight="1" x14ac:dyDescent="0.35">
      <c r="A25" s="219" t="b">
        <v>0</v>
      </c>
      <c r="B25" s="279">
        <f t="shared" si="1"/>
        <v>20</v>
      </c>
      <c r="C25" s="185" t="s">
        <v>59</v>
      </c>
      <c r="D25" s="210"/>
      <c r="E25" s="350" t="s">
        <v>60</v>
      </c>
      <c r="F25" s="216"/>
      <c r="G25" s="342"/>
      <c r="H25" s="342"/>
      <c r="I25" s="342"/>
      <c r="J25" s="342"/>
      <c r="K25" s="342"/>
      <c r="L25" s="342"/>
      <c r="M25" s="342"/>
      <c r="N25" s="342"/>
      <c r="O25" s="342"/>
      <c r="P25" s="342"/>
      <c r="Q25" s="211" t="str">
        <f>IF(A25=TRUE,F25&amp;"Pouches, ","")</f>
        <v/>
      </c>
    </row>
    <row r="26" spans="1:23" ht="15" hidden="1" customHeight="1" x14ac:dyDescent="0.35">
      <c r="A26" s="219"/>
      <c r="B26" s="279">
        <f t="shared" si="1"/>
        <v>21</v>
      </c>
      <c r="C26" s="387" t="s">
        <v>61</v>
      </c>
      <c r="D26" s="210"/>
      <c r="E26" s="350"/>
      <c r="F26" s="216"/>
      <c r="G26" s="342"/>
      <c r="H26" s="342"/>
      <c r="I26" s="342"/>
      <c r="J26" s="342"/>
      <c r="K26" s="342"/>
      <c r="L26" s="342"/>
      <c r="M26" s="342"/>
      <c r="N26" s="342"/>
      <c r="O26" s="342"/>
      <c r="P26" s="342"/>
      <c r="Q26" s="211"/>
    </row>
    <row r="27" spans="1:23" ht="15" hidden="1" customHeight="1" x14ac:dyDescent="0.35">
      <c r="A27" s="219" t="b">
        <v>0</v>
      </c>
      <c r="B27" s="279">
        <f t="shared" si="1"/>
        <v>22</v>
      </c>
      <c r="C27" s="185" t="s">
        <v>62</v>
      </c>
      <c r="D27" s="210"/>
      <c r="E27" s="342"/>
      <c r="F27" s="342"/>
      <c r="G27" s="342"/>
      <c r="H27" s="342"/>
      <c r="I27" s="342"/>
      <c r="J27" s="342"/>
      <c r="K27" s="342"/>
      <c r="L27" s="342"/>
      <c r="M27" s="342"/>
      <c r="N27" s="342"/>
      <c r="O27" s="342"/>
      <c r="P27" s="342"/>
      <c r="Q27" s="211" t="str">
        <f>IF(A27=TRUE,"USB converter, ","")</f>
        <v/>
      </c>
    </row>
    <row r="28" spans="1:23" ht="15" hidden="1" customHeight="1" x14ac:dyDescent="0.35">
      <c r="A28" s="219" t="b">
        <v>0</v>
      </c>
      <c r="B28" s="279">
        <f t="shared" si="1"/>
        <v>23</v>
      </c>
      <c r="C28" s="185" t="s">
        <v>63</v>
      </c>
      <c r="D28" s="210"/>
      <c r="E28" s="342"/>
      <c r="F28" s="342"/>
      <c r="G28" s="342"/>
      <c r="H28" s="342"/>
      <c r="I28" s="342"/>
      <c r="J28" s="342"/>
      <c r="K28" s="342"/>
      <c r="L28" s="342"/>
      <c r="M28" s="342"/>
      <c r="N28" s="342"/>
      <c r="O28" s="342"/>
      <c r="P28" s="342"/>
      <c r="Q28" s="211" t="str">
        <f>IF(A28=TRUE,"serial cable, ","")</f>
        <v/>
      </c>
    </row>
    <row r="29" spans="1:23" ht="15" hidden="1" customHeight="1" x14ac:dyDescent="0.35">
      <c r="A29" s="219" t="b">
        <v>0</v>
      </c>
      <c r="B29" s="279">
        <f t="shared" si="1"/>
        <v>24</v>
      </c>
      <c r="C29" s="185" t="s">
        <v>64</v>
      </c>
      <c r="D29" s="210"/>
      <c r="E29" s="342"/>
      <c r="F29" s="342"/>
      <c r="G29" s="342"/>
      <c r="H29" s="342"/>
      <c r="I29" s="342"/>
      <c r="J29" s="342"/>
      <c r="K29" s="342"/>
      <c r="L29" s="342"/>
      <c r="M29" s="342"/>
      <c r="N29" s="342"/>
      <c r="O29" s="342"/>
      <c r="P29" s="342"/>
      <c r="Q29" s="211" t="str">
        <f>IF(A29=TRUE,"power adapter, ","")</f>
        <v/>
      </c>
    </row>
    <row r="30" spans="1:23" ht="15" customHeight="1" x14ac:dyDescent="0.35">
      <c r="A30" s="219" t="b">
        <v>0</v>
      </c>
      <c r="B30" s="279"/>
      <c r="C30" s="431" t="s">
        <v>65</v>
      </c>
      <c r="D30" s="431"/>
      <c r="E30" s="431"/>
      <c r="F30" s="431"/>
      <c r="G30" s="431"/>
      <c r="H30" s="431"/>
      <c r="I30" s="431"/>
      <c r="J30" s="431"/>
      <c r="K30" s="431"/>
      <c r="L30" s="431"/>
      <c r="M30" s="431"/>
      <c r="N30" s="431"/>
    </row>
    <row r="31" spans="1:23" ht="15" customHeight="1" x14ac:dyDescent="0.35">
      <c r="A31" s="219" t="b">
        <v>1</v>
      </c>
      <c r="B31" s="279">
        <f>B29+1</f>
        <v>25</v>
      </c>
      <c r="C31" s="185" t="s">
        <v>66</v>
      </c>
      <c r="D31" s="365"/>
      <c r="E31" s="434" t="s">
        <v>67</v>
      </c>
      <c r="F31" s="434"/>
      <c r="G31" s="435" t="str">
        <f>IF($D$31=$D$10,"ON TIME",IF($D$31&gt;$D$10,"LATE",IF($D$31&lt;$D$10,"EARLY")))</f>
        <v>ON TIME</v>
      </c>
      <c r="H31" s="435"/>
      <c r="I31" s="435"/>
      <c r="J31" s="435"/>
      <c r="K31" s="435"/>
      <c r="L31" s="435"/>
      <c r="M31" s="435"/>
      <c r="N31" s="435"/>
    </row>
    <row r="32" spans="1:23" ht="15" customHeight="1" x14ac:dyDescent="0.35">
      <c r="A32" s="219" t="b">
        <v>1</v>
      </c>
      <c r="B32" s="279">
        <f>B31+1</f>
        <v>26</v>
      </c>
      <c r="C32" s="185" t="s">
        <v>68</v>
      </c>
      <c r="D32" s="365" t="s">
        <v>23</v>
      </c>
      <c r="E32" s="246"/>
      <c r="F32" s="246"/>
      <c r="G32" s="351"/>
      <c r="H32" s="351"/>
      <c r="I32" s="351"/>
      <c r="J32" s="351"/>
      <c r="K32" s="351"/>
      <c r="L32" s="351"/>
      <c r="M32" s="351"/>
      <c r="N32" s="351"/>
    </row>
    <row r="33" spans="1:18" ht="15" customHeight="1" x14ac:dyDescent="0.4">
      <c r="A33" s="219" t="b">
        <v>0</v>
      </c>
      <c r="B33" s="279">
        <f>B32+1</f>
        <v>27</v>
      </c>
      <c r="C33" s="299" t="s">
        <v>69</v>
      </c>
      <c r="D33" s="327"/>
      <c r="Q33" t="str">
        <f>IF(A33=TRUE,"Case was returned in acceptable condition","Exterior damage to case upon receipt")</f>
        <v>Exterior damage to case upon receipt</v>
      </c>
    </row>
    <row r="34" spans="1:18" ht="14.25" x14ac:dyDescent="0.4">
      <c r="A34" s="219" t="b">
        <v>0</v>
      </c>
      <c r="B34" s="279">
        <f t="shared" ref="B34:B73" si="2">B33+1</f>
        <v>28</v>
      </c>
      <c r="C34" s="299" t="s">
        <v>70</v>
      </c>
      <c r="D34" s="366"/>
      <c r="Q34" s="211" t="str">
        <f>IF(A34=TRUE,"Cap on input test point","No cap on input test point")</f>
        <v>No cap on input test point</v>
      </c>
    </row>
    <row r="35" spans="1:18" ht="14.25" x14ac:dyDescent="0.4">
      <c r="A35" s="219" t="b">
        <v>0</v>
      </c>
      <c r="B35" s="279">
        <f t="shared" si="2"/>
        <v>29</v>
      </c>
      <c r="C35" s="299" t="s">
        <v>71</v>
      </c>
      <c r="D35" s="366"/>
      <c r="Q35" s="211" t="str">
        <f>IF(A35=TRUE,"Cap on waste test point","No cap on waste test point")</f>
        <v>No cap on waste test point</v>
      </c>
    </row>
    <row r="36" spans="1:18" ht="14.25" x14ac:dyDescent="0.4">
      <c r="A36" s="219" t="b">
        <v>0</v>
      </c>
      <c r="B36" s="279">
        <f t="shared" si="2"/>
        <v>30</v>
      </c>
      <c r="C36" s="299" t="s">
        <v>72</v>
      </c>
      <c r="D36" s="366"/>
    </row>
    <row r="37" spans="1:18" ht="15" customHeight="1" x14ac:dyDescent="0.4">
      <c r="A37" s="219" t="b">
        <v>0</v>
      </c>
      <c r="B37" s="279">
        <f t="shared" si="2"/>
        <v>31</v>
      </c>
      <c r="C37" s="299" t="s">
        <v>73</v>
      </c>
      <c r="D37" s="366"/>
    </row>
    <row r="38" spans="1:18" ht="15" customHeight="1" x14ac:dyDescent="0.4">
      <c r="A38" s="219" t="b">
        <v>0</v>
      </c>
      <c r="B38" s="279">
        <f t="shared" si="2"/>
        <v>32</v>
      </c>
      <c r="C38" s="299" t="s">
        <v>74</v>
      </c>
      <c r="D38" s="366"/>
    </row>
    <row r="39" spans="1:18" ht="15" customHeight="1" x14ac:dyDescent="0.4">
      <c r="A39" s="219" t="b">
        <v>0</v>
      </c>
      <c r="B39" s="279">
        <f t="shared" si="2"/>
        <v>33</v>
      </c>
      <c r="C39" s="299" t="s">
        <v>75</v>
      </c>
      <c r="D39" s="366"/>
      <c r="Q39" t="str">
        <f>IF(A39=TRUE,"Screen is functional upon receipt","The screen has been damaged and is not functioning correctly")</f>
        <v>The screen has been damaged and is not functioning correctly</v>
      </c>
    </row>
    <row r="40" spans="1:18" ht="15" customHeight="1" x14ac:dyDescent="0.4">
      <c r="A40" s="219" t="b">
        <v>0</v>
      </c>
      <c r="B40" s="279">
        <f t="shared" si="2"/>
        <v>34</v>
      </c>
      <c r="C40" s="299" t="s">
        <v>76</v>
      </c>
      <c r="D40" s="366"/>
    </row>
    <row r="41" spans="1:18" ht="15" customHeight="1" x14ac:dyDescent="0.4">
      <c r="A41" s="219" t="b">
        <v>0</v>
      </c>
      <c r="B41" s="279">
        <f t="shared" si="2"/>
        <v>35</v>
      </c>
      <c r="C41" s="299" t="s">
        <v>77</v>
      </c>
      <c r="D41" s="366"/>
    </row>
    <row r="42" spans="1:18" ht="15" customHeight="1" x14ac:dyDescent="0.4">
      <c r="A42" s="219" t="b">
        <v>0</v>
      </c>
      <c r="B42" s="279">
        <f t="shared" si="2"/>
        <v>36</v>
      </c>
      <c r="C42" s="299" t="s">
        <v>78</v>
      </c>
      <c r="D42" s="366"/>
      <c r="Q42" t="str">
        <f>IF(D42=3.88,"Firmware up-to-date","Firmware was an older version and needed updating")</f>
        <v>Firmware was an older version and needed updating</v>
      </c>
      <c r="R42" s="166" t="s">
        <v>23</v>
      </c>
    </row>
    <row r="43" spans="1:18" ht="15" customHeight="1" x14ac:dyDescent="0.4">
      <c r="A43" s="219"/>
      <c r="B43" s="279">
        <f t="shared" si="2"/>
        <v>37</v>
      </c>
      <c r="C43" s="299" t="s">
        <v>79</v>
      </c>
      <c r="D43" s="366"/>
      <c r="R43" t="s">
        <v>80</v>
      </c>
    </row>
    <row r="44" spans="1:18" ht="15" customHeight="1" x14ac:dyDescent="0.4">
      <c r="A44" s="219" t="b">
        <v>1</v>
      </c>
      <c r="B44" s="279">
        <f t="shared" si="2"/>
        <v>38</v>
      </c>
      <c r="C44" s="299" t="s">
        <v>81</v>
      </c>
      <c r="D44" s="366"/>
      <c r="R44" t="s">
        <v>82</v>
      </c>
    </row>
    <row r="45" spans="1:18" ht="15" customHeight="1" x14ac:dyDescent="0.4">
      <c r="A45" s="219" t="b">
        <v>0</v>
      </c>
      <c r="B45" s="279">
        <f t="shared" si="2"/>
        <v>39</v>
      </c>
      <c r="C45" s="299" t="s">
        <v>83</v>
      </c>
      <c r="D45" s="366"/>
      <c r="R45" t="s">
        <v>84</v>
      </c>
    </row>
    <row r="46" spans="1:18" ht="15" customHeight="1" x14ac:dyDescent="0.4">
      <c r="A46" s="219" t="b">
        <v>0</v>
      </c>
      <c r="B46" s="279">
        <f t="shared" si="2"/>
        <v>40</v>
      </c>
      <c r="C46" s="299" t="s">
        <v>85</v>
      </c>
      <c r="D46" s="366"/>
      <c r="R46" t="s">
        <v>86</v>
      </c>
    </row>
    <row r="47" spans="1:18" ht="15" customHeight="1" x14ac:dyDescent="0.4">
      <c r="A47" s="219" t="b">
        <v>0</v>
      </c>
      <c r="B47" s="279">
        <f t="shared" si="2"/>
        <v>41</v>
      </c>
      <c r="C47" s="367"/>
      <c r="D47" s="352" t="s">
        <v>87</v>
      </c>
      <c r="R47" t="s">
        <v>88</v>
      </c>
    </row>
    <row r="48" spans="1:18" ht="15" customHeight="1" x14ac:dyDescent="0.4">
      <c r="A48" s="219" t="b">
        <v>1</v>
      </c>
      <c r="B48" s="279">
        <f t="shared" si="2"/>
        <v>42</v>
      </c>
      <c r="C48" s="299" t="s">
        <v>89</v>
      </c>
      <c r="D48" s="368"/>
    </row>
    <row r="49" spans="1:18" ht="15" customHeight="1" x14ac:dyDescent="0.4">
      <c r="A49" s="219" t="b">
        <v>0</v>
      </c>
      <c r="B49" s="279">
        <f t="shared" si="2"/>
        <v>43</v>
      </c>
      <c r="C49" s="299" t="s">
        <v>90</v>
      </c>
      <c r="D49" s="366" t="s">
        <v>23</v>
      </c>
    </row>
    <row r="50" spans="1:18" ht="15" customHeight="1" x14ac:dyDescent="0.4">
      <c r="A50" s="219" t="b">
        <v>0</v>
      </c>
      <c r="B50" s="279">
        <f t="shared" si="2"/>
        <v>44</v>
      </c>
      <c r="C50" s="299" t="s">
        <v>91</v>
      </c>
      <c r="D50" s="369"/>
    </row>
    <row r="51" spans="1:18" ht="15" customHeight="1" x14ac:dyDescent="0.4">
      <c r="A51" s="219" t="b">
        <v>0</v>
      </c>
      <c r="B51" s="279">
        <f t="shared" si="2"/>
        <v>45</v>
      </c>
      <c r="C51" s="299" t="s">
        <v>92</v>
      </c>
      <c r="D51" s="370"/>
    </row>
    <row r="52" spans="1:18" ht="15" customHeight="1" x14ac:dyDescent="0.4">
      <c r="A52" s="219" t="b">
        <v>0</v>
      </c>
      <c r="B52" s="279">
        <f t="shared" si="2"/>
        <v>46</v>
      </c>
      <c r="C52" s="299" t="s">
        <v>93</v>
      </c>
      <c r="D52" s="371"/>
    </row>
    <row r="53" spans="1:18" ht="15" customHeight="1" x14ac:dyDescent="0.4">
      <c r="A53" s="219" t="b">
        <v>0</v>
      </c>
      <c r="B53" s="279">
        <f t="shared" si="2"/>
        <v>47</v>
      </c>
      <c r="C53" s="299" t="s">
        <v>94</v>
      </c>
      <c r="D53" s="366"/>
    </row>
    <row r="54" spans="1:18" s="213" customFormat="1" ht="15.75" customHeight="1" x14ac:dyDescent="0.4">
      <c r="A54" s="219" t="b">
        <v>0</v>
      </c>
      <c r="B54" s="279">
        <f t="shared" si="2"/>
        <v>48</v>
      </c>
      <c r="C54" s="299" t="s">
        <v>95</v>
      </c>
      <c r="D54" s="239" t="s">
        <v>23</v>
      </c>
      <c r="E54" s="238"/>
      <c r="F54" s="238"/>
      <c r="G54" s="238"/>
      <c r="H54" s="238"/>
      <c r="I54" s="238"/>
      <c r="J54" s="238"/>
      <c r="K54" s="238"/>
      <c r="L54" s="238"/>
      <c r="M54" s="238"/>
      <c r="N54" s="238"/>
      <c r="P54" s="209"/>
      <c r="R54" s="213" t="s">
        <v>23</v>
      </c>
    </row>
    <row r="55" spans="1:18" s="213" customFormat="1" ht="15.75" customHeight="1" x14ac:dyDescent="0.35">
      <c r="A55" s="219" t="b">
        <v>0</v>
      </c>
      <c r="B55" s="279">
        <f t="shared" si="2"/>
        <v>49</v>
      </c>
      <c r="C55" s="337"/>
      <c r="D55" s="240" t="s">
        <v>96</v>
      </c>
      <c r="E55" s="436"/>
      <c r="F55" s="436"/>
      <c r="G55" s="436"/>
      <c r="H55" s="436"/>
      <c r="I55" s="436"/>
      <c r="J55" s="436"/>
      <c r="K55" s="436"/>
      <c r="L55" s="436"/>
      <c r="M55" s="436"/>
      <c r="N55" s="436"/>
      <c r="O55" s="211"/>
      <c r="P55" s="209"/>
      <c r="R55" s="213" t="s">
        <v>97</v>
      </c>
    </row>
    <row r="56" spans="1:18" s="213" customFormat="1" ht="15.75" customHeight="1" x14ac:dyDescent="0.4">
      <c r="A56" s="219" t="b">
        <v>0</v>
      </c>
      <c r="B56" s="279">
        <f t="shared" si="2"/>
        <v>50</v>
      </c>
      <c r="C56" s="299" t="s">
        <v>98</v>
      </c>
      <c r="D56" s="239"/>
      <c r="E56" s="238"/>
      <c r="F56" s="238"/>
      <c r="G56" s="238"/>
      <c r="H56" s="238"/>
      <c r="I56" s="238"/>
      <c r="J56" s="238"/>
      <c r="K56" s="238"/>
      <c r="L56" s="238"/>
      <c r="M56" s="238"/>
      <c r="N56" s="238"/>
      <c r="P56" s="209"/>
      <c r="R56" s="213" t="s">
        <v>99</v>
      </c>
    </row>
    <row r="57" spans="1:18" s="213" customFormat="1" ht="15.75" customHeight="1" x14ac:dyDescent="0.4">
      <c r="A57" s="219" t="b">
        <v>0</v>
      </c>
      <c r="B57" s="279">
        <f t="shared" si="2"/>
        <v>51</v>
      </c>
      <c r="C57" s="299" t="s">
        <v>100</v>
      </c>
      <c r="D57" s="239"/>
      <c r="E57" s="238"/>
      <c r="F57" s="238"/>
      <c r="G57" s="238"/>
      <c r="H57" s="238"/>
      <c r="I57" s="238"/>
      <c r="J57" s="238"/>
      <c r="K57" s="238"/>
      <c r="L57" s="238"/>
      <c r="M57" s="238"/>
      <c r="N57" s="238"/>
      <c r="P57" s="209"/>
      <c r="R57" s="213" t="s">
        <v>101</v>
      </c>
    </row>
    <row r="58" spans="1:18" s="213" customFormat="1" ht="15.75" customHeight="1" x14ac:dyDescent="0.4">
      <c r="A58" s="219" t="b">
        <v>0</v>
      </c>
      <c r="B58" s="279">
        <f t="shared" si="2"/>
        <v>52</v>
      </c>
      <c r="C58" s="299" t="s">
        <v>102</v>
      </c>
      <c r="D58" s="239"/>
      <c r="E58" s="238"/>
      <c r="F58" s="238"/>
      <c r="G58" s="238"/>
      <c r="H58" s="238"/>
      <c r="I58" s="238"/>
      <c r="J58" s="238"/>
      <c r="K58" s="238"/>
      <c r="L58" s="238"/>
      <c r="M58" s="238"/>
      <c r="N58" s="238"/>
      <c r="P58" s="209"/>
      <c r="R58" s="213" t="s">
        <v>103</v>
      </c>
    </row>
    <row r="59" spans="1:18" s="213" customFormat="1" ht="15.75" customHeight="1" x14ac:dyDescent="0.35">
      <c r="A59" s="219" t="b">
        <v>0</v>
      </c>
      <c r="B59" s="279">
        <f t="shared" si="2"/>
        <v>53</v>
      </c>
      <c r="C59" s="337"/>
      <c r="D59" s="235" t="s">
        <v>104</v>
      </c>
      <c r="E59" s="238"/>
      <c r="F59" s="238"/>
      <c r="G59" s="238"/>
      <c r="H59" s="238"/>
      <c r="I59" s="238"/>
      <c r="J59" s="238"/>
      <c r="K59" s="238"/>
      <c r="L59" s="238"/>
      <c r="M59" s="238"/>
      <c r="N59" s="238"/>
      <c r="P59" s="209"/>
      <c r="R59" s="213" t="s">
        <v>105</v>
      </c>
    </row>
    <row r="60" spans="1:18" s="213" customFormat="1" ht="15.75" customHeight="1" x14ac:dyDescent="0.4">
      <c r="A60" s="219" t="b">
        <v>0</v>
      </c>
      <c r="B60" s="279">
        <f t="shared" si="2"/>
        <v>54</v>
      </c>
      <c r="C60" s="299" t="s">
        <v>106</v>
      </c>
      <c r="D60" s="239"/>
      <c r="E60" s="238"/>
      <c r="F60" s="238"/>
      <c r="G60" s="238"/>
      <c r="H60" s="238"/>
      <c r="I60" s="238"/>
      <c r="J60" s="238"/>
      <c r="K60" s="238"/>
      <c r="L60" s="238"/>
      <c r="M60" s="238"/>
      <c r="N60" s="238"/>
      <c r="P60" s="209"/>
      <c r="R60" s="213" t="s">
        <v>107</v>
      </c>
    </row>
    <row r="61" spans="1:18" s="213" customFormat="1" ht="15.75" customHeight="1" x14ac:dyDescent="0.4">
      <c r="A61" s="219" t="b">
        <v>0</v>
      </c>
      <c r="B61" s="279">
        <f t="shared" si="2"/>
        <v>55</v>
      </c>
      <c r="C61" s="299" t="s">
        <v>108</v>
      </c>
      <c r="D61" s="239" t="s">
        <v>23</v>
      </c>
      <c r="E61" s="238"/>
      <c r="F61" s="238"/>
      <c r="G61" s="238"/>
      <c r="H61" s="238"/>
      <c r="I61" s="238"/>
      <c r="J61" s="238"/>
      <c r="K61" s="238"/>
      <c r="L61" s="238"/>
      <c r="M61" s="238"/>
      <c r="N61" s="238"/>
      <c r="P61" s="209"/>
      <c r="R61" s="213" t="s">
        <v>109</v>
      </c>
    </row>
    <row r="62" spans="1:18" s="213" customFormat="1" ht="15.75" customHeight="1" x14ac:dyDescent="0.35">
      <c r="A62" s="219" t="b">
        <v>0</v>
      </c>
      <c r="B62" s="279">
        <f t="shared" si="2"/>
        <v>56</v>
      </c>
      <c r="C62" s="337"/>
      <c r="D62" s="233" t="s">
        <v>110</v>
      </c>
      <c r="E62" s="204"/>
      <c r="F62" s="204"/>
      <c r="G62" s="204"/>
      <c r="H62" s="204"/>
      <c r="I62" s="204"/>
      <c r="J62" s="204"/>
      <c r="K62" s="204"/>
      <c r="L62" s="204"/>
      <c r="M62" s="204"/>
      <c r="N62" s="204"/>
      <c r="O62" s="211"/>
      <c r="P62" s="209"/>
      <c r="R62" s="213" t="s">
        <v>111</v>
      </c>
    </row>
    <row r="63" spans="1:18" s="213" customFormat="1" ht="15.75" customHeight="1" x14ac:dyDescent="0.4">
      <c r="A63" s="219" t="b">
        <v>0</v>
      </c>
      <c r="B63" s="279">
        <f t="shared" si="2"/>
        <v>57</v>
      </c>
      <c r="C63" s="299" t="s">
        <v>112</v>
      </c>
      <c r="D63" s="239"/>
      <c r="E63" s="238"/>
      <c r="F63" s="238"/>
      <c r="G63" s="238"/>
      <c r="H63" s="238"/>
      <c r="I63" s="238"/>
      <c r="J63" s="238"/>
      <c r="K63" s="238"/>
      <c r="L63" s="238"/>
      <c r="M63" s="238"/>
      <c r="N63" s="238"/>
      <c r="P63" s="209"/>
      <c r="R63" s="213" t="s">
        <v>113</v>
      </c>
    </row>
    <row r="64" spans="1:18" s="213" customFormat="1" ht="15.75" customHeight="1" x14ac:dyDescent="0.4">
      <c r="A64" s="219"/>
      <c r="B64" s="279">
        <f t="shared" si="2"/>
        <v>58</v>
      </c>
      <c r="C64" s="299" t="s">
        <v>114</v>
      </c>
      <c r="D64" s="239"/>
      <c r="E64" s="238"/>
      <c r="F64" s="238"/>
      <c r="G64" s="238"/>
      <c r="H64" s="238"/>
      <c r="I64" s="238"/>
      <c r="J64" s="238"/>
      <c r="K64" s="238"/>
      <c r="L64" s="238"/>
      <c r="M64" s="238"/>
      <c r="N64" s="238"/>
      <c r="P64" s="209"/>
    </row>
    <row r="65" spans="1:18" s="213" customFormat="1" ht="15.75" customHeight="1" x14ac:dyDescent="0.4">
      <c r="A65" s="219"/>
      <c r="B65" s="279">
        <f t="shared" si="2"/>
        <v>59</v>
      </c>
      <c r="C65" s="299" t="s">
        <v>115</v>
      </c>
      <c r="D65" s="239"/>
      <c r="E65" s="238"/>
      <c r="F65" s="238"/>
      <c r="G65" s="238"/>
      <c r="H65" s="238"/>
      <c r="I65" s="238"/>
      <c r="J65" s="238"/>
      <c r="K65" s="238"/>
      <c r="L65" s="238"/>
      <c r="M65" s="238"/>
      <c r="N65" s="238"/>
      <c r="P65" s="209"/>
    </row>
    <row r="66" spans="1:18" s="213" customFormat="1" ht="15.75" customHeight="1" x14ac:dyDescent="0.4">
      <c r="A66" s="219"/>
      <c r="B66" s="279">
        <f t="shared" si="2"/>
        <v>60</v>
      </c>
      <c r="C66" s="299" t="s">
        <v>116</v>
      </c>
      <c r="D66" s="239"/>
      <c r="E66" s="238"/>
      <c r="F66" s="238"/>
      <c r="G66" s="238"/>
      <c r="H66" s="238"/>
      <c r="I66" s="238"/>
      <c r="J66" s="238"/>
      <c r="K66" s="238"/>
      <c r="L66" s="238"/>
      <c r="M66" s="238"/>
      <c r="N66" s="238"/>
      <c r="P66" s="209"/>
    </row>
    <row r="67" spans="1:18" s="213" customFormat="1" ht="15.75" customHeight="1" x14ac:dyDescent="0.4">
      <c r="A67" s="219" t="b">
        <v>0</v>
      </c>
      <c r="B67" s="279">
        <f t="shared" si="2"/>
        <v>61</v>
      </c>
      <c r="C67" s="299" t="s">
        <v>117</v>
      </c>
      <c r="D67" s="366"/>
      <c r="E67" s="238"/>
      <c r="F67" s="238"/>
      <c r="G67" s="238"/>
      <c r="H67" s="238"/>
      <c r="I67" s="238"/>
      <c r="J67" s="238"/>
      <c r="K67" s="238"/>
      <c r="L67" s="238"/>
      <c r="M67" s="238"/>
      <c r="N67" s="238"/>
      <c r="P67" s="209"/>
    </row>
    <row r="68" spans="1:18" s="213" customFormat="1" ht="15.75" customHeight="1" x14ac:dyDescent="0.4">
      <c r="A68" s="219" t="b">
        <v>0</v>
      </c>
      <c r="B68" s="279">
        <f t="shared" si="2"/>
        <v>62</v>
      </c>
      <c r="C68" s="299" t="s">
        <v>118</v>
      </c>
      <c r="D68" s="239"/>
      <c r="E68" s="238"/>
      <c r="F68" s="238"/>
      <c r="G68" s="238"/>
      <c r="H68" s="238"/>
      <c r="I68" s="238"/>
      <c r="J68" s="238"/>
      <c r="K68" s="238"/>
      <c r="L68" s="238"/>
      <c r="M68" s="238"/>
      <c r="N68" s="238"/>
      <c r="P68" s="209"/>
    </row>
    <row r="69" spans="1:18" s="213" customFormat="1" ht="15.75" customHeight="1" x14ac:dyDescent="0.4">
      <c r="A69" s="219" t="b">
        <v>0</v>
      </c>
      <c r="B69" s="279">
        <f t="shared" si="2"/>
        <v>63</v>
      </c>
      <c r="C69" s="299" t="s">
        <v>119</v>
      </c>
      <c r="D69" s="239"/>
      <c r="E69" s="238"/>
      <c r="F69" s="238"/>
      <c r="G69" s="238"/>
      <c r="H69" s="238"/>
      <c r="I69" s="238"/>
      <c r="J69" s="238"/>
      <c r="K69" s="238"/>
      <c r="L69" s="238"/>
      <c r="M69" s="238"/>
      <c r="N69" s="238"/>
      <c r="P69" s="209"/>
      <c r="R69" s="213" t="s">
        <v>23</v>
      </c>
    </row>
    <row r="70" spans="1:18" ht="15" customHeight="1" x14ac:dyDescent="0.4">
      <c r="A70" s="219" t="b">
        <v>0</v>
      </c>
      <c r="B70" s="279">
        <f t="shared" si="2"/>
        <v>64</v>
      </c>
      <c r="C70" s="299" t="s">
        <v>120</v>
      </c>
      <c r="D70" s="366"/>
      <c r="R70" s="213" t="s">
        <v>121</v>
      </c>
    </row>
    <row r="71" spans="1:18" ht="15" customHeight="1" x14ac:dyDescent="0.4">
      <c r="A71" s="219" t="b">
        <v>0</v>
      </c>
      <c r="B71" s="279">
        <f t="shared" si="2"/>
        <v>65</v>
      </c>
      <c r="C71" s="299" t="s">
        <v>122</v>
      </c>
      <c r="D71" s="366"/>
      <c r="Q71" s="211" t="e">
        <f>IF(#REF!=FALSE,"Unit was dirty or damaged inside and required extra cleaning","Internal condition good")</f>
        <v>#REF!</v>
      </c>
      <c r="R71" s="213" t="s">
        <v>123</v>
      </c>
    </row>
    <row r="72" spans="1:18" s="213" customFormat="1" ht="14.25" x14ac:dyDescent="0.4">
      <c r="A72" s="219" t="b">
        <v>0</v>
      </c>
      <c r="B72" s="279" t="e">
        <f>#REF!+1</f>
        <v>#REF!</v>
      </c>
      <c r="C72" s="299" t="s">
        <v>124</v>
      </c>
      <c r="D72" s="265"/>
      <c r="O72" s="211"/>
      <c r="P72" s="209"/>
      <c r="R72" s="213" t="s">
        <v>703</v>
      </c>
    </row>
    <row r="73" spans="1:18" s="213" customFormat="1" ht="14.25" x14ac:dyDescent="0.4">
      <c r="A73" s="219" t="b">
        <v>0</v>
      </c>
      <c r="B73" s="279" t="e">
        <f t="shared" si="2"/>
        <v>#REF!</v>
      </c>
      <c r="C73" s="299" t="s">
        <v>125</v>
      </c>
      <c r="D73" s="265"/>
      <c r="O73" s="211"/>
      <c r="P73" s="209"/>
    </row>
    <row r="74" spans="1:18" s="213" customFormat="1" ht="15.75" customHeight="1" x14ac:dyDescent="0.35">
      <c r="A74" s="219" t="b">
        <v>0</v>
      </c>
      <c r="B74" s="279" t="e">
        <f>#REF!+1</f>
        <v>#REF!</v>
      </c>
      <c r="C74" s="337"/>
      <c r="D74" s="233" t="s">
        <v>126</v>
      </c>
      <c r="E74" s="204"/>
      <c r="F74" s="204"/>
      <c r="G74" s="204"/>
      <c r="H74" s="204"/>
      <c r="I74" s="204"/>
      <c r="J74" s="204"/>
      <c r="K74" s="204"/>
      <c r="L74" s="204"/>
      <c r="M74" s="204"/>
      <c r="N74" s="204"/>
      <c r="O74" s="211"/>
      <c r="P74" s="209"/>
      <c r="R74" s="213" t="s">
        <v>111</v>
      </c>
    </row>
    <row r="75" spans="1:18" s="213" customFormat="1" ht="14.25" x14ac:dyDescent="0.35">
      <c r="A75" s="219" t="b">
        <v>0</v>
      </c>
      <c r="B75" s="279"/>
      <c r="C75" s="432" t="s">
        <v>127</v>
      </c>
      <c r="D75" s="432"/>
      <c r="E75" s="432"/>
      <c r="F75" s="432"/>
      <c r="G75" s="432"/>
      <c r="H75" s="432"/>
      <c r="I75" s="432"/>
      <c r="J75" s="432"/>
      <c r="K75" s="432"/>
      <c r="L75" s="432"/>
      <c r="M75" s="432"/>
      <c r="N75" s="432"/>
      <c r="O75" s="432"/>
      <c r="P75" s="226"/>
    </row>
    <row r="76" spans="1:18" s="213" customFormat="1" ht="14.25" x14ac:dyDescent="0.35">
      <c r="A76" s="219" t="b">
        <v>0</v>
      </c>
      <c r="B76" s="279" t="e">
        <f>B74+1</f>
        <v>#REF!</v>
      </c>
      <c r="C76" s="232"/>
      <c r="D76" s="233" t="s">
        <v>688</v>
      </c>
      <c r="E76" s="433"/>
      <c r="F76" s="433"/>
      <c r="G76" s="433"/>
      <c r="H76" s="433"/>
      <c r="I76" s="433"/>
      <c r="J76" s="433"/>
      <c r="K76" s="433"/>
      <c r="L76" s="433"/>
      <c r="M76" s="433"/>
      <c r="N76" s="433"/>
      <c r="P76" s="209"/>
      <c r="Q76" s="211"/>
    </row>
    <row r="77" spans="1:18" s="213" customFormat="1" ht="14.25" x14ac:dyDescent="0.35">
      <c r="A77" s="219" t="b">
        <v>0</v>
      </c>
      <c r="B77" s="279" t="e">
        <f>#REF!+1</f>
        <v>#REF!</v>
      </c>
      <c r="C77" s="241"/>
      <c r="D77" s="233" t="s">
        <v>130</v>
      </c>
      <c r="E77" s="204"/>
      <c r="F77" s="204"/>
      <c r="G77" s="204"/>
      <c r="H77" s="204"/>
      <c r="I77" s="204"/>
      <c r="J77" s="204"/>
      <c r="K77" s="204"/>
      <c r="L77" s="204"/>
      <c r="M77" s="204"/>
      <c r="N77" s="204"/>
      <c r="P77" s="209"/>
      <c r="Q77" s="211" t="str">
        <f>IF(A77=TRUE,"Damage to sensor array assembly found, repair was required","Sensor array assembly passed initial inspection")</f>
        <v>Sensor array assembly passed initial inspection</v>
      </c>
    </row>
    <row r="78" spans="1:18" s="213" customFormat="1" ht="14.25" x14ac:dyDescent="0.35">
      <c r="A78" s="219" t="b">
        <v>0</v>
      </c>
      <c r="B78" s="279" t="e">
        <f>B77+1</f>
        <v>#REF!</v>
      </c>
      <c r="C78" s="241"/>
      <c r="D78" s="233" t="s">
        <v>131</v>
      </c>
      <c r="E78" s="238"/>
      <c r="F78" s="238"/>
      <c r="G78" s="238"/>
      <c r="H78" s="238"/>
      <c r="I78" s="238"/>
      <c r="J78" s="238"/>
      <c r="K78" s="238"/>
      <c r="L78" s="238"/>
      <c r="M78" s="238"/>
      <c r="N78" s="238"/>
      <c r="O78" s="211"/>
      <c r="P78" s="209"/>
    </row>
    <row r="79" spans="1:18" s="220" customFormat="1" ht="14.25" x14ac:dyDescent="0.35">
      <c r="A79" s="219" t="b">
        <v>0</v>
      </c>
      <c r="B79" s="279" t="e">
        <f>B78+1</f>
        <v>#REF!</v>
      </c>
      <c r="C79" s="241"/>
      <c r="D79" s="233" t="s">
        <v>132</v>
      </c>
      <c r="E79" s="437" t="s">
        <v>689</v>
      </c>
      <c r="F79" s="437"/>
      <c r="G79" s="437"/>
      <c r="H79" s="437"/>
      <c r="I79" s="437"/>
      <c r="J79" s="437"/>
      <c r="K79" s="437"/>
      <c r="L79" s="437"/>
      <c r="M79" s="437"/>
      <c r="N79" s="437"/>
      <c r="O79" s="211"/>
      <c r="P79" s="209"/>
    </row>
    <row r="80" spans="1:18" s="213" customFormat="1" ht="14.25" x14ac:dyDescent="0.4">
      <c r="A80" s="219" t="b">
        <v>1</v>
      </c>
      <c r="B80" s="279" t="e">
        <f t="shared" ref="B80:B105" si="3">B79+1</f>
        <v>#REF!</v>
      </c>
      <c r="C80" s="299" t="s">
        <v>134</v>
      </c>
      <c r="D80" s="212"/>
      <c r="E80" s="433"/>
      <c r="F80" s="433"/>
      <c r="G80" s="433"/>
      <c r="H80" s="433"/>
      <c r="I80" s="433"/>
      <c r="J80" s="433"/>
      <c r="K80" s="433"/>
      <c r="L80" s="433"/>
      <c r="M80" s="433"/>
      <c r="N80" s="433"/>
      <c r="P80" s="209"/>
      <c r="Q80" s="211" t="str">
        <f>IF(D80&gt;13000,"Initial Light source check, output outside of specification FAILED/not checked","Initial light source check, output within specification PASS")</f>
        <v>Initial light source check, output within specification PASS</v>
      </c>
    </row>
    <row r="81" spans="1:17" s="213" customFormat="1" ht="14.25" x14ac:dyDescent="0.4">
      <c r="A81" s="219" t="b">
        <v>0</v>
      </c>
      <c r="B81" s="279" t="e">
        <f>B80+1</f>
        <v>#REF!</v>
      </c>
      <c r="C81" s="299" t="s">
        <v>135</v>
      </c>
      <c r="D81" s="212"/>
      <c r="E81" s="433"/>
      <c r="F81" s="433"/>
      <c r="G81" s="433"/>
      <c r="H81" s="433"/>
      <c r="I81" s="433"/>
      <c r="J81" s="433"/>
      <c r="K81" s="433"/>
      <c r="L81" s="433"/>
      <c r="M81" s="433"/>
      <c r="N81" s="433"/>
      <c r="P81" s="209"/>
      <c r="Q81" s="211" t="str">
        <f>IF(D81&lt;100,"Initial Light source electrical noise output within specification PASS","Initial Laser 1 noise output outside specification FAILED - RETEST at recalibration")</f>
        <v>Initial Light source electrical noise output within specification PASS</v>
      </c>
    </row>
    <row r="82" spans="1:17" s="213" customFormat="1" ht="14.25" hidden="1" x14ac:dyDescent="0.35">
      <c r="A82" s="219"/>
      <c r="B82" s="279"/>
      <c r="C82" s="432"/>
      <c r="D82" s="432"/>
      <c r="E82" s="432"/>
      <c r="F82" s="432"/>
      <c r="G82" s="432"/>
      <c r="H82" s="432"/>
      <c r="I82" s="432"/>
      <c r="J82" s="432"/>
      <c r="K82" s="432"/>
      <c r="L82" s="432"/>
      <c r="M82" s="432"/>
      <c r="N82" s="432"/>
      <c r="O82" s="432"/>
      <c r="P82" s="226"/>
    </row>
    <row r="83" spans="1:17" s="213" customFormat="1" ht="14.25" hidden="1" x14ac:dyDescent="0.35">
      <c r="A83" s="219" t="b">
        <v>1</v>
      </c>
      <c r="B83" s="279"/>
      <c r="C83" s="241"/>
      <c r="D83" s="233"/>
      <c r="E83" s="456"/>
      <c r="F83" s="457"/>
      <c r="G83" s="457"/>
      <c r="H83" s="457"/>
      <c r="I83" s="457"/>
      <c r="J83" s="457"/>
      <c r="K83" s="439"/>
      <c r="L83" s="439"/>
      <c r="M83" s="439"/>
      <c r="N83" s="439"/>
      <c r="P83" s="209"/>
      <c r="Q83" s="211"/>
    </row>
    <row r="84" spans="1:17" s="213" customFormat="1" ht="14.25" hidden="1" x14ac:dyDescent="0.35">
      <c r="A84" s="219"/>
      <c r="B84" s="279"/>
      <c r="C84" s="241"/>
      <c r="D84" s="233"/>
      <c r="E84" s="238"/>
      <c r="F84" s="238"/>
      <c r="G84" s="238"/>
      <c r="H84" s="238"/>
      <c r="I84" s="238"/>
      <c r="J84" s="238"/>
      <c r="K84" s="209"/>
      <c r="L84" s="209"/>
      <c r="M84" s="209"/>
      <c r="N84" s="209"/>
      <c r="P84" s="209"/>
      <c r="Q84" s="211"/>
    </row>
    <row r="85" spans="1:17" s="213" customFormat="1" ht="14.25" hidden="1" x14ac:dyDescent="0.35">
      <c r="A85" s="219"/>
      <c r="B85" s="279"/>
      <c r="C85" s="241"/>
      <c r="D85" s="240"/>
      <c r="E85" s="437"/>
      <c r="F85" s="437"/>
      <c r="G85" s="437"/>
      <c r="H85" s="437"/>
      <c r="I85" s="437"/>
      <c r="J85" s="437"/>
      <c r="K85" s="437"/>
      <c r="L85" s="437"/>
      <c r="M85" s="437"/>
      <c r="N85" s="437"/>
      <c r="P85" s="209"/>
      <c r="Q85" s="211"/>
    </row>
    <row r="86" spans="1:17" s="213" customFormat="1" ht="14.25" hidden="1" x14ac:dyDescent="0.35">
      <c r="A86" s="219"/>
      <c r="B86" s="279"/>
      <c r="C86" s="241"/>
      <c r="D86" s="240"/>
      <c r="E86" s="434"/>
      <c r="F86" s="434"/>
      <c r="G86" s="434"/>
      <c r="H86" s="434"/>
      <c r="I86" s="434"/>
      <c r="J86" s="434"/>
      <c r="K86" s="438"/>
      <c r="L86" s="438"/>
      <c r="M86" s="438"/>
      <c r="N86" s="438"/>
      <c r="O86" s="211"/>
      <c r="P86" s="209"/>
    </row>
    <row r="87" spans="1:17" s="213" customFormat="1" ht="14.25" hidden="1" x14ac:dyDescent="0.35">
      <c r="A87" s="219"/>
      <c r="B87" s="279"/>
      <c r="C87" s="241"/>
      <c r="D87" s="240"/>
      <c r="E87" s="437"/>
      <c r="F87" s="437"/>
      <c r="G87" s="437"/>
      <c r="H87" s="437"/>
      <c r="I87" s="437"/>
      <c r="J87" s="437"/>
      <c r="K87" s="437"/>
      <c r="L87" s="437"/>
      <c r="M87" s="437"/>
      <c r="N87" s="437"/>
      <c r="P87" s="209"/>
      <c r="Q87" s="211"/>
    </row>
    <row r="88" spans="1:17" s="213" customFormat="1" ht="14.25" hidden="1" x14ac:dyDescent="0.35">
      <c r="A88" s="219"/>
      <c r="B88" s="279"/>
      <c r="C88" s="241"/>
      <c r="D88" s="240"/>
      <c r="E88" s="434"/>
      <c r="F88" s="434"/>
      <c r="G88" s="434"/>
      <c r="H88" s="434"/>
      <c r="I88" s="434"/>
      <c r="J88" s="434"/>
      <c r="K88" s="438"/>
      <c r="L88" s="438"/>
      <c r="M88" s="438"/>
      <c r="N88" s="438"/>
      <c r="P88" s="209"/>
      <c r="Q88" s="211"/>
    </row>
    <row r="89" spans="1:17" s="213" customFormat="1" ht="14.25" x14ac:dyDescent="0.4">
      <c r="A89" s="219" t="b">
        <v>1</v>
      </c>
      <c r="B89" s="279">
        <f t="shared" si="3"/>
        <v>1</v>
      </c>
      <c r="C89" s="299" t="s">
        <v>144</v>
      </c>
      <c r="D89" s="210" t="s">
        <v>23</v>
      </c>
      <c r="E89" s="459"/>
      <c r="F89" s="460"/>
      <c r="G89" s="460"/>
      <c r="H89" s="460"/>
      <c r="I89" s="460"/>
      <c r="J89" s="460"/>
      <c r="K89" s="460"/>
      <c r="L89" s="255"/>
      <c r="M89" s="255"/>
      <c r="N89" s="255"/>
      <c r="O89" s="209"/>
      <c r="P89" s="209"/>
    </row>
    <row r="90" spans="1:17" s="213" customFormat="1" ht="14.25" x14ac:dyDescent="0.4">
      <c r="A90" s="219" t="b">
        <v>0</v>
      </c>
      <c r="B90" s="279">
        <f t="shared" si="3"/>
        <v>2</v>
      </c>
      <c r="C90" s="299" t="s">
        <v>145</v>
      </c>
      <c r="D90" s="372" t="b">
        <v>1</v>
      </c>
      <c r="E90" s="231"/>
      <c r="G90" s="228"/>
      <c r="H90" s="228"/>
      <c r="I90" s="461"/>
      <c r="J90" s="461"/>
      <c r="K90" s="461"/>
      <c r="L90" s="461"/>
      <c r="M90" s="461"/>
      <c r="N90" s="461"/>
      <c r="P90" s="209"/>
    </row>
    <row r="91" spans="1:17" s="213" customFormat="1" ht="14.25" x14ac:dyDescent="0.35">
      <c r="A91" s="219" t="b">
        <v>0</v>
      </c>
      <c r="B91" s="279"/>
      <c r="C91" s="432" t="s">
        <v>146</v>
      </c>
      <c r="D91" s="432"/>
      <c r="E91" s="432"/>
      <c r="F91" s="432"/>
      <c r="G91" s="432"/>
      <c r="H91" s="432"/>
      <c r="I91" s="432"/>
      <c r="J91" s="432"/>
      <c r="K91" s="432"/>
      <c r="L91" s="432"/>
      <c r="M91" s="432"/>
      <c r="N91" s="432"/>
      <c r="O91" s="432"/>
      <c r="P91" s="226"/>
    </row>
    <row r="92" spans="1:17" s="220" customFormat="1" ht="15.75" customHeight="1" x14ac:dyDescent="0.35">
      <c r="A92" s="219" t="b">
        <v>0</v>
      </c>
      <c r="B92" s="279">
        <f>B90+1</f>
        <v>3</v>
      </c>
      <c r="C92" s="228" t="s">
        <v>147</v>
      </c>
      <c r="D92" s="302"/>
      <c r="E92" s="434" t="s">
        <v>67</v>
      </c>
      <c r="F92" s="434"/>
      <c r="G92" s="462" t="str">
        <f>IF(D92=$D$7,"ON TIME",IF(D92&gt;$D$7,"LATE",IF(D92&lt;$D$7,"EARLY")))</f>
        <v>ON TIME</v>
      </c>
      <c r="H92" s="462"/>
      <c r="I92" s="462"/>
      <c r="J92" s="462"/>
      <c r="K92" s="462"/>
      <c r="L92" s="462"/>
      <c r="M92" s="462"/>
      <c r="N92" s="462"/>
      <c r="O92" s="238"/>
      <c r="P92" s="238"/>
    </row>
    <row r="93" spans="1:17" s="213" customFormat="1" ht="14.25" x14ac:dyDescent="0.35">
      <c r="A93" s="219" t="b">
        <v>0</v>
      </c>
      <c r="B93" s="279">
        <f t="shared" si="3"/>
        <v>4</v>
      </c>
      <c r="C93" s="256">
        <f>D15</f>
        <v>0</v>
      </c>
      <c r="D93" s="233" t="s">
        <v>148</v>
      </c>
      <c r="E93" s="458">
        <v>0</v>
      </c>
      <c r="F93" s="458"/>
      <c r="G93" s="458"/>
      <c r="H93" s="458"/>
      <c r="I93" s="458"/>
      <c r="J93" s="458"/>
      <c r="K93" s="458"/>
      <c r="L93" s="458"/>
      <c r="M93" s="458"/>
      <c r="N93" s="458"/>
      <c r="P93" s="220"/>
      <c r="Q93" s="211" t="str">
        <f>IF(A93=TRUE,"SO received and on system","Awaiting customers purchase order")</f>
        <v>Awaiting customers purchase order</v>
      </c>
    </row>
    <row r="94" spans="1:17" s="213" customFormat="1" ht="14.25" x14ac:dyDescent="0.35">
      <c r="A94" s="219" t="b">
        <v>0</v>
      </c>
      <c r="B94" s="279">
        <f t="shared" si="3"/>
        <v>5</v>
      </c>
      <c r="C94" s="256">
        <f>D16</f>
        <v>0</v>
      </c>
      <c r="D94" s="233" t="s">
        <v>149</v>
      </c>
      <c r="E94" s="458">
        <v>0</v>
      </c>
      <c r="F94" s="458"/>
      <c r="G94" s="458"/>
      <c r="H94" s="458"/>
      <c r="I94" s="458"/>
      <c r="J94" s="458"/>
      <c r="K94" s="458"/>
      <c r="L94" s="458"/>
      <c r="M94" s="458"/>
      <c r="N94" s="458"/>
      <c r="P94" s="220"/>
      <c r="Q94" s="211" t="str">
        <f>IF(A94=TRUE,"WO processed, service can be started","Awaiting customers purchase order")</f>
        <v>Awaiting customers purchase order</v>
      </c>
    </row>
    <row r="95" spans="1:17" s="213" customFormat="1" ht="14.25" x14ac:dyDescent="0.35">
      <c r="A95" s="219" t="b">
        <v>0</v>
      </c>
      <c r="B95" s="279" t="e">
        <f>#REF!+1</f>
        <v>#REF!</v>
      </c>
      <c r="C95" s="256"/>
      <c r="D95" s="233" t="s">
        <v>690</v>
      </c>
      <c r="E95" s="463"/>
      <c r="F95" s="463"/>
      <c r="G95" s="463"/>
      <c r="H95" s="463"/>
      <c r="I95" s="463"/>
      <c r="J95" s="463"/>
      <c r="K95" s="463"/>
      <c r="L95" s="463"/>
      <c r="M95" s="463"/>
      <c r="N95" s="463"/>
      <c r="O95" s="211"/>
      <c r="P95" s="209"/>
      <c r="Q95" s="211" t="str">
        <f>IF(A95=TRUE,"Old-design battery terminal cables present, replaced with new","Battery terminal cables of current design")</f>
        <v>Battery terminal cables of current design</v>
      </c>
    </row>
    <row r="96" spans="1:17" s="213" customFormat="1" ht="14.25" x14ac:dyDescent="0.35">
      <c r="A96" s="219" t="b">
        <v>0</v>
      </c>
      <c r="B96" s="279" t="e">
        <f>B95+1</f>
        <v>#REF!</v>
      </c>
      <c r="C96" s="242"/>
      <c r="D96" s="233" t="s">
        <v>150</v>
      </c>
      <c r="E96" s="238"/>
      <c r="F96" s="238"/>
      <c r="G96" s="238"/>
      <c r="H96" s="238"/>
      <c r="I96" s="238"/>
      <c r="J96" s="238"/>
      <c r="K96" s="238"/>
      <c r="L96" s="238"/>
      <c r="M96" s="238"/>
      <c r="N96" s="238"/>
      <c r="O96" s="211" t="str">
        <f>IF(A96=TRUE,"Unit cleaned inside and out","")</f>
        <v/>
      </c>
      <c r="P96" s="209"/>
    </row>
    <row r="97" spans="1:28" s="213" customFormat="1" ht="14.25" x14ac:dyDescent="0.35">
      <c r="A97" s="219" t="b">
        <v>0</v>
      </c>
      <c r="B97" s="279" t="e">
        <f>#REF!+1</f>
        <v>#REF!</v>
      </c>
      <c r="C97" s="256"/>
      <c r="D97" s="233" t="s">
        <v>151</v>
      </c>
      <c r="E97" s="437" t="s">
        <v>152</v>
      </c>
      <c r="F97" s="437"/>
      <c r="G97" s="437"/>
      <c r="H97" s="437"/>
      <c r="I97" s="437"/>
      <c r="J97" s="437"/>
      <c r="K97" s="437"/>
      <c r="L97" s="437"/>
      <c r="M97" s="437"/>
      <c r="N97" s="437"/>
      <c r="O97" s="211"/>
      <c r="P97" s="209"/>
      <c r="Q97" s="211" t="str">
        <f>IF(A97=TRUE,"Battery brackets secure and complete","Battery not secure in brackets, needed to be refurbished")</f>
        <v>Battery not secure in brackets, needed to be refurbished</v>
      </c>
    </row>
    <row r="98" spans="1:28" s="213" customFormat="1" ht="14.25" x14ac:dyDescent="0.35">
      <c r="A98" s="219" t="b">
        <v>1</v>
      </c>
      <c r="B98" s="279"/>
      <c r="C98" s="432" t="s">
        <v>136</v>
      </c>
      <c r="D98" s="432"/>
      <c r="E98" s="432"/>
      <c r="F98" s="432"/>
      <c r="G98" s="432"/>
      <c r="H98" s="432"/>
      <c r="I98" s="432"/>
      <c r="J98" s="432"/>
      <c r="K98" s="432"/>
      <c r="L98" s="432"/>
      <c r="M98" s="432"/>
      <c r="N98" s="432"/>
      <c r="O98" s="432"/>
      <c r="P98" s="226"/>
    </row>
    <row r="99" spans="1:28" s="213" customFormat="1" ht="14.25" x14ac:dyDescent="0.4">
      <c r="A99" s="219" t="e">
        <f>IF(S99&gt;=1, TRUE, FALSE)</f>
        <v>#REF!</v>
      </c>
      <c r="B99" s="279" t="e">
        <f>#REF!+1</f>
        <v>#REF!</v>
      </c>
      <c r="C99" s="299"/>
      <c r="D99" s="212"/>
      <c r="E99" s="238"/>
      <c r="F99" s="238"/>
      <c r="G99" s="238"/>
      <c r="H99" s="238"/>
      <c r="I99" s="238"/>
      <c r="J99" s="238"/>
      <c r="K99" s="238"/>
      <c r="L99" s="238"/>
      <c r="M99" s="238"/>
      <c r="N99" s="238"/>
      <c r="O99" s="211"/>
      <c r="P99" s="209"/>
      <c r="R99" s="213" t="e">
        <f>IF(A99=FALSE, TRUE, FALSE)</f>
        <v>#REF!</v>
      </c>
      <c r="S99" s="213" t="e">
        <f>D99-#REF!</f>
        <v>#REF!</v>
      </c>
    </row>
    <row r="100" spans="1:28" s="213" customFormat="1" ht="14.25" x14ac:dyDescent="0.35">
      <c r="A100" s="219" t="b">
        <v>0</v>
      </c>
      <c r="B100" s="279" t="e">
        <f>#REF!+1</f>
        <v>#REF!</v>
      </c>
      <c r="C100" s="262"/>
      <c r="D100" s="240" t="s">
        <v>156</v>
      </c>
      <c r="E100" s="238"/>
      <c r="F100" s="238"/>
      <c r="G100" s="238"/>
      <c r="H100" s="238"/>
      <c r="I100" s="238"/>
      <c r="J100" s="238"/>
      <c r="K100" s="238"/>
      <c r="L100" s="238"/>
      <c r="M100" s="238"/>
      <c r="N100" s="238"/>
      <c r="P100" s="209"/>
      <c r="Q100" s="211" t="str">
        <f>IF(A100=TRUE,"High pressure seal integrity test PASS","High pressure seal integrity test failure, unit requires rework")</f>
        <v>High pressure seal integrity test failure, unit requires rework</v>
      </c>
    </row>
    <row r="101" spans="1:28" s="213" customFormat="1" ht="14.25" x14ac:dyDescent="0.35">
      <c r="A101" s="219" t="b">
        <v>0</v>
      </c>
      <c r="B101" s="279" t="e">
        <f t="shared" si="3"/>
        <v>#REF!</v>
      </c>
      <c r="C101" s="262"/>
      <c r="D101" s="240" t="s">
        <v>157</v>
      </c>
      <c r="E101" s="238"/>
      <c r="F101" s="238"/>
      <c r="G101" s="238"/>
      <c r="H101" s="238"/>
      <c r="I101" s="238"/>
      <c r="J101" s="238"/>
      <c r="K101" s="238"/>
      <c r="L101" s="238"/>
      <c r="M101" s="238"/>
      <c r="N101" s="238"/>
      <c r="O101" s="211"/>
      <c r="P101" s="209"/>
    </row>
    <row r="102" spans="1:28" s="213" customFormat="1" ht="14.25" x14ac:dyDescent="0.35">
      <c r="A102" s="219" t="b">
        <v>0</v>
      </c>
      <c r="B102" s="279" t="e">
        <f t="shared" si="3"/>
        <v>#REF!</v>
      </c>
      <c r="C102" s="262"/>
      <c r="D102" s="233" t="s">
        <v>158</v>
      </c>
      <c r="E102" s="263"/>
      <c r="F102" s="263"/>
      <c r="G102" s="263"/>
      <c r="H102" s="263"/>
      <c r="I102" s="263"/>
      <c r="J102" s="263"/>
      <c r="K102" s="263"/>
      <c r="L102" s="263"/>
      <c r="M102" s="263"/>
      <c r="N102" s="238"/>
      <c r="O102" s="211"/>
      <c r="P102" s="209"/>
    </row>
    <row r="103" spans="1:28" s="213" customFormat="1" ht="14.25" x14ac:dyDescent="0.4">
      <c r="A103" s="219" t="b">
        <v>0</v>
      </c>
      <c r="B103" s="279" t="e">
        <f>#REF!+1</f>
        <v>#REF!</v>
      </c>
      <c r="C103" s="299" t="s">
        <v>159</v>
      </c>
      <c r="D103" s="274" t="s">
        <v>23</v>
      </c>
      <c r="E103" s="246"/>
      <c r="F103" s="246"/>
      <c r="G103" s="246"/>
      <c r="H103" s="246"/>
      <c r="I103" s="246"/>
      <c r="J103" s="246"/>
      <c r="K103" s="246"/>
      <c r="L103" s="246"/>
      <c r="M103" s="246"/>
      <c r="O103" s="211"/>
      <c r="P103" s="209"/>
    </row>
    <row r="104" spans="1:28" s="213" customFormat="1" ht="14.25" x14ac:dyDescent="0.4">
      <c r="A104" s="219" t="b">
        <v>0</v>
      </c>
      <c r="B104" s="279" t="e">
        <f t="shared" si="3"/>
        <v>#REF!</v>
      </c>
      <c r="C104" s="299" t="s">
        <v>160</v>
      </c>
      <c r="D104" s="270"/>
      <c r="E104" s="246"/>
      <c r="F104" s="246"/>
      <c r="G104" s="246"/>
      <c r="H104" s="246"/>
      <c r="I104" s="246"/>
      <c r="J104" s="246"/>
      <c r="K104" s="246"/>
      <c r="L104" s="246"/>
      <c r="M104" s="246"/>
      <c r="O104" s="211"/>
      <c r="P104" s="209"/>
    </row>
    <row r="105" spans="1:28" s="213" customFormat="1" ht="15.75" x14ac:dyDescent="0.4">
      <c r="A105" s="219" t="b">
        <v>0</v>
      </c>
      <c r="B105" s="279" t="e">
        <f t="shared" si="3"/>
        <v>#REF!</v>
      </c>
      <c r="C105" s="299" t="s">
        <v>161</v>
      </c>
      <c r="D105" s="210"/>
      <c r="E105" s="434" t="s">
        <v>67</v>
      </c>
      <c r="F105" s="434"/>
      <c r="G105" s="435" t="str">
        <f>IF(D105=D18,"ON TIME",IF(D105&gt;D18,"LATE",IF(D105&lt;D18,"EARLY")))</f>
        <v>ON TIME</v>
      </c>
      <c r="H105" s="435"/>
      <c r="I105" s="435"/>
      <c r="J105" s="435"/>
      <c r="K105" s="435"/>
      <c r="L105" s="435"/>
      <c r="M105" s="435"/>
      <c r="N105" s="435"/>
      <c r="O105" s="220"/>
      <c r="P105" s="205"/>
    </row>
    <row r="106" spans="1:28" s="213" customFormat="1" ht="14.25" x14ac:dyDescent="0.35">
      <c r="A106" s="219" t="b">
        <v>0</v>
      </c>
      <c r="B106" s="279"/>
      <c r="C106" s="432" t="s">
        <v>691</v>
      </c>
      <c r="D106" s="432"/>
      <c r="E106" s="432"/>
      <c r="F106" s="432"/>
      <c r="G106" s="432"/>
      <c r="H106" s="432"/>
      <c r="I106" s="432"/>
      <c r="J106" s="432"/>
      <c r="K106" s="432"/>
      <c r="L106" s="432"/>
      <c r="M106" s="432"/>
      <c r="N106" s="432"/>
      <c r="O106" s="432"/>
      <c r="P106" s="209"/>
    </row>
    <row r="107" spans="1:28" s="213" customFormat="1" ht="15.75" x14ac:dyDescent="0.4">
      <c r="A107" s="219" t="b">
        <v>0</v>
      </c>
      <c r="B107" s="279" t="e">
        <f>B105+1</f>
        <v>#REF!</v>
      </c>
      <c r="C107" s="299" t="s">
        <v>163</v>
      </c>
      <c r="D107" s="302"/>
      <c r="E107" s="434" t="s">
        <v>67</v>
      </c>
      <c r="F107" s="434"/>
      <c r="G107" s="462" t="str">
        <f>IF(D107=D18,"ON TIME",IF(D107&gt;D18,"LATE",IF(D107&lt;D18,"EARLY")))</f>
        <v>ON TIME</v>
      </c>
      <c r="H107" s="462"/>
      <c r="I107" s="462"/>
      <c r="J107" s="462"/>
      <c r="K107" s="462"/>
      <c r="L107" s="462"/>
      <c r="M107" s="462"/>
      <c r="N107" s="462"/>
      <c r="O107" s="264"/>
      <c r="P107" s="209"/>
    </row>
    <row r="108" spans="1:28" s="213" customFormat="1" ht="14.25" x14ac:dyDescent="0.4">
      <c r="A108" s="219" t="b">
        <v>0</v>
      </c>
      <c r="B108" s="279" t="e">
        <f>B107+1</f>
        <v>#REF!</v>
      </c>
      <c r="C108" s="299" t="s">
        <v>164</v>
      </c>
      <c r="D108" s="265"/>
      <c r="E108" s="238"/>
      <c r="G108" s="231"/>
      <c r="H108" s="231"/>
      <c r="I108" s="231"/>
      <c r="J108" s="231"/>
      <c r="L108" s="220"/>
      <c r="M108" s="220"/>
      <c r="N108" s="220"/>
      <c r="O108" s="211"/>
      <c r="P108" s="209"/>
      <c r="Q108" s="211" t="str">
        <f>IF(A108=TRUE,"Unit calibrated successfully"," ")</f>
        <v xml:space="preserve"> </v>
      </c>
    </row>
    <row r="109" spans="1:28" s="213" customFormat="1" ht="14.25" x14ac:dyDescent="0.4">
      <c r="A109" s="219" t="b">
        <v>1</v>
      </c>
      <c r="B109" s="279" t="e">
        <f>B108+1</f>
        <v>#REF!</v>
      </c>
      <c r="C109" s="299" t="s">
        <v>165</v>
      </c>
      <c r="D109" s="274" t="s">
        <v>23</v>
      </c>
      <c r="E109" s="246"/>
      <c r="F109" s="246"/>
      <c r="G109" s="246"/>
      <c r="H109" s="246"/>
      <c r="I109" s="246"/>
      <c r="J109" s="246"/>
      <c r="K109" s="246"/>
      <c r="L109" s="246"/>
      <c r="M109" s="246"/>
      <c r="O109" s="211"/>
      <c r="P109" s="209"/>
    </row>
    <row r="110" spans="1:28" s="213" customFormat="1" ht="15.75" x14ac:dyDescent="0.35">
      <c r="A110" s="219" t="b">
        <v>1</v>
      </c>
      <c r="B110" s="279"/>
      <c r="C110" s="464" t="s">
        <v>166</v>
      </c>
      <c r="D110" s="464"/>
      <c r="E110" s="464"/>
      <c r="F110" s="464"/>
      <c r="G110" s="464"/>
      <c r="H110" s="464"/>
      <c r="I110" s="464"/>
      <c r="J110" s="464"/>
      <c r="K110" s="464"/>
      <c r="L110" s="464"/>
      <c r="M110" s="464"/>
      <c r="N110" s="464"/>
      <c r="O110" s="464"/>
      <c r="P110" s="209"/>
    </row>
    <row r="111" spans="1:28" s="213" customFormat="1" ht="14.25" x14ac:dyDescent="0.35">
      <c r="A111" s="219" t="b">
        <v>1</v>
      </c>
      <c r="B111" s="279" t="e">
        <f>B109+1</f>
        <v>#REF!</v>
      </c>
      <c r="C111" s="228" t="s">
        <v>163</v>
      </c>
      <c r="D111" s="210"/>
      <c r="E111" s="266"/>
      <c r="F111" s="266"/>
      <c r="G111" s="266"/>
      <c r="H111" s="217"/>
      <c r="I111" s="266"/>
      <c r="J111" s="204"/>
      <c r="K111" s="238"/>
      <c r="L111" s="238"/>
      <c r="M111" s="238"/>
      <c r="N111" s="238"/>
      <c r="O111" s="211"/>
      <c r="P111" s="209"/>
      <c r="Z111" s="266"/>
      <c r="AA111" s="266"/>
      <c r="AB111" s="266"/>
    </row>
    <row r="112" spans="1:28" s="213" customFormat="1" ht="14.25" x14ac:dyDescent="0.35">
      <c r="A112" s="219" t="b">
        <v>0</v>
      </c>
      <c r="B112" s="279" t="e">
        <f>B111+1</f>
        <v>#REF!</v>
      </c>
      <c r="C112" s="228" t="s">
        <v>167</v>
      </c>
      <c r="D112" s="270">
        <f>D5</f>
        <v>63010062</v>
      </c>
      <c r="F112" s="268"/>
      <c r="J112" s="204"/>
      <c r="K112" s="238"/>
      <c r="L112" s="238"/>
      <c r="M112" s="238"/>
      <c r="N112" s="238"/>
      <c r="O112" s="211"/>
      <c r="P112" s="209"/>
      <c r="Z112" s="266"/>
      <c r="AA112" s="266"/>
      <c r="AB112" s="266"/>
    </row>
    <row r="113" spans="1:28" s="213" customFormat="1" ht="14.25" x14ac:dyDescent="0.35">
      <c r="A113" s="219" t="b">
        <v>0</v>
      </c>
      <c r="B113" s="279" t="e">
        <f>B112+1</f>
        <v>#REF!</v>
      </c>
      <c r="C113" t="s">
        <v>168</v>
      </c>
      <c r="D113" s="265"/>
      <c r="E113" s="465" t="s">
        <v>692</v>
      </c>
      <c r="F113" s="460"/>
      <c r="G113" s="460"/>
      <c r="H113" s="460"/>
      <c r="I113" s="460"/>
      <c r="J113" s="460"/>
      <c r="K113" s="460"/>
      <c r="L113" s="460"/>
      <c r="M113" s="460"/>
      <c r="N113" s="460"/>
      <c r="O113" s="211"/>
      <c r="P113" s="209"/>
      <c r="Z113" s="266"/>
      <c r="AA113" s="266"/>
      <c r="AB113" s="266"/>
    </row>
    <row r="114" spans="1:28" s="213" customFormat="1" ht="14.25" x14ac:dyDescent="0.35">
      <c r="A114" s="219" t="b">
        <v>1</v>
      </c>
      <c r="B114" s="279"/>
      <c r="C114" s="432" t="s">
        <v>169</v>
      </c>
      <c r="D114" s="432"/>
      <c r="E114" s="432"/>
      <c r="F114" s="432"/>
      <c r="G114" s="432"/>
      <c r="H114" s="432"/>
      <c r="I114" s="432"/>
      <c r="J114" s="432"/>
      <c r="K114" s="432"/>
      <c r="L114" s="432"/>
      <c r="M114" s="432"/>
      <c r="N114" s="204"/>
      <c r="O114" s="211"/>
      <c r="P114" s="209"/>
      <c r="Z114" s="266"/>
      <c r="AA114" s="266"/>
      <c r="AB114" s="266"/>
    </row>
    <row r="115" spans="1:28" s="213" customFormat="1" ht="14.25" x14ac:dyDescent="0.35">
      <c r="A115" s="219" t="b">
        <v>0</v>
      </c>
      <c r="B115" s="279" t="e">
        <f>B113+1</f>
        <v>#REF!</v>
      </c>
      <c r="C115" s="228" t="s">
        <v>170</v>
      </c>
      <c r="D115" s="270"/>
      <c r="F115" s="353" t="s">
        <v>171</v>
      </c>
      <c r="G115" s="335" t="s">
        <v>4</v>
      </c>
      <c r="H115" s="335" t="s">
        <v>172</v>
      </c>
      <c r="I115" s="204"/>
      <c r="J115" s="211"/>
      <c r="K115" s="204"/>
      <c r="L115" s="204"/>
      <c r="M115" s="204"/>
      <c r="N115" s="204"/>
      <c r="P115" s="209"/>
      <c r="Z115" s="266"/>
      <c r="AA115" s="266"/>
      <c r="AB115" s="266"/>
    </row>
    <row r="116" spans="1:28" s="213" customFormat="1" ht="14.25" x14ac:dyDescent="0.35">
      <c r="A116" s="219" t="b">
        <v>0</v>
      </c>
      <c r="B116" s="279" t="e">
        <f>B115+1</f>
        <v>#REF!</v>
      </c>
      <c r="C116" s="228" t="s">
        <v>173</v>
      </c>
      <c r="D116" s="270"/>
      <c r="F116" s="335">
        <v>1</v>
      </c>
      <c r="G116" s="377">
        <v>4</v>
      </c>
      <c r="H116" s="354">
        <f>'Auto-Calibration record'!$B$65</f>
        <v>76</v>
      </c>
      <c r="I116" s="204"/>
      <c r="J116" s="211"/>
      <c r="K116" s="204"/>
      <c r="L116" s="204"/>
      <c r="M116" s="204"/>
      <c r="N116" s="204"/>
      <c r="P116" s="209"/>
      <c r="Q116" s="211" t="str">
        <f>IF(A116=TRUE,"Calibrated thresholds verified against thresholds programmed in unit","Thresholds on certificate do not match those programmed in unit ")</f>
        <v xml:space="preserve">Thresholds on certificate do not match those programmed in unit </v>
      </c>
      <c r="Z116" s="266"/>
      <c r="AA116" s="266"/>
      <c r="AB116" s="266"/>
    </row>
    <row r="117" spans="1:28" s="213" customFormat="1" ht="14.25" x14ac:dyDescent="0.35">
      <c r="A117" s="219" t="b">
        <v>0</v>
      </c>
      <c r="B117" s="279" t="e">
        <f t="shared" ref="B117:B129" si="4">B116+1</f>
        <v>#REF!</v>
      </c>
      <c r="C117" s="228" t="s">
        <v>174</v>
      </c>
      <c r="D117" s="373">
        <f>IF(A34=TRUE,1,2)</f>
        <v>2</v>
      </c>
      <c r="F117" s="335">
        <f t="shared" ref="F117:F120" si="5">F116+1</f>
        <v>2</v>
      </c>
      <c r="G117" s="377">
        <v>6</v>
      </c>
      <c r="H117" s="354">
        <f>'Auto-Calibration record'!$C$65</f>
        <v>180</v>
      </c>
      <c r="I117" s="204"/>
      <c r="J117" s="211"/>
      <c r="K117" s="204"/>
      <c r="L117" s="204"/>
      <c r="M117" s="204"/>
      <c r="N117" s="204"/>
      <c r="P117" s="209"/>
      <c r="Z117" s="266"/>
      <c r="AA117" s="266"/>
      <c r="AB117" s="266"/>
    </row>
    <row r="118" spans="1:28" s="213" customFormat="1" ht="14.25" x14ac:dyDescent="0.35">
      <c r="A118" s="219" t="b">
        <v>0</v>
      </c>
      <c r="B118" s="279" t="e">
        <f t="shared" si="4"/>
        <v>#REF!</v>
      </c>
      <c r="C118" s="228" t="s">
        <v>175</v>
      </c>
      <c r="D118" s="374">
        <f>IF(A35=TRUE,1,2)</f>
        <v>2</v>
      </c>
      <c r="F118" s="335">
        <f t="shared" si="5"/>
        <v>3</v>
      </c>
      <c r="G118" s="377">
        <v>14</v>
      </c>
      <c r="H118" s="354">
        <f>'Auto-Calibration record'!$D$65</f>
        <v>1020</v>
      </c>
      <c r="I118" s="355"/>
      <c r="J118" s="356"/>
      <c r="K118" s="204"/>
      <c r="L118" s="204"/>
      <c r="M118" s="204"/>
      <c r="N118" s="204"/>
      <c r="P118" s="209"/>
      <c r="Z118" s="266"/>
      <c r="AA118" s="266"/>
      <c r="AB118" s="266"/>
    </row>
    <row r="119" spans="1:28" s="213" customFormat="1" ht="14.25" x14ac:dyDescent="0.35">
      <c r="A119" s="219" t="b">
        <v>0</v>
      </c>
      <c r="B119" s="279" t="e">
        <f t="shared" si="4"/>
        <v>#REF!</v>
      </c>
      <c r="C119" s="228" t="s">
        <v>176</v>
      </c>
      <c r="D119" s="338">
        <f>D5</f>
        <v>63010062</v>
      </c>
      <c r="F119" s="335">
        <f t="shared" si="5"/>
        <v>4</v>
      </c>
      <c r="G119" s="377">
        <v>21</v>
      </c>
      <c r="H119" s="354">
        <f>'Auto-Calibration record'!$E$65</f>
        <v>2204</v>
      </c>
      <c r="I119" s="355"/>
      <c r="J119" s="356"/>
      <c r="K119" s="204"/>
      <c r="L119" s="204"/>
      <c r="M119" s="204"/>
      <c r="N119" s="204"/>
      <c r="P119" s="209"/>
      <c r="Z119" s="266"/>
      <c r="AA119" s="266"/>
      <c r="AB119" s="266"/>
    </row>
    <row r="120" spans="1:28" s="213" customFormat="1" ht="14.25" x14ac:dyDescent="0.35">
      <c r="A120" s="219" t="b">
        <v>0</v>
      </c>
      <c r="B120" s="279" t="e">
        <f t="shared" si="4"/>
        <v>#REF!</v>
      </c>
      <c r="C120" s="228" t="s">
        <v>177</v>
      </c>
      <c r="D120" s="340">
        <f>D48</f>
        <v>0</v>
      </c>
      <c r="F120" s="335">
        <f t="shared" si="5"/>
        <v>5</v>
      </c>
      <c r="G120" s="377">
        <v>25</v>
      </c>
      <c r="H120" s="354">
        <f>'Auto-Calibration record'!$F$65</f>
        <v>3244</v>
      </c>
      <c r="I120" s="355"/>
      <c r="J120" s="356"/>
      <c r="K120" s="204"/>
      <c r="L120" s="204"/>
      <c r="M120" s="204"/>
      <c r="N120" s="204"/>
      <c r="P120" s="209"/>
      <c r="Z120" s="266"/>
      <c r="AA120" s="266"/>
      <c r="AB120" s="266"/>
    </row>
    <row r="121" spans="1:28" s="213" customFormat="1" ht="14.25" x14ac:dyDescent="0.35">
      <c r="A121" s="219" t="b">
        <v>0</v>
      </c>
      <c r="B121" s="279" t="e">
        <f t="shared" si="4"/>
        <v>#REF!</v>
      </c>
      <c r="C121" s="228" t="s">
        <v>178</v>
      </c>
      <c r="D121" s="339">
        <f>D107+365</f>
        <v>365</v>
      </c>
      <c r="F121" s="335">
        <f>F120+1</f>
        <v>6</v>
      </c>
      <c r="G121" s="377">
        <v>38</v>
      </c>
      <c r="H121" s="354">
        <f>'Auto-Calibration record'!$G$65</f>
        <v>11420</v>
      </c>
      <c r="I121" s="355"/>
      <c r="J121" s="356"/>
      <c r="K121" s="204"/>
      <c r="L121" s="204"/>
      <c r="M121" s="204"/>
      <c r="N121" s="204"/>
      <c r="P121" s="209"/>
      <c r="Z121" s="266"/>
      <c r="AA121" s="266"/>
      <c r="AB121" s="266"/>
    </row>
    <row r="122" spans="1:28" s="213" customFormat="1" ht="14.25" x14ac:dyDescent="0.35">
      <c r="A122" s="219" t="b">
        <v>0</v>
      </c>
      <c r="B122" s="279" t="e">
        <f t="shared" si="4"/>
        <v>#REF!</v>
      </c>
      <c r="C122" s="228" t="s">
        <v>179</v>
      </c>
      <c r="D122" s="270"/>
      <c r="F122" s="335">
        <f>F121+1</f>
        <v>7</v>
      </c>
      <c r="G122" s="377">
        <v>50</v>
      </c>
      <c r="H122" s="354">
        <f>'Auto-Calibration record'!$H$65</f>
        <v>18008</v>
      </c>
      <c r="I122" s="355"/>
      <c r="J122" s="356"/>
      <c r="K122" s="204"/>
      <c r="L122" s="204"/>
      <c r="M122" s="204"/>
      <c r="P122" s="209"/>
      <c r="Z122" s="266"/>
      <c r="AA122" s="266"/>
      <c r="AB122" s="266"/>
    </row>
    <row r="123" spans="1:28" s="213" customFormat="1" ht="14.25" x14ac:dyDescent="0.35">
      <c r="A123" s="219" t="b">
        <v>0</v>
      </c>
      <c r="B123" s="279" t="e">
        <f t="shared" si="4"/>
        <v>#REF!</v>
      </c>
      <c r="C123" s="228" t="s">
        <v>180</v>
      </c>
      <c r="D123" s="270">
        <f>D43</f>
        <v>0</v>
      </c>
      <c r="E123" s="204"/>
      <c r="F123" s="335">
        <f>F122+1</f>
        <v>8</v>
      </c>
      <c r="G123" s="377">
        <v>70</v>
      </c>
      <c r="H123" s="354">
        <f>'Auto-Calibration record'!$I$65</f>
        <v>30374</v>
      </c>
      <c r="I123" s="238"/>
      <c r="J123" s="238"/>
      <c r="K123" s="238"/>
      <c r="L123" s="238"/>
      <c r="M123" s="238"/>
      <c r="N123" s="238"/>
      <c r="O123" s="238"/>
      <c r="P123" s="238"/>
      <c r="Q123" s="238"/>
      <c r="R123" s="211"/>
    </row>
    <row r="124" spans="1:28" s="213" customFormat="1" ht="14.25" x14ac:dyDescent="0.35">
      <c r="A124" s="219" t="b">
        <v>0</v>
      </c>
      <c r="B124" s="279" t="e">
        <f>B157+1</f>
        <v>#REF!</v>
      </c>
      <c r="C124" s="228" t="s">
        <v>181</v>
      </c>
      <c r="D124" s="270">
        <f>D52</f>
        <v>0</v>
      </c>
      <c r="E124" s="204"/>
      <c r="I124" s="204"/>
      <c r="J124" s="204"/>
      <c r="K124" s="204"/>
      <c r="L124" s="204"/>
      <c r="M124" s="204"/>
      <c r="N124" s="204"/>
      <c r="P124" s="209"/>
      <c r="Q124" s="211" t="str">
        <f>IF(A124= TRUE,"Cycle counter tested PASS","Cycle counter found to be faulty and repaired")</f>
        <v>Cycle counter found to be faulty and repaired</v>
      </c>
    </row>
    <row r="125" spans="1:28" s="213" customFormat="1" ht="14.25" x14ac:dyDescent="0.35">
      <c r="A125" s="219"/>
      <c r="B125" s="279" t="e">
        <f t="shared" si="4"/>
        <v>#REF!</v>
      </c>
      <c r="C125" s="228" t="s">
        <v>182</v>
      </c>
      <c r="D125" s="270"/>
      <c r="E125" s="204"/>
      <c r="I125" s="204"/>
      <c r="J125" s="204"/>
      <c r="K125" s="204"/>
      <c r="L125" s="204"/>
      <c r="M125" s="204"/>
      <c r="N125" s="204"/>
      <c r="O125" s="211"/>
      <c r="P125" s="209"/>
    </row>
    <row r="126" spans="1:28" s="213" customFormat="1" ht="14.25" x14ac:dyDescent="0.35">
      <c r="A126" s="219"/>
      <c r="B126" s="279" t="e">
        <f t="shared" si="4"/>
        <v>#REF!</v>
      </c>
      <c r="C126" s="228" t="s">
        <v>183</v>
      </c>
      <c r="D126" s="270"/>
      <c r="E126" s="204"/>
      <c r="I126" s="204"/>
      <c r="J126" s="204"/>
      <c r="K126" s="204"/>
      <c r="L126" s="204"/>
      <c r="M126" s="204"/>
      <c r="N126" s="204"/>
      <c r="O126" s="211"/>
      <c r="P126" s="209"/>
    </row>
    <row r="127" spans="1:28" s="213" customFormat="1" ht="14.25" x14ac:dyDescent="0.35">
      <c r="A127" s="219"/>
      <c r="B127" s="279" t="e">
        <f t="shared" si="4"/>
        <v>#REF!</v>
      </c>
      <c r="C127" s="228" t="s">
        <v>184</v>
      </c>
      <c r="D127" s="274"/>
      <c r="E127" s="204"/>
      <c r="I127" s="204"/>
      <c r="J127" s="204"/>
      <c r="K127" s="204"/>
      <c r="L127" s="204"/>
      <c r="M127" s="204"/>
      <c r="N127" s="204"/>
      <c r="O127" s="211"/>
      <c r="P127" s="209"/>
    </row>
    <row r="128" spans="1:28" s="213" customFormat="1" ht="13.9" customHeight="1" x14ac:dyDescent="0.35">
      <c r="A128" s="219" t="b">
        <v>0</v>
      </c>
      <c r="B128" s="279" t="e">
        <f t="shared" si="4"/>
        <v>#REF!</v>
      </c>
      <c r="C128" s="228" t="s">
        <v>185</v>
      </c>
      <c r="D128" s="270"/>
      <c r="E128" s="204"/>
      <c r="I128" s="204"/>
      <c r="J128" s="204"/>
      <c r="K128" s="204"/>
      <c r="L128" s="204"/>
      <c r="M128" s="204"/>
      <c r="N128" s="204"/>
      <c r="O128" s="211"/>
      <c r="P128" s="209"/>
    </row>
    <row r="129" spans="1:17" s="213" customFormat="1" ht="14.25" x14ac:dyDescent="0.35">
      <c r="A129" s="219" t="b">
        <v>0</v>
      </c>
      <c r="B129" s="279" t="e">
        <f t="shared" si="4"/>
        <v>#REF!</v>
      </c>
      <c r="C129" s="228" t="s">
        <v>693</v>
      </c>
      <c r="D129" s="270"/>
      <c r="E129" s="204"/>
      <c r="I129" s="204"/>
      <c r="J129" s="204"/>
      <c r="K129" s="204"/>
      <c r="L129" s="204"/>
      <c r="M129" s="204"/>
      <c r="N129" s="204"/>
      <c r="O129" s="211"/>
      <c r="P129" s="209"/>
    </row>
    <row r="130" spans="1:17" s="213" customFormat="1" ht="14.25" x14ac:dyDescent="0.35">
      <c r="A130" s="219" t="b">
        <v>0</v>
      </c>
      <c r="B130" s="279" t="e">
        <f>#REF!+1</f>
        <v>#REF!</v>
      </c>
      <c r="C130" s="228" t="s">
        <v>694</v>
      </c>
      <c r="D130" s="270"/>
      <c r="E130" s="204"/>
      <c r="I130" s="204"/>
      <c r="J130" s="204"/>
      <c r="K130" s="204"/>
      <c r="L130" s="204"/>
      <c r="M130" s="204"/>
      <c r="N130" s="204"/>
      <c r="O130" s="211"/>
      <c r="P130" s="209"/>
      <c r="Q130" s="211" t="str">
        <f>IF(A130= TRUE,"Battery parameters reset for full discharge and charge","")</f>
        <v/>
      </c>
    </row>
    <row r="131" spans="1:17" s="213" customFormat="1" ht="14.25" x14ac:dyDescent="0.35">
      <c r="A131" s="219"/>
      <c r="B131" s="279"/>
      <c r="C131" s="228" t="s">
        <v>695</v>
      </c>
      <c r="D131" s="270"/>
      <c r="E131" s="204"/>
      <c r="I131" s="204"/>
      <c r="J131" s="204"/>
      <c r="K131" s="204"/>
      <c r="L131" s="204"/>
      <c r="M131" s="204"/>
      <c r="N131" s="204"/>
      <c r="O131" s="211"/>
      <c r="P131" s="209"/>
      <c r="Q131" s="211"/>
    </row>
    <row r="132" spans="1:17" s="213" customFormat="1" ht="14.25" x14ac:dyDescent="0.35">
      <c r="A132" s="219" t="b">
        <v>0</v>
      </c>
      <c r="B132" s="279" t="e">
        <f>B130+1</f>
        <v>#REF!</v>
      </c>
      <c r="C132" s="228" t="s">
        <v>186</v>
      </c>
      <c r="D132" s="270"/>
      <c r="E132" s="204"/>
      <c r="I132" s="204"/>
      <c r="J132" s="204"/>
      <c r="K132" s="204"/>
      <c r="L132" s="204"/>
      <c r="M132" s="204"/>
      <c r="N132" s="204"/>
      <c r="O132" s="211"/>
      <c r="P132" s="209"/>
    </row>
    <row r="133" spans="1:17" s="213" customFormat="1" ht="14.25" x14ac:dyDescent="0.35">
      <c r="A133" s="219" t="b">
        <v>0</v>
      </c>
      <c r="B133" s="279"/>
      <c r="C133" s="432" t="s">
        <v>187</v>
      </c>
      <c r="D133" s="432"/>
      <c r="F133" s="204"/>
      <c r="H133" s="204"/>
      <c r="J133" s="204"/>
      <c r="K133" s="204"/>
      <c r="L133" s="204"/>
      <c r="M133" s="204"/>
      <c r="N133" s="204"/>
      <c r="O133" s="211"/>
      <c r="P133" s="209"/>
    </row>
    <row r="134" spans="1:17" s="213" customFormat="1" ht="14.25" x14ac:dyDescent="0.35">
      <c r="A134" s="219" t="b">
        <v>0</v>
      </c>
      <c r="B134" s="279" t="e">
        <f>B132+1</f>
        <v>#REF!</v>
      </c>
      <c r="C134" s="228" t="s">
        <v>188</v>
      </c>
      <c r="D134" s="270"/>
      <c r="F134" s="204"/>
      <c r="H134" s="204"/>
      <c r="J134" s="204"/>
      <c r="K134" s="204"/>
      <c r="L134" s="204"/>
      <c r="M134" s="204"/>
      <c r="N134" s="204"/>
      <c r="O134" s="211"/>
      <c r="P134" s="209"/>
    </row>
    <row r="135" spans="1:17" s="213" customFormat="1" ht="14.25" x14ac:dyDescent="0.35">
      <c r="A135" s="219" t="b">
        <v>0</v>
      </c>
      <c r="B135" s="279" t="e">
        <f t="shared" ref="B135:B154" si="6">B134+1</f>
        <v>#REF!</v>
      </c>
      <c r="C135" s="228" t="s">
        <v>189</v>
      </c>
      <c r="D135" s="270" t="str">
        <f>D54</f>
        <v>-</v>
      </c>
      <c r="F135" s="204"/>
      <c r="H135" s="204"/>
      <c r="J135" s="204"/>
      <c r="K135" s="204"/>
      <c r="L135" s="204"/>
      <c r="M135" s="204"/>
      <c r="N135" s="204"/>
      <c r="O135" s="211"/>
      <c r="P135" s="209"/>
    </row>
    <row r="136" spans="1:17" s="213" customFormat="1" ht="14.25" x14ac:dyDescent="0.35">
      <c r="A136" s="219" t="b">
        <v>0</v>
      </c>
      <c r="B136" s="279" t="e">
        <f t="shared" si="6"/>
        <v>#REF!</v>
      </c>
      <c r="C136" s="228" t="s">
        <v>190</v>
      </c>
      <c r="D136" s="340"/>
      <c r="F136" s="204"/>
      <c r="H136" s="204"/>
      <c r="J136" s="204"/>
      <c r="K136" s="204"/>
      <c r="L136" s="204"/>
      <c r="M136" s="204"/>
      <c r="N136" s="204"/>
      <c r="O136" s="211"/>
      <c r="P136" s="209"/>
    </row>
    <row r="137" spans="1:17" s="213" customFormat="1" ht="14.25" x14ac:dyDescent="0.35">
      <c r="A137" s="219" t="b">
        <v>0</v>
      </c>
      <c r="B137" s="279" t="e">
        <f t="shared" si="6"/>
        <v>#REF!</v>
      </c>
      <c r="C137" s="228" t="s">
        <v>191</v>
      </c>
      <c r="D137" s="374">
        <f>IF(A56=TRUE,1,2)</f>
        <v>2</v>
      </c>
      <c r="F137" s="204"/>
      <c r="H137" s="204"/>
      <c r="J137" s="204"/>
      <c r="K137" s="204"/>
      <c r="L137" s="204"/>
      <c r="M137" s="204"/>
      <c r="N137" s="204"/>
      <c r="O137" s="211"/>
      <c r="P137" s="209"/>
    </row>
    <row r="138" spans="1:17" s="213" customFormat="1" ht="14.25" x14ac:dyDescent="0.35">
      <c r="A138" s="219" t="b">
        <v>0</v>
      </c>
      <c r="B138" s="279" t="e">
        <f t="shared" si="6"/>
        <v>#REF!</v>
      </c>
      <c r="C138" s="228" t="s">
        <v>192</v>
      </c>
      <c r="D138" s="374">
        <f>IF(A57=TRUE,1,2)</f>
        <v>2</v>
      </c>
      <c r="F138" s="204"/>
      <c r="H138" s="204"/>
      <c r="J138" s="204"/>
      <c r="K138" s="204"/>
      <c r="L138" s="204"/>
      <c r="M138" s="204"/>
      <c r="N138" s="204"/>
      <c r="O138" s="211"/>
      <c r="P138" s="209"/>
    </row>
    <row r="139" spans="1:17" s="213" customFormat="1" ht="14.25" x14ac:dyDescent="0.35">
      <c r="A139" s="219" t="b">
        <v>0</v>
      </c>
      <c r="B139" s="279" t="e">
        <f t="shared" si="6"/>
        <v>#REF!</v>
      </c>
      <c r="C139" s="228" t="s">
        <v>193</v>
      </c>
      <c r="D139" s="270"/>
      <c r="F139" s="204"/>
      <c r="H139" s="204"/>
      <c r="J139" s="204"/>
      <c r="K139" s="204"/>
      <c r="L139" s="204"/>
      <c r="M139" s="204"/>
      <c r="N139" s="204"/>
      <c r="O139" s="211"/>
      <c r="P139" s="209"/>
    </row>
    <row r="140" spans="1:17" s="213" customFormat="1" ht="14.25" x14ac:dyDescent="0.35">
      <c r="A140" s="219" t="b">
        <v>0</v>
      </c>
      <c r="B140" s="279" t="e">
        <f t="shared" si="6"/>
        <v>#REF!</v>
      </c>
      <c r="C140" s="246" t="s">
        <v>194</v>
      </c>
      <c r="D140" s="374">
        <f>IF(A60=TRUE,1,2)</f>
        <v>2</v>
      </c>
      <c r="F140" s="204"/>
      <c r="H140" s="204"/>
      <c r="J140" s="204"/>
      <c r="K140" s="204"/>
      <c r="L140" s="204"/>
      <c r="M140" s="204"/>
      <c r="N140" s="204"/>
      <c r="O140" s="211"/>
      <c r="P140" s="209"/>
    </row>
    <row r="141" spans="1:17" s="213" customFormat="1" ht="14.25" x14ac:dyDescent="0.35">
      <c r="A141" s="219" t="b">
        <v>0</v>
      </c>
      <c r="B141" s="279" t="e">
        <f t="shared" si="6"/>
        <v>#REF!</v>
      </c>
      <c r="C141" s="228" t="s">
        <v>195</v>
      </c>
      <c r="D141" s="270"/>
      <c r="F141" s="204"/>
      <c r="H141" s="204"/>
      <c r="J141" s="204"/>
      <c r="K141" s="204"/>
      <c r="L141" s="204"/>
      <c r="M141" s="204"/>
      <c r="N141" s="204"/>
      <c r="O141" s="211"/>
      <c r="P141" s="209"/>
    </row>
    <row r="142" spans="1:17" s="213" customFormat="1" ht="14.25" x14ac:dyDescent="0.35">
      <c r="A142" s="219" t="b">
        <v>0</v>
      </c>
      <c r="B142" s="279" t="e">
        <f t="shared" si="6"/>
        <v>#REF!</v>
      </c>
      <c r="C142" s="228" t="s">
        <v>696</v>
      </c>
      <c r="D142" s="270">
        <f>D63</f>
        <v>0</v>
      </c>
      <c r="F142" s="204"/>
      <c r="H142" s="204"/>
      <c r="J142" s="204"/>
      <c r="K142" s="204"/>
      <c r="L142" s="204"/>
      <c r="M142" s="204"/>
      <c r="N142" s="204"/>
      <c r="O142" s="211"/>
      <c r="P142" s="209"/>
    </row>
    <row r="143" spans="1:17" s="213" customFormat="1" ht="14.25" x14ac:dyDescent="0.35">
      <c r="A143" s="219" t="b">
        <v>0</v>
      </c>
      <c r="B143" s="279" t="e">
        <f>#REF!+1</f>
        <v>#REF!</v>
      </c>
      <c r="C143" s="228" t="s">
        <v>196</v>
      </c>
      <c r="D143" s="270">
        <f>D65</f>
        <v>0</v>
      </c>
      <c r="F143" s="204"/>
      <c r="H143" s="204"/>
      <c r="J143" s="204"/>
      <c r="K143" s="204"/>
      <c r="L143" s="204"/>
      <c r="M143" s="204"/>
      <c r="N143" s="204"/>
      <c r="O143" s="211"/>
      <c r="P143" s="209"/>
    </row>
    <row r="144" spans="1:17" s="213" customFormat="1" ht="14.25" x14ac:dyDescent="0.35">
      <c r="A144" s="219" t="b">
        <v>0</v>
      </c>
      <c r="B144" s="279" t="e">
        <f t="shared" si="6"/>
        <v>#REF!</v>
      </c>
      <c r="C144" s="228" t="s">
        <v>197</v>
      </c>
      <c r="D144" s="270">
        <f>D66</f>
        <v>0</v>
      </c>
      <c r="F144" s="204"/>
      <c r="H144" s="204"/>
      <c r="J144" s="204"/>
      <c r="K144" s="204"/>
      <c r="L144" s="204"/>
      <c r="M144" s="204"/>
      <c r="N144" s="204"/>
      <c r="O144" s="211"/>
      <c r="P144" s="209"/>
    </row>
    <row r="145" spans="1:17" s="213" customFormat="1" ht="14.25" x14ac:dyDescent="0.35">
      <c r="A145" s="219" t="b">
        <v>0</v>
      </c>
      <c r="B145" s="279" t="e">
        <f t="shared" si="6"/>
        <v>#REF!</v>
      </c>
      <c r="C145" s="228" t="s">
        <v>198</v>
      </c>
      <c r="D145" s="374">
        <f>IF(A68=TRUE,1,2)</f>
        <v>2</v>
      </c>
      <c r="F145" s="204"/>
      <c r="H145" s="204"/>
      <c r="J145" s="204"/>
      <c r="K145" s="204"/>
      <c r="L145" s="204"/>
      <c r="M145" s="204"/>
      <c r="N145" s="204"/>
      <c r="O145" s="211"/>
      <c r="P145" s="209"/>
    </row>
    <row r="146" spans="1:17" s="213" customFormat="1" ht="14.25" x14ac:dyDescent="0.35">
      <c r="A146" s="219" t="b">
        <v>0</v>
      </c>
      <c r="B146" s="279" t="e">
        <f t="shared" si="6"/>
        <v>#REF!</v>
      </c>
      <c r="C146" s="228" t="s">
        <v>697</v>
      </c>
      <c r="D146" s="270"/>
      <c r="F146" s="204"/>
      <c r="H146" s="204"/>
      <c r="J146" s="204"/>
      <c r="K146" s="204"/>
      <c r="L146" s="204"/>
      <c r="M146" s="204"/>
      <c r="N146" s="204"/>
      <c r="O146" s="211"/>
      <c r="P146" s="209"/>
    </row>
    <row r="147" spans="1:17" s="213" customFormat="1" ht="14.25" x14ac:dyDescent="0.35">
      <c r="A147" s="219" t="b">
        <v>0</v>
      </c>
      <c r="B147" s="279" t="e">
        <f t="shared" si="6"/>
        <v>#REF!</v>
      </c>
      <c r="C147" s="228" t="s">
        <v>199</v>
      </c>
      <c r="D147" s="270"/>
      <c r="F147" s="204"/>
      <c r="H147" s="204"/>
      <c r="J147" s="204"/>
      <c r="K147" s="204"/>
      <c r="L147" s="204"/>
      <c r="M147" s="204"/>
      <c r="N147" s="204"/>
      <c r="O147" s="211"/>
      <c r="P147" s="209"/>
    </row>
    <row r="148" spans="1:17" s="213" customFormat="1" ht="14.25" x14ac:dyDescent="0.35">
      <c r="A148" s="219" t="b">
        <v>0</v>
      </c>
      <c r="B148" s="279" t="e">
        <f t="shared" si="6"/>
        <v>#REF!</v>
      </c>
      <c r="C148" s="228" t="s">
        <v>200</v>
      </c>
      <c r="D148" s="270"/>
      <c r="F148" s="204"/>
      <c r="H148" s="204"/>
      <c r="J148" s="204"/>
      <c r="K148" s="204"/>
      <c r="L148" s="204"/>
      <c r="M148" s="204"/>
      <c r="N148" s="204"/>
      <c r="O148" s="211"/>
      <c r="P148" s="209"/>
      <c r="Q148" s="211" t="str">
        <f>IF(A148=TRUE,"Final check test pass, no issues with testing cycle or RH sensor (if fitted)","")</f>
        <v/>
      </c>
    </row>
    <row r="149" spans="1:17" s="213" customFormat="1" ht="14.25" x14ac:dyDescent="0.35">
      <c r="A149" s="219" t="b">
        <v>1</v>
      </c>
      <c r="B149" s="279" t="e">
        <f t="shared" si="6"/>
        <v>#REF!</v>
      </c>
      <c r="C149" s="228" t="s">
        <v>201</v>
      </c>
      <c r="D149" s="274"/>
      <c r="F149" s="204"/>
      <c r="H149" s="204"/>
      <c r="J149" s="204"/>
      <c r="K149" s="204"/>
      <c r="L149" s="204"/>
      <c r="M149" s="204"/>
      <c r="N149" s="204"/>
      <c r="P149" s="209"/>
    </row>
    <row r="150" spans="1:17" s="213" customFormat="1" ht="14.25" x14ac:dyDescent="0.35">
      <c r="A150" s="219" t="b">
        <v>0</v>
      </c>
      <c r="B150" s="279" t="e">
        <f t="shared" si="6"/>
        <v>#REF!</v>
      </c>
      <c r="C150" s="228" t="s">
        <v>202</v>
      </c>
      <c r="D150" s="274"/>
      <c r="F150" s="204"/>
      <c r="H150" s="204"/>
      <c r="J150" s="204"/>
      <c r="K150" s="204"/>
      <c r="L150" s="204"/>
      <c r="M150" s="204"/>
      <c r="N150" s="204"/>
      <c r="O150" s="211" t="str">
        <f>IF(A150=TRUE,"Temperature sensor final test PASS","")</f>
        <v/>
      </c>
      <c r="P150" s="209"/>
    </row>
    <row r="151" spans="1:17" s="213" customFormat="1" ht="14.25" x14ac:dyDescent="0.35">
      <c r="A151" s="219" t="b">
        <v>0</v>
      </c>
      <c r="B151" s="279" t="e">
        <f t="shared" si="6"/>
        <v>#REF!</v>
      </c>
      <c r="C151" s="228" t="s">
        <v>203</v>
      </c>
      <c r="D151" s="374">
        <f>IF(A69=TRUE,1,2)</f>
        <v>2</v>
      </c>
      <c r="E151" s="204"/>
      <c r="I151" s="204"/>
      <c r="J151" s="204"/>
      <c r="K151" s="204"/>
      <c r="L151" s="204"/>
      <c r="M151" s="204"/>
      <c r="N151" s="204"/>
      <c r="O151" s="211"/>
      <c r="P151" s="209"/>
    </row>
    <row r="152" spans="1:17" s="213" customFormat="1" ht="14.25" x14ac:dyDescent="0.35">
      <c r="A152" s="219" t="b">
        <v>0</v>
      </c>
      <c r="B152" s="279" t="e">
        <f t="shared" si="6"/>
        <v>#REF!</v>
      </c>
      <c r="C152" s="228" t="s">
        <v>204</v>
      </c>
      <c r="D152" s="375" t="str">
        <f>D61</f>
        <v>-</v>
      </c>
      <c r="E152" s="204"/>
      <c r="I152" s="204"/>
      <c r="J152" s="204"/>
      <c r="K152" s="204"/>
      <c r="L152" s="204"/>
      <c r="M152" s="204"/>
      <c r="N152" s="204"/>
      <c r="O152" s="211"/>
      <c r="P152" s="209"/>
    </row>
    <row r="153" spans="1:17" s="213" customFormat="1" ht="14.25" x14ac:dyDescent="0.35">
      <c r="A153" s="219" t="b">
        <v>0</v>
      </c>
      <c r="B153" s="279" t="e">
        <f t="shared" si="6"/>
        <v>#REF!</v>
      </c>
      <c r="C153" s="228" t="s">
        <v>205</v>
      </c>
      <c r="D153" s="374">
        <f>IF(A58=TRUE,1,2)</f>
        <v>2</v>
      </c>
      <c r="F153" s="204"/>
      <c r="H153" s="204"/>
      <c r="J153" s="204"/>
      <c r="K153" s="204"/>
      <c r="L153" s="204"/>
      <c r="M153" s="204"/>
      <c r="N153" s="204"/>
      <c r="O153" s="211"/>
      <c r="P153" s="209"/>
    </row>
    <row r="154" spans="1:17" s="213" customFormat="1" ht="14.25" x14ac:dyDescent="0.35">
      <c r="A154" s="219" t="b">
        <v>0</v>
      </c>
      <c r="B154" s="279" t="e">
        <f t="shared" si="6"/>
        <v>#REF!</v>
      </c>
      <c r="C154" s="228" t="s">
        <v>206</v>
      </c>
      <c r="D154" s="374">
        <f>IF(A46=TRUE,1,2)</f>
        <v>2</v>
      </c>
      <c r="F154" s="204"/>
      <c r="H154" s="204"/>
      <c r="J154" s="204"/>
      <c r="K154" s="204"/>
      <c r="L154" s="204"/>
      <c r="M154" s="204"/>
      <c r="N154" s="204"/>
      <c r="O154" s="209"/>
      <c r="P154" s="209"/>
      <c r="Q154" s="211" t="str">
        <f>IF(A154= TRUE,"Simulated test option set to received","")</f>
        <v/>
      </c>
    </row>
    <row r="155" spans="1:17" s="213" customFormat="1" ht="14.25" x14ac:dyDescent="0.35">
      <c r="A155" s="219" t="b">
        <v>0</v>
      </c>
      <c r="B155" s="279"/>
      <c r="C155" s="432" t="s">
        <v>207</v>
      </c>
      <c r="D155" s="432"/>
      <c r="F155" s="204"/>
      <c r="H155" s="204"/>
      <c r="J155" s="204"/>
      <c r="K155" s="204"/>
      <c r="L155" s="204"/>
      <c r="M155" s="204"/>
      <c r="N155" s="204"/>
      <c r="O155" s="211"/>
      <c r="P155" s="209"/>
    </row>
    <row r="156" spans="1:17" s="213" customFormat="1" ht="14.25" x14ac:dyDescent="0.35">
      <c r="A156" s="219" t="b">
        <v>0</v>
      </c>
      <c r="B156" s="279" t="e">
        <f>#REF!+1</f>
        <v>#REF!</v>
      </c>
      <c r="C156" s="228" t="s">
        <v>208</v>
      </c>
      <c r="D156" s="270"/>
      <c r="F156" s="204"/>
      <c r="H156" s="204"/>
      <c r="J156" s="204"/>
      <c r="K156" s="204"/>
      <c r="L156" s="204"/>
      <c r="M156" s="204"/>
      <c r="N156" s="204"/>
      <c r="O156" s="211"/>
      <c r="P156" s="209"/>
    </row>
    <row r="157" spans="1:17" s="213" customFormat="1" ht="14.25" x14ac:dyDescent="0.35">
      <c r="A157" s="219" t="b">
        <v>0</v>
      </c>
      <c r="B157" s="279" t="e">
        <f>#REF!+1</f>
        <v>#REF!</v>
      </c>
      <c r="C157" s="228" t="s">
        <v>209</v>
      </c>
      <c r="D157" s="270" t="str">
        <f>D49</f>
        <v>-</v>
      </c>
      <c r="E157" s="204"/>
      <c r="I157" s="204"/>
      <c r="J157" s="204"/>
      <c r="K157" s="204"/>
      <c r="L157" s="204"/>
      <c r="M157" s="204"/>
      <c r="N157" s="204"/>
      <c r="P157" s="209"/>
      <c r="Q157" s="211" t="str">
        <f>IF(A157=TRUE,"Language set to when received","LANGUAGE NOT CORRECT")</f>
        <v>LANGUAGE NOT CORRECT</v>
      </c>
    </row>
    <row r="158" spans="1:17" s="213" customFormat="1" ht="14.25" x14ac:dyDescent="0.35">
      <c r="A158" s="219" t="b">
        <v>0</v>
      </c>
      <c r="B158" s="279" t="e">
        <f>B156+1</f>
        <v>#REF!</v>
      </c>
      <c r="C158" s="228" t="s">
        <v>210</v>
      </c>
      <c r="D158" s="270"/>
      <c r="F158" s="204"/>
      <c r="H158" s="204"/>
      <c r="J158" s="204"/>
      <c r="K158" s="204"/>
      <c r="L158" s="204"/>
      <c r="M158" s="204"/>
      <c r="N158" s="204"/>
      <c r="O158" s="211"/>
      <c r="P158" s="209"/>
    </row>
    <row r="159" spans="1:17" s="213" customFormat="1" ht="14.25" x14ac:dyDescent="0.35">
      <c r="A159" s="219" t="b">
        <v>0</v>
      </c>
      <c r="B159" s="279" t="e">
        <f t="shared" ref="B159:B177" si="7">B158+1</f>
        <v>#REF!</v>
      </c>
      <c r="C159" s="228" t="s">
        <v>211</v>
      </c>
      <c r="D159" s="270"/>
      <c r="F159" s="204"/>
      <c r="H159" s="204"/>
      <c r="J159" s="204"/>
      <c r="K159" s="204"/>
      <c r="L159" s="204"/>
      <c r="M159" s="204"/>
      <c r="N159" s="204"/>
      <c r="O159" s="211"/>
      <c r="P159" s="209"/>
    </row>
    <row r="160" spans="1:17" s="213" customFormat="1" ht="14.25" x14ac:dyDescent="0.35">
      <c r="A160" s="219" t="b">
        <v>0</v>
      </c>
      <c r="B160" s="279" t="e">
        <f t="shared" si="7"/>
        <v>#REF!</v>
      </c>
      <c r="C160" s="228" t="s">
        <v>212</v>
      </c>
      <c r="D160" s="376"/>
      <c r="F160" s="204"/>
      <c r="H160" s="204"/>
      <c r="J160" s="204"/>
      <c r="K160" s="204"/>
      <c r="L160" s="204"/>
      <c r="M160" s="204"/>
      <c r="N160" s="204"/>
      <c r="O160" s="209"/>
      <c r="P160" s="209"/>
    </row>
    <row r="161" spans="1:73" s="213" customFormat="1" ht="14.25" x14ac:dyDescent="0.35">
      <c r="A161" s="219" t="b">
        <v>0</v>
      </c>
      <c r="B161" s="279"/>
      <c r="C161" s="432" t="s">
        <v>213</v>
      </c>
      <c r="D161" s="432"/>
      <c r="F161" s="204"/>
      <c r="H161" s="204"/>
      <c r="J161" s="204"/>
      <c r="K161" s="204"/>
      <c r="L161" s="204"/>
      <c r="M161" s="204"/>
      <c r="N161" s="204"/>
      <c r="O161" s="211"/>
      <c r="P161" s="209"/>
    </row>
    <row r="162" spans="1:73" s="213" customFormat="1" ht="14.25" x14ac:dyDescent="0.35">
      <c r="A162" s="219" t="b">
        <v>0</v>
      </c>
      <c r="B162" s="279" t="e">
        <f>B160+1</f>
        <v>#REF!</v>
      </c>
      <c r="C162" s="228" t="s">
        <v>214</v>
      </c>
      <c r="D162" s="270"/>
      <c r="F162" s="204"/>
      <c r="H162" s="204"/>
      <c r="J162" s="204"/>
      <c r="K162" s="204"/>
      <c r="L162" s="204"/>
      <c r="M162" s="204"/>
      <c r="N162" s="204"/>
      <c r="O162" s="211"/>
      <c r="P162" s="209"/>
      <c r="Q162" s="211" t="str">
        <f>IF(A162=TRUE,"Faceplate screws fitted and bracket checked","")</f>
        <v/>
      </c>
    </row>
    <row r="163" spans="1:73" s="213" customFormat="1" ht="14.25" x14ac:dyDescent="0.35">
      <c r="A163" s="219" t="b">
        <v>0</v>
      </c>
      <c r="B163" s="279" t="e">
        <f>B162+1</f>
        <v>#REF!</v>
      </c>
      <c r="C163" s="228" t="s">
        <v>215</v>
      </c>
      <c r="D163" s="229"/>
      <c r="E163" s="238"/>
      <c r="G163" s="231"/>
      <c r="H163" s="231"/>
      <c r="I163" s="231"/>
      <c r="J163" s="231"/>
      <c r="L163" s="220"/>
      <c r="M163" s="220"/>
      <c r="N163" s="220"/>
      <c r="O163" s="211"/>
      <c r="P163" s="209"/>
    </row>
    <row r="164" spans="1:73" s="213" customFormat="1" ht="14.25" x14ac:dyDescent="0.35">
      <c r="A164" s="219" t="b">
        <v>0</v>
      </c>
      <c r="B164" s="279" t="e">
        <f t="shared" si="7"/>
        <v>#REF!</v>
      </c>
      <c r="C164" s="228" t="s">
        <v>216</v>
      </c>
      <c r="D164" s="265"/>
      <c r="E164" s="238"/>
      <c r="G164" s="231"/>
      <c r="H164" s="231"/>
      <c r="I164" s="231"/>
      <c r="J164" s="231"/>
      <c r="L164" s="220"/>
      <c r="M164" s="220"/>
      <c r="N164" s="220"/>
      <c r="O164" s="211"/>
      <c r="P164" s="209"/>
    </row>
    <row r="165" spans="1:73" s="358" customFormat="1" ht="14.25" x14ac:dyDescent="0.35">
      <c r="A165" s="219" t="b">
        <v>0</v>
      </c>
      <c r="B165" s="279" t="e">
        <f t="shared" si="7"/>
        <v>#REF!</v>
      </c>
      <c r="C165" s="357" t="s">
        <v>217</v>
      </c>
      <c r="D165" s="265"/>
      <c r="E165" s="238"/>
      <c r="F165" s="213"/>
      <c r="G165" s="231"/>
      <c r="H165" s="231"/>
      <c r="I165" s="231"/>
      <c r="J165" s="231"/>
      <c r="K165" s="213"/>
      <c r="L165" s="220"/>
      <c r="M165" s="220"/>
      <c r="N165" s="220"/>
      <c r="O165" s="211"/>
      <c r="P165" s="209"/>
      <c r="Q165" s="213"/>
      <c r="R165" s="213"/>
      <c r="S165" s="213"/>
      <c r="T165" s="213"/>
      <c r="U165" s="213"/>
      <c r="V165" s="213"/>
      <c r="W165" s="213"/>
      <c r="X165" s="213"/>
      <c r="Y165" s="213"/>
      <c r="Z165" s="213"/>
      <c r="AA165" s="213"/>
      <c r="AB165" s="213"/>
      <c r="AC165" s="213"/>
      <c r="AD165" s="213"/>
      <c r="AE165" s="213"/>
      <c r="AF165" s="213"/>
      <c r="AG165" s="213"/>
      <c r="AH165" s="213"/>
      <c r="AI165" s="213"/>
      <c r="AJ165" s="213"/>
      <c r="AK165" s="213"/>
      <c r="AL165" s="213"/>
      <c r="AM165" s="213"/>
      <c r="AN165" s="213"/>
      <c r="AO165" s="213"/>
      <c r="AP165" s="213"/>
      <c r="AQ165" s="213"/>
      <c r="AR165" s="213"/>
      <c r="AS165" s="213"/>
      <c r="AT165" s="213"/>
      <c r="AU165" s="213"/>
      <c r="AV165" s="213"/>
      <c r="AW165" s="213"/>
      <c r="AX165" s="213"/>
      <c r="AY165" s="213"/>
      <c r="AZ165" s="213"/>
      <c r="BA165" s="213"/>
      <c r="BB165" s="213"/>
      <c r="BC165" s="213"/>
      <c r="BD165" s="213"/>
      <c r="BE165" s="213"/>
      <c r="BF165" s="213"/>
      <c r="BG165" s="213"/>
      <c r="BH165" s="213"/>
      <c r="BI165" s="213"/>
      <c r="BJ165" s="213"/>
      <c r="BK165" s="213"/>
      <c r="BL165" s="213"/>
      <c r="BM165" s="213"/>
      <c r="BN165" s="213"/>
      <c r="BO165" s="213"/>
      <c r="BP165" s="213"/>
      <c r="BQ165" s="213"/>
      <c r="BR165" s="213"/>
      <c r="BS165" s="213"/>
      <c r="BT165" s="213"/>
      <c r="BU165" s="213"/>
    </row>
    <row r="166" spans="1:73" s="358" customFormat="1" ht="14.25" x14ac:dyDescent="0.35">
      <c r="A166" s="219" t="b">
        <v>0</v>
      </c>
      <c r="B166" s="279" t="e">
        <f t="shared" si="7"/>
        <v>#REF!</v>
      </c>
      <c r="C166" s="359" t="s">
        <v>218</v>
      </c>
      <c r="D166" s="274" t="s">
        <v>23</v>
      </c>
      <c r="E166" s="246"/>
      <c r="F166" s="246"/>
      <c r="G166" s="246"/>
      <c r="H166" s="246"/>
      <c r="I166" s="246"/>
      <c r="J166" s="246"/>
      <c r="K166" s="246"/>
      <c r="L166" s="246"/>
      <c r="M166" s="246"/>
      <c r="N166" s="213"/>
      <c r="O166" s="211"/>
      <c r="P166" s="211"/>
      <c r="Q166" s="213"/>
      <c r="R166" s="213"/>
      <c r="S166" s="213"/>
      <c r="T166" s="213"/>
      <c r="U166" s="213"/>
      <c r="V166" s="213"/>
      <c r="W166" s="213"/>
      <c r="X166" s="213"/>
      <c r="Y166" s="213"/>
      <c r="Z166" s="213"/>
      <c r="AA166" s="213"/>
      <c r="AB166" s="213"/>
      <c r="AC166" s="213"/>
      <c r="AD166" s="213"/>
      <c r="AE166" s="213"/>
      <c r="AF166" s="213"/>
      <c r="AG166" s="213"/>
      <c r="AH166" s="213"/>
      <c r="AI166" s="213"/>
      <c r="AJ166" s="213"/>
      <c r="AK166" s="213"/>
      <c r="AL166" s="213"/>
      <c r="AM166" s="213"/>
      <c r="AN166" s="213"/>
      <c r="AO166" s="213"/>
      <c r="AP166" s="213"/>
      <c r="AQ166" s="213"/>
      <c r="AR166" s="213"/>
      <c r="AS166" s="213"/>
      <c r="AT166" s="213"/>
      <c r="AU166" s="213"/>
      <c r="AV166" s="213"/>
      <c r="AW166" s="213"/>
      <c r="AX166" s="213"/>
      <c r="AY166" s="213"/>
      <c r="AZ166" s="213"/>
      <c r="BA166" s="213"/>
      <c r="BB166" s="213"/>
      <c r="BC166" s="213"/>
      <c r="BD166" s="213"/>
      <c r="BE166" s="213"/>
      <c r="BF166" s="213"/>
      <c r="BG166" s="213"/>
      <c r="BH166" s="213"/>
      <c r="BI166" s="213"/>
      <c r="BJ166" s="213"/>
      <c r="BK166" s="213"/>
      <c r="BL166" s="213"/>
      <c r="BM166" s="213"/>
      <c r="BN166" s="213"/>
      <c r="BO166" s="213"/>
      <c r="BP166" s="213"/>
      <c r="BQ166" s="213"/>
      <c r="BR166" s="213"/>
      <c r="BS166" s="213"/>
      <c r="BT166" s="213"/>
      <c r="BU166" s="213"/>
    </row>
    <row r="167" spans="1:73" s="213" customFormat="1" ht="14.25" x14ac:dyDescent="0.35">
      <c r="A167" s="219" t="b">
        <v>0</v>
      </c>
      <c r="B167" s="279"/>
      <c r="C167" s="432" t="s">
        <v>219</v>
      </c>
      <c r="D167" s="466"/>
      <c r="F167" s="204"/>
      <c r="H167" s="204"/>
      <c r="J167" s="204"/>
      <c r="K167" s="204"/>
      <c r="L167" s="204"/>
      <c r="M167" s="204"/>
      <c r="N167" s="204"/>
      <c r="O167" s="211"/>
      <c r="P167" s="209"/>
    </row>
    <row r="168" spans="1:73" s="213" customFormat="1" ht="14.25" x14ac:dyDescent="0.35">
      <c r="A168" s="219" t="b">
        <v>1</v>
      </c>
      <c r="B168" s="279" t="e">
        <f>B166+1</f>
        <v>#REF!</v>
      </c>
      <c r="C168" s="228" t="s">
        <v>220</v>
      </c>
      <c r="D168" s="270"/>
      <c r="H168" s="204"/>
      <c r="J168" s="204"/>
      <c r="K168" s="204"/>
      <c r="L168" s="204"/>
      <c r="M168" s="204"/>
      <c r="N168" s="204"/>
      <c r="O168" s="211" t="str">
        <f>IF(A168=TRUE,"2 copies of calibration certificate included, one in unit one on outside of box","")</f>
        <v>2 copies of calibration certificate included, one in unit one on outside of box</v>
      </c>
      <c r="P168" s="209"/>
    </row>
    <row r="169" spans="1:73" s="213" customFormat="1" ht="14.25" x14ac:dyDescent="0.35">
      <c r="A169" s="219" t="b">
        <v>1</v>
      </c>
      <c r="B169" s="279" t="e">
        <f t="shared" si="7"/>
        <v>#REF!</v>
      </c>
      <c r="C169" s="228" t="s">
        <v>221</v>
      </c>
      <c r="D169" s="270"/>
      <c r="H169" s="204"/>
      <c r="J169" s="204"/>
      <c r="K169" s="204"/>
      <c r="L169" s="204"/>
      <c r="M169" s="204"/>
      <c r="N169" s="204"/>
      <c r="O169" s="211" t="str">
        <f>IF(A169=TRUE,"2 copies of service report included, one in unit one on outside of box","")</f>
        <v>2 copies of service report included, one in unit one on outside of box</v>
      </c>
      <c r="P169" s="209"/>
    </row>
    <row r="170" spans="1:73" s="213" customFormat="1" ht="14.25" x14ac:dyDescent="0.35">
      <c r="A170" s="219" t="b">
        <v>1</v>
      </c>
      <c r="B170" s="279" t="e">
        <f t="shared" si="7"/>
        <v>#REF!</v>
      </c>
      <c r="C170" s="228" t="s">
        <v>222</v>
      </c>
      <c r="D170" s="270"/>
      <c r="F170" s="204"/>
      <c r="H170" s="204"/>
      <c r="J170" s="204"/>
      <c r="K170" s="204"/>
      <c r="L170" s="204"/>
      <c r="M170" s="204"/>
      <c r="N170" s="204"/>
      <c r="O170" s="211"/>
      <c r="P170" s="209"/>
    </row>
    <row r="171" spans="1:73" s="213" customFormat="1" ht="14.25" x14ac:dyDescent="0.35">
      <c r="A171" s="219" t="b">
        <v>1</v>
      </c>
      <c r="B171" s="279" t="e">
        <f t="shared" si="7"/>
        <v>#REF!</v>
      </c>
      <c r="C171" s="228" t="s">
        <v>223</v>
      </c>
      <c r="D171" s="270"/>
      <c r="F171" s="204"/>
      <c r="H171" s="204"/>
      <c r="J171" s="204"/>
      <c r="K171" s="204"/>
      <c r="L171" s="204"/>
      <c r="M171" s="204"/>
      <c r="N171" s="204"/>
      <c r="O171" s="211"/>
      <c r="P171" s="209"/>
    </row>
    <row r="172" spans="1:73" s="213" customFormat="1" ht="14.25" x14ac:dyDescent="0.35">
      <c r="A172" s="219" t="b">
        <v>1</v>
      </c>
      <c r="B172" s="279" t="e">
        <f t="shared" si="7"/>
        <v>#REF!</v>
      </c>
      <c r="C172" s="228" t="s">
        <v>224</v>
      </c>
      <c r="D172" s="270"/>
      <c r="H172" s="204"/>
      <c r="J172" s="204"/>
      <c r="K172" s="204"/>
      <c r="L172" s="204"/>
      <c r="M172" s="204"/>
      <c r="N172" s="204"/>
      <c r="O172" s="211"/>
      <c r="P172" s="209"/>
    </row>
    <row r="173" spans="1:73" s="213" customFormat="1" ht="14.25" x14ac:dyDescent="0.35">
      <c r="A173" s="219" t="b">
        <v>1</v>
      </c>
      <c r="B173" s="279" t="e">
        <f t="shared" si="7"/>
        <v>#REF!</v>
      </c>
      <c r="C173" s="228" t="s">
        <v>225</v>
      </c>
      <c r="D173" s="270"/>
      <c r="H173" s="204"/>
      <c r="J173" s="204"/>
      <c r="K173" s="204"/>
      <c r="L173" s="204"/>
      <c r="M173" s="204"/>
      <c r="N173" s="204"/>
      <c r="O173" s="211"/>
      <c r="P173" s="209"/>
    </row>
    <row r="174" spans="1:73" s="213" customFormat="1" ht="14.25" x14ac:dyDescent="0.35">
      <c r="A174" s="219" t="b">
        <v>1</v>
      </c>
      <c r="B174" s="279" t="e">
        <f t="shared" si="7"/>
        <v>#REF!</v>
      </c>
      <c r="C174" s="205" t="s">
        <v>226</v>
      </c>
      <c r="D174" s="275"/>
      <c r="E174" s="238"/>
      <c r="F174" s="238"/>
      <c r="G174" s="238"/>
      <c r="H174" s="238"/>
      <c r="I174" s="238"/>
      <c r="J174" s="238"/>
      <c r="K174" s="238"/>
      <c r="L174" s="238"/>
      <c r="M174" s="238"/>
      <c r="N174" s="238"/>
      <c r="O174" s="211" t="str">
        <f>IF(A174=TRUE,"AX WO processed","WO still to be completed")</f>
        <v>AX WO processed</v>
      </c>
      <c r="P174" s="209"/>
    </row>
    <row r="175" spans="1:73" s="213" customFormat="1" ht="14.25" x14ac:dyDescent="0.35">
      <c r="A175" s="219" t="b">
        <v>1</v>
      </c>
      <c r="B175" s="279" t="e">
        <f t="shared" si="7"/>
        <v>#REF!</v>
      </c>
      <c r="C175" s="205" t="s">
        <v>227</v>
      </c>
      <c r="D175" s="275"/>
      <c r="E175" s="238"/>
      <c r="F175" s="238"/>
      <c r="G175" s="238"/>
      <c r="H175" s="238"/>
      <c r="I175" s="238"/>
      <c r="J175" s="238"/>
      <c r="K175" s="238"/>
      <c r="L175" s="238"/>
      <c r="M175" s="238"/>
      <c r="N175" s="238"/>
      <c r="O175" s="211" t="str">
        <f>IF(A175=TRUE,"Online booking status updated","Online update still required")</f>
        <v>Online booking status updated</v>
      </c>
      <c r="P175" s="209"/>
    </row>
    <row r="176" spans="1:73" s="213" customFormat="1" ht="15.75" x14ac:dyDescent="0.35">
      <c r="A176" s="219" t="b">
        <v>0</v>
      </c>
      <c r="B176" s="279" t="e">
        <f t="shared" si="7"/>
        <v>#REF!</v>
      </c>
      <c r="C176" s="228" t="s">
        <v>161</v>
      </c>
      <c r="D176" s="302">
        <f>D111</f>
        <v>0</v>
      </c>
      <c r="E176" s="434" t="s">
        <v>67</v>
      </c>
      <c r="F176" s="434"/>
      <c r="G176" s="462" t="str">
        <f>IF(D176=D18,"ON TIME",IF(D176&gt;D18,"LATE",IF(D176&lt;D18,"EARLY")))</f>
        <v>ON TIME</v>
      </c>
      <c r="H176" s="462"/>
      <c r="I176" s="462"/>
      <c r="J176" s="462"/>
      <c r="K176" s="462"/>
      <c r="L176" s="462"/>
      <c r="M176" s="462"/>
      <c r="N176" s="462"/>
      <c r="O176" s="211"/>
      <c r="P176" s="209"/>
    </row>
    <row r="177" spans="1:16" s="213" customFormat="1" ht="14.25" x14ac:dyDescent="0.35">
      <c r="A177" s="219" t="b">
        <v>0</v>
      </c>
      <c r="B177" s="279" t="e">
        <f t="shared" si="7"/>
        <v>#REF!</v>
      </c>
      <c r="C177" s="205" t="s">
        <v>218</v>
      </c>
      <c r="D177" s="274" t="s">
        <v>23</v>
      </c>
      <c r="E177" s="246"/>
      <c r="F177" s="246"/>
      <c r="G177" s="246"/>
      <c r="H177" s="246"/>
      <c r="I177" s="246"/>
      <c r="J177" s="246"/>
      <c r="K177" s="246"/>
      <c r="L177" s="246"/>
      <c r="M177" s="246"/>
      <c r="O177" s="211"/>
      <c r="P177" s="209"/>
    </row>
    <row r="178" spans="1:16" ht="15" customHeight="1" x14ac:dyDescent="0.4">
      <c r="B178" s="279"/>
      <c r="D178" s="360"/>
    </row>
    <row r="179" spans="1:16" ht="15" customHeight="1" x14ac:dyDescent="0.4">
      <c r="B179" s="279"/>
      <c r="C179" s="361" t="s">
        <v>228</v>
      </c>
      <c r="D179" s="360"/>
    </row>
    <row r="180" spans="1:16" ht="15" customHeight="1" x14ac:dyDescent="0.4">
      <c r="B180" s="279"/>
      <c r="C180" s="341" t="s">
        <v>229</v>
      </c>
      <c r="D180" s="362" t="b">
        <f>IF(D10="NEW BUILD", "Y")</f>
        <v>0</v>
      </c>
    </row>
    <row r="181" spans="1:16" ht="15" customHeight="1" x14ac:dyDescent="0.4">
      <c r="B181" s="279"/>
      <c r="C181" s="440" t="s">
        <v>230</v>
      </c>
      <c r="D181" s="440"/>
      <c r="E181" s="440"/>
      <c r="F181" s="443"/>
      <c r="G181" s="443"/>
      <c r="H181" s="443"/>
    </row>
    <row r="182" spans="1:16" ht="15" customHeight="1" x14ac:dyDescent="0.4">
      <c r="B182" s="279"/>
      <c r="C182" s="299" t="str">
        <f>IF(D180="Y", "NEW BUILD UNIT, SERVICE REPORT NOT APPLICABLE"," ")</f>
        <v xml:space="preserve"> </v>
      </c>
    </row>
    <row r="183" spans="1:16" ht="91.15" customHeight="1" x14ac:dyDescent="0.35">
      <c r="B183" s="279" t="e">
        <f>B177+1</f>
        <v>#REF!</v>
      </c>
      <c r="C183" s="441" t="s">
        <v>231</v>
      </c>
      <c r="D183" s="442"/>
      <c r="E183" s="442"/>
      <c r="F183" s="442"/>
      <c r="G183" s="442"/>
      <c r="H183" s="442"/>
      <c r="I183" s="442"/>
      <c r="J183" s="442"/>
      <c r="K183" s="442"/>
      <c r="L183" s="442"/>
      <c r="M183" s="442"/>
      <c r="N183" s="442"/>
      <c r="O183" s="442"/>
    </row>
    <row r="184" spans="1:16" ht="15" customHeight="1" x14ac:dyDescent="0.4">
      <c r="B184" s="279"/>
    </row>
    <row r="185" spans="1:16" ht="15" customHeight="1" x14ac:dyDescent="0.4">
      <c r="B185" s="279"/>
      <c r="C185" s="440" t="s">
        <v>232</v>
      </c>
      <c r="D185" s="443"/>
      <c r="E185" s="443"/>
    </row>
    <row r="186" spans="1:16" ht="15" customHeight="1" x14ac:dyDescent="0.4">
      <c r="B186" s="279"/>
      <c r="C186" s="299" t="str">
        <f>IF(D180="Y", "NEW BUILD UNIT, SERVICE REPORT NOT APPLICABLE","")</f>
        <v/>
      </c>
    </row>
    <row r="187" spans="1:16" ht="60" customHeight="1" x14ac:dyDescent="0.35">
      <c r="B187" s="279" t="e">
        <f>B183+1</f>
        <v>#REF!</v>
      </c>
      <c r="C187" s="442"/>
      <c r="D187" s="442"/>
      <c r="E187" s="442"/>
      <c r="F187" s="442"/>
      <c r="G187" s="442"/>
      <c r="H187" s="442"/>
      <c r="I187" s="442"/>
      <c r="J187" s="442"/>
      <c r="K187" s="442"/>
      <c r="L187" s="442"/>
      <c r="M187" s="442"/>
      <c r="N187" s="442"/>
      <c r="O187" s="442"/>
    </row>
    <row r="188" spans="1:16" ht="15" customHeight="1" x14ac:dyDescent="0.4">
      <c r="B188" s="279"/>
    </row>
    <row r="189" spans="1:16" ht="15" customHeight="1" x14ac:dyDescent="0.4">
      <c r="B189" s="279"/>
      <c r="C189" s="440" t="s">
        <v>233</v>
      </c>
      <c r="D189" s="440"/>
      <c r="E189" s="440"/>
    </row>
    <row r="190" spans="1:16" ht="15" customHeight="1" x14ac:dyDescent="0.4">
      <c r="B190" s="279"/>
      <c r="C190" s="299" t="str">
        <f>IF(D180="Y", "NEW BUILD UNIT, SERVICE REPORT NOT APPLICABLE","")</f>
        <v/>
      </c>
    </row>
    <row r="191" spans="1:16" ht="52.15" customHeight="1" x14ac:dyDescent="0.35">
      <c r="B191" s="279" t="e">
        <f>B187+1</f>
        <v>#REF!</v>
      </c>
      <c r="C191" s="442"/>
      <c r="D191" s="442"/>
      <c r="E191" s="442"/>
      <c r="F191" s="442"/>
      <c r="G191" s="442"/>
      <c r="H191" s="442"/>
      <c r="I191" s="442"/>
      <c r="J191" s="442"/>
      <c r="K191" s="442"/>
      <c r="L191" s="442"/>
      <c r="M191" s="442"/>
      <c r="N191" s="442"/>
      <c r="O191" s="442"/>
    </row>
    <row r="192" spans="1:16" ht="15" customHeight="1" x14ac:dyDescent="0.4">
      <c r="B192" s="279"/>
    </row>
    <row r="193" spans="2:15" ht="15" customHeight="1" x14ac:dyDescent="0.4">
      <c r="B193" s="279"/>
      <c r="C193" s="440" t="s">
        <v>234</v>
      </c>
      <c r="D193" s="440"/>
    </row>
    <row r="194" spans="2:15" ht="15" customHeight="1" x14ac:dyDescent="0.4">
      <c r="B194" s="279"/>
      <c r="C194" s="299" t="str">
        <f>IF(D180="Y", "NEW BUILD UNIT, SERVICE REPORT NOT APPLICABLE","")</f>
        <v/>
      </c>
    </row>
    <row r="195" spans="2:15" ht="55.15" customHeight="1" x14ac:dyDescent="0.35">
      <c r="B195" s="279" t="e">
        <f>B191+1</f>
        <v>#REF!</v>
      </c>
      <c r="C195" s="444"/>
      <c r="D195" s="445"/>
      <c r="E195" s="445"/>
      <c r="F195" s="445"/>
      <c r="G195" s="445"/>
      <c r="H195" s="445"/>
      <c r="I195" s="445"/>
      <c r="J195" s="445"/>
      <c r="K195" s="445"/>
      <c r="L195" s="445"/>
      <c r="M195" s="445"/>
      <c r="N195" s="445"/>
      <c r="O195" s="446"/>
    </row>
    <row r="196" spans="2:15" ht="15" customHeight="1" x14ac:dyDescent="0.4">
      <c r="B196" s="279"/>
    </row>
    <row r="197" spans="2:15" ht="14.25" customHeight="1" x14ac:dyDescent="0.4">
      <c r="B197" s="279" t="e">
        <f>B195+1</f>
        <v>#REF!</v>
      </c>
      <c r="C197" s="299" t="s">
        <v>235</v>
      </c>
      <c r="D197" s="327" t="s">
        <v>23</v>
      </c>
      <c r="E197" s="166"/>
    </row>
    <row r="198" spans="2:15" ht="15" customHeight="1" x14ac:dyDescent="0.4">
      <c r="B198" s="279" t="e">
        <f t="shared" si="1"/>
        <v>#REF!</v>
      </c>
      <c r="C198" s="299" t="s">
        <v>236</v>
      </c>
      <c r="D198" s="327"/>
      <c r="E198" s="363"/>
    </row>
    <row r="199" spans="2:15" ht="15" customHeight="1" x14ac:dyDescent="0.4">
      <c r="E199" s="363"/>
    </row>
  </sheetData>
  <sheetProtection selectLockedCells="1"/>
  <mergeCells count="59">
    <mergeCell ref="C110:O110"/>
    <mergeCell ref="E113:N113"/>
    <mergeCell ref="E176:F176"/>
    <mergeCell ref="G176:N176"/>
    <mergeCell ref="C161:D161"/>
    <mergeCell ref="C167:D167"/>
    <mergeCell ref="E95:N95"/>
    <mergeCell ref="E97:N97"/>
    <mergeCell ref="C106:O106"/>
    <mergeCell ref="E107:F107"/>
    <mergeCell ref="G107:N107"/>
    <mergeCell ref="E105:F105"/>
    <mergeCell ref="G105:N105"/>
    <mergeCell ref="C98:O98"/>
    <mergeCell ref="E93:N93"/>
    <mergeCell ref="E94:N94"/>
    <mergeCell ref="E89:K89"/>
    <mergeCell ref="I90:N90"/>
    <mergeCell ref="C91:O91"/>
    <mergeCell ref="E92:F92"/>
    <mergeCell ref="G92:N92"/>
    <mergeCell ref="C195:O195"/>
    <mergeCell ref="E9:P9"/>
    <mergeCell ref="E6:P6"/>
    <mergeCell ref="E7:P7"/>
    <mergeCell ref="E8:P8"/>
    <mergeCell ref="E10:P10"/>
    <mergeCell ref="E11:P11"/>
    <mergeCell ref="E12:P12"/>
    <mergeCell ref="E14:P14"/>
    <mergeCell ref="C185:E185"/>
    <mergeCell ref="C75:O75"/>
    <mergeCell ref="E76:N76"/>
    <mergeCell ref="E79:N79"/>
    <mergeCell ref="E81:N81"/>
    <mergeCell ref="C82:O82"/>
    <mergeCell ref="E83:J83"/>
    <mergeCell ref="C193:D193"/>
    <mergeCell ref="C183:O183"/>
    <mergeCell ref="C187:O187"/>
    <mergeCell ref="C191:O191"/>
    <mergeCell ref="C181:H181"/>
    <mergeCell ref="C189:E189"/>
    <mergeCell ref="C30:N30"/>
    <mergeCell ref="C19:N19"/>
    <mergeCell ref="C114:M114"/>
    <mergeCell ref="C133:D133"/>
    <mergeCell ref="C155:D155"/>
    <mergeCell ref="E80:N80"/>
    <mergeCell ref="E31:F31"/>
    <mergeCell ref="G31:N31"/>
    <mergeCell ref="E55:N55"/>
    <mergeCell ref="E85:N85"/>
    <mergeCell ref="E86:J86"/>
    <mergeCell ref="K86:N86"/>
    <mergeCell ref="E87:N87"/>
    <mergeCell ref="E88:J88"/>
    <mergeCell ref="K88:N88"/>
    <mergeCell ref="K83:N83"/>
  </mergeCells>
  <conditionalFormatting sqref="C47">
    <cfRule type="expression" dxfId="409" priority="42">
      <formula>$A$47</formula>
    </cfRule>
  </conditionalFormatting>
  <conditionalFormatting sqref="C55">
    <cfRule type="expression" dxfId="408" priority="256">
      <formula>$A$55</formula>
    </cfRule>
  </conditionalFormatting>
  <conditionalFormatting sqref="C59">
    <cfRule type="expression" dxfId="407" priority="246">
      <formula>$A$59</formula>
    </cfRule>
  </conditionalFormatting>
  <conditionalFormatting sqref="C62">
    <cfRule type="expression" dxfId="406" priority="255">
      <formula>$A$62</formula>
    </cfRule>
  </conditionalFormatting>
  <conditionalFormatting sqref="C74">
    <cfRule type="expression" dxfId="405" priority="7">
      <formula>$A$74</formula>
    </cfRule>
  </conditionalFormatting>
  <conditionalFormatting sqref="C76">
    <cfRule type="expression" dxfId="404" priority="240">
      <formula>$A$76</formula>
    </cfRule>
  </conditionalFormatting>
  <conditionalFormatting sqref="C77">
    <cfRule type="expression" dxfId="403" priority="97">
      <formula>$A$77</formula>
    </cfRule>
  </conditionalFormatting>
  <conditionalFormatting sqref="C78">
    <cfRule type="expression" dxfId="402" priority="237">
      <formula>$A$78</formula>
    </cfRule>
  </conditionalFormatting>
  <conditionalFormatting sqref="C79">
    <cfRule type="expression" dxfId="401" priority="235">
      <formula>$A$79</formula>
    </cfRule>
  </conditionalFormatting>
  <conditionalFormatting sqref="C83">
    <cfRule type="expression" dxfId="400" priority="223">
      <formula>$A$83</formula>
    </cfRule>
  </conditionalFormatting>
  <conditionalFormatting sqref="C84">
    <cfRule type="expression" dxfId="399" priority="236">
      <formula>$A$84</formula>
    </cfRule>
  </conditionalFormatting>
  <conditionalFormatting sqref="C85">
    <cfRule type="expression" dxfId="398" priority="234">
      <formula>$A$85</formula>
    </cfRule>
  </conditionalFormatting>
  <conditionalFormatting sqref="C86">
    <cfRule type="expression" dxfId="397" priority="233">
      <formula>$A$86</formula>
    </cfRule>
  </conditionalFormatting>
  <conditionalFormatting sqref="C87">
    <cfRule type="expression" dxfId="396" priority="88">
      <formula>$A$87</formula>
    </cfRule>
  </conditionalFormatting>
  <conditionalFormatting sqref="C88">
    <cfRule type="expression" dxfId="395" priority="228">
      <formula>$A$88</formula>
    </cfRule>
  </conditionalFormatting>
  <conditionalFormatting sqref="C93">
    <cfRule type="expression" dxfId="394" priority="82">
      <formula>+$A$93</formula>
    </cfRule>
  </conditionalFormatting>
  <conditionalFormatting sqref="C94">
    <cfRule type="expression" dxfId="393" priority="83">
      <formula>$A$94</formula>
    </cfRule>
  </conditionalFormatting>
  <conditionalFormatting sqref="C95">
    <cfRule type="expression" dxfId="392" priority="203">
      <formula>$A$95</formula>
    </cfRule>
  </conditionalFormatting>
  <conditionalFormatting sqref="C96">
    <cfRule type="expression" dxfId="391" priority="198">
      <formula>$A$96</formula>
    </cfRule>
  </conditionalFormatting>
  <conditionalFormatting sqref="C97">
    <cfRule type="expression" dxfId="390" priority="196">
      <formula>$A$97</formula>
    </cfRule>
  </conditionalFormatting>
  <conditionalFormatting sqref="C100">
    <cfRule type="expression" dxfId="389" priority="158">
      <formula>$A$100</formula>
    </cfRule>
  </conditionalFormatting>
  <conditionalFormatting sqref="C101">
    <cfRule type="expression" dxfId="388" priority="6">
      <formula>$A$101</formula>
    </cfRule>
  </conditionalFormatting>
  <conditionalFormatting sqref="C102">
    <cfRule type="expression" dxfId="387" priority="156">
      <formula>$A$102</formula>
    </cfRule>
  </conditionalFormatting>
  <conditionalFormatting sqref="D7">
    <cfRule type="expression" dxfId="386" priority="289">
      <formula>$A$7</formula>
    </cfRule>
  </conditionalFormatting>
  <conditionalFormatting sqref="D8">
    <cfRule type="expression" dxfId="385" priority="288">
      <formula>A8</formula>
    </cfRule>
  </conditionalFormatting>
  <conditionalFormatting sqref="D9">
    <cfRule type="expression" dxfId="384" priority="286">
      <formula>$A$9</formula>
    </cfRule>
  </conditionalFormatting>
  <conditionalFormatting sqref="D10">
    <cfRule type="expression" dxfId="383" priority="285">
      <formula>$A$10</formula>
    </cfRule>
  </conditionalFormatting>
  <conditionalFormatting sqref="D11">
    <cfRule type="expression" dxfId="382" priority="283">
      <formula>$A$11</formula>
    </cfRule>
  </conditionalFormatting>
  <conditionalFormatting sqref="D12">
    <cfRule type="expression" dxfId="381" priority="282">
      <formula>$A$12</formula>
    </cfRule>
  </conditionalFormatting>
  <conditionalFormatting sqref="D20">
    <cfRule type="expression" dxfId="380" priority="316">
      <formula>$A$20</formula>
    </cfRule>
  </conditionalFormatting>
  <conditionalFormatting sqref="D21">
    <cfRule type="expression" dxfId="379" priority="317">
      <formula>$A$21</formula>
    </cfRule>
  </conditionalFormatting>
  <conditionalFormatting sqref="D22">
    <cfRule type="expression" dxfId="378" priority="318">
      <formula>$A$22</formula>
    </cfRule>
  </conditionalFormatting>
  <conditionalFormatting sqref="D23">
    <cfRule type="expression" dxfId="377" priority="319">
      <formula>$A$23</formula>
    </cfRule>
  </conditionalFormatting>
  <conditionalFormatting sqref="D24">
    <cfRule type="expression" dxfId="376" priority="321">
      <formula>$A$24</formula>
    </cfRule>
  </conditionalFormatting>
  <conditionalFormatting sqref="D25:D26">
    <cfRule type="expression" dxfId="375" priority="320">
      <formula>$A$25</formula>
    </cfRule>
  </conditionalFormatting>
  <conditionalFormatting sqref="D27">
    <cfRule type="expression" dxfId="374" priority="322">
      <formula>$A$27</formula>
    </cfRule>
  </conditionalFormatting>
  <conditionalFormatting sqref="D28">
    <cfRule type="expression" dxfId="373" priority="323">
      <formula>$A$28</formula>
    </cfRule>
  </conditionalFormatting>
  <conditionalFormatting sqref="D29">
    <cfRule type="expression" dxfId="372" priority="324">
      <formula>$A$29</formula>
    </cfRule>
  </conditionalFormatting>
  <conditionalFormatting sqref="D33">
    <cfRule type="expression" dxfId="371" priority="279">
      <formula>$A$33</formula>
    </cfRule>
  </conditionalFormatting>
  <conditionalFormatting sqref="D36">
    <cfRule type="expression" dxfId="370" priority="54">
      <formula>$A$36</formula>
    </cfRule>
  </conditionalFormatting>
  <conditionalFormatting sqref="D37">
    <cfRule type="expression" dxfId="369" priority="55">
      <formula>$A$37</formula>
    </cfRule>
  </conditionalFormatting>
  <conditionalFormatting sqref="D38">
    <cfRule type="expression" dxfId="368" priority="275">
      <formula>$A$38</formula>
    </cfRule>
  </conditionalFormatting>
  <conditionalFormatting sqref="D39">
    <cfRule type="expression" dxfId="367" priority="274">
      <formula>$A$39</formula>
    </cfRule>
  </conditionalFormatting>
  <conditionalFormatting sqref="D40">
    <cfRule type="expression" dxfId="366" priority="273">
      <formula>$A$40</formula>
    </cfRule>
  </conditionalFormatting>
  <conditionalFormatting sqref="D41">
    <cfRule type="expression" dxfId="365" priority="267">
      <formula>$A$41</formula>
    </cfRule>
  </conditionalFormatting>
  <conditionalFormatting sqref="D43">
    <cfRule type="expression" dxfId="364" priority="270">
      <formula>$A$43</formula>
    </cfRule>
  </conditionalFormatting>
  <conditionalFormatting sqref="D50">
    <cfRule type="expression" dxfId="363" priority="53">
      <formula>$A$50</formula>
    </cfRule>
  </conditionalFormatting>
  <conditionalFormatting sqref="D51">
    <cfRule type="expression" dxfId="362" priority="269">
      <formula>$A$51</formula>
    </cfRule>
  </conditionalFormatting>
  <conditionalFormatting sqref="D53">
    <cfRule type="expression" dxfId="361" priority="266">
      <formula>$A$53</formula>
    </cfRule>
  </conditionalFormatting>
  <conditionalFormatting sqref="D67">
    <cfRule type="expression" dxfId="360" priority="15">
      <formula>$A$67</formula>
    </cfRule>
  </conditionalFormatting>
  <conditionalFormatting sqref="D70">
    <cfRule type="expression" dxfId="359" priority="265">
      <formula>$A$70</formula>
    </cfRule>
  </conditionalFormatting>
  <conditionalFormatting sqref="D71">
    <cfRule type="expression" dxfId="358" priority="264">
      <formula>$A$71</formula>
    </cfRule>
  </conditionalFormatting>
  <conditionalFormatting sqref="D72">
    <cfRule type="expression" dxfId="357" priority="91">
      <formula>$A$72</formula>
    </cfRule>
  </conditionalFormatting>
  <conditionalFormatting sqref="D73">
    <cfRule type="expression" dxfId="356" priority="90">
      <formula>$A$73</formula>
    </cfRule>
  </conditionalFormatting>
  <conditionalFormatting sqref="D80">
    <cfRule type="cellIs" dxfId="355" priority="45" operator="lessThanOrEqual">
      <formula>13000</formula>
    </cfRule>
    <cfRule type="cellIs" dxfId="354" priority="46" operator="greaterThan">
      <formula>13000</formula>
    </cfRule>
  </conditionalFormatting>
  <conditionalFormatting sqref="D80:D81">
    <cfRule type="containsBlanks" dxfId="353" priority="40">
      <formula>LEN(TRIM(D80))=0</formula>
    </cfRule>
  </conditionalFormatting>
  <conditionalFormatting sqref="D81">
    <cfRule type="cellIs" dxfId="352" priority="44" operator="lessThanOrEqual">
      <formula>100</formula>
    </cfRule>
    <cfRule type="cellIs" dxfId="351" priority="43" operator="greaterThan">
      <formula>100</formula>
    </cfRule>
  </conditionalFormatting>
  <conditionalFormatting sqref="D90">
    <cfRule type="expression" dxfId="350" priority="56">
      <formula>$A$90</formula>
    </cfRule>
  </conditionalFormatting>
  <conditionalFormatting sqref="D99">
    <cfRule type="containsBlanks" dxfId="349" priority="39">
      <formula>LEN(TRIM(D99))=0</formula>
    </cfRule>
    <cfRule type="expression" dxfId="348" priority="50">
      <formula>$A$99</formula>
    </cfRule>
    <cfRule type="expression" dxfId="347" priority="49">
      <formula>$R$99</formula>
    </cfRule>
    <cfRule type="cellIs" dxfId="346" priority="48" operator="greaterThan">
      <formula>3.7</formula>
    </cfRule>
  </conditionalFormatting>
  <conditionalFormatting sqref="D104">
    <cfRule type="expression" dxfId="345" priority="47">
      <formula>$A$104</formula>
    </cfRule>
  </conditionalFormatting>
  <conditionalFormatting sqref="D108">
    <cfRule type="expression" dxfId="344" priority="113">
      <formula>$A$108</formula>
    </cfRule>
  </conditionalFormatting>
  <conditionalFormatting sqref="D112">
    <cfRule type="expression" dxfId="343" priority="187">
      <formula>$A$112</formula>
    </cfRule>
  </conditionalFormatting>
  <conditionalFormatting sqref="D113">
    <cfRule type="expression" dxfId="342" priority="193">
      <formula>$A$113</formula>
    </cfRule>
  </conditionalFormatting>
  <conditionalFormatting sqref="D115">
    <cfRule type="expression" dxfId="341" priority="184">
      <formula>$A$115</formula>
    </cfRule>
  </conditionalFormatting>
  <conditionalFormatting sqref="D116">
    <cfRule type="expression" dxfId="340" priority="37">
      <formula>$A$116</formula>
    </cfRule>
  </conditionalFormatting>
  <conditionalFormatting sqref="D117">
    <cfRule type="expression" dxfId="339" priority="9">
      <formula>$A$117</formula>
    </cfRule>
  </conditionalFormatting>
  <conditionalFormatting sqref="D118">
    <cfRule type="expression" dxfId="338" priority="28">
      <formula>$A$118</formula>
    </cfRule>
  </conditionalFormatting>
  <conditionalFormatting sqref="D119">
    <cfRule type="expression" dxfId="337" priority="180">
      <formula>$A$119</formula>
    </cfRule>
  </conditionalFormatting>
  <conditionalFormatting sqref="D120">
    <cfRule type="expression" dxfId="336" priority="179">
      <formula>$A$120</formula>
    </cfRule>
  </conditionalFormatting>
  <conditionalFormatting sqref="D121">
    <cfRule type="expression" dxfId="335" priority="178">
      <formula>$A$121</formula>
    </cfRule>
  </conditionalFormatting>
  <conditionalFormatting sqref="D122">
    <cfRule type="expression" dxfId="334" priority="188">
      <formula>$A$122</formula>
    </cfRule>
  </conditionalFormatting>
  <conditionalFormatting sqref="D123">
    <cfRule type="expression" dxfId="333" priority="177">
      <formula>$A$123</formula>
    </cfRule>
  </conditionalFormatting>
  <conditionalFormatting sqref="D124">
    <cfRule type="expression" dxfId="332" priority="30">
      <formula>$A$124</formula>
    </cfRule>
  </conditionalFormatting>
  <conditionalFormatting sqref="D128">
    <cfRule type="expression" dxfId="331" priority="35">
      <formula>$A$128</formula>
    </cfRule>
  </conditionalFormatting>
  <conditionalFormatting sqref="D129">
    <cfRule type="expression" dxfId="330" priority="36">
      <formula>$A$129</formula>
    </cfRule>
  </conditionalFormatting>
  <conditionalFormatting sqref="D130:D132">
    <cfRule type="expression" dxfId="329" priority="71">
      <formula>$A130</formula>
    </cfRule>
  </conditionalFormatting>
  <conditionalFormatting sqref="D134">
    <cfRule type="expression" dxfId="328" priority="142">
      <formula>$A$134</formula>
    </cfRule>
  </conditionalFormatting>
  <conditionalFormatting sqref="D135:D136">
    <cfRule type="expression" dxfId="327" priority="141">
      <formula>$A$135</formula>
    </cfRule>
  </conditionalFormatting>
  <conditionalFormatting sqref="D136">
    <cfRule type="expression" dxfId="326" priority="27">
      <formula>$A$136</formula>
    </cfRule>
  </conditionalFormatting>
  <conditionalFormatting sqref="D137">
    <cfRule type="expression" dxfId="325" priority="23">
      <formula>$A$137</formula>
    </cfRule>
  </conditionalFormatting>
  <conditionalFormatting sqref="D138">
    <cfRule type="expression" dxfId="324" priority="21">
      <formula>$A$138</formula>
    </cfRule>
  </conditionalFormatting>
  <conditionalFormatting sqref="D139">
    <cfRule type="expression" dxfId="323" priority="5">
      <formula>$A$139</formula>
    </cfRule>
  </conditionalFormatting>
  <conditionalFormatting sqref="D140">
    <cfRule type="expression" dxfId="322" priority="17">
      <formula>$A$140</formula>
    </cfRule>
  </conditionalFormatting>
  <conditionalFormatting sqref="D141">
    <cfRule type="expression" dxfId="321" priority="149">
      <formula>$A$141</formula>
    </cfRule>
  </conditionalFormatting>
  <conditionalFormatting sqref="D142">
    <cfRule type="expression" dxfId="320" priority="137">
      <formula>$A$142</formula>
    </cfRule>
  </conditionalFormatting>
  <conditionalFormatting sqref="D143">
    <cfRule type="expression" dxfId="319" priority="133">
      <formula>$A$143</formula>
    </cfRule>
  </conditionalFormatting>
  <conditionalFormatting sqref="D144">
    <cfRule type="expression" dxfId="318" priority="150">
      <formula>$A$144</formula>
    </cfRule>
  </conditionalFormatting>
  <conditionalFormatting sqref="D145">
    <cfRule type="expression" dxfId="317" priority="13">
      <formula>$A$145</formula>
    </cfRule>
  </conditionalFormatting>
  <conditionalFormatting sqref="D146">
    <cfRule type="expression" dxfId="316" priority="132">
      <formula>$A$146</formula>
    </cfRule>
  </conditionalFormatting>
  <conditionalFormatting sqref="D147">
    <cfRule type="expression" dxfId="315" priority="148">
      <formula>$A$147</formula>
    </cfRule>
  </conditionalFormatting>
  <conditionalFormatting sqref="D148">
    <cfRule type="expression" dxfId="314" priority="146">
      <formula>$A$148</formula>
    </cfRule>
  </conditionalFormatting>
  <conditionalFormatting sqref="D149">
    <cfRule type="cellIs" dxfId="313" priority="172" operator="between">
      <formula>19</formula>
      <formula>45</formula>
    </cfRule>
    <cfRule type="cellIs" dxfId="312" priority="170" operator="lessThan">
      <formula>15</formula>
    </cfRule>
    <cfRule type="cellIs" dxfId="311" priority="169" operator="greaterThan">
      <formula>55</formula>
    </cfRule>
  </conditionalFormatting>
  <conditionalFormatting sqref="D149:D150">
    <cfRule type="cellIs" dxfId="310" priority="58" operator="equal">
      <formula>0</formula>
    </cfRule>
  </conditionalFormatting>
  <conditionalFormatting sqref="D150">
    <cfRule type="cellIs" dxfId="309" priority="171" operator="between">
      <formula>36</formula>
      <formula>40</formula>
    </cfRule>
    <cfRule type="cellIs" dxfId="308" priority="168" operator="lessThan">
      <formula>36</formula>
    </cfRule>
    <cfRule type="cellIs" dxfId="307" priority="167" operator="greaterThan">
      <formula>40</formula>
    </cfRule>
  </conditionalFormatting>
  <conditionalFormatting sqref="D151">
    <cfRule type="expression" dxfId="306" priority="25">
      <formula>$A$151</formula>
    </cfRule>
  </conditionalFormatting>
  <conditionalFormatting sqref="D152:D153">
    <cfRule type="expression" dxfId="305" priority="11">
      <formula>$A$152</formula>
    </cfRule>
  </conditionalFormatting>
  <conditionalFormatting sqref="D153">
    <cfRule type="expression" dxfId="304" priority="19">
      <formula>$A$153</formula>
    </cfRule>
  </conditionalFormatting>
  <conditionalFormatting sqref="D154">
    <cfRule type="expression" dxfId="303" priority="33">
      <formula>$A$154</formula>
    </cfRule>
  </conditionalFormatting>
  <conditionalFormatting sqref="D156">
    <cfRule type="expression" dxfId="302" priority="130">
      <formula>$A$156</formula>
    </cfRule>
  </conditionalFormatting>
  <conditionalFormatting sqref="D157">
    <cfRule type="expression" dxfId="301" priority="185">
      <formula>$A157</formula>
    </cfRule>
  </conditionalFormatting>
  <conditionalFormatting sqref="D158">
    <cfRule type="expression" dxfId="300" priority="123">
      <formula>$A$158</formula>
    </cfRule>
  </conditionalFormatting>
  <conditionalFormatting sqref="D159">
    <cfRule type="expression" dxfId="299" priority="122">
      <formula>$A$159</formula>
    </cfRule>
  </conditionalFormatting>
  <conditionalFormatting sqref="D160">
    <cfRule type="expression" dxfId="298" priority="12">
      <formula>$A$160</formula>
    </cfRule>
    <cfRule type="expression" dxfId="297" priority="325">
      <formula>#REF!</formula>
    </cfRule>
  </conditionalFormatting>
  <conditionalFormatting sqref="D162">
    <cfRule type="expression" dxfId="296" priority="124">
      <formula>$A$162</formula>
    </cfRule>
  </conditionalFormatting>
  <conditionalFormatting sqref="D163">
    <cfRule type="expression" dxfId="295" priority="10">
      <formula>$A$163</formula>
    </cfRule>
  </conditionalFormatting>
  <conditionalFormatting sqref="D164">
    <cfRule type="expression" dxfId="294" priority="61">
      <formula>$A$164</formula>
    </cfRule>
  </conditionalFormatting>
  <conditionalFormatting sqref="D165">
    <cfRule type="expression" dxfId="293" priority="62">
      <formula>$A$165</formula>
    </cfRule>
  </conditionalFormatting>
  <conditionalFormatting sqref="D168">
    <cfRule type="expression" dxfId="292" priority="1">
      <formula>$A$168</formula>
    </cfRule>
  </conditionalFormatting>
  <conditionalFormatting sqref="D169">
    <cfRule type="expression" dxfId="291" priority="160">
      <formula>$A$169</formula>
    </cfRule>
  </conditionalFormatting>
  <conditionalFormatting sqref="D170">
    <cfRule type="expression" dxfId="290" priority="121">
      <formula>$A$170</formula>
    </cfRule>
  </conditionalFormatting>
  <conditionalFormatting sqref="D171">
    <cfRule type="expression" dxfId="289" priority="119">
      <formula>$A$171</formula>
    </cfRule>
  </conditionalFormatting>
  <conditionalFormatting sqref="D172">
    <cfRule type="expression" dxfId="288" priority="118">
      <formula>$A$172</formula>
    </cfRule>
  </conditionalFormatting>
  <conditionalFormatting sqref="D173">
    <cfRule type="expression" dxfId="287" priority="117">
      <formula>$A$173</formula>
    </cfRule>
  </conditionalFormatting>
  <conditionalFormatting sqref="D174">
    <cfRule type="expression" dxfId="286" priority="116">
      <formula>$A$174</formula>
    </cfRule>
  </conditionalFormatting>
  <conditionalFormatting sqref="D175">
    <cfRule type="expression" dxfId="285" priority="115">
      <formula>$A$175</formula>
    </cfRule>
  </conditionalFormatting>
  <conditionalFormatting sqref="E83:J83">
    <cfRule type="cellIs" dxfId="284" priority="227" operator="between">
      <formula>1.6</formula>
      <formula>2.6</formula>
    </cfRule>
    <cfRule type="cellIs" dxfId="283" priority="226" operator="greaterThanOrEqual">
      <formula>2.7</formula>
    </cfRule>
  </conditionalFormatting>
  <conditionalFormatting sqref="G31:N32">
    <cfRule type="cellIs" dxfId="282" priority="259" operator="equal">
      <formula>"ON TIME"</formula>
    </cfRule>
    <cfRule type="cellIs" dxfId="281" priority="260" operator="equal">
      <formula>"LATE"</formula>
    </cfRule>
    <cfRule type="cellIs" dxfId="280" priority="261" operator="equal">
      <formula>"EARLY"</formula>
    </cfRule>
  </conditionalFormatting>
  <conditionalFormatting sqref="G92:N92">
    <cfRule type="cellIs" dxfId="279" priority="230" operator="equal">
      <formula>"LATE"</formula>
    </cfRule>
    <cfRule type="cellIs" dxfId="278" priority="231" operator="equal">
      <formula>"EARLY"</formula>
    </cfRule>
    <cfRule type="cellIs" dxfId="277" priority="229" operator="equal">
      <formula>"ON TIME"</formula>
    </cfRule>
  </conditionalFormatting>
  <conditionalFormatting sqref="G105:N105">
    <cfRule type="cellIs" dxfId="276" priority="214" operator="equal">
      <formula>"EARLY"</formula>
    </cfRule>
    <cfRule type="cellIs" dxfId="275" priority="213" operator="equal">
      <formula>"LATE"</formula>
    </cfRule>
    <cfRule type="cellIs" dxfId="274" priority="212" operator="equal">
      <formula>"ON TIME"</formula>
    </cfRule>
  </conditionalFormatting>
  <conditionalFormatting sqref="G107:N107">
    <cfRule type="cellIs" dxfId="273" priority="164" operator="equal">
      <formula>"ON TIME"</formula>
    </cfRule>
    <cfRule type="cellIs" dxfId="272" priority="165" operator="equal">
      <formula>"LATE"</formula>
    </cfRule>
    <cfRule type="cellIs" dxfId="271" priority="166" operator="equal">
      <formula>"EARLY"</formula>
    </cfRule>
  </conditionalFormatting>
  <conditionalFormatting sqref="G176:N176">
    <cfRule type="cellIs" dxfId="270" priority="161" operator="equal">
      <formula>"ON TIME"</formula>
    </cfRule>
    <cfRule type="cellIs" dxfId="269" priority="163" operator="equal">
      <formula>"EARLY"</formula>
    </cfRule>
    <cfRule type="cellIs" dxfId="268" priority="162" operator="equal">
      <formula>"LATE"</formula>
    </cfRule>
  </conditionalFormatting>
  <conditionalFormatting sqref="O86 Q97 O174:O176">
    <cfRule type="expression" dxfId="267" priority="243">
      <formula>#REF!</formula>
    </cfRule>
  </conditionalFormatting>
  <conditionalFormatting sqref="Q8">
    <cfRule type="expression" dxfId="266" priority="306">
      <formula>#REF!</formula>
    </cfRule>
  </conditionalFormatting>
  <conditionalFormatting sqref="Q12:Q13 Q77">
    <cfRule type="expression" dxfId="265" priority="305">
      <formula>#REF!</formula>
    </cfRule>
  </conditionalFormatting>
  <conditionalFormatting sqref="Q88">
    <cfRule type="expression" dxfId="264" priority="241">
      <formula>#REF!</formula>
    </cfRule>
  </conditionalFormatting>
  <conditionalFormatting sqref="Q93:Q95">
    <cfRule type="expression" dxfId="263" priority="210">
      <formula>#REF!</formula>
    </cfRule>
  </conditionalFormatting>
  <conditionalFormatting sqref="Q100 O101">
    <cfRule type="expression" dxfId="262" priority="211">
      <formula>#REF!</formula>
    </cfRule>
  </conditionalFormatting>
  <conditionalFormatting sqref="Q108">
    <cfRule type="expression" dxfId="261" priority="3">
      <formula>#REF!</formula>
    </cfRule>
  </conditionalFormatting>
  <conditionalFormatting sqref="Q116">
    <cfRule type="expression" dxfId="260" priority="2">
      <formula>#REF!</formula>
    </cfRule>
  </conditionalFormatting>
  <dataValidations count="16">
    <dataValidation showInputMessage="1" showErrorMessage="1" sqref="D4 M4:N4 D104 E103:M104 D102" xr:uid="{DACCAFFB-854E-4D90-8F0E-751FD92F0CAC}"/>
    <dataValidation type="list" showInputMessage="1" showErrorMessage="1" sqref="F4" xr:uid="{AD58FE7E-FBBC-463F-A62C-C022226FBAA6}">
      <formula1>$S$5:$S$6</formula1>
    </dataValidation>
    <dataValidation type="list" allowBlank="1" showInputMessage="1" showErrorMessage="1" sqref="H4" xr:uid="{818BCACB-750C-4A4C-A66C-2A921603047D}">
      <formula1>$T$5:$T$7</formula1>
    </dataValidation>
    <dataValidation type="list" showInputMessage="1" showErrorMessage="1" sqref="J4" xr:uid="{4092C2CD-1253-4449-BBFE-ECC329A5D953}">
      <formula1>$U$5:$U$7</formula1>
    </dataValidation>
    <dataValidation type="list" showInputMessage="1" showErrorMessage="1" sqref="L4" xr:uid="{4AF562A3-8BD5-43FA-A3D5-B96BD7A89E69}">
      <formula1>$V$5:$V$6</formula1>
    </dataValidation>
    <dataValidation type="list" showInputMessage="1" showErrorMessage="1" sqref="E166:M166" xr:uid="{BDAADA9F-C235-40DB-ADD1-2E1DCB65F6CA}">
      <formula1>$Q$1:$Q$10</formula1>
    </dataValidation>
    <dataValidation type="list" showInputMessage="1" showErrorMessage="1" sqref="D103" xr:uid="{AE605DA3-A92E-4496-A335-5CF0CA39F079}">
      <formula1>R1:R12</formula1>
    </dataValidation>
    <dataValidation type="list" allowBlank="1" showInputMessage="1" showErrorMessage="1" sqref="D54" xr:uid="{DD547D66-81B0-4009-9AB4-9A783170463A}">
      <formula1>$R$54:$R$63</formula1>
    </dataValidation>
    <dataValidation type="list" allowBlank="1" showInputMessage="1" showErrorMessage="1" sqref="D32" xr:uid="{1EE4B246-7B88-43AE-BBD5-0EB0D0A05548}">
      <formula1>$R$1:$R$13</formula1>
    </dataValidation>
    <dataValidation type="list" showInputMessage="1" showErrorMessage="1" sqref="D109 D166 D197" xr:uid="{FF21A7D4-75BA-4A7A-8F3D-5903B10ADDB2}">
      <formula1>$R$1:$R$13</formula1>
    </dataValidation>
    <dataValidation type="list" allowBlank="1" showInputMessage="1" showErrorMessage="1" sqref="D49" xr:uid="{217241DD-B464-486B-9736-32E2B337B6C0}">
      <formula1>$R$42:$R$47</formula1>
    </dataValidation>
    <dataValidation type="list" allowBlank="1" showInputMessage="1" showErrorMessage="1" sqref="F162:F165" xr:uid="{CE4CC233-4432-47C0-A7D1-8892AC8DD2F8}">
      <formula1>"Y, N"</formula1>
    </dataValidation>
    <dataValidation type="list" showInputMessage="1" showErrorMessage="1" sqref="D177" xr:uid="{726A2F2D-11D4-4DA5-9817-AFA02124602D}">
      <formula1>"Logistics"</formula1>
    </dataValidation>
    <dataValidation type="list" showInputMessage="1" showErrorMessage="1" sqref="P4" xr:uid="{EF176B39-B4EF-401F-A18B-7BDC6E8036FD}">
      <formula1>$X$5:$X$8</formula1>
    </dataValidation>
    <dataValidation type="list" allowBlank="1" showInputMessage="1" showErrorMessage="1" sqref="D61" xr:uid="{829AF50B-2383-4CAE-A0C0-4401DF937AEA}">
      <formula1>$R$69:$R$72</formula1>
    </dataValidation>
    <dataValidation type="list" showInputMessage="1" showErrorMessage="1" sqref="D103:D104" xr:uid="{1B79F2A9-102A-46A8-A7A2-63E60F29343E}">
      <formula1>R:R</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3169" r:id="rId3" name="Check Box 1">
              <controlPr locked="0" defaultSize="0" autoFill="0" autoLine="0" autoPict="0">
                <anchor moveWithCells="1">
                  <from>
                    <xdr:col>3</xdr:col>
                    <xdr:colOff>1400175</xdr:colOff>
                    <xdr:row>5</xdr:row>
                    <xdr:rowOff>171450</xdr:rowOff>
                  </from>
                  <to>
                    <xdr:col>3</xdr:col>
                    <xdr:colOff>1790700</xdr:colOff>
                    <xdr:row>7</xdr:row>
                    <xdr:rowOff>19050</xdr:rowOff>
                  </to>
                </anchor>
              </controlPr>
            </control>
          </mc:Choice>
        </mc:AlternateContent>
        <mc:AlternateContent xmlns:mc="http://schemas.openxmlformats.org/markup-compatibility/2006">
          <mc:Choice Requires="x14">
            <control shapeId="263177" r:id="rId4" name="Check Box 9">
              <controlPr defaultSize="0" autoFill="0" autoLine="0" autoPict="0">
                <anchor moveWithCells="1">
                  <from>
                    <xdr:col>3</xdr:col>
                    <xdr:colOff>1400175</xdr:colOff>
                    <xdr:row>19</xdr:row>
                    <xdr:rowOff>0</xdr:rowOff>
                  </from>
                  <to>
                    <xdr:col>3</xdr:col>
                    <xdr:colOff>1743075</xdr:colOff>
                    <xdr:row>30</xdr:row>
                    <xdr:rowOff>0</xdr:rowOff>
                  </to>
                </anchor>
              </controlPr>
            </control>
          </mc:Choice>
        </mc:AlternateContent>
        <mc:AlternateContent xmlns:mc="http://schemas.openxmlformats.org/markup-compatibility/2006">
          <mc:Choice Requires="x14">
            <control shapeId="263178" r:id="rId5" name="Check Box 10">
              <controlPr defaultSize="0" autoFill="0" autoLine="0" autoPict="0">
                <anchor moveWithCells="1">
                  <from>
                    <xdr:col>3</xdr:col>
                    <xdr:colOff>1409700</xdr:colOff>
                    <xdr:row>20</xdr:row>
                    <xdr:rowOff>9525</xdr:rowOff>
                  </from>
                  <to>
                    <xdr:col>3</xdr:col>
                    <xdr:colOff>1628775</xdr:colOff>
                    <xdr:row>30</xdr:row>
                    <xdr:rowOff>0</xdr:rowOff>
                  </to>
                </anchor>
              </controlPr>
            </control>
          </mc:Choice>
        </mc:AlternateContent>
        <mc:AlternateContent xmlns:mc="http://schemas.openxmlformats.org/markup-compatibility/2006">
          <mc:Choice Requires="x14">
            <control shapeId="263179" r:id="rId6" name="Check Box 11">
              <controlPr defaultSize="0" autoFill="0" autoLine="0" autoPict="0">
                <anchor moveWithCells="1">
                  <from>
                    <xdr:col>3</xdr:col>
                    <xdr:colOff>1409700</xdr:colOff>
                    <xdr:row>20</xdr:row>
                    <xdr:rowOff>171450</xdr:rowOff>
                  </from>
                  <to>
                    <xdr:col>3</xdr:col>
                    <xdr:colOff>1714500</xdr:colOff>
                    <xdr:row>30</xdr:row>
                    <xdr:rowOff>28575</xdr:rowOff>
                  </to>
                </anchor>
              </controlPr>
            </control>
          </mc:Choice>
        </mc:AlternateContent>
        <mc:AlternateContent xmlns:mc="http://schemas.openxmlformats.org/markup-compatibility/2006">
          <mc:Choice Requires="x14">
            <control shapeId="263180" r:id="rId7" name="Check Box 12">
              <controlPr defaultSize="0" autoFill="0" autoLine="0" autoPict="0">
                <anchor moveWithCells="1">
                  <from>
                    <xdr:col>3</xdr:col>
                    <xdr:colOff>1409700</xdr:colOff>
                    <xdr:row>21</xdr:row>
                    <xdr:rowOff>180975</xdr:rowOff>
                  </from>
                  <to>
                    <xdr:col>3</xdr:col>
                    <xdr:colOff>1638300</xdr:colOff>
                    <xdr:row>29</xdr:row>
                    <xdr:rowOff>180975</xdr:rowOff>
                  </to>
                </anchor>
              </controlPr>
            </control>
          </mc:Choice>
        </mc:AlternateContent>
        <mc:AlternateContent xmlns:mc="http://schemas.openxmlformats.org/markup-compatibility/2006">
          <mc:Choice Requires="x14">
            <control shapeId="263181" r:id="rId8" name="Check Box 13">
              <controlPr defaultSize="0" autoFill="0" autoLine="0" autoPict="0">
                <anchor moveWithCells="1">
                  <from>
                    <xdr:col>3</xdr:col>
                    <xdr:colOff>1409700</xdr:colOff>
                    <xdr:row>22</xdr:row>
                    <xdr:rowOff>171450</xdr:rowOff>
                  </from>
                  <to>
                    <xdr:col>3</xdr:col>
                    <xdr:colOff>1647825</xdr:colOff>
                    <xdr:row>30</xdr:row>
                    <xdr:rowOff>28575</xdr:rowOff>
                  </to>
                </anchor>
              </controlPr>
            </control>
          </mc:Choice>
        </mc:AlternateContent>
        <mc:AlternateContent xmlns:mc="http://schemas.openxmlformats.org/markup-compatibility/2006">
          <mc:Choice Requires="x14">
            <control shapeId="263182" r:id="rId9" name="Check Box 14">
              <controlPr defaultSize="0" autoFill="0" autoLine="0" autoPict="0">
                <anchor moveWithCells="1">
                  <from>
                    <xdr:col>3</xdr:col>
                    <xdr:colOff>1409700</xdr:colOff>
                    <xdr:row>24</xdr:row>
                    <xdr:rowOff>9525</xdr:rowOff>
                  </from>
                  <to>
                    <xdr:col>3</xdr:col>
                    <xdr:colOff>1714500</xdr:colOff>
                    <xdr:row>29</xdr:row>
                    <xdr:rowOff>171450</xdr:rowOff>
                  </to>
                </anchor>
              </controlPr>
            </control>
          </mc:Choice>
        </mc:AlternateContent>
        <mc:AlternateContent xmlns:mc="http://schemas.openxmlformats.org/markup-compatibility/2006">
          <mc:Choice Requires="x14">
            <control shapeId="263183" r:id="rId10" name="Check Box 15">
              <controlPr defaultSize="0" autoFill="0" autoLine="0" autoPict="0">
                <anchor moveWithCells="1">
                  <from>
                    <xdr:col>3</xdr:col>
                    <xdr:colOff>1400175</xdr:colOff>
                    <xdr:row>24</xdr:row>
                    <xdr:rowOff>180975</xdr:rowOff>
                  </from>
                  <to>
                    <xdr:col>3</xdr:col>
                    <xdr:colOff>1657350</xdr:colOff>
                    <xdr:row>30</xdr:row>
                    <xdr:rowOff>19050</xdr:rowOff>
                  </to>
                </anchor>
              </controlPr>
            </control>
          </mc:Choice>
        </mc:AlternateContent>
        <mc:AlternateContent xmlns:mc="http://schemas.openxmlformats.org/markup-compatibility/2006">
          <mc:Choice Requires="x14">
            <control shapeId="263184" r:id="rId11" name="Check Box 16">
              <controlPr defaultSize="0" autoFill="0" autoLine="0" autoPict="0">
                <anchor moveWithCells="1">
                  <from>
                    <xdr:col>3</xdr:col>
                    <xdr:colOff>1400175</xdr:colOff>
                    <xdr:row>26</xdr:row>
                    <xdr:rowOff>180975</xdr:rowOff>
                  </from>
                  <to>
                    <xdr:col>3</xdr:col>
                    <xdr:colOff>1657350</xdr:colOff>
                    <xdr:row>30</xdr:row>
                    <xdr:rowOff>0</xdr:rowOff>
                  </to>
                </anchor>
              </controlPr>
            </control>
          </mc:Choice>
        </mc:AlternateContent>
        <mc:AlternateContent xmlns:mc="http://schemas.openxmlformats.org/markup-compatibility/2006">
          <mc:Choice Requires="x14">
            <control shapeId="263185" r:id="rId12" name="Check Box 17">
              <controlPr defaultSize="0" autoFill="0" autoLine="0" autoPict="0">
                <anchor moveWithCells="1">
                  <from>
                    <xdr:col>3</xdr:col>
                    <xdr:colOff>1409700</xdr:colOff>
                    <xdr:row>27</xdr:row>
                    <xdr:rowOff>171450</xdr:rowOff>
                  </from>
                  <to>
                    <xdr:col>3</xdr:col>
                    <xdr:colOff>1676400</xdr:colOff>
                    <xdr:row>30</xdr:row>
                    <xdr:rowOff>38100</xdr:rowOff>
                  </to>
                </anchor>
              </controlPr>
            </control>
          </mc:Choice>
        </mc:AlternateContent>
        <mc:AlternateContent xmlns:mc="http://schemas.openxmlformats.org/markup-compatibility/2006">
          <mc:Choice Requires="x14">
            <control shapeId="263189" r:id="rId13" name="Check Box 21">
              <controlPr defaultSize="0" autoFill="0" autoLine="0" autoPict="0">
                <anchor moveWithCells="1">
                  <from>
                    <xdr:col>3</xdr:col>
                    <xdr:colOff>1400175</xdr:colOff>
                    <xdr:row>6</xdr:row>
                    <xdr:rowOff>171450</xdr:rowOff>
                  </from>
                  <to>
                    <xdr:col>3</xdr:col>
                    <xdr:colOff>1790700</xdr:colOff>
                    <xdr:row>8</xdr:row>
                    <xdr:rowOff>19050</xdr:rowOff>
                  </to>
                </anchor>
              </controlPr>
            </control>
          </mc:Choice>
        </mc:AlternateContent>
        <mc:AlternateContent xmlns:mc="http://schemas.openxmlformats.org/markup-compatibility/2006">
          <mc:Choice Requires="x14">
            <control shapeId="263190" r:id="rId14" name="Check Box 22">
              <controlPr defaultSize="0" autoFill="0" autoLine="0" autoPict="0">
                <anchor moveWithCells="1">
                  <from>
                    <xdr:col>3</xdr:col>
                    <xdr:colOff>1400175</xdr:colOff>
                    <xdr:row>7</xdr:row>
                    <xdr:rowOff>171450</xdr:rowOff>
                  </from>
                  <to>
                    <xdr:col>3</xdr:col>
                    <xdr:colOff>1790700</xdr:colOff>
                    <xdr:row>9</xdr:row>
                    <xdr:rowOff>19050</xdr:rowOff>
                  </to>
                </anchor>
              </controlPr>
            </control>
          </mc:Choice>
        </mc:AlternateContent>
        <mc:AlternateContent xmlns:mc="http://schemas.openxmlformats.org/markup-compatibility/2006">
          <mc:Choice Requires="x14">
            <control shapeId="263196" r:id="rId15" name="Check Box 28">
              <controlPr defaultSize="0" autoFill="0" autoLine="0" autoPict="0">
                <anchor moveWithCells="1">
                  <from>
                    <xdr:col>3</xdr:col>
                    <xdr:colOff>1409700</xdr:colOff>
                    <xdr:row>10</xdr:row>
                    <xdr:rowOff>161925</xdr:rowOff>
                  </from>
                  <to>
                    <xdr:col>3</xdr:col>
                    <xdr:colOff>1800225</xdr:colOff>
                    <xdr:row>12</xdr:row>
                    <xdr:rowOff>38100</xdr:rowOff>
                  </to>
                </anchor>
              </controlPr>
            </control>
          </mc:Choice>
        </mc:AlternateContent>
        <mc:AlternateContent xmlns:mc="http://schemas.openxmlformats.org/markup-compatibility/2006">
          <mc:Choice Requires="x14">
            <control shapeId="263201" r:id="rId16" name="Check Box 33">
              <controlPr defaultSize="0" autoFill="0" autoLine="0" autoPict="0">
                <anchor moveWithCells="1">
                  <from>
                    <xdr:col>3</xdr:col>
                    <xdr:colOff>523875</xdr:colOff>
                    <xdr:row>32</xdr:row>
                    <xdr:rowOff>180975</xdr:rowOff>
                  </from>
                  <to>
                    <xdr:col>3</xdr:col>
                    <xdr:colOff>781050</xdr:colOff>
                    <xdr:row>34</xdr:row>
                    <xdr:rowOff>0</xdr:rowOff>
                  </to>
                </anchor>
              </controlPr>
            </control>
          </mc:Choice>
        </mc:AlternateContent>
        <mc:AlternateContent xmlns:mc="http://schemas.openxmlformats.org/markup-compatibility/2006">
          <mc:Choice Requires="x14">
            <control shapeId="263214" r:id="rId17" name="Check Box 46">
              <controlPr defaultSize="0" autoFill="0" autoLine="0" autoPict="0">
                <anchor moveWithCells="1">
                  <from>
                    <xdr:col>3</xdr:col>
                    <xdr:colOff>1400175</xdr:colOff>
                    <xdr:row>37</xdr:row>
                    <xdr:rowOff>0</xdr:rowOff>
                  </from>
                  <to>
                    <xdr:col>3</xdr:col>
                    <xdr:colOff>1657350</xdr:colOff>
                    <xdr:row>38</xdr:row>
                    <xdr:rowOff>19050</xdr:rowOff>
                  </to>
                </anchor>
              </controlPr>
            </control>
          </mc:Choice>
        </mc:AlternateContent>
        <mc:AlternateContent xmlns:mc="http://schemas.openxmlformats.org/markup-compatibility/2006">
          <mc:Choice Requires="x14">
            <control shapeId="263216" r:id="rId18" name="Check Box 48">
              <controlPr defaultSize="0" autoFill="0" autoLine="0" autoPict="0">
                <anchor moveWithCells="1">
                  <from>
                    <xdr:col>3</xdr:col>
                    <xdr:colOff>1400175</xdr:colOff>
                    <xdr:row>39</xdr:row>
                    <xdr:rowOff>0</xdr:rowOff>
                  </from>
                  <to>
                    <xdr:col>3</xdr:col>
                    <xdr:colOff>1657350</xdr:colOff>
                    <xdr:row>40</xdr:row>
                    <xdr:rowOff>19050</xdr:rowOff>
                  </to>
                </anchor>
              </controlPr>
            </control>
          </mc:Choice>
        </mc:AlternateContent>
        <mc:AlternateContent xmlns:mc="http://schemas.openxmlformats.org/markup-compatibility/2006">
          <mc:Choice Requires="x14">
            <control shapeId="263220" r:id="rId19" name="Check Box 52">
              <controlPr defaultSize="0" autoFill="0" autoLine="0" autoPict="0">
                <anchor moveWithCells="1">
                  <from>
                    <xdr:col>3</xdr:col>
                    <xdr:colOff>1400175</xdr:colOff>
                    <xdr:row>48</xdr:row>
                    <xdr:rowOff>171450</xdr:rowOff>
                  </from>
                  <to>
                    <xdr:col>3</xdr:col>
                    <xdr:colOff>1657350</xdr:colOff>
                    <xdr:row>49</xdr:row>
                    <xdr:rowOff>180975</xdr:rowOff>
                  </to>
                </anchor>
              </controlPr>
            </control>
          </mc:Choice>
        </mc:AlternateContent>
        <mc:AlternateContent xmlns:mc="http://schemas.openxmlformats.org/markup-compatibility/2006">
          <mc:Choice Requires="x14">
            <control shapeId="263221" r:id="rId20" name="Check Box 53">
              <controlPr defaultSize="0" autoFill="0" autoLine="0" autoPict="0">
                <anchor moveWithCells="1">
                  <from>
                    <xdr:col>3</xdr:col>
                    <xdr:colOff>1400175</xdr:colOff>
                    <xdr:row>51</xdr:row>
                    <xdr:rowOff>171450</xdr:rowOff>
                  </from>
                  <to>
                    <xdr:col>3</xdr:col>
                    <xdr:colOff>1657350</xdr:colOff>
                    <xdr:row>52</xdr:row>
                    <xdr:rowOff>180975</xdr:rowOff>
                  </to>
                </anchor>
              </controlPr>
            </control>
          </mc:Choice>
        </mc:AlternateContent>
        <mc:AlternateContent xmlns:mc="http://schemas.openxmlformats.org/markup-compatibility/2006">
          <mc:Choice Requires="x14">
            <control shapeId="263223" r:id="rId21" name="Check Box 55">
              <controlPr defaultSize="0" autoFill="0" autoLine="0" autoPict="0">
                <anchor moveWithCells="1">
                  <from>
                    <xdr:col>3</xdr:col>
                    <xdr:colOff>1438275</xdr:colOff>
                    <xdr:row>69</xdr:row>
                    <xdr:rowOff>171450</xdr:rowOff>
                  </from>
                  <to>
                    <xdr:col>3</xdr:col>
                    <xdr:colOff>1695450</xdr:colOff>
                    <xdr:row>70</xdr:row>
                    <xdr:rowOff>180975</xdr:rowOff>
                  </to>
                </anchor>
              </controlPr>
            </control>
          </mc:Choice>
        </mc:AlternateContent>
        <mc:AlternateContent xmlns:mc="http://schemas.openxmlformats.org/markup-compatibility/2006">
          <mc:Choice Requires="x14">
            <control shapeId="263226" r:id="rId22" name="Check Box 58">
              <controlPr defaultSize="0" autoFill="0" autoLine="0" autoPict="0">
                <anchor moveWithCells="1">
                  <from>
                    <xdr:col>3</xdr:col>
                    <xdr:colOff>1400175</xdr:colOff>
                    <xdr:row>36</xdr:row>
                    <xdr:rowOff>0</xdr:rowOff>
                  </from>
                  <to>
                    <xdr:col>3</xdr:col>
                    <xdr:colOff>1657350</xdr:colOff>
                    <xdr:row>37</xdr:row>
                    <xdr:rowOff>19050</xdr:rowOff>
                  </to>
                </anchor>
              </controlPr>
            </control>
          </mc:Choice>
        </mc:AlternateContent>
        <mc:AlternateContent xmlns:mc="http://schemas.openxmlformats.org/markup-compatibility/2006">
          <mc:Choice Requires="x14">
            <control shapeId="263228" r:id="rId23" name="Check Box 60">
              <controlPr defaultSize="0" autoFill="0" autoLine="0" autoPict="0">
                <anchor moveWithCells="1">
                  <from>
                    <xdr:col>3</xdr:col>
                    <xdr:colOff>1400175</xdr:colOff>
                    <xdr:row>38</xdr:row>
                    <xdr:rowOff>0</xdr:rowOff>
                  </from>
                  <to>
                    <xdr:col>3</xdr:col>
                    <xdr:colOff>1657350</xdr:colOff>
                    <xdr:row>39</xdr:row>
                    <xdr:rowOff>19050</xdr:rowOff>
                  </to>
                </anchor>
              </controlPr>
            </control>
          </mc:Choice>
        </mc:AlternateContent>
        <mc:AlternateContent xmlns:mc="http://schemas.openxmlformats.org/markup-compatibility/2006">
          <mc:Choice Requires="x14">
            <control shapeId="263229" r:id="rId24" name="Check Box 61">
              <controlPr defaultSize="0" autoFill="0" autoLine="0" autoPict="0">
                <anchor moveWithCells="1">
                  <from>
                    <xdr:col>3</xdr:col>
                    <xdr:colOff>1400175</xdr:colOff>
                    <xdr:row>40</xdr:row>
                    <xdr:rowOff>0</xdr:rowOff>
                  </from>
                  <to>
                    <xdr:col>3</xdr:col>
                    <xdr:colOff>1657350</xdr:colOff>
                    <xdr:row>41</xdr:row>
                    <xdr:rowOff>19050</xdr:rowOff>
                  </to>
                </anchor>
              </controlPr>
            </control>
          </mc:Choice>
        </mc:AlternateContent>
        <mc:AlternateContent xmlns:mc="http://schemas.openxmlformats.org/markup-compatibility/2006">
          <mc:Choice Requires="x14">
            <control shapeId="263238" r:id="rId25" name="Check Box 70">
              <controlPr defaultSize="0" autoFill="0" autoLine="0" autoPict="0">
                <anchor moveWithCells="1">
                  <from>
                    <xdr:col>3</xdr:col>
                    <xdr:colOff>1428750</xdr:colOff>
                    <xdr:row>68</xdr:row>
                    <xdr:rowOff>190500</xdr:rowOff>
                  </from>
                  <to>
                    <xdr:col>3</xdr:col>
                    <xdr:colOff>1695450</xdr:colOff>
                    <xdr:row>70</xdr:row>
                    <xdr:rowOff>0</xdr:rowOff>
                  </to>
                </anchor>
              </controlPr>
            </control>
          </mc:Choice>
        </mc:AlternateContent>
        <mc:AlternateContent xmlns:mc="http://schemas.openxmlformats.org/markup-compatibility/2006">
          <mc:Choice Requires="x14">
            <control shapeId="263239" r:id="rId26" name="Check Box 71">
              <controlPr defaultSize="0" autoFill="0" autoLine="0" autoPict="0">
                <anchor moveWithCells="1">
                  <from>
                    <xdr:col>3</xdr:col>
                    <xdr:colOff>1371600</xdr:colOff>
                    <xdr:row>31</xdr:row>
                    <xdr:rowOff>152400</xdr:rowOff>
                  </from>
                  <to>
                    <xdr:col>3</xdr:col>
                    <xdr:colOff>1647825</xdr:colOff>
                    <xdr:row>33</xdr:row>
                    <xdr:rowOff>19050</xdr:rowOff>
                  </to>
                </anchor>
              </controlPr>
            </control>
          </mc:Choice>
        </mc:AlternateContent>
        <mc:AlternateContent xmlns:mc="http://schemas.openxmlformats.org/markup-compatibility/2006">
          <mc:Choice Requires="x14">
            <control shapeId="263241" r:id="rId27" name="Check Box 73">
              <controlPr locked="0" defaultSize="0" autoFill="0" autoLine="0" autoPict="0">
                <anchor moveWithCells="1">
                  <from>
                    <xdr:col>2</xdr:col>
                    <xdr:colOff>533400</xdr:colOff>
                    <xdr:row>60</xdr:row>
                    <xdr:rowOff>180975</xdr:rowOff>
                  </from>
                  <to>
                    <xdr:col>2</xdr:col>
                    <xdr:colOff>942975</xdr:colOff>
                    <xdr:row>62</xdr:row>
                    <xdr:rowOff>28575</xdr:rowOff>
                  </to>
                </anchor>
              </controlPr>
            </control>
          </mc:Choice>
        </mc:AlternateContent>
        <mc:AlternateContent xmlns:mc="http://schemas.openxmlformats.org/markup-compatibility/2006">
          <mc:Choice Requires="x14">
            <control shapeId="263242" r:id="rId28" name="Check Box 74">
              <controlPr defaultSize="0" autoFill="0" autoLine="0" autoPict="0">
                <anchor moveWithCells="1">
                  <from>
                    <xdr:col>2</xdr:col>
                    <xdr:colOff>533400</xdr:colOff>
                    <xdr:row>53</xdr:row>
                    <xdr:rowOff>190500</xdr:rowOff>
                  </from>
                  <to>
                    <xdr:col>2</xdr:col>
                    <xdr:colOff>1019175</xdr:colOff>
                    <xdr:row>55</xdr:row>
                    <xdr:rowOff>28575</xdr:rowOff>
                  </to>
                </anchor>
              </controlPr>
            </control>
          </mc:Choice>
        </mc:AlternateContent>
        <mc:AlternateContent xmlns:mc="http://schemas.openxmlformats.org/markup-compatibility/2006">
          <mc:Choice Requires="x14">
            <control shapeId="263251" r:id="rId29" name="Check Box 83">
              <controlPr defaultSize="0" autoFill="0" autoLine="0" autoPict="0">
                <anchor moveWithCells="1">
                  <from>
                    <xdr:col>2</xdr:col>
                    <xdr:colOff>533400</xdr:colOff>
                    <xdr:row>57</xdr:row>
                    <xdr:rowOff>190500</xdr:rowOff>
                  </from>
                  <to>
                    <xdr:col>2</xdr:col>
                    <xdr:colOff>1019175</xdr:colOff>
                    <xdr:row>59</xdr:row>
                    <xdr:rowOff>28575</xdr:rowOff>
                  </to>
                </anchor>
              </controlPr>
            </control>
          </mc:Choice>
        </mc:AlternateContent>
        <mc:AlternateContent xmlns:mc="http://schemas.openxmlformats.org/markup-compatibility/2006">
          <mc:Choice Requires="x14">
            <control shapeId="263256" r:id="rId30" name="Check Box 88">
              <controlPr locked="0" defaultSize="0" autoFill="0" autoLine="0" autoPict="0">
                <anchor moveWithCells="1">
                  <from>
                    <xdr:col>2</xdr:col>
                    <xdr:colOff>561975</xdr:colOff>
                    <xdr:row>78</xdr:row>
                    <xdr:rowOff>0</xdr:rowOff>
                  </from>
                  <to>
                    <xdr:col>2</xdr:col>
                    <xdr:colOff>962025</xdr:colOff>
                    <xdr:row>79</xdr:row>
                    <xdr:rowOff>19050</xdr:rowOff>
                  </to>
                </anchor>
              </controlPr>
            </control>
          </mc:Choice>
        </mc:AlternateContent>
        <mc:AlternateContent xmlns:mc="http://schemas.openxmlformats.org/markup-compatibility/2006">
          <mc:Choice Requires="x14">
            <control shapeId="263257" r:id="rId31" name="Check Box 89">
              <controlPr defaultSize="0" autoFill="0" autoLine="0" autoPict="0">
                <anchor moveWithCells="1">
                  <from>
                    <xdr:col>2</xdr:col>
                    <xdr:colOff>561975</xdr:colOff>
                    <xdr:row>74</xdr:row>
                    <xdr:rowOff>257175</xdr:rowOff>
                  </from>
                  <to>
                    <xdr:col>2</xdr:col>
                    <xdr:colOff>1038225</xdr:colOff>
                    <xdr:row>76</xdr:row>
                    <xdr:rowOff>38100</xdr:rowOff>
                  </to>
                </anchor>
              </controlPr>
            </control>
          </mc:Choice>
        </mc:AlternateContent>
        <mc:AlternateContent xmlns:mc="http://schemas.openxmlformats.org/markup-compatibility/2006">
          <mc:Choice Requires="x14">
            <control shapeId="263259" r:id="rId32" name="Check Box 91">
              <controlPr locked="0" defaultSize="0" autoFill="0" autoLine="0" autoPict="0">
                <anchor moveWithCells="1">
                  <from>
                    <xdr:col>2</xdr:col>
                    <xdr:colOff>561975</xdr:colOff>
                    <xdr:row>75</xdr:row>
                    <xdr:rowOff>180975</xdr:rowOff>
                  </from>
                  <to>
                    <xdr:col>2</xdr:col>
                    <xdr:colOff>962025</xdr:colOff>
                    <xdr:row>77</xdr:row>
                    <xdr:rowOff>38100</xdr:rowOff>
                  </to>
                </anchor>
              </controlPr>
            </control>
          </mc:Choice>
        </mc:AlternateContent>
        <mc:AlternateContent xmlns:mc="http://schemas.openxmlformats.org/markup-compatibility/2006">
          <mc:Choice Requires="x14">
            <control shapeId="263265" r:id="rId33" name="Check Box 97">
              <controlPr locked="0" defaultSize="0" autoFill="0" autoLine="0" autoPict="0">
                <anchor moveWithCells="1">
                  <from>
                    <xdr:col>2</xdr:col>
                    <xdr:colOff>561975</xdr:colOff>
                    <xdr:row>76</xdr:row>
                    <xdr:rowOff>171450</xdr:rowOff>
                  </from>
                  <to>
                    <xdr:col>2</xdr:col>
                    <xdr:colOff>962025</xdr:colOff>
                    <xdr:row>78</xdr:row>
                    <xdr:rowOff>38100</xdr:rowOff>
                  </to>
                </anchor>
              </controlPr>
            </control>
          </mc:Choice>
        </mc:AlternateContent>
        <mc:AlternateContent xmlns:mc="http://schemas.openxmlformats.org/markup-compatibility/2006">
          <mc:Choice Requires="x14">
            <control shapeId="263266" r:id="rId34" name="Check Box 98">
              <controlPr locked="0" defaultSize="0" autoFill="0" autoLine="0" autoPict="0">
                <anchor moveWithCells="1">
                  <from>
                    <xdr:col>2</xdr:col>
                    <xdr:colOff>561975</xdr:colOff>
                    <xdr:row>76</xdr:row>
                    <xdr:rowOff>0</xdr:rowOff>
                  </from>
                  <to>
                    <xdr:col>2</xdr:col>
                    <xdr:colOff>962025</xdr:colOff>
                    <xdr:row>77</xdr:row>
                    <xdr:rowOff>47625</xdr:rowOff>
                  </to>
                </anchor>
              </controlPr>
            </control>
          </mc:Choice>
        </mc:AlternateContent>
        <mc:AlternateContent xmlns:mc="http://schemas.openxmlformats.org/markup-compatibility/2006">
          <mc:Choice Requires="x14">
            <control shapeId="263271" r:id="rId35" name="Check Box 103">
              <controlPr defaultSize="0" autoFill="0" autoLine="0" autoPict="0">
                <anchor moveWithCells="1">
                  <from>
                    <xdr:col>2</xdr:col>
                    <xdr:colOff>561975</xdr:colOff>
                    <xdr:row>93</xdr:row>
                    <xdr:rowOff>28575</xdr:rowOff>
                  </from>
                  <to>
                    <xdr:col>2</xdr:col>
                    <xdr:colOff>914400</xdr:colOff>
                    <xdr:row>94</xdr:row>
                    <xdr:rowOff>9525</xdr:rowOff>
                  </to>
                </anchor>
              </controlPr>
            </control>
          </mc:Choice>
        </mc:AlternateContent>
        <mc:AlternateContent xmlns:mc="http://schemas.openxmlformats.org/markup-compatibility/2006">
          <mc:Choice Requires="x14">
            <control shapeId="263272" r:id="rId36" name="Check Box 104">
              <controlPr defaultSize="0" autoFill="0" autoLine="0" autoPict="0">
                <anchor moveWithCells="1">
                  <from>
                    <xdr:col>2</xdr:col>
                    <xdr:colOff>561975</xdr:colOff>
                    <xdr:row>94</xdr:row>
                    <xdr:rowOff>28575</xdr:rowOff>
                  </from>
                  <to>
                    <xdr:col>2</xdr:col>
                    <xdr:colOff>914400</xdr:colOff>
                    <xdr:row>95</xdr:row>
                    <xdr:rowOff>9525</xdr:rowOff>
                  </to>
                </anchor>
              </controlPr>
            </control>
          </mc:Choice>
        </mc:AlternateContent>
        <mc:AlternateContent xmlns:mc="http://schemas.openxmlformats.org/markup-compatibility/2006">
          <mc:Choice Requires="x14">
            <control shapeId="263273" r:id="rId37" name="Check Box 105">
              <controlPr defaultSize="0" autoFill="0" autoLine="0" autoPict="0">
                <anchor moveWithCells="1">
                  <from>
                    <xdr:col>2</xdr:col>
                    <xdr:colOff>561975</xdr:colOff>
                    <xdr:row>96</xdr:row>
                    <xdr:rowOff>0</xdr:rowOff>
                  </from>
                  <to>
                    <xdr:col>2</xdr:col>
                    <xdr:colOff>914400</xdr:colOff>
                    <xdr:row>96</xdr:row>
                    <xdr:rowOff>171450</xdr:rowOff>
                  </to>
                </anchor>
              </controlPr>
            </control>
          </mc:Choice>
        </mc:AlternateContent>
        <mc:AlternateContent xmlns:mc="http://schemas.openxmlformats.org/markup-compatibility/2006">
          <mc:Choice Requires="x14">
            <control shapeId="263275" r:id="rId38" name="Check Box 107">
              <controlPr defaultSize="0" autoFill="0" autoLine="0" autoPict="0">
                <anchor moveWithCells="1">
                  <from>
                    <xdr:col>2</xdr:col>
                    <xdr:colOff>561975</xdr:colOff>
                    <xdr:row>96</xdr:row>
                    <xdr:rowOff>28575</xdr:rowOff>
                  </from>
                  <to>
                    <xdr:col>2</xdr:col>
                    <xdr:colOff>914400</xdr:colOff>
                    <xdr:row>97</xdr:row>
                    <xdr:rowOff>9525</xdr:rowOff>
                  </to>
                </anchor>
              </controlPr>
            </control>
          </mc:Choice>
        </mc:AlternateContent>
        <mc:AlternateContent xmlns:mc="http://schemas.openxmlformats.org/markup-compatibility/2006">
          <mc:Choice Requires="x14">
            <control shapeId="263277" r:id="rId39" name="Check Box 109">
              <controlPr defaultSize="0" autoFill="0" autoLine="0" autoPict="0">
                <anchor moveWithCells="1">
                  <from>
                    <xdr:col>2</xdr:col>
                    <xdr:colOff>561975</xdr:colOff>
                    <xdr:row>95</xdr:row>
                    <xdr:rowOff>28575</xdr:rowOff>
                  </from>
                  <to>
                    <xdr:col>2</xdr:col>
                    <xdr:colOff>914400</xdr:colOff>
                    <xdr:row>96</xdr:row>
                    <xdr:rowOff>9525</xdr:rowOff>
                  </to>
                </anchor>
              </controlPr>
            </control>
          </mc:Choice>
        </mc:AlternateContent>
        <mc:AlternateContent xmlns:mc="http://schemas.openxmlformats.org/markup-compatibility/2006">
          <mc:Choice Requires="x14">
            <control shapeId="263282" r:id="rId40" name="Check Box 114">
              <controlPr defaultSize="0" autoFill="0" autoLine="0" autoPict="0">
                <anchor moveWithCells="1">
                  <from>
                    <xdr:col>2</xdr:col>
                    <xdr:colOff>561975</xdr:colOff>
                    <xdr:row>98</xdr:row>
                    <xdr:rowOff>0</xdr:rowOff>
                  </from>
                  <to>
                    <xdr:col>2</xdr:col>
                    <xdr:colOff>942975</xdr:colOff>
                    <xdr:row>98</xdr:row>
                    <xdr:rowOff>180975</xdr:rowOff>
                  </to>
                </anchor>
              </controlPr>
            </control>
          </mc:Choice>
        </mc:AlternateContent>
        <mc:AlternateContent xmlns:mc="http://schemas.openxmlformats.org/markup-compatibility/2006">
          <mc:Choice Requires="x14">
            <control shapeId="263283" r:id="rId41" name="Check Box 115">
              <controlPr defaultSize="0" autoFill="0" autoLine="0" autoPict="0">
                <anchor moveWithCells="1">
                  <from>
                    <xdr:col>2</xdr:col>
                    <xdr:colOff>561975</xdr:colOff>
                    <xdr:row>92</xdr:row>
                    <xdr:rowOff>28575</xdr:rowOff>
                  </from>
                  <to>
                    <xdr:col>2</xdr:col>
                    <xdr:colOff>914400</xdr:colOff>
                    <xdr:row>93</xdr:row>
                    <xdr:rowOff>9525</xdr:rowOff>
                  </to>
                </anchor>
              </controlPr>
            </control>
          </mc:Choice>
        </mc:AlternateContent>
        <mc:AlternateContent xmlns:mc="http://schemas.openxmlformats.org/markup-compatibility/2006">
          <mc:Choice Requires="x14">
            <control shapeId="263292" r:id="rId42" name="Check Box 124">
              <controlPr defaultSize="0" autoFill="0" autoLine="0" autoPict="0">
                <anchor moveWithCells="1">
                  <from>
                    <xdr:col>3</xdr:col>
                    <xdr:colOff>1409700</xdr:colOff>
                    <xdr:row>112</xdr:row>
                    <xdr:rowOff>9525</xdr:rowOff>
                  </from>
                  <to>
                    <xdr:col>3</xdr:col>
                    <xdr:colOff>1790700</xdr:colOff>
                    <xdr:row>113</xdr:row>
                    <xdr:rowOff>9525</xdr:rowOff>
                  </to>
                </anchor>
              </controlPr>
            </control>
          </mc:Choice>
        </mc:AlternateContent>
        <mc:AlternateContent xmlns:mc="http://schemas.openxmlformats.org/markup-compatibility/2006">
          <mc:Choice Requires="x14">
            <control shapeId="263293" r:id="rId43" name="Check Box 125">
              <controlPr defaultSize="0" autoFill="0" autoLine="0" autoPict="0">
                <anchor moveWithCells="1">
                  <from>
                    <xdr:col>3</xdr:col>
                    <xdr:colOff>1409700</xdr:colOff>
                    <xdr:row>114</xdr:row>
                    <xdr:rowOff>9525</xdr:rowOff>
                  </from>
                  <to>
                    <xdr:col>3</xdr:col>
                    <xdr:colOff>1790700</xdr:colOff>
                    <xdr:row>115</xdr:row>
                    <xdr:rowOff>9525</xdr:rowOff>
                  </to>
                </anchor>
              </controlPr>
            </control>
          </mc:Choice>
        </mc:AlternateContent>
        <mc:AlternateContent xmlns:mc="http://schemas.openxmlformats.org/markup-compatibility/2006">
          <mc:Choice Requires="x14">
            <control shapeId="263297" r:id="rId44" name="Check Box 129">
              <controlPr defaultSize="0" autoFill="0" autoLine="0" autoPict="0">
                <anchor moveWithCells="1">
                  <from>
                    <xdr:col>3</xdr:col>
                    <xdr:colOff>1409700</xdr:colOff>
                    <xdr:row>117</xdr:row>
                    <xdr:rowOff>9525</xdr:rowOff>
                  </from>
                  <to>
                    <xdr:col>3</xdr:col>
                    <xdr:colOff>1790700</xdr:colOff>
                    <xdr:row>118</xdr:row>
                    <xdr:rowOff>9525</xdr:rowOff>
                  </to>
                </anchor>
              </controlPr>
            </control>
          </mc:Choice>
        </mc:AlternateContent>
        <mc:AlternateContent xmlns:mc="http://schemas.openxmlformats.org/markup-compatibility/2006">
          <mc:Choice Requires="x14">
            <control shapeId="263298" r:id="rId45" name="Check Box 130">
              <controlPr defaultSize="0" autoFill="0" autoLine="0" autoPict="0">
                <anchor moveWithCells="1">
                  <from>
                    <xdr:col>3</xdr:col>
                    <xdr:colOff>1409700</xdr:colOff>
                    <xdr:row>118</xdr:row>
                    <xdr:rowOff>9525</xdr:rowOff>
                  </from>
                  <to>
                    <xdr:col>3</xdr:col>
                    <xdr:colOff>1790700</xdr:colOff>
                    <xdr:row>119</xdr:row>
                    <xdr:rowOff>9525</xdr:rowOff>
                  </to>
                </anchor>
              </controlPr>
            </control>
          </mc:Choice>
        </mc:AlternateContent>
        <mc:AlternateContent xmlns:mc="http://schemas.openxmlformats.org/markup-compatibility/2006">
          <mc:Choice Requires="x14">
            <control shapeId="263299" r:id="rId46" name="Check Box 131">
              <controlPr defaultSize="0" autoFill="0" autoLine="0" autoPict="0">
                <anchor moveWithCells="1">
                  <from>
                    <xdr:col>3</xdr:col>
                    <xdr:colOff>1409700</xdr:colOff>
                    <xdr:row>119</xdr:row>
                    <xdr:rowOff>9525</xdr:rowOff>
                  </from>
                  <to>
                    <xdr:col>3</xdr:col>
                    <xdr:colOff>1790700</xdr:colOff>
                    <xdr:row>120</xdr:row>
                    <xdr:rowOff>9525</xdr:rowOff>
                  </to>
                </anchor>
              </controlPr>
            </control>
          </mc:Choice>
        </mc:AlternateContent>
        <mc:AlternateContent xmlns:mc="http://schemas.openxmlformats.org/markup-compatibility/2006">
          <mc:Choice Requires="x14">
            <control shapeId="263300" r:id="rId47" name="Check Box 132">
              <controlPr defaultSize="0" autoFill="0" autoLine="0" autoPict="0">
                <anchor moveWithCells="1">
                  <from>
                    <xdr:col>3</xdr:col>
                    <xdr:colOff>1409700</xdr:colOff>
                    <xdr:row>120</xdr:row>
                    <xdr:rowOff>9525</xdr:rowOff>
                  </from>
                  <to>
                    <xdr:col>3</xdr:col>
                    <xdr:colOff>1790700</xdr:colOff>
                    <xdr:row>121</xdr:row>
                    <xdr:rowOff>9525</xdr:rowOff>
                  </to>
                </anchor>
              </controlPr>
            </control>
          </mc:Choice>
        </mc:AlternateContent>
        <mc:AlternateContent xmlns:mc="http://schemas.openxmlformats.org/markup-compatibility/2006">
          <mc:Choice Requires="x14">
            <control shapeId="263301" r:id="rId48" name="Check Box 133">
              <controlPr defaultSize="0" autoFill="0" autoLine="0" autoPict="0">
                <anchor moveWithCells="1">
                  <from>
                    <xdr:col>3</xdr:col>
                    <xdr:colOff>1409700</xdr:colOff>
                    <xdr:row>121</xdr:row>
                    <xdr:rowOff>9525</xdr:rowOff>
                  </from>
                  <to>
                    <xdr:col>3</xdr:col>
                    <xdr:colOff>1790700</xdr:colOff>
                    <xdr:row>122</xdr:row>
                    <xdr:rowOff>9525</xdr:rowOff>
                  </to>
                </anchor>
              </controlPr>
            </control>
          </mc:Choice>
        </mc:AlternateContent>
        <mc:AlternateContent xmlns:mc="http://schemas.openxmlformats.org/markup-compatibility/2006">
          <mc:Choice Requires="x14">
            <control shapeId="263306" r:id="rId49" name="Check Box 138">
              <controlPr defaultSize="0" autoFill="0" autoLine="0" autoPict="0">
                <anchor moveWithCells="1">
                  <from>
                    <xdr:col>3</xdr:col>
                    <xdr:colOff>1409700</xdr:colOff>
                    <xdr:row>122</xdr:row>
                    <xdr:rowOff>9525</xdr:rowOff>
                  </from>
                  <to>
                    <xdr:col>3</xdr:col>
                    <xdr:colOff>1790700</xdr:colOff>
                    <xdr:row>123</xdr:row>
                    <xdr:rowOff>9525</xdr:rowOff>
                  </to>
                </anchor>
              </controlPr>
            </control>
          </mc:Choice>
        </mc:AlternateContent>
        <mc:AlternateContent xmlns:mc="http://schemas.openxmlformats.org/markup-compatibility/2006">
          <mc:Choice Requires="x14">
            <control shapeId="263307" r:id="rId50" name="Check Box 139">
              <controlPr defaultSize="0" autoFill="0" autoLine="0" autoPict="0">
                <anchor moveWithCells="1">
                  <from>
                    <xdr:col>3</xdr:col>
                    <xdr:colOff>1409700</xdr:colOff>
                    <xdr:row>123</xdr:row>
                    <xdr:rowOff>0</xdr:rowOff>
                  </from>
                  <to>
                    <xdr:col>3</xdr:col>
                    <xdr:colOff>1790700</xdr:colOff>
                    <xdr:row>124</xdr:row>
                    <xdr:rowOff>0</xdr:rowOff>
                  </to>
                </anchor>
              </controlPr>
            </control>
          </mc:Choice>
        </mc:AlternateContent>
        <mc:AlternateContent xmlns:mc="http://schemas.openxmlformats.org/markup-compatibility/2006">
          <mc:Choice Requires="x14">
            <control shapeId="263312" r:id="rId51" name="Check Box 144">
              <controlPr defaultSize="0" autoFill="0" autoLine="0" autoPict="0">
                <anchor moveWithCells="1">
                  <from>
                    <xdr:col>3</xdr:col>
                    <xdr:colOff>1409700</xdr:colOff>
                    <xdr:row>123</xdr:row>
                    <xdr:rowOff>9525</xdr:rowOff>
                  </from>
                  <to>
                    <xdr:col>3</xdr:col>
                    <xdr:colOff>1800225</xdr:colOff>
                    <xdr:row>124</xdr:row>
                    <xdr:rowOff>9525</xdr:rowOff>
                  </to>
                </anchor>
              </controlPr>
            </control>
          </mc:Choice>
        </mc:AlternateContent>
        <mc:AlternateContent xmlns:mc="http://schemas.openxmlformats.org/markup-compatibility/2006">
          <mc:Choice Requires="x14">
            <control shapeId="263314" r:id="rId52" name="Check Box 146">
              <controlPr defaultSize="0" autoFill="0" autoLine="0" autoPict="0">
                <anchor moveWithCells="1">
                  <from>
                    <xdr:col>3</xdr:col>
                    <xdr:colOff>1400175</xdr:colOff>
                    <xdr:row>129</xdr:row>
                    <xdr:rowOff>9525</xdr:rowOff>
                  </from>
                  <to>
                    <xdr:col>3</xdr:col>
                    <xdr:colOff>1781175</xdr:colOff>
                    <xdr:row>130</xdr:row>
                    <xdr:rowOff>9525</xdr:rowOff>
                  </to>
                </anchor>
              </controlPr>
            </control>
          </mc:Choice>
        </mc:AlternateContent>
        <mc:AlternateContent xmlns:mc="http://schemas.openxmlformats.org/markup-compatibility/2006">
          <mc:Choice Requires="x14">
            <control shapeId="263315" r:id="rId53" name="Check Box 147">
              <controlPr defaultSize="0" autoFill="0" autoLine="0" autoPict="0">
                <anchor moveWithCells="1">
                  <from>
                    <xdr:col>3</xdr:col>
                    <xdr:colOff>1400175</xdr:colOff>
                    <xdr:row>131</xdr:row>
                    <xdr:rowOff>9525</xdr:rowOff>
                  </from>
                  <to>
                    <xdr:col>3</xdr:col>
                    <xdr:colOff>1781175</xdr:colOff>
                    <xdr:row>132</xdr:row>
                    <xdr:rowOff>9525</xdr:rowOff>
                  </to>
                </anchor>
              </controlPr>
            </control>
          </mc:Choice>
        </mc:AlternateContent>
        <mc:AlternateContent xmlns:mc="http://schemas.openxmlformats.org/markup-compatibility/2006">
          <mc:Choice Requires="x14">
            <control shapeId="263319" r:id="rId54" name="Check Box 151">
              <controlPr defaultSize="0" autoFill="0" autoLine="0" autoPict="0">
                <anchor moveWithCells="1">
                  <from>
                    <xdr:col>3</xdr:col>
                    <xdr:colOff>1400175</xdr:colOff>
                    <xdr:row>133</xdr:row>
                    <xdr:rowOff>9525</xdr:rowOff>
                  </from>
                  <to>
                    <xdr:col>3</xdr:col>
                    <xdr:colOff>1781175</xdr:colOff>
                    <xdr:row>134</xdr:row>
                    <xdr:rowOff>9525</xdr:rowOff>
                  </to>
                </anchor>
              </controlPr>
            </control>
          </mc:Choice>
        </mc:AlternateContent>
        <mc:AlternateContent xmlns:mc="http://schemas.openxmlformats.org/markup-compatibility/2006">
          <mc:Choice Requires="x14">
            <control shapeId="263320" r:id="rId55" name="Check Box 152">
              <controlPr defaultSize="0" autoFill="0" autoLine="0" autoPict="0">
                <anchor moveWithCells="1">
                  <from>
                    <xdr:col>3</xdr:col>
                    <xdr:colOff>1400175</xdr:colOff>
                    <xdr:row>151</xdr:row>
                    <xdr:rowOff>9525</xdr:rowOff>
                  </from>
                  <to>
                    <xdr:col>3</xdr:col>
                    <xdr:colOff>1781175</xdr:colOff>
                    <xdr:row>152</xdr:row>
                    <xdr:rowOff>9525</xdr:rowOff>
                  </to>
                </anchor>
              </controlPr>
            </control>
          </mc:Choice>
        </mc:AlternateContent>
        <mc:AlternateContent xmlns:mc="http://schemas.openxmlformats.org/markup-compatibility/2006">
          <mc:Choice Requires="x14">
            <control shapeId="263321" r:id="rId56" name="Check Box 153">
              <controlPr defaultSize="0" autoFill="0" autoLine="0" autoPict="0">
                <anchor moveWithCells="1">
                  <from>
                    <xdr:col>3</xdr:col>
                    <xdr:colOff>1409700</xdr:colOff>
                    <xdr:row>111</xdr:row>
                    <xdr:rowOff>9525</xdr:rowOff>
                  </from>
                  <to>
                    <xdr:col>3</xdr:col>
                    <xdr:colOff>1790700</xdr:colOff>
                    <xdr:row>112</xdr:row>
                    <xdr:rowOff>9525</xdr:rowOff>
                  </to>
                </anchor>
              </controlPr>
            </control>
          </mc:Choice>
        </mc:AlternateContent>
        <mc:AlternateContent xmlns:mc="http://schemas.openxmlformats.org/markup-compatibility/2006">
          <mc:Choice Requires="x14">
            <control shapeId="263322" r:id="rId57" name="Check Box 154">
              <controlPr defaultSize="0" autoFill="0" autoLine="0" autoPict="0">
                <anchor moveWithCells="1">
                  <from>
                    <xdr:col>3</xdr:col>
                    <xdr:colOff>1400175</xdr:colOff>
                    <xdr:row>134</xdr:row>
                    <xdr:rowOff>9525</xdr:rowOff>
                  </from>
                  <to>
                    <xdr:col>3</xdr:col>
                    <xdr:colOff>1781175</xdr:colOff>
                    <xdr:row>135</xdr:row>
                    <xdr:rowOff>9525</xdr:rowOff>
                  </to>
                </anchor>
              </controlPr>
            </control>
          </mc:Choice>
        </mc:AlternateContent>
        <mc:AlternateContent xmlns:mc="http://schemas.openxmlformats.org/markup-compatibility/2006">
          <mc:Choice Requires="x14">
            <control shapeId="263340" r:id="rId58" name="Check Box 172">
              <controlPr defaultSize="0" autoFill="0" autoLine="0" autoPict="0">
                <anchor moveWithCells="1">
                  <from>
                    <xdr:col>3</xdr:col>
                    <xdr:colOff>1400175</xdr:colOff>
                    <xdr:row>146</xdr:row>
                    <xdr:rowOff>9525</xdr:rowOff>
                  </from>
                  <to>
                    <xdr:col>3</xdr:col>
                    <xdr:colOff>1781175</xdr:colOff>
                    <xdr:row>147</xdr:row>
                    <xdr:rowOff>9525</xdr:rowOff>
                  </to>
                </anchor>
              </controlPr>
            </control>
          </mc:Choice>
        </mc:AlternateContent>
        <mc:AlternateContent xmlns:mc="http://schemas.openxmlformats.org/markup-compatibility/2006">
          <mc:Choice Requires="x14">
            <control shapeId="263341" r:id="rId59" name="Check Box 173">
              <controlPr defaultSize="0" autoFill="0" autoLine="0" autoPict="0">
                <anchor moveWithCells="1">
                  <from>
                    <xdr:col>3</xdr:col>
                    <xdr:colOff>1400175</xdr:colOff>
                    <xdr:row>147</xdr:row>
                    <xdr:rowOff>9525</xdr:rowOff>
                  </from>
                  <to>
                    <xdr:col>3</xdr:col>
                    <xdr:colOff>1781175</xdr:colOff>
                    <xdr:row>148</xdr:row>
                    <xdr:rowOff>9525</xdr:rowOff>
                  </to>
                </anchor>
              </controlPr>
            </control>
          </mc:Choice>
        </mc:AlternateContent>
        <mc:AlternateContent xmlns:mc="http://schemas.openxmlformats.org/markup-compatibility/2006">
          <mc:Choice Requires="x14">
            <control shapeId="263344" r:id="rId60" name="Check Box 176">
              <controlPr defaultSize="0" autoFill="0" autoLine="0" autoPict="0">
                <anchor moveWithCells="1">
                  <from>
                    <xdr:col>3</xdr:col>
                    <xdr:colOff>1409700</xdr:colOff>
                    <xdr:row>154</xdr:row>
                    <xdr:rowOff>180975</xdr:rowOff>
                  </from>
                  <to>
                    <xdr:col>3</xdr:col>
                    <xdr:colOff>1790700</xdr:colOff>
                    <xdr:row>155</xdr:row>
                    <xdr:rowOff>180975</xdr:rowOff>
                  </to>
                </anchor>
              </controlPr>
            </control>
          </mc:Choice>
        </mc:AlternateContent>
        <mc:AlternateContent xmlns:mc="http://schemas.openxmlformats.org/markup-compatibility/2006">
          <mc:Choice Requires="x14">
            <control shapeId="263345" r:id="rId61" name="Check Box 177">
              <controlPr defaultSize="0" autoFill="0" autoLine="0" autoPict="0">
                <anchor moveWithCells="1">
                  <from>
                    <xdr:col>3</xdr:col>
                    <xdr:colOff>1419225</xdr:colOff>
                    <xdr:row>157</xdr:row>
                    <xdr:rowOff>0</xdr:rowOff>
                  </from>
                  <to>
                    <xdr:col>3</xdr:col>
                    <xdr:colOff>1800225</xdr:colOff>
                    <xdr:row>158</xdr:row>
                    <xdr:rowOff>0</xdr:rowOff>
                  </to>
                </anchor>
              </controlPr>
            </control>
          </mc:Choice>
        </mc:AlternateContent>
        <mc:AlternateContent xmlns:mc="http://schemas.openxmlformats.org/markup-compatibility/2006">
          <mc:Choice Requires="x14">
            <control shapeId="263346" r:id="rId62" name="Check Box 178">
              <controlPr defaultSize="0" autoFill="0" autoLine="0" autoPict="0">
                <anchor moveWithCells="1">
                  <from>
                    <xdr:col>3</xdr:col>
                    <xdr:colOff>1419225</xdr:colOff>
                    <xdr:row>158</xdr:row>
                    <xdr:rowOff>0</xdr:rowOff>
                  </from>
                  <to>
                    <xdr:col>3</xdr:col>
                    <xdr:colOff>1800225</xdr:colOff>
                    <xdr:row>159</xdr:row>
                    <xdr:rowOff>0</xdr:rowOff>
                  </to>
                </anchor>
              </controlPr>
            </control>
          </mc:Choice>
        </mc:AlternateContent>
        <mc:AlternateContent xmlns:mc="http://schemas.openxmlformats.org/markup-compatibility/2006">
          <mc:Choice Requires="x14">
            <control shapeId="263351" r:id="rId63" name="Check Box 183">
              <controlPr defaultSize="0" autoFill="0" autoLine="0" autoPict="0">
                <anchor moveWithCells="1">
                  <from>
                    <xdr:col>3</xdr:col>
                    <xdr:colOff>1419225</xdr:colOff>
                    <xdr:row>161</xdr:row>
                    <xdr:rowOff>0</xdr:rowOff>
                  </from>
                  <to>
                    <xdr:col>3</xdr:col>
                    <xdr:colOff>1800225</xdr:colOff>
                    <xdr:row>162</xdr:row>
                    <xdr:rowOff>0</xdr:rowOff>
                  </to>
                </anchor>
              </controlPr>
            </control>
          </mc:Choice>
        </mc:AlternateContent>
        <mc:AlternateContent xmlns:mc="http://schemas.openxmlformats.org/markup-compatibility/2006">
          <mc:Choice Requires="x14">
            <control shapeId="263352" r:id="rId64" name="Check Box 184">
              <controlPr defaultSize="0" autoFill="0" autoLine="0" autoPict="0">
                <anchor moveWithCells="1">
                  <from>
                    <xdr:col>3</xdr:col>
                    <xdr:colOff>1419225</xdr:colOff>
                    <xdr:row>162</xdr:row>
                    <xdr:rowOff>0</xdr:rowOff>
                  </from>
                  <to>
                    <xdr:col>3</xdr:col>
                    <xdr:colOff>1800225</xdr:colOff>
                    <xdr:row>163</xdr:row>
                    <xdr:rowOff>0</xdr:rowOff>
                  </to>
                </anchor>
              </controlPr>
            </control>
          </mc:Choice>
        </mc:AlternateContent>
        <mc:AlternateContent xmlns:mc="http://schemas.openxmlformats.org/markup-compatibility/2006">
          <mc:Choice Requires="x14">
            <control shapeId="263354" r:id="rId65" name="Check Box 186">
              <controlPr defaultSize="0" autoFill="0" autoLine="0" autoPict="0">
                <anchor moveWithCells="1">
                  <from>
                    <xdr:col>3</xdr:col>
                    <xdr:colOff>1419225</xdr:colOff>
                    <xdr:row>167</xdr:row>
                    <xdr:rowOff>0</xdr:rowOff>
                  </from>
                  <to>
                    <xdr:col>3</xdr:col>
                    <xdr:colOff>1800225</xdr:colOff>
                    <xdr:row>168</xdr:row>
                    <xdr:rowOff>0</xdr:rowOff>
                  </to>
                </anchor>
              </controlPr>
            </control>
          </mc:Choice>
        </mc:AlternateContent>
        <mc:AlternateContent xmlns:mc="http://schemas.openxmlformats.org/markup-compatibility/2006">
          <mc:Choice Requires="x14">
            <control shapeId="263355" r:id="rId66" name="Check Box 187">
              <controlPr defaultSize="0" autoFill="0" autoLine="0" autoPict="0">
                <anchor moveWithCells="1">
                  <from>
                    <xdr:col>3</xdr:col>
                    <xdr:colOff>1419225</xdr:colOff>
                    <xdr:row>168</xdr:row>
                    <xdr:rowOff>0</xdr:rowOff>
                  </from>
                  <to>
                    <xdr:col>3</xdr:col>
                    <xdr:colOff>1800225</xdr:colOff>
                    <xdr:row>169</xdr:row>
                    <xdr:rowOff>0</xdr:rowOff>
                  </to>
                </anchor>
              </controlPr>
            </control>
          </mc:Choice>
        </mc:AlternateContent>
        <mc:AlternateContent xmlns:mc="http://schemas.openxmlformats.org/markup-compatibility/2006">
          <mc:Choice Requires="x14">
            <control shapeId="263356" r:id="rId67" name="Check Box 188">
              <controlPr defaultSize="0" autoFill="0" autoLine="0" autoPict="0">
                <anchor moveWithCells="1">
                  <from>
                    <xdr:col>3</xdr:col>
                    <xdr:colOff>1419225</xdr:colOff>
                    <xdr:row>169</xdr:row>
                    <xdr:rowOff>0</xdr:rowOff>
                  </from>
                  <to>
                    <xdr:col>3</xdr:col>
                    <xdr:colOff>1800225</xdr:colOff>
                    <xdr:row>170</xdr:row>
                    <xdr:rowOff>0</xdr:rowOff>
                  </to>
                </anchor>
              </controlPr>
            </control>
          </mc:Choice>
        </mc:AlternateContent>
        <mc:AlternateContent xmlns:mc="http://schemas.openxmlformats.org/markup-compatibility/2006">
          <mc:Choice Requires="x14">
            <control shapeId="263359" r:id="rId68" name="Check Box 191">
              <controlPr defaultSize="0" autoFill="0" autoLine="0" autoPict="0">
                <anchor moveWithCells="1">
                  <from>
                    <xdr:col>3</xdr:col>
                    <xdr:colOff>1419225</xdr:colOff>
                    <xdr:row>170</xdr:row>
                    <xdr:rowOff>0</xdr:rowOff>
                  </from>
                  <to>
                    <xdr:col>3</xdr:col>
                    <xdr:colOff>1800225</xdr:colOff>
                    <xdr:row>171</xdr:row>
                    <xdr:rowOff>0</xdr:rowOff>
                  </to>
                </anchor>
              </controlPr>
            </control>
          </mc:Choice>
        </mc:AlternateContent>
        <mc:AlternateContent xmlns:mc="http://schemas.openxmlformats.org/markup-compatibility/2006">
          <mc:Choice Requires="x14">
            <control shapeId="263360" r:id="rId69" name="Check Box 192">
              <controlPr defaultSize="0" autoFill="0" autoLine="0" autoPict="0">
                <anchor moveWithCells="1">
                  <from>
                    <xdr:col>3</xdr:col>
                    <xdr:colOff>1419225</xdr:colOff>
                    <xdr:row>171</xdr:row>
                    <xdr:rowOff>0</xdr:rowOff>
                  </from>
                  <to>
                    <xdr:col>3</xdr:col>
                    <xdr:colOff>1800225</xdr:colOff>
                    <xdr:row>172</xdr:row>
                    <xdr:rowOff>0</xdr:rowOff>
                  </to>
                </anchor>
              </controlPr>
            </control>
          </mc:Choice>
        </mc:AlternateContent>
        <mc:AlternateContent xmlns:mc="http://schemas.openxmlformats.org/markup-compatibility/2006">
          <mc:Choice Requires="x14">
            <control shapeId="263361" r:id="rId70" name="Check Box 193">
              <controlPr defaultSize="0" autoFill="0" autoLine="0" autoPict="0">
                <anchor moveWithCells="1">
                  <from>
                    <xdr:col>3</xdr:col>
                    <xdr:colOff>1419225</xdr:colOff>
                    <xdr:row>172</xdr:row>
                    <xdr:rowOff>0</xdr:rowOff>
                  </from>
                  <to>
                    <xdr:col>3</xdr:col>
                    <xdr:colOff>1800225</xdr:colOff>
                    <xdr:row>173</xdr:row>
                    <xdr:rowOff>0</xdr:rowOff>
                  </to>
                </anchor>
              </controlPr>
            </control>
          </mc:Choice>
        </mc:AlternateContent>
        <mc:AlternateContent xmlns:mc="http://schemas.openxmlformats.org/markup-compatibility/2006">
          <mc:Choice Requires="x14">
            <control shapeId="263362" r:id="rId71" name="Check Box 194">
              <controlPr defaultSize="0" autoFill="0" autoLine="0" autoPict="0">
                <anchor moveWithCells="1">
                  <from>
                    <xdr:col>3</xdr:col>
                    <xdr:colOff>1419225</xdr:colOff>
                    <xdr:row>173</xdr:row>
                    <xdr:rowOff>0</xdr:rowOff>
                  </from>
                  <to>
                    <xdr:col>3</xdr:col>
                    <xdr:colOff>1800225</xdr:colOff>
                    <xdr:row>174</xdr:row>
                    <xdr:rowOff>0</xdr:rowOff>
                  </to>
                </anchor>
              </controlPr>
            </control>
          </mc:Choice>
        </mc:AlternateContent>
        <mc:AlternateContent xmlns:mc="http://schemas.openxmlformats.org/markup-compatibility/2006">
          <mc:Choice Requires="x14">
            <control shapeId="263363" r:id="rId72" name="Check Box 195">
              <controlPr defaultSize="0" autoFill="0" autoLine="0" autoPict="0">
                <anchor moveWithCells="1">
                  <from>
                    <xdr:col>3</xdr:col>
                    <xdr:colOff>1419225</xdr:colOff>
                    <xdr:row>174</xdr:row>
                    <xdr:rowOff>0</xdr:rowOff>
                  </from>
                  <to>
                    <xdr:col>3</xdr:col>
                    <xdr:colOff>1800225</xdr:colOff>
                    <xdr:row>175</xdr:row>
                    <xdr:rowOff>0</xdr:rowOff>
                  </to>
                </anchor>
              </controlPr>
            </control>
          </mc:Choice>
        </mc:AlternateContent>
        <mc:AlternateContent xmlns:mc="http://schemas.openxmlformats.org/markup-compatibility/2006">
          <mc:Choice Requires="x14">
            <control shapeId="263367" r:id="rId73" name="Check Box 199">
              <controlPr defaultSize="0" autoFill="0" autoLine="0" autoPict="0">
                <anchor moveWithCells="1">
                  <from>
                    <xdr:col>3</xdr:col>
                    <xdr:colOff>1400175</xdr:colOff>
                    <xdr:row>140</xdr:row>
                    <xdr:rowOff>9525</xdr:rowOff>
                  </from>
                  <to>
                    <xdr:col>3</xdr:col>
                    <xdr:colOff>1781175</xdr:colOff>
                    <xdr:row>141</xdr:row>
                    <xdr:rowOff>9525</xdr:rowOff>
                  </to>
                </anchor>
              </controlPr>
            </control>
          </mc:Choice>
        </mc:AlternateContent>
        <mc:AlternateContent xmlns:mc="http://schemas.openxmlformats.org/markup-compatibility/2006">
          <mc:Choice Requires="x14">
            <control shapeId="263368" r:id="rId74" name="Check Box 200">
              <controlPr defaultSize="0" autoFill="0" autoLine="0" autoPict="0">
                <anchor moveWithCells="1">
                  <from>
                    <xdr:col>3</xdr:col>
                    <xdr:colOff>1400175</xdr:colOff>
                    <xdr:row>141</xdr:row>
                    <xdr:rowOff>9525</xdr:rowOff>
                  </from>
                  <to>
                    <xdr:col>3</xdr:col>
                    <xdr:colOff>1781175</xdr:colOff>
                    <xdr:row>142</xdr:row>
                    <xdr:rowOff>9525</xdr:rowOff>
                  </to>
                </anchor>
              </controlPr>
            </control>
          </mc:Choice>
        </mc:AlternateContent>
        <mc:AlternateContent xmlns:mc="http://schemas.openxmlformats.org/markup-compatibility/2006">
          <mc:Choice Requires="x14">
            <control shapeId="263371" r:id="rId75" name="Check Box 203">
              <controlPr defaultSize="0" autoFill="0" autoLine="0" autoPict="0">
                <anchor moveWithCells="1">
                  <from>
                    <xdr:col>3</xdr:col>
                    <xdr:colOff>1400175</xdr:colOff>
                    <xdr:row>142</xdr:row>
                    <xdr:rowOff>0</xdr:rowOff>
                  </from>
                  <to>
                    <xdr:col>3</xdr:col>
                    <xdr:colOff>1781175</xdr:colOff>
                    <xdr:row>143</xdr:row>
                    <xdr:rowOff>0</xdr:rowOff>
                  </to>
                </anchor>
              </controlPr>
            </control>
          </mc:Choice>
        </mc:AlternateContent>
        <mc:AlternateContent xmlns:mc="http://schemas.openxmlformats.org/markup-compatibility/2006">
          <mc:Choice Requires="x14">
            <control shapeId="263373" r:id="rId76" name="Check Box 205">
              <controlPr defaultSize="0" autoFill="0" autoLine="0" autoPict="0">
                <anchor moveWithCells="1">
                  <from>
                    <xdr:col>3</xdr:col>
                    <xdr:colOff>1400175</xdr:colOff>
                    <xdr:row>144</xdr:row>
                    <xdr:rowOff>9525</xdr:rowOff>
                  </from>
                  <to>
                    <xdr:col>3</xdr:col>
                    <xdr:colOff>1781175</xdr:colOff>
                    <xdr:row>145</xdr:row>
                    <xdr:rowOff>9525</xdr:rowOff>
                  </to>
                </anchor>
              </controlPr>
            </control>
          </mc:Choice>
        </mc:AlternateContent>
        <mc:AlternateContent xmlns:mc="http://schemas.openxmlformats.org/markup-compatibility/2006">
          <mc:Choice Requires="x14">
            <control shapeId="263377" r:id="rId77" name="Check Box 209">
              <controlPr defaultSize="0" autoFill="0" autoLine="0" autoPict="0">
                <anchor moveWithCells="1">
                  <from>
                    <xdr:col>2</xdr:col>
                    <xdr:colOff>561975</xdr:colOff>
                    <xdr:row>101</xdr:row>
                    <xdr:rowOff>9525</xdr:rowOff>
                  </from>
                  <to>
                    <xdr:col>2</xdr:col>
                    <xdr:colOff>942975</xdr:colOff>
                    <xdr:row>102</xdr:row>
                    <xdr:rowOff>0</xdr:rowOff>
                  </to>
                </anchor>
              </controlPr>
            </control>
          </mc:Choice>
        </mc:AlternateContent>
        <mc:AlternateContent xmlns:mc="http://schemas.openxmlformats.org/markup-compatibility/2006">
          <mc:Choice Requires="x14">
            <control shapeId="263380" r:id="rId78" name="Check Box 212">
              <controlPr defaultSize="0" autoFill="0" autoLine="0" autoPict="0">
                <anchor moveWithCells="1">
                  <from>
                    <xdr:col>3</xdr:col>
                    <xdr:colOff>1400175</xdr:colOff>
                    <xdr:row>143</xdr:row>
                    <xdr:rowOff>9525</xdr:rowOff>
                  </from>
                  <to>
                    <xdr:col>3</xdr:col>
                    <xdr:colOff>1781175</xdr:colOff>
                    <xdr:row>144</xdr:row>
                    <xdr:rowOff>9525</xdr:rowOff>
                  </to>
                </anchor>
              </controlPr>
            </control>
          </mc:Choice>
        </mc:AlternateContent>
        <mc:AlternateContent xmlns:mc="http://schemas.openxmlformats.org/markup-compatibility/2006">
          <mc:Choice Requires="x14">
            <control shapeId="263381" r:id="rId79" name="Check Box 213">
              <controlPr defaultSize="0" autoFill="0" autoLine="0" autoPict="0">
                <anchor moveWithCells="1">
                  <from>
                    <xdr:col>3</xdr:col>
                    <xdr:colOff>1409700</xdr:colOff>
                    <xdr:row>107</xdr:row>
                    <xdr:rowOff>9525</xdr:rowOff>
                  </from>
                  <to>
                    <xdr:col>3</xdr:col>
                    <xdr:colOff>1790700</xdr:colOff>
                    <xdr:row>108</xdr:row>
                    <xdr:rowOff>9525</xdr:rowOff>
                  </to>
                </anchor>
              </controlPr>
            </control>
          </mc:Choice>
        </mc:AlternateContent>
        <mc:AlternateContent xmlns:mc="http://schemas.openxmlformats.org/markup-compatibility/2006">
          <mc:Choice Requires="x14">
            <control shapeId="263385" r:id="rId80" name="Check Box 217">
              <controlPr defaultSize="0" autoFill="0" autoLine="0" autoPict="0">
                <anchor moveWithCells="1">
                  <from>
                    <xdr:col>3</xdr:col>
                    <xdr:colOff>1419225</xdr:colOff>
                    <xdr:row>163</xdr:row>
                    <xdr:rowOff>0</xdr:rowOff>
                  </from>
                  <to>
                    <xdr:col>3</xdr:col>
                    <xdr:colOff>1800225</xdr:colOff>
                    <xdr:row>164</xdr:row>
                    <xdr:rowOff>0</xdr:rowOff>
                  </to>
                </anchor>
              </controlPr>
            </control>
          </mc:Choice>
        </mc:AlternateContent>
        <mc:AlternateContent xmlns:mc="http://schemas.openxmlformats.org/markup-compatibility/2006">
          <mc:Choice Requires="x14">
            <control shapeId="263386" r:id="rId81" name="Check Box 218">
              <controlPr defaultSize="0" autoFill="0" autoLine="0" autoPict="0">
                <anchor moveWithCells="1">
                  <from>
                    <xdr:col>3</xdr:col>
                    <xdr:colOff>1419225</xdr:colOff>
                    <xdr:row>164</xdr:row>
                    <xdr:rowOff>0</xdr:rowOff>
                  </from>
                  <to>
                    <xdr:col>3</xdr:col>
                    <xdr:colOff>1800225</xdr:colOff>
                    <xdr:row>165</xdr:row>
                    <xdr:rowOff>0</xdr:rowOff>
                  </to>
                </anchor>
              </controlPr>
            </control>
          </mc:Choice>
        </mc:AlternateContent>
        <mc:AlternateContent xmlns:mc="http://schemas.openxmlformats.org/markup-compatibility/2006">
          <mc:Choice Requires="x14">
            <control shapeId="263388" r:id="rId82" name="Check Box 220">
              <controlPr defaultSize="0" autoFill="0" autoLine="0" autoPict="0">
                <anchor moveWithCells="1">
                  <from>
                    <xdr:col>2</xdr:col>
                    <xdr:colOff>561975</xdr:colOff>
                    <xdr:row>97</xdr:row>
                    <xdr:rowOff>0</xdr:rowOff>
                  </from>
                  <to>
                    <xdr:col>2</xdr:col>
                    <xdr:colOff>914400</xdr:colOff>
                    <xdr:row>97</xdr:row>
                    <xdr:rowOff>171450</xdr:rowOff>
                  </to>
                </anchor>
              </controlPr>
            </control>
          </mc:Choice>
        </mc:AlternateContent>
        <mc:AlternateContent xmlns:mc="http://schemas.openxmlformats.org/markup-compatibility/2006">
          <mc:Choice Requires="x14">
            <control shapeId="263394" r:id="rId83" name="Check Box 226">
              <controlPr defaultSize="0" autoFill="0" autoLine="0" autoPict="0">
                <anchor moveWithCells="1">
                  <from>
                    <xdr:col>3</xdr:col>
                    <xdr:colOff>1400175</xdr:colOff>
                    <xdr:row>145</xdr:row>
                    <xdr:rowOff>9525</xdr:rowOff>
                  </from>
                  <to>
                    <xdr:col>3</xdr:col>
                    <xdr:colOff>1781175</xdr:colOff>
                    <xdr:row>146</xdr:row>
                    <xdr:rowOff>9525</xdr:rowOff>
                  </to>
                </anchor>
              </controlPr>
            </control>
          </mc:Choice>
        </mc:AlternateContent>
        <mc:AlternateContent xmlns:mc="http://schemas.openxmlformats.org/markup-compatibility/2006">
          <mc:Choice Requires="x14">
            <control shapeId="263400" r:id="rId84" name="Check Box 232">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1" r:id="rId85" name="Check Box 233">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3" r:id="rId86" name="Check Box 235">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4" r:id="rId87" name="Check Box 236">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6" r:id="rId88" name="Check Box 238">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7" r:id="rId89" name="Check Box 239">
              <controlPr defaultSize="0" autoFill="0" autoLine="0" autoPict="0">
                <anchor moveWithCells="1">
                  <from>
                    <xdr:col>3</xdr:col>
                    <xdr:colOff>1438275</xdr:colOff>
                    <xdr:row>71</xdr:row>
                    <xdr:rowOff>171450</xdr:rowOff>
                  </from>
                  <to>
                    <xdr:col>3</xdr:col>
                    <xdr:colOff>1695450</xdr:colOff>
                    <xdr:row>72</xdr:row>
                    <xdr:rowOff>171450</xdr:rowOff>
                  </to>
                </anchor>
              </controlPr>
            </control>
          </mc:Choice>
        </mc:AlternateContent>
        <mc:AlternateContent xmlns:mc="http://schemas.openxmlformats.org/markup-compatibility/2006">
          <mc:Choice Requires="x14">
            <control shapeId="263411" r:id="rId90" name="Check Box 243">
              <controlPr defaultSize="0" autoFill="0" autoLine="0" autoPict="0">
                <anchor moveWithCells="1">
                  <from>
                    <xdr:col>2</xdr:col>
                    <xdr:colOff>561975</xdr:colOff>
                    <xdr:row>99</xdr:row>
                    <xdr:rowOff>9525</xdr:rowOff>
                  </from>
                  <to>
                    <xdr:col>2</xdr:col>
                    <xdr:colOff>942975</xdr:colOff>
                    <xdr:row>100</xdr:row>
                    <xdr:rowOff>0</xdr:rowOff>
                  </to>
                </anchor>
              </controlPr>
            </control>
          </mc:Choice>
        </mc:AlternateContent>
        <mc:AlternateContent xmlns:mc="http://schemas.openxmlformats.org/markup-compatibility/2006">
          <mc:Choice Requires="x14">
            <control shapeId="263418" r:id="rId91" name="Check Box 250">
              <controlPr defaultSize="0" autoFill="0" autoLine="0" autoPict="0">
                <anchor moveWithCells="1">
                  <from>
                    <xdr:col>3</xdr:col>
                    <xdr:colOff>1438275</xdr:colOff>
                    <xdr:row>72</xdr:row>
                    <xdr:rowOff>171450</xdr:rowOff>
                  </from>
                  <to>
                    <xdr:col>3</xdr:col>
                    <xdr:colOff>1695450</xdr:colOff>
                    <xdr:row>73</xdr:row>
                    <xdr:rowOff>171450</xdr:rowOff>
                  </to>
                </anchor>
              </controlPr>
            </control>
          </mc:Choice>
        </mc:AlternateContent>
        <mc:AlternateContent xmlns:mc="http://schemas.openxmlformats.org/markup-compatibility/2006">
          <mc:Choice Requires="x14">
            <control shapeId="263429" r:id="rId92" name="Check Box 261">
              <controlPr defaultSize="0" autoFill="0" autoLine="0" autoPict="0">
                <anchor moveWithCells="1">
                  <from>
                    <xdr:col>3</xdr:col>
                    <xdr:colOff>1409700</xdr:colOff>
                    <xdr:row>88</xdr:row>
                    <xdr:rowOff>171450</xdr:rowOff>
                  </from>
                  <to>
                    <xdr:col>3</xdr:col>
                    <xdr:colOff>1657350</xdr:colOff>
                    <xdr:row>90</xdr:row>
                    <xdr:rowOff>28575</xdr:rowOff>
                  </to>
                </anchor>
              </controlPr>
            </control>
          </mc:Choice>
        </mc:AlternateContent>
        <mc:AlternateContent xmlns:mc="http://schemas.openxmlformats.org/markup-compatibility/2006">
          <mc:Choice Requires="x14">
            <control shapeId="263437" r:id="rId93" name="Check Box 269">
              <controlPr defaultSize="0" autoFill="0" autoLine="0" autoPict="0">
                <anchor moveWithCells="1">
                  <from>
                    <xdr:col>3</xdr:col>
                    <xdr:colOff>1419225</xdr:colOff>
                    <xdr:row>34</xdr:row>
                    <xdr:rowOff>161925</xdr:rowOff>
                  </from>
                  <to>
                    <xdr:col>3</xdr:col>
                    <xdr:colOff>1695450</xdr:colOff>
                    <xdr:row>36</xdr:row>
                    <xdr:rowOff>9525</xdr:rowOff>
                  </to>
                </anchor>
              </controlPr>
            </control>
          </mc:Choice>
        </mc:AlternateContent>
        <mc:AlternateContent xmlns:mc="http://schemas.openxmlformats.org/markup-compatibility/2006">
          <mc:Choice Requires="x14">
            <control shapeId="263445" r:id="rId94" name="Check Box 277">
              <controlPr defaultSize="0" autoFill="0" autoLine="0" autoPict="0">
                <anchor moveWithCells="1">
                  <from>
                    <xdr:col>3</xdr:col>
                    <xdr:colOff>628650</xdr:colOff>
                    <xdr:row>54</xdr:row>
                    <xdr:rowOff>180975</xdr:rowOff>
                  </from>
                  <to>
                    <xdr:col>3</xdr:col>
                    <xdr:colOff>876300</xdr:colOff>
                    <xdr:row>56</xdr:row>
                    <xdr:rowOff>9525</xdr:rowOff>
                  </to>
                </anchor>
              </controlPr>
            </control>
          </mc:Choice>
        </mc:AlternateContent>
        <mc:AlternateContent xmlns:mc="http://schemas.openxmlformats.org/markup-compatibility/2006">
          <mc:Choice Requires="x14">
            <control shapeId="263446" r:id="rId95" name="Check Box 278">
              <controlPr defaultSize="0" autoFill="0" autoLine="0" autoPict="0">
                <anchor moveWithCells="1">
                  <from>
                    <xdr:col>3</xdr:col>
                    <xdr:colOff>628650</xdr:colOff>
                    <xdr:row>55</xdr:row>
                    <xdr:rowOff>180975</xdr:rowOff>
                  </from>
                  <to>
                    <xdr:col>3</xdr:col>
                    <xdr:colOff>885825</xdr:colOff>
                    <xdr:row>57</xdr:row>
                    <xdr:rowOff>28575</xdr:rowOff>
                  </to>
                </anchor>
              </controlPr>
            </control>
          </mc:Choice>
        </mc:AlternateContent>
        <mc:AlternateContent xmlns:mc="http://schemas.openxmlformats.org/markup-compatibility/2006">
          <mc:Choice Requires="x14">
            <control shapeId="263447" r:id="rId96" name="Check Box 279">
              <controlPr defaultSize="0" autoFill="0" autoLine="0" autoPict="0">
                <anchor moveWithCells="1">
                  <from>
                    <xdr:col>3</xdr:col>
                    <xdr:colOff>628650</xdr:colOff>
                    <xdr:row>56</xdr:row>
                    <xdr:rowOff>190500</xdr:rowOff>
                  </from>
                  <to>
                    <xdr:col>3</xdr:col>
                    <xdr:colOff>876300</xdr:colOff>
                    <xdr:row>58</xdr:row>
                    <xdr:rowOff>19050</xdr:rowOff>
                  </to>
                </anchor>
              </controlPr>
            </control>
          </mc:Choice>
        </mc:AlternateContent>
        <mc:AlternateContent xmlns:mc="http://schemas.openxmlformats.org/markup-compatibility/2006">
          <mc:Choice Requires="x14">
            <control shapeId="263448" r:id="rId97" name="Check Box 280">
              <controlPr defaultSize="0" autoFill="0" autoLine="0" autoPict="0">
                <anchor moveWithCells="1">
                  <from>
                    <xdr:col>3</xdr:col>
                    <xdr:colOff>628650</xdr:colOff>
                    <xdr:row>58</xdr:row>
                    <xdr:rowOff>180975</xdr:rowOff>
                  </from>
                  <to>
                    <xdr:col>3</xdr:col>
                    <xdr:colOff>866775</xdr:colOff>
                    <xdr:row>60</xdr:row>
                    <xdr:rowOff>9525</xdr:rowOff>
                  </to>
                </anchor>
              </controlPr>
            </control>
          </mc:Choice>
        </mc:AlternateContent>
        <mc:AlternateContent xmlns:mc="http://schemas.openxmlformats.org/markup-compatibility/2006">
          <mc:Choice Requires="x14">
            <control shapeId="263464" r:id="rId98" name="Check Box 296">
              <controlPr defaultSize="0" autoFill="0" autoLine="0" autoPict="0">
                <anchor moveWithCells="1">
                  <from>
                    <xdr:col>3</xdr:col>
                    <xdr:colOff>1400175</xdr:colOff>
                    <xdr:row>50</xdr:row>
                    <xdr:rowOff>0</xdr:rowOff>
                  </from>
                  <to>
                    <xdr:col>3</xdr:col>
                    <xdr:colOff>1571625</xdr:colOff>
                    <xdr:row>50</xdr:row>
                    <xdr:rowOff>171450</xdr:rowOff>
                  </to>
                </anchor>
              </controlPr>
            </control>
          </mc:Choice>
        </mc:AlternateContent>
        <mc:AlternateContent xmlns:mc="http://schemas.openxmlformats.org/markup-compatibility/2006">
          <mc:Choice Requires="x14">
            <control shapeId="263480" r:id="rId99" name="Check Box 312">
              <controlPr defaultSize="0" autoFill="0" autoLine="0" autoPict="0">
                <anchor moveWithCells="1">
                  <from>
                    <xdr:col>3</xdr:col>
                    <xdr:colOff>1400175</xdr:colOff>
                    <xdr:row>102</xdr:row>
                    <xdr:rowOff>171450</xdr:rowOff>
                  </from>
                  <to>
                    <xdr:col>3</xdr:col>
                    <xdr:colOff>1647825</xdr:colOff>
                    <xdr:row>104</xdr:row>
                    <xdr:rowOff>19050</xdr:rowOff>
                  </to>
                </anchor>
              </controlPr>
            </control>
          </mc:Choice>
        </mc:AlternateContent>
        <mc:AlternateContent xmlns:mc="http://schemas.openxmlformats.org/markup-compatibility/2006">
          <mc:Choice Requires="x14">
            <control shapeId="263482" r:id="rId100" name="Check Box 314">
              <controlPr defaultSize="0" autoFill="0" autoLine="0" autoPict="0">
                <anchor moveWithCells="1">
                  <from>
                    <xdr:col>3</xdr:col>
                    <xdr:colOff>571500</xdr:colOff>
                    <xdr:row>44</xdr:row>
                    <xdr:rowOff>171450</xdr:rowOff>
                  </from>
                  <to>
                    <xdr:col>3</xdr:col>
                    <xdr:colOff>876300</xdr:colOff>
                    <xdr:row>46</xdr:row>
                    <xdr:rowOff>9525</xdr:rowOff>
                  </to>
                </anchor>
              </controlPr>
            </control>
          </mc:Choice>
        </mc:AlternateContent>
        <mc:AlternateContent xmlns:mc="http://schemas.openxmlformats.org/markup-compatibility/2006">
          <mc:Choice Requires="x14">
            <control shapeId="263483" r:id="rId101" name="Check Box 315">
              <controlPr defaultSize="0" autoFill="0" autoLine="0" autoPict="0">
                <anchor moveWithCells="1">
                  <from>
                    <xdr:col>2</xdr:col>
                    <xdr:colOff>495300</xdr:colOff>
                    <xdr:row>45</xdr:row>
                    <xdr:rowOff>180975</xdr:rowOff>
                  </from>
                  <to>
                    <xdr:col>2</xdr:col>
                    <xdr:colOff>809625</xdr:colOff>
                    <xdr:row>47</xdr:row>
                    <xdr:rowOff>19050</xdr:rowOff>
                  </to>
                </anchor>
              </controlPr>
            </control>
          </mc:Choice>
        </mc:AlternateContent>
        <mc:AlternateContent xmlns:mc="http://schemas.openxmlformats.org/markup-compatibility/2006">
          <mc:Choice Requires="x14">
            <control shapeId="263498" r:id="rId102" name="Check Box 330">
              <controlPr defaultSize="0" autoFill="0" autoLine="0" autoPict="0">
                <anchor moveWithCells="1">
                  <from>
                    <xdr:col>3</xdr:col>
                    <xdr:colOff>1409700</xdr:colOff>
                    <xdr:row>114</xdr:row>
                    <xdr:rowOff>161925</xdr:rowOff>
                  </from>
                  <to>
                    <xdr:col>3</xdr:col>
                    <xdr:colOff>1752600</xdr:colOff>
                    <xdr:row>116</xdr:row>
                    <xdr:rowOff>19050</xdr:rowOff>
                  </to>
                </anchor>
              </controlPr>
            </control>
          </mc:Choice>
        </mc:AlternateContent>
        <mc:AlternateContent xmlns:mc="http://schemas.openxmlformats.org/markup-compatibility/2006">
          <mc:Choice Requires="x14">
            <control shapeId="263499" r:id="rId103" name="Check Box 331">
              <controlPr defaultSize="0" autoFill="0" autoLine="0" autoPict="0">
                <anchor moveWithCells="1">
                  <from>
                    <xdr:col>3</xdr:col>
                    <xdr:colOff>1390650</xdr:colOff>
                    <xdr:row>126</xdr:row>
                    <xdr:rowOff>161925</xdr:rowOff>
                  </from>
                  <to>
                    <xdr:col>3</xdr:col>
                    <xdr:colOff>1752600</xdr:colOff>
                    <xdr:row>128</xdr:row>
                    <xdr:rowOff>28575</xdr:rowOff>
                  </to>
                </anchor>
              </controlPr>
            </control>
          </mc:Choice>
        </mc:AlternateContent>
        <mc:AlternateContent xmlns:mc="http://schemas.openxmlformats.org/markup-compatibility/2006">
          <mc:Choice Requires="x14">
            <control shapeId="263500" r:id="rId104" name="Check Box 332">
              <controlPr defaultSize="0" autoFill="0" autoLine="0" autoPict="0">
                <anchor moveWithCells="1">
                  <from>
                    <xdr:col>3</xdr:col>
                    <xdr:colOff>1400175</xdr:colOff>
                    <xdr:row>127</xdr:row>
                    <xdr:rowOff>142875</xdr:rowOff>
                  </from>
                  <to>
                    <xdr:col>3</xdr:col>
                    <xdr:colOff>1724025</xdr:colOff>
                    <xdr:row>129</xdr:row>
                    <xdr:rowOff>28575</xdr:rowOff>
                  </to>
                </anchor>
              </controlPr>
            </control>
          </mc:Choice>
        </mc:AlternateContent>
        <mc:AlternateContent xmlns:mc="http://schemas.openxmlformats.org/markup-compatibility/2006">
          <mc:Choice Requires="x14">
            <control shapeId="263501" r:id="rId105" name="Check Box 333">
              <controlPr defaultSize="0" autoFill="0" autoLine="0" autoPict="0">
                <anchor moveWithCells="1">
                  <from>
                    <xdr:col>3</xdr:col>
                    <xdr:colOff>1400175</xdr:colOff>
                    <xdr:row>129</xdr:row>
                    <xdr:rowOff>0</xdr:rowOff>
                  </from>
                  <to>
                    <xdr:col>3</xdr:col>
                    <xdr:colOff>1724025</xdr:colOff>
                    <xdr:row>130</xdr:row>
                    <xdr:rowOff>38100</xdr:rowOff>
                  </to>
                </anchor>
              </controlPr>
            </control>
          </mc:Choice>
        </mc:AlternateContent>
        <mc:AlternateContent xmlns:mc="http://schemas.openxmlformats.org/markup-compatibility/2006">
          <mc:Choice Requires="x14">
            <control shapeId="263503" r:id="rId106" name="Check Box 335">
              <controlPr defaultSize="0" autoFill="0" autoLine="0" autoPict="0">
                <anchor moveWithCells="1">
                  <from>
                    <xdr:col>3</xdr:col>
                    <xdr:colOff>1400175</xdr:colOff>
                    <xdr:row>149</xdr:row>
                    <xdr:rowOff>180975</xdr:rowOff>
                  </from>
                  <to>
                    <xdr:col>3</xdr:col>
                    <xdr:colOff>1800225</xdr:colOff>
                    <xdr:row>151</xdr:row>
                    <xdr:rowOff>19050</xdr:rowOff>
                  </to>
                </anchor>
              </controlPr>
            </control>
          </mc:Choice>
        </mc:AlternateContent>
        <mc:AlternateContent xmlns:mc="http://schemas.openxmlformats.org/markup-compatibility/2006">
          <mc:Choice Requires="x14">
            <control shapeId="263506" r:id="rId107" name="Check Box 338">
              <controlPr defaultSize="0" autoFill="0" autoLine="0" autoPict="0">
                <anchor moveWithCells="1">
                  <from>
                    <xdr:col>3</xdr:col>
                    <xdr:colOff>1400175</xdr:colOff>
                    <xdr:row>134</xdr:row>
                    <xdr:rowOff>171450</xdr:rowOff>
                  </from>
                  <to>
                    <xdr:col>3</xdr:col>
                    <xdr:colOff>1704975</xdr:colOff>
                    <xdr:row>136</xdr:row>
                    <xdr:rowOff>9525</xdr:rowOff>
                  </to>
                </anchor>
              </controlPr>
            </control>
          </mc:Choice>
        </mc:AlternateContent>
        <mc:AlternateContent xmlns:mc="http://schemas.openxmlformats.org/markup-compatibility/2006">
          <mc:Choice Requires="x14">
            <control shapeId="263507" r:id="rId108" name="Check Box 339">
              <controlPr defaultSize="0" autoFill="0" autoLine="0" autoPict="0">
                <anchor moveWithCells="1">
                  <from>
                    <xdr:col>3</xdr:col>
                    <xdr:colOff>1400175</xdr:colOff>
                    <xdr:row>135</xdr:row>
                    <xdr:rowOff>171450</xdr:rowOff>
                  </from>
                  <to>
                    <xdr:col>3</xdr:col>
                    <xdr:colOff>1800225</xdr:colOff>
                    <xdr:row>137</xdr:row>
                    <xdr:rowOff>9525</xdr:rowOff>
                  </to>
                </anchor>
              </controlPr>
            </control>
          </mc:Choice>
        </mc:AlternateContent>
        <mc:AlternateContent xmlns:mc="http://schemas.openxmlformats.org/markup-compatibility/2006">
          <mc:Choice Requires="x14">
            <control shapeId="263508" r:id="rId109" name="Check Box 340">
              <controlPr defaultSize="0" autoFill="0" autoLine="0" autoPict="0">
                <anchor moveWithCells="1">
                  <from>
                    <xdr:col>3</xdr:col>
                    <xdr:colOff>1390650</xdr:colOff>
                    <xdr:row>136</xdr:row>
                    <xdr:rowOff>171450</xdr:rowOff>
                  </from>
                  <to>
                    <xdr:col>3</xdr:col>
                    <xdr:colOff>1781175</xdr:colOff>
                    <xdr:row>138</xdr:row>
                    <xdr:rowOff>9525</xdr:rowOff>
                  </to>
                </anchor>
              </controlPr>
            </control>
          </mc:Choice>
        </mc:AlternateContent>
        <mc:AlternateContent xmlns:mc="http://schemas.openxmlformats.org/markup-compatibility/2006">
          <mc:Choice Requires="x14">
            <control shapeId="263509" r:id="rId110" name="Check Box 341">
              <controlPr defaultSize="0" autoFill="0" autoLine="0" autoPict="0">
                <anchor moveWithCells="1">
                  <from>
                    <xdr:col>3</xdr:col>
                    <xdr:colOff>1400175</xdr:colOff>
                    <xdr:row>151</xdr:row>
                    <xdr:rowOff>180975</xdr:rowOff>
                  </from>
                  <to>
                    <xdr:col>3</xdr:col>
                    <xdr:colOff>1790700</xdr:colOff>
                    <xdr:row>153</xdr:row>
                    <xdr:rowOff>19050</xdr:rowOff>
                  </to>
                </anchor>
              </controlPr>
            </control>
          </mc:Choice>
        </mc:AlternateContent>
        <mc:AlternateContent xmlns:mc="http://schemas.openxmlformats.org/markup-compatibility/2006">
          <mc:Choice Requires="x14">
            <control shapeId="263510" r:id="rId111" name="Check Box 342">
              <controlPr defaultSize="0" autoFill="0" autoLine="0" autoPict="0">
                <anchor moveWithCells="1">
                  <from>
                    <xdr:col>3</xdr:col>
                    <xdr:colOff>1390650</xdr:colOff>
                    <xdr:row>139</xdr:row>
                    <xdr:rowOff>0</xdr:rowOff>
                  </from>
                  <to>
                    <xdr:col>3</xdr:col>
                    <xdr:colOff>1781175</xdr:colOff>
                    <xdr:row>140</xdr:row>
                    <xdr:rowOff>28575</xdr:rowOff>
                  </to>
                </anchor>
              </controlPr>
            </control>
          </mc:Choice>
        </mc:AlternateContent>
        <mc:AlternateContent xmlns:mc="http://schemas.openxmlformats.org/markup-compatibility/2006">
          <mc:Choice Requires="x14">
            <control shapeId="263512" r:id="rId112" name="Check Box 344">
              <controlPr defaultSize="0" autoFill="0" autoLine="0" autoPict="0">
                <anchor moveWithCells="1">
                  <from>
                    <xdr:col>3</xdr:col>
                    <xdr:colOff>619125</xdr:colOff>
                    <xdr:row>67</xdr:row>
                    <xdr:rowOff>180975</xdr:rowOff>
                  </from>
                  <to>
                    <xdr:col>3</xdr:col>
                    <xdr:colOff>923925</xdr:colOff>
                    <xdr:row>69</xdr:row>
                    <xdr:rowOff>0</xdr:rowOff>
                  </to>
                </anchor>
              </controlPr>
            </control>
          </mc:Choice>
        </mc:AlternateContent>
        <mc:AlternateContent xmlns:mc="http://schemas.openxmlformats.org/markup-compatibility/2006">
          <mc:Choice Requires="x14">
            <control shapeId="263515" r:id="rId113" name="Check Box 347">
              <controlPr defaultSize="0" autoFill="0" autoLine="0" autoPict="0">
                <anchor moveWithCells="1">
                  <from>
                    <xdr:col>3</xdr:col>
                    <xdr:colOff>619125</xdr:colOff>
                    <xdr:row>67</xdr:row>
                    <xdr:rowOff>9525</xdr:rowOff>
                  </from>
                  <to>
                    <xdr:col>3</xdr:col>
                    <xdr:colOff>923925</xdr:colOff>
                    <xdr:row>68</xdr:row>
                    <xdr:rowOff>0</xdr:rowOff>
                  </to>
                </anchor>
              </controlPr>
            </control>
          </mc:Choice>
        </mc:AlternateContent>
        <mc:AlternateContent xmlns:mc="http://schemas.openxmlformats.org/markup-compatibility/2006">
          <mc:Choice Requires="x14">
            <control shapeId="263517" r:id="rId114" name="Check Box 349">
              <controlPr defaultSize="0" autoFill="0" autoLine="0" autoPict="0">
                <anchor moveWithCells="1">
                  <from>
                    <xdr:col>3</xdr:col>
                    <xdr:colOff>1428750</xdr:colOff>
                    <xdr:row>65</xdr:row>
                    <xdr:rowOff>190500</xdr:rowOff>
                  </from>
                  <to>
                    <xdr:col>3</xdr:col>
                    <xdr:colOff>1695450</xdr:colOff>
                    <xdr:row>66</xdr:row>
                    <xdr:rowOff>190500</xdr:rowOff>
                  </to>
                </anchor>
              </controlPr>
            </control>
          </mc:Choice>
        </mc:AlternateContent>
        <mc:AlternateContent xmlns:mc="http://schemas.openxmlformats.org/markup-compatibility/2006">
          <mc:Choice Requires="x14">
            <control shapeId="263520" r:id="rId115" name="Check Box 352">
              <controlPr defaultSize="0" autoFill="0" autoLine="0" autoPict="0">
                <anchor moveWithCells="1">
                  <from>
                    <xdr:col>3</xdr:col>
                    <xdr:colOff>1419225</xdr:colOff>
                    <xdr:row>158</xdr:row>
                    <xdr:rowOff>171450</xdr:rowOff>
                  </from>
                  <to>
                    <xdr:col>3</xdr:col>
                    <xdr:colOff>1657350</xdr:colOff>
                    <xdr:row>160</xdr:row>
                    <xdr:rowOff>19050</xdr:rowOff>
                  </to>
                </anchor>
              </controlPr>
            </control>
          </mc:Choice>
        </mc:AlternateContent>
        <mc:AlternateContent xmlns:mc="http://schemas.openxmlformats.org/markup-compatibility/2006">
          <mc:Choice Requires="x14">
            <control shapeId="263523" r:id="rId116" name="Check Box 355">
              <controlPr defaultSize="0" autoFill="0" autoLine="0" autoPict="0">
                <anchor moveWithCells="1">
                  <from>
                    <xdr:col>3</xdr:col>
                    <xdr:colOff>1400175</xdr:colOff>
                    <xdr:row>153</xdr:row>
                    <xdr:rowOff>0</xdr:rowOff>
                  </from>
                  <to>
                    <xdr:col>3</xdr:col>
                    <xdr:colOff>1619250</xdr:colOff>
                    <xdr:row>154</xdr:row>
                    <xdr:rowOff>19050</xdr:rowOff>
                  </to>
                </anchor>
              </controlPr>
            </control>
          </mc:Choice>
        </mc:AlternateContent>
        <mc:AlternateContent xmlns:mc="http://schemas.openxmlformats.org/markup-compatibility/2006">
          <mc:Choice Requires="x14">
            <control shapeId="263524" r:id="rId117" name="Check Box 356">
              <controlPr defaultSize="0" autoFill="0" autoLine="0" autoPict="0">
                <anchor moveWithCells="1">
                  <from>
                    <xdr:col>3</xdr:col>
                    <xdr:colOff>523875</xdr:colOff>
                    <xdr:row>33</xdr:row>
                    <xdr:rowOff>161925</xdr:rowOff>
                  </from>
                  <to>
                    <xdr:col>3</xdr:col>
                    <xdr:colOff>771525</xdr:colOff>
                    <xdr:row>35</xdr:row>
                    <xdr:rowOff>19050</xdr:rowOff>
                  </to>
                </anchor>
              </controlPr>
            </control>
          </mc:Choice>
        </mc:AlternateContent>
        <mc:AlternateContent xmlns:mc="http://schemas.openxmlformats.org/markup-compatibility/2006">
          <mc:Choice Requires="x14">
            <control shapeId="263525" r:id="rId118" name="Check Box 357">
              <controlPr defaultSize="0" autoFill="0" autoLine="0" autoPict="0">
                <anchor moveWithCells="1">
                  <from>
                    <xdr:col>3</xdr:col>
                    <xdr:colOff>1409700</xdr:colOff>
                    <xdr:row>115</xdr:row>
                    <xdr:rowOff>161925</xdr:rowOff>
                  </from>
                  <to>
                    <xdr:col>3</xdr:col>
                    <xdr:colOff>1657350</xdr:colOff>
                    <xdr:row>117</xdr:row>
                    <xdr:rowOff>19050</xdr:rowOff>
                  </to>
                </anchor>
              </controlPr>
            </control>
          </mc:Choice>
        </mc:AlternateContent>
        <mc:AlternateContent xmlns:mc="http://schemas.openxmlformats.org/markup-compatibility/2006">
          <mc:Choice Requires="x14">
            <control shapeId="263527" r:id="rId119" name="Check Box 359">
              <controlPr locked="0" defaultSize="0" autoFill="0" autoLine="0" autoPict="0">
                <anchor moveWithCells="1">
                  <from>
                    <xdr:col>2</xdr:col>
                    <xdr:colOff>542925</xdr:colOff>
                    <xdr:row>73</xdr:row>
                    <xdr:rowOff>0</xdr:rowOff>
                  </from>
                  <to>
                    <xdr:col>2</xdr:col>
                    <xdr:colOff>952500</xdr:colOff>
                    <xdr:row>74</xdr:row>
                    <xdr:rowOff>57150</xdr:rowOff>
                  </to>
                </anchor>
              </controlPr>
            </control>
          </mc:Choice>
        </mc:AlternateContent>
        <mc:AlternateContent xmlns:mc="http://schemas.openxmlformats.org/markup-compatibility/2006">
          <mc:Choice Requires="x14">
            <control shapeId="263528" r:id="rId120" name="Check Box 360">
              <controlPr defaultSize="0" autoFill="0" autoLine="0" autoPict="0">
                <anchor moveWithCells="1">
                  <from>
                    <xdr:col>2</xdr:col>
                    <xdr:colOff>561975</xdr:colOff>
                    <xdr:row>99</xdr:row>
                    <xdr:rowOff>171450</xdr:rowOff>
                  </from>
                  <to>
                    <xdr:col>2</xdr:col>
                    <xdr:colOff>866775</xdr:colOff>
                    <xdr:row>101</xdr:row>
                    <xdr:rowOff>9525</xdr:rowOff>
                  </to>
                </anchor>
              </controlPr>
            </control>
          </mc:Choice>
        </mc:AlternateContent>
        <mc:AlternateContent xmlns:mc="http://schemas.openxmlformats.org/markup-compatibility/2006">
          <mc:Choice Requires="x14">
            <control shapeId="263529" r:id="rId121" name="Check Box 361">
              <controlPr defaultSize="0" autoFill="0" autoLine="0" autoPict="0">
                <anchor moveWithCells="1">
                  <from>
                    <xdr:col>3</xdr:col>
                    <xdr:colOff>1390650</xdr:colOff>
                    <xdr:row>137</xdr:row>
                    <xdr:rowOff>161925</xdr:rowOff>
                  </from>
                  <to>
                    <xdr:col>3</xdr:col>
                    <xdr:colOff>1695450</xdr:colOff>
                    <xdr:row>139</xdr:row>
                    <xdr:rowOff>0</xdr:rowOff>
                  </to>
                </anchor>
              </controlPr>
            </control>
          </mc:Choice>
        </mc:AlternateContent>
        <mc:AlternateContent xmlns:mc="http://schemas.openxmlformats.org/markup-compatibility/2006">
          <mc:Choice Requires="x14">
            <control shapeId="263532" r:id="rId122" name="Check Box 364">
              <controlPr defaultSize="0" autoFill="0" autoLine="0" autoPict="0">
                <anchor moveWithCells="1">
                  <from>
                    <xdr:col>3</xdr:col>
                    <xdr:colOff>1400175</xdr:colOff>
                    <xdr:row>155</xdr:row>
                    <xdr:rowOff>171450</xdr:rowOff>
                  </from>
                  <to>
                    <xdr:col>3</xdr:col>
                    <xdr:colOff>1733550</xdr:colOff>
                    <xdr:row>157</xdr:row>
                    <xdr:rowOff>38100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8" id="{0AC5984E-70AD-4AF7-BDC6-08E2550F126B}">
            <x14:iconSet iconSet="3Symbols" custom="1">
              <x14:cfvo type="percent">
                <xm:f>0</xm:f>
              </x14:cfvo>
              <x14:cfvo type="num">
                <xm:f>1</xm:f>
              </x14:cfvo>
              <x14:cfvo type="num">
                <xm:f>2</xm:f>
              </x14:cfvo>
              <x14:cfIcon iconSet="NoIcons" iconId="0"/>
              <x14:cfIcon iconSet="3Symbols" iconId="2"/>
              <x14:cfIcon iconSet="3Symbols" iconId="0"/>
            </x14:iconSet>
          </x14:cfRule>
          <xm:sqref>D117</xm:sqref>
        </x14:conditionalFormatting>
        <x14:conditionalFormatting xmlns:xm="http://schemas.microsoft.com/office/excel/2006/main">
          <x14:cfRule type="iconSet" priority="29" id="{A4475F41-1320-4429-B690-ECAEF3DC0602}">
            <x14:iconSet iconSet="3Symbols2" custom="1">
              <x14:cfvo type="percent">
                <xm:f>0</xm:f>
              </x14:cfvo>
              <x14:cfvo type="num">
                <xm:f>1</xm:f>
              </x14:cfvo>
              <x14:cfvo type="num">
                <xm:f>2</xm:f>
              </x14:cfvo>
              <x14:cfIcon iconSet="NoIcons" iconId="0"/>
              <x14:cfIcon iconSet="3Symbols" iconId="2"/>
              <x14:cfIcon iconSet="3Symbols" iconId="0"/>
            </x14:iconSet>
          </x14:cfRule>
          <xm:sqref>D118</xm:sqref>
        </x14:conditionalFormatting>
        <x14:conditionalFormatting xmlns:xm="http://schemas.microsoft.com/office/excel/2006/main">
          <x14:cfRule type="iconSet" priority="24" id="{63591D81-3865-46F1-9955-3D8134109449}">
            <x14:iconSet iconSet="3Symbols2" custom="1">
              <x14:cfvo type="percent">
                <xm:f>0</xm:f>
              </x14:cfvo>
              <x14:cfvo type="num">
                <xm:f>1</xm:f>
              </x14:cfvo>
              <x14:cfvo type="num">
                <xm:f>2</xm:f>
              </x14:cfvo>
              <x14:cfIcon iconSet="NoIcons" iconId="0"/>
              <x14:cfIcon iconSet="3Symbols" iconId="2"/>
              <x14:cfIcon iconSet="3Symbols" iconId="0"/>
            </x14:iconSet>
          </x14:cfRule>
          <xm:sqref>D137</xm:sqref>
        </x14:conditionalFormatting>
        <x14:conditionalFormatting xmlns:xm="http://schemas.microsoft.com/office/excel/2006/main">
          <x14:cfRule type="iconSet" priority="22" id="{2EC9453A-8F65-4B29-AEAE-B757CE2BFAF0}">
            <x14:iconSet iconSet="3Symbols2" custom="1">
              <x14:cfvo type="percent">
                <xm:f>0</xm:f>
              </x14:cfvo>
              <x14:cfvo type="num">
                <xm:f>1</xm:f>
              </x14:cfvo>
              <x14:cfvo type="num">
                <xm:f>2</xm:f>
              </x14:cfvo>
              <x14:cfIcon iconSet="NoIcons" iconId="0"/>
              <x14:cfIcon iconSet="3Symbols" iconId="2"/>
              <x14:cfIcon iconSet="3Symbols" iconId="0"/>
            </x14:iconSet>
          </x14:cfRule>
          <xm:sqref>D138</xm:sqref>
        </x14:conditionalFormatting>
        <x14:conditionalFormatting xmlns:xm="http://schemas.microsoft.com/office/excel/2006/main">
          <x14:cfRule type="iconSet" priority="18" id="{4C78BB2A-AE3A-4C85-8BBB-9B28FDE55C38}">
            <x14:iconSet iconSet="3Symbols2" custom="1">
              <x14:cfvo type="percent">
                <xm:f>0</xm:f>
              </x14:cfvo>
              <x14:cfvo type="num">
                <xm:f>1</xm:f>
              </x14:cfvo>
              <x14:cfvo type="num">
                <xm:f>2</xm:f>
              </x14:cfvo>
              <x14:cfIcon iconSet="NoIcons" iconId="0"/>
              <x14:cfIcon iconSet="3Symbols" iconId="2"/>
              <x14:cfIcon iconSet="3Symbols" iconId="0"/>
            </x14:iconSet>
          </x14:cfRule>
          <xm:sqref>D140</xm:sqref>
        </x14:conditionalFormatting>
        <x14:conditionalFormatting xmlns:xm="http://schemas.microsoft.com/office/excel/2006/main">
          <x14:cfRule type="iconSet" priority="14" id="{47C108B0-557F-4671-8D00-C4492F1B4B34}">
            <x14:iconSet iconSet="3Symbols2" custom="1">
              <x14:cfvo type="percent">
                <xm:f>0</xm:f>
              </x14:cfvo>
              <x14:cfvo type="num">
                <xm:f>1</xm:f>
              </x14:cfvo>
              <x14:cfvo type="num">
                <xm:f>2</xm:f>
              </x14:cfvo>
              <x14:cfIcon iconSet="NoIcons" iconId="0"/>
              <x14:cfIcon iconSet="3Symbols" iconId="2"/>
              <x14:cfIcon iconSet="3Symbols" iconId="0"/>
            </x14:iconSet>
          </x14:cfRule>
          <xm:sqref>D145</xm:sqref>
        </x14:conditionalFormatting>
        <x14:conditionalFormatting xmlns:xm="http://schemas.microsoft.com/office/excel/2006/main">
          <x14:cfRule type="iconSet" priority="26" id="{983480B9-D76D-4A8A-AB9E-2D076B35B2DC}">
            <x14:iconSet iconSet="3Symbols2" custom="1">
              <x14:cfvo type="percent">
                <xm:f>0</xm:f>
              </x14:cfvo>
              <x14:cfvo type="num">
                <xm:f>1</xm:f>
              </x14:cfvo>
              <x14:cfvo type="num">
                <xm:f>2</xm:f>
              </x14:cfvo>
              <x14:cfIcon iconSet="NoIcons" iconId="0"/>
              <x14:cfIcon iconSet="3Symbols" iconId="2"/>
              <x14:cfIcon iconSet="3Symbols" iconId="0"/>
            </x14:iconSet>
          </x14:cfRule>
          <xm:sqref>D151</xm:sqref>
        </x14:conditionalFormatting>
        <x14:conditionalFormatting xmlns:xm="http://schemas.microsoft.com/office/excel/2006/main">
          <x14:cfRule type="iconSet" priority="20" id="{2AA3B297-0403-4638-BE0E-537EFE618E9F}">
            <x14:iconSet iconSet="3Symbols2" custom="1">
              <x14:cfvo type="percent">
                <xm:f>0</xm:f>
              </x14:cfvo>
              <x14:cfvo type="num">
                <xm:f>1</xm:f>
              </x14:cfvo>
              <x14:cfvo type="num">
                <xm:f>2</xm:f>
              </x14:cfvo>
              <x14:cfIcon iconSet="NoIcons" iconId="0"/>
              <x14:cfIcon iconSet="3Symbols" iconId="2"/>
              <x14:cfIcon iconSet="3Symbols" iconId="0"/>
            </x14:iconSet>
          </x14:cfRule>
          <xm:sqref>D153</xm:sqref>
        </x14:conditionalFormatting>
        <x14:conditionalFormatting xmlns:xm="http://schemas.microsoft.com/office/excel/2006/main">
          <x14:cfRule type="iconSet" priority="34" id="{2B0AB77C-B2F1-4AFC-AD89-02536EB1FC05}">
            <x14:iconSet iconSet="3Symbols2" custom="1">
              <x14:cfvo type="percent">
                <xm:f>0</xm:f>
              </x14:cfvo>
              <x14:cfvo type="num">
                <xm:f>1</xm:f>
              </x14:cfvo>
              <x14:cfvo type="num">
                <xm:f>2</xm:f>
              </x14:cfvo>
              <x14:cfIcon iconSet="NoIcons" iconId="0"/>
              <x14:cfIcon iconSet="3Symbols" iconId="2"/>
              <x14:cfIcon iconSet="3Symbols" iconId="0"/>
            </x14:iconSet>
          </x14:cfRule>
          <xm:sqref>D154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F7FB-7768-4F24-B56C-7366075278C1}">
  <sheetPr codeName="Sheet16"/>
  <dimension ref="A1:G18"/>
  <sheetViews>
    <sheetView workbookViewId="0">
      <selection activeCell="B20" sqref="B20"/>
    </sheetView>
  </sheetViews>
  <sheetFormatPr defaultColWidth="8.86328125" defaultRowHeight="12.75" x14ac:dyDescent="0.35"/>
  <cols>
    <col min="2" max="2" width="10.265625" customWidth="1"/>
    <col min="7" max="7" width="11.3984375" customWidth="1"/>
  </cols>
  <sheetData>
    <row r="1" spans="1:7" x14ac:dyDescent="0.35">
      <c r="A1" s="467" t="s">
        <v>237</v>
      </c>
      <c r="B1" s="443"/>
      <c r="C1">
        <f>'Cover Service Sheet'!E10</f>
        <v>0</v>
      </c>
    </row>
    <row r="3" spans="1:7" x14ac:dyDescent="0.35">
      <c r="A3" s="467" t="s">
        <v>238</v>
      </c>
      <c r="B3" s="443"/>
      <c r="G3" s="197"/>
    </row>
    <row r="4" spans="1:7" x14ac:dyDescent="0.35">
      <c r="A4" s="467" t="s">
        <v>239</v>
      </c>
      <c r="B4" s="443"/>
      <c r="G4" s="197"/>
    </row>
    <row r="5" spans="1:7" x14ac:dyDescent="0.35">
      <c r="A5" s="166" t="s">
        <v>240</v>
      </c>
      <c r="G5" s="197"/>
    </row>
    <row r="6" spans="1:7" x14ac:dyDescent="0.35">
      <c r="A6" s="166" t="s">
        <v>241</v>
      </c>
      <c r="G6" s="197"/>
    </row>
    <row r="7" spans="1:7" x14ac:dyDescent="0.35">
      <c r="A7" s="166" t="s">
        <v>242</v>
      </c>
      <c r="G7" s="202"/>
    </row>
    <row r="8" spans="1:7" x14ac:dyDescent="0.35">
      <c r="A8" s="467" t="s">
        <v>243</v>
      </c>
      <c r="B8" s="443"/>
      <c r="G8" s="197"/>
    </row>
    <row r="9" spans="1:7" x14ac:dyDescent="0.35">
      <c r="A9" s="166" t="s">
        <v>244</v>
      </c>
      <c r="G9" s="197"/>
    </row>
    <row r="10" spans="1:7" x14ac:dyDescent="0.35">
      <c r="A10" s="467" t="s">
        <v>245</v>
      </c>
      <c r="B10" s="443"/>
      <c r="C10" s="443"/>
      <c r="G10" s="197"/>
    </row>
    <row r="11" spans="1:7" x14ac:dyDescent="0.35">
      <c r="A11" s="166" t="s">
        <v>246</v>
      </c>
      <c r="G11" s="197"/>
    </row>
    <row r="12" spans="1:7" x14ac:dyDescent="0.35">
      <c r="A12" s="166" t="s">
        <v>247</v>
      </c>
      <c r="G12" s="197"/>
    </row>
    <row r="13" spans="1:7" x14ac:dyDescent="0.35">
      <c r="A13" s="166" t="s">
        <v>248</v>
      </c>
      <c r="G13" s="197"/>
    </row>
    <row r="15" spans="1:7" x14ac:dyDescent="0.35">
      <c r="A15" s="467" t="s">
        <v>120</v>
      </c>
      <c r="B15" s="443"/>
      <c r="C15" s="443"/>
      <c r="G15" s="197"/>
    </row>
    <row r="16" spans="1:7" x14ac:dyDescent="0.35">
      <c r="A16" s="467" t="s">
        <v>249</v>
      </c>
      <c r="B16" s="443"/>
      <c r="C16" s="443"/>
      <c r="D16" s="443"/>
      <c r="E16" s="443"/>
      <c r="F16" s="443"/>
      <c r="G16" s="197"/>
    </row>
    <row r="17" spans="1:7" x14ac:dyDescent="0.35">
      <c r="A17" s="467" t="s">
        <v>250</v>
      </c>
      <c r="B17" s="443"/>
      <c r="G17" s="197"/>
    </row>
    <row r="18" spans="1:7" x14ac:dyDescent="0.35">
      <c r="A18" s="467" t="s">
        <v>251</v>
      </c>
      <c r="B18" s="443"/>
      <c r="G18" s="197"/>
    </row>
  </sheetData>
  <mergeCells count="9">
    <mergeCell ref="A16:F16"/>
    <mergeCell ref="A17:B17"/>
    <mergeCell ref="A18:B18"/>
    <mergeCell ref="A1:B1"/>
    <mergeCell ref="A3:B3"/>
    <mergeCell ref="A4:B4"/>
    <mergeCell ref="A8:B8"/>
    <mergeCell ref="A10:C10"/>
    <mergeCell ref="A15:C1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90817" r:id="rId3" name="Check Box 1">
              <controlPr defaultSize="0" autoFill="0" autoLine="0" autoPict="0">
                <anchor moveWithCells="1">
                  <from>
                    <xdr:col>6</xdr:col>
                    <xdr:colOff>247650</xdr:colOff>
                    <xdr:row>2</xdr:row>
                    <xdr:rowOff>142875</xdr:rowOff>
                  </from>
                  <to>
                    <xdr:col>7</xdr:col>
                    <xdr:colOff>209550</xdr:colOff>
                    <xdr:row>4</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7F8D-25C9-427E-8F05-3C48D495BD34}">
  <sheetPr codeName="Sheet18"/>
  <dimension ref="A1:AB9225"/>
  <sheetViews>
    <sheetView topLeftCell="B1" workbookViewId="0">
      <selection activeCell="C20" sqref="C20"/>
    </sheetView>
  </sheetViews>
  <sheetFormatPr defaultColWidth="9.1328125" defaultRowHeight="14.25" x14ac:dyDescent="0.35"/>
  <cols>
    <col min="1" max="1" width="12.73046875" style="219" hidden="1" customWidth="1"/>
    <col min="2" max="2" width="11.73046875" style="203" bestFit="1" customWidth="1"/>
    <col min="3" max="3" width="72.265625" style="246" bestFit="1" customWidth="1"/>
    <col min="4" max="4" width="42.86328125" style="213" bestFit="1" customWidth="1"/>
    <col min="5" max="6" width="4.3984375" style="204" customWidth="1"/>
    <col min="7" max="7" width="3.265625" style="204" customWidth="1"/>
    <col min="8" max="8" width="4.265625" style="204" customWidth="1"/>
    <col min="9" max="9" width="3.86328125" style="204" bestFit="1" customWidth="1"/>
    <col min="10" max="13" width="3.265625" style="204" customWidth="1"/>
    <col min="14" max="14" width="3.59765625" style="204" customWidth="1"/>
    <col min="15" max="15" width="110.3984375" style="211" bestFit="1" customWidth="1"/>
    <col min="16" max="16" width="14.3984375" style="209" hidden="1" customWidth="1"/>
    <col min="17" max="17" width="11.265625" style="213" hidden="1" customWidth="1"/>
    <col min="18" max="18" width="20.86328125" style="213" bestFit="1" customWidth="1"/>
    <col min="19" max="16384" width="9.1328125" style="213"/>
  </cols>
  <sheetData>
    <row r="1" spans="1:17" x14ac:dyDescent="0.35">
      <c r="C1" s="205"/>
      <c r="D1" s="220"/>
      <c r="E1" s="220"/>
      <c r="F1" s="220"/>
      <c r="G1" s="220"/>
      <c r="H1" s="220"/>
      <c r="I1" s="220"/>
      <c r="J1" s="220"/>
      <c r="K1" s="220"/>
      <c r="L1" s="220"/>
      <c r="M1" s="220"/>
      <c r="N1" s="220"/>
    </row>
    <row r="2" spans="1:17" x14ac:dyDescent="0.35">
      <c r="B2" s="203" t="s">
        <v>24</v>
      </c>
      <c r="C2" s="450" t="s">
        <v>252</v>
      </c>
      <c r="D2" s="450"/>
      <c r="E2" s="450"/>
      <c r="F2" s="450"/>
      <c r="G2" s="450"/>
      <c r="H2" s="450"/>
      <c r="I2" s="450"/>
      <c r="J2" s="450"/>
      <c r="K2" s="450"/>
      <c r="L2" s="450"/>
      <c r="M2" s="450"/>
      <c r="N2" s="450"/>
      <c r="O2" s="450"/>
      <c r="P2" s="203" t="s">
        <v>28</v>
      </c>
      <c r="Q2" s="213" t="s">
        <v>253</v>
      </c>
    </row>
    <row r="3" spans="1:17" x14ac:dyDescent="0.35">
      <c r="C3" s="205"/>
      <c r="E3" s="220"/>
      <c r="F3" s="220"/>
      <c r="G3" s="220"/>
      <c r="H3" s="220"/>
      <c r="I3" s="220"/>
      <c r="J3" s="220"/>
      <c r="K3" s="220"/>
      <c r="L3" s="220"/>
      <c r="M3" s="220"/>
      <c r="N3" s="220"/>
      <c r="P3" s="203" t="s">
        <v>34</v>
      </c>
      <c r="Q3" s="213" t="s">
        <v>254</v>
      </c>
    </row>
    <row r="4" spans="1:17" x14ac:dyDescent="0.35">
      <c r="B4" s="203">
        <v>16</v>
      </c>
      <c r="C4" s="205" t="s">
        <v>26</v>
      </c>
      <c r="D4" s="221" t="str">
        <f>'Cover Service Sheet'!D4&amp;'Cover Service Sheet'!F4&amp;'Cover Service Sheet'!H4&amp;'Cover Service Sheet'!J4&amp;'Cover Service Sheet'!L4&amp;'Cover Service Sheet'!N4&amp;'Cover Service Sheet'!P4</f>
        <v>CML4W0M003</v>
      </c>
      <c r="L4" s="222"/>
      <c r="O4" s="223" t="s">
        <v>29</v>
      </c>
      <c r="P4" s="203" t="s">
        <v>38</v>
      </c>
      <c r="Q4" s="213" t="s">
        <v>255</v>
      </c>
    </row>
    <row r="5" spans="1:17" x14ac:dyDescent="0.35">
      <c r="B5" s="203">
        <f>B4+1</f>
        <v>17</v>
      </c>
      <c r="C5" s="205" t="s">
        <v>30</v>
      </c>
      <c r="D5" s="221">
        <f>'Cover Service Sheet'!D5</f>
        <v>63010062</v>
      </c>
      <c r="E5" s="468" t="str">
        <f>'Cover Service Sheet'!E5&amp;'Cover Service Sheet'!F5</f>
        <v/>
      </c>
      <c r="F5" s="468"/>
      <c r="G5" s="468"/>
      <c r="H5" s="468"/>
      <c r="I5" s="468"/>
      <c r="J5" s="220"/>
      <c r="K5" s="220"/>
      <c r="L5" s="220"/>
      <c r="M5" s="220"/>
      <c r="N5" s="220"/>
      <c r="Q5" s="213" t="s">
        <v>256</v>
      </c>
    </row>
    <row r="6" spans="1:17" x14ac:dyDescent="0.35">
      <c r="B6" s="203">
        <f t="shared" ref="B6:B69" si="0">B5+1</f>
        <v>18</v>
      </c>
      <c r="C6" s="205" t="s">
        <v>32</v>
      </c>
      <c r="D6" s="206">
        <v>0</v>
      </c>
      <c r="E6" s="220"/>
      <c r="F6" s="220"/>
      <c r="G6" s="220"/>
      <c r="H6" s="220"/>
      <c r="I6" s="220"/>
      <c r="J6" s="220"/>
      <c r="K6" s="220"/>
      <c r="L6" s="220"/>
      <c r="M6" s="220"/>
      <c r="N6" s="220"/>
      <c r="Q6" s="213" t="s">
        <v>257</v>
      </c>
    </row>
    <row r="7" spans="1:17" x14ac:dyDescent="0.35">
      <c r="B7" s="203">
        <f t="shared" si="0"/>
        <v>19</v>
      </c>
      <c r="C7" s="205" t="s">
        <v>44</v>
      </c>
      <c r="D7" s="215">
        <v>0</v>
      </c>
      <c r="E7" s="213"/>
      <c r="Q7" s="213" t="s">
        <v>258</v>
      </c>
    </row>
    <row r="8" spans="1:17" x14ac:dyDescent="0.35">
      <c r="B8" s="203">
        <f t="shared" si="0"/>
        <v>20</v>
      </c>
      <c r="C8" s="205" t="s">
        <v>259</v>
      </c>
      <c r="D8" s="224">
        <v>0</v>
      </c>
      <c r="E8" s="213"/>
      <c r="F8" s="213"/>
      <c r="G8" s="213"/>
      <c r="H8" s="213"/>
      <c r="I8" s="213"/>
      <c r="J8" s="213"/>
      <c r="K8" s="213"/>
      <c r="L8" s="213"/>
      <c r="M8" s="213"/>
      <c r="N8" s="213"/>
      <c r="Q8" s="213" t="s">
        <v>260</v>
      </c>
    </row>
    <row r="9" spans="1:17" x14ac:dyDescent="0.35">
      <c r="A9" s="219" t="b">
        <v>0</v>
      </c>
      <c r="B9" s="203">
        <f t="shared" si="0"/>
        <v>21</v>
      </c>
      <c r="C9" s="205" t="s">
        <v>47</v>
      </c>
      <c r="D9" s="206" t="str">
        <f>IF(A9=TRUE,"WARRANTY CLAIM","NON WARRANTY")</f>
        <v>NON WARRANTY</v>
      </c>
      <c r="E9" s="213"/>
      <c r="F9" s="213"/>
      <c r="G9" s="213"/>
      <c r="H9" s="213"/>
      <c r="I9" s="213"/>
      <c r="J9" s="213"/>
      <c r="K9" s="213"/>
      <c r="L9" s="213"/>
      <c r="M9" s="213"/>
      <c r="N9" s="213"/>
      <c r="O9" s="211" t="str">
        <f>IF(A9=TRUE,"Item is considered warranty, requires QC control on NCR","")</f>
        <v/>
      </c>
      <c r="Q9" s="213" t="s">
        <v>261</v>
      </c>
    </row>
    <row r="10" spans="1:17" x14ac:dyDescent="0.35">
      <c r="A10" s="219" t="b">
        <v>1</v>
      </c>
      <c r="B10" s="203">
        <f t="shared" si="0"/>
        <v>22</v>
      </c>
      <c r="C10" s="205" t="s">
        <v>262</v>
      </c>
      <c r="D10" s="206">
        <v>0</v>
      </c>
      <c r="E10" s="469">
        <v>0</v>
      </c>
      <c r="F10" s="469"/>
      <c r="G10" s="469"/>
      <c r="H10" s="469"/>
      <c r="I10" s="469"/>
      <c r="J10" s="469"/>
      <c r="K10" s="469"/>
      <c r="L10" s="469"/>
      <c r="M10" s="469"/>
      <c r="N10" s="469"/>
      <c r="Q10" s="213" t="s">
        <v>263</v>
      </c>
    </row>
    <row r="11" spans="1:17" x14ac:dyDescent="0.35">
      <c r="B11" s="203">
        <f t="shared" si="0"/>
        <v>23</v>
      </c>
      <c r="C11" s="205" t="s">
        <v>50</v>
      </c>
      <c r="D11" s="206">
        <v>0</v>
      </c>
      <c r="E11" s="213"/>
      <c r="F11" s="213"/>
      <c r="G11" s="213"/>
      <c r="H11" s="213"/>
      <c r="I11" s="213"/>
      <c r="J11" s="213"/>
      <c r="K11" s="213"/>
      <c r="L11" s="213"/>
      <c r="M11" s="214"/>
      <c r="N11" s="213"/>
    </row>
    <row r="12" spans="1:17" x14ac:dyDescent="0.35">
      <c r="B12" s="203">
        <f t="shared" si="0"/>
        <v>24</v>
      </c>
      <c r="C12" s="205" t="s">
        <v>51</v>
      </c>
      <c r="D12" s="206">
        <v>0</v>
      </c>
      <c r="E12" s="213"/>
      <c r="F12" s="213"/>
      <c r="G12" s="213"/>
      <c r="H12" s="213"/>
      <c r="I12" s="213"/>
      <c r="J12" s="213"/>
      <c r="K12" s="213"/>
      <c r="L12" s="213"/>
      <c r="M12" s="213"/>
      <c r="N12" s="213"/>
    </row>
    <row r="13" spans="1:17" x14ac:dyDescent="0.35">
      <c r="B13" s="203">
        <f t="shared" si="0"/>
        <v>25</v>
      </c>
      <c r="C13" s="205" t="s">
        <v>264</v>
      </c>
      <c r="D13" s="225">
        <f>D7+14</f>
        <v>14</v>
      </c>
      <c r="E13" s="213"/>
      <c r="F13" s="213"/>
      <c r="G13" s="213"/>
      <c r="H13" s="213"/>
      <c r="I13" s="213"/>
      <c r="J13" s="213"/>
      <c r="K13" s="213"/>
      <c r="L13" s="213"/>
      <c r="M13" s="213"/>
      <c r="N13" s="213"/>
    </row>
    <row r="14" spans="1:17" x14ac:dyDescent="0.35">
      <c r="C14" s="432" t="s">
        <v>265</v>
      </c>
      <c r="D14" s="432"/>
      <c r="E14" s="432"/>
      <c r="F14" s="432"/>
      <c r="G14" s="432"/>
      <c r="H14" s="432"/>
      <c r="I14" s="432"/>
      <c r="J14" s="432"/>
      <c r="K14" s="432"/>
      <c r="L14" s="432"/>
      <c r="M14" s="432"/>
      <c r="N14" s="432"/>
      <c r="O14" s="432"/>
      <c r="P14" s="226"/>
    </row>
    <row r="15" spans="1:17" s="220" customFormat="1" ht="15.75" x14ac:dyDescent="0.35">
      <c r="A15" s="227"/>
      <c r="B15" s="203">
        <f>B13+1</f>
        <v>26</v>
      </c>
      <c r="C15" s="228" t="s">
        <v>163</v>
      </c>
      <c r="D15" s="210"/>
      <c r="E15" s="434" t="s">
        <v>67</v>
      </c>
      <c r="F15" s="434"/>
      <c r="G15" s="435" t="str">
        <f>IF(D15=D7,"ON TIME",IF(D15&gt;D7,"LATE",IF(D15&lt;D7,"EARLY")))</f>
        <v>ON TIME</v>
      </c>
      <c r="H15" s="435"/>
      <c r="I15" s="435"/>
      <c r="J15" s="435"/>
      <c r="K15" s="435"/>
      <c r="L15" s="435"/>
      <c r="M15" s="435"/>
      <c r="N15" s="435"/>
      <c r="O15" s="226"/>
      <c r="P15" s="226"/>
    </row>
    <row r="16" spans="1:17" s="220" customFormat="1" x14ac:dyDescent="0.35">
      <c r="A16" s="227"/>
      <c r="B16" s="203">
        <f t="shared" si="0"/>
        <v>27</v>
      </c>
      <c r="C16" s="228" t="s">
        <v>266</v>
      </c>
      <c r="D16" s="229"/>
      <c r="E16" s="228"/>
      <c r="G16" s="230"/>
      <c r="H16" s="230"/>
      <c r="I16" s="230"/>
      <c r="J16" s="226"/>
      <c r="K16" s="226"/>
      <c r="L16" s="226"/>
      <c r="M16" s="226"/>
      <c r="N16" s="226"/>
      <c r="O16" s="226"/>
      <c r="P16" s="226"/>
    </row>
    <row r="17" spans="1:16" x14ac:dyDescent="0.35">
      <c r="C17" s="203"/>
      <c r="D17" s="203" t="s">
        <v>267</v>
      </c>
      <c r="E17" s="450" t="s">
        <v>268</v>
      </c>
      <c r="F17" s="450"/>
      <c r="G17" s="450"/>
      <c r="H17" s="450"/>
      <c r="I17" s="450"/>
      <c r="J17" s="450"/>
      <c r="K17" s="450"/>
      <c r="L17" s="450"/>
      <c r="M17" s="450"/>
      <c r="N17" s="450"/>
      <c r="O17" s="231"/>
      <c r="P17" s="231"/>
    </row>
    <row r="18" spans="1:16" x14ac:dyDescent="0.35">
      <c r="A18" s="219" t="b">
        <v>0</v>
      </c>
      <c r="B18" s="203">
        <f>B16+1</f>
        <v>28</v>
      </c>
      <c r="C18" s="232"/>
      <c r="D18" s="233" t="s">
        <v>269</v>
      </c>
      <c r="E18" s="213"/>
      <c r="F18" s="213"/>
      <c r="G18" s="213"/>
      <c r="H18" s="213"/>
      <c r="I18" s="213"/>
      <c r="J18" s="213"/>
      <c r="K18" s="213"/>
      <c r="L18" s="213"/>
      <c r="M18" s="213"/>
      <c r="N18" s="213"/>
      <c r="O18" s="211" t="str">
        <f>IF(A18=FALSE,"One or more hydraulic caps were missing","Test point cap and waste plug present")</f>
        <v>One or more hydraulic caps were missing</v>
      </c>
    </row>
    <row r="19" spans="1:16" x14ac:dyDescent="0.35">
      <c r="A19" s="219" t="b">
        <v>0</v>
      </c>
      <c r="B19" s="203">
        <f t="shared" si="0"/>
        <v>29</v>
      </c>
      <c r="C19" s="232"/>
      <c r="D19" s="233" t="s">
        <v>270</v>
      </c>
      <c r="E19" s="213"/>
      <c r="F19" s="213"/>
      <c r="G19" s="213"/>
      <c r="H19" s="213"/>
      <c r="I19" s="213"/>
      <c r="J19" s="213"/>
      <c r="K19" s="213"/>
      <c r="L19" s="213"/>
      <c r="M19" s="213"/>
      <c r="N19" s="213"/>
      <c r="O19" s="211" t="str">
        <f>IF(A19=FALSE,"Unit was dirty or damaged outside and required extra cleanup","Outer condition good")</f>
        <v>Unit was dirty or damaged outside and required extra cleanup</v>
      </c>
    </row>
    <row r="20" spans="1:16" x14ac:dyDescent="0.35">
      <c r="A20" s="219" t="b">
        <v>1</v>
      </c>
      <c r="B20" s="203">
        <f t="shared" si="0"/>
        <v>30</v>
      </c>
      <c r="C20" s="298"/>
      <c r="D20" s="234"/>
      <c r="E20" s="213"/>
      <c r="F20" s="213"/>
      <c r="G20" s="213"/>
      <c r="H20" s="213"/>
      <c r="I20" s="213"/>
      <c r="J20" s="213"/>
      <c r="K20" s="213"/>
      <c r="L20" s="213"/>
      <c r="M20" s="213"/>
      <c r="N20" s="213"/>
    </row>
    <row r="21" spans="1:16" x14ac:dyDescent="0.35">
      <c r="A21" s="219" t="b">
        <v>0</v>
      </c>
      <c r="B21" s="203">
        <f t="shared" si="0"/>
        <v>31</v>
      </c>
      <c r="C21" s="298"/>
      <c r="D21" s="234"/>
      <c r="E21" s="213"/>
      <c r="F21" s="213"/>
      <c r="G21" s="213"/>
      <c r="H21" s="213"/>
      <c r="I21" s="213"/>
      <c r="J21" s="213"/>
      <c r="K21" s="213"/>
      <c r="L21" s="213"/>
      <c r="M21" s="213"/>
      <c r="N21" s="213"/>
      <c r="O21" s="211" t="str">
        <f>IF(A21=TRUE,"Case feet present and operational","quote for case feet repair required")</f>
        <v>quote for case feet repair required</v>
      </c>
    </row>
    <row r="22" spans="1:16" x14ac:dyDescent="0.35">
      <c r="A22" s="219" t="b">
        <v>0</v>
      </c>
      <c r="B22" s="203">
        <f t="shared" si="0"/>
        <v>32</v>
      </c>
      <c r="C22" s="232"/>
      <c r="D22" s="234" t="s">
        <v>271</v>
      </c>
      <c r="E22" s="213"/>
      <c r="F22" s="213"/>
      <c r="G22" s="213"/>
      <c r="H22" s="213"/>
      <c r="I22" s="213"/>
      <c r="J22" s="213"/>
      <c r="K22" s="213"/>
      <c r="L22" s="213"/>
      <c r="M22" s="213"/>
      <c r="N22" s="213"/>
      <c r="O22" s="211" t="str">
        <f>IF(A22=TRUE,"Case latches present and operational","quote for case latch repair required")</f>
        <v>quote for case latch repair required</v>
      </c>
    </row>
    <row r="23" spans="1:16" x14ac:dyDescent="0.35">
      <c r="A23" s="219" t="b">
        <v>1</v>
      </c>
      <c r="B23" s="203">
        <f t="shared" si="0"/>
        <v>33</v>
      </c>
      <c r="C23" s="232"/>
      <c r="D23" s="234" t="s">
        <v>272</v>
      </c>
      <c r="E23" s="213"/>
      <c r="F23" s="213"/>
      <c r="G23" s="213"/>
      <c r="H23" s="213"/>
      <c r="I23" s="213"/>
      <c r="J23" s="213"/>
      <c r="K23" s="213"/>
      <c r="L23" s="213"/>
      <c r="M23" s="213"/>
      <c r="N23" s="213"/>
    </row>
    <row r="24" spans="1:16" x14ac:dyDescent="0.35">
      <c r="A24" s="219" t="b">
        <v>0</v>
      </c>
      <c r="B24" s="203">
        <f t="shared" si="0"/>
        <v>34</v>
      </c>
      <c r="C24" s="232"/>
      <c r="D24" s="234" t="s">
        <v>273</v>
      </c>
      <c r="E24" s="213"/>
      <c r="F24" s="213"/>
      <c r="G24" s="213"/>
      <c r="H24" s="213"/>
      <c r="I24" s="213"/>
      <c r="J24" s="213"/>
      <c r="K24" s="213"/>
      <c r="L24" s="213"/>
      <c r="M24" s="213"/>
      <c r="N24" s="213"/>
    </row>
    <row r="25" spans="1:16" ht="15.75" customHeight="1" x14ac:dyDescent="0.35">
      <c r="A25" s="219" t="b">
        <v>0</v>
      </c>
      <c r="B25" s="203">
        <f t="shared" si="0"/>
        <v>35</v>
      </c>
      <c r="C25" s="232"/>
      <c r="D25" s="235" t="s">
        <v>274</v>
      </c>
      <c r="E25" s="433"/>
      <c r="F25" s="433"/>
      <c r="G25" s="433"/>
      <c r="H25" s="433"/>
      <c r="I25" s="433"/>
      <c r="J25" s="433"/>
      <c r="K25" s="433"/>
      <c r="L25" s="433"/>
      <c r="M25" s="433"/>
      <c r="N25" s="433"/>
      <c r="O25" s="211" t="str">
        <f>IF(A25=TRUE,"Charge circuit checked and verified PASS","")</f>
        <v/>
      </c>
    </row>
    <row r="26" spans="1:16" x14ac:dyDescent="0.35">
      <c r="A26" s="236">
        <v>4.0999999999999996</v>
      </c>
      <c r="B26" s="203">
        <f t="shared" si="0"/>
        <v>36</v>
      </c>
      <c r="C26" s="205" t="s">
        <v>275</v>
      </c>
      <c r="D26" s="237"/>
      <c r="E26" s="470"/>
      <c r="F26" s="470"/>
      <c r="G26" s="470"/>
      <c r="H26" s="470"/>
      <c r="I26" s="470"/>
      <c r="J26" s="470"/>
      <c r="K26" s="470"/>
      <c r="L26" s="470"/>
      <c r="M26" s="470"/>
      <c r="N26" s="470"/>
      <c r="O26" s="211" t="str">
        <f>IF(D26=A26,"Unit firmware at current release","Free of charge upgrade of unit firmware ")</f>
        <v xml:space="preserve">Free of charge upgrade of unit firmware </v>
      </c>
    </row>
    <row r="27" spans="1:16" x14ac:dyDescent="0.35">
      <c r="A27" s="219" t="b">
        <v>0</v>
      </c>
      <c r="B27" s="203">
        <f t="shared" si="0"/>
        <v>37</v>
      </c>
      <c r="C27" s="232"/>
      <c r="D27" s="233" t="s">
        <v>276</v>
      </c>
      <c r="E27" s="213"/>
      <c r="F27" s="213"/>
      <c r="G27" s="213"/>
      <c r="H27" s="213"/>
      <c r="I27" s="213"/>
      <c r="J27" s="213"/>
      <c r="K27" s="213"/>
      <c r="L27" s="213"/>
      <c r="M27" s="213"/>
      <c r="N27" s="213"/>
      <c r="O27" s="211" t="str">
        <f>IF(A27=FALSE,"Log was not present/corrupted so could not be downloaded","Log download test completed succesfully")</f>
        <v>Log was not present/corrupted so could not be downloaded</v>
      </c>
    </row>
    <row r="28" spans="1:16" ht="15.75" customHeight="1" x14ac:dyDescent="0.35">
      <c r="B28" s="203">
        <f t="shared" si="0"/>
        <v>38</v>
      </c>
      <c r="C28" s="205" t="s">
        <v>277</v>
      </c>
      <c r="D28" s="212"/>
      <c r="E28" s="238"/>
      <c r="F28" s="238"/>
      <c r="G28" s="238"/>
      <c r="H28" s="238"/>
      <c r="I28" s="238"/>
      <c r="J28" s="238"/>
      <c r="K28" s="238"/>
      <c r="L28" s="238"/>
      <c r="M28" s="238"/>
      <c r="N28" s="238"/>
      <c r="O28" s="213"/>
    </row>
    <row r="29" spans="1:16" ht="15.75" customHeight="1" x14ac:dyDescent="0.35">
      <c r="B29" s="203">
        <f t="shared" si="0"/>
        <v>39</v>
      </c>
      <c r="C29" s="205" t="s">
        <v>278</v>
      </c>
      <c r="D29" s="212"/>
      <c r="E29" s="238"/>
      <c r="F29" s="238"/>
      <c r="G29" s="238"/>
      <c r="H29" s="238"/>
      <c r="I29" s="238"/>
      <c r="J29" s="238"/>
      <c r="K29" s="238"/>
      <c r="L29" s="238"/>
      <c r="M29" s="238"/>
      <c r="N29" s="238"/>
      <c r="O29" s="213"/>
    </row>
    <row r="30" spans="1:16" ht="15.75" customHeight="1" x14ac:dyDescent="0.35">
      <c r="B30" s="203">
        <f t="shared" si="0"/>
        <v>40</v>
      </c>
      <c r="C30" s="205" t="s">
        <v>279</v>
      </c>
      <c r="D30" s="239"/>
      <c r="E30" s="238"/>
      <c r="F30" s="238"/>
      <c r="G30" s="238"/>
      <c r="H30" s="238"/>
      <c r="I30" s="238"/>
      <c r="J30" s="238"/>
      <c r="K30" s="238"/>
      <c r="L30" s="238"/>
      <c r="M30" s="238"/>
      <c r="N30" s="238"/>
      <c r="O30" s="213"/>
    </row>
    <row r="31" spans="1:16" ht="15.75" customHeight="1" x14ac:dyDescent="0.35">
      <c r="B31" s="203">
        <f t="shared" si="0"/>
        <v>41</v>
      </c>
      <c r="C31" s="205" t="s">
        <v>280</v>
      </c>
      <c r="D31" s="239"/>
      <c r="E31" s="238"/>
      <c r="F31" s="238"/>
      <c r="G31" s="238"/>
      <c r="H31" s="238"/>
      <c r="I31" s="238"/>
      <c r="J31" s="238"/>
      <c r="K31" s="238"/>
      <c r="L31" s="238"/>
      <c r="M31" s="238"/>
      <c r="N31" s="238"/>
      <c r="O31" s="213"/>
    </row>
    <row r="32" spans="1:16" ht="15.75" customHeight="1" x14ac:dyDescent="0.35">
      <c r="A32" s="219" t="b">
        <v>0</v>
      </c>
      <c r="B32" s="203">
        <f t="shared" si="0"/>
        <v>42</v>
      </c>
      <c r="C32" s="232"/>
      <c r="D32" s="240" t="s">
        <v>96</v>
      </c>
      <c r="E32" s="436"/>
      <c r="F32" s="436"/>
      <c r="G32" s="436"/>
      <c r="H32" s="436"/>
      <c r="I32" s="436"/>
      <c r="J32" s="436"/>
      <c r="K32" s="436"/>
      <c r="L32" s="436"/>
      <c r="M32" s="436"/>
      <c r="N32" s="436"/>
    </row>
    <row r="33" spans="1:15" ht="15.75" customHeight="1" x14ac:dyDescent="0.35">
      <c r="B33" s="203">
        <f t="shared" si="0"/>
        <v>43</v>
      </c>
      <c r="C33" s="205" t="s">
        <v>281</v>
      </c>
      <c r="D33" s="239"/>
      <c r="E33" s="238"/>
      <c r="F33" s="238"/>
      <c r="G33" s="238"/>
      <c r="H33" s="238"/>
      <c r="I33" s="238"/>
      <c r="J33" s="238"/>
      <c r="K33" s="238"/>
      <c r="L33" s="238"/>
      <c r="M33" s="238"/>
      <c r="N33" s="238"/>
      <c r="O33" s="213"/>
    </row>
    <row r="34" spans="1:15" ht="15.75" customHeight="1" x14ac:dyDescent="0.35">
      <c r="B34" s="203">
        <f t="shared" si="0"/>
        <v>44</v>
      </c>
      <c r="C34" s="205" t="s">
        <v>282</v>
      </c>
      <c r="D34" s="239"/>
      <c r="E34" s="238"/>
      <c r="F34" s="238"/>
      <c r="G34" s="238"/>
      <c r="H34" s="238"/>
      <c r="I34" s="238"/>
      <c r="J34" s="238"/>
      <c r="K34" s="238"/>
      <c r="L34" s="238"/>
      <c r="M34" s="238"/>
      <c r="N34" s="238"/>
      <c r="O34" s="213"/>
    </row>
    <row r="35" spans="1:15" ht="15.75" customHeight="1" x14ac:dyDescent="0.35">
      <c r="B35" s="203">
        <f t="shared" si="0"/>
        <v>45</v>
      </c>
      <c r="C35" s="205" t="s">
        <v>283</v>
      </c>
      <c r="D35" s="239"/>
      <c r="E35" s="238"/>
      <c r="F35" s="238"/>
      <c r="G35" s="238"/>
      <c r="H35" s="238"/>
      <c r="I35" s="238"/>
      <c r="J35" s="238"/>
      <c r="K35" s="238"/>
      <c r="L35" s="238"/>
      <c r="M35" s="238"/>
      <c r="N35" s="238"/>
      <c r="O35" s="213"/>
    </row>
    <row r="36" spans="1:15" ht="15.75" customHeight="1" x14ac:dyDescent="0.35">
      <c r="A36" s="219" t="b">
        <v>0</v>
      </c>
      <c r="B36" s="203">
        <f t="shared" si="0"/>
        <v>46</v>
      </c>
      <c r="C36" s="232"/>
      <c r="D36" s="235" t="s">
        <v>104</v>
      </c>
      <c r="E36" s="238"/>
      <c r="F36" s="238"/>
      <c r="G36" s="238"/>
      <c r="H36" s="238"/>
      <c r="I36" s="238"/>
      <c r="J36" s="238"/>
      <c r="K36" s="238"/>
      <c r="L36" s="238"/>
      <c r="M36" s="238"/>
      <c r="N36" s="238"/>
      <c r="O36" s="213"/>
    </row>
    <row r="37" spans="1:15" ht="15.75" customHeight="1" x14ac:dyDescent="0.35">
      <c r="B37" s="203">
        <f t="shared" si="0"/>
        <v>47</v>
      </c>
      <c r="C37" s="205" t="s">
        <v>284</v>
      </c>
      <c r="D37" s="239"/>
      <c r="E37" s="238"/>
      <c r="F37" s="238"/>
      <c r="G37" s="238"/>
      <c r="H37" s="238"/>
      <c r="I37" s="238"/>
      <c r="J37" s="238"/>
      <c r="K37" s="238"/>
      <c r="L37" s="238"/>
      <c r="M37" s="238"/>
      <c r="N37" s="238"/>
      <c r="O37" s="213"/>
    </row>
    <row r="38" spans="1:15" ht="15.75" customHeight="1" x14ac:dyDescent="0.35">
      <c r="B38" s="203">
        <f t="shared" si="0"/>
        <v>48</v>
      </c>
      <c r="C38" s="205" t="s">
        <v>244</v>
      </c>
      <c r="D38" s="239"/>
      <c r="E38" s="238"/>
      <c r="F38" s="238"/>
      <c r="G38" s="238"/>
      <c r="H38" s="238"/>
      <c r="I38" s="238"/>
      <c r="J38" s="238"/>
      <c r="K38" s="238"/>
      <c r="L38" s="238"/>
      <c r="M38" s="238"/>
      <c r="N38" s="238"/>
      <c r="O38" s="213"/>
    </row>
    <row r="39" spans="1:15" ht="15.75" customHeight="1" x14ac:dyDescent="0.35">
      <c r="B39" s="203">
        <f t="shared" si="0"/>
        <v>49</v>
      </c>
      <c r="C39" s="205" t="s">
        <v>285</v>
      </c>
      <c r="D39" s="239"/>
      <c r="E39" s="238"/>
      <c r="F39" s="238"/>
      <c r="G39" s="238"/>
      <c r="H39" s="238"/>
      <c r="I39" s="238"/>
      <c r="J39" s="238"/>
      <c r="K39" s="238"/>
      <c r="L39" s="238"/>
      <c r="M39" s="238"/>
      <c r="N39" s="238"/>
      <c r="O39" s="213"/>
    </row>
    <row r="40" spans="1:15" ht="15.75" customHeight="1" x14ac:dyDescent="0.35">
      <c r="A40" s="219" t="b">
        <v>0</v>
      </c>
      <c r="B40" s="203">
        <f t="shared" si="0"/>
        <v>50</v>
      </c>
      <c r="C40" s="232"/>
      <c r="D40" s="233" t="s">
        <v>286</v>
      </c>
    </row>
    <row r="41" spans="1:15" ht="15.75" customHeight="1" x14ac:dyDescent="0.35">
      <c r="B41" s="203">
        <f t="shared" si="0"/>
        <v>51</v>
      </c>
      <c r="C41" s="205" t="s">
        <v>287</v>
      </c>
      <c r="D41" s="239"/>
      <c r="E41" s="238"/>
      <c r="F41" s="238"/>
      <c r="G41" s="238"/>
      <c r="H41" s="238"/>
      <c r="I41" s="238"/>
      <c r="J41" s="238"/>
      <c r="K41" s="238"/>
      <c r="L41" s="238"/>
      <c r="M41" s="238"/>
      <c r="N41" s="238"/>
      <c r="O41" s="213"/>
    </row>
    <row r="42" spans="1:15" ht="15.75" customHeight="1" x14ac:dyDescent="0.35">
      <c r="B42" s="203">
        <f t="shared" si="0"/>
        <v>52</v>
      </c>
      <c r="C42" s="205" t="s">
        <v>288</v>
      </c>
      <c r="D42" s="239"/>
      <c r="E42" s="238"/>
      <c r="F42" s="238"/>
      <c r="G42" s="238"/>
      <c r="H42" s="238"/>
      <c r="I42" s="238"/>
      <c r="J42" s="238"/>
      <c r="K42" s="238"/>
      <c r="L42" s="238"/>
      <c r="M42" s="238"/>
      <c r="N42" s="238"/>
      <c r="O42" s="213"/>
    </row>
    <row r="43" spans="1:15" ht="15.75" customHeight="1" x14ac:dyDescent="0.35">
      <c r="B43" s="203">
        <f t="shared" si="0"/>
        <v>53</v>
      </c>
      <c r="C43" s="205" t="s">
        <v>289</v>
      </c>
      <c r="D43" s="239"/>
      <c r="E43" s="238"/>
      <c r="F43" s="238"/>
      <c r="G43" s="238"/>
      <c r="H43" s="238"/>
      <c r="I43" s="238"/>
      <c r="J43" s="238"/>
      <c r="K43" s="238"/>
      <c r="L43" s="238"/>
      <c r="M43" s="238"/>
      <c r="N43" s="238"/>
      <c r="O43" s="213"/>
    </row>
    <row r="44" spans="1:15" ht="15.75" customHeight="1" x14ac:dyDescent="0.35">
      <c r="A44" s="219" t="b">
        <v>0</v>
      </c>
      <c r="B44" s="203">
        <f t="shared" si="0"/>
        <v>54</v>
      </c>
      <c r="C44" s="232"/>
      <c r="D44" s="233" t="s">
        <v>290</v>
      </c>
      <c r="E44" s="238"/>
      <c r="F44" s="238"/>
      <c r="G44" s="238"/>
      <c r="H44" s="238"/>
      <c r="I44" s="238"/>
      <c r="J44" s="238"/>
      <c r="K44" s="238"/>
      <c r="L44" s="238"/>
      <c r="M44" s="238"/>
      <c r="N44" s="238"/>
      <c r="O44" s="213"/>
    </row>
    <row r="45" spans="1:15" ht="15.75" customHeight="1" x14ac:dyDescent="0.35">
      <c r="B45" s="203">
        <f t="shared" si="0"/>
        <v>55</v>
      </c>
      <c r="C45" s="205"/>
      <c r="D45" s="239"/>
      <c r="E45" s="238"/>
      <c r="F45" s="238"/>
      <c r="G45" s="238"/>
      <c r="H45" s="238"/>
      <c r="I45" s="238"/>
      <c r="J45" s="238"/>
      <c r="K45" s="238"/>
      <c r="L45" s="238"/>
      <c r="M45" s="238"/>
      <c r="N45" s="238"/>
      <c r="O45" s="213"/>
    </row>
    <row r="46" spans="1:15" ht="15.75" customHeight="1" x14ac:dyDescent="0.35">
      <c r="A46" s="219" t="b">
        <v>0</v>
      </c>
      <c r="B46" s="203">
        <f t="shared" si="0"/>
        <v>56</v>
      </c>
      <c r="C46" s="232"/>
      <c r="D46" s="233"/>
    </row>
    <row r="47" spans="1:15" ht="15.75" customHeight="1" x14ac:dyDescent="0.35">
      <c r="B47" s="203">
        <f t="shared" si="0"/>
        <v>57</v>
      </c>
      <c r="C47" s="205"/>
      <c r="D47" s="239"/>
      <c r="E47" s="238"/>
      <c r="F47" s="238"/>
      <c r="G47" s="238"/>
      <c r="H47" s="238"/>
      <c r="I47" s="238"/>
      <c r="J47" s="238"/>
      <c r="K47" s="238"/>
      <c r="L47" s="238"/>
      <c r="M47" s="238"/>
      <c r="N47" s="238"/>
      <c r="O47" s="213"/>
    </row>
    <row r="48" spans="1:15" ht="15.75" customHeight="1" x14ac:dyDescent="0.35">
      <c r="B48" s="203">
        <f t="shared" si="0"/>
        <v>58</v>
      </c>
      <c r="C48" s="205"/>
      <c r="D48" s="239"/>
      <c r="E48" s="238"/>
      <c r="F48" s="238"/>
      <c r="G48" s="238"/>
      <c r="H48" s="238"/>
      <c r="I48" s="238"/>
      <c r="J48" s="238"/>
      <c r="K48" s="238"/>
      <c r="L48" s="238"/>
      <c r="M48" s="238"/>
      <c r="N48" s="238"/>
      <c r="O48" s="213"/>
    </row>
    <row r="49" spans="1:25" ht="15.75" customHeight="1" x14ac:dyDescent="0.35">
      <c r="B49" s="203">
        <f t="shared" si="0"/>
        <v>59</v>
      </c>
      <c r="C49" s="205" t="s">
        <v>291</v>
      </c>
      <c r="D49" s="239"/>
      <c r="E49" s="238"/>
      <c r="F49" s="238"/>
      <c r="G49" s="238"/>
      <c r="H49" s="238"/>
      <c r="I49" s="238"/>
      <c r="J49" s="238"/>
      <c r="K49" s="238"/>
      <c r="L49" s="238"/>
      <c r="M49" s="238"/>
      <c r="N49" s="238"/>
      <c r="O49" s="213"/>
    </row>
    <row r="50" spans="1:25" ht="15.75" customHeight="1" x14ac:dyDescent="0.35">
      <c r="B50" s="203">
        <f t="shared" si="0"/>
        <v>60</v>
      </c>
      <c r="C50" s="205"/>
      <c r="D50" s="239"/>
      <c r="E50" s="238"/>
      <c r="F50" s="238"/>
      <c r="G50" s="238"/>
      <c r="H50" s="238"/>
      <c r="I50" s="238"/>
      <c r="J50" s="238"/>
      <c r="K50" s="238"/>
      <c r="L50" s="238"/>
      <c r="M50" s="238"/>
      <c r="N50" s="238"/>
      <c r="O50" s="213"/>
    </row>
    <row r="51" spans="1:25" ht="15.75" customHeight="1" x14ac:dyDescent="0.35">
      <c r="B51" s="203">
        <f t="shared" si="0"/>
        <v>61</v>
      </c>
      <c r="C51" s="205"/>
      <c r="D51" s="239"/>
      <c r="E51" s="238"/>
      <c r="F51" s="238"/>
      <c r="G51" s="238"/>
      <c r="H51" s="238"/>
      <c r="I51" s="238"/>
      <c r="J51" s="238"/>
      <c r="K51" s="238"/>
      <c r="L51" s="238"/>
      <c r="M51" s="238"/>
      <c r="N51" s="238"/>
      <c r="O51" s="213"/>
    </row>
    <row r="52" spans="1:25" ht="15.75" customHeight="1" x14ac:dyDescent="0.35">
      <c r="B52" s="203">
        <f t="shared" si="0"/>
        <v>62</v>
      </c>
      <c r="C52" s="205"/>
      <c r="D52" s="239"/>
      <c r="E52" s="238"/>
      <c r="F52" s="238"/>
      <c r="G52" s="238"/>
      <c r="H52" s="238"/>
      <c r="I52" s="238"/>
      <c r="J52" s="238"/>
      <c r="K52" s="238"/>
      <c r="L52" s="238"/>
      <c r="M52" s="238"/>
      <c r="N52" s="238"/>
      <c r="O52" s="213"/>
    </row>
    <row r="53" spans="1:25" ht="15.75" customHeight="1" x14ac:dyDescent="0.35">
      <c r="B53" s="203">
        <f t="shared" si="0"/>
        <v>63</v>
      </c>
      <c r="C53" s="205"/>
      <c r="D53" s="239"/>
      <c r="E53" s="238"/>
      <c r="F53" s="238"/>
      <c r="G53" s="238"/>
      <c r="H53" s="238"/>
      <c r="I53" s="238"/>
      <c r="J53" s="238"/>
      <c r="K53" s="238"/>
      <c r="L53" s="238"/>
      <c r="M53" s="238"/>
      <c r="N53" s="238"/>
      <c r="O53" s="213"/>
    </row>
    <row r="54" spans="1:25" ht="15.75" customHeight="1" x14ac:dyDescent="0.35">
      <c r="A54" s="227" t="b">
        <v>0</v>
      </c>
      <c r="B54" s="203">
        <f t="shared" si="0"/>
        <v>64</v>
      </c>
      <c r="C54" s="241">
        <f>D28</f>
        <v>0</v>
      </c>
      <c r="D54" s="233"/>
      <c r="E54" s="231"/>
      <c r="F54" s="231"/>
      <c r="G54" s="231"/>
      <c r="H54" s="231"/>
      <c r="I54" s="231"/>
      <c r="J54" s="231"/>
      <c r="K54" s="231"/>
      <c r="L54" s="231"/>
      <c r="M54" s="231"/>
      <c r="N54" s="231"/>
      <c r="O54" s="211" t="str">
        <f>IF(A54=TRUE,"Keypad function tested PASS","Keypad function faulty,FAILED")</f>
        <v>Keypad function faulty,FAILED</v>
      </c>
    </row>
    <row r="55" spans="1:25" ht="15.75" customHeight="1" x14ac:dyDescent="0.35">
      <c r="A55" s="219" t="b">
        <v>0</v>
      </c>
      <c r="B55" s="203">
        <f t="shared" si="0"/>
        <v>65</v>
      </c>
      <c r="C55" s="242"/>
      <c r="D55" s="240"/>
      <c r="E55" s="238"/>
      <c r="F55" s="238"/>
      <c r="G55" s="238"/>
      <c r="H55" s="238"/>
      <c r="I55" s="238"/>
      <c r="J55" s="238"/>
      <c r="K55" s="238"/>
      <c r="L55" s="238"/>
      <c r="M55" s="238"/>
      <c r="N55" s="238"/>
      <c r="O55" s="213"/>
    </row>
    <row r="56" spans="1:25" ht="15.75" customHeight="1" x14ac:dyDescent="0.35">
      <c r="A56" s="219" t="b">
        <v>0</v>
      </c>
      <c r="B56" s="203">
        <f t="shared" si="0"/>
        <v>66</v>
      </c>
      <c r="C56" s="242"/>
      <c r="D56" s="240" t="s">
        <v>292</v>
      </c>
      <c r="E56" s="238"/>
      <c r="F56" s="238"/>
      <c r="G56" s="238"/>
      <c r="H56" s="238"/>
      <c r="I56" s="238"/>
      <c r="J56" s="238"/>
      <c r="K56" s="238"/>
      <c r="L56" s="238"/>
      <c r="M56" s="238"/>
      <c r="N56" s="238"/>
      <c r="O56" s="211" t="str">
        <f>IF(A56=FALSE,"Printer Faulty, required quote and replace","Printer operation PASS")</f>
        <v>Printer Faulty, required quote and replace</v>
      </c>
    </row>
    <row r="57" spans="1:25" x14ac:dyDescent="0.35">
      <c r="A57" s="219" t="b">
        <v>0</v>
      </c>
      <c r="B57" s="203">
        <f t="shared" si="0"/>
        <v>67</v>
      </c>
      <c r="C57" s="232"/>
      <c r="D57" s="233"/>
    </row>
    <row r="58" spans="1:25" x14ac:dyDescent="0.35">
      <c r="A58" s="219" t="b">
        <v>0</v>
      </c>
      <c r="B58" s="203">
        <f t="shared" si="0"/>
        <v>68</v>
      </c>
      <c r="C58" s="232"/>
      <c r="D58" s="243"/>
    </row>
    <row r="59" spans="1:25" x14ac:dyDescent="0.35">
      <c r="A59" s="219" t="b">
        <v>0</v>
      </c>
      <c r="B59" s="203">
        <f t="shared" si="0"/>
        <v>69</v>
      </c>
      <c r="C59" s="232"/>
      <c r="D59" s="243"/>
    </row>
    <row r="60" spans="1:25" x14ac:dyDescent="0.35">
      <c r="A60" s="219" t="b">
        <v>0</v>
      </c>
      <c r="B60" s="203">
        <f t="shared" si="0"/>
        <v>70</v>
      </c>
      <c r="C60" s="244" t="str">
        <f>D5&amp;E5</f>
        <v>63010062</v>
      </c>
      <c r="D60" s="243" t="s">
        <v>293</v>
      </c>
    </row>
    <row r="61" spans="1:25" x14ac:dyDescent="0.35">
      <c r="A61" s="219" t="b">
        <v>0</v>
      </c>
      <c r="B61" s="203">
        <f t="shared" si="0"/>
        <v>71</v>
      </c>
      <c r="C61" s="245"/>
      <c r="D61" s="243"/>
    </row>
    <row r="62" spans="1:25" ht="15" x14ac:dyDescent="0.35">
      <c r="B62" s="203">
        <f t="shared" si="0"/>
        <v>72</v>
      </c>
      <c r="C62" s="205"/>
      <c r="D62" s="212"/>
      <c r="O62" s="471"/>
      <c r="P62" s="471"/>
      <c r="Q62" s="471"/>
      <c r="R62" s="471"/>
      <c r="S62" s="471"/>
      <c r="T62" s="471"/>
      <c r="U62" s="471"/>
      <c r="V62" s="471"/>
      <c r="W62" s="471"/>
      <c r="X62" s="471"/>
      <c r="Y62" s="472"/>
    </row>
    <row r="63" spans="1:25" x14ac:dyDescent="0.35">
      <c r="B63" s="203">
        <f t="shared" si="0"/>
        <v>73</v>
      </c>
      <c r="C63" s="228"/>
      <c r="D63" s="212"/>
    </row>
    <row r="64" spans="1:25" x14ac:dyDescent="0.35">
      <c r="A64" s="219" t="b">
        <v>0</v>
      </c>
      <c r="B64" s="203">
        <f t="shared" si="0"/>
        <v>74</v>
      </c>
      <c r="C64" s="232"/>
      <c r="D64" s="233"/>
      <c r="E64" s="213"/>
      <c r="F64" s="213"/>
      <c r="G64" s="213"/>
      <c r="H64" s="213"/>
      <c r="I64" s="213"/>
      <c r="J64" s="213"/>
      <c r="K64" s="213"/>
      <c r="L64" s="213"/>
      <c r="M64" s="213"/>
      <c r="N64" s="213"/>
      <c r="O64" s="211" t="str">
        <f>IF(A64=TRUE,"Processor performance checked and verified PASS","")</f>
        <v/>
      </c>
    </row>
    <row r="65" spans="1:16" x14ac:dyDescent="0.35">
      <c r="A65" s="219" t="b">
        <v>0</v>
      </c>
      <c r="B65" s="203">
        <f t="shared" si="0"/>
        <v>75</v>
      </c>
      <c r="C65" s="241"/>
      <c r="D65" s="233"/>
      <c r="E65" s="433"/>
      <c r="F65" s="433"/>
      <c r="G65" s="433"/>
      <c r="H65" s="433"/>
      <c r="I65" s="433"/>
      <c r="J65" s="433"/>
      <c r="K65" s="433"/>
      <c r="L65" s="433"/>
      <c r="M65" s="433"/>
      <c r="N65" s="433"/>
    </row>
    <row r="66" spans="1:16" x14ac:dyDescent="0.35">
      <c r="B66" s="203">
        <f t="shared" si="0"/>
        <v>76</v>
      </c>
      <c r="C66" s="246" t="s">
        <v>294</v>
      </c>
      <c r="D66" s="212"/>
    </row>
    <row r="67" spans="1:16" x14ac:dyDescent="0.35">
      <c r="A67" s="247" t="b">
        <v>0</v>
      </c>
      <c r="B67" s="203">
        <f t="shared" si="0"/>
        <v>77</v>
      </c>
      <c r="C67" s="241"/>
      <c r="D67" s="248" t="s">
        <v>295</v>
      </c>
      <c r="E67" s="213"/>
      <c r="F67" s="213"/>
      <c r="G67" s="213"/>
      <c r="H67" s="213"/>
      <c r="I67" s="213"/>
      <c r="J67" s="213"/>
      <c r="K67" s="213"/>
      <c r="L67" s="213"/>
      <c r="M67" s="213"/>
      <c r="N67" s="213"/>
      <c r="O67" s="213"/>
    </row>
    <row r="68" spans="1:16" x14ac:dyDescent="0.35">
      <c r="A68" s="247" t="b">
        <v>0</v>
      </c>
      <c r="B68" s="203">
        <f t="shared" si="0"/>
        <v>78</v>
      </c>
      <c r="C68" s="241"/>
      <c r="D68" s="248" t="s">
        <v>296</v>
      </c>
      <c r="E68" s="213"/>
      <c r="F68" s="213"/>
      <c r="G68" s="213"/>
      <c r="H68" s="213"/>
      <c r="I68" s="213"/>
      <c r="J68" s="213"/>
      <c r="K68" s="213"/>
      <c r="L68" s="213"/>
      <c r="M68" s="213"/>
      <c r="N68" s="213"/>
      <c r="O68" s="213"/>
    </row>
    <row r="69" spans="1:16" x14ac:dyDescent="0.35">
      <c r="A69" s="219" t="b">
        <v>0</v>
      </c>
      <c r="B69" s="203">
        <f t="shared" si="0"/>
        <v>79</v>
      </c>
      <c r="C69" s="241"/>
      <c r="D69" s="233" t="s">
        <v>297</v>
      </c>
      <c r="E69" s="213"/>
      <c r="F69" s="213"/>
      <c r="G69" s="213"/>
      <c r="H69" s="213"/>
      <c r="I69" s="213"/>
      <c r="J69" s="213"/>
      <c r="K69" s="213"/>
      <c r="L69" s="213"/>
      <c r="M69" s="213"/>
      <c r="N69" s="213"/>
      <c r="O69" s="211" t="str">
        <f>IF(A69=FALSE,"Unit was dirty or damaged inside and required extra cleaning","Internal condition good")</f>
        <v>Unit was dirty or damaged inside and required extra cleaning</v>
      </c>
    </row>
    <row r="70" spans="1:16" x14ac:dyDescent="0.35">
      <c r="C70" s="432" t="s">
        <v>127</v>
      </c>
      <c r="D70" s="432"/>
      <c r="E70" s="432"/>
      <c r="F70" s="432"/>
      <c r="G70" s="432"/>
      <c r="H70" s="432"/>
      <c r="I70" s="432"/>
      <c r="J70" s="432"/>
      <c r="K70" s="432"/>
      <c r="L70" s="432"/>
      <c r="M70" s="432"/>
      <c r="N70" s="432"/>
      <c r="O70" s="432"/>
      <c r="P70" s="226"/>
    </row>
    <row r="71" spans="1:16" x14ac:dyDescent="0.35">
      <c r="A71" s="219" t="b">
        <v>0</v>
      </c>
      <c r="B71" s="203">
        <f>B69+1</f>
        <v>80</v>
      </c>
      <c r="C71" s="232"/>
      <c r="D71" s="233" t="s">
        <v>128</v>
      </c>
      <c r="E71" s="433"/>
      <c r="F71" s="433"/>
      <c r="G71" s="433"/>
      <c r="H71" s="433"/>
      <c r="I71" s="433"/>
      <c r="J71" s="433"/>
      <c r="K71" s="433"/>
      <c r="L71" s="433"/>
      <c r="M71" s="433"/>
      <c r="N71" s="433"/>
      <c r="O71" s="211" t="str">
        <f>IF(A71=FALSE,"Initial purge test FAIL","Initial purge test PASS")</f>
        <v>Initial purge test FAIL</v>
      </c>
    </row>
    <row r="72" spans="1:16" x14ac:dyDescent="0.35">
      <c r="A72" s="219" t="b">
        <v>0</v>
      </c>
      <c r="B72" s="203">
        <f t="shared" ref="B72:B135" si="1">B71+1</f>
        <v>81</v>
      </c>
      <c r="C72" s="241"/>
      <c r="D72" s="233" t="s">
        <v>129</v>
      </c>
      <c r="O72" s="211" t="str">
        <f>IF(A72=TRUE,"Damage to pump assembly found, Service Quote Required","Pump unit passed initial inspection")</f>
        <v>Pump unit passed initial inspection</v>
      </c>
    </row>
    <row r="73" spans="1:16" x14ac:dyDescent="0.35">
      <c r="A73" s="219" t="b">
        <v>0</v>
      </c>
      <c r="B73" s="203">
        <f t="shared" si="1"/>
        <v>82</v>
      </c>
      <c r="C73" s="241"/>
      <c r="D73" s="233" t="s">
        <v>298</v>
      </c>
      <c r="E73" s="238"/>
      <c r="F73" s="238"/>
      <c r="G73" s="238"/>
      <c r="H73" s="238"/>
      <c r="I73" s="238"/>
      <c r="J73" s="238"/>
      <c r="K73" s="238"/>
      <c r="L73" s="238"/>
      <c r="M73" s="238"/>
      <c r="N73" s="238"/>
      <c r="O73" s="211" t="str">
        <f>IF(A73=TRUE,"Pump module repaired under warranty","")</f>
        <v/>
      </c>
    </row>
    <row r="74" spans="1:16" x14ac:dyDescent="0.35">
      <c r="A74" s="219" t="b">
        <v>0</v>
      </c>
      <c r="B74" s="203">
        <f t="shared" si="1"/>
        <v>83</v>
      </c>
      <c r="C74" s="241"/>
      <c r="D74" s="233" t="s">
        <v>299</v>
      </c>
      <c r="E74" s="238"/>
      <c r="F74" s="238"/>
      <c r="G74" s="238"/>
      <c r="H74" s="238"/>
      <c r="I74" s="238"/>
      <c r="J74" s="238"/>
      <c r="K74" s="238"/>
      <c r="L74" s="238"/>
      <c r="M74" s="238"/>
      <c r="N74" s="238"/>
    </row>
    <row r="75" spans="1:16" x14ac:dyDescent="0.35">
      <c r="B75" s="203">
        <f t="shared" si="1"/>
        <v>84</v>
      </c>
      <c r="C75" s="249" t="s">
        <v>300</v>
      </c>
      <c r="D75" s="250"/>
      <c r="E75" s="251" t="s">
        <v>28</v>
      </c>
      <c r="F75" s="252" t="s">
        <v>34</v>
      </c>
      <c r="G75" s="213"/>
      <c r="H75" s="251" t="s">
        <v>34</v>
      </c>
      <c r="I75" s="252" t="s">
        <v>34</v>
      </c>
      <c r="J75" s="220"/>
      <c r="K75" s="251" t="s">
        <v>38</v>
      </c>
      <c r="L75" s="253" t="s">
        <v>34</v>
      </c>
      <c r="M75" s="238"/>
      <c r="N75" s="238"/>
    </row>
    <row r="76" spans="1:16" s="220" customFormat="1" x14ac:dyDescent="0.35">
      <c r="A76" s="219" t="b">
        <v>0</v>
      </c>
      <c r="B76" s="203">
        <f t="shared" si="1"/>
        <v>85</v>
      </c>
      <c r="C76" s="241"/>
      <c r="D76" s="233" t="s">
        <v>132</v>
      </c>
      <c r="E76" s="437" t="s">
        <v>133</v>
      </c>
      <c r="F76" s="437"/>
      <c r="G76" s="437"/>
      <c r="H76" s="437"/>
      <c r="I76" s="437"/>
      <c r="J76" s="437"/>
      <c r="K76" s="437"/>
      <c r="L76" s="437"/>
      <c r="M76" s="437"/>
      <c r="N76" s="437"/>
      <c r="O76" s="211" t="str">
        <f>IF(A76=FALSE,"Secondary purge test FAIL/not completed","Secondary purge test PASS")</f>
        <v>Secondary purge test FAIL/not completed</v>
      </c>
      <c r="P76" s="209"/>
    </row>
    <row r="77" spans="1:16" x14ac:dyDescent="0.35">
      <c r="A77" s="219">
        <v>2000</v>
      </c>
      <c r="B77" s="203">
        <f t="shared" si="1"/>
        <v>86</v>
      </c>
      <c r="C77" s="254"/>
      <c r="D77" s="212"/>
      <c r="E77" s="433"/>
      <c r="F77" s="433"/>
      <c r="G77" s="433"/>
      <c r="H77" s="433"/>
      <c r="I77" s="433"/>
      <c r="J77" s="433"/>
      <c r="K77" s="433"/>
      <c r="L77" s="433"/>
      <c r="M77" s="433"/>
      <c r="N77" s="433"/>
      <c r="O77" s="211" t="str">
        <f>IF(D77&lt;550,"Initial Laser 1  check, output outside of specification FAILED/not checked","Initial Laser 1 check, output within specification PASS")</f>
        <v>Initial Laser 1  check, output outside of specification FAILED/not checked</v>
      </c>
    </row>
    <row r="78" spans="1:16" x14ac:dyDescent="0.35">
      <c r="A78" s="219">
        <v>2400</v>
      </c>
      <c r="B78" s="203">
        <f>B77+1</f>
        <v>87</v>
      </c>
      <c r="C78" s="254"/>
      <c r="D78" s="212"/>
      <c r="E78" s="433"/>
      <c r="F78" s="433"/>
      <c r="G78" s="433"/>
      <c r="H78" s="433"/>
      <c r="I78" s="433"/>
      <c r="J78" s="433"/>
      <c r="K78" s="433"/>
      <c r="L78" s="433"/>
      <c r="M78" s="433"/>
      <c r="N78" s="433"/>
      <c r="O78" s="211" t="str">
        <f>IF(D78&lt;800,"Initial Laser 2 check, output outside of specification FAILED/not checked","Initial Laser 2 output within specification PASS")</f>
        <v>Initial Laser 2 check, output outside of specification FAILED/not checked</v>
      </c>
    </row>
    <row r="79" spans="1:16" x14ac:dyDescent="0.35">
      <c r="B79" s="203">
        <f>B78+1</f>
        <v>88</v>
      </c>
      <c r="C79" s="254"/>
      <c r="D79" s="212"/>
      <c r="E79" s="433"/>
      <c r="F79" s="433"/>
      <c r="G79" s="433"/>
      <c r="H79" s="433"/>
      <c r="I79" s="433"/>
      <c r="J79" s="433"/>
      <c r="K79" s="433"/>
      <c r="L79" s="433"/>
      <c r="M79" s="433"/>
      <c r="N79" s="433"/>
      <c r="O79" s="211" t="str">
        <f>IF(D79&lt;1500,"Initial Laser 1 electrical noise output within specification PASS","Initial Laser 1 electrical noise output outside specification FAILED - RETEST at calibration")</f>
        <v>Initial Laser 1 electrical noise output within specification PASS</v>
      </c>
    </row>
    <row r="80" spans="1:16" x14ac:dyDescent="0.35">
      <c r="B80" s="203">
        <f>B79+1</f>
        <v>89</v>
      </c>
      <c r="C80" s="254"/>
      <c r="D80" s="212"/>
      <c r="E80" s="433"/>
      <c r="F80" s="433"/>
      <c r="G80" s="433"/>
      <c r="H80" s="433"/>
      <c r="I80" s="433"/>
      <c r="J80" s="433"/>
      <c r="K80" s="433"/>
      <c r="L80" s="433"/>
      <c r="M80" s="433"/>
      <c r="N80" s="433"/>
      <c r="O80" s="211" t="str">
        <f>IF(D80&lt;1500,"Initial Laser 2 electrical noise output within specification PASS","Initial Laser 2 noise output outside specification FAILED - RETEST at recalibration")</f>
        <v>Initial Laser 2 electrical noise output within specification PASS</v>
      </c>
    </row>
    <row r="81" spans="1:16" x14ac:dyDescent="0.35">
      <c r="A81" s="227"/>
      <c r="C81" s="432" t="s">
        <v>136</v>
      </c>
      <c r="D81" s="432"/>
      <c r="E81" s="432"/>
      <c r="F81" s="432"/>
      <c r="G81" s="432"/>
      <c r="H81" s="432"/>
      <c r="I81" s="432"/>
      <c r="J81" s="432"/>
      <c r="K81" s="432"/>
      <c r="L81" s="432"/>
      <c r="M81" s="432"/>
      <c r="N81" s="432"/>
      <c r="O81" s="432"/>
      <c r="P81" s="226"/>
    </row>
    <row r="82" spans="1:16" x14ac:dyDescent="0.35">
      <c r="A82" s="219" t="b">
        <v>0</v>
      </c>
      <c r="B82" s="203">
        <f>B80+1</f>
        <v>90</v>
      </c>
      <c r="C82" s="241"/>
      <c r="D82" s="233" t="s">
        <v>137</v>
      </c>
      <c r="E82" s="456"/>
      <c r="F82" s="457"/>
      <c r="G82" s="457"/>
      <c r="H82" s="457"/>
      <c r="I82" s="457"/>
      <c r="J82" s="457"/>
      <c r="K82" s="439" t="s">
        <v>138</v>
      </c>
      <c r="L82" s="439"/>
      <c r="M82" s="439"/>
      <c r="N82" s="439"/>
      <c r="O82" s="211" t="str">
        <f>IF(A82=FALSE,"Pressure reducing valve initial check FAIL/not checked","Pressure reducing valve initial check PASS")</f>
        <v>Pressure reducing valve initial check FAIL/not checked</v>
      </c>
    </row>
    <row r="83" spans="1:16" x14ac:dyDescent="0.35">
      <c r="A83" s="219" t="b">
        <v>0</v>
      </c>
      <c r="B83" s="203">
        <f>B82+1</f>
        <v>91</v>
      </c>
      <c r="C83" s="241"/>
      <c r="D83" s="233" t="s">
        <v>301</v>
      </c>
      <c r="E83" s="238"/>
      <c r="F83" s="238"/>
      <c r="G83" s="238"/>
      <c r="H83" s="238"/>
      <c r="I83" s="238"/>
      <c r="J83" s="238"/>
      <c r="K83" s="209"/>
      <c r="L83" s="209"/>
      <c r="M83" s="209"/>
      <c r="N83" s="209"/>
      <c r="O83" s="211" t="str">
        <f>IF(A83=TRUE,"Piston pump function test PASS","Piston pump function test FAIL/not checked, Service Quote Required")</f>
        <v>Piston pump function test FAIL/not checked, Service Quote Required</v>
      </c>
    </row>
    <row r="84" spans="1:16" x14ac:dyDescent="0.35">
      <c r="A84" s="219" t="b">
        <v>0</v>
      </c>
      <c r="B84" s="203">
        <f t="shared" ref="B84:B89" si="2">B83+1</f>
        <v>92</v>
      </c>
      <c r="C84" s="241"/>
      <c r="D84" s="240" t="s">
        <v>302</v>
      </c>
      <c r="E84" s="437" t="s">
        <v>139</v>
      </c>
      <c r="F84" s="437"/>
      <c r="G84" s="437"/>
      <c r="H84" s="437"/>
      <c r="I84" s="437"/>
      <c r="J84" s="437"/>
      <c r="K84" s="437"/>
      <c r="L84" s="437"/>
      <c r="M84" s="437"/>
      <c r="N84" s="437"/>
      <c r="O84" s="211" t="str">
        <f>IF(A84=TRUE,"SERVICE QUOTE SIGN OFF REQUIRED FROM END USER TO PROGRESS SERVICE","Initial inspection PASS, moved to Service")</f>
        <v>Initial inspection PASS, moved to Service</v>
      </c>
    </row>
    <row r="85" spans="1:16" x14ac:dyDescent="0.35">
      <c r="A85" s="219" t="b">
        <v>0</v>
      </c>
      <c r="B85" s="203">
        <f t="shared" si="2"/>
        <v>93</v>
      </c>
      <c r="C85" s="241"/>
      <c r="D85" s="240" t="s">
        <v>140</v>
      </c>
      <c r="E85" s="434" t="s">
        <v>141</v>
      </c>
      <c r="F85" s="434"/>
      <c r="G85" s="434"/>
      <c r="H85" s="434"/>
      <c r="I85" s="434"/>
      <c r="J85" s="434"/>
      <c r="K85" s="473"/>
      <c r="L85" s="473"/>
      <c r="M85" s="473"/>
      <c r="N85" s="473"/>
      <c r="O85" s="211" t="str">
        <f>IF(A85=TRUE,"Customer advised of additional work required for approval","")</f>
        <v/>
      </c>
    </row>
    <row r="86" spans="1:16" x14ac:dyDescent="0.35">
      <c r="A86" s="219" t="b">
        <v>0</v>
      </c>
      <c r="B86" s="203">
        <f t="shared" si="2"/>
        <v>94</v>
      </c>
      <c r="C86" s="241"/>
      <c r="D86" s="240" t="s">
        <v>303</v>
      </c>
      <c r="E86" s="437" t="s">
        <v>139</v>
      </c>
      <c r="F86" s="437"/>
      <c r="G86" s="437"/>
      <c r="H86" s="437"/>
      <c r="I86" s="437"/>
      <c r="J86" s="437"/>
      <c r="K86" s="437"/>
      <c r="L86" s="437"/>
      <c r="M86" s="437"/>
      <c r="N86" s="437"/>
      <c r="O86" s="211" t="str">
        <f>IF(A86=TRUE,"SALES ORDER WAS REQUIRED TO PROGRESS SERVICE","Initial inspection PASS, moved to Service")</f>
        <v>Initial inspection PASS, moved to Service</v>
      </c>
    </row>
    <row r="87" spans="1:16" x14ac:dyDescent="0.35">
      <c r="A87" s="219" t="b">
        <v>0</v>
      </c>
      <c r="B87" s="203">
        <f t="shared" si="2"/>
        <v>95</v>
      </c>
      <c r="C87" s="241"/>
      <c r="D87" s="240" t="s">
        <v>142</v>
      </c>
      <c r="E87" s="434" t="s">
        <v>143</v>
      </c>
      <c r="F87" s="434"/>
      <c r="G87" s="434"/>
      <c r="H87" s="434"/>
      <c r="I87" s="434"/>
      <c r="J87" s="434"/>
      <c r="K87" s="473"/>
      <c r="L87" s="473"/>
      <c r="M87" s="473"/>
      <c r="N87" s="473"/>
      <c r="O87" s="211" t="str">
        <f>IF(A87=TRUE,"Customer advised of order requirement","Sales Order raised, passed to Service")</f>
        <v>Sales Order raised, passed to Service</v>
      </c>
    </row>
    <row r="88" spans="1:16" x14ac:dyDescent="0.35">
      <c r="B88" s="203">
        <f t="shared" si="2"/>
        <v>96</v>
      </c>
      <c r="C88" s="228" t="s">
        <v>304</v>
      </c>
      <c r="D88" s="210"/>
      <c r="E88" s="231"/>
      <c r="F88" s="213"/>
      <c r="G88" s="228"/>
      <c r="H88" s="228"/>
      <c r="I88" s="228"/>
      <c r="J88" s="228"/>
      <c r="K88" s="213"/>
      <c r="L88" s="255"/>
      <c r="M88" s="255"/>
      <c r="N88" s="255"/>
      <c r="O88" s="209"/>
    </row>
    <row r="89" spans="1:16" x14ac:dyDescent="0.35">
      <c r="B89" s="203">
        <f t="shared" si="2"/>
        <v>97</v>
      </c>
      <c r="C89" s="228" t="s">
        <v>305</v>
      </c>
      <c r="D89" s="229"/>
      <c r="E89" s="231" t="s">
        <v>306</v>
      </c>
      <c r="F89" s="213"/>
      <c r="G89" s="228"/>
      <c r="H89" s="228"/>
      <c r="I89" s="461">
        <f>D89-D16</f>
        <v>0</v>
      </c>
      <c r="J89" s="461"/>
      <c r="K89" s="461"/>
      <c r="L89" s="461"/>
      <c r="M89" s="461"/>
      <c r="N89" s="461"/>
      <c r="O89" s="213"/>
    </row>
    <row r="90" spans="1:16" x14ac:dyDescent="0.35">
      <c r="C90" s="432" t="s">
        <v>146</v>
      </c>
      <c r="D90" s="432"/>
      <c r="E90" s="432"/>
      <c r="F90" s="432"/>
      <c r="G90" s="432"/>
      <c r="H90" s="432"/>
      <c r="I90" s="432"/>
      <c r="J90" s="432"/>
      <c r="K90" s="432"/>
      <c r="L90" s="432"/>
      <c r="M90" s="432"/>
      <c r="N90" s="432"/>
      <c r="O90" s="432"/>
      <c r="P90" s="226"/>
    </row>
    <row r="91" spans="1:16" s="220" customFormat="1" ht="15.75" customHeight="1" x14ac:dyDescent="0.35">
      <c r="A91" s="227"/>
      <c r="B91" s="203">
        <f>B89+1</f>
        <v>98</v>
      </c>
      <c r="C91" s="228" t="s">
        <v>147</v>
      </c>
      <c r="D91" s="210"/>
      <c r="E91" s="434" t="s">
        <v>67</v>
      </c>
      <c r="F91" s="434"/>
      <c r="G91" s="462" t="str">
        <f>IF(D91=$D$7,"ON TIME",IF(D91&gt;$D$7,"LATE",IF(D91&lt;$D$7,"EARLY")))</f>
        <v>ON TIME</v>
      </c>
      <c r="H91" s="462"/>
      <c r="I91" s="462"/>
      <c r="J91" s="462"/>
      <c r="K91" s="462"/>
      <c r="L91" s="462"/>
      <c r="M91" s="462"/>
      <c r="N91" s="462"/>
      <c r="O91" s="238"/>
      <c r="P91" s="238"/>
    </row>
    <row r="92" spans="1:16" s="220" customFormat="1" ht="15.75" customHeight="1" x14ac:dyDescent="0.35">
      <c r="A92" s="227"/>
      <c r="B92" s="203">
        <f t="shared" si="1"/>
        <v>99</v>
      </c>
      <c r="C92" s="228" t="s">
        <v>307</v>
      </c>
      <c r="D92" s="229"/>
      <c r="E92" s="226"/>
      <c r="G92" s="228"/>
      <c r="H92" s="228"/>
      <c r="I92" s="228"/>
      <c r="J92" s="228"/>
      <c r="L92" s="230"/>
      <c r="M92" s="230"/>
      <c r="N92" s="230"/>
      <c r="O92" s="226"/>
      <c r="P92" s="226"/>
    </row>
    <row r="93" spans="1:16" x14ac:dyDescent="0.35">
      <c r="A93" s="219" t="b">
        <v>0</v>
      </c>
      <c r="B93" s="203">
        <f t="shared" si="1"/>
        <v>100</v>
      </c>
      <c r="C93" s="256"/>
      <c r="D93" s="233" t="s">
        <v>308</v>
      </c>
      <c r="E93" s="458">
        <v>0</v>
      </c>
      <c r="F93" s="458"/>
      <c r="G93" s="458"/>
      <c r="H93" s="458"/>
      <c r="I93" s="458"/>
      <c r="J93" s="458"/>
      <c r="K93" s="458"/>
      <c r="L93" s="458"/>
      <c r="M93" s="458"/>
      <c r="N93" s="458"/>
      <c r="O93" s="211" t="str">
        <f>IF(A93=TRUE,"SO received and on system","Awaiting customers purchase order")</f>
        <v>Awaiting customers purchase order</v>
      </c>
      <c r="P93" s="220"/>
    </row>
    <row r="94" spans="1:16" x14ac:dyDescent="0.35">
      <c r="A94" s="219" t="b">
        <v>0</v>
      </c>
      <c r="B94" s="203">
        <f t="shared" si="1"/>
        <v>101</v>
      </c>
      <c r="C94" s="256"/>
      <c r="D94" s="233" t="s">
        <v>309</v>
      </c>
      <c r="E94" s="458">
        <v>0</v>
      </c>
      <c r="F94" s="458"/>
      <c r="G94" s="458"/>
      <c r="H94" s="458"/>
      <c r="I94" s="458"/>
      <c r="J94" s="458"/>
      <c r="K94" s="458"/>
      <c r="L94" s="458"/>
      <c r="M94" s="458"/>
      <c r="N94" s="458"/>
      <c r="O94" s="211" t="str">
        <f>IF(A94=TRUE,"WO processed, service can be started","Awaiting customers purchase order")</f>
        <v>Awaiting customers purchase order</v>
      </c>
      <c r="P94" s="220"/>
    </row>
    <row r="95" spans="1:16" x14ac:dyDescent="0.35">
      <c r="A95" s="219" t="b">
        <v>0</v>
      </c>
      <c r="B95" s="203">
        <f t="shared" si="1"/>
        <v>102</v>
      </c>
      <c r="C95" s="241"/>
      <c r="D95" s="233" t="s">
        <v>310</v>
      </c>
      <c r="E95" s="238"/>
      <c r="F95" s="238"/>
      <c r="G95" s="238"/>
      <c r="H95" s="238"/>
      <c r="I95" s="238"/>
      <c r="J95" s="238"/>
      <c r="K95" s="238"/>
      <c r="L95" s="238"/>
      <c r="M95" s="238"/>
      <c r="N95" s="238"/>
      <c r="O95" s="211" t="s">
        <v>311</v>
      </c>
      <c r="P95" s="220"/>
    </row>
    <row r="96" spans="1:16" x14ac:dyDescent="0.35">
      <c r="B96" s="203">
        <f t="shared" si="1"/>
        <v>103</v>
      </c>
      <c r="C96" s="249" t="s">
        <v>312</v>
      </c>
      <c r="D96" s="257"/>
      <c r="E96" s="251" t="str">
        <f>E75</f>
        <v>M</v>
      </c>
      <c r="F96" s="258" t="str">
        <f>F75</f>
        <v>N</v>
      </c>
      <c r="G96" s="213"/>
      <c r="H96" s="251" t="s">
        <v>34</v>
      </c>
      <c r="I96" s="258" t="str">
        <f>I75</f>
        <v>N</v>
      </c>
      <c r="J96" s="213"/>
      <c r="K96" s="251" t="s">
        <v>38</v>
      </c>
      <c r="L96" s="259" t="str">
        <f>L75</f>
        <v>N</v>
      </c>
      <c r="M96" s="238"/>
      <c r="N96" s="238"/>
      <c r="P96" s="220"/>
    </row>
    <row r="97" spans="1:15" x14ac:dyDescent="0.35">
      <c r="A97" s="219" t="b">
        <v>0</v>
      </c>
      <c r="B97" s="203">
        <f t="shared" si="1"/>
        <v>104</v>
      </c>
      <c r="C97" s="241"/>
      <c r="D97" s="233"/>
      <c r="E97" s="474"/>
      <c r="F97" s="475"/>
      <c r="G97" s="475"/>
      <c r="H97" s="475"/>
      <c r="I97" s="475"/>
      <c r="J97" s="475"/>
      <c r="K97" s="439" t="s">
        <v>138</v>
      </c>
      <c r="L97" s="439"/>
      <c r="M97" s="439"/>
      <c r="N97" s="439"/>
      <c r="O97" s="211" t="str">
        <f>IF(A97=TRUE,"Pressure reducing valve value logged PASS","")</f>
        <v/>
      </c>
    </row>
    <row r="98" spans="1:15" x14ac:dyDescent="0.35">
      <c r="A98" s="219" t="b">
        <v>0</v>
      </c>
      <c r="B98" s="203">
        <f t="shared" si="1"/>
        <v>105</v>
      </c>
      <c r="C98" s="241"/>
      <c r="D98" s="233"/>
      <c r="E98" s="238"/>
      <c r="F98" s="238"/>
      <c r="G98" s="238"/>
      <c r="H98" s="238"/>
      <c r="I98" s="238"/>
      <c r="J98" s="238"/>
      <c r="K98" s="209"/>
      <c r="L98" s="209"/>
      <c r="M98" s="209"/>
      <c r="N98" s="209"/>
      <c r="O98" s="211" t="str">
        <f>IF(A98=TRUE,"Piston pump function test PASS","")</f>
        <v/>
      </c>
    </row>
    <row r="99" spans="1:15" x14ac:dyDescent="0.35">
      <c r="B99" s="203">
        <f t="shared" si="1"/>
        <v>106</v>
      </c>
      <c r="C99" s="254" t="s">
        <v>313</v>
      </c>
      <c r="D99" s="212"/>
      <c r="E99" s="476"/>
      <c r="F99" s="433"/>
      <c r="G99" s="433"/>
      <c r="H99" s="433"/>
      <c r="I99" s="433"/>
      <c r="J99" s="433"/>
      <c r="K99" s="433"/>
      <c r="L99" s="433"/>
      <c r="M99" s="433"/>
      <c r="N99" s="433"/>
      <c r="O99" s="211" t="str">
        <f>IF(D99&lt;550,"Laser 1 output outside of specification FAILED","Laser 1 output within specification PASS")</f>
        <v>Laser 1 output outside of specification FAILED</v>
      </c>
    </row>
    <row r="100" spans="1:15" x14ac:dyDescent="0.35">
      <c r="B100" s="203">
        <f t="shared" si="1"/>
        <v>107</v>
      </c>
      <c r="C100" s="254" t="s">
        <v>314</v>
      </c>
      <c r="D100" s="212"/>
      <c r="E100" s="476"/>
      <c r="F100" s="433"/>
      <c r="G100" s="433"/>
      <c r="H100" s="433"/>
      <c r="I100" s="433"/>
      <c r="J100" s="433"/>
      <c r="K100" s="433"/>
      <c r="L100" s="433"/>
      <c r="M100" s="433"/>
      <c r="N100" s="433"/>
      <c r="O100" s="211" t="str">
        <f>IF(D100&lt;800,"Laser 2 output outside of specification FAILED","Laser 2 output within specification PASS")</f>
        <v>Laser 2 output outside of specification FAILED</v>
      </c>
    </row>
    <row r="101" spans="1:15" x14ac:dyDescent="0.35">
      <c r="B101" s="203">
        <f t="shared" si="1"/>
        <v>108</v>
      </c>
      <c r="C101" s="254" t="s">
        <v>315</v>
      </c>
      <c r="D101" s="212"/>
      <c r="E101" s="476"/>
      <c r="F101" s="433"/>
      <c r="G101" s="433"/>
      <c r="H101" s="433"/>
      <c r="I101" s="433"/>
      <c r="J101" s="433"/>
      <c r="K101" s="433"/>
      <c r="L101" s="433"/>
      <c r="M101" s="433"/>
      <c r="N101" s="433"/>
      <c r="O101" s="211" t="str">
        <f>IF(D101&lt;1500,"Laser 1 NOISE output within specification PASS","Laser 1 NOISE output outside specification FAILED")</f>
        <v>Laser 1 NOISE output within specification PASS</v>
      </c>
    </row>
    <row r="102" spans="1:15" x14ac:dyDescent="0.35">
      <c r="B102" s="203">
        <f t="shared" si="1"/>
        <v>109</v>
      </c>
      <c r="C102" s="254" t="s">
        <v>316</v>
      </c>
      <c r="D102" s="212"/>
      <c r="E102" s="476"/>
      <c r="F102" s="433"/>
      <c r="G102" s="433"/>
      <c r="H102" s="433"/>
      <c r="I102" s="433"/>
      <c r="J102" s="433"/>
      <c r="K102" s="433"/>
      <c r="L102" s="433"/>
      <c r="M102" s="433"/>
      <c r="N102" s="433"/>
      <c r="O102" s="211" t="str">
        <f>IF(D102&lt;1500,"Laser 2 NOISE output within specification PASS","Laser 2 NOISE output outside specification FAILED")</f>
        <v>Laser 2 NOISE output within specification PASS</v>
      </c>
    </row>
    <row r="103" spans="1:15" x14ac:dyDescent="0.35">
      <c r="A103" s="219" t="b">
        <v>0</v>
      </c>
      <c r="B103" s="203">
        <f t="shared" si="1"/>
        <v>110</v>
      </c>
      <c r="C103" s="256"/>
      <c r="D103" s="233" t="s">
        <v>317</v>
      </c>
      <c r="E103" s="437" t="s">
        <v>152</v>
      </c>
      <c r="F103" s="437"/>
      <c r="G103" s="437"/>
      <c r="H103" s="437"/>
      <c r="I103" s="437"/>
      <c r="J103" s="437"/>
      <c r="K103" s="437"/>
      <c r="L103" s="437"/>
      <c r="M103" s="437"/>
      <c r="N103" s="437"/>
      <c r="O103" s="211" t="str">
        <f>IF(A103=TRUE,"DC connector inspected and tests OK","")</f>
        <v/>
      </c>
    </row>
    <row r="104" spans="1:15" x14ac:dyDescent="0.35">
      <c r="A104" s="219" t="b">
        <v>0</v>
      </c>
      <c r="B104" s="203">
        <f t="shared" si="1"/>
        <v>111</v>
      </c>
      <c r="C104" s="256"/>
      <c r="D104" s="233" t="s">
        <v>318</v>
      </c>
      <c r="E104" s="238"/>
      <c r="F104" s="238"/>
      <c r="G104" s="238"/>
      <c r="H104" s="238"/>
      <c r="I104" s="238"/>
      <c r="J104" s="238"/>
      <c r="K104" s="238"/>
      <c r="L104" s="238"/>
      <c r="M104" s="238"/>
      <c r="N104" s="238"/>
      <c r="O104" s="211" t="str">
        <f>IF(A104=TRUE,"Clock battery replaced as part of service. Please note: as a result of this time &amp; date has been set to local GMT","")</f>
        <v/>
      </c>
    </row>
    <row r="105" spans="1:15" x14ac:dyDescent="0.35">
      <c r="A105" s="219" t="b">
        <v>0</v>
      </c>
      <c r="B105" s="203">
        <f t="shared" si="1"/>
        <v>112</v>
      </c>
      <c r="C105" s="256"/>
      <c r="D105" s="233" t="s">
        <v>319</v>
      </c>
      <c r="E105" s="238"/>
      <c r="F105" s="238"/>
      <c r="G105" s="238"/>
      <c r="H105" s="238"/>
      <c r="I105" s="238"/>
      <c r="J105" s="238"/>
      <c r="K105" s="238"/>
      <c r="L105" s="238"/>
      <c r="M105" s="238"/>
      <c r="N105" s="238"/>
    </row>
    <row r="106" spans="1:15" x14ac:dyDescent="0.35">
      <c r="A106" s="219" t="b">
        <v>0</v>
      </c>
      <c r="B106" s="203">
        <f t="shared" si="1"/>
        <v>113</v>
      </c>
      <c r="C106" s="256"/>
      <c r="D106" s="233" t="s">
        <v>320</v>
      </c>
      <c r="E106" s="238"/>
      <c r="F106" s="238"/>
      <c r="G106" s="238"/>
      <c r="H106" s="238"/>
      <c r="I106" s="238"/>
      <c r="J106" s="238"/>
      <c r="K106" s="238"/>
      <c r="L106" s="238"/>
      <c r="M106" s="238"/>
      <c r="N106" s="238"/>
    </row>
    <row r="107" spans="1:15" x14ac:dyDescent="0.35">
      <c r="A107" s="219" t="b">
        <v>0</v>
      </c>
      <c r="B107" s="203">
        <f t="shared" si="1"/>
        <v>114</v>
      </c>
      <c r="C107" s="242"/>
      <c r="D107" s="233" t="s">
        <v>150</v>
      </c>
      <c r="E107" s="238"/>
      <c r="F107" s="238"/>
      <c r="G107" s="238"/>
      <c r="H107" s="238"/>
      <c r="I107" s="238"/>
      <c r="J107" s="238"/>
      <c r="K107" s="238"/>
      <c r="L107" s="238"/>
      <c r="M107" s="238"/>
      <c r="N107" s="238"/>
      <c r="O107" s="211" t="str">
        <f>IF(A107=TRUE,"Unit cleaned inside and out","")</f>
        <v/>
      </c>
    </row>
    <row r="108" spans="1:15" x14ac:dyDescent="0.35">
      <c r="A108" s="219" t="b">
        <v>0</v>
      </c>
      <c r="B108" s="203">
        <f t="shared" si="1"/>
        <v>115</v>
      </c>
      <c r="C108" s="241"/>
      <c r="D108" s="233" t="s">
        <v>321</v>
      </c>
      <c r="E108" s="238"/>
      <c r="F108" s="238"/>
      <c r="G108" s="238"/>
      <c r="H108" s="238"/>
      <c r="I108" s="238"/>
      <c r="J108" s="238"/>
      <c r="K108" s="238"/>
      <c r="L108" s="238"/>
      <c r="M108" s="238"/>
      <c r="N108" s="238"/>
      <c r="O108" s="211" t="str">
        <f>IF(A108=TRUE,"Flush valve module serviced","")</f>
        <v/>
      </c>
    </row>
    <row r="109" spans="1:15" x14ac:dyDescent="0.35">
      <c r="A109" s="219" t="b">
        <v>0</v>
      </c>
      <c r="B109" s="203">
        <f t="shared" si="1"/>
        <v>116</v>
      </c>
      <c r="C109" s="256"/>
      <c r="D109" s="233" t="s">
        <v>322</v>
      </c>
      <c r="E109" s="437" t="s">
        <v>152</v>
      </c>
      <c r="F109" s="437"/>
      <c r="G109" s="437"/>
      <c r="H109" s="437"/>
      <c r="I109" s="437"/>
      <c r="J109" s="437"/>
      <c r="K109" s="437"/>
      <c r="L109" s="437"/>
      <c r="M109" s="437"/>
      <c r="N109" s="437"/>
      <c r="O109" s="211" t="str">
        <f>IF(A109=TRUE,"Battery clamps inspected PASS","")</f>
        <v/>
      </c>
    </row>
    <row r="110" spans="1:15" x14ac:dyDescent="0.35">
      <c r="A110" s="219" t="b">
        <v>0</v>
      </c>
      <c r="B110" s="203">
        <f t="shared" si="1"/>
        <v>117</v>
      </c>
      <c r="C110" s="242"/>
      <c r="D110" s="233"/>
      <c r="E110" s="238"/>
      <c r="F110" s="238"/>
      <c r="G110" s="238"/>
      <c r="H110" s="238"/>
      <c r="I110" s="238"/>
      <c r="J110" s="238"/>
      <c r="K110" s="238"/>
      <c r="L110" s="238"/>
      <c r="M110" s="238"/>
      <c r="N110" s="238"/>
      <c r="O110" s="211" t="str">
        <f>IF(A110=TRUE,"Battery replaced as part of service","")</f>
        <v/>
      </c>
    </row>
    <row r="111" spans="1:15" x14ac:dyDescent="0.35">
      <c r="A111" s="219" t="b">
        <v>0</v>
      </c>
      <c r="B111" s="203">
        <f t="shared" si="1"/>
        <v>118</v>
      </c>
      <c r="C111" s="242"/>
      <c r="D111" s="233"/>
      <c r="E111" s="238"/>
      <c r="F111" s="238"/>
      <c r="G111" s="238"/>
      <c r="H111" s="238"/>
      <c r="I111" s="238"/>
      <c r="J111" s="238"/>
      <c r="K111" s="238"/>
      <c r="L111" s="238"/>
      <c r="M111" s="238"/>
      <c r="N111" s="238"/>
    </row>
    <row r="112" spans="1:15" x14ac:dyDescent="0.35">
      <c r="A112" s="219" t="b">
        <v>0</v>
      </c>
      <c r="B112" s="203">
        <f>B110+1</f>
        <v>118</v>
      </c>
      <c r="C112" s="241"/>
      <c r="D112" s="233"/>
      <c r="E112" s="213"/>
      <c r="F112" s="238"/>
      <c r="G112" s="209" t="s">
        <v>323</v>
      </c>
      <c r="H112" s="238"/>
      <c r="I112" s="238"/>
      <c r="J112" s="238"/>
      <c r="K112" s="475"/>
      <c r="L112" s="475"/>
      <c r="M112" s="475"/>
      <c r="N112" s="475"/>
      <c r="O112" s="211" t="str">
        <f>IF(A112=TRUE,"Moisture sensor replaced as part of service","")</f>
        <v/>
      </c>
    </row>
    <row r="113" spans="1:16" x14ac:dyDescent="0.35">
      <c r="A113" s="219" t="b">
        <v>0</v>
      </c>
      <c r="B113" s="203">
        <f t="shared" si="1"/>
        <v>119</v>
      </c>
      <c r="C113" s="241"/>
      <c r="D113" s="233" t="s">
        <v>324</v>
      </c>
      <c r="E113" s="474"/>
      <c r="F113" s="475"/>
      <c r="G113" s="220" t="s">
        <v>325</v>
      </c>
      <c r="I113" s="475"/>
      <c r="J113" s="475"/>
      <c r="K113" s="220" t="s">
        <v>326</v>
      </c>
      <c r="O113" s="211" t="str">
        <f>IF(A113=TRUE,"Moisture sensor initial test PASS","")</f>
        <v/>
      </c>
    </row>
    <row r="114" spans="1:16" x14ac:dyDescent="0.35">
      <c r="A114" s="219" t="b">
        <v>0</v>
      </c>
      <c r="B114" s="203">
        <f t="shared" si="1"/>
        <v>120</v>
      </c>
      <c r="C114" s="242"/>
      <c r="D114" s="233" t="s">
        <v>153</v>
      </c>
      <c r="E114" s="238"/>
      <c r="F114" s="238"/>
      <c r="G114" s="238"/>
      <c r="H114" s="238"/>
      <c r="I114" s="238"/>
      <c r="J114" s="238"/>
      <c r="K114" s="238"/>
      <c r="L114" s="238"/>
      <c r="M114" s="238"/>
      <c r="N114" s="238"/>
      <c r="O114" s="211" t="str">
        <f>IF(A114=TRUE,"Internal plumbing tested/replaced where necessary","")</f>
        <v/>
      </c>
    </row>
    <row r="115" spans="1:16" x14ac:dyDescent="0.35">
      <c r="A115" s="219" t="b">
        <v>0</v>
      </c>
      <c r="B115" s="203">
        <f t="shared" si="1"/>
        <v>121</v>
      </c>
      <c r="C115" s="242"/>
      <c r="D115" s="233" t="s">
        <v>327</v>
      </c>
      <c r="E115" s="475"/>
      <c r="F115" s="475"/>
      <c r="G115" s="475"/>
      <c r="H115" s="475"/>
      <c r="I115" s="238"/>
      <c r="J115" s="238"/>
      <c r="K115" s="238"/>
      <c r="L115" s="238"/>
      <c r="M115" s="238"/>
      <c r="N115" s="238"/>
    </row>
    <row r="116" spans="1:16" x14ac:dyDescent="0.35">
      <c r="A116" s="219" t="b">
        <v>0</v>
      </c>
      <c r="B116" s="203">
        <f t="shared" si="1"/>
        <v>122</v>
      </c>
      <c r="C116" s="260"/>
      <c r="D116" s="233" t="s">
        <v>328</v>
      </c>
      <c r="E116" s="238"/>
      <c r="F116" s="238"/>
      <c r="G116" s="238"/>
      <c r="H116" s="238"/>
      <c r="I116" s="238"/>
      <c r="J116" s="238"/>
      <c r="K116" s="238"/>
      <c r="L116" s="238"/>
      <c r="M116" s="238"/>
      <c r="N116" s="238"/>
      <c r="O116" s="211" t="str">
        <f>IF(A116=TRUE,"Internal fittings tested/replaced where necessary","")</f>
        <v/>
      </c>
    </row>
    <row r="117" spans="1:16" x14ac:dyDescent="0.35">
      <c r="A117" s="219" t="b">
        <v>0</v>
      </c>
      <c r="B117" s="203">
        <f t="shared" si="1"/>
        <v>123</v>
      </c>
      <c r="C117" s="242"/>
      <c r="D117" s="233" t="s">
        <v>329</v>
      </c>
      <c r="E117" s="238"/>
      <c r="F117" s="238"/>
      <c r="G117" s="238"/>
      <c r="H117" s="238"/>
      <c r="I117" s="238"/>
      <c r="J117" s="238"/>
      <c r="K117" s="238"/>
      <c r="L117" s="238"/>
      <c r="M117" s="238"/>
      <c r="N117" s="238"/>
      <c r="O117" s="211" t="str">
        <f>IF(A117=TRUE,"PCB ribbon cables secured where necessary","Ribbon cables all secure")</f>
        <v>Ribbon cables all secure</v>
      </c>
    </row>
    <row r="118" spans="1:16" x14ac:dyDescent="0.35">
      <c r="A118" s="219" t="b">
        <v>0</v>
      </c>
      <c r="B118" s="203">
        <f t="shared" si="1"/>
        <v>124</v>
      </c>
      <c r="C118" s="242"/>
      <c r="D118" s="233"/>
      <c r="E118" s="238"/>
      <c r="F118" s="238"/>
      <c r="G118" s="238"/>
      <c r="H118" s="238"/>
      <c r="I118" s="238"/>
      <c r="J118" s="238"/>
      <c r="K118" s="238"/>
      <c r="L118" s="238"/>
      <c r="M118" s="238"/>
      <c r="N118" s="238"/>
      <c r="O118" s="211" t="str">
        <f>IF(A118=TRUE,"Faceplate Brackets checked PASS","")</f>
        <v/>
      </c>
    </row>
    <row r="119" spans="1:16" x14ac:dyDescent="0.35">
      <c r="A119" s="219" t="b">
        <v>0</v>
      </c>
      <c r="B119" s="203">
        <f t="shared" si="1"/>
        <v>125</v>
      </c>
      <c r="C119" s="241"/>
      <c r="D119" s="261"/>
      <c r="E119" s="238"/>
      <c r="F119" s="238"/>
      <c r="G119" s="238"/>
      <c r="H119" s="238"/>
      <c r="I119" s="238"/>
      <c r="J119" s="238"/>
      <c r="K119" s="238"/>
      <c r="L119" s="238"/>
      <c r="M119" s="238"/>
      <c r="N119" s="238"/>
      <c r="O119" s="211" t="str">
        <f>IF(A119=TRUE,"New lid organiser fitted","No requirement to replace lid organiser")</f>
        <v>No requirement to replace lid organiser</v>
      </c>
    </row>
    <row r="120" spans="1:16" x14ac:dyDescent="0.35">
      <c r="A120" s="227"/>
      <c r="C120" s="432" t="s">
        <v>136</v>
      </c>
      <c r="D120" s="432"/>
      <c r="E120" s="432"/>
      <c r="F120" s="432"/>
      <c r="G120" s="432"/>
      <c r="H120" s="432"/>
      <c r="I120" s="432"/>
      <c r="J120" s="432"/>
      <c r="K120" s="432"/>
      <c r="L120" s="432"/>
      <c r="M120" s="432"/>
      <c r="N120" s="432"/>
      <c r="O120" s="432"/>
      <c r="P120" s="226"/>
    </row>
    <row r="121" spans="1:16" x14ac:dyDescent="0.35">
      <c r="A121" s="219" t="b">
        <v>0</v>
      </c>
      <c r="B121" s="203">
        <f>B119+1</f>
        <v>126</v>
      </c>
      <c r="C121" s="242"/>
      <c r="D121" s="233" t="s">
        <v>154</v>
      </c>
      <c r="E121" s="238"/>
      <c r="F121" s="238"/>
      <c r="G121" s="238"/>
      <c r="H121" s="238"/>
      <c r="I121" s="238"/>
      <c r="J121" s="238"/>
      <c r="K121" s="238"/>
      <c r="L121" s="238"/>
      <c r="M121" s="238"/>
      <c r="N121" s="238"/>
      <c r="O121" s="211" t="str">
        <f>IF(A121=TRUE,"External signal plug and associated alarm circuit tested PASS","")</f>
        <v/>
      </c>
    </row>
    <row r="122" spans="1:16" x14ac:dyDescent="0.35">
      <c r="B122" s="203">
        <f t="shared" si="1"/>
        <v>127</v>
      </c>
      <c r="C122" s="205" t="s">
        <v>330</v>
      </c>
      <c r="D122" s="212"/>
      <c r="E122" s="238"/>
      <c r="F122" s="238"/>
      <c r="G122" s="238"/>
      <c r="H122" s="238"/>
      <c r="I122" s="238"/>
      <c r="J122" s="238"/>
      <c r="K122" s="238"/>
      <c r="L122" s="238"/>
      <c r="M122" s="238"/>
      <c r="N122" s="238"/>
      <c r="O122" s="211" t="str">
        <f>IF(D122&gt;=(D123+1),"Flush valve pressure test PASSED","Flush valve pressure test FAILED")</f>
        <v>Flush valve pressure test FAILED</v>
      </c>
    </row>
    <row r="123" spans="1:16" x14ac:dyDescent="0.35">
      <c r="B123" s="203">
        <f t="shared" si="1"/>
        <v>128</v>
      </c>
      <c r="C123" s="205" t="s">
        <v>155</v>
      </c>
      <c r="D123" s="212"/>
      <c r="E123" s="238"/>
      <c r="F123" s="238"/>
      <c r="G123" s="238"/>
      <c r="H123" s="238"/>
      <c r="I123" s="238"/>
      <c r="J123" s="238"/>
      <c r="K123" s="238"/>
      <c r="L123" s="238"/>
      <c r="M123" s="238"/>
      <c r="N123" s="238"/>
      <c r="O123" s="211" t="str">
        <f>IF(D123&lt;2.51,"Internal pressure reducing valve pressure test PASS","Internal pressure reducing valve pressure test FAILED")</f>
        <v>Internal pressure reducing valve pressure test PASS</v>
      </c>
    </row>
    <row r="124" spans="1:16" x14ac:dyDescent="0.35">
      <c r="A124" s="219">
        <v>2000</v>
      </c>
      <c r="B124" s="203">
        <f t="shared" si="1"/>
        <v>129</v>
      </c>
      <c r="C124" s="205" t="s">
        <v>313</v>
      </c>
      <c r="D124" s="212"/>
      <c r="E124" s="433"/>
      <c r="F124" s="433"/>
      <c r="G124" s="433"/>
      <c r="H124" s="433"/>
      <c r="I124" s="433"/>
      <c r="J124" s="433"/>
      <c r="K124" s="433"/>
      <c r="L124" s="433"/>
      <c r="M124" s="433"/>
      <c r="N124" s="433"/>
      <c r="O124" s="211" t="str">
        <f>IF(D124&lt;550,"Laser 1 output outside of specification FAILED","Laser 1 output within specification PASS")</f>
        <v>Laser 1 output outside of specification FAILED</v>
      </c>
    </row>
    <row r="125" spans="1:16" x14ac:dyDescent="0.35">
      <c r="A125" s="219">
        <v>2400</v>
      </c>
      <c r="B125" s="203">
        <f t="shared" si="1"/>
        <v>130</v>
      </c>
      <c r="C125" s="205" t="s">
        <v>314</v>
      </c>
      <c r="D125" s="212"/>
      <c r="E125" s="433"/>
      <c r="F125" s="433"/>
      <c r="G125" s="433"/>
      <c r="H125" s="433"/>
      <c r="I125" s="433"/>
      <c r="J125" s="433"/>
      <c r="K125" s="433"/>
      <c r="L125" s="433"/>
      <c r="M125" s="433"/>
      <c r="N125" s="433"/>
      <c r="O125" s="211" t="str">
        <f>IF(D125&lt;800,"Laser 2 output outside of specification FAILED","Laser 2 output within specification PASS")</f>
        <v>Laser 2 output outside of specification FAILED</v>
      </c>
    </row>
    <row r="126" spans="1:16" x14ac:dyDescent="0.35">
      <c r="A126" s="219" t="b">
        <v>0</v>
      </c>
      <c r="B126" s="203">
        <f t="shared" si="1"/>
        <v>131</v>
      </c>
      <c r="C126" s="262"/>
      <c r="D126" s="240" t="s">
        <v>331</v>
      </c>
      <c r="E126" s="238"/>
      <c r="F126" s="238"/>
      <c r="G126" s="238"/>
      <c r="H126" s="238"/>
      <c r="I126" s="238"/>
      <c r="J126" s="238"/>
      <c r="K126" s="238"/>
      <c r="L126" s="238"/>
      <c r="M126" s="238"/>
      <c r="N126" s="238"/>
      <c r="O126" s="211" t="str">
        <f>IF(A126=TRUE,"High pressure seal integrity test PASS","High pressure seal integrity test failure, unit requires rework")</f>
        <v>High pressure seal integrity test failure, unit requires rework</v>
      </c>
    </row>
    <row r="127" spans="1:16" x14ac:dyDescent="0.35">
      <c r="B127" s="203">
        <f t="shared" si="1"/>
        <v>132</v>
      </c>
      <c r="C127" s="205" t="s">
        <v>218</v>
      </c>
      <c r="E127" s="477"/>
      <c r="F127" s="477"/>
      <c r="G127" s="477"/>
      <c r="H127" s="477"/>
      <c r="I127" s="477"/>
      <c r="J127" s="477"/>
      <c r="K127" s="477"/>
      <c r="L127" s="477"/>
      <c r="M127" s="477"/>
      <c r="N127" s="477"/>
    </row>
    <row r="128" spans="1:16" x14ac:dyDescent="0.35">
      <c r="A128" s="219" t="b">
        <v>0</v>
      </c>
      <c r="B128" s="203">
        <f t="shared" si="1"/>
        <v>133</v>
      </c>
      <c r="C128" s="262"/>
      <c r="D128" s="233" t="s">
        <v>332</v>
      </c>
      <c r="E128" s="263"/>
      <c r="F128" s="263"/>
      <c r="G128" s="263"/>
      <c r="H128" s="263"/>
      <c r="I128" s="263"/>
      <c r="J128" s="263"/>
      <c r="K128" s="263"/>
      <c r="L128" s="263"/>
      <c r="M128" s="263"/>
      <c r="N128" s="238"/>
    </row>
    <row r="129" spans="1:28" x14ac:dyDescent="0.35">
      <c r="A129" s="219" t="b">
        <v>0</v>
      </c>
      <c r="B129" s="203">
        <f t="shared" si="1"/>
        <v>134</v>
      </c>
      <c r="C129" s="262"/>
      <c r="D129" s="233" t="s">
        <v>333</v>
      </c>
      <c r="E129" s="263"/>
      <c r="F129" s="263"/>
      <c r="G129" s="263"/>
      <c r="H129" s="263"/>
      <c r="I129" s="263"/>
      <c r="J129" s="263"/>
      <c r="K129" s="263"/>
      <c r="L129" s="263"/>
      <c r="M129" s="263"/>
      <c r="N129" s="238"/>
    </row>
    <row r="130" spans="1:28" x14ac:dyDescent="0.35">
      <c r="A130" s="219" t="b">
        <v>0</v>
      </c>
      <c r="B130" s="203">
        <f t="shared" si="1"/>
        <v>135</v>
      </c>
      <c r="C130" s="262"/>
      <c r="D130" s="233" t="s">
        <v>334</v>
      </c>
      <c r="E130" s="263"/>
      <c r="F130" s="263"/>
      <c r="G130" s="263"/>
      <c r="H130" s="263"/>
      <c r="I130" s="263"/>
      <c r="J130" s="263"/>
      <c r="K130" s="263"/>
      <c r="L130" s="263"/>
      <c r="M130" s="263"/>
      <c r="N130" s="238"/>
    </row>
    <row r="131" spans="1:28" ht="15.75" x14ac:dyDescent="0.35">
      <c r="B131" s="203">
        <f t="shared" si="1"/>
        <v>136</v>
      </c>
      <c r="C131" s="228" t="s">
        <v>161</v>
      </c>
      <c r="D131" s="210"/>
      <c r="E131" s="434" t="s">
        <v>67</v>
      </c>
      <c r="F131" s="434"/>
      <c r="G131" s="435" t="str">
        <f>IF(D131=D13,"ON TIME",IF(D131&gt;D13,"LATE",IF(D131&lt;D13,"EARLY")))</f>
        <v>EARLY</v>
      </c>
      <c r="H131" s="435"/>
      <c r="I131" s="435"/>
      <c r="J131" s="435"/>
      <c r="K131" s="435"/>
      <c r="L131" s="435"/>
      <c r="M131" s="435"/>
      <c r="N131" s="435"/>
      <c r="O131" s="220"/>
      <c r="P131" s="205"/>
    </row>
    <row r="132" spans="1:28" x14ac:dyDescent="0.35">
      <c r="B132" s="203">
        <f t="shared" si="1"/>
        <v>137</v>
      </c>
      <c r="C132" s="228" t="s">
        <v>335</v>
      </c>
      <c r="D132" s="229"/>
      <c r="E132" s="231" t="s">
        <v>306</v>
      </c>
      <c r="F132" s="213"/>
      <c r="G132" s="228"/>
      <c r="H132" s="228"/>
      <c r="I132" s="461">
        <f>D132-D92</f>
        <v>0</v>
      </c>
      <c r="J132" s="461"/>
      <c r="K132" s="461"/>
      <c r="L132" s="461"/>
      <c r="M132" s="461"/>
      <c r="N132" s="461"/>
      <c r="O132" s="213"/>
    </row>
    <row r="133" spans="1:28" x14ac:dyDescent="0.35">
      <c r="C133" s="432" t="s">
        <v>162</v>
      </c>
      <c r="D133" s="432"/>
      <c r="E133" s="432"/>
      <c r="F133" s="432"/>
      <c r="G133" s="432"/>
      <c r="H133" s="432"/>
      <c r="I133" s="432"/>
      <c r="J133" s="432"/>
      <c r="K133" s="432"/>
      <c r="L133" s="432"/>
      <c r="M133" s="432"/>
      <c r="N133" s="432"/>
      <c r="O133" s="432"/>
    </row>
    <row r="134" spans="1:28" ht="15.75" x14ac:dyDescent="0.35">
      <c r="B134" s="203">
        <f>B132+1</f>
        <v>138</v>
      </c>
      <c r="C134" s="228" t="s">
        <v>163</v>
      </c>
      <c r="D134" s="210"/>
      <c r="E134" s="434" t="s">
        <v>67</v>
      </c>
      <c r="F134" s="434"/>
      <c r="G134" s="462" t="str">
        <f>IF(D134=D13,"ON TIME",IF(D134&gt;D13,"LATE",IF(D134&lt;D13,"EARLY")))</f>
        <v>EARLY</v>
      </c>
      <c r="H134" s="462"/>
      <c r="I134" s="462"/>
      <c r="J134" s="462"/>
      <c r="K134" s="462"/>
      <c r="L134" s="462"/>
      <c r="M134" s="462"/>
      <c r="N134" s="462"/>
      <c r="O134" s="264"/>
    </row>
    <row r="135" spans="1:28" x14ac:dyDescent="0.35">
      <c r="B135" s="203">
        <f t="shared" si="1"/>
        <v>139</v>
      </c>
      <c r="C135" s="228" t="s">
        <v>266</v>
      </c>
      <c r="D135" s="229"/>
      <c r="E135" s="238"/>
      <c r="F135" s="213"/>
      <c r="G135" s="231"/>
      <c r="H135" s="231"/>
      <c r="I135" s="231"/>
      <c r="J135" s="231"/>
      <c r="K135" s="213"/>
      <c r="L135" s="220"/>
      <c r="M135" s="220"/>
      <c r="N135" s="220"/>
    </row>
    <row r="136" spans="1:28" x14ac:dyDescent="0.35">
      <c r="B136" s="203">
        <f t="shared" ref="B136:B199" si="3">B135+1</f>
        <v>140</v>
      </c>
      <c r="C136" s="228" t="s">
        <v>335</v>
      </c>
      <c r="D136" s="229"/>
      <c r="E136" s="231" t="s">
        <v>306</v>
      </c>
      <c r="F136" s="213"/>
      <c r="G136" s="228"/>
      <c r="H136" s="228"/>
      <c r="I136" s="461">
        <f>D136-D135</f>
        <v>0</v>
      </c>
      <c r="J136" s="461"/>
      <c r="K136" s="461"/>
      <c r="L136" s="461"/>
      <c r="M136" s="461"/>
      <c r="N136" s="461"/>
    </row>
    <row r="137" spans="1:28" x14ac:dyDescent="0.35">
      <c r="B137" s="203">
        <f t="shared" si="3"/>
        <v>141</v>
      </c>
      <c r="C137" s="228" t="s">
        <v>336</v>
      </c>
      <c r="D137" s="229"/>
      <c r="E137" s="238"/>
      <c r="F137" s="213"/>
      <c r="G137" s="231"/>
      <c r="H137" s="231"/>
      <c r="I137" s="231"/>
      <c r="J137" s="231"/>
      <c r="K137" s="213"/>
      <c r="L137" s="220"/>
      <c r="M137" s="220"/>
      <c r="N137" s="220"/>
    </row>
    <row r="138" spans="1:28" x14ac:dyDescent="0.35">
      <c r="A138" s="219" t="b">
        <v>0</v>
      </c>
      <c r="B138" s="203">
        <f t="shared" si="3"/>
        <v>142</v>
      </c>
      <c r="C138" s="228" t="s">
        <v>337</v>
      </c>
      <c r="D138" s="265"/>
      <c r="E138" s="238"/>
      <c r="F138" s="213"/>
      <c r="G138" s="231"/>
      <c r="H138" s="231"/>
      <c r="I138" s="231"/>
      <c r="J138" s="231"/>
      <c r="K138" s="213"/>
      <c r="L138" s="220"/>
      <c r="M138" s="220"/>
      <c r="N138" s="220"/>
    </row>
    <row r="139" spans="1:28" x14ac:dyDescent="0.35">
      <c r="A139" s="219" t="b">
        <v>0</v>
      </c>
      <c r="B139" s="203">
        <f t="shared" si="3"/>
        <v>143</v>
      </c>
      <c r="C139" s="228" t="s">
        <v>338</v>
      </c>
      <c r="D139" s="265"/>
      <c r="E139" s="238"/>
      <c r="F139" s="213"/>
      <c r="G139" s="231"/>
      <c r="H139" s="231"/>
      <c r="I139" s="231"/>
      <c r="J139" s="231"/>
      <c r="K139" s="213"/>
      <c r="L139" s="220"/>
      <c r="M139" s="220"/>
      <c r="N139" s="220"/>
    </row>
    <row r="140" spans="1:28" x14ac:dyDescent="0.35">
      <c r="A140" s="219" t="b">
        <v>0</v>
      </c>
      <c r="B140" s="203">
        <f t="shared" si="3"/>
        <v>144</v>
      </c>
      <c r="C140" s="246" t="s">
        <v>164</v>
      </c>
      <c r="D140" s="265"/>
      <c r="E140" s="477"/>
      <c r="F140" s="477"/>
      <c r="G140" s="477"/>
      <c r="H140" s="477"/>
      <c r="I140" s="477"/>
      <c r="J140" s="477"/>
      <c r="K140" s="477"/>
      <c r="L140" s="477"/>
      <c r="M140" s="477"/>
      <c r="N140" s="477"/>
      <c r="O140" s="211" t="str">
        <f>IF(A140=TRUE,"Calibration complete PASSED","")</f>
        <v/>
      </c>
    </row>
    <row r="141" spans="1:28" ht="15.75" x14ac:dyDescent="0.35">
      <c r="C141" s="464" t="s">
        <v>166</v>
      </c>
      <c r="D141" s="464"/>
      <c r="E141" s="464"/>
      <c r="F141" s="464"/>
      <c r="G141" s="464"/>
      <c r="H141" s="464"/>
      <c r="I141" s="464"/>
      <c r="J141" s="464"/>
      <c r="K141" s="464"/>
      <c r="L141" s="464"/>
      <c r="M141" s="464"/>
      <c r="N141" s="464"/>
      <c r="O141" s="464"/>
    </row>
    <row r="142" spans="1:28" x14ac:dyDescent="0.35">
      <c r="B142" s="203">
        <f>B140+1</f>
        <v>145</v>
      </c>
      <c r="C142" s="228" t="s">
        <v>163</v>
      </c>
      <c r="D142" s="210"/>
      <c r="E142" s="266"/>
      <c r="F142" s="266"/>
      <c r="G142" s="266"/>
      <c r="H142" s="217"/>
      <c r="I142" s="266"/>
      <c r="K142" s="238"/>
      <c r="L142" s="238"/>
      <c r="M142" s="238"/>
      <c r="N142" s="238"/>
      <c r="Z142" s="266"/>
      <c r="AA142" s="266"/>
      <c r="AB142" s="266"/>
    </row>
    <row r="143" spans="1:28" x14ac:dyDescent="0.35">
      <c r="B143" s="203">
        <f>B142+1</f>
        <v>146</v>
      </c>
      <c r="C143" s="228" t="s">
        <v>266</v>
      </c>
      <c r="D143" s="229"/>
      <c r="E143" s="266"/>
      <c r="F143" s="266"/>
      <c r="G143" s="266"/>
      <c r="H143" s="217"/>
      <c r="I143" s="266"/>
      <c r="K143" s="238"/>
      <c r="L143" s="238"/>
      <c r="M143" s="238"/>
      <c r="N143" s="238"/>
      <c r="Z143" s="266"/>
      <c r="AA143" s="266"/>
      <c r="AB143" s="266"/>
    </row>
    <row r="144" spans="1:28" x14ac:dyDescent="0.35">
      <c r="A144" s="219" t="b">
        <v>0</v>
      </c>
      <c r="B144" s="203">
        <f>B143+1</f>
        <v>147</v>
      </c>
      <c r="C144" s="228" t="s">
        <v>167</v>
      </c>
      <c r="D144" s="267" t="str">
        <f>D5&amp;E5</f>
        <v>63010062</v>
      </c>
      <c r="E144" s="213"/>
      <c r="F144" s="268"/>
      <c r="G144" s="213"/>
      <c r="H144" s="213"/>
      <c r="I144" s="213"/>
      <c r="K144" s="238"/>
      <c r="L144" s="238"/>
      <c r="M144" s="238"/>
      <c r="N144" s="238"/>
      <c r="Z144" s="266"/>
      <c r="AA144" s="266"/>
      <c r="AB144" s="266"/>
    </row>
    <row r="145" spans="1:28" x14ac:dyDescent="0.35">
      <c r="A145" s="219" t="b">
        <v>0</v>
      </c>
      <c r="B145" s="203">
        <f t="shared" si="3"/>
        <v>148</v>
      </c>
      <c r="C145" s="228" t="s">
        <v>339</v>
      </c>
      <c r="D145" s="265"/>
      <c r="E145" s="213"/>
      <c r="G145" s="213"/>
      <c r="I145" s="213"/>
      <c r="Z145" s="266"/>
      <c r="AA145" s="266"/>
      <c r="AB145" s="266"/>
    </row>
    <row r="146" spans="1:28" x14ac:dyDescent="0.35">
      <c r="C146" s="269" t="s">
        <v>340</v>
      </c>
      <c r="E146" s="213"/>
      <c r="G146" s="213"/>
      <c r="I146" s="213"/>
      <c r="Z146" s="266"/>
      <c r="AA146" s="266"/>
      <c r="AB146" s="266"/>
    </row>
    <row r="147" spans="1:28" x14ac:dyDescent="0.35">
      <c r="A147" s="219" t="b">
        <v>0</v>
      </c>
      <c r="B147" s="203">
        <f>B145+1</f>
        <v>149</v>
      </c>
      <c r="C147" s="228"/>
      <c r="D147" s="289"/>
      <c r="E147" s="211"/>
      <c r="J147" s="211"/>
      <c r="O147" s="213"/>
      <c r="Z147" s="266"/>
      <c r="AA147" s="266"/>
      <c r="AB147" s="266"/>
    </row>
    <row r="148" spans="1:28" x14ac:dyDescent="0.35">
      <c r="A148" s="219" t="b">
        <v>0</v>
      </c>
      <c r="B148" s="203">
        <f t="shared" si="3"/>
        <v>150</v>
      </c>
      <c r="C148" s="246" t="s">
        <v>341</v>
      </c>
      <c r="D148" s="290"/>
      <c r="G148" s="291"/>
      <c r="O148" s="213"/>
      <c r="Z148" s="266"/>
      <c r="AA148" s="266"/>
      <c r="AB148" s="266"/>
    </row>
    <row r="149" spans="1:28" x14ac:dyDescent="0.35">
      <c r="A149" s="219" t="b">
        <v>0</v>
      </c>
      <c r="B149" s="203">
        <f t="shared" si="3"/>
        <v>151</v>
      </c>
      <c r="C149" s="228" t="s">
        <v>342</v>
      </c>
      <c r="D149" s="290"/>
      <c r="G149" s="291"/>
      <c r="K149" s="279"/>
      <c r="L149" s="279"/>
      <c r="M149" s="279"/>
      <c r="O149" s="213"/>
      <c r="Z149" s="266"/>
      <c r="AA149" s="266"/>
      <c r="AB149" s="266"/>
    </row>
    <row r="150" spans="1:28" x14ac:dyDescent="0.35">
      <c r="A150" s="219" t="b">
        <v>0</v>
      </c>
      <c r="B150" s="203">
        <f t="shared" si="3"/>
        <v>152</v>
      </c>
      <c r="C150" s="228" t="s">
        <v>343</v>
      </c>
      <c r="D150" s="290"/>
      <c r="F150" s="279"/>
      <c r="G150" s="292"/>
      <c r="H150" s="279"/>
      <c r="K150" s="279"/>
      <c r="L150" s="279"/>
      <c r="M150" s="279"/>
      <c r="O150" s="213"/>
      <c r="Z150" s="266"/>
      <c r="AA150" s="266"/>
      <c r="AB150" s="266"/>
    </row>
    <row r="151" spans="1:28" x14ac:dyDescent="0.35">
      <c r="A151" s="219" t="b">
        <v>0</v>
      </c>
      <c r="B151" s="203">
        <f t="shared" si="3"/>
        <v>153</v>
      </c>
      <c r="C151" s="228" t="s">
        <v>344</v>
      </c>
      <c r="D151" s="290"/>
      <c r="F151" s="279"/>
      <c r="G151" s="292"/>
      <c r="H151" s="279"/>
      <c r="O151" s="213"/>
      <c r="Z151" s="266"/>
      <c r="AA151" s="266"/>
      <c r="AB151" s="266"/>
    </row>
    <row r="152" spans="1:28" x14ac:dyDescent="0.35">
      <c r="A152" s="219" t="b">
        <v>0</v>
      </c>
      <c r="B152" s="203">
        <f t="shared" si="3"/>
        <v>154</v>
      </c>
      <c r="C152" s="228" t="s">
        <v>345</v>
      </c>
      <c r="D152" s="290"/>
      <c r="F152" s="279"/>
      <c r="G152" s="292"/>
      <c r="H152" s="279"/>
      <c r="O152" s="213"/>
      <c r="Z152" s="266"/>
      <c r="AA152" s="266"/>
      <c r="AB152" s="266"/>
    </row>
    <row r="153" spans="1:28" x14ac:dyDescent="0.35">
      <c r="A153" s="219" t="b">
        <v>0</v>
      </c>
      <c r="B153" s="203">
        <f t="shared" si="3"/>
        <v>155</v>
      </c>
      <c r="C153" s="228" t="s">
        <v>346</v>
      </c>
      <c r="D153" s="290"/>
      <c r="F153" s="279"/>
      <c r="G153" s="292"/>
      <c r="H153" s="279"/>
      <c r="O153" s="213"/>
      <c r="Z153" s="266"/>
      <c r="AA153" s="266"/>
      <c r="AB153" s="266"/>
    </row>
    <row r="154" spans="1:28" x14ac:dyDescent="0.35">
      <c r="A154" s="219" t="b">
        <v>0</v>
      </c>
      <c r="B154" s="203">
        <f t="shared" si="3"/>
        <v>156</v>
      </c>
      <c r="C154" s="228" t="s">
        <v>347</v>
      </c>
      <c r="D154" s="290"/>
      <c r="F154" s="279"/>
      <c r="G154" s="292"/>
      <c r="H154" s="279"/>
      <c r="O154" s="213"/>
      <c r="Z154" s="266"/>
      <c r="AA154" s="266"/>
      <c r="AB154" s="266"/>
    </row>
    <row r="155" spans="1:28" x14ac:dyDescent="0.35">
      <c r="A155" s="219" t="b">
        <v>0</v>
      </c>
      <c r="B155" s="203">
        <f t="shared" si="3"/>
        <v>157</v>
      </c>
      <c r="C155" s="228" t="s">
        <v>348</v>
      </c>
      <c r="D155" s="290"/>
      <c r="F155" s="279"/>
      <c r="G155" s="292"/>
      <c r="H155" s="279"/>
      <c r="N155" s="213"/>
      <c r="O155" s="213"/>
      <c r="Z155" s="266"/>
      <c r="AA155" s="266"/>
      <c r="AB155" s="266"/>
    </row>
    <row r="156" spans="1:28" x14ac:dyDescent="0.35">
      <c r="A156" s="219" t="b">
        <v>0</v>
      </c>
      <c r="B156" s="203">
        <f t="shared" si="3"/>
        <v>158</v>
      </c>
      <c r="C156" s="228" t="s">
        <v>349</v>
      </c>
      <c r="D156" s="270"/>
      <c r="Z156" s="271"/>
      <c r="AA156" s="271"/>
      <c r="AB156" s="271"/>
    </row>
    <row r="157" spans="1:28" x14ac:dyDescent="0.35">
      <c r="A157" s="219" t="b">
        <v>0</v>
      </c>
      <c r="B157" s="203">
        <f t="shared" si="3"/>
        <v>159</v>
      </c>
      <c r="C157" s="228" t="s">
        <v>350</v>
      </c>
      <c r="D157" s="270"/>
      <c r="Z157" s="272"/>
      <c r="AA157" s="272"/>
      <c r="AB157" s="272"/>
    </row>
    <row r="158" spans="1:28" x14ac:dyDescent="0.35">
      <c r="A158" s="219" t="b">
        <v>0</v>
      </c>
      <c r="B158" s="203">
        <f t="shared" si="3"/>
        <v>160</v>
      </c>
      <c r="C158" s="228" t="s">
        <v>351</v>
      </c>
      <c r="D158" s="270"/>
      <c r="H158" s="238"/>
      <c r="I158" s="238"/>
      <c r="J158" s="238"/>
      <c r="K158" s="238"/>
      <c r="L158" s="238"/>
      <c r="M158" s="238"/>
      <c r="N158" s="238"/>
      <c r="O158" s="238"/>
      <c r="P158" s="238"/>
      <c r="Q158" s="238"/>
      <c r="R158" s="211"/>
      <c r="S158" s="266"/>
      <c r="T158" s="266"/>
      <c r="U158" s="266"/>
      <c r="V158" s="266"/>
      <c r="W158" s="266"/>
      <c r="X158" s="266"/>
      <c r="Y158" s="266"/>
      <c r="Z158" s="266"/>
      <c r="AA158" s="266"/>
      <c r="AB158" s="266"/>
    </row>
    <row r="159" spans="1:28" x14ac:dyDescent="0.35">
      <c r="A159" s="219" t="b">
        <v>0</v>
      </c>
      <c r="B159" s="203">
        <f t="shared" si="3"/>
        <v>161</v>
      </c>
      <c r="C159" s="269" t="s">
        <v>352</v>
      </c>
      <c r="D159" s="270"/>
      <c r="H159" s="238"/>
      <c r="I159" s="238"/>
      <c r="J159" s="238"/>
      <c r="K159" s="238"/>
      <c r="L159" s="238"/>
      <c r="M159" s="238"/>
      <c r="N159" s="238"/>
      <c r="O159" s="238"/>
      <c r="P159" s="238"/>
      <c r="Q159" s="238"/>
      <c r="R159" s="211"/>
    </row>
    <row r="160" spans="1:28" x14ac:dyDescent="0.35">
      <c r="A160" s="219" t="b">
        <v>0</v>
      </c>
      <c r="B160" s="203">
        <f t="shared" si="3"/>
        <v>162</v>
      </c>
      <c r="C160" s="228" t="s">
        <v>353</v>
      </c>
      <c r="D160" s="270"/>
      <c r="E160" s="204" t="s">
        <v>171</v>
      </c>
      <c r="F160" s="204" t="s">
        <v>4</v>
      </c>
      <c r="G160" s="463" t="s">
        <v>172</v>
      </c>
      <c r="H160" s="463"/>
      <c r="I160" s="238"/>
      <c r="J160" s="238"/>
      <c r="K160" s="238"/>
      <c r="L160" s="238"/>
      <c r="M160" s="238"/>
      <c r="N160" s="238"/>
      <c r="O160" s="238"/>
      <c r="P160" s="238"/>
      <c r="Q160" s="238"/>
      <c r="R160" s="211"/>
    </row>
    <row r="161" spans="1:18" x14ac:dyDescent="0.35">
      <c r="A161" s="219" t="b">
        <v>0</v>
      </c>
      <c r="B161" s="203">
        <f t="shared" si="3"/>
        <v>163</v>
      </c>
      <c r="C161" s="228" t="s">
        <v>354</v>
      </c>
      <c r="D161" s="270"/>
      <c r="E161" s="204">
        <v>1</v>
      </c>
      <c r="F161" s="204">
        <v>4</v>
      </c>
      <c r="G161" s="478">
        <f>'Auto-Calibration record'!B65</f>
        <v>76</v>
      </c>
      <c r="H161" s="479"/>
      <c r="I161" s="238"/>
      <c r="J161" s="238"/>
      <c r="K161" s="238"/>
      <c r="L161" s="238"/>
      <c r="M161" s="238"/>
      <c r="N161" s="238"/>
      <c r="O161" s="238"/>
      <c r="P161" s="238"/>
      <c r="Q161" s="238"/>
      <c r="R161" s="211"/>
    </row>
    <row r="162" spans="1:18" x14ac:dyDescent="0.35">
      <c r="A162" s="219" t="b">
        <v>0</v>
      </c>
      <c r="B162" s="203">
        <f t="shared" si="3"/>
        <v>164</v>
      </c>
      <c r="C162" s="279" t="s">
        <v>355</v>
      </c>
      <c r="D162" s="270"/>
      <c r="E162" s="204">
        <v>2</v>
      </c>
      <c r="F162" s="204">
        <v>6</v>
      </c>
      <c r="G162" s="478">
        <f>'Auto-Calibration record'!C65</f>
        <v>180</v>
      </c>
      <c r="H162" s="479"/>
      <c r="I162" s="238"/>
      <c r="J162" s="238"/>
      <c r="K162" s="238"/>
      <c r="L162" s="238"/>
      <c r="M162" s="238"/>
      <c r="N162" s="238"/>
      <c r="O162" s="238"/>
      <c r="P162" s="238"/>
      <c r="Q162" s="238"/>
      <c r="R162" s="211"/>
    </row>
    <row r="163" spans="1:18" x14ac:dyDescent="0.35">
      <c r="A163" s="219" t="b">
        <v>0</v>
      </c>
      <c r="B163" s="203">
        <f t="shared" si="3"/>
        <v>165</v>
      </c>
      <c r="C163" s="228" t="s">
        <v>356</v>
      </c>
      <c r="D163" s="273"/>
      <c r="E163" s="204">
        <v>3</v>
      </c>
      <c r="F163" s="204">
        <v>14</v>
      </c>
      <c r="G163" s="478">
        <f>'Auto-Calibration record'!D65</f>
        <v>1020</v>
      </c>
      <c r="H163" s="479"/>
      <c r="I163" s="238"/>
      <c r="J163" s="238"/>
      <c r="K163" s="238"/>
      <c r="L163" s="238"/>
      <c r="M163" s="238"/>
      <c r="N163" s="238"/>
      <c r="O163" s="238"/>
      <c r="P163" s="238"/>
      <c r="Q163" s="238"/>
      <c r="R163" s="211"/>
    </row>
    <row r="164" spans="1:18" x14ac:dyDescent="0.35">
      <c r="A164" s="219" t="b">
        <v>0</v>
      </c>
      <c r="B164" s="203">
        <f t="shared" si="3"/>
        <v>166</v>
      </c>
      <c r="C164" s="228" t="s">
        <v>357</v>
      </c>
      <c r="D164" s="273"/>
      <c r="E164" s="204">
        <v>4</v>
      </c>
      <c r="F164" s="204">
        <v>21</v>
      </c>
      <c r="G164" s="478">
        <f>'Auto-Calibration record'!E65</f>
        <v>2204</v>
      </c>
      <c r="H164" s="479"/>
    </row>
    <row r="165" spans="1:18" x14ac:dyDescent="0.35">
      <c r="A165" s="219" t="b">
        <v>0</v>
      </c>
      <c r="B165" s="203">
        <f t="shared" si="3"/>
        <v>167</v>
      </c>
      <c r="C165" s="228" t="s">
        <v>358</v>
      </c>
      <c r="D165" s="270"/>
      <c r="E165" s="204">
        <v>5</v>
      </c>
      <c r="F165" s="204">
        <v>25</v>
      </c>
      <c r="G165" s="478">
        <f>'Auto-Calibration record'!F65</f>
        <v>3244</v>
      </c>
      <c r="H165" s="479"/>
    </row>
    <row r="166" spans="1:18" x14ac:dyDescent="0.35">
      <c r="A166" s="219" t="b">
        <v>0</v>
      </c>
      <c r="B166" s="203">
        <f t="shared" si="3"/>
        <v>168</v>
      </c>
      <c r="C166" s="228" t="s">
        <v>359</v>
      </c>
      <c r="D166" s="273"/>
      <c r="E166" s="204">
        <v>6</v>
      </c>
      <c r="F166" s="204">
        <v>38</v>
      </c>
      <c r="G166" s="478">
        <f>'Auto-Calibration record'!G65</f>
        <v>11420</v>
      </c>
      <c r="H166" s="479"/>
    </row>
    <row r="167" spans="1:18" x14ac:dyDescent="0.35">
      <c r="A167" s="219" t="b">
        <v>0</v>
      </c>
      <c r="B167" s="203">
        <f t="shared" si="3"/>
        <v>169</v>
      </c>
      <c r="C167" s="279" t="s">
        <v>360</v>
      </c>
      <c r="D167" s="273"/>
      <c r="E167" s="204">
        <v>7</v>
      </c>
      <c r="F167" s="204">
        <v>50</v>
      </c>
      <c r="G167" s="478">
        <f>'Auto-Calibration record'!H65</f>
        <v>18008</v>
      </c>
      <c r="H167" s="479"/>
    </row>
    <row r="168" spans="1:18" x14ac:dyDescent="0.35">
      <c r="A168" s="219" t="b">
        <v>0</v>
      </c>
      <c r="B168" s="203">
        <f t="shared" si="3"/>
        <v>170</v>
      </c>
      <c r="C168" s="228" t="s">
        <v>361</v>
      </c>
      <c r="D168" s="273"/>
      <c r="E168" s="204">
        <v>8</v>
      </c>
      <c r="F168" s="204">
        <v>70</v>
      </c>
      <c r="G168" s="478">
        <f>'Auto-Calibration record'!I65</f>
        <v>30374</v>
      </c>
      <c r="H168" s="479"/>
    </row>
    <row r="169" spans="1:18" x14ac:dyDescent="0.35">
      <c r="A169" s="219" t="b">
        <v>0</v>
      </c>
      <c r="B169" s="203">
        <f t="shared" si="3"/>
        <v>171</v>
      </c>
      <c r="C169" s="228" t="s">
        <v>362</v>
      </c>
      <c r="D169" s="270"/>
    </row>
    <row r="170" spans="1:18" x14ac:dyDescent="0.35">
      <c r="A170" s="219" t="b">
        <v>0</v>
      </c>
      <c r="B170" s="203">
        <f t="shared" si="3"/>
        <v>172</v>
      </c>
      <c r="C170" s="228" t="s">
        <v>363</v>
      </c>
      <c r="D170" s="273"/>
      <c r="E170" s="213"/>
      <c r="G170" s="213"/>
      <c r="I170" s="213"/>
    </row>
    <row r="171" spans="1:18" x14ac:dyDescent="0.35">
      <c r="A171" s="219" t="b">
        <v>0</v>
      </c>
      <c r="B171" s="203">
        <f t="shared" si="3"/>
        <v>173</v>
      </c>
      <c r="C171" s="228" t="s">
        <v>364</v>
      </c>
      <c r="D171" s="270"/>
      <c r="E171" s="213"/>
      <c r="G171" s="213"/>
      <c r="I171" s="213"/>
    </row>
    <row r="172" spans="1:18" x14ac:dyDescent="0.35">
      <c r="A172" s="219" t="b">
        <v>0</v>
      </c>
      <c r="B172" s="203">
        <f t="shared" si="3"/>
        <v>174</v>
      </c>
      <c r="C172" s="228" t="s">
        <v>241</v>
      </c>
      <c r="D172" s="270"/>
      <c r="E172" s="213"/>
      <c r="G172" s="213"/>
      <c r="I172" s="213"/>
    </row>
    <row r="173" spans="1:18" x14ac:dyDescent="0.35">
      <c r="C173" s="228" t="s">
        <v>365</v>
      </c>
      <c r="D173" s="293"/>
      <c r="E173" s="213"/>
      <c r="G173" s="213"/>
      <c r="I173" s="213"/>
    </row>
    <row r="174" spans="1:18" x14ac:dyDescent="0.35">
      <c r="A174" s="219" t="b">
        <v>0</v>
      </c>
      <c r="B174" s="203">
        <f>B172+1</f>
        <v>175</v>
      </c>
      <c r="C174" s="228" t="s">
        <v>366</v>
      </c>
      <c r="D174" s="273"/>
      <c r="E174" s="213"/>
      <c r="G174" s="213"/>
      <c r="I174" s="213"/>
      <c r="O174" s="209"/>
    </row>
    <row r="175" spans="1:18" x14ac:dyDescent="0.35">
      <c r="A175" s="219" t="b">
        <v>0</v>
      </c>
      <c r="B175" s="203">
        <f>B174+1</f>
        <v>176</v>
      </c>
      <c r="C175" s="228" t="s">
        <v>367</v>
      </c>
      <c r="D175" s="270"/>
      <c r="E175" s="213"/>
      <c r="G175" s="213"/>
      <c r="I175" s="213"/>
    </row>
    <row r="176" spans="1:18" x14ac:dyDescent="0.35">
      <c r="A176" s="219" t="b">
        <v>0</v>
      </c>
      <c r="B176" s="203">
        <f t="shared" si="3"/>
        <v>177</v>
      </c>
      <c r="C176" s="228" t="s">
        <v>350</v>
      </c>
      <c r="D176" s="273"/>
      <c r="E176" s="213"/>
      <c r="G176" s="213"/>
      <c r="I176" s="213"/>
    </row>
    <row r="177" spans="1:9" x14ac:dyDescent="0.35">
      <c r="A177" s="219" t="b">
        <v>0</v>
      </c>
      <c r="B177" s="203">
        <f t="shared" si="3"/>
        <v>178</v>
      </c>
      <c r="C177" s="228" t="s">
        <v>368</v>
      </c>
      <c r="D177" s="273"/>
      <c r="E177" s="213"/>
      <c r="G177" s="213"/>
      <c r="I177" s="213"/>
    </row>
    <row r="178" spans="1:9" x14ac:dyDescent="0.35">
      <c r="A178" s="219" t="b">
        <v>0</v>
      </c>
      <c r="B178" s="203">
        <f t="shared" si="3"/>
        <v>179</v>
      </c>
      <c r="C178" s="228" t="s">
        <v>369</v>
      </c>
      <c r="D178" s="273"/>
      <c r="E178" s="213"/>
      <c r="G178" s="213"/>
      <c r="I178" s="213"/>
    </row>
    <row r="179" spans="1:9" x14ac:dyDescent="0.35">
      <c r="A179" s="219" t="b">
        <v>0</v>
      </c>
      <c r="B179" s="203">
        <f t="shared" si="3"/>
        <v>180</v>
      </c>
      <c r="C179" s="228" t="s">
        <v>370</v>
      </c>
      <c r="D179" s="273"/>
      <c r="E179" s="213"/>
      <c r="G179" s="213"/>
      <c r="I179" s="213"/>
    </row>
    <row r="180" spans="1:9" x14ac:dyDescent="0.35">
      <c r="A180" s="219" t="b">
        <v>0</v>
      </c>
      <c r="B180" s="203">
        <f t="shared" si="3"/>
        <v>181</v>
      </c>
      <c r="C180" s="246" t="s">
        <v>371</v>
      </c>
      <c r="D180" s="273"/>
      <c r="E180" s="213"/>
      <c r="G180" s="213"/>
      <c r="I180" s="213"/>
    </row>
    <row r="181" spans="1:9" x14ac:dyDescent="0.35">
      <c r="A181" s="219" t="b">
        <v>0</v>
      </c>
      <c r="B181" s="203">
        <f t="shared" si="3"/>
        <v>182</v>
      </c>
      <c r="C181" s="279" t="s">
        <v>372</v>
      </c>
      <c r="D181" s="273"/>
      <c r="E181" s="213"/>
      <c r="G181" s="213"/>
      <c r="I181" s="213"/>
    </row>
    <row r="182" spans="1:9" x14ac:dyDescent="0.35">
      <c r="A182" s="219" t="b">
        <v>0</v>
      </c>
      <c r="B182" s="203">
        <f t="shared" si="3"/>
        <v>183</v>
      </c>
      <c r="C182" s="228" t="s">
        <v>373</v>
      </c>
      <c r="D182" s="273"/>
      <c r="E182" s="213"/>
      <c r="G182" s="213"/>
      <c r="I182" s="213"/>
    </row>
    <row r="183" spans="1:9" x14ac:dyDescent="0.35">
      <c r="A183" s="219" t="b">
        <v>0</v>
      </c>
      <c r="B183" s="203">
        <f t="shared" si="3"/>
        <v>184</v>
      </c>
      <c r="C183" s="228" t="s">
        <v>374</v>
      </c>
      <c r="D183" s="273"/>
      <c r="E183" s="213"/>
      <c r="G183" s="213"/>
      <c r="I183" s="213"/>
    </row>
    <row r="184" spans="1:9" x14ac:dyDescent="0.35">
      <c r="A184" s="219" t="b">
        <v>0</v>
      </c>
      <c r="B184" s="203">
        <f t="shared" si="3"/>
        <v>185</v>
      </c>
      <c r="C184" s="228" t="s">
        <v>375</v>
      </c>
      <c r="D184" s="273"/>
      <c r="E184" s="213"/>
      <c r="G184" s="213"/>
      <c r="I184" s="213"/>
    </row>
    <row r="185" spans="1:9" x14ac:dyDescent="0.35">
      <c r="A185" s="219" t="b">
        <v>0</v>
      </c>
      <c r="B185" s="203">
        <f t="shared" si="3"/>
        <v>186</v>
      </c>
      <c r="C185" s="279" t="s">
        <v>376</v>
      </c>
      <c r="D185" s="273"/>
      <c r="E185" s="213"/>
      <c r="G185" s="213"/>
      <c r="I185" s="213"/>
    </row>
    <row r="186" spans="1:9" x14ac:dyDescent="0.35">
      <c r="A186" s="219" t="b">
        <v>0</v>
      </c>
      <c r="B186" s="203">
        <f t="shared" si="3"/>
        <v>187</v>
      </c>
      <c r="C186" s="228" t="s">
        <v>377</v>
      </c>
      <c r="D186" s="273"/>
      <c r="E186" s="213"/>
      <c r="G186" s="213"/>
      <c r="I186" s="213"/>
    </row>
    <row r="187" spans="1:9" x14ac:dyDescent="0.35">
      <c r="A187" s="219" t="b">
        <v>0</v>
      </c>
      <c r="B187" s="203">
        <f t="shared" si="3"/>
        <v>188</v>
      </c>
      <c r="C187" s="228" t="s">
        <v>378</v>
      </c>
      <c r="D187" s="273"/>
      <c r="E187" s="213"/>
      <c r="G187" s="213"/>
      <c r="I187" s="213"/>
    </row>
    <row r="188" spans="1:9" x14ac:dyDescent="0.35">
      <c r="A188" s="219" t="b">
        <v>0</v>
      </c>
      <c r="B188" s="203">
        <f t="shared" si="3"/>
        <v>189</v>
      </c>
      <c r="C188" s="228" t="s">
        <v>379</v>
      </c>
      <c r="D188" s="273"/>
      <c r="E188" s="213"/>
      <c r="G188" s="213"/>
      <c r="I188" s="213"/>
    </row>
    <row r="189" spans="1:9" x14ac:dyDescent="0.35">
      <c r="A189" s="219" t="b">
        <v>0</v>
      </c>
      <c r="B189" s="203">
        <f t="shared" si="3"/>
        <v>190</v>
      </c>
      <c r="C189" s="228" t="s">
        <v>380</v>
      </c>
      <c r="D189" s="270"/>
      <c r="E189" s="213"/>
      <c r="G189" s="213"/>
      <c r="I189" s="213"/>
    </row>
    <row r="190" spans="1:9" x14ac:dyDescent="0.35">
      <c r="A190" s="219" t="b">
        <v>0</v>
      </c>
      <c r="B190" s="203">
        <f t="shared" si="3"/>
        <v>191</v>
      </c>
      <c r="C190" s="228" t="s">
        <v>381</v>
      </c>
      <c r="D190" s="273"/>
      <c r="E190" s="213"/>
      <c r="G190" s="213"/>
      <c r="I190" s="213"/>
    </row>
    <row r="191" spans="1:9" x14ac:dyDescent="0.35">
      <c r="A191" s="219" t="b">
        <v>0</v>
      </c>
      <c r="B191" s="203">
        <f t="shared" si="3"/>
        <v>192</v>
      </c>
      <c r="C191" s="228" t="s">
        <v>382</v>
      </c>
      <c r="D191" s="273"/>
      <c r="E191" s="213"/>
      <c r="G191" s="213"/>
      <c r="I191" s="213"/>
    </row>
    <row r="192" spans="1:9" x14ac:dyDescent="0.35">
      <c r="A192" s="219" t="b">
        <v>0</v>
      </c>
      <c r="B192" s="203">
        <f t="shared" si="3"/>
        <v>193</v>
      </c>
      <c r="C192" s="228" t="s">
        <v>383</v>
      </c>
      <c r="D192" s="273"/>
      <c r="E192" s="213"/>
      <c r="G192" s="213"/>
      <c r="I192" s="213"/>
    </row>
    <row r="193" spans="1:15" x14ac:dyDescent="0.35">
      <c r="A193" s="219" t="b">
        <v>0</v>
      </c>
      <c r="B193" s="203">
        <f t="shared" si="3"/>
        <v>194</v>
      </c>
      <c r="C193" s="228" t="s">
        <v>384</v>
      </c>
      <c r="D193" s="270"/>
      <c r="E193" s="213"/>
      <c r="G193" s="213"/>
      <c r="I193" s="213"/>
    </row>
    <row r="194" spans="1:15" x14ac:dyDescent="0.35">
      <c r="A194" s="219" t="b">
        <v>0</v>
      </c>
      <c r="B194" s="203">
        <f t="shared" si="3"/>
        <v>195</v>
      </c>
      <c r="C194" s="228" t="s">
        <v>385</v>
      </c>
      <c r="D194" s="270"/>
      <c r="E194" s="213"/>
      <c r="G194" s="213"/>
      <c r="I194" s="213"/>
    </row>
    <row r="195" spans="1:15" x14ac:dyDescent="0.35">
      <c r="A195" s="219" t="b">
        <v>0</v>
      </c>
      <c r="B195" s="203">
        <f t="shared" si="3"/>
        <v>196</v>
      </c>
      <c r="C195" s="279" t="s">
        <v>386</v>
      </c>
      <c r="D195" s="270"/>
      <c r="E195" s="213"/>
      <c r="G195" s="213"/>
      <c r="I195" s="213"/>
    </row>
    <row r="196" spans="1:15" x14ac:dyDescent="0.35">
      <c r="A196" s="219" t="b">
        <f>IF(AND(D196&lt;=55,D196&gt;=19),TRUE,IF(AND(D196&gt;55,D196&lt;19),FALSE))</f>
        <v>0</v>
      </c>
      <c r="B196" s="203">
        <f t="shared" si="3"/>
        <v>197</v>
      </c>
      <c r="C196" s="228" t="s">
        <v>387</v>
      </c>
      <c r="D196" s="274"/>
      <c r="E196" s="213"/>
      <c r="G196" s="213"/>
      <c r="I196" s="213"/>
      <c r="O196" s="211" t="str">
        <f>IF(A196=TRUE,"Moisture sensor final test PASS","")</f>
        <v/>
      </c>
    </row>
    <row r="197" spans="1:15" x14ac:dyDescent="0.35">
      <c r="A197" s="219" t="b">
        <f>IF(AND(D197&lt;=44,D197&gt;=36),TRUE,IF(AND(D197&gt;45,D197&lt;36),FALSE))</f>
        <v>0</v>
      </c>
      <c r="B197" s="203">
        <f t="shared" si="3"/>
        <v>198</v>
      </c>
      <c r="C197" s="228" t="s">
        <v>388</v>
      </c>
      <c r="D197" s="274"/>
      <c r="E197" s="213"/>
      <c r="G197" s="213"/>
      <c r="I197" s="213"/>
      <c r="O197" s="211" t="str">
        <f>IF(A197=TRUE,"Temperature sensor final test PASS","")</f>
        <v/>
      </c>
    </row>
    <row r="198" spans="1:15" x14ac:dyDescent="0.35">
      <c r="A198" s="219" t="b">
        <v>0</v>
      </c>
      <c r="B198" s="203">
        <f t="shared" si="3"/>
        <v>199</v>
      </c>
      <c r="C198" s="228" t="s">
        <v>389</v>
      </c>
      <c r="D198" s="270"/>
      <c r="E198" s="213"/>
      <c r="G198" s="213"/>
      <c r="I198" s="213"/>
    </row>
    <row r="199" spans="1:15" x14ac:dyDescent="0.35">
      <c r="A199" s="219" t="b">
        <v>0</v>
      </c>
      <c r="B199" s="203">
        <f t="shared" si="3"/>
        <v>200</v>
      </c>
      <c r="C199" s="228" t="s">
        <v>390</v>
      </c>
      <c r="D199" s="232"/>
      <c r="E199" s="213"/>
      <c r="G199" s="213"/>
      <c r="I199" s="213"/>
    </row>
    <row r="200" spans="1:15" x14ac:dyDescent="0.35">
      <c r="C200" s="228" t="s">
        <v>391</v>
      </c>
      <c r="D200" s="246"/>
      <c r="E200" s="213"/>
      <c r="G200" s="213"/>
      <c r="I200" s="213"/>
    </row>
    <row r="201" spans="1:15" x14ac:dyDescent="0.35">
      <c r="A201" s="219" t="b">
        <v>0</v>
      </c>
      <c r="B201" s="203">
        <f>B199+1</f>
        <v>201</v>
      </c>
      <c r="C201" s="228" t="s">
        <v>392</v>
      </c>
      <c r="D201" s="270"/>
      <c r="E201" s="213"/>
      <c r="G201" s="213"/>
      <c r="I201" s="213"/>
    </row>
    <row r="202" spans="1:15" x14ac:dyDescent="0.35">
      <c r="A202" s="219" t="b">
        <v>0</v>
      </c>
      <c r="B202" s="203">
        <f t="shared" ref="B202:B227" si="4">B201+1</f>
        <v>202</v>
      </c>
      <c r="C202" s="228" t="s">
        <v>390</v>
      </c>
      <c r="D202" s="270"/>
      <c r="E202" s="213"/>
      <c r="G202" s="213"/>
      <c r="I202" s="213"/>
    </row>
    <row r="203" spans="1:15" x14ac:dyDescent="0.35">
      <c r="A203" s="219" t="b">
        <v>0</v>
      </c>
      <c r="B203" s="203">
        <f t="shared" si="4"/>
        <v>203</v>
      </c>
      <c r="C203" s="228" t="s">
        <v>391</v>
      </c>
      <c r="D203" s="270"/>
      <c r="E203" s="213"/>
      <c r="G203" s="213"/>
      <c r="I203" s="213"/>
    </row>
    <row r="204" spans="1:15" x14ac:dyDescent="0.35">
      <c r="A204" s="219" t="b">
        <v>0</v>
      </c>
      <c r="B204" s="203">
        <f t="shared" si="4"/>
        <v>204</v>
      </c>
      <c r="C204" s="228" t="s">
        <v>393</v>
      </c>
      <c r="D204" s="270"/>
      <c r="E204" s="213"/>
      <c r="G204" s="213"/>
      <c r="I204" s="213"/>
    </row>
    <row r="205" spans="1:15" x14ac:dyDescent="0.35">
      <c r="A205" s="219" t="b">
        <v>0</v>
      </c>
      <c r="B205" s="203">
        <f t="shared" si="4"/>
        <v>205</v>
      </c>
      <c r="C205" s="228" t="s">
        <v>394</v>
      </c>
      <c r="D205" s="273"/>
      <c r="E205" s="213"/>
      <c r="G205" s="213"/>
      <c r="I205" s="213"/>
      <c r="O205" s="209" t="str">
        <f>IF(A205=TRUE,"Test number set to that as recieved","Test number NOT CORRECT")</f>
        <v>Test number NOT CORRECT</v>
      </c>
    </row>
    <row r="206" spans="1:15" x14ac:dyDescent="0.35">
      <c r="C206" s="228" t="s">
        <v>395</v>
      </c>
      <c r="D206" s="245"/>
      <c r="E206" s="213"/>
      <c r="G206" s="213"/>
      <c r="I206" s="213"/>
    </row>
    <row r="207" spans="1:15" x14ac:dyDescent="0.35">
      <c r="A207" s="219" t="b">
        <v>0</v>
      </c>
      <c r="B207" s="203">
        <f>B205+1</f>
        <v>206</v>
      </c>
      <c r="C207" s="228" t="s">
        <v>396</v>
      </c>
      <c r="D207" s="270"/>
      <c r="E207" s="213"/>
      <c r="G207" s="213"/>
      <c r="I207" s="213"/>
    </row>
    <row r="208" spans="1:15" x14ac:dyDescent="0.35">
      <c r="A208" s="219" t="b">
        <v>0</v>
      </c>
      <c r="B208" s="203">
        <f>B207+1</f>
        <v>207</v>
      </c>
      <c r="C208" s="228" t="s">
        <v>397</v>
      </c>
      <c r="D208" s="270"/>
      <c r="E208" s="213"/>
      <c r="G208" s="213"/>
      <c r="I208" s="213"/>
    </row>
    <row r="209" spans="1:15" x14ac:dyDescent="0.35">
      <c r="C209" s="228" t="s">
        <v>398</v>
      </c>
      <c r="D209" s="246"/>
      <c r="E209" s="213"/>
      <c r="G209" s="213"/>
      <c r="I209" s="213"/>
    </row>
    <row r="210" spans="1:15" x14ac:dyDescent="0.35">
      <c r="A210" s="219" t="b">
        <v>0</v>
      </c>
      <c r="B210" s="203">
        <f>B208+1</f>
        <v>208</v>
      </c>
      <c r="C210" s="228" t="s">
        <v>399</v>
      </c>
      <c r="D210" s="270"/>
      <c r="E210" s="213"/>
      <c r="G210" s="213"/>
      <c r="I210" s="213"/>
    </row>
    <row r="211" spans="1:15" x14ac:dyDescent="0.35">
      <c r="A211" s="219" t="b">
        <v>0</v>
      </c>
      <c r="B211" s="203">
        <f t="shared" si="4"/>
        <v>209</v>
      </c>
      <c r="C211" s="228" t="s">
        <v>400</v>
      </c>
      <c r="D211" s="270"/>
      <c r="E211" s="213"/>
      <c r="G211" s="213"/>
      <c r="I211" s="213"/>
    </row>
    <row r="212" spans="1:15" x14ac:dyDescent="0.35">
      <c r="A212" s="219" t="b">
        <v>0</v>
      </c>
      <c r="B212" s="203">
        <f t="shared" si="4"/>
        <v>210</v>
      </c>
      <c r="C212" s="279" t="s">
        <v>401</v>
      </c>
      <c r="D212" s="294"/>
      <c r="E212" s="213"/>
      <c r="G212" s="213"/>
      <c r="I212" s="213"/>
    </row>
    <row r="213" spans="1:15" x14ac:dyDescent="0.35">
      <c r="A213" s="219" t="b">
        <v>0</v>
      </c>
      <c r="B213" s="203">
        <f t="shared" si="4"/>
        <v>211</v>
      </c>
      <c r="C213" s="228" t="s">
        <v>402</v>
      </c>
      <c r="D213" s="270"/>
      <c r="E213" s="213"/>
      <c r="G213" s="213"/>
      <c r="I213" s="213"/>
    </row>
    <row r="214" spans="1:15" x14ac:dyDescent="0.35">
      <c r="A214" s="219" t="b">
        <v>0</v>
      </c>
      <c r="B214" s="203">
        <f t="shared" si="4"/>
        <v>212</v>
      </c>
      <c r="C214" s="228" t="s">
        <v>403</v>
      </c>
      <c r="D214" s="270"/>
      <c r="E214" s="213"/>
      <c r="G214" s="213"/>
      <c r="I214" s="213"/>
    </row>
    <row r="215" spans="1:15" x14ac:dyDescent="0.35">
      <c r="C215" s="228" t="s">
        <v>404</v>
      </c>
      <c r="D215" s="246"/>
      <c r="E215" s="213"/>
      <c r="G215" s="213"/>
      <c r="I215" s="213"/>
    </row>
    <row r="216" spans="1:15" x14ac:dyDescent="0.35">
      <c r="A216" s="219" t="b">
        <v>0</v>
      </c>
      <c r="B216" s="203">
        <f>B214+1</f>
        <v>213</v>
      </c>
      <c r="C216" s="228" t="s">
        <v>405</v>
      </c>
      <c r="D216" s="270"/>
      <c r="E216" s="213"/>
      <c r="F216" s="213"/>
      <c r="G216" s="213"/>
      <c r="I216" s="213"/>
      <c r="O216" s="211" t="str">
        <f>IF(A216=TRUE,"2 copies of calibration certificate included, one in unit one on outside of box","")</f>
        <v/>
      </c>
    </row>
    <row r="217" spans="1:15" x14ac:dyDescent="0.35">
      <c r="A217" s="219" t="b">
        <v>0</v>
      </c>
      <c r="B217" s="203">
        <f t="shared" si="4"/>
        <v>214</v>
      </c>
      <c r="C217" s="279" t="s">
        <v>406</v>
      </c>
      <c r="D217" s="294"/>
      <c r="E217" s="213"/>
      <c r="F217" s="213"/>
      <c r="G217" s="213"/>
      <c r="I217" s="213"/>
      <c r="O217" s="211" t="str">
        <f>IF(A217=TRUE,"2 copies of service report included, one in unit one on outside of box","")</f>
        <v/>
      </c>
    </row>
    <row r="218" spans="1:15" x14ac:dyDescent="0.35">
      <c r="A218" s="219" t="b">
        <v>0</v>
      </c>
      <c r="B218" s="203">
        <f t="shared" si="4"/>
        <v>215</v>
      </c>
      <c r="C218" s="228" t="s">
        <v>407</v>
      </c>
      <c r="D218" s="294"/>
      <c r="E218" s="213"/>
      <c r="G218" s="213"/>
      <c r="I218" s="213"/>
    </row>
    <row r="219" spans="1:15" x14ac:dyDescent="0.35">
      <c r="A219" s="219" t="b">
        <v>0</v>
      </c>
      <c r="B219" s="203">
        <f t="shared" si="4"/>
        <v>216</v>
      </c>
      <c r="C219" s="228" t="s">
        <v>408</v>
      </c>
      <c r="D219" s="270"/>
      <c r="E219" s="452" t="s">
        <v>438</v>
      </c>
      <c r="F219" s="453"/>
      <c r="G219" s="453"/>
      <c r="H219" s="453"/>
      <c r="I219" s="453"/>
      <c r="J219" s="453"/>
      <c r="K219" s="453"/>
      <c r="L219" s="453"/>
      <c r="M219" s="453"/>
      <c r="N219" s="453"/>
      <c r="O219" s="453"/>
    </row>
    <row r="220" spans="1:15" x14ac:dyDescent="0.35">
      <c r="A220" s="219" t="b">
        <v>0</v>
      </c>
      <c r="B220" s="203">
        <f t="shared" si="4"/>
        <v>217</v>
      </c>
      <c r="C220" s="228" t="s">
        <v>409</v>
      </c>
      <c r="D220" s="270"/>
      <c r="E220" s="213"/>
      <c r="G220" s="213"/>
      <c r="I220" s="213"/>
    </row>
    <row r="221" spans="1:15" x14ac:dyDescent="0.35">
      <c r="A221" s="219" t="b">
        <v>0</v>
      </c>
      <c r="B221" s="203">
        <f t="shared" si="4"/>
        <v>218</v>
      </c>
      <c r="C221" s="228" t="s">
        <v>410</v>
      </c>
      <c r="D221" s="270"/>
      <c r="E221" s="213"/>
      <c r="F221" s="213"/>
      <c r="G221" s="213"/>
      <c r="I221" s="213"/>
    </row>
    <row r="222" spans="1:15" x14ac:dyDescent="0.35">
      <c r="A222" s="219" t="b">
        <v>0</v>
      </c>
      <c r="B222" s="203">
        <f t="shared" si="4"/>
        <v>219</v>
      </c>
      <c r="C222" s="228" t="s">
        <v>411</v>
      </c>
      <c r="D222" s="270"/>
      <c r="E222" s="213"/>
      <c r="F222" s="213"/>
      <c r="G222" s="213"/>
      <c r="I222" s="213"/>
    </row>
    <row r="223" spans="1:15" x14ac:dyDescent="0.35">
      <c r="A223" s="219" t="b">
        <v>0</v>
      </c>
      <c r="B223" s="203">
        <f t="shared" si="4"/>
        <v>220</v>
      </c>
      <c r="C223" s="205" t="s">
        <v>412</v>
      </c>
      <c r="D223" s="275"/>
      <c r="E223" s="238"/>
      <c r="F223" s="238"/>
      <c r="G223" s="238"/>
      <c r="H223" s="238"/>
      <c r="I223" s="238"/>
      <c r="J223" s="238"/>
      <c r="K223" s="238"/>
      <c r="L223" s="238"/>
      <c r="M223" s="238"/>
      <c r="N223" s="238"/>
      <c r="O223" s="211" t="str">
        <f>IF(A223=TRUE,"AX WO processed","WO still to be completed")</f>
        <v>WO still to be completed</v>
      </c>
    </row>
    <row r="224" spans="1:15" x14ac:dyDescent="0.35">
      <c r="A224" s="219" t="b">
        <v>0</v>
      </c>
      <c r="B224" s="203">
        <f t="shared" si="4"/>
        <v>221</v>
      </c>
      <c r="C224" s="203" t="s">
        <v>386</v>
      </c>
      <c r="D224" s="275"/>
      <c r="E224" s="238"/>
      <c r="F224" s="238"/>
      <c r="G224" s="238"/>
      <c r="H224" s="238"/>
      <c r="I224" s="238"/>
      <c r="J224" s="238"/>
      <c r="K224" s="238"/>
      <c r="L224" s="238"/>
      <c r="M224" s="238"/>
      <c r="N224" s="238"/>
      <c r="O224" s="211" t="str">
        <f>IF(A224=TRUE,"Online booking status updated","Online update still required")</f>
        <v>Online update still required</v>
      </c>
    </row>
    <row r="225" spans="2:14" ht="15.75" x14ac:dyDescent="0.35">
      <c r="B225" s="203">
        <f t="shared" si="4"/>
        <v>222</v>
      </c>
      <c r="C225" s="228" t="s">
        <v>413</v>
      </c>
      <c r="D225" s="210"/>
      <c r="E225" s="434"/>
      <c r="F225" s="434"/>
      <c r="G225" s="462"/>
      <c r="H225" s="462"/>
      <c r="I225" s="462"/>
      <c r="J225" s="462"/>
      <c r="K225" s="462"/>
      <c r="L225" s="462"/>
      <c r="M225" s="462"/>
      <c r="N225" s="462"/>
    </row>
    <row r="226" spans="2:14" x14ac:dyDescent="0.35">
      <c r="B226" s="203">
        <f t="shared" si="4"/>
        <v>223</v>
      </c>
      <c r="C226" s="228" t="s">
        <v>414</v>
      </c>
      <c r="D226" s="229"/>
      <c r="E226" s="231" t="s">
        <v>306</v>
      </c>
      <c r="F226" s="213"/>
      <c r="G226" s="228"/>
      <c r="H226" s="228"/>
      <c r="I226" s="461"/>
      <c r="J226" s="461"/>
      <c r="K226" s="461"/>
      <c r="L226" s="461"/>
      <c r="M226" s="461"/>
      <c r="N226" s="461"/>
    </row>
    <row r="227" spans="2:14" x14ac:dyDescent="0.35">
      <c r="B227" s="203">
        <f t="shared" si="4"/>
        <v>224</v>
      </c>
      <c r="C227" s="205" t="s">
        <v>415</v>
      </c>
      <c r="E227" s="477"/>
      <c r="F227" s="477"/>
      <c r="G227" s="477"/>
      <c r="H227" s="477"/>
      <c r="I227" s="477"/>
      <c r="J227" s="477"/>
      <c r="K227" s="477"/>
      <c r="L227" s="477"/>
      <c r="M227" s="477"/>
      <c r="N227" s="477"/>
    </row>
    <row r="228" spans="2:14" x14ac:dyDescent="0.35">
      <c r="C228" s="231" t="s">
        <v>416</v>
      </c>
      <c r="D228" s="220"/>
    </row>
    <row r="229" spans="2:14" x14ac:dyDescent="0.35">
      <c r="C229" s="231" t="s">
        <v>417</v>
      </c>
      <c r="D229" s="230"/>
    </row>
    <row r="230" spans="2:14" x14ac:dyDescent="0.35">
      <c r="C230" s="246" t="s">
        <v>418</v>
      </c>
    </row>
    <row r="231" spans="2:14" x14ac:dyDescent="0.35">
      <c r="B231" s="204"/>
      <c r="C231" s="228" t="s">
        <v>419</v>
      </c>
      <c r="E231" s="213"/>
      <c r="F231" s="213"/>
      <c r="G231" s="213"/>
      <c r="H231" s="213"/>
      <c r="I231" s="213"/>
      <c r="J231" s="213"/>
      <c r="K231" s="213"/>
      <c r="L231" s="213"/>
    </row>
    <row r="232" spans="2:14" x14ac:dyDescent="0.35">
      <c r="B232" s="204"/>
      <c r="C232" s="228" t="s">
        <v>420</v>
      </c>
      <c r="E232" s="213"/>
      <c r="F232" s="213"/>
      <c r="G232" s="213"/>
      <c r="H232" s="213"/>
      <c r="I232" s="213"/>
      <c r="J232" s="213"/>
      <c r="L232" s="213"/>
    </row>
    <row r="233" spans="2:14" x14ac:dyDescent="0.35">
      <c r="B233" s="280"/>
      <c r="C233" s="295" t="s">
        <v>421</v>
      </c>
      <c r="D233" s="282"/>
      <c r="E233" s="480"/>
      <c r="F233" s="481"/>
      <c r="G233" s="481"/>
      <c r="H233" s="481"/>
      <c r="I233" s="481"/>
      <c r="J233" s="481"/>
      <c r="K233" s="482"/>
      <c r="L233" s="213"/>
    </row>
    <row r="234" spans="2:14" x14ac:dyDescent="0.35">
      <c r="B234" s="280"/>
      <c r="C234" s="281" t="s">
        <v>422</v>
      </c>
      <c r="D234" s="282"/>
      <c r="E234" s="480"/>
      <c r="F234" s="481"/>
      <c r="G234" s="481"/>
      <c r="H234" s="481"/>
      <c r="I234" s="481"/>
      <c r="J234" s="481"/>
      <c r="K234" s="482"/>
      <c r="L234" s="213"/>
    </row>
    <row r="235" spans="2:14" x14ac:dyDescent="0.35">
      <c r="B235" s="296"/>
      <c r="C235" s="295" t="s">
        <v>423</v>
      </c>
      <c r="D235" s="297"/>
      <c r="E235" s="480"/>
      <c r="F235" s="481"/>
      <c r="G235" s="481"/>
      <c r="H235" s="481"/>
      <c r="I235" s="481"/>
      <c r="J235" s="481"/>
      <c r="K235" s="482"/>
      <c r="L235" s="213"/>
    </row>
    <row r="236" spans="2:14" x14ac:dyDescent="0.35">
      <c r="B236" s="280"/>
      <c r="C236" s="295"/>
      <c r="D236" s="282"/>
      <c r="E236" s="483" t="s">
        <v>67</v>
      </c>
      <c r="F236" s="484"/>
      <c r="G236" s="485" t="str">
        <f>IF(D225=D13,"ON TIME",IF(D225&gt;D13,"LATE",IF(D225&lt;D13,"EARLY")))</f>
        <v>EARLY</v>
      </c>
      <c r="H236" s="460"/>
      <c r="I236" s="460"/>
      <c r="J236" s="460"/>
      <c r="K236" s="460"/>
      <c r="L236" s="460"/>
      <c r="M236" s="460"/>
      <c r="N236" s="460"/>
    </row>
    <row r="237" spans="2:14" x14ac:dyDescent="0.35">
      <c r="B237" s="280"/>
      <c r="C237" s="295"/>
      <c r="D237" s="282"/>
      <c r="E237" s="480"/>
      <c r="F237" s="481"/>
      <c r="G237" s="481"/>
      <c r="H237" s="481"/>
      <c r="I237" s="481"/>
      <c r="J237" s="481"/>
      <c r="K237" s="482"/>
      <c r="L237" s="213"/>
    </row>
    <row r="238" spans="2:14" x14ac:dyDescent="0.35">
      <c r="B238" s="280"/>
      <c r="C238" s="295"/>
      <c r="D238" s="282"/>
      <c r="E238" s="480"/>
      <c r="F238" s="481"/>
      <c r="G238" s="481"/>
      <c r="H238" s="481"/>
      <c r="I238" s="481"/>
      <c r="J238" s="481"/>
      <c r="K238" s="482"/>
      <c r="L238" s="213"/>
    </row>
    <row r="239" spans="2:14" x14ac:dyDescent="0.35">
      <c r="B239" s="280"/>
      <c r="C239" s="281"/>
      <c r="D239" s="282"/>
      <c r="E239" s="480"/>
      <c r="F239" s="481"/>
      <c r="G239" s="481"/>
      <c r="H239" s="481"/>
      <c r="I239" s="481"/>
      <c r="J239" s="481"/>
      <c r="K239" s="482"/>
      <c r="L239" s="213"/>
    </row>
    <row r="240" spans="2:14" x14ac:dyDescent="0.35">
      <c r="B240" s="280"/>
      <c r="C240" s="281"/>
      <c r="D240" s="282"/>
      <c r="E240" s="480"/>
      <c r="F240" s="481"/>
      <c r="G240" s="481"/>
      <c r="H240" s="481"/>
      <c r="I240" s="481"/>
      <c r="J240" s="481"/>
      <c r="K240" s="482"/>
      <c r="L240" s="213"/>
    </row>
    <row r="241" spans="2:12" x14ac:dyDescent="0.35">
      <c r="B241" s="280"/>
      <c r="C241" s="281"/>
      <c r="D241" s="282"/>
      <c r="E241" s="480"/>
      <c r="F241" s="481"/>
      <c r="G241" s="481"/>
      <c r="H241" s="481"/>
      <c r="I241" s="481"/>
      <c r="J241" s="481"/>
      <c r="K241" s="482"/>
      <c r="L241" s="213"/>
    </row>
    <row r="242" spans="2:12" x14ac:dyDescent="0.35">
      <c r="B242" s="280"/>
      <c r="C242" s="295" t="s">
        <v>424</v>
      </c>
      <c r="D242" s="282"/>
      <c r="E242" s="480"/>
      <c r="F242" s="481"/>
      <c r="G242" s="481"/>
      <c r="H242" s="481"/>
      <c r="I242" s="481"/>
      <c r="J242" s="481"/>
      <c r="K242" s="482"/>
      <c r="L242" s="213"/>
    </row>
    <row r="243" spans="2:12" x14ac:dyDescent="0.35">
      <c r="B243" s="280"/>
      <c r="C243" s="295" t="s">
        <v>236</v>
      </c>
      <c r="D243" s="282"/>
      <c r="E243" s="480"/>
      <c r="F243" s="481"/>
      <c r="G243" s="481"/>
      <c r="H243" s="481"/>
      <c r="I243" s="481"/>
      <c r="J243" s="481"/>
      <c r="K243" s="482"/>
      <c r="L243" s="213"/>
    </row>
    <row r="244" spans="2:12" x14ac:dyDescent="0.35">
      <c r="B244" s="286"/>
      <c r="C244" s="287"/>
      <c r="D244" s="288"/>
      <c r="E244" s="480"/>
      <c r="F244" s="481"/>
      <c r="G244" s="481"/>
      <c r="H244" s="481"/>
      <c r="I244" s="481"/>
      <c r="J244" s="481"/>
      <c r="K244" s="482"/>
      <c r="L244" s="213"/>
    </row>
    <row r="245" spans="2:12" x14ac:dyDescent="0.35">
      <c r="B245" s="280"/>
      <c r="C245" s="281"/>
      <c r="D245" s="282"/>
      <c r="E245" s="480"/>
      <c r="F245" s="481"/>
      <c r="G245" s="481"/>
      <c r="H245" s="481"/>
      <c r="I245" s="481"/>
      <c r="J245" s="481"/>
      <c r="K245" s="482"/>
      <c r="L245" s="213"/>
    </row>
    <row r="246" spans="2:12" x14ac:dyDescent="0.35">
      <c r="B246" s="283"/>
      <c r="C246" s="284"/>
      <c r="D246" s="285"/>
      <c r="E246" s="486"/>
      <c r="F246" s="487"/>
      <c r="G246" s="487"/>
      <c r="H246" s="487"/>
      <c r="I246" s="487"/>
      <c r="J246" s="487"/>
      <c r="K246" s="488"/>
      <c r="L246" s="213"/>
    </row>
    <row r="247" spans="2:12" x14ac:dyDescent="0.35">
      <c r="B247" s="283"/>
      <c r="C247" s="284"/>
      <c r="D247" s="285"/>
      <c r="E247" s="486"/>
      <c r="F247" s="487"/>
      <c r="G247" s="487"/>
      <c r="H247" s="487"/>
      <c r="I247" s="487"/>
      <c r="J247" s="487"/>
      <c r="K247" s="488"/>
      <c r="L247" s="213"/>
    </row>
    <row r="248" spans="2:12" x14ac:dyDescent="0.35">
      <c r="B248" s="283"/>
      <c r="C248" s="284"/>
      <c r="D248" s="285"/>
      <c r="E248" s="486"/>
      <c r="F248" s="487"/>
      <c r="G248" s="487"/>
      <c r="H248" s="487"/>
      <c r="I248" s="487"/>
      <c r="J248" s="487"/>
      <c r="K248" s="488"/>
      <c r="L248" s="213"/>
    </row>
    <row r="249" spans="2:12" x14ac:dyDescent="0.35">
      <c r="B249" s="204"/>
      <c r="C249" s="213"/>
      <c r="E249" s="213"/>
      <c r="F249" s="213"/>
      <c r="G249" s="213"/>
      <c r="H249" s="213"/>
      <c r="I249" s="213"/>
      <c r="J249" s="213"/>
      <c r="K249" s="213"/>
      <c r="L249" s="213"/>
    </row>
    <row r="250" spans="2:12" x14ac:dyDescent="0.35">
      <c r="B250" s="204"/>
      <c r="C250" s="276" t="s">
        <v>425</v>
      </c>
      <c r="D250" s="204"/>
      <c r="E250" s="276"/>
      <c r="F250" s="276"/>
      <c r="G250" s="251" t="s">
        <v>28</v>
      </c>
      <c r="H250" s="277" t="s">
        <v>426</v>
      </c>
      <c r="I250" s="251" t="s">
        <v>34</v>
      </c>
      <c r="J250" s="277" t="s">
        <v>426</v>
      </c>
      <c r="K250" s="251" t="s">
        <v>38</v>
      </c>
      <c r="L250" s="277" t="s">
        <v>426</v>
      </c>
    </row>
    <row r="251" spans="2:12" x14ac:dyDescent="0.35">
      <c r="B251" s="204"/>
      <c r="C251" s="276" t="s">
        <v>427</v>
      </c>
      <c r="D251" s="204"/>
      <c r="E251" s="276"/>
      <c r="F251" s="277" t="s">
        <v>426</v>
      </c>
      <c r="G251" s="213"/>
      <c r="H251" s="251"/>
      <c r="I251" s="278"/>
      <c r="J251" s="251"/>
      <c r="K251" s="251"/>
      <c r="L251" s="251"/>
    </row>
    <row r="1476" spans="1:16" s="220" customFormat="1" x14ac:dyDescent="0.35">
      <c r="A1476" s="219"/>
      <c r="B1476" s="203"/>
      <c r="C1476" s="246"/>
      <c r="D1476" s="213"/>
      <c r="E1476" s="204"/>
      <c r="F1476" s="204"/>
      <c r="G1476" s="204"/>
      <c r="H1476" s="204"/>
      <c r="I1476" s="204"/>
      <c r="J1476" s="204"/>
      <c r="K1476" s="204"/>
      <c r="L1476" s="204"/>
      <c r="M1476" s="204"/>
      <c r="N1476" s="204"/>
      <c r="O1476" s="211"/>
      <c r="P1476" s="209"/>
    </row>
    <row r="1477" spans="1:16" x14ac:dyDescent="0.35">
      <c r="A1477" s="227"/>
      <c r="C1477" s="205"/>
      <c r="D1477" s="220"/>
      <c r="E1477" s="238"/>
      <c r="F1477" s="238"/>
      <c r="G1477" s="238"/>
      <c r="H1477" s="238"/>
      <c r="I1477" s="238"/>
      <c r="J1477" s="238"/>
      <c r="K1477" s="238"/>
      <c r="L1477" s="238"/>
      <c r="M1477" s="238"/>
      <c r="N1477" s="238"/>
      <c r="O1477" s="209"/>
    </row>
    <row r="9225" spans="1:1" x14ac:dyDescent="0.35">
      <c r="A9225" s="219" t="b">
        <v>1</v>
      </c>
    </row>
  </sheetData>
  <mergeCells count="90">
    <mergeCell ref="E241:K241"/>
    <mergeCell ref="E242:K242"/>
    <mergeCell ref="E243:K243"/>
    <mergeCell ref="E238:K238"/>
    <mergeCell ref="E239:K239"/>
    <mergeCell ref="E240:K240"/>
    <mergeCell ref="E247:K247"/>
    <mergeCell ref="E248:K248"/>
    <mergeCell ref="E244:K244"/>
    <mergeCell ref="E245:K245"/>
    <mergeCell ref="E246:K246"/>
    <mergeCell ref="E235:K235"/>
    <mergeCell ref="E237:K237"/>
    <mergeCell ref="I226:N226"/>
    <mergeCell ref="E227:N227"/>
    <mergeCell ref="E233:K233"/>
    <mergeCell ref="E234:K234"/>
    <mergeCell ref="E236:F236"/>
    <mergeCell ref="G236:N236"/>
    <mergeCell ref="E131:F131"/>
    <mergeCell ref="G131:N131"/>
    <mergeCell ref="E219:O219"/>
    <mergeCell ref="E225:F225"/>
    <mergeCell ref="G225:N225"/>
    <mergeCell ref="G160:H160"/>
    <mergeCell ref="G161:H161"/>
    <mergeCell ref="G162:H162"/>
    <mergeCell ref="G163:H163"/>
    <mergeCell ref="G164:H164"/>
    <mergeCell ref="G165:H165"/>
    <mergeCell ref="G166:H166"/>
    <mergeCell ref="G167:H167"/>
    <mergeCell ref="G168:H168"/>
    <mergeCell ref="C141:O141"/>
    <mergeCell ref="I132:N132"/>
    <mergeCell ref="E115:H115"/>
    <mergeCell ref="C120:O120"/>
    <mergeCell ref="E124:N124"/>
    <mergeCell ref="E125:N125"/>
    <mergeCell ref="E127:N127"/>
    <mergeCell ref="C133:O133"/>
    <mergeCell ref="E134:F134"/>
    <mergeCell ref="G134:N134"/>
    <mergeCell ref="I136:N136"/>
    <mergeCell ref="E140:N140"/>
    <mergeCell ref="E113:F113"/>
    <mergeCell ref="I113:J113"/>
    <mergeCell ref="E93:N93"/>
    <mergeCell ref="E94:N94"/>
    <mergeCell ref="E97:J97"/>
    <mergeCell ref="K97:N97"/>
    <mergeCell ref="E99:N99"/>
    <mergeCell ref="E100:N100"/>
    <mergeCell ref="E101:N101"/>
    <mergeCell ref="E102:N102"/>
    <mergeCell ref="E103:N103"/>
    <mergeCell ref="E109:N109"/>
    <mergeCell ref="K112:N112"/>
    <mergeCell ref="I89:N89"/>
    <mergeCell ref="C90:O90"/>
    <mergeCell ref="E91:F91"/>
    <mergeCell ref="G91:N91"/>
    <mergeCell ref="E80:N80"/>
    <mergeCell ref="C81:O81"/>
    <mergeCell ref="E82:J82"/>
    <mergeCell ref="K82:N82"/>
    <mergeCell ref="E84:N84"/>
    <mergeCell ref="E85:J85"/>
    <mergeCell ref="K85:N85"/>
    <mergeCell ref="E86:N86"/>
    <mergeCell ref="E87:J87"/>
    <mergeCell ref="K87:N87"/>
    <mergeCell ref="E79:N79"/>
    <mergeCell ref="E71:N71"/>
    <mergeCell ref="E76:N76"/>
    <mergeCell ref="E77:N77"/>
    <mergeCell ref="E78:N78"/>
    <mergeCell ref="E17:N17"/>
    <mergeCell ref="E25:N25"/>
    <mergeCell ref="E26:N26"/>
    <mergeCell ref="E32:N32"/>
    <mergeCell ref="C70:O70"/>
    <mergeCell ref="O62:Y62"/>
    <mergeCell ref="E65:N65"/>
    <mergeCell ref="C2:O2"/>
    <mergeCell ref="E5:I5"/>
    <mergeCell ref="E10:N10"/>
    <mergeCell ref="C14:O14"/>
    <mergeCell ref="E15:F15"/>
    <mergeCell ref="G15:N15"/>
  </mergeCells>
  <conditionalFormatting sqref="C18">
    <cfRule type="expression" dxfId="259" priority="151">
      <formula>$A$18</formula>
    </cfRule>
  </conditionalFormatting>
  <conditionalFormatting sqref="C19">
    <cfRule type="expression" dxfId="258" priority="13">
      <formula>$A$19</formula>
    </cfRule>
  </conditionalFormatting>
  <conditionalFormatting sqref="C20">
    <cfRule type="expression" dxfId="257" priority="12">
      <formula>$A$20</formula>
    </cfRule>
  </conditionalFormatting>
  <conditionalFormatting sqref="C21">
    <cfRule type="expression" dxfId="256" priority="11">
      <formula>$A$21</formula>
    </cfRule>
  </conditionalFormatting>
  <conditionalFormatting sqref="C22">
    <cfRule type="expression" dxfId="255" priority="10">
      <formula>$A$22</formula>
    </cfRule>
  </conditionalFormatting>
  <conditionalFormatting sqref="C23">
    <cfRule type="expression" dxfId="254" priority="150">
      <formula>$A$23</formula>
    </cfRule>
  </conditionalFormatting>
  <conditionalFormatting sqref="C24">
    <cfRule type="expression" dxfId="253" priority="88">
      <formula>$A$24</formula>
    </cfRule>
  </conditionalFormatting>
  <conditionalFormatting sqref="C25">
    <cfRule type="expression" dxfId="252" priority="149">
      <formula>$A$25</formula>
    </cfRule>
  </conditionalFormatting>
  <conditionalFormatting sqref="C27">
    <cfRule type="expression" dxfId="251" priority="29">
      <formula>$A$27</formula>
    </cfRule>
  </conditionalFormatting>
  <conditionalFormatting sqref="C32">
    <cfRule type="expression" dxfId="250" priority="146">
      <formula>$A$32</formula>
    </cfRule>
  </conditionalFormatting>
  <conditionalFormatting sqref="C36">
    <cfRule type="expression" dxfId="249" priority="77">
      <formula>$A$36</formula>
    </cfRule>
  </conditionalFormatting>
  <conditionalFormatting sqref="C40">
    <cfRule type="expression" dxfId="248" priority="145">
      <formula>$A$40</formula>
    </cfRule>
  </conditionalFormatting>
  <conditionalFormatting sqref="C44">
    <cfRule type="expression" dxfId="247" priority="25">
      <formula>$A$44</formula>
    </cfRule>
  </conditionalFormatting>
  <conditionalFormatting sqref="C46">
    <cfRule type="expression" dxfId="246" priority="144">
      <formula>$A$46</formula>
    </cfRule>
  </conditionalFormatting>
  <conditionalFormatting sqref="C54">
    <cfRule type="expression" dxfId="245" priority="87">
      <formula>$A$54</formula>
    </cfRule>
  </conditionalFormatting>
  <conditionalFormatting sqref="C55">
    <cfRule type="expression" dxfId="244" priority="85">
      <formula>$A$55</formula>
    </cfRule>
  </conditionalFormatting>
  <conditionalFormatting sqref="C56">
    <cfRule type="expression" dxfId="243" priority="86">
      <formula>$A$56</formula>
    </cfRule>
  </conditionalFormatting>
  <conditionalFormatting sqref="C57">
    <cfRule type="expression" dxfId="242" priority="147">
      <formula>$A$57</formula>
    </cfRule>
  </conditionalFormatting>
  <conditionalFormatting sqref="C58">
    <cfRule type="expression" dxfId="241" priority="84">
      <formula>$A$58</formula>
    </cfRule>
  </conditionalFormatting>
  <conditionalFormatting sqref="C59">
    <cfRule type="expression" dxfId="240" priority="83">
      <formula>$A$59</formula>
    </cfRule>
  </conditionalFormatting>
  <conditionalFormatting sqref="C60">
    <cfRule type="expression" dxfId="239" priority="82">
      <formula>$A$60</formula>
    </cfRule>
  </conditionalFormatting>
  <conditionalFormatting sqref="C61">
    <cfRule type="expression" dxfId="238" priority="81">
      <formula>$A$61</formula>
    </cfRule>
  </conditionalFormatting>
  <conditionalFormatting sqref="C64">
    <cfRule type="expression" dxfId="237" priority="26">
      <formula>$A$64</formula>
    </cfRule>
  </conditionalFormatting>
  <conditionalFormatting sqref="C65">
    <cfRule type="expression" dxfId="236" priority="78">
      <formula>$A$65</formula>
    </cfRule>
  </conditionalFormatting>
  <conditionalFormatting sqref="C67">
    <cfRule type="expression" dxfId="235" priority="80">
      <formula>$A$67</formula>
    </cfRule>
  </conditionalFormatting>
  <conditionalFormatting sqref="C68">
    <cfRule type="expression" dxfId="234" priority="79">
      <formula>$A$68</formula>
    </cfRule>
  </conditionalFormatting>
  <conditionalFormatting sqref="C69">
    <cfRule type="expression" dxfId="233" priority="143">
      <formula>$A$69</formula>
    </cfRule>
  </conditionalFormatting>
  <conditionalFormatting sqref="C71">
    <cfRule type="expression" dxfId="232" priority="142">
      <formula>$A$71</formula>
    </cfRule>
  </conditionalFormatting>
  <conditionalFormatting sqref="C72">
    <cfRule type="expression" dxfId="231" priority="141">
      <formula>$A$72</formula>
    </cfRule>
  </conditionalFormatting>
  <conditionalFormatting sqref="C73">
    <cfRule type="expression" dxfId="230" priority="140">
      <formula>$A$73</formula>
    </cfRule>
  </conditionalFormatting>
  <conditionalFormatting sqref="C74">
    <cfRule type="expression" dxfId="229" priority="139">
      <formula>$A$74</formula>
    </cfRule>
  </conditionalFormatting>
  <conditionalFormatting sqref="C76">
    <cfRule type="expression" dxfId="228" priority="137">
      <formula>$A$76</formula>
    </cfRule>
  </conditionalFormatting>
  <conditionalFormatting sqref="C82">
    <cfRule type="expression" dxfId="227" priority="1">
      <formula>$A$82</formula>
    </cfRule>
  </conditionalFormatting>
  <conditionalFormatting sqref="C83">
    <cfRule type="expression" dxfId="226" priority="138">
      <formula>$A$83</formula>
    </cfRule>
  </conditionalFormatting>
  <conditionalFormatting sqref="C84">
    <cfRule type="expression" dxfId="225" priority="136">
      <formula>$A$84</formula>
    </cfRule>
  </conditionalFormatting>
  <conditionalFormatting sqref="C85">
    <cfRule type="expression" dxfId="224" priority="135">
      <formula>$A$85</formula>
    </cfRule>
  </conditionalFormatting>
  <conditionalFormatting sqref="C86">
    <cfRule type="expression" dxfId="223" priority="17">
      <formula>$A$86</formula>
    </cfRule>
  </conditionalFormatting>
  <conditionalFormatting sqref="C87">
    <cfRule type="expression" dxfId="222" priority="134">
      <formula>$A$87</formula>
    </cfRule>
  </conditionalFormatting>
  <conditionalFormatting sqref="C93">
    <cfRule type="expression" dxfId="221" priority="180">
      <formula>$A93</formula>
    </cfRule>
  </conditionalFormatting>
  <conditionalFormatting sqref="C94">
    <cfRule type="expression" dxfId="220" priority="181">
      <formula>$A$94</formula>
    </cfRule>
  </conditionalFormatting>
  <conditionalFormatting sqref="C95">
    <cfRule type="expression" dxfId="219" priority="133">
      <formula>$A$95</formula>
    </cfRule>
  </conditionalFormatting>
  <conditionalFormatting sqref="C97">
    <cfRule type="expression" dxfId="218" priority="152">
      <formula>$A$97</formula>
    </cfRule>
  </conditionalFormatting>
  <conditionalFormatting sqref="C98">
    <cfRule type="expression" dxfId="217" priority="179">
      <formula>$A$98</formula>
    </cfRule>
  </conditionalFormatting>
  <conditionalFormatting sqref="C103">
    <cfRule type="expression" dxfId="216" priority="153">
      <formula>$A$103</formula>
    </cfRule>
  </conditionalFormatting>
  <conditionalFormatting sqref="C104">
    <cfRule type="expression" dxfId="215" priority="132">
      <formula>$A$104</formula>
    </cfRule>
  </conditionalFormatting>
  <conditionalFormatting sqref="C105">
    <cfRule type="expression" dxfId="214" priority="14">
      <formula>$A$105</formula>
    </cfRule>
  </conditionalFormatting>
  <conditionalFormatting sqref="C106">
    <cfRule type="expression" dxfId="213" priority="131">
      <formula>$A$106</formula>
    </cfRule>
  </conditionalFormatting>
  <conditionalFormatting sqref="C107">
    <cfRule type="expression" dxfId="212" priority="130">
      <formula>$A$107</formula>
    </cfRule>
  </conditionalFormatting>
  <conditionalFormatting sqref="C108">
    <cfRule type="expression" dxfId="211" priority="129">
      <formula>$A$108</formula>
    </cfRule>
  </conditionalFormatting>
  <conditionalFormatting sqref="C109">
    <cfRule type="expression" dxfId="210" priority="128">
      <formula>$A$109</formula>
    </cfRule>
  </conditionalFormatting>
  <conditionalFormatting sqref="C110">
    <cfRule type="expression" dxfId="209" priority="24">
      <formula>$A$110</formula>
    </cfRule>
  </conditionalFormatting>
  <conditionalFormatting sqref="C111">
    <cfRule type="expression" dxfId="208" priority="127">
      <formula>$A$111</formula>
    </cfRule>
  </conditionalFormatting>
  <conditionalFormatting sqref="C112">
    <cfRule type="expression" dxfId="207" priority="126">
      <formula>$A$112</formula>
    </cfRule>
  </conditionalFormatting>
  <conditionalFormatting sqref="C113">
    <cfRule type="expression" dxfId="206" priority="171">
      <formula>$A$113</formula>
    </cfRule>
  </conditionalFormatting>
  <conditionalFormatting sqref="C114">
    <cfRule type="expression" dxfId="205" priority="20">
      <formula>$A$114</formula>
    </cfRule>
  </conditionalFormatting>
  <conditionalFormatting sqref="C115">
    <cfRule type="expression" dxfId="204" priority="19">
      <formula>$A$115</formula>
    </cfRule>
  </conditionalFormatting>
  <conditionalFormatting sqref="C116">
    <cfRule type="expression" dxfId="203" priority="18">
      <formula>$A$116</formula>
    </cfRule>
  </conditionalFormatting>
  <conditionalFormatting sqref="C117">
    <cfRule type="expression" dxfId="202" priority="177">
      <formula>$A$117</formula>
    </cfRule>
  </conditionalFormatting>
  <conditionalFormatting sqref="C118">
    <cfRule type="expression" dxfId="201" priority="176">
      <formula>$A$118</formula>
    </cfRule>
  </conditionalFormatting>
  <conditionalFormatting sqref="C119">
    <cfRule type="expression" dxfId="200" priority="175">
      <formula>$A$119</formula>
    </cfRule>
  </conditionalFormatting>
  <conditionalFormatting sqref="C121">
    <cfRule type="expression" dxfId="199" priority="174">
      <formula>$A$121</formula>
    </cfRule>
  </conditionalFormatting>
  <conditionalFormatting sqref="C126">
    <cfRule type="expression" dxfId="198" priority="75">
      <formula>$A$126</formula>
    </cfRule>
  </conditionalFormatting>
  <conditionalFormatting sqref="C128">
    <cfRule type="expression" dxfId="197" priority="73">
      <formula>$A$128</formula>
    </cfRule>
  </conditionalFormatting>
  <conditionalFormatting sqref="C129">
    <cfRule type="expression" dxfId="196" priority="74">
      <formula>$A$129</formula>
    </cfRule>
  </conditionalFormatting>
  <conditionalFormatting sqref="C130">
    <cfRule type="expression" dxfId="195" priority="72">
      <formula>$A$130</formula>
    </cfRule>
  </conditionalFormatting>
  <conditionalFormatting sqref="D9">
    <cfRule type="expression" dxfId="194" priority="178">
      <formula>$A9</formula>
    </cfRule>
  </conditionalFormatting>
  <conditionalFormatting sqref="D17">
    <cfRule type="expression" dxfId="193" priority="173">
      <formula>#REF!</formula>
    </cfRule>
    <cfRule type="expression" dxfId="192" priority="172">
      <formula>#REF!</formula>
    </cfRule>
  </conditionalFormatting>
  <conditionalFormatting sqref="D138">
    <cfRule type="expression" dxfId="191" priority="21">
      <formula>$A$138</formula>
    </cfRule>
  </conditionalFormatting>
  <conditionalFormatting sqref="D139">
    <cfRule type="expression" dxfId="190" priority="22">
      <formula>$A$139</formula>
    </cfRule>
  </conditionalFormatting>
  <conditionalFormatting sqref="D140">
    <cfRule type="expression" dxfId="189" priority="28">
      <formula>$A$140</formula>
    </cfRule>
  </conditionalFormatting>
  <conditionalFormatting sqref="D144">
    <cfRule type="expression" dxfId="188" priority="119">
      <formula>$A$144</formula>
    </cfRule>
  </conditionalFormatting>
  <conditionalFormatting sqref="D145">
    <cfRule type="expression" dxfId="187" priority="125">
      <formula>$A$145</formula>
    </cfRule>
  </conditionalFormatting>
  <conditionalFormatting sqref="D147">
    <cfRule type="expression" dxfId="186" priority="116">
      <formula>$A$147</formula>
    </cfRule>
  </conditionalFormatting>
  <conditionalFormatting sqref="D148">
    <cfRule type="expression" dxfId="185" priority="115">
      <formula>$A$148</formula>
    </cfRule>
  </conditionalFormatting>
  <conditionalFormatting sqref="D149">
    <cfRule type="expression" dxfId="184" priority="118">
      <formula>$A$149</formula>
    </cfRule>
  </conditionalFormatting>
  <conditionalFormatting sqref="D150">
    <cfRule type="expression" dxfId="183" priority="71">
      <formula>$A123</formula>
    </cfRule>
    <cfRule type="expression" dxfId="182" priority="114">
      <formula>$A$150</formula>
    </cfRule>
  </conditionalFormatting>
  <conditionalFormatting sqref="D151">
    <cfRule type="expression" dxfId="181" priority="113">
      <formula>$A$151</formula>
    </cfRule>
  </conditionalFormatting>
  <conditionalFormatting sqref="D152">
    <cfRule type="expression" dxfId="180" priority="112">
      <formula>$A$152</formula>
    </cfRule>
  </conditionalFormatting>
  <conditionalFormatting sqref="D153">
    <cfRule type="expression" dxfId="179" priority="111">
      <formula>$A$153</formula>
    </cfRule>
  </conditionalFormatting>
  <conditionalFormatting sqref="D154">
    <cfRule type="expression" dxfId="178" priority="110">
      <formula>$A$154</formula>
    </cfRule>
  </conditionalFormatting>
  <conditionalFormatting sqref="D155">
    <cfRule type="expression" dxfId="177" priority="120">
      <formula>$A$155</formula>
    </cfRule>
  </conditionalFormatting>
  <conditionalFormatting sqref="D156">
    <cfRule type="expression" dxfId="176" priority="121">
      <formula>$A$156</formula>
    </cfRule>
  </conditionalFormatting>
  <conditionalFormatting sqref="D157">
    <cfRule type="expression" dxfId="175" priority="122">
      <formula>$A$157</formula>
    </cfRule>
  </conditionalFormatting>
  <conditionalFormatting sqref="D158">
    <cfRule type="expression" dxfId="174" priority="123">
      <formula>$A$158</formula>
    </cfRule>
  </conditionalFormatting>
  <conditionalFormatting sqref="D159">
    <cfRule type="expression" dxfId="173" priority="124">
      <formula>$A$159</formula>
    </cfRule>
  </conditionalFormatting>
  <conditionalFormatting sqref="D160">
    <cfRule type="expression" dxfId="172" priority="109">
      <formula>$A$160</formula>
    </cfRule>
  </conditionalFormatting>
  <conditionalFormatting sqref="D161">
    <cfRule type="expression" dxfId="171" priority="108">
      <formula>$A$161</formula>
    </cfRule>
  </conditionalFormatting>
  <conditionalFormatting sqref="D162">
    <cfRule type="expression" dxfId="170" priority="107">
      <formula>$A$162</formula>
    </cfRule>
  </conditionalFormatting>
  <conditionalFormatting sqref="D163:D172">
    <cfRule type="expression" dxfId="169" priority="106">
      <formula>$A163</formula>
    </cfRule>
  </conditionalFormatting>
  <conditionalFormatting sqref="D174">
    <cfRule type="expression" dxfId="168" priority="60">
      <formula>$A$174</formula>
    </cfRule>
  </conditionalFormatting>
  <conditionalFormatting sqref="D175">
    <cfRule type="expression" dxfId="167" priority="59">
      <formula>$A$175</formula>
    </cfRule>
  </conditionalFormatting>
  <conditionalFormatting sqref="D176">
    <cfRule type="expression" dxfId="166" priority="58">
      <formula>$A$176</formula>
    </cfRule>
  </conditionalFormatting>
  <conditionalFormatting sqref="D177">
    <cfRule type="expression" dxfId="165" priority="70">
      <formula>$A$177</formula>
    </cfRule>
  </conditionalFormatting>
  <conditionalFormatting sqref="D178">
    <cfRule type="expression" dxfId="164" priority="69">
      <formula>$A$178</formula>
    </cfRule>
  </conditionalFormatting>
  <conditionalFormatting sqref="D179">
    <cfRule type="expression" dxfId="163" priority="68">
      <formula>$A$179</formula>
    </cfRule>
  </conditionalFormatting>
  <conditionalFormatting sqref="D180">
    <cfRule type="expression" dxfId="162" priority="67">
      <formula>$A$180</formula>
    </cfRule>
  </conditionalFormatting>
  <conditionalFormatting sqref="D181">
    <cfRule type="expression" dxfId="161" priority="66">
      <formula>$A$181</formula>
    </cfRule>
  </conditionalFormatting>
  <conditionalFormatting sqref="D182">
    <cfRule type="expression" dxfId="160" priority="65">
      <formula>$A$182</formula>
    </cfRule>
  </conditionalFormatting>
  <conditionalFormatting sqref="D183">
    <cfRule type="expression" dxfId="159" priority="64">
      <formula>$A$183</formula>
    </cfRule>
  </conditionalFormatting>
  <conditionalFormatting sqref="D184:D185">
    <cfRule type="expression" dxfId="158" priority="63">
      <formula>$A$184</formula>
    </cfRule>
  </conditionalFormatting>
  <conditionalFormatting sqref="D185">
    <cfRule type="expression" dxfId="157" priority="16">
      <formula>$A$185</formula>
    </cfRule>
  </conditionalFormatting>
  <conditionalFormatting sqref="D186">
    <cfRule type="expression" dxfId="156" priority="62">
      <formula>$A$186</formula>
    </cfRule>
  </conditionalFormatting>
  <conditionalFormatting sqref="D187">
    <cfRule type="expression" dxfId="155" priority="61">
      <formula>$A$187</formula>
    </cfRule>
  </conditionalFormatting>
  <conditionalFormatting sqref="D188">
    <cfRule type="expression" dxfId="154" priority="57">
      <formula>$A$188</formula>
    </cfRule>
  </conditionalFormatting>
  <conditionalFormatting sqref="D189">
    <cfRule type="expression" dxfId="153" priority="56">
      <formula>$A$189</formula>
    </cfRule>
  </conditionalFormatting>
  <conditionalFormatting sqref="D190">
    <cfRule type="expression" dxfId="152" priority="55">
      <formula>$A$190</formula>
    </cfRule>
  </conditionalFormatting>
  <conditionalFormatting sqref="D191">
    <cfRule type="expression" dxfId="151" priority="54">
      <formula>$A$191</formula>
    </cfRule>
  </conditionalFormatting>
  <conditionalFormatting sqref="D192">
    <cfRule type="expression" dxfId="150" priority="53">
      <formula>$A$192</formula>
    </cfRule>
  </conditionalFormatting>
  <conditionalFormatting sqref="D193">
    <cfRule type="expression" dxfId="149" priority="52">
      <formula>$A$193</formula>
    </cfRule>
  </conditionalFormatting>
  <conditionalFormatting sqref="D194">
    <cfRule type="expression" dxfId="148" priority="51">
      <formula>$A$194</formula>
    </cfRule>
  </conditionalFormatting>
  <conditionalFormatting sqref="D195">
    <cfRule type="expression" dxfId="147" priority="50">
      <formula>$A$195</formula>
    </cfRule>
  </conditionalFormatting>
  <conditionalFormatting sqref="D196">
    <cfRule type="cellIs" dxfId="146" priority="101" operator="greaterThan">
      <formula>55</formula>
    </cfRule>
    <cfRule type="cellIs" dxfId="145" priority="102" operator="lessThan">
      <formula>15</formula>
    </cfRule>
    <cfRule type="cellIs" dxfId="144" priority="104" operator="between">
      <formula>19</formula>
      <formula>45</formula>
    </cfRule>
  </conditionalFormatting>
  <conditionalFormatting sqref="D196:D197">
    <cfRule type="cellIs" dxfId="143" priority="30" operator="equal">
      <formula>0</formula>
    </cfRule>
  </conditionalFormatting>
  <conditionalFormatting sqref="D197">
    <cfRule type="cellIs" dxfId="142" priority="103" operator="between">
      <formula>36</formula>
      <formula>40</formula>
    </cfRule>
    <cfRule type="cellIs" dxfId="141" priority="100" operator="lessThan">
      <formula>36</formula>
    </cfRule>
    <cfRule type="cellIs" dxfId="140" priority="99" operator="greaterThan">
      <formula>40</formula>
    </cfRule>
  </conditionalFormatting>
  <conditionalFormatting sqref="D198">
    <cfRule type="expression" dxfId="139" priority="49">
      <formula>$A$198</formula>
    </cfRule>
  </conditionalFormatting>
  <conditionalFormatting sqref="D199">
    <cfRule type="expression" dxfId="138" priority="27">
      <formula>$A$199</formula>
    </cfRule>
  </conditionalFormatting>
  <conditionalFormatting sqref="D201">
    <cfRule type="expression" dxfId="137" priority="48">
      <formula>$A$201</formula>
    </cfRule>
  </conditionalFormatting>
  <conditionalFormatting sqref="D202">
    <cfRule type="expression" dxfId="136" priority="47">
      <formula>$A$202</formula>
    </cfRule>
  </conditionalFormatting>
  <conditionalFormatting sqref="D203">
    <cfRule type="expression" dxfId="135" priority="46">
      <formula>$A$203</formula>
    </cfRule>
  </conditionalFormatting>
  <conditionalFormatting sqref="D204">
    <cfRule type="expression" dxfId="134" priority="45">
      <formula>$A$204</formula>
    </cfRule>
  </conditionalFormatting>
  <conditionalFormatting sqref="D205">
    <cfRule type="expression" dxfId="133" priority="44">
      <formula>$A$205</formula>
    </cfRule>
  </conditionalFormatting>
  <conditionalFormatting sqref="D207">
    <cfRule type="expression" dxfId="132" priority="43">
      <formula>$A$207</formula>
    </cfRule>
  </conditionalFormatting>
  <conditionalFormatting sqref="D208">
    <cfRule type="expression" dxfId="131" priority="15">
      <formula>$A$208</formula>
    </cfRule>
  </conditionalFormatting>
  <conditionalFormatting sqref="D210">
    <cfRule type="expression" dxfId="130" priority="42">
      <formula>$A$210</formula>
    </cfRule>
  </conditionalFormatting>
  <conditionalFormatting sqref="D211">
    <cfRule type="expression" dxfId="129" priority="41">
      <formula>$A$211</formula>
    </cfRule>
  </conditionalFormatting>
  <conditionalFormatting sqref="D212">
    <cfRule type="expression" dxfId="128" priority="40">
      <formula>$A$212</formula>
    </cfRule>
  </conditionalFormatting>
  <conditionalFormatting sqref="D213">
    <cfRule type="expression" dxfId="127" priority="39">
      <formula>$A$213</formula>
    </cfRule>
  </conditionalFormatting>
  <conditionalFormatting sqref="D214">
    <cfRule type="expression" dxfId="126" priority="38">
      <formula>$A$214</formula>
    </cfRule>
  </conditionalFormatting>
  <conditionalFormatting sqref="D216">
    <cfRule type="expression" dxfId="125" priority="117">
      <formula>$A216</formula>
    </cfRule>
  </conditionalFormatting>
  <conditionalFormatting sqref="D217">
    <cfRule type="expression" dxfId="124" priority="89">
      <formula>$A$217</formula>
    </cfRule>
  </conditionalFormatting>
  <conditionalFormatting sqref="D218">
    <cfRule type="expression" dxfId="123" priority="37">
      <formula>$A$218</formula>
    </cfRule>
  </conditionalFormatting>
  <conditionalFormatting sqref="D219">
    <cfRule type="expression" dxfId="122" priority="36">
      <formula>$A$219</formula>
    </cfRule>
  </conditionalFormatting>
  <conditionalFormatting sqref="D220">
    <cfRule type="expression" dxfId="121" priority="35">
      <formula>$A$220</formula>
    </cfRule>
  </conditionalFormatting>
  <conditionalFormatting sqref="D221">
    <cfRule type="expression" dxfId="120" priority="34">
      <formula>$A$221</formula>
    </cfRule>
  </conditionalFormatting>
  <conditionalFormatting sqref="D222">
    <cfRule type="expression" dxfId="119" priority="33">
      <formula>$A$222</formula>
    </cfRule>
  </conditionalFormatting>
  <conditionalFormatting sqref="D223">
    <cfRule type="expression" dxfId="118" priority="32">
      <formula>$A$223</formula>
    </cfRule>
  </conditionalFormatting>
  <conditionalFormatting sqref="D224">
    <cfRule type="expression" dxfId="117" priority="31">
      <formula>$A$224</formula>
    </cfRule>
  </conditionalFormatting>
  <conditionalFormatting sqref="D228:D230">
    <cfRule type="expression" dxfId="116" priority="105">
      <formula>$A228</formula>
    </cfRule>
  </conditionalFormatting>
  <conditionalFormatting sqref="E82:J82">
    <cfRule type="cellIs" dxfId="115" priority="9" operator="between">
      <formula>1.9</formula>
      <formula>2.6</formula>
    </cfRule>
    <cfRule type="cellIs" dxfId="114" priority="8" operator="greaterThanOrEqual">
      <formula>2.7</formula>
    </cfRule>
  </conditionalFormatting>
  <conditionalFormatting sqref="G15:N15">
    <cfRule type="cellIs" dxfId="113" priority="169" operator="equal">
      <formula>"LATE"</formula>
    </cfRule>
    <cfRule type="cellIs" dxfId="112" priority="168" operator="equal">
      <formula>"ON TIME"</formula>
    </cfRule>
    <cfRule type="cellIs" dxfId="111" priority="170" operator="equal">
      <formula>"EARLY"</formula>
    </cfRule>
  </conditionalFormatting>
  <conditionalFormatting sqref="G91:N91">
    <cfRule type="cellIs" dxfId="110" priority="96" operator="equal">
      <formula>"ON TIME"</formula>
    </cfRule>
    <cfRule type="cellIs" dxfId="109" priority="97" operator="equal">
      <formula>"LATE"</formula>
    </cfRule>
    <cfRule type="cellIs" dxfId="108" priority="98" operator="equal">
      <formula>"EARLY"</formula>
    </cfRule>
  </conditionalFormatting>
  <conditionalFormatting sqref="G131:N131">
    <cfRule type="cellIs" dxfId="107" priority="167" operator="equal">
      <formula>"EARLY"</formula>
    </cfRule>
    <cfRule type="cellIs" dxfId="106" priority="166" operator="equal">
      <formula>"LATE"</formula>
    </cfRule>
    <cfRule type="cellIs" dxfId="105" priority="165" operator="equal">
      <formula>"ON TIME"</formula>
    </cfRule>
  </conditionalFormatting>
  <conditionalFormatting sqref="G134:N134">
    <cfRule type="cellIs" dxfId="104" priority="93" operator="equal">
      <formula>"ON TIME"</formula>
    </cfRule>
    <cfRule type="cellIs" dxfId="103" priority="94" operator="equal">
      <formula>"LATE"</formula>
    </cfRule>
    <cfRule type="cellIs" dxfId="102" priority="95" operator="equal">
      <formula>"EARLY"</formula>
    </cfRule>
  </conditionalFormatting>
  <conditionalFormatting sqref="G225:N225">
    <cfRule type="cellIs" dxfId="101" priority="90" operator="equal">
      <formula>"ON TIME"</formula>
    </cfRule>
    <cfRule type="cellIs" dxfId="100" priority="91" operator="equal">
      <formula>"LATE"</formula>
    </cfRule>
    <cfRule type="cellIs" dxfId="99" priority="92" operator="equal">
      <formula>"EARLY"</formula>
    </cfRule>
  </conditionalFormatting>
  <conditionalFormatting sqref="I226">
    <cfRule type="expression" dxfId="98" priority="23">
      <formula>$A226</formula>
    </cfRule>
  </conditionalFormatting>
  <conditionalFormatting sqref="I89:N89">
    <cfRule type="cellIs" dxfId="97" priority="7" operator="lessThanOrEqual">
      <formula>0.0416666666666667</formula>
    </cfRule>
    <cfRule type="cellIs" dxfId="96" priority="6" operator="greaterThan">
      <formula>0.0416666666666667</formula>
    </cfRule>
  </conditionalFormatting>
  <conditionalFormatting sqref="I132:N132">
    <cfRule type="cellIs" dxfId="95" priority="5" operator="lessThanOrEqual">
      <formula>0.0416666666666667</formula>
    </cfRule>
    <cfRule type="cellIs" dxfId="94" priority="4" operator="greaterThan">
      <formula>0.0416666666666667</formula>
    </cfRule>
  </conditionalFormatting>
  <conditionalFormatting sqref="I136:N136">
    <cfRule type="cellIs" dxfId="93" priority="3" operator="lessThanOrEqual">
      <formula>0.0833333333333333</formula>
    </cfRule>
    <cfRule type="cellIs" dxfId="92" priority="2" operator="greaterThan">
      <formula>0.0833333333333333</formula>
    </cfRule>
  </conditionalFormatting>
  <conditionalFormatting sqref="O9">
    <cfRule type="expression" dxfId="91" priority="163">
      <formula>$A$9</formula>
    </cfRule>
  </conditionalFormatting>
  <conditionalFormatting sqref="O72">
    <cfRule type="expression" dxfId="90" priority="162">
      <formula>$A$72</formula>
    </cfRule>
  </conditionalFormatting>
  <conditionalFormatting sqref="O85 O96 O126 O223:O226">
    <cfRule type="expression" dxfId="89" priority="164">
      <formula>$A$85</formula>
    </cfRule>
  </conditionalFormatting>
  <conditionalFormatting sqref="O87">
    <cfRule type="expression" dxfId="88" priority="156">
      <formula>$A$85</formula>
    </cfRule>
  </conditionalFormatting>
  <conditionalFormatting sqref="O93:O94">
    <cfRule type="expression" dxfId="87" priority="161">
      <formula>$A$85</formula>
    </cfRule>
  </conditionalFormatting>
  <conditionalFormatting sqref="O95">
    <cfRule type="expression" dxfId="86" priority="154">
      <formula>$A$72</formula>
    </cfRule>
  </conditionalFormatting>
  <conditionalFormatting sqref="O108">
    <cfRule type="expression" dxfId="85" priority="155">
      <formula>$A$85</formula>
    </cfRule>
  </conditionalFormatting>
  <conditionalFormatting sqref="O114:O119">
    <cfRule type="expression" dxfId="84" priority="158">
      <formula>$A$85</formula>
    </cfRule>
  </conditionalFormatting>
  <conditionalFormatting sqref="O121">
    <cfRule type="expression" dxfId="83" priority="157">
      <formula>$A$85</formula>
    </cfRule>
  </conditionalFormatting>
  <dataValidations count="5">
    <dataValidation type="list" allowBlank="1" showInputMessage="1" showErrorMessage="1" sqref="F251 H250 J250 L250" xr:uid="{08056355-D141-4BB1-BB98-5D2AC4A4DA0C}">
      <formula1>"YES, NO"</formula1>
    </dataValidation>
    <dataValidation type="list" allowBlank="1" showInputMessage="1" showErrorMessage="1" sqref="I75 L75 F75 F207:F208 F210:F214 H251" xr:uid="{A58725D5-F751-4029-BCA9-7DB7E7EC3770}">
      <formula1>"Y, N"</formula1>
    </dataValidation>
    <dataValidation type="list" showInputMessage="1" showErrorMessage="1" sqref="E127 E227 E140" xr:uid="{22AAF0C4-45F8-4F1F-BA79-C42717FE0F35}">
      <formula1>$Q$1:$Q$10</formula1>
    </dataValidation>
    <dataValidation showInputMessage="1" showErrorMessage="1" sqref="D128:D130 N4 L4 J4 F4 F145 D4" xr:uid="{4BA1F0E5-737A-4FB1-96AD-ED2A05693CF9}"/>
    <dataValidation type="list" allowBlank="1" showInputMessage="1" showErrorMessage="1" sqref="D237" xr:uid="{207C0ED7-1503-4B9E-BECE-0574C2188ABD}">
      <formula1>"M Shurmer, A Mustoe, G Self"</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7505" r:id="rId3" name="Check Box 1">
              <controlPr defaultSize="0" autoFill="0" autoLine="0" autoPict="0">
                <anchor moveWithCells="1">
                  <from>
                    <xdr:col>2</xdr:col>
                    <xdr:colOff>523875</xdr:colOff>
                    <xdr:row>17</xdr:row>
                    <xdr:rowOff>0</xdr:rowOff>
                  </from>
                  <to>
                    <xdr:col>2</xdr:col>
                    <xdr:colOff>914400</xdr:colOff>
                    <xdr:row>18</xdr:row>
                    <xdr:rowOff>85725</xdr:rowOff>
                  </to>
                </anchor>
              </controlPr>
            </control>
          </mc:Choice>
        </mc:AlternateContent>
        <mc:AlternateContent xmlns:mc="http://schemas.openxmlformats.org/markup-compatibility/2006">
          <mc:Choice Requires="x14">
            <control shapeId="277506" r:id="rId4" name="Check Box 2">
              <controlPr defaultSize="0" autoFill="0" autoLine="0" autoPict="0">
                <anchor moveWithCells="1">
                  <from>
                    <xdr:col>2</xdr:col>
                    <xdr:colOff>523875</xdr:colOff>
                    <xdr:row>17</xdr:row>
                    <xdr:rowOff>190500</xdr:rowOff>
                  </from>
                  <to>
                    <xdr:col>2</xdr:col>
                    <xdr:colOff>914400</xdr:colOff>
                    <xdr:row>19</xdr:row>
                    <xdr:rowOff>38100</xdr:rowOff>
                  </to>
                </anchor>
              </controlPr>
            </control>
          </mc:Choice>
        </mc:AlternateContent>
        <mc:AlternateContent xmlns:mc="http://schemas.openxmlformats.org/markup-compatibility/2006">
          <mc:Choice Requires="x14">
            <control shapeId="277507" r:id="rId5" name="Check Box 3">
              <controlPr defaultSize="0" autoFill="0" autoLine="0" autoPict="0">
                <anchor moveWithCells="1">
                  <from>
                    <xdr:col>2</xdr:col>
                    <xdr:colOff>533400</xdr:colOff>
                    <xdr:row>68</xdr:row>
                    <xdr:rowOff>0</xdr:rowOff>
                  </from>
                  <to>
                    <xdr:col>2</xdr:col>
                    <xdr:colOff>914400</xdr:colOff>
                    <xdr:row>69</xdr:row>
                    <xdr:rowOff>38100</xdr:rowOff>
                  </to>
                </anchor>
              </controlPr>
            </control>
          </mc:Choice>
        </mc:AlternateContent>
        <mc:AlternateContent xmlns:mc="http://schemas.openxmlformats.org/markup-compatibility/2006">
          <mc:Choice Requires="x14">
            <control shapeId="277508" r:id="rId6" name="Check Box 4">
              <controlPr defaultSize="0" autoFill="0" autoLine="0" autoPict="0">
                <anchor moveWithCells="1">
                  <from>
                    <xdr:col>2</xdr:col>
                    <xdr:colOff>523875</xdr:colOff>
                    <xdr:row>62</xdr:row>
                    <xdr:rowOff>190500</xdr:rowOff>
                  </from>
                  <to>
                    <xdr:col>2</xdr:col>
                    <xdr:colOff>914400</xdr:colOff>
                    <xdr:row>64</xdr:row>
                    <xdr:rowOff>47625</xdr:rowOff>
                  </to>
                </anchor>
              </controlPr>
            </control>
          </mc:Choice>
        </mc:AlternateContent>
        <mc:AlternateContent xmlns:mc="http://schemas.openxmlformats.org/markup-compatibility/2006">
          <mc:Choice Requires="x14">
            <control shapeId="277509" r:id="rId7" name="Check Box 5">
              <controlPr locked="0" defaultSize="0" autoFill="0" autoLine="0" autoPict="0">
                <anchor moveWithCells="1">
                  <from>
                    <xdr:col>2</xdr:col>
                    <xdr:colOff>533400</xdr:colOff>
                    <xdr:row>23</xdr:row>
                    <xdr:rowOff>161925</xdr:rowOff>
                  </from>
                  <to>
                    <xdr:col>2</xdr:col>
                    <xdr:colOff>942975</xdr:colOff>
                    <xdr:row>25</xdr:row>
                    <xdr:rowOff>66675</xdr:rowOff>
                  </to>
                </anchor>
              </controlPr>
            </control>
          </mc:Choice>
        </mc:AlternateContent>
        <mc:AlternateContent xmlns:mc="http://schemas.openxmlformats.org/markup-compatibility/2006">
          <mc:Choice Requires="x14">
            <control shapeId="277510" r:id="rId8" name="Check Box 6">
              <controlPr defaultSize="0" autoFill="0" autoLine="0" autoPict="0">
                <anchor moveWithCells="1">
                  <from>
                    <xdr:col>2</xdr:col>
                    <xdr:colOff>533400</xdr:colOff>
                    <xdr:row>25</xdr:row>
                    <xdr:rowOff>152400</xdr:rowOff>
                  </from>
                  <to>
                    <xdr:col>2</xdr:col>
                    <xdr:colOff>1019175</xdr:colOff>
                    <xdr:row>27</xdr:row>
                    <xdr:rowOff>114300</xdr:rowOff>
                  </to>
                </anchor>
              </controlPr>
            </control>
          </mc:Choice>
        </mc:AlternateContent>
        <mc:AlternateContent xmlns:mc="http://schemas.openxmlformats.org/markup-compatibility/2006">
          <mc:Choice Requires="x14">
            <control shapeId="277511" r:id="rId9" name="Check Box 7">
              <controlPr defaultSize="0" autoFill="0" autoLine="0" autoPict="0">
                <anchor moveWithCells="1">
                  <from>
                    <xdr:col>2</xdr:col>
                    <xdr:colOff>552450</xdr:colOff>
                    <xdr:row>93</xdr:row>
                    <xdr:rowOff>19050</xdr:rowOff>
                  </from>
                  <to>
                    <xdr:col>2</xdr:col>
                    <xdr:colOff>914400</xdr:colOff>
                    <xdr:row>94</xdr:row>
                    <xdr:rowOff>38100</xdr:rowOff>
                  </to>
                </anchor>
              </controlPr>
            </control>
          </mc:Choice>
        </mc:AlternateContent>
        <mc:AlternateContent xmlns:mc="http://schemas.openxmlformats.org/markup-compatibility/2006">
          <mc:Choice Requires="x14">
            <control shapeId="277512" r:id="rId10" name="Check Box 8">
              <controlPr locked="0" defaultSize="0" autoFill="0" autoLine="0" autoPict="0">
                <anchor moveWithCells="1">
                  <from>
                    <xdr:col>2</xdr:col>
                    <xdr:colOff>533400</xdr:colOff>
                    <xdr:row>55</xdr:row>
                    <xdr:rowOff>152400</xdr:rowOff>
                  </from>
                  <to>
                    <xdr:col>2</xdr:col>
                    <xdr:colOff>942975</xdr:colOff>
                    <xdr:row>57</xdr:row>
                    <xdr:rowOff>85725</xdr:rowOff>
                  </to>
                </anchor>
              </controlPr>
            </control>
          </mc:Choice>
        </mc:AlternateContent>
        <mc:AlternateContent xmlns:mc="http://schemas.openxmlformats.org/markup-compatibility/2006">
          <mc:Choice Requires="x14">
            <control shapeId="277513" r:id="rId11" name="Check Box 9">
              <controlPr locked="0" defaultSize="0" autoFill="0" autoLine="0" autoPict="0">
                <anchor moveWithCells="1">
                  <from>
                    <xdr:col>2</xdr:col>
                    <xdr:colOff>533400</xdr:colOff>
                    <xdr:row>38</xdr:row>
                    <xdr:rowOff>180975</xdr:rowOff>
                  </from>
                  <to>
                    <xdr:col>2</xdr:col>
                    <xdr:colOff>942975</xdr:colOff>
                    <xdr:row>40</xdr:row>
                    <xdr:rowOff>76200</xdr:rowOff>
                  </to>
                </anchor>
              </controlPr>
            </control>
          </mc:Choice>
        </mc:AlternateContent>
        <mc:AlternateContent xmlns:mc="http://schemas.openxmlformats.org/markup-compatibility/2006">
          <mc:Choice Requires="x14">
            <control shapeId="277514" r:id="rId12" name="Check Box 10">
              <controlPr locked="0" defaultSize="0" autoFill="0" autoLine="0" autoPict="0">
                <anchor moveWithCells="1">
                  <from>
                    <xdr:col>2</xdr:col>
                    <xdr:colOff>552450</xdr:colOff>
                    <xdr:row>74</xdr:row>
                    <xdr:rowOff>171450</xdr:rowOff>
                  </from>
                  <to>
                    <xdr:col>2</xdr:col>
                    <xdr:colOff>962025</xdr:colOff>
                    <xdr:row>76</xdr:row>
                    <xdr:rowOff>57150</xdr:rowOff>
                  </to>
                </anchor>
              </controlPr>
            </control>
          </mc:Choice>
        </mc:AlternateContent>
        <mc:AlternateContent xmlns:mc="http://schemas.openxmlformats.org/markup-compatibility/2006">
          <mc:Choice Requires="x14">
            <control shapeId="277515" r:id="rId13" name="Check Box 11">
              <controlPr defaultSize="0" autoFill="0" autoLine="0" autoPict="0">
                <anchor moveWithCells="1">
                  <from>
                    <xdr:col>2</xdr:col>
                    <xdr:colOff>533400</xdr:colOff>
                    <xdr:row>30</xdr:row>
                    <xdr:rowOff>190500</xdr:rowOff>
                  </from>
                  <to>
                    <xdr:col>2</xdr:col>
                    <xdr:colOff>1019175</xdr:colOff>
                    <xdr:row>32</xdr:row>
                    <xdr:rowOff>66675</xdr:rowOff>
                  </to>
                </anchor>
              </controlPr>
            </control>
          </mc:Choice>
        </mc:AlternateContent>
        <mc:AlternateContent xmlns:mc="http://schemas.openxmlformats.org/markup-compatibility/2006">
          <mc:Choice Requires="x14">
            <control shapeId="277516" r:id="rId14" name="Check Box 12">
              <controlPr defaultSize="0" autoFill="0" autoLine="0" autoPict="0">
                <anchor moveWithCells="1">
                  <from>
                    <xdr:col>2</xdr:col>
                    <xdr:colOff>533400</xdr:colOff>
                    <xdr:row>44</xdr:row>
                    <xdr:rowOff>171450</xdr:rowOff>
                  </from>
                  <to>
                    <xdr:col>2</xdr:col>
                    <xdr:colOff>1019175</xdr:colOff>
                    <xdr:row>46</xdr:row>
                    <xdr:rowOff>57150</xdr:rowOff>
                  </to>
                </anchor>
              </controlPr>
            </control>
          </mc:Choice>
        </mc:AlternateContent>
        <mc:AlternateContent xmlns:mc="http://schemas.openxmlformats.org/markup-compatibility/2006">
          <mc:Choice Requires="x14">
            <control shapeId="277517" r:id="rId15" name="Check Box 13">
              <controlPr defaultSize="0" autoFill="0" autoLine="0" autoPict="0">
                <anchor moveWithCells="1">
                  <from>
                    <xdr:col>2</xdr:col>
                    <xdr:colOff>552450</xdr:colOff>
                    <xdr:row>69</xdr:row>
                    <xdr:rowOff>247650</xdr:rowOff>
                  </from>
                  <to>
                    <xdr:col>2</xdr:col>
                    <xdr:colOff>1038225</xdr:colOff>
                    <xdr:row>71</xdr:row>
                    <xdr:rowOff>66675</xdr:rowOff>
                  </to>
                </anchor>
              </controlPr>
            </control>
          </mc:Choice>
        </mc:AlternateContent>
        <mc:AlternateContent xmlns:mc="http://schemas.openxmlformats.org/markup-compatibility/2006">
          <mc:Choice Requires="x14">
            <control shapeId="277518" r:id="rId16" name="Check Box 14">
              <controlPr defaultSize="0" autoFill="0" autoLine="0" autoPict="0">
                <anchor moveWithCells="1">
                  <from>
                    <xdr:col>2</xdr:col>
                    <xdr:colOff>552450</xdr:colOff>
                    <xdr:row>102</xdr:row>
                    <xdr:rowOff>19050</xdr:rowOff>
                  </from>
                  <to>
                    <xdr:col>2</xdr:col>
                    <xdr:colOff>914400</xdr:colOff>
                    <xdr:row>103</xdr:row>
                    <xdr:rowOff>38100</xdr:rowOff>
                  </to>
                </anchor>
              </controlPr>
            </control>
          </mc:Choice>
        </mc:AlternateContent>
        <mc:AlternateContent xmlns:mc="http://schemas.openxmlformats.org/markup-compatibility/2006">
          <mc:Choice Requires="x14">
            <control shapeId="277519" r:id="rId17" name="Check Box 15">
              <controlPr defaultSize="0" autoFill="0" autoLine="0" autoPict="0">
                <anchor moveWithCells="1">
                  <from>
                    <xdr:col>2</xdr:col>
                    <xdr:colOff>552450</xdr:colOff>
                    <xdr:row>107</xdr:row>
                    <xdr:rowOff>19050</xdr:rowOff>
                  </from>
                  <to>
                    <xdr:col>2</xdr:col>
                    <xdr:colOff>914400</xdr:colOff>
                    <xdr:row>108</xdr:row>
                    <xdr:rowOff>38100</xdr:rowOff>
                  </to>
                </anchor>
              </controlPr>
            </control>
          </mc:Choice>
        </mc:AlternateContent>
        <mc:AlternateContent xmlns:mc="http://schemas.openxmlformats.org/markup-compatibility/2006">
          <mc:Choice Requires="x14">
            <control shapeId="277520" r:id="rId18" name="Check Box 16">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521" r:id="rId19" name="Check Box 17">
              <controlPr defaultSize="0" autoFill="0" autoLine="0" autoPict="0">
                <anchor moveWithCells="1">
                  <from>
                    <xdr:col>2</xdr:col>
                    <xdr:colOff>552450</xdr:colOff>
                    <xdr:row>108</xdr:row>
                    <xdr:rowOff>19050</xdr:rowOff>
                  </from>
                  <to>
                    <xdr:col>2</xdr:col>
                    <xdr:colOff>914400</xdr:colOff>
                    <xdr:row>109</xdr:row>
                    <xdr:rowOff>38100</xdr:rowOff>
                  </to>
                </anchor>
              </controlPr>
            </control>
          </mc:Choice>
        </mc:AlternateContent>
        <mc:AlternateContent xmlns:mc="http://schemas.openxmlformats.org/markup-compatibility/2006">
          <mc:Choice Requires="x14">
            <control shapeId="277522" r:id="rId20" name="Check Box 18">
              <controlPr defaultSize="0" autoFill="0" autoLine="0" autoPict="0">
                <anchor moveWithCells="1">
                  <from>
                    <xdr:col>2</xdr:col>
                    <xdr:colOff>552450</xdr:colOff>
                    <xdr:row>109</xdr:row>
                    <xdr:rowOff>28575</xdr:rowOff>
                  </from>
                  <to>
                    <xdr:col>2</xdr:col>
                    <xdr:colOff>914400</xdr:colOff>
                    <xdr:row>110</xdr:row>
                    <xdr:rowOff>38100</xdr:rowOff>
                  </to>
                </anchor>
              </controlPr>
            </control>
          </mc:Choice>
        </mc:AlternateContent>
        <mc:AlternateContent xmlns:mc="http://schemas.openxmlformats.org/markup-compatibility/2006">
          <mc:Choice Requires="x14">
            <control shapeId="277523" r:id="rId21" name="Check Box 19">
              <controlPr defaultSize="0" autoFill="0" autoLine="0" autoPict="0">
                <anchor moveWithCells="1">
                  <from>
                    <xdr:col>2</xdr:col>
                    <xdr:colOff>552450</xdr:colOff>
                    <xdr:row>106</xdr:row>
                    <xdr:rowOff>19050</xdr:rowOff>
                  </from>
                  <to>
                    <xdr:col>2</xdr:col>
                    <xdr:colOff>914400</xdr:colOff>
                    <xdr:row>107</xdr:row>
                    <xdr:rowOff>38100</xdr:rowOff>
                  </to>
                </anchor>
              </controlPr>
            </control>
          </mc:Choice>
        </mc:AlternateContent>
        <mc:AlternateContent xmlns:mc="http://schemas.openxmlformats.org/markup-compatibility/2006">
          <mc:Choice Requires="x14">
            <control shapeId="277524" r:id="rId22" name="Check Box 20">
              <controlPr defaultSize="0" autoFill="0" autoLine="0" autoPict="0">
                <anchor moveWithCells="1">
                  <from>
                    <xdr:col>2</xdr:col>
                    <xdr:colOff>552450</xdr:colOff>
                    <xdr:row>113</xdr:row>
                    <xdr:rowOff>19050</xdr:rowOff>
                  </from>
                  <to>
                    <xdr:col>2</xdr:col>
                    <xdr:colOff>914400</xdr:colOff>
                    <xdr:row>114</xdr:row>
                    <xdr:rowOff>38100</xdr:rowOff>
                  </to>
                </anchor>
              </controlPr>
            </control>
          </mc:Choice>
        </mc:AlternateContent>
        <mc:AlternateContent xmlns:mc="http://schemas.openxmlformats.org/markup-compatibility/2006">
          <mc:Choice Requires="x14">
            <control shapeId="277525" r:id="rId23" name="Check Box 21">
              <controlPr defaultSize="0" autoFill="0" autoLine="0" autoPict="0">
                <anchor moveWithCells="1">
                  <from>
                    <xdr:col>2</xdr:col>
                    <xdr:colOff>552450</xdr:colOff>
                    <xdr:row>116</xdr:row>
                    <xdr:rowOff>28575</xdr:rowOff>
                  </from>
                  <to>
                    <xdr:col>2</xdr:col>
                    <xdr:colOff>914400</xdr:colOff>
                    <xdr:row>117</xdr:row>
                    <xdr:rowOff>38100</xdr:rowOff>
                  </to>
                </anchor>
              </controlPr>
            </control>
          </mc:Choice>
        </mc:AlternateContent>
        <mc:AlternateContent xmlns:mc="http://schemas.openxmlformats.org/markup-compatibility/2006">
          <mc:Choice Requires="x14">
            <control shapeId="277526" r:id="rId24" name="Check Box 22">
              <controlPr defaultSize="0" autoFill="0" autoLine="0" autoPict="0">
                <anchor moveWithCells="1">
                  <from>
                    <xdr:col>2</xdr:col>
                    <xdr:colOff>552450</xdr:colOff>
                    <xdr:row>117</xdr:row>
                    <xdr:rowOff>28575</xdr:rowOff>
                  </from>
                  <to>
                    <xdr:col>2</xdr:col>
                    <xdr:colOff>914400</xdr:colOff>
                    <xdr:row>118</xdr:row>
                    <xdr:rowOff>38100</xdr:rowOff>
                  </to>
                </anchor>
              </controlPr>
            </control>
          </mc:Choice>
        </mc:AlternateContent>
        <mc:AlternateContent xmlns:mc="http://schemas.openxmlformats.org/markup-compatibility/2006">
          <mc:Choice Requires="x14">
            <control shapeId="277527" r:id="rId25" name="Check Box 23">
              <controlPr defaultSize="0" autoFill="0" autoLine="0" autoPict="0">
                <anchor moveWithCells="1">
                  <from>
                    <xdr:col>2</xdr:col>
                    <xdr:colOff>552450</xdr:colOff>
                    <xdr:row>118</xdr:row>
                    <xdr:rowOff>28575</xdr:rowOff>
                  </from>
                  <to>
                    <xdr:col>2</xdr:col>
                    <xdr:colOff>914400</xdr:colOff>
                    <xdr:row>119</xdr:row>
                    <xdr:rowOff>38100</xdr:rowOff>
                  </to>
                </anchor>
              </controlPr>
            </control>
          </mc:Choice>
        </mc:AlternateContent>
        <mc:AlternateContent xmlns:mc="http://schemas.openxmlformats.org/markup-compatibility/2006">
          <mc:Choice Requires="x14">
            <control shapeId="277528" r:id="rId26" name="Check Box 24">
              <controlPr defaultSize="0" autoFill="0" autoLine="0" autoPict="0">
                <anchor moveWithCells="1">
                  <from>
                    <xdr:col>2</xdr:col>
                    <xdr:colOff>561975</xdr:colOff>
                    <xdr:row>120</xdr:row>
                    <xdr:rowOff>9525</xdr:rowOff>
                  </from>
                  <to>
                    <xdr:col>2</xdr:col>
                    <xdr:colOff>942975</xdr:colOff>
                    <xdr:row>121</xdr:row>
                    <xdr:rowOff>28575</xdr:rowOff>
                  </to>
                </anchor>
              </controlPr>
            </control>
          </mc:Choice>
        </mc:AlternateContent>
        <mc:AlternateContent xmlns:mc="http://schemas.openxmlformats.org/markup-compatibility/2006">
          <mc:Choice Requires="x14">
            <control shapeId="277529" r:id="rId27" name="Check Box 25">
              <controlPr defaultSize="0" autoFill="0" autoLine="0" autoPict="0">
                <anchor moveWithCells="1">
                  <from>
                    <xdr:col>2</xdr:col>
                    <xdr:colOff>552450</xdr:colOff>
                    <xdr:row>92</xdr:row>
                    <xdr:rowOff>19050</xdr:rowOff>
                  </from>
                  <to>
                    <xdr:col>2</xdr:col>
                    <xdr:colOff>914400</xdr:colOff>
                    <xdr:row>93</xdr:row>
                    <xdr:rowOff>38100</xdr:rowOff>
                  </to>
                </anchor>
              </controlPr>
            </control>
          </mc:Choice>
        </mc:AlternateContent>
        <mc:AlternateContent xmlns:mc="http://schemas.openxmlformats.org/markup-compatibility/2006">
          <mc:Choice Requires="x14">
            <control shapeId="277530" r:id="rId28" name="Check Box 26">
              <controlPr defaultSize="0" autoFill="0" autoLine="0" autoPict="0">
                <anchor moveWithCells="1">
                  <from>
                    <xdr:col>2</xdr:col>
                    <xdr:colOff>533400</xdr:colOff>
                    <xdr:row>52</xdr:row>
                    <xdr:rowOff>161925</xdr:rowOff>
                  </from>
                  <to>
                    <xdr:col>2</xdr:col>
                    <xdr:colOff>923925</xdr:colOff>
                    <xdr:row>54</xdr:row>
                    <xdr:rowOff>76200</xdr:rowOff>
                  </to>
                </anchor>
              </controlPr>
            </control>
          </mc:Choice>
        </mc:AlternateContent>
        <mc:AlternateContent xmlns:mc="http://schemas.openxmlformats.org/markup-compatibility/2006">
          <mc:Choice Requires="x14">
            <control shapeId="277531" r:id="rId29" name="Check Box 27">
              <controlPr locked="0" defaultSize="0" autoFill="0" autoLine="0" autoPict="0">
                <anchor moveWithCells="1">
                  <from>
                    <xdr:col>2</xdr:col>
                    <xdr:colOff>552450</xdr:colOff>
                    <xdr:row>80</xdr:row>
                    <xdr:rowOff>238125</xdr:rowOff>
                  </from>
                  <to>
                    <xdr:col>2</xdr:col>
                    <xdr:colOff>962025</xdr:colOff>
                    <xdr:row>82</xdr:row>
                    <xdr:rowOff>66675</xdr:rowOff>
                  </to>
                </anchor>
              </controlPr>
            </control>
          </mc:Choice>
        </mc:AlternateContent>
        <mc:AlternateContent xmlns:mc="http://schemas.openxmlformats.org/markup-compatibility/2006">
          <mc:Choice Requires="x14">
            <control shapeId="277532" r:id="rId30" name="Check Box 28">
              <controlPr locked="0" defaultSize="0" autoFill="0" autoLine="0" autoPict="0">
                <anchor moveWithCells="1">
                  <from>
                    <xdr:col>2</xdr:col>
                    <xdr:colOff>552450</xdr:colOff>
                    <xdr:row>70</xdr:row>
                    <xdr:rowOff>180975</xdr:rowOff>
                  </from>
                  <to>
                    <xdr:col>2</xdr:col>
                    <xdr:colOff>962025</xdr:colOff>
                    <xdr:row>72</xdr:row>
                    <xdr:rowOff>76200</xdr:rowOff>
                  </to>
                </anchor>
              </controlPr>
            </control>
          </mc:Choice>
        </mc:AlternateContent>
        <mc:AlternateContent xmlns:mc="http://schemas.openxmlformats.org/markup-compatibility/2006">
          <mc:Choice Requires="x14">
            <control shapeId="277533" r:id="rId31" name="Check Box 29">
              <controlPr locked="0" defaultSize="0" autoFill="0" autoLine="0" autoPict="0">
                <anchor moveWithCells="1">
                  <from>
                    <xdr:col>2</xdr:col>
                    <xdr:colOff>552450</xdr:colOff>
                    <xdr:row>81</xdr:row>
                    <xdr:rowOff>180975</xdr:rowOff>
                  </from>
                  <to>
                    <xdr:col>2</xdr:col>
                    <xdr:colOff>962025</xdr:colOff>
                    <xdr:row>83</xdr:row>
                    <xdr:rowOff>76200</xdr:rowOff>
                  </to>
                </anchor>
              </controlPr>
            </control>
          </mc:Choice>
        </mc:AlternateContent>
        <mc:AlternateContent xmlns:mc="http://schemas.openxmlformats.org/markup-compatibility/2006">
          <mc:Choice Requires="x14">
            <control shapeId="277534" r:id="rId32" name="Check Box 30">
              <controlPr locked="0" defaultSize="0" autoFill="0" autoLine="0" autoPict="0">
                <anchor moveWithCells="1">
                  <from>
                    <xdr:col>2</xdr:col>
                    <xdr:colOff>561975</xdr:colOff>
                    <xdr:row>83</xdr:row>
                    <xdr:rowOff>0</xdr:rowOff>
                  </from>
                  <to>
                    <xdr:col>2</xdr:col>
                    <xdr:colOff>962025</xdr:colOff>
                    <xdr:row>84</xdr:row>
                    <xdr:rowOff>66675</xdr:rowOff>
                  </to>
                </anchor>
              </controlPr>
            </control>
          </mc:Choice>
        </mc:AlternateContent>
        <mc:AlternateContent xmlns:mc="http://schemas.openxmlformats.org/markup-compatibility/2006">
          <mc:Choice Requires="x14">
            <control shapeId="277535" r:id="rId33" name="Check Box 31">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36" r:id="rId34" name="Check Box 32">
              <controlPr defaultSize="0" autoFill="0" autoLine="0" autoPict="0">
                <anchor moveWithCells="1">
                  <from>
                    <xdr:col>2</xdr:col>
                    <xdr:colOff>542925</xdr:colOff>
                    <xdr:row>111</xdr:row>
                    <xdr:rowOff>9525</xdr:rowOff>
                  </from>
                  <to>
                    <xdr:col>2</xdr:col>
                    <xdr:colOff>904875</xdr:colOff>
                    <xdr:row>112</xdr:row>
                    <xdr:rowOff>28575</xdr:rowOff>
                  </to>
                </anchor>
              </controlPr>
            </control>
          </mc:Choice>
        </mc:AlternateContent>
        <mc:AlternateContent xmlns:mc="http://schemas.openxmlformats.org/markup-compatibility/2006">
          <mc:Choice Requires="x14">
            <control shapeId="277537" r:id="rId35" name="Check Box 33">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38" r:id="rId36" name="Check Box 34">
              <controlPr defaultSize="0" autoFill="0" autoLine="0" autoPict="0">
                <anchor moveWithCells="1">
                  <from>
                    <xdr:col>2</xdr:col>
                    <xdr:colOff>561975</xdr:colOff>
                    <xdr:row>125</xdr:row>
                    <xdr:rowOff>9525</xdr:rowOff>
                  </from>
                  <to>
                    <xdr:col>2</xdr:col>
                    <xdr:colOff>942975</xdr:colOff>
                    <xdr:row>126</xdr:row>
                    <xdr:rowOff>57150</xdr:rowOff>
                  </to>
                </anchor>
              </controlPr>
            </control>
          </mc:Choice>
        </mc:AlternateContent>
        <mc:AlternateContent xmlns:mc="http://schemas.openxmlformats.org/markup-compatibility/2006">
          <mc:Choice Requires="x14">
            <control shapeId="277539" r:id="rId37" name="Check Box 35">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40" r:id="rId38" name="Check Box 36">
              <controlPr locked="0" defaultSize="0" autoFill="0" autoLine="0" autoPict="0">
                <anchor moveWithCells="1">
                  <from>
                    <xdr:col>2</xdr:col>
                    <xdr:colOff>561975</xdr:colOff>
                    <xdr:row>86</xdr:row>
                    <xdr:rowOff>0</xdr:rowOff>
                  </from>
                  <to>
                    <xdr:col>2</xdr:col>
                    <xdr:colOff>962025</xdr:colOff>
                    <xdr:row>87</xdr:row>
                    <xdr:rowOff>66675</xdr:rowOff>
                  </to>
                </anchor>
              </controlPr>
            </control>
          </mc:Choice>
        </mc:AlternateContent>
        <mc:AlternateContent xmlns:mc="http://schemas.openxmlformats.org/markup-compatibility/2006">
          <mc:Choice Requires="x14">
            <control shapeId="277541" r:id="rId39" name="Check Box 37">
              <controlPr defaultSize="0" autoFill="0" autoLine="0" autoPict="0">
                <anchor moveWithCells="1">
                  <from>
                    <xdr:col>2</xdr:col>
                    <xdr:colOff>533400</xdr:colOff>
                    <xdr:row>63</xdr:row>
                    <xdr:rowOff>180975</xdr:rowOff>
                  </from>
                  <to>
                    <xdr:col>2</xdr:col>
                    <xdr:colOff>923925</xdr:colOff>
                    <xdr:row>65</xdr:row>
                    <xdr:rowOff>47625</xdr:rowOff>
                  </to>
                </anchor>
              </controlPr>
            </control>
          </mc:Choice>
        </mc:AlternateContent>
        <mc:AlternateContent xmlns:mc="http://schemas.openxmlformats.org/markup-compatibility/2006">
          <mc:Choice Requires="x14">
            <control shapeId="277542" r:id="rId40" name="Check Box 38">
              <controlPr locked="0" defaultSize="0" autoFill="0" autoLine="0" autoPict="0">
                <anchor moveWithCells="1">
                  <from>
                    <xdr:col>2</xdr:col>
                    <xdr:colOff>552450</xdr:colOff>
                    <xdr:row>72</xdr:row>
                    <xdr:rowOff>180975</xdr:rowOff>
                  </from>
                  <to>
                    <xdr:col>2</xdr:col>
                    <xdr:colOff>962025</xdr:colOff>
                    <xdr:row>74</xdr:row>
                    <xdr:rowOff>76200</xdr:rowOff>
                  </to>
                </anchor>
              </controlPr>
            </control>
          </mc:Choice>
        </mc:AlternateContent>
        <mc:AlternateContent xmlns:mc="http://schemas.openxmlformats.org/markup-compatibility/2006">
          <mc:Choice Requires="x14">
            <control shapeId="277543" r:id="rId41" name="Check Box 39">
              <controlPr locked="0" defaultSize="0" autoFill="0" autoLine="0" autoPict="0">
                <anchor moveWithCells="1">
                  <from>
                    <xdr:col>2</xdr:col>
                    <xdr:colOff>552450</xdr:colOff>
                    <xdr:row>71</xdr:row>
                    <xdr:rowOff>180975</xdr:rowOff>
                  </from>
                  <to>
                    <xdr:col>2</xdr:col>
                    <xdr:colOff>962025</xdr:colOff>
                    <xdr:row>73</xdr:row>
                    <xdr:rowOff>76200</xdr:rowOff>
                  </to>
                </anchor>
              </controlPr>
            </control>
          </mc:Choice>
        </mc:AlternateContent>
        <mc:AlternateContent xmlns:mc="http://schemas.openxmlformats.org/markup-compatibility/2006">
          <mc:Choice Requires="x14">
            <control shapeId="277544" r:id="rId42" name="Check Box 40">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45" r:id="rId43" name="Check Box 41">
              <controlPr defaultSize="0" autoFill="0" autoLine="0" autoPict="0">
                <anchor moveWithCells="1">
                  <from>
                    <xdr:col>2</xdr:col>
                    <xdr:colOff>552450</xdr:colOff>
                    <xdr:row>112</xdr:row>
                    <xdr:rowOff>28575</xdr:rowOff>
                  </from>
                  <to>
                    <xdr:col>2</xdr:col>
                    <xdr:colOff>914400</xdr:colOff>
                    <xdr:row>113</xdr:row>
                    <xdr:rowOff>38100</xdr:rowOff>
                  </to>
                </anchor>
              </controlPr>
            </control>
          </mc:Choice>
        </mc:AlternateContent>
        <mc:AlternateContent xmlns:mc="http://schemas.openxmlformats.org/markup-compatibility/2006">
          <mc:Choice Requires="x14">
            <control shapeId="277546" r:id="rId44" name="Check Box 42">
              <controlPr defaultSize="0" autoFill="0" autoLine="0" autoPict="0">
                <anchor moveWithCells="1">
                  <from>
                    <xdr:col>2</xdr:col>
                    <xdr:colOff>552450</xdr:colOff>
                    <xdr:row>94</xdr:row>
                    <xdr:rowOff>19050</xdr:rowOff>
                  </from>
                  <to>
                    <xdr:col>2</xdr:col>
                    <xdr:colOff>914400</xdr:colOff>
                    <xdr:row>95</xdr:row>
                    <xdr:rowOff>38100</xdr:rowOff>
                  </to>
                </anchor>
              </controlPr>
            </control>
          </mc:Choice>
        </mc:AlternateContent>
        <mc:AlternateContent xmlns:mc="http://schemas.openxmlformats.org/markup-compatibility/2006">
          <mc:Choice Requires="x14">
            <control shapeId="277547" r:id="rId45" name="Check Box 43">
              <controlPr locked="0" defaultSize="0" autoFill="0" autoLine="0" autoPict="0">
                <anchor moveWithCells="1">
                  <from>
                    <xdr:col>2</xdr:col>
                    <xdr:colOff>552450</xdr:colOff>
                    <xdr:row>95</xdr:row>
                    <xdr:rowOff>238125</xdr:rowOff>
                  </from>
                  <to>
                    <xdr:col>2</xdr:col>
                    <xdr:colOff>962025</xdr:colOff>
                    <xdr:row>97</xdr:row>
                    <xdr:rowOff>66675</xdr:rowOff>
                  </to>
                </anchor>
              </controlPr>
            </control>
          </mc:Choice>
        </mc:AlternateContent>
        <mc:AlternateContent xmlns:mc="http://schemas.openxmlformats.org/markup-compatibility/2006">
          <mc:Choice Requires="x14">
            <control shapeId="277548" r:id="rId46" name="Check Box 44">
              <controlPr locked="0" defaultSize="0" autoFill="0" autoLine="0" autoPict="0">
                <anchor moveWithCells="1">
                  <from>
                    <xdr:col>2</xdr:col>
                    <xdr:colOff>552450</xdr:colOff>
                    <xdr:row>96</xdr:row>
                    <xdr:rowOff>180975</xdr:rowOff>
                  </from>
                  <to>
                    <xdr:col>2</xdr:col>
                    <xdr:colOff>962025</xdr:colOff>
                    <xdr:row>98</xdr:row>
                    <xdr:rowOff>76200</xdr:rowOff>
                  </to>
                </anchor>
              </controlPr>
            </control>
          </mc:Choice>
        </mc:AlternateContent>
        <mc:AlternateContent xmlns:mc="http://schemas.openxmlformats.org/markup-compatibility/2006">
          <mc:Choice Requires="x14">
            <control shapeId="277549" r:id="rId47" name="Check Box 45">
              <controlPr defaultSize="0" autoFill="0" autoLine="0" autoPict="0">
                <anchor moveWithCells="1">
                  <from>
                    <xdr:col>3</xdr:col>
                    <xdr:colOff>1352550</xdr:colOff>
                    <xdr:row>144</xdr:row>
                    <xdr:rowOff>0</xdr:rowOff>
                  </from>
                  <to>
                    <xdr:col>3</xdr:col>
                    <xdr:colOff>1733550</xdr:colOff>
                    <xdr:row>145</xdr:row>
                    <xdr:rowOff>19050</xdr:rowOff>
                  </to>
                </anchor>
              </controlPr>
            </control>
          </mc:Choice>
        </mc:AlternateContent>
        <mc:AlternateContent xmlns:mc="http://schemas.openxmlformats.org/markup-compatibility/2006">
          <mc:Choice Requires="x14">
            <control shapeId="277551" r:id="rId48" name="Check Box 47">
              <controlPr defaultSize="0" autoFill="0" autoLine="0" autoPict="0">
                <anchor moveWithCells="1">
                  <from>
                    <xdr:col>3</xdr:col>
                    <xdr:colOff>1352550</xdr:colOff>
                    <xdr:row>147</xdr:row>
                    <xdr:rowOff>0</xdr:rowOff>
                  </from>
                  <to>
                    <xdr:col>3</xdr:col>
                    <xdr:colOff>1733550</xdr:colOff>
                    <xdr:row>148</xdr:row>
                    <xdr:rowOff>19050</xdr:rowOff>
                  </to>
                </anchor>
              </controlPr>
            </control>
          </mc:Choice>
        </mc:AlternateContent>
        <mc:AlternateContent xmlns:mc="http://schemas.openxmlformats.org/markup-compatibility/2006">
          <mc:Choice Requires="x14">
            <control shapeId="277552" r:id="rId49" name="Check Box 48">
              <controlPr defaultSize="0" autoFill="0" autoLine="0" autoPict="0">
                <anchor moveWithCells="1">
                  <from>
                    <xdr:col>3</xdr:col>
                    <xdr:colOff>1352550</xdr:colOff>
                    <xdr:row>148</xdr:row>
                    <xdr:rowOff>0</xdr:rowOff>
                  </from>
                  <to>
                    <xdr:col>3</xdr:col>
                    <xdr:colOff>1733550</xdr:colOff>
                    <xdr:row>149</xdr:row>
                    <xdr:rowOff>19050</xdr:rowOff>
                  </to>
                </anchor>
              </controlPr>
            </control>
          </mc:Choice>
        </mc:AlternateContent>
        <mc:AlternateContent xmlns:mc="http://schemas.openxmlformats.org/markup-compatibility/2006">
          <mc:Choice Requires="x14">
            <control shapeId="277553" r:id="rId50" name="Check Box 49">
              <controlPr defaultSize="0" autoFill="0" autoLine="0" autoPict="0">
                <anchor moveWithCells="1">
                  <from>
                    <xdr:col>3</xdr:col>
                    <xdr:colOff>1352550</xdr:colOff>
                    <xdr:row>149</xdr:row>
                    <xdr:rowOff>0</xdr:rowOff>
                  </from>
                  <to>
                    <xdr:col>3</xdr:col>
                    <xdr:colOff>1733550</xdr:colOff>
                    <xdr:row>150</xdr:row>
                    <xdr:rowOff>19050</xdr:rowOff>
                  </to>
                </anchor>
              </controlPr>
            </control>
          </mc:Choice>
        </mc:AlternateContent>
        <mc:AlternateContent xmlns:mc="http://schemas.openxmlformats.org/markup-compatibility/2006">
          <mc:Choice Requires="x14">
            <control shapeId="277554" r:id="rId51" name="Check Box 50">
              <controlPr defaultSize="0" autoFill="0" autoLine="0" autoPict="0">
                <anchor moveWithCells="1">
                  <from>
                    <xdr:col>3</xdr:col>
                    <xdr:colOff>1352550</xdr:colOff>
                    <xdr:row>150</xdr:row>
                    <xdr:rowOff>0</xdr:rowOff>
                  </from>
                  <to>
                    <xdr:col>3</xdr:col>
                    <xdr:colOff>1733550</xdr:colOff>
                    <xdr:row>151</xdr:row>
                    <xdr:rowOff>19050</xdr:rowOff>
                  </to>
                </anchor>
              </controlPr>
            </control>
          </mc:Choice>
        </mc:AlternateContent>
        <mc:AlternateContent xmlns:mc="http://schemas.openxmlformats.org/markup-compatibility/2006">
          <mc:Choice Requires="x14">
            <control shapeId="277555" r:id="rId52" name="Check Box 51">
              <controlPr defaultSize="0" autoFill="0" autoLine="0" autoPict="0">
                <anchor moveWithCells="1">
                  <from>
                    <xdr:col>3</xdr:col>
                    <xdr:colOff>1352550</xdr:colOff>
                    <xdr:row>151</xdr:row>
                    <xdr:rowOff>0</xdr:rowOff>
                  </from>
                  <to>
                    <xdr:col>3</xdr:col>
                    <xdr:colOff>1733550</xdr:colOff>
                    <xdr:row>152</xdr:row>
                    <xdr:rowOff>19050</xdr:rowOff>
                  </to>
                </anchor>
              </controlPr>
            </control>
          </mc:Choice>
        </mc:AlternateContent>
        <mc:AlternateContent xmlns:mc="http://schemas.openxmlformats.org/markup-compatibility/2006">
          <mc:Choice Requires="x14">
            <control shapeId="277556" r:id="rId53" name="Check Box 52">
              <controlPr defaultSize="0" autoFill="0" autoLine="0" autoPict="0">
                <anchor moveWithCells="1">
                  <from>
                    <xdr:col>3</xdr:col>
                    <xdr:colOff>1352550</xdr:colOff>
                    <xdr:row>152</xdr:row>
                    <xdr:rowOff>0</xdr:rowOff>
                  </from>
                  <to>
                    <xdr:col>3</xdr:col>
                    <xdr:colOff>1733550</xdr:colOff>
                    <xdr:row>153</xdr:row>
                    <xdr:rowOff>19050</xdr:rowOff>
                  </to>
                </anchor>
              </controlPr>
            </control>
          </mc:Choice>
        </mc:AlternateContent>
        <mc:AlternateContent xmlns:mc="http://schemas.openxmlformats.org/markup-compatibility/2006">
          <mc:Choice Requires="x14">
            <control shapeId="277557" r:id="rId54" name="Check Box 53">
              <controlPr defaultSize="0" autoFill="0" autoLine="0" autoPict="0">
                <anchor moveWithCells="1">
                  <from>
                    <xdr:col>3</xdr:col>
                    <xdr:colOff>1352550</xdr:colOff>
                    <xdr:row>153</xdr:row>
                    <xdr:rowOff>0</xdr:rowOff>
                  </from>
                  <to>
                    <xdr:col>3</xdr:col>
                    <xdr:colOff>1733550</xdr:colOff>
                    <xdr:row>154</xdr:row>
                    <xdr:rowOff>19050</xdr:rowOff>
                  </to>
                </anchor>
              </controlPr>
            </control>
          </mc:Choice>
        </mc:AlternateContent>
        <mc:AlternateContent xmlns:mc="http://schemas.openxmlformats.org/markup-compatibility/2006">
          <mc:Choice Requires="x14">
            <control shapeId="277558" r:id="rId55" name="Check Box 54">
              <controlPr defaultSize="0" autoFill="0" autoLine="0" autoPict="0">
                <anchor moveWithCells="1">
                  <from>
                    <xdr:col>3</xdr:col>
                    <xdr:colOff>1352550</xdr:colOff>
                    <xdr:row>154</xdr:row>
                    <xdr:rowOff>0</xdr:rowOff>
                  </from>
                  <to>
                    <xdr:col>3</xdr:col>
                    <xdr:colOff>1733550</xdr:colOff>
                    <xdr:row>155</xdr:row>
                    <xdr:rowOff>19050</xdr:rowOff>
                  </to>
                </anchor>
              </controlPr>
            </control>
          </mc:Choice>
        </mc:AlternateContent>
        <mc:AlternateContent xmlns:mc="http://schemas.openxmlformats.org/markup-compatibility/2006">
          <mc:Choice Requires="x14">
            <control shapeId="277559" r:id="rId56" name="Check Box 55">
              <controlPr defaultSize="0" autoFill="0" autoLine="0" autoPict="0">
                <anchor moveWithCells="1">
                  <from>
                    <xdr:col>3</xdr:col>
                    <xdr:colOff>1352550</xdr:colOff>
                    <xdr:row>155</xdr:row>
                    <xdr:rowOff>0</xdr:rowOff>
                  </from>
                  <to>
                    <xdr:col>3</xdr:col>
                    <xdr:colOff>1733550</xdr:colOff>
                    <xdr:row>156</xdr:row>
                    <xdr:rowOff>19050</xdr:rowOff>
                  </to>
                </anchor>
              </controlPr>
            </control>
          </mc:Choice>
        </mc:AlternateContent>
        <mc:AlternateContent xmlns:mc="http://schemas.openxmlformats.org/markup-compatibility/2006">
          <mc:Choice Requires="x14">
            <control shapeId="277562" r:id="rId57" name="Check Box 58">
              <controlPr defaultSize="0" autoFill="0" autoLine="0" autoPict="0">
                <anchor moveWithCells="1">
                  <from>
                    <xdr:col>3</xdr:col>
                    <xdr:colOff>1352550</xdr:colOff>
                    <xdr:row>158</xdr:row>
                    <xdr:rowOff>0</xdr:rowOff>
                  </from>
                  <to>
                    <xdr:col>3</xdr:col>
                    <xdr:colOff>1733550</xdr:colOff>
                    <xdr:row>159</xdr:row>
                    <xdr:rowOff>19050</xdr:rowOff>
                  </to>
                </anchor>
              </controlPr>
            </control>
          </mc:Choice>
        </mc:AlternateContent>
        <mc:AlternateContent xmlns:mc="http://schemas.openxmlformats.org/markup-compatibility/2006">
          <mc:Choice Requires="x14">
            <control shapeId="277563" r:id="rId58" name="Check Box 59">
              <controlPr defaultSize="0" autoFill="0" autoLine="0" autoPict="0">
                <anchor moveWithCells="1">
                  <from>
                    <xdr:col>3</xdr:col>
                    <xdr:colOff>1352550</xdr:colOff>
                    <xdr:row>159</xdr:row>
                    <xdr:rowOff>0</xdr:rowOff>
                  </from>
                  <to>
                    <xdr:col>3</xdr:col>
                    <xdr:colOff>1733550</xdr:colOff>
                    <xdr:row>160</xdr:row>
                    <xdr:rowOff>19050</xdr:rowOff>
                  </to>
                </anchor>
              </controlPr>
            </control>
          </mc:Choice>
        </mc:AlternateContent>
        <mc:AlternateContent xmlns:mc="http://schemas.openxmlformats.org/markup-compatibility/2006">
          <mc:Choice Requires="x14">
            <control shapeId="277564" r:id="rId59" name="Check Box 60">
              <controlPr defaultSize="0" autoFill="0" autoLine="0" autoPict="0">
                <anchor moveWithCells="1">
                  <from>
                    <xdr:col>3</xdr:col>
                    <xdr:colOff>1352550</xdr:colOff>
                    <xdr:row>160</xdr:row>
                    <xdr:rowOff>0</xdr:rowOff>
                  </from>
                  <to>
                    <xdr:col>3</xdr:col>
                    <xdr:colOff>1733550</xdr:colOff>
                    <xdr:row>161</xdr:row>
                    <xdr:rowOff>19050</xdr:rowOff>
                  </to>
                </anchor>
              </controlPr>
            </control>
          </mc:Choice>
        </mc:AlternateContent>
        <mc:AlternateContent xmlns:mc="http://schemas.openxmlformats.org/markup-compatibility/2006">
          <mc:Choice Requires="x14">
            <control shapeId="277565" r:id="rId60" name="Check Box 61">
              <controlPr defaultSize="0" autoFill="0" autoLine="0" autoPict="0">
                <anchor moveWithCells="1">
                  <from>
                    <xdr:col>3</xdr:col>
                    <xdr:colOff>1352550</xdr:colOff>
                    <xdr:row>161</xdr:row>
                    <xdr:rowOff>0</xdr:rowOff>
                  </from>
                  <to>
                    <xdr:col>3</xdr:col>
                    <xdr:colOff>1733550</xdr:colOff>
                    <xdr:row>162</xdr:row>
                    <xdr:rowOff>19050</xdr:rowOff>
                  </to>
                </anchor>
              </controlPr>
            </control>
          </mc:Choice>
        </mc:AlternateContent>
        <mc:AlternateContent xmlns:mc="http://schemas.openxmlformats.org/markup-compatibility/2006">
          <mc:Choice Requires="x14">
            <control shapeId="277566" r:id="rId61" name="Check Box 62">
              <controlPr defaultSize="0" autoFill="0" autoLine="0" autoPict="0">
                <anchor moveWithCells="1">
                  <from>
                    <xdr:col>3</xdr:col>
                    <xdr:colOff>1352550</xdr:colOff>
                    <xdr:row>162</xdr:row>
                    <xdr:rowOff>0</xdr:rowOff>
                  </from>
                  <to>
                    <xdr:col>3</xdr:col>
                    <xdr:colOff>1733550</xdr:colOff>
                    <xdr:row>163</xdr:row>
                    <xdr:rowOff>19050</xdr:rowOff>
                  </to>
                </anchor>
              </controlPr>
            </control>
          </mc:Choice>
        </mc:AlternateContent>
        <mc:AlternateContent xmlns:mc="http://schemas.openxmlformats.org/markup-compatibility/2006">
          <mc:Choice Requires="x14">
            <control shapeId="277567" r:id="rId62" name="Check Box 63">
              <controlPr defaultSize="0" autoFill="0" autoLine="0" autoPict="0">
                <anchor moveWithCells="1">
                  <from>
                    <xdr:col>3</xdr:col>
                    <xdr:colOff>1352550</xdr:colOff>
                    <xdr:row>163</xdr:row>
                    <xdr:rowOff>0</xdr:rowOff>
                  </from>
                  <to>
                    <xdr:col>3</xdr:col>
                    <xdr:colOff>1733550</xdr:colOff>
                    <xdr:row>164</xdr:row>
                    <xdr:rowOff>19050</xdr:rowOff>
                  </to>
                </anchor>
              </controlPr>
            </control>
          </mc:Choice>
        </mc:AlternateContent>
        <mc:AlternateContent xmlns:mc="http://schemas.openxmlformats.org/markup-compatibility/2006">
          <mc:Choice Requires="x14">
            <control shapeId="277568" r:id="rId63" name="Check Box 64">
              <controlPr defaultSize="0" autoFill="0" autoLine="0" autoPict="0">
                <anchor moveWithCells="1">
                  <from>
                    <xdr:col>3</xdr:col>
                    <xdr:colOff>1352550</xdr:colOff>
                    <xdr:row>164</xdr:row>
                    <xdr:rowOff>0</xdr:rowOff>
                  </from>
                  <to>
                    <xdr:col>3</xdr:col>
                    <xdr:colOff>1733550</xdr:colOff>
                    <xdr:row>165</xdr:row>
                    <xdr:rowOff>19050</xdr:rowOff>
                  </to>
                </anchor>
              </controlPr>
            </control>
          </mc:Choice>
        </mc:AlternateContent>
        <mc:AlternateContent xmlns:mc="http://schemas.openxmlformats.org/markup-compatibility/2006">
          <mc:Choice Requires="x14">
            <control shapeId="277569" r:id="rId64" name="Check Box 65">
              <controlPr defaultSize="0" autoFill="0" autoLine="0" autoPict="0">
                <anchor moveWithCells="1">
                  <from>
                    <xdr:col>3</xdr:col>
                    <xdr:colOff>1352550</xdr:colOff>
                    <xdr:row>165</xdr:row>
                    <xdr:rowOff>0</xdr:rowOff>
                  </from>
                  <to>
                    <xdr:col>3</xdr:col>
                    <xdr:colOff>1733550</xdr:colOff>
                    <xdr:row>166</xdr:row>
                    <xdr:rowOff>19050</xdr:rowOff>
                  </to>
                </anchor>
              </controlPr>
            </control>
          </mc:Choice>
        </mc:AlternateContent>
        <mc:AlternateContent xmlns:mc="http://schemas.openxmlformats.org/markup-compatibility/2006">
          <mc:Choice Requires="x14">
            <control shapeId="277570" r:id="rId65" name="Check Box 66">
              <controlPr defaultSize="0" autoFill="0" autoLine="0" autoPict="0">
                <anchor moveWithCells="1">
                  <from>
                    <xdr:col>3</xdr:col>
                    <xdr:colOff>1352550</xdr:colOff>
                    <xdr:row>166</xdr:row>
                    <xdr:rowOff>0</xdr:rowOff>
                  </from>
                  <to>
                    <xdr:col>3</xdr:col>
                    <xdr:colOff>1733550</xdr:colOff>
                    <xdr:row>167</xdr:row>
                    <xdr:rowOff>19050</xdr:rowOff>
                  </to>
                </anchor>
              </controlPr>
            </control>
          </mc:Choice>
        </mc:AlternateContent>
        <mc:AlternateContent xmlns:mc="http://schemas.openxmlformats.org/markup-compatibility/2006">
          <mc:Choice Requires="x14">
            <control shapeId="277571" r:id="rId66" name="Check Box 67">
              <controlPr defaultSize="0" autoFill="0" autoLine="0" autoPict="0">
                <anchor moveWithCells="1">
                  <from>
                    <xdr:col>3</xdr:col>
                    <xdr:colOff>1352550</xdr:colOff>
                    <xdr:row>167</xdr:row>
                    <xdr:rowOff>0</xdr:rowOff>
                  </from>
                  <to>
                    <xdr:col>3</xdr:col>
                    <xdr:colOff>1733550</xdr:colOff>
                    <xdr:row>168</xdr:row>
                    <xdr:rowOff>19050</xdr:rowOff>
                  </to>
                </anchor>
              </controlPr>
            </control>
          </mc:Choice>
        </mc:AlternateContent>
        <mc:AlternateContent xmlns:mc="http://schemas.openxmlformats.org/markup-compatibility/2006">
          <mc:Choice Requires="x14">
            <control shapeId="277572" r:id="rId67" name="Check Box 68">
              <controlPr defaultSize="0" autoFill="0" autoLine="0" autoPict="0">
                <anchor moveWithCells="1">
                  <from>
                    <xdr:col>3</xdr:col>
                    <xdr:colOff>1352550</xdr:colOff>
                    <xdr:row>168</xdr:row>
                    <xdr:rowOff>0</xdr:rowOff>
                  </from>
                  <to>
                    <xdr:col>3</xdr:col>
                    <xdr:colOff>1733550</xdr:colOff>
                    <xdr:row>169</xdr:row>
                    <xdr:rowOff>19050</xdr:rowOff>
                  </to>
                </anchor>
              </controlPr>
            </control>
          </mc:Choice>
        </mc:AlternateContent>
        <mc:AlternateContent xmlns:mc="http://schemas.openxmlformats.org/markup-compatibility/2006">
          <mc:Choice Requires="x14">
            <control shapeId="277573" r:id="rId68" name="Check Box 69">
              <controlPr defaultSize="0" autoFill="0" autoLine="0" autoPict="0">
                <anchor moveWithCells="1">
                  <from>
                    <xdr:col>3</xdr:col>
                    <xdr:colOff>1352550</xdr:colOff>
                    <xdr:row>169</xdr:row>
                    <xdr:rowOff>0</xdr:rowOff>
                  </from>
                  <to>
                    <xdr:col>3</xdr:col>
                    <xdr:colOff>1733550</xdr:colOff>
                    <xdr:row>170</xdr:row>
                    <xdr:rowOff>19050</xdr:rowOff>
                  </to>
                </anchor>
              </controlPr>
            </control>
          </mc:Choice>
        </mc:AlternateContent>
        <mc:AlternateContent xmlns:mc="http://schemas.openxmlformats.org/markup-compatibility/2006">
          <mc:Choice Requires="x14">
            <control shapeId="277574" r:id="rId69" name="Check Box 70">
              <controlPr defaultSize="0" autoFill="0" autoLine="0" autoPict="0">
                <anchor moveWithCells="1">
                  <from>
                    <xdr:col>3</xdr:col>
                    <xdr:colOff>1352550</xdr:colOff>
                    <xdr:row>170</xdr:row>
                    <xdr:rowOff>0</xdr:rowOff>
                  </from>
                  <to>
                    <xdr:col>3</xdr:col>
                    <xdr:colOff>1733550</xdr:colOff>
                    <xdr:row>171</xdr:row>
                    <xdr:rowOff>19050</xdr:rowOff>
                  </to>
                </anchor>
              </controlPr>
            </control>
          </mc:Choice>
        </mc:AlternateContent>
        <mc:AlternateContent xmlns:mc="http://schemas.openxmlformats.org/markup-compatibility/2006">
          <mc:Choice Requires="x14">
            <control shapeId="277576" r:id="rId70" name="Check Box 72">
              <controlPr defaultSize="0" autoFill="0" autoLine="0" autoPict="0">
                <anchor moveWithCells="1">
                  <from>
                    <xdr:col>3</xdr:col>
                    <xdr:colOff>1352550</xdr:colOff>
                    <xdr:row>174</xdr:row>
                    <xdr:rowOff>0</xdr:rowOff>
                  </from>
                  <to>
                    <xdr:col>3</xdr:col>
                    <xdr:colOff>1733550</xdr:colOff>
                    <xdr:row>175</xdr:row>
                    <xdr:rowOff>19050</xdr:rowOff>
                  </to>
                </anchor>
              </controlPr>
            </control>
          </mc:Choice>
        </mc:AlternateContent>
        <mc:AlternateContent xmlns:mc="http://schemas.openxmlformats.org/markup-compatibility/2006">
          <mc:Choice Requires="x14">
            <control shapeId="277578" r:id="rId71" name="Check Box 74">
              <controlPr defaultSize="0" autoFill="0" autoLine="0" autoPict="0">
                <anchor moveWithCells="1">
                  <from>
                    <xdr:col>3</xdr:col>
                    <xdr:colOff>1352550</xdr:colOff>
                    <xdr:row>143</xdr:row>
                    <xdr:rowOff>0</xdr:rowOff>
                  </from>
                  <to>
                    <xdr:col>3</xdr:col>
                    <xdr:colOff>1733550</xdr:colOff>
                    <xdr:row>144</xdr:row>
                    <xdr:rowOff>19050</xdr:rowOff>
                  </to>
                </anchor>
              </controlPr>
            </control>
          </mc:Choice>
        </mc:AlternateContent>
        <mc:AlternateContent xmlns:mc="http://schemas.openxmlformats.org/markup-compatibility/2006">
          <mc:Choice Requires="x14">
            <control shapeId="277581" r:id="rId72" name="Check Box 77">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582" r:id="rId73" name="Check Box 78">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583" r:id="rId74" name="Check Box 79">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584" r:id="rId75" name="Check Box 80">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5" r:id="rId76" name="Check Box 8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6" r:id="rId77" name="Check Box 8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587" r:id="rId78" name="Check Box 8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588" r:id="rId79" name="Check Box 8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589" r:id="rId80" name="Check Box 8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590" r:id="rId81" name="Check Box 8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591" r:id="rId82" name="Check Box 8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592" r:id="rId83" name="Check Box 8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593" r:id="rId84" name="Check Box 8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594" r:id="rId85" name="Check Box 9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595" r:id="rId86" name="Check Box 91">
              <controlPr defaultSize="0" autoFill="0" autoLine="0" autoPict="0">
                <anchor moveWithCells="1">
                  <from>
                    <xdr:col>3</xdr:col>
                    <xdr:colOff>1352550</xdr:colOff>
                    <xdr:row>192</xdr:row>
                    <xdr:rowOff>0</xdr:rowOff>
                  </from>
                  <to>
                    <xdr:col>3</xdr:col>
                    <xdr:colOff>1733550</xdr:colOff>
                    <xdr:row>193</xdr:row>
                    <xdr:rowOff>19050</xdr:rowOff>
                  </to>
                </anchor>
              </controlPr>
            </control>
          </mc:Choice>
        </mc:AlternateContent>
        <mc:AlternateContent xmlns:mc="http://schemas.openxmlformats.org/markup-compatibility/2006">
          <mc:Choice Requires="x14">
            <control shapeId="277596" r:id="rId87" name="Check Box 92">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7" r:id="rId88" name="Check Box 93">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9" r:id="rId89" name="Check Box 95">
              <controlPr defaultSize="0" autoFill="0" autoLine="0" autoPict="0">
                <anchor moveWithCells="1">
                  <from>
                    <xdr:col>3</xdr:col>
                    <xdr:colOff>1352550</xdr:colOff>
                    <xdr:row>197</xdr:row>
                    <xdr:rowOff>0</xdr:rowOff>
                  </from>
                  <to>
                    <xdr:col>3</xdr:col>
                    <xdr:colOff>1733550</xdr:colOff>
                    <xdr:row>198</xdr:row>
                    <xdr:rowOff>19050</xdr:rowOff>
                  </to>
                </anchor>
              </controlPr>
            </control>
          </mc:Choice>
        </mc:AlternateContent>
        <mc:AlternateContent xmlns:mc="http://schemas.openxmlformats.org/markup-compatibility/2006">
          <mc:Choice Requires="x14">
            <control shapeId="277600" r:id="rId90" name="Check Box 96">
              <controlPr defaultSize="0" autoFill="0" autoLine="0" autoPict="0">
                <anchor moveWithCells="1">
                  <from>
                    <xdr:col>3</xdr:col>
                    <xdr:colOff>1352550</xdr:colOff>
                    <xdr:row>200</xdr:row>
                    <xdr:rowOff>0</xdr:rowOff>
                  </from>
                  <to>
                    <xdr:col>3</xdr:col>
                    <xdr:colOff>1733550</xdr:colOff>
                    <xdr:row>201</xdr:row>
                    <xdr:rowOff>19050</xdr:rowOff>
                  </to>
                </anchor>
              </controlPr>
            </control>
          </mc:Choice>
        </mc:AlternateContent>
        <mc:AlternateContent xmlns:mc="http://schemas.openxmlformats.org/markup-compatibility/2006">
          <mc:Choice Requires="x14">
            <control shapeId="277601" r:id="rId91" name="Check Box 97">
              <controlPr defaultSize="0" autoFill="0" autoLine="0" autoPict="0">
                <anchor moveWithCells="1">
                  <from>
                    <xdr:col>3</xdr:col>
                    <xdr:colOff>1352550</xdr:colOff>
                    <xdr:row>201</xdr:row>
                    <xdr:rowOff>0</xdr:rowOff>
                  </from>
                  <to>
                    <xdr:col>3</xdr:col>
                    <xdr:colOff>1733550</xdr:colOff>
                    <xdr:row>202</xdr:row>
                    <xdr:rowOff>19050</xdr:rowOff>
                  </to>
                </anchor>
              </controlPr>
            </control>
          </mc:Choice>
        </mc:AlternateContent>
        <mc:AlternateContent xmlns:mc="http://schemas.openxmlformats.org/markup-compatibility/2006">
          <mc:Choice Requires="x14">
            <control shapeId="277602" r:id="rId92" name="Check Box 98">
              <controlPr defaultSize="0" autoFill="0" autoLine="0" autoPict="0">
                <anchor moveWithCells="1">
                  <from>
                    <xdr:col>3</xdr:col>
                    <xdr:colOff>1352550</xdr:colOff>
                    <xdr:row>202</xdr:row>
                    <xdr:rowOff>0</xdr:rowOff>
                  </from>
                  <to>
                    <xdr:col>3</xdr:col>
                    <xdr:colOff>1733550</xdr:colOff>
                    <xdr:row>203</xdr:row>
                    <xdr:rowOff>19050</xdr:rowOff>
                  </to>
                </anchor>
              </controlPr>
            </control>
          </mc:Choice>
        </mc:AlternateContent>
        <mc:AlternateContent xmlns:mc="http://schemas.openxmlformats.org/markup-compatibility/2006">
          <mc:Choice Requires="x14">
            <control shapeId="277603" r:id="rId93" name="Check Box 99">
              <controlPr defaultSize="0" autoFill="0" autoLine="0" autoPict="0">
                <anchor moveWithCells="1">
                  <from>
                    <xdr:col>3</xdr:col>
                    <xdr:colOff>1352550</xdr:colOff>
                    <xdr:row>203</xdr:row>
                    <xdr:rowOff>0</xdr:rowOff>
                  </from>
                  <to>
                    <xdr:col>3</xdr:col>
                    <xdr:colOff>1733550</xdr:colOff>
                    <xdr:row>204</xdr:row>
                    <xdr:rowOff>19050</xdr:rowOff>
                  </to>
                </anchor>
              </controlPr>
            </control>
          </mc:Choice>
        </mc:AlternateContent>
        <mc:AlternateContent xmlns:mc="http://schemas.openxmlformats.org/markup-compatibility/2006">
          <mc:Choice Requires="x14">
            <control shapeId="277604" r:id="rId94" name="Check Box 100">
              <controlPr defaultSize="0" autoFill="0" autoLine="0" autoPict="0">
                <anchor moveWithCells="1">
                  <from>
                    <xdr:col>3</xdr:col>
                    <xdr:colOff>1352550</xdr:colOff>
                    <xdr:row>204</xdr:row>
                    <xdr:rowOff>0</xdr:rowOff>
                  </from>
                  <to>
                    <xdr:col>3</xdr:col>
                    <xdr:colOff>1733550</xdr:colOff>
                    <xdr:row>205</xdr:row>
                    <xdr:rowOff>19050</xdr:rowOff>
                  </to>
                </anchor>
              </controlPr>
            </control>
          </mc:Choice>
        </mc:AlternateContent>
        <mc:AlternateContent xmlns:mc="http://schemas.openxmlformats.org/markup-compatibility/2006">
          <mc:Choice Requires="x14">
            <control shapeId="277605" r:id="rId95" name="Check Box 101">
              <controlPr defaultSize="0" autoFill="0" autoLine="0" autoPict="0">
                <anchor moveWithCells="1">
                  <from>
                    <xdr:col>3</xdr:col>
                    <xdr:colOff>1352550</xdr:colOff>
                    <xdr:row>206</xdr:row>
                    <xdr:rowOff>0</xdr:rowOff>
                  </from>
                  <to>
                    <xdr:col>3</xdr:col>
                    <xdr:colOff>1733550</xdr:colOff>
                    <xdr:row>207</xdr:row>
                    <xdr:rowOff>19050</xdr:rowOff>
                  </to>
                </anchor>
              </controlPr>
            </control>
          </mc:Choice>
        </mc:AlternateContent>
        <mc:AlternateContent xmlns:mc="http://schemas.openxmlformats.org/markup-compatibility/2006">
          <mc:Choice Requires="x14">
            <control shapeId="277606" r:id="rId96" name="Check Box 102">
              <controlPr defaultSize="0" autoFill="0" autoLine="0" autoPict="0">
                <anchor moveWithCells="1">
                  <from>
                    <xdr:col>3</xdr:col>
                    <xdr:colOff>1352550</xdr:colOff>
                    <xdr:row>209</xdr:row>
                    <xdr:rowOff>0</xdr:rowOff>
                  </from>
                  <to>
                    <xdr:col>3</xdr:col>
                    <xdr:colOff>1733550</xdr:colOff>
                    <xdr:row>210</xdr:row>
                    <xdr:rowOff>19050</xdr:rowOff>
                  </to>
                </anchor>
              </controlPr>
            </control>
          </mc:Choice>
        </mc:AlternateContent>
        <mc:AlternateContent xmlns:mc="http://schemas.openxmlformats.org/markup-compatibility/2006">
          <mc:Choice Requires="x14">
            <control shapeId="277607" r:id="rId97" name="Check Box 103">
              <controlPr defaultSize="0" autoFill="0" autoLine="0" autoPict="0">
                <anchor moveWithCells="1">
                  <from>
                    <xdr:col>3</xdr:col>
                    <xdr:colOff>1352550</xdr:colOff>
                    <xdr:row>210</xdr:row>
                    <xdr:rowOff>0</xdr:rowOff>
                  </from>
                  <to>
                    <xdr:col>3</xdr:col>
                    <xdr:colOff>1733550</xdr:colOff>
                    <xdr:row>211</xdr:row>
                    <xdr:rowOff>19050</xdr:rowOff>
                  </to>
                </anchor>
              </controlPr>
            </control>
          </mc:Choice>
        </mc:AlternateContent>
        <mc:AlternateContent xmlns:mc="http://schemas.openxmlformats.org/markup-compatibility/2006">
          <mc:Choice Requires="x14">
            <control shapeId="277609" r:id="rId98" name="Check Box 105">
              <controlPr defaultSize="0" autoFill="0" autoLine="0" autoPict="0">
                <anchor moveWithCells="1">
                  <from>
                    <xdr:col>3</xdr:col>
                    <xdr:colOff>1352550</xdr:colOff>
                    <xdr:row>212</xdr:row>
                    <xdr:rowOff>0</xdr:rowOff>
                  </from>
                  <to>
                    <xdr:col>3</xdr:col>
                    <xdr:colOff>1733550</xdr:colOff>
                    <xdr:row>213</xdr:row>
                    <xdr:rowOff>19050</xdr:rowOff>
                  </to>
                </anchor>
              </controlPr>
            </control>
          </mc:Choice>
        </mc:AlternateContent>
        <mc:AlternateContent xmlns:mc="http://schemas.openxmlformats.org/markup-compatibility/2006">
          <mc:Choice Requires="x14">
            <control shapeId="277610" r:id="rId99" name="Check Box 106">
              <controlPr defaultSize="0" autoFill="0" autoLine="0" autoPict="0">
                <anchor moveWithCells="1">
                  <from>
                    <xdr:col>3</xdr:col>
                    <xdr:colOff>1352550</xdr:colOff>
                    <xdr:row>213</xdr:row>
                    <xdr:rowOff>0</xdr:rowOff>
                  </from>
                  <to>
                    <xdr:col>3</xdr:col>
                    <xdr:colOff>1733550</xdr:colOff>
                    <xdr:row>214</xdr:row>
                    <xdr:rowOff>19050</xdr:rowOff>
                  </to>
                </anchor>
              </controlPr>
            </control>
          </mc:Choice>
        </mc:AlternateContent>
        <mc:AlternateContent xmlns:mc="http://schemas.openxmlformats.org/markup-compatibility/2006">
          <mc:Choice Requires="x14">
            <control shapeId="277611" r:id="rId100" name="Check Box 107">
              <controlPr defaultSize="0" autoFill="0" autoLine="0" autoPict="0">
                <anchor moveWithCells="1">
                  <from>
                    <xdr:col>3</xdr:col>
                    <xdr:colOff>1352550</xdr:colOff>
                    <xdr:row>215</xdr:row>
                    <xdr:rowOff>0</xdr:rowOff>
                  </from>
                  <to>
                    <xdr:col>3</xdr:col>
                    <xdr:colOff>1733550</xdr:colOff>
                    <xdr:row>216</xdr:row>
                    <xdr:rowOff>19050</xdr:rowOff>
                  </to>
                </anchor>
              </controlPr>
            </control>
          </mc:Choice>
        </mc:AlternateContent>
        <mc:AlternateContent xmlns:mc="http://schemas.openxmlformats.org/markup-compatibility/2006">
          <mc:Choice Requires="x14">
            <control shapeId="277614" r:id="rId101" name="Check Box 110">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5" r:id="rId102" name="Check Box 111">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6" r:id="rId103" name="Check Box 112">
              <controlPr defaultSize="0" autoFill="0" autoLine="0" autoPict="0">
                <anchor moveWithCells="1">
                  <from>
                    <xdr:col>3</xdr:col>
                    <xdr:colOff>1352550</xdr:colOff>
                    <xdr:row>219</xdr:row>
                    <xdr:rowOff>0</xdr:rowOff>
                  </from>
                  <to>
                    <xdr:col>3</xdr:col>
                    <xdr:colOff>1733550</xdr:colOff>
                    <xdr:row>220</xdr:row>
                    <xdr:rowOff>19050</xdr:rowOff>
                  </to>
                </anchor>
              </controlPr>
            </control>
          </mc:Choice>
        </mc:AlternateContent>
        <mc:AlternateContent xmlns:mc="http://schemas.openxmlformats.org/markup-compatibility/2006">
          <mc:Choice Requires="x14">
            <control shapeId="277617" r:id="rId104" name="Check Box 113">
              <controlPr defaultSize="0" autoFill="0" autoLine="0" autoPict="0">
                <anchor moveWithCells="1">
                  <from>
                    <xdr:col>3</xdr:col>
                    <xdr:colOff>1352550</xdr:colOff>
                    <xdr:row>220</xdr:row>
                    <xdr:rowOff>0</xdr:rowOff>
                  </from>
                  <to>
                    <xdr:col>3</xdr:col>
                    <xdr:colOff>1733550</xdr:colOff>
                    <xdr:row>221</xdr:row>
                    <xdr:rowOff>19050</xdr:rowOff>
                  </to>
                </anchor>
              </controlPr>
            </control>
          </mc:Choice>
        </mc:AlternateContent>
        <mc:AlternateContent xmlns:mc="http://schemas.openxmlformats.org/markup-compatibility/2006">
          <mc:Choice Requires="x14">
            <control shapeId="277618" r:id="rId105" name="Check Box 114">
              <controlPr defaultSize="0" autoFill="0" autoLine="0" autoPict="0">
                <anchor moveWithCells="1">
                  <from>
                    <xdr:col>3</xdr:col>
                    <xdr:colOff>1352550</xdr:colOff>
                    <xdr:row>221</xdr:row>
                    <xdr:rowOff>0</xdr:rowOff>
                  </from>
                  <to>
                    <xdr:col>3</xdr:col>
                    <xdr:colOff>1733550</xdr:colOff>
                    <xdr:row>222</xdr:row>
                    <xdr:rowOff>19050</xdr:rowOff>
                  </to>
                </anchor>
              </controlPr>
            </control>
          </mc:Choice>
        </mc:AlternateContent>
        <mc:AlternateContent xmlns:mc="http://schemas.openxmlformats.org/markup-compatibility/2006">
          <mc:Choice Requires="x14">
            <control shapeId="277619" r:id="rId106" name="Check Box 115">
              <controlPr defaultSize="0" autoFill="0" autoLine="0" autoPict="0">
                <anchor moveWithCells="1">
                  <from>
                    <xdr:col>3</xdr:col>
                    <xdr:colOff>1352550</xdr:colOff>
                    <xdr:row>222</xdr:row>
                    <xdr:rowOff>0</xdr:rowOff>
                  </from>
                  <to>
                    <xdr:col>3</xdr:col>
                    <xdr:colOff>1733550</xdr:colOff>
                    <xdr:row>223</xdr:row>
                    <xdr:rowOff>19050</xdr:rowOff>
                  </to>
                </anchor>
              </controlPr>
            </control>
          </mc:Choice>
        </mc:AlternateContent>
        <mc:AlternateContent xmlns:mc="http://schemas.openxmlformats.org/markup-compatibility/2006">
          <mc:Choice Requires="x14">
            <control shapeId="277620" r:id="rId107" name="Check Box 116">
              <controlPr defaultSize="0" autoFill="0" autoLine="0" autoPict="0">
                <anchor moveWithCells="1">
                  <from>
                    <xdr:col>3</xdr:col>
                    <xdr:colOff>1352550</xdr:colOff>
                    <xdr:row>223</xdr:row>
                    <xdr:rowOff>0</xdr:rowOff>
                  </from>
                  <to>
                    <xdr:col>3</xdr:col>
                    <xdr:colOff>1733550</xdr:colOff>
                    <xdr:row>224</xdr:row>
                    <xdr:rowOff>19050</xdr:rowOff>
                  </to>
                </anchor>
              </controlPr>
            </control>
          </mc:Choice>
        </mc:AlternateContent>
        <mc:AlternateContent xmlns:mc="http://schemas.openxmlformats.org/markup-compatibility/2006">
          <mc:Choice Requires="x14">
            <control shapeId="277622" r:id="rId108" name="Check Box 118">
              <controlPr defaultSize="0" autoFill="0" autoLine="0" autoPict="0">
                <anchor moveWithCells="1">
                  <from>
                    <xdr:col>2</xdr:col>
                    <xdr:colOff>523875</xdr:colOff>
                    <xdr:row>22</xdr:row>
                    <xdr:rowOff>190500</xdr:rowOff>
                  </from>
                  <to>
                    <xdr:col>2</xdr:col>
                    <xdr:colOff>914400</xdr:colOff>
                    <xdr:row>24</xdr:row>
                    <xdr:rowOff>47625</xdr:rowOff>
                  </to>
                </anchor>
              </controlPr>
            </control>
          </mc:Choice>
        </mc:AlternateContent>
        <mc:AlternateContent xmlns:mc="http://schemas.openxmlformats.org/markup-compatibility/2006">
          <mc:Choice Requires="x14">
            <control shapeId="277623" r:id="rId109" name="Check Box 119">
              <controlPr defaultSize="0" autoFill="0" autoLine="0" autoPict="0">
                <anchor moveWithCells="1">
                  <from>
                    <xdr:col>2</xdr:col>
                    <xdr:colOff>533400</xdr:colOff>
                    <xdr:row>54</xdr:row>
                    <xdr:rowOff>190500</xdr:rowOff>
                  </from>
                  <to>
                    <xdr:col>2</xdr:col>
                    <xdr:colOff>923925</xdr:colOff>
                    <xdr:row>56</xdr:row>
                    <xdr:rowOff>76200</xdr:rowOff>
                  </to>
                </anchor>
              </controlPr>
            </control>
          </mc:Choice>
        </mc:AlternateContent>
        <mc:AlternateContent xmlns:mc="http://schemas.openxmlformats.org/markup-compatibility/2006">
          <mc:Choice Requires="x14">
            <control shapeId="277624" r:id="rId110" name="Check Box 120">
              <controlPr defaultSize="0" autoFill="0" autoLine="0" autoPict="0">
                <anchor moveWithCells="1">
                  <from>
                    <xdr:col>2</xdr:col>
                    <xdr:colOff>533400</xdr:colOff>
                    <xdr:row>53</xdr:row>
                    <xdr:rowOff>190500</xdr:rowOff>
                  </from>
                  <to>
                    <xdr:col>2</xdr:col>
                    <xdr:colOff>923925</xdr:colOff>
                    <xdr:row>55</xdr:row>
                    <xdr:rowOff>76200</xdr:rowOff>
                  </to>
                </anchor>
              </controlPr>
            </control>
          </mc:Choice>
        </mc:AlternateContent>
        <mc:AlternateContent xmlns:mc="http://schemas.openxmlformats.org/markup-compatibility/2006">
          <mc:Choice Requires="x14">
            <control shapeId="277625" r:id="rId111" name="Check Box 121">
              <controlPr defaultSize="0" autoFill="0" autoLine="0" autoPict="0">
                <anchor moveWithCells="1">
                  <from>
                    <xdr:col>2</xdr:col>
                    <xdr:colOff>533400</xdr:colOff>
                    <xdr:row>56</xdr:row>
                    <xdr:rowOff>161925</xdr:rowOff>
                  </from>
                  <to>
                    <xdr:col>2</xdr:col>
                    <xdr:colOff>933450</xdr:colOff>
                    <xdr:row>58</xdr:row>
                    <xdr:rowOff>85725</xdr:rowOff>
                  </to>
                </anchor>
              </controlPr>
            </control>
          </mc:Choice>
        </mc:AlternateContent>
        <mc:AlternateContent xmlns:mc="http://schemas.openxmlformats.org/markup-compatibility/2006">
          <mc:Choice Requires="x14">
            <control shapeId="277626" r:id="rId112" name="Check Box 122">
              <controlPr locked="0" defaultSize="0" autoFill="0" autoLine="0" autoPict="0">
                <anchor moveWithCells="1">
                  <from>
                    <xdr:col>2</xdr:col>
                    <xdr:colOff>533400</xdr:colOff>
                    <xdr:row>57</xdr:row>
                    <xdr:rowOff>161925</xdr:rowOff>
                  </from>
                  <to>
                    <xdr:col>2</xdr:col>
                    <xdr:colOff>933450</xdr:colOff>
                    <xdr:row>59</xdr:row>
                    <xdr:rowOff>85725</xdr:rowOff>
                  </to>
                </anchor>
              </controlPr>
            </control>
          </mc:Choice>
        </mc:AlternateContent>
        <mc:AlternateContent xmlns:mc="http://schemas.openxmlformats.org/markup-compatibility/2006">
          <mc:Choice Requires="x14">
            <control shapeId="277627" r:id="rId113" name="Check Box 123">
              <controlPr locked="0" defaultSize="0" autoFill="0" autoLine="0" autoPict="0">
                <anchor moveWithCells="1">
                  <from>
                    <xdr:col>2</xdr:col>
                    <xdr:colOff>533400</xdr:colOff>
                    <xdr:row>59</xdr:row>
                    <xdr:rowOff>161925</xdr:rowOff>
                  </from>
                  <to>
                    <xdr:col>2</xdr:col>
                    <xdr:colOff>933450</xdr:colOff>
                    <xdr:row>61</xdr:row>
                    <xdr:rowOff>85725</xdr:rowOff>
                  </to>
                </anchor>
              </controlPr>
            </control>
          </mc:Choice>
        </mc:AlternateContent>
        <mc:AlternateContent xmlns:mc="http://schemas.openxmlformats.org/markup-compatibility/2006">
          <mc:Choice Requires="x14">
            <control shapeId="277628" r:id="rId114" name="Check Box 124">
              <controlPr locked="0" defaultSize="0" autoFill="0" autoLine="0" autoPict="0">
                <anchor moveWithCells="1">
                  <from>
                    <xdr:col>2</xdr:col>
                    <xdr:colOff>533400</xdr:colOff>
                    <xdr:row>58</xdr:row>
                    <xdr:rowOff>161925</xdr:rowOff>
                  </from>
                  <to>
                    <xdr:col>2</xdr:col>
                    <xdr:colOff>933450</xdr:colOff>
                    <xdr:row>60</xdr:row>
                    <xdr:rowOff>85725</xdr:rowOff>
                  </to>
                </anchor>
              </controlPr>
            </control>
          </mc:Choice>
        </mc:AlternateContent>
        <mc:AlternateContent xmlns:mc="http://schemas.openxmlformats.org/markup-compatibility/2006">
          <mc:Choice Requires="x14">
            <control shapeId="277629" r:id="rId115" name="Check Box 125">
              <controlPr defaultSize="0" autoFill="0" autoLine="0" autoPict="0">
                <anchor moveWithCells="1">
                  <from>
                    <xdr:col>2</xdr:col>
                    <xdr:colOff>542925</xdr:colOff>
                    <xdr:row>65</xdr:row>
                    <xdr:rowOff>180975</xdr:rowOff>
                  </from>
                  <to>
                    <xdr:col>2</xdr:col>
                    <xdr:colOff>933450</xdr:colOff>
                    <xdr:row>67</xdr:row>
                    <xdr:rowOff>47625</xdr:rowOff>
                  </to>
                </anchor>
              </controlPr>
            </control>
          </mc:Choice>
        </mc:AlternateContent>
        <mc:AlternateContent xmlns:mc="http://schemas.openxmlformats.org/markup-compatibility/2006">
          <mc:Choice Requires="x14">
            <control shapeId="277630" r:id="rId116" name="Check Box 126">
              <controlPr defaultSize="0" autoFill="0" autoLine="0" autoPict="0">
                <anchor moveWithCells="1">
                  <from>
                    <xdr:col>2</xdr:col>
                    <xdr:colOff>542925</xdr:colOff>
                    <xdr:row>66</xdr:row>
                    <xdr:rowOff>180975</xdr:rowOff>
                  </from>
                  <to>
                    <xdr:col>2</xdr:col>
                    <xdr:colOff>933450</xdr:colOff>
                    <xdr:row>68</xdr:row>
                    <xdr:rowOff>47625</xdr:rowOff>
                  </to>
                </anchor>
              </controlPr>
            </control>
          </mc:Choice>
        </mc:AlternateContent>
        <mc:AlternateContent xmlns:mc="http://schemas.openxmlformats.org/markup-compatibility/2006">
          <mc:Choice Requires="x14">
            <control shapeId="277631" r:id="rId117" name="Check Box 127">
              <controlPr defaultSize="0" autoFill="0" autoLine="0" autoPict="0">
                <anchor moveWithCells="1">
                  <from>
                    <xdr:col>2</xdr:col>
                    <xdr:colOff>533400</xdr:colOff>
                    <xdr:row>34</xdr:row>
                    <xdr:rowOff>190500</xdr:rowOff>
                  </from>
                  <to>
                    <xdr:col>2</xdr:col>
                    <xdr:colOff>1019175</xdr:colOff>
                    <xdr:row>36</xdr:row>
                    <xdr:rowOff>66675</xdr:rowOff>
                  </to>
                </anchor>
              </controlPr>
            </control>
          </mc:Choice>
        </mc:AlternateContent>
        <mc:AlternateContent xmlns:mc="http://schemas.openxmlformats.org/markup-compatibility/2006">
          <mc:Choice Requires="x14">
            <control shapeId="277632" r:id="rId118" name="Check Box 128">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633" r:id="rId119" name="Check Box 129">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634" r:id="rId120" name="Check Box 130">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635" r:id="rId121" name="Check Box 13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636" r:id="rId122" name="Check Box 13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637" r:id="rId123" name="Check Box 13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638" r:id="rId124" name="Check Box 13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639" r:id="rId125" name="Check Box 13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640" r:id="rId126" name="Check Box 13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641" r:id="rId127" name="Check Box 13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642" r:id="rId128" name="Check Box 13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643" r:id="rId129" name="Check Box 13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644" r:id="rId130" name="Check Box 14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645" r:id="rId131" name="Check Box 141">
              <controlPr defaultSize="0" autoFill="0" autoLine="0" autoPict="0">
                <anchor moveWithCells="1">
                  <from>
                    <xdr:col>2</xdr:col>
                    <xdr:colOff>561975</xdr:colOff>
                    <xdr:row>127</xdr:row>
                    <xdr:rowOff>9525</xdr:rowOff>
                  </from>
                  <to>
                    <xdr:col>2</xdr:col>
                    <xdr:colOff>942975</xdr:colOff>
                    <xdr:row>128</xdr:row>
                    <xdr:rowOff>28575</xdr:rowOff>
                  </to>
                </anchor>
              </controlPr>
            </control>
          </mc:Choice>
        </mc:AlternateContent>
        <mc:AlternateContent xmlns:mc="http://schemas.openxmlformats.org/markup-compatibility/2006">
          <mc:Choice Requires="x14">
            <control shapeId="277646" r:id="rId132" name="Check Box 142">
              <controlPr defaultSize="0" autoFill="0" autoLine="0" autoPict="0">
                <anchor moveWithCells="1">
                  <from>
                    <xdr:col>2</xdr:col>
                    <xdr:colOff>561975</xdr:colOff>
                    <xdr:row>128</xdr:row>
                    <xdr:rowOff>9525</xdr:rowOff>
                  </from>
                  <to>
                    <xdr:col>2</xdr:col>
                    <xdr:colOff>942975</xdr:colOff>
                    <xdr:row>129</xdr:row>
                    <xdr:rowOff>28575</xdr:rowOff>
                  </to>
                </anchor>
              </controlPr>
            </control>
          </mc:Choice>
        </mc:AlternateContent>
        <mc:AlternateContent xmlns:mc="http://schemas.openxmlformats.org/markup-compatibility/2006">
          <mc:Choice Requires="x14">
            <control shapeId="277647" r:id="rId133" name="Check Box 143">
              <controlPr defaultSize="0" autoFill="0" autoLine="0" autoPict="0">
                <anchor moveWithCells="1">
                  <from>
                    <xdr:col>2</xdr:col>
                    <xdr:colOff>561975</xdr:colOff>
                    <xdr:row>129</xdr:row>
                    <xdr:rowOff>9525</xdr:rowOff>
                  </from>
                  <to>
                    <xdr:col>2</xdr:col>
                    <xdr:colOff>942975</xdr:colOff>
                    <xdr:row>130</xdr:row>
                    <xdr:rowOff>28575</xdr:rowOff>
                  </to>
                </anchor>
              </controlPr>
            </control>
          </mc:Choice>
        </mc:AlternateContent>
        <mc:AlternateContent xmlns:mc="http://schemas.openxmlformats.org/markup-compatibility/2006">
          <mc:Choice Requires="x14">
            <control shapeId="277648" r:id="rId134" name="Check Box 144">
              <controlPr defaultSize="0" autoFill="0" autoLine="0" autoPict="0">
                <anchor moveWithCells="1">
                  <from>
                    <xdr:col>3</xdr:col>
                    <xdr:colOff>1352550</xdr:colOff>
                    <xdr:row>187</xdr:row>
                    <xdr:rowOff>0</xdr:rowOff>
                  </from>
                  <to>
                    <xdr:col>3</xdr:col>
                    <xdr:colOff>1733550</xdr:colOff>
                    <xdr:row>188</xdr:row>
                    <xdr:rowOff>19050</xdr:rowOff>
                  </to>
                </anchor>
              </controlPr>
            </control>
          </mc:Choice>
        </mc:AlternateContent>
        <mc:AlternateContent xmlns:mc="http://schemas.openxmlformats.org/markup-compatibility/2006">
          <mc:Choice Requires="x14">
            <control shapeId="277649" r:id="rId135" name="Check Box 145">
              <controlPr defaultSize="0" autoFill="0" autoLine="0" autoPict="0">
                <anchor moveWithCells="1">
                  <from>
                    <xdr:col>3</xdr:col>
                    <xdr:colOff>1352550</xdr:colOff>
                    <xdr:row>139</xdr:row>
                    <xdr:rowOff>0</xdr:rowOff>
                  </from>
                  <to>
                    <xdr:col>3</xdr:col>
                    <xdr:colOff>1733550</xdr:colOff>
                    <xdr:row>140</xdr:row>
                    <xdr:rowOff>19050</xdr:rowOff>
                  </to>
                </anchor>
              </controlPr>
            </control>
          </mc:Choice>
        </mc:AlternateContent>
        <mc:AlternateContent xmlns:mc="http://schemas.openxmlformats.org/markup-compatibility/2006">
          <mc:Choice Requires="x14">
            <control shapeId="277650" r:id="rId136" name="Check Box 146">
              <controlPr defaultSize="0" autoFill="0" autoLine="0" autoPict="0">
                <anchor moveWithCells="1">
                  <from>
                    <xdr:col>3</xdr:col>
                    <xdr:colOff>1352550</xdr:colOff>
                    <xdr:row>198</xdr:row>
                    <xdr:rowOff>0</xdr:rowOff>
                  </from>
                  <to>
                    <xdr:col>3</xdr:col>
                    <xdr:colOff>1733550</xdr:colOff>
                    <xdr:row>199</xdr:row>
                    <xdr:rowOff>19050</xdr:rowOff>
                  </to>
                </anchor>
              </controlPr>
            </control>
          </mc:Choice>
        </mc:AlternateContent>
        <mc:AlternateContent xmlns:mc="http://schemas.openxmlformats.org/markup-compatibility/2006">
          <mc:Choice Requires="x14">
            <control shapeId="277651" r:id="rId137" name="Check Box 147">
              <controlPr defaultSize="0" autoFill="0" autoLine="0" autoPict="0">
                <anchor moveWithCells="1">
                  <from>
                    <xdr:col>2</xdr:col>
                    <xdr:colOff>533400</xdr:colOff>
                    <xdr:row>42</xdr:row>
                    <xdr:rowOff>171450</xdr:rowOff>
                  </from>
                  <to>
                    <xdr:col>2</xdr:col>
                    <xdr:colOff>1019175</xdr:colOff>
                    <xdr:row>44</xdr:row>
                    <xdr:rowOff>57150</xdr:rowOff>
                  </to>
                </anchor>
              </controlPr>
            </control>
          </mc:Choice>
        </mc:AlternateContent>
        <mc:AlternateContent xmlns:mc="http://schemas.openxmlformats.org/markup-compatibility/2006">
          <mc:Choice Requires="x14">
            <control shapeId="277652" r:id="rId138" name="Check Box 148">
              <controlPr defaultSize="0" autoFill="0" autoLine="0" autoPict="0">
                <anchor moveWithCells="1">
                  <from>
                    <xdr:col>2</xdr:col>
                    <xdr:colOff>552450</xdr:colOff>
                    <xdr:row>109</xdr:row>
                    <xdr:rowOff>19050</xdr:rowOff>
                  </from>
                  <to>
                    <xdr:col>2</xdr:col>
                    <xdr:colOff>914400</xdr:colOff>
                    <xdr:row>110</xdr:row>
                    <xdr:rowOff>38100</xdr:rowOff>
                  </to>
                </anchor>
              </controlPr>
            </control>
          </mc:Choice>
        </mc:AlternateContent>
        <mc:AlternateContent xmlns:mc="http://schemas.openxmlformats.org/markup-compatibility/2006">
          <mc:Choice Requires="x14">
            <control shapeId="277653" r:id="rId139" name="Check Box 149">
              <controlPr defaultSize="0" autoFill="0" autoLine="0" autoPict="0">
                <anchor moveWithCells="1">
                  <from>
                    <xdr:col>2</xdr:col>
                    <xdr:colOff>552450</xdr:colOff>
                    <xdr:row>110</xdr:row>
                    <xdr:rowOff>28575</xdr:rowOff>
                  </from>
                  <to>
                    <xdr:col>2</xdr:col>
                    <xdr:colOff>914400</xdr:colOff>
                    <xdr:row>111</xdr:row>
                    <xdr:rowOff>38100</xdr:rowOff>
                  </to>
                </anchor>
              </controlPr>
            </control>
          </mc:Choice>
        </mc:AlternateContent>
        <mc:AlternateContent xmlns:mc="http://schemas.openxmlformats.org/markup-compatibility/2006">
          <mc:Choice Requires="x14">
            <control shapeId="277654" r:id="rId140" name="Check Box 150">
              <controlPr defaultSize="0" autoFill="0" autoLine="0" autoPict="0">
                <anchor moveWithCells="1">
                  <from>
                    <xdr:col>3</xdr:col>
                    <xdr:colOff>1352550</xdr:colOff>
                    <xdr:row>137</xdr:row>
                    <xdr:rowOff>0</xdr:rowOff>
                  </from>
                  <to>
                    <xdr:col>3</xdr:col>
                    <xdr:colOff>1733550</xdr:colOff>
                    <xdr:row>138</xdr:row>
                    <xdr:rowOff>19050</xdr:rowOff>
                  </to>
                </anchor>
              </controlPr>
            </control>
          </mc:Choice>
        </mc:AlternateContent>
        <mc:AlternateContent xmlns:mc="http://schemas.openxmlformats.org/markup-compatibility/2006">
          <mc:Choice Requires="x14">
            <control shapeId="277655" r:id="rId141" name="Check Box 151">
              <controlPr defaultSize="0" autoFill="0" autoLine="0" autoPict="0">
                <anchor moveWithCells="1">
                  <from>
                    <xdr:col>3</xdr:col>
                    <xdr:colOff>1352550</xdr:colOff>
                    <xdr:row>138</xdr:row>
                    <xdr:rowOff>0</xdr:rowOff>
                  </from>
                  <to>
                    <xdr:col>3</xdr:col>
                    <xdr:colOff>1733550</xdr:colOff>
                    <xdr:row>139</xdr:row>
                    <xdr:rowOff>19050</xdr:rowOff>
                  </to>
                </anchor>
              </controlPr>
            </control>
          </mc:Choice>
        </mc:AlternateContent>
        <mc:AlternateContent xmlns:mc="http://schemas.openxmlformats.org/markup-compatibility/2006">
          <mc:Choice Requires="x14">
            <control shapeId="277656" r:id="rId142" name="Check Box 152">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7" r:id="rId143" name="Check Box 153">
              <controlPr defaultSize="0" autoFill="0" autoLine="0" autoPict="0">
                <anchor moveWithCells="1">
                  <from>
                    <xdr:col>2</xdr:col>
                    <xdr:colOff>552450</xdr:colOff>
                    <xdr:row>113</xdr:row>
                    <xdr:rowOff>28575</xdr:rowOff>
                  </from>
                  <to>
                    <xdr:col>2</xdr:col>
                    <xdr:colOff>914400</xdr:colOff>
                    <xdr:row>114</xdr:row>
                    <xdr:rowOff>38100</xdr:rowOff>
                  </to>
                </anchor>
              </controlPr>
            </control>
          </mc:Choice>
        </mc:AlternateContent>
        <mc:AlternateContent xmlns:mc="http://schemas.openxmlformats.org/markup-compatibility/2006">
          <mc:Choice Requires="x14">
            <control shapeId="277658" r:id="rId144" name="Check Box 154">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9" r:id="rId145" name="Check Box 155">
              <controlPr defaultSize="0" autoFill="0" autoLine="0" autoPict="0">
                <anchor moveWithCells="1">
                  <from>
                    <xdr:col>2</xdr:col>
                    <xdr:colOff>552450</xdr:colOff>
                    <xdr:row>115</xdr:row>
                    <xdr:rowOff>19050</xdr:rowOff>
                  </from>
                  <to>
                    <xdr:col>2</xdr:col>
                    <xdr:colOff>914400</xdr:colOff>
                    <xdr:row>116</xdr:row>
                    <xdr:rowOff>38100</xdr:rowOff>
                  </to>
                </anchor>
              </controlPr>
            </control>
          </mc:Choice>
        </mc:AlternateContent>
        <mc:AlternateContent xmlns:mc="http://schemas.openxmlformats.org/markup-compatibility/2006">
          <mc:Choice Requires="x14">
            <control shapeId="277660" r:id="rId146" name="Check Box 156">
              <controlPr defaultSize="0" autoFill="0" autoLine="0" autoPict="0">
                <anchor moveWithCells="1">
                  <from>
                    <xdr:col>2</xdr:col>
                    <xdr:colOff>552450</xdr:colOff>
                    <xdr:row>114</xdr:row>
                    <xdr:rowOff>28575</xdr:rowOff>
                  </from>
                  <to>
                    <xdr:col>2</xdr:col>
                    <xdr:colOff>914400</xdr:colOff>
                    <xdr:row>115</xdr:row>
                    <xdr:rowOff>38100</xdr:rowOff>
                  </to>
                </anchor>
              </controlPr>
            </control>
          </mc:Choice>
        </mc:AlternateContent>
        <mc:AlternateContent xmlns:mc="http://schemas.openxmlformats.org/markup-compatibility/2006">
          <mc:Choice Requires="x14">
            <control shapeId="277661" r:id="rId147" name="Check Box 157">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662" r:id="rId148" name="Check Box 158">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3" r:id="rId149" name="Check Box 159">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4" r:id="rId150" name="Check Box 160">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5" r:id="rId151" name="Check Box 161">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6" r:id="rId152" name="Check Box 162">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7" r:id="rId153" name="Check Box 163">
              <controlPr defaultSize="0" autoFill="0" autoLine="0" autoPict="0">
                <anchor moveWithCells="1">
                  <from>
                    <xdr:col>3</xdr:col>
                    <xdr:colOff>1352550</xdr:colOff>
                    <xdr:row>207</xdr:row>
                    <xdr:rowOff>0</xdr:rowOff>
                  </from>
                  <to>
                    <xdr:col>3</xdr:col>
                    <xdr:colOff>1733550</xdr:colOff>
                    <xdr:row>208</xdr:row>
                    <xdr:rowOff>19050</xdr:rowOff>
                  </to>
                </anchor>
              </controlPr>
            </control>
          </mc:Choice>
        </mc:AlternateContent>
        <mc:AlternateContent xmlns:mc="http://schemas.openxmlformats.org/markup-compatibility/2006">
          <mc:Choice Requires="x14">
            <control shapeId="277668" r:id="rId154" name="Check Box 164">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669" r:id="rId155" name="Check Box 165">
              <controlPr defaultSize="0" autoFill="0" autoLine="0" autoPict="0">
                <anchor moveWithCells="1">
                  <from>
                    <xdr:col>2</xdr:col>
                    <xdr:colOff>552450</xdr:colOff>
                    <xdr:row>104</xdr:row>
                    <xdr:rowOff>19050</xdr:rowOff>
                  </from>
                  <to>
                    <xdr:col>2</xdr:col>
                    <xdr:colOff>914400</xdr:colOff>
                    <xdr:row>105</xdr:row>
                    <xdr:rowOff>38100</xdr:rowOff>
                  </to>
                </anchor>
              </controlPr>
            </control>
          </mc:Choice>
        </mc:AlternateContent>
        <mc:AlternateContent xmlns:mc="http://schemas.openxmlformats.org/markup-compatibility/2006">
          <mc:Choice Requires="x14">
            <control shapeId="277674" r:id="rId156" name="Check Box 170">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5" r:id="rId157" name="Check Box 171">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6" r:id="rId158" name="Check Box 172">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7" r:id="rId159" name="Check Box 173">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78" r:id="rId160" name="Check Box 174">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79" r:id="rId161" name="Check Box 175">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0" r:id="rId162" name="Check Box 176">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1" r:id="rId163" name="Check Box 177">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82" r:id="rId164" name="Check Box 178">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3" r:id="rId165" name="Check Box 179">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4" r:id="rId166" name="Check Box 180">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5" r:id="rId167" name="Check Box 181">
              <controlPr defaultSize="0" autoFill="0" autoLine="0" autoPict="0">
                <anchor moveWithCells="1">
                  <from>
                    <xdr:col>2</xdr:col>
                    <xdr:colOff>523875</xdr:colOff>
                    <xdr:row>21</xdr:row>
                    <xdr:rowOff>190500</xdr:rowOff>
                  </from>
                  <to>
                    <xdr:col>2</xdr:col>
                    <xdr:colOff>914400</xdr:colOff>
                    <xdr:row>23</xdr:row>
                    <xdr:rowOff>38100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7223-15D2-4012-A798-BD90945ADD3E}">
  <sheetPr codeName="Sheet3"/>
  <dimension ref="A1:P118"/>
  <sheetViews>
    <sheetView zoomScale="130" zoomScaleNormal="130" workbookViewId="0">
      <selection activeCell="I17" sqref="I17"/>
    </sheetView>
  </sheetViews>
  <sheetFormatPr defaultColWidth="9.1328125" defaultRowHeight="12.75" x14ac:dyDescent="0.35"/>
  <cols>
    <col min="1" max="1" width="9.3984375" style="166" bestFit="1" customWidth="1"/>
    <col min="2" max="3" width="9.1328125" style="166"/>
    <col min="4" max="4" width="11.59765625" style="166" bestFit="1" customWidth="1"/>
    <col min="5" max="7" width="9.1328125" style="166"/>
    <col min="8" max="8" width="13.73046875" style="166" customWidth="1"/>
    <col min="9" max="12" width="9.3984375" style="166" bestFit="1" customWidth="1"/>
    <col min="13" max="13" width="8.86328125" style="166" customWidth="1"/>
    <col min="14" max="16" width="9.3984375" style="166" bestFit="1" customWidth="1"/>
    <col min="17" max="16384" width="9.1328125" style="166"/>
  </cols>
  <sheetData>
    <row r="1" spans="1:16" ht="13.15" x14ac:dyDescent="0.4">
      <c r="A1" s="299" t="s">
        <v>428</v>
      </c>
    </row>
    <row r="2" spans="1:16" x14ac:dyDescent="0.35">
      <c r="H2" s="306"/>
      <c r="I2" s="306"/>
    </row>
    <row r="3" spans="1:16" x14ac:dyDescent="0.35">
      <c r="A3" s="166" t="s">
        <v>429</v>
      </c>
      <c r="H3" s="489" t="str">
        <f>'MP Calibration Certificate'!D17</f>
        <v>5.6mg/l RM8631b</v>
      </c>
      <c r="I3" s="489"/>
    </row>
    <row r="4" spans="1:16" x14ac:dyDescent="0.35">
      <c r="A4" s="166" t="s">
        <v>241</v>
      </c>
      <c r="H4" s="490">
        <f>'MP Calibration Certificate'!D18</f>
        <v>63010062</v>
      </c>
      <c r="I4" s="491"/>
    </row>
    <row r="5" spans="1:16" x14ac:dyDescent="0.35">
      <c r="A5" s="166" t="s">
        <v>430</v>
      </c>
      <c r="H5" s="491">
        <f>'Cover Service Sheet'!D6</f>
        <v>0</v>
      </c>
      <c r="I5" s="491"/>
    </row>
    <row r="6" spans="1:16" ht="13.15" x14ac:dyDescent="0.35">
      <c r="A6" s="166" t="s">
        <v>431</v>
      </c>
      <c r="H6" s="491">
        <f>'Cover Service Sheet'!D15</f>
        <v>0</v>
      </c>
      <c r="I6" s="491"/>
      <c r="M6" s="198"/>
      <c r="N6" s="199"/>
      <c r="O6" s="199"/>
      <c r="P6" s="307"/>
    </row>
    <row r="7" spans="1:16" ht="13.15" x14ac:dyDescent="0.35">
      <c r="A7" s="166" t="s">
        <v>432</v>
      </c>
      <c r="H7" s="491">
        <f>'Cover Service Sheet'!D16</f>
        <v>0</v>
      </c>
      <c r="I7" s="491"/>
      <c r="M7" s="308"/>
      <c r="N7" s="309"/>
      <c r="O7" s="309"/>
      <c r="P7" s="309"/>
    </row>
    <row r="8" spans="1:16" x14ac:dyDescent="0.35">
      <c r="M8" s="310"/>
      <c r="N8" s="309"/>
      <c r="O8" s="309"/>
      <c r="P8" s="309"/>
    </row>
    <row r="9" spans="1:16" x14ac:dyDescent="0.35">
      <c r="A9" s="166" t="s">
        <v>433</v>
      </c>
      <c r="H9" s="306"/>
      <c r="M9" s="310"/>
      <c r="N9" s="309"/>
      <c r="O9" s="309"/>
      <c r="P9" s="309"/>
    </row>
    <row r="10" spans="1:16" x14ac:dyDescent="0.35">
      <c r="A10" s="218">
        <v>1</v>
      </c>
      <c r="B10" s="166" t="s">
        <v>434</v>
      </c>
      <c r="H10" s="311"/>
      <c r="I10" s="312"/>
      <c r="M10" s="310"/>
      <c r="N10" s="309"/>
      <c r="O10" s="218"/>
      <c r="P10" s="218"/>
    </row>
    <row r="11" spans="1:16" x14ac:dyDescent="0.35">
      <c r="A11" s="218">
        <f>A10+1</f>
        <v>2</v>
      </c>
      <c r="B11" s="467" t="s">
        <v>435</v>
      </c>
      <c r="C11" s="467"/>
      <c r="D11" s="467"/>
      <c r="E11" s="467"/>
      <c r="H11" s="313"/>
      <c r="I11" s="312"/>
      <c r="M11" s="310"/>
      <c r="N11" s="309"/>
      <c r="O11" s="309"/>
      <c r="P11" s="309"/>
    </row>
    <row r="12" spans="1:16" x14ac:dyDescent="0.35">
      <c r="A12" s="218">
        <f t="shared" ref="A12:A71" si="0">A11+1</f>
        <v>3</v>
      </c>
      <c r="B12" s="166" t="s">
        <v>436</v>
      </c>
      <c r="H12" s="314"/>
      <c r="I12" s="312"/>
      <c r="M12" s="310"/>
      <c r="N12" s="309"/>
      <c r="O12" s="309"/>
      <c r="P12" s="309"/>
    </row>
    <row r="13" spans="1:16" x14ac:dyDescent="0.35">
      <c r="A13" s="218">
        <f t="shared" si="0"/>
        <v>4</v>
      </c>
      <c r="B13" s="467" t="s">
        <v>437</v>
      </c>
      <c r="C13" s="467"/>
      <c r="D13" s="467"/>
      <c r="E13" s="467"/>
      <c r="F13" s="467"/>
      <c r="H13" s="315" t="s">
        <v>438</v>
      </c>
      <c r="I13" s="312"/>
      <c r="M13" s="310"/>
      <c r="N13" s="309"/>
      <c r="O13" s="309"/>
      <c r="P13" s="309"/>
    </row>
    <row r="14" spans="1:16" ht="13.15" x14ac:dyDescent="0.4">
      <c r="A14" s="218"/>
      <c r="B14" s="496" t="s">
        <v>439</v>
      </c>
      <c r="C14" s="497"/>
      <c r="D14" s="497"/>
      <c r="E14" s="497"/>
      <c r="F14" s="497"/>
      <c r="G14" s="497"/>
      <c r="H14" s="316"/>
      <c r="M14" s="310"/>
      <c r="N14" s="309"/>
      <c r="O14" s="309"/>
      <c r="P14" s="309"/>
    </row>
    <row r="15" spans="1:16" ht="13.15" x14ac:dyDescent="0.35">
      <c r="A15" s="218"/>
      <c r="B15" s="201" t="s">
        <v>440</v>
      </c>
      <c r="H15" s="306"/>
      <c r="M15" s="310"/>
      <c r="N15" s="309"/>
      <c r="O15" s="309"/>
      <c r="P15" s="309"/>
    </row>
    <row r="16" spans="1:16" x14ac:dyDescent="0.35">
      <c r="A16" s="218">
        <f>A13+1</f>
        <v>5</v>
      </c>
      <c r="B16" s="166" t="s">
        <v>441</v>
      </c>
      <c r="H16" s="315" t="s">
        <v>438</v>
      </c>
      <c r="I16" s="312"/>
      <c r="M16" s="310"/>
      <c r="N16" s="317"/>
      <c r="O16" s="317"/>
      <c r="P16" s="317"/>
    </row>
    <row r="17" spans="1:16" x14ac:dyDescent="0.35">
      <c r="A17" s="218">
        <f t="shared" si="0"/>
        <v>6</v>
      </c>
      <c r="B17" s="166" t="s">
        <v>442</v>
      </c>
      <c r="H17" s="315" t="s">
        <v>438</v>
      </c>
      <c r="I17" s="312"/>
      <c r="M17" s="318"/>
      <c r="N17" s="309"/>
      <c r="O17" s="309"/>
      <c r="P17" s="309"/>
    </row>
    <row r="18" spans="1:16" ht="13.15" x14ac:dyDescent="0.35">
      <c r="A18" s="218">
        <f t="shared" si="0"/>
        <v>7</v>
      </c>
      <c r="B18" s="166" t="s">
        <v>443</v>
      </c>
      <c r="H18" s="315" t="s">
        <v>438</v>
      </c>
      <c r="I18" s="312"/>
      <c r="M18" s="200"/>
      <c r="N18" s="200"/>
      <c r="O18" s="200"/>
      <c r="P18" s="200"/>
    </row>
    <row r="19" spans="1:16" ht="13.15" x14ac:dyDescent="0.35">
      <c r="A19" s="218">
        <f t="shared" si="0"/>
        <v>8</v>
      </c>
      <c r="B19" s="166" t="s">
        <v>444</v>
      </c>
      <c r="H19" s="319" t="s">
        <v>438</v>
      </c>
      <c r="M19" s="199"/>
      <c r="N19" s="199"/>
      <c r="O19" s="199"/>
      <c r="P19" s="199"/>
    </row>
    <row r="20" spans="1:16" x14ac:dyDescent="0.35">
      <c r="A20" s="218">
        <f t="shared" si="0"/>
        <v>9</v>
      </c>
      <c r="B20" s="166" t="s">
        <v>344</v>
      </c>
      <c r="H20" s="319" t="s">
        <v>438</v>
      </c>
      <c r="M20" s="310"/>
      <c r="N20" s="309"/>
      <c r="O20" s="309"/>
      <c r="P20" s="309"/>
    </row>
    <row r="21" spans="1:16" x14ac:dyDescent="0.35">
      <c r="A21" s="218">
        <f t="shared" si="0"/>
        <v>10</v>
      </c>
      <c r="B21" s="166" t="s">
        <v>445</v>
      </c>
      <c r="H21" s="319" t="s">
        <v>438</v>
      </c>
      <c r="M21" s="310"/>
      <c r="N21" s="309"/>
      <c r="O21" s="309"/>
      <c r="P21" s="309"/>
    </row>
    <row r="22" spans="1:16" x14ac:dyDescent="0.35">
      <c r="A22" s="218">
        <f t="shared" si="0"/>
        <v>11</v>
      </c>
      <c r="B22" s="166" t="s">
        <v>446</v>
      </c>
      <c r="H22" s="319" t="s">
        <v>438</v>
      </c>
      <c r="M22" s="310"/>
      <c r="N22" s="309"/>
      <c r="O22" s="309"/>
      <c r="P22" s="309"/>
    </row>
    <row r="23" spans="1:16" x14ac:dyDescent="0.35">
      <c r="A23" s="218">
        <f t="shared" si="0"/>
        <v>12</v>
      </c>
      <c r="B23" s="166" t="s">
        <v>447</v>
      </c>
      <c r="H23" s="319" t="s">
        <v>438</v>
      </c>
      <c r="M23" s="310"/>
      <c r="N23" s="309"/>
      <c r="O23" s="309"/>
      <c r="P23" s="309"/>
    </row>
    <row r="24" spans="1:16" x14ac:dyDescent="0.35">
      <c r="A24" s="218">
        <f t="shared" si="0"/>
        <v>13</v>
      </c>
      <c r="B24" s="166" t="s">
        <v>448</v>
      </c>
      <c r="H24" s="319" t="s">
        <v>438</v>
      </c>
      <c r="M24" s="310"/>
      <c r="N24" s="309"/>
      <c r="O24" s="309"/>
      <c r="P24" s="309"/>
    </row>
    <row r="25" spans="1:16" x14ac:dyDescent="0.35">
      <c r="A25" s="218">
        <f t="shared" si="0"/>
        <v>14</v>
      </c>
      <c r="B25" s="166" t="s">
        <v>349</v>
      </c>
      <c r="H25" s="320" t="s">
        <v>438</v>
      </c>
      <c r="M25" s="310"/>
      <c r="N25" s="309"/>
      <c r="O25" s="309"/>
      <c r="P25" s="309"/>
    </row>
    <row r="26" spans="1:16" x14ac:dyDescent="0.35">
      <c r="A26" s="218">
        <f t="shared" si="0"/>
        <v>15</v>
      </c>
      <c r="B26" s="166" t="s">
        <v>449</v>
      </c>
      <c r="H26" s="321"/>
      <c r="M26" s="310"/>
      <c r="N26" s="309"/>
      <c r="O26" s="309"/>
      <c r="P26" s="309"/>
    </row>
    <row r="27" spans="1:16" x14ac:dyDescent="0.35">
      <c r="A27" s="218">
        <f t="shared" si="0"/>
        <v>16</v>
      </c>
      <c r="B27" s="166" t="s">
        <v>450</v>
      </c>
      <c r="H27" s="322">
        <f>H26+365</f>
        <v>365</v>
      </c>
      <c r="M27" s="310"/>
      <c r="N27" s="309"/>
      <c r="O27" s="309"/>
      <c r="P27" s="309"/>
    </row>
    <row r="28" spans="1:16" ht="13.15" x14ac:dyDescent="0.4">
      <c r="A28" s="218"/>
      <c r="B28" s="299" t="s">
        <v>451</v>
      </c>
      <c r="M28" s="310"/>
      <c r="N28" s="309"/>
      <c r="O28" s="309"/>
      <c r="P28" s="309"/>
    </row>
    <row r="29" spans="1:16" x14ac:dyDescent="0.35">
      <c r="A29" s="218">
        <f>A27+1</f>
        <v>17</v>
      </c>
      <c r="B29" s="166" t="s">
        <v>452</v>
      </c>
      <c r="H29" s="319" t="s">
        <v>438</v>
      </c>
      <c r="I29" s="166">
        <v>4</v>
      </c>
      <c r="J29" s="166">
        <v>6</v>
      </c>
      <c r="K29" s="166">
        <v>14</v>
      </c>
      <c r="L29" s="166">
        <v>21</v>
      </c>
      <c r="M29" s="310">
        <v>25</v>
      </c>
      <c r="N29" s="309">
        <v>38</v>
      </c>
      <c r="O29" s="218">
        <v>50</v>
      </c>
      <c r="P29" s="218">
        <v>70</v>
      </c>
    </row>
    <row r="30" spans="1:16" x14ac:dyDescent="0.35">
      <c r="A30" s="218">
        <f t="shared" si="0"/>
        <v>18</v>
      </c>
      <c r="B30" s="166" t="s">
        <v>453</v>
      </c>
      <c r="H30" s="320" t="s">
        <v>438</v>
      </c>
      <c r="I30" s="166" t="str">
        <f>AUTO!B3</f>
        <v>LPA3 NAVAIR</v>
      </c>
      <c r="J30" s="166">
        <f>AUTO!B4</f>
        <v>63010062</v>
      </c>
      <c r="K30" s="166">
        <f>AUTO!B5</f>
        <v>1072</v>
      </c>
      <c r="L30" s="166">
        <f>AUTO!B6</f>
        <v>0</v>
      </c>
      <c r="M30" s="310" t="str">
        <f>AUTO!B7</f>
        <v>LPA3 NAVAIR #63010062 CALIBRATE</v>
      </c>
      <c r="N30" s="309">
        <f>AUTO!B8</f>
        <v>76</v>
      </c>
      <c r="O30" s="309">
        <f>AUTO!B9</f>
        <v>180</v>
      </c>
      <c r="P30" s="309">
        <f>AUTO!B10</f>
        <v>1020</v>
      </c>
    </row>
    <row r="31" spans="1:16" ht="13.15" x14ac:dyDescent="0.4">
      <c r="A31" s="218"/>
      <c r="B31" s="299" t="s">
        <v>355</v>
      </c>
      <c r="H31" s="323"/>
      <c r="M31" s="310"/>
      <c r="N31" s="309"/>
      <c r="O31" s="309"/>
      <c r="P31" s="309"/>
    </row>
    <row r="32" spans="1:16" ht="13.15" x14ac:dyDescent="0.35">
      <c r="A32" s="218">
        <f>A30+1</f>
        <v>19</v>
      </c>
      <c r="B32" s="166" t="s">
        <v>356</v>
      </c>
      <c r="H32" s="319" t="s">
        <v>438</v>
      </c>
      <c r="M32" s="199"/>
      <c r="N32" s="199"/>
      <c r="O32" s="199"/>
      <c r="P32" s="199"/>
    </row>
    <row r="33" spans="1:16" ht="14.45" customHeight="1" x14ac:dyDescent="0.35">
      <c r="A33" s="218">
        <f t="shared" si="0"/>
        <v>20</v>
      </c>
      <c r="B33" s="166" t="s">
        <v>357</v>
      </c>
      <c r="H33" s="319" t="s">
        <v>438</v>
      </c>
      <c r="M33" s="310"/>
      <c r="N33" s="309"/>
      <c r="O33" s="309"/>
      <c r="P33" s="309"/>
    </row>
    <row r="34" spans="1:16" ht="13.15" x14ac:dyDescent="0.35">
      <c r="A34" s="218">
        <f t="shared" si="0"/>
        <v>21</v>
      </c>
      <c r="B34" s="166" t="s">
        <v>454</v>
      </c>
      <c r="H34" s="319" t="s">
        <v>438</v>
      </c>
      <c r="M34" s="199"/>
      <c r="N34" s="199"/>
      <c r="O34" s="199"/>
      <c r="P34" s="199"/>
    </row>
    <row r="35" spans="1:16" x14ac:dyDescent="0.35">
      <c r="A35" s="218">
        <f t="shared" si="0"/>
        <v>22</v>
      </c>
      <c r="B35" s="166" t="s">
        <v>455</v>
      </c>
      <c r="H35" s="320" t="s">
        <v>438</v>
      </c>
      <c r="M35" s="310"/>
      <c r="N35" s="309"/>
      <c r="O35" s="309"/>
      <c r="P35" s="309"/>
    </row>
    <row r="36" spans="1:16" ht="13.15" x14ac:dyDescent="0.4">
      <c r="A36" s="218"/>
      <c r="B36" s="299" t="s">
        <v>360</v>
      </c>
      <c r="H36" s="323"/>
      <c r="M36" s="310"/>
      <c r="N36" s="309"/>
      <c r="O36" s="309"/>
      <c r="P36" s="309"/>
    </row>
    <row r="37" spans="1:16" x14ac:dyDescent="0.35">
      <c r="A37" s="218">
        <f>A35+1</f>
        <v>23</v>
      </c>
      <c r="B37" s="467" t="s">
        <v>456</v>
      </c>
      <c r="C37" s="467"/>
      <c r="D37" s="467"/>
      <c r="E37" s="467"/>
      <c r="H37" s="319" t="s">
        <v>438</v>
      </c>
      <c r="M37" s="310"/>
      <c r="N37" s="309"/>
      <c r="O37" s="309"/>
      <c r="P37" s="309"/>
    </row>
    <row r="38" spans="1:16" x14ac:dyDescent="0.35">
      <c r="A38" s="218">
        <f t="shared" si="0"/>
        <v>24</v>
      </c>
      <c r="B38" s="166" t="s">
        <v>362</v>
      </c>
      <c r="H38" s="319" t="s">
        <v>438</v>
      </c>
      <c r="M38" s="310"/>
      <c r="N38" s="309"/>
      <c r="O38" s="309"/>
      <c r="P38" s="309"/>
    </row>
    <row r="39" spans="1:16" ht="13.15" x14ac:dyDescent="0.35">
      <c r="A39" s="218">
        <f t="shared" si="0"/>
        <v>25</v>
      </c>
      <c r="B39" s="166" t="s">
        <v>457</v>
      </c>
      <c r="H39" s="319" t="s">
        <v>438</v>
      </c>
      <c r="M39" s="199"/>
      <c r="N39" s="199"/>
      <c r="O39" s="199"/>
      <c r="P39" s="199"/>
    </row>
    <row r="40" spans="1:16" x14ac:dyDescent="0.35">
      <c r="A40" s="218">
        <f t="shared" si="0"/>
        <v>26</v>
      </c>
      <c r="B40" s="166" t="s">
        <v>458</v>
      </c>
      <c r="H40" s="320" t="s">
        <v>438</v>
      </c>
      <c r="M40" s="310"/>
      <c r="N40" s="309"/>
      <c r="O40" s="309"/>
      <c r="P40" s="309"/>
    </row>
    <row r="41" spans="1:16" ht="13.15" x14ac:dyDescent="0.4">
      <c r="A41" s="218"/>
      <c r="B41" s="440" t="s">
        <v>459</v>
      </c>
      <c r="C41" s="440"/>
      <c r="H41" s="324"/>
      <c r="M41" s="310"/>
      <c r="N41" s="309"/>
      <c r="O41" s="309"/>
      <c r="P41" s="309"/>
    </row>
    <row r="42" spans="1:16" x14ac:dyDescent="0.35">
      <c r="A42" s="218">
        <f>A40+1</f>
        <v>27</v>
      </c>
      <c r="B42" s="467" t="s">
        <v>460</v>
      </c>
      <c r="C42" s="467"/>
      <c r="D42" s="467"/>
      <c r="E42" s="467"/>
      <c r="H42" s="320"/>
      <c r="M42" s="310"/>
      <c r="N42" s="309"/>
      <c r="O42" s="309"/>
      <c r="P42" s="309"/>
    </row>
    <row r="43" spans="1:16" ht="13.15" x14ac:dyDescent="0.35">
      <c r="A43" s="218">
        <f>A42+1</f>
        <v>28</v>
      </c>
      <c r="B43" s="166" t="s">
        <v>461</v>
      </c>
      <c r="H43" s="325"/>
      <c r="M43" s="199"/>
      <c r="N43" s="199"/>
      <c r="O43" s="199"/>
      <c r="P43" s="199"/>
    </row>
    <row r="44" spans="1:16" x14ac:dyDescent="0.35">
      <c r="A44" s="218">
        <f t="shared" si="0"/>
        <v>29</v>
      </c>
      <c r="B44" s="166" t="s">
        <v>462</v>
      </c>
      <c r="H44" s="319" t="s">
        <v>438</v>
      </c>
      <c r="M44" s="310"/>
      <c r="N44" s="309"/>
      <c r="O44" s="309"/>
      <c r="P44" s="309"/>
    </row>
    <row r="45" spans="1:16" x14ac:dyDescent="0.35">
      <c r="A45" s="218">
        <f t="shared" si="0"/>
        <v>30</v>
      </c>
      <c r="B45" s="467" t="s">
        <v>463</v>
      </c>
      <c r="C45" s="467"/>
      <c r="D45" s="467"/>
      <c r="E45" s="467"/>
      <c r="F45" s="467"/>
      <c r="G45" s="500"/>
      <c r="H45" s="319" t="s">
        <v>438</v>
      </c>
      <c r="I45" s="501" t="str">
        <f>'Cover Service Sheet'!D49</f>
        <v>-</v>
      </c>
      <c r="J45" s="502"/>
      <c r="K45" s="502"/>
      <c r="M45" s="310"/>
      <c r="N45" s="309"/>
      <c r="O45" s="309"/>
      <c r="P45" s="309"/>
    </row>
    <row r="46" spans="1:16" x14ac:dyDescent="0.35">
      <c r="A46" s="218">
        <f t="shared" si="0"/>
        <v>31</v>
      </c>
      <c r="B46" s="467" t="s">
        <v>464</v>
      </c>
      <c r="C46" s="467"/>
      <c r="D46" s="467"/>
      <c r="H46" s="320" t="s">
        <v>438</v>
      </c>
      <c r="M46" s="310"/>
      <c r="N46" s="309"/>
      <c r="O46" s="309"/>
      <c r="P46" s="309"/>
    </row>
    <row r="47" spans="1:16" x14ac:dyDescent="0.35">
      <c r="A47" s="218">
        <f t="shared" si="0"/>
        <v>32</v>
      </c>
      <c r="B47" s="166" t="s">
        <v>465</v>
      </c>
      <c r="H47" s="330"/>
      <c r="M47" s="310"/>
      <c r="N47" s="309"/>
      <c r="O47" s="309"/>
      <c r="P47" s="309"/>
    </row>
    <row r="48" spans="1:16" x14ac:dyDescent="0.35">
      <c r="A48" s="218">
        <f t="shared" si="0"/>
        <v>33</v>
      </c>
      <c r="B48" s="166" t="s">
        <v>466</v>
      </c>
      <c r="H48" s="330"/>
      <c r="M48" s="310"/>
      <c r="N48" s="309"/>
      <c r="O48" s="309"/>
      <c r="P48" s="309"/>
    </row>
    <row r="49" spans="1:16" x14ac:dyDescent="0.35">
      <c r="A49" s="218">
        <f t="shared" si="0"/>
        <v>34</v>
      </c>
      <c r="B49" s="166" t="s">
        <v>467</v>
      </c>
      <c r="H49" s="330"/>
      <c r="M49" s="310"/>
      <c r="N49" s="309"/>
      <c r="O49" s="309"/>
      <c r="P49" s="309"/>
    </row>
    <row r="50" spans="1:16" ht="13.15" x14ac:dyDescent="0.4">
      <c r="A50" s="218"/>
      <c r="B50" s="299" t="s">
        <v>372</v>
      </c>
      <c r="H50" s="323"/>
      <c r="M50" s="310"/>
      <c r="N50" s="309"/>
      <c r="O50" s="218"/>
      <c r="P50" s="218"/>
    </row>
    <row r="51" spans="1:16" x14ac:dyDescent="0.35">
      <c r="A51" s="218">
        <f>A49+1</f>
        <v>35</v>
      </c>
      <c r="B51" s="166" t="s">
        <v>468</v>
      </c>
      <c r="H51" s="325"/>
      <c r="M51" s="310"/>
      <c r="N51" s="309"/>
      <c r="O51" s="218"/>
      <c r="P51" s="218"/>
    </row>
    <row r="52" spans="1:16" x14ac:dyDescent="0.35">
      <c r="A52" s="218">
        <f t="shared" si="0"/>
        <v>36</v>
      </c>
      <c r="B52" s="166" t="s">
        <v>469</v>
      </c>
      <c r="H52" s="319" t="s">
        <v>438</v>
      </c>
      <c r="M52" s="310"/>
      <c r="N52" s="309"/>
      <c r="O52" s="309"/>
      <c r="P52" s="309"/>
    </row>
    <row r="53" spans="1:16" x14ac:dyDescent="0.35">
      <c r="A53" s="218">
        <f t="shared" si="0"/>
        <v>37</v>
      </c>
      <c r="B53" s="166" t="s">
        <v>470</v>
      </c>
      <c r="H53" s="320" t="s">
        <v>438</v>
      </c>
      <c r="M53" s="310"/>
      <c r="N53" s="309"/>
      <c r="O53" s="309"/>
      <c r="P53" s="309"/>
    </row>
    <row r="54" spans="1:16" x14ac:dyDescent="0.35">
      <c r="A54" s="218">
        <f t="shared" si="0"/>
        <v>38</v>
      </c>
      <c r="B54" s="166" t="s">
        <v>471</v>
      </c>
      <c r="H54" s="320"/>
      <c r="M54" s="310"/>
      <c r="N54" s="309"/>
      <c r="O54" s="309"/>
      <c r="P54" s="309"/>
    </row>
    <row r="55" spans="1:16" ht="13.15" x14ac:dyDescent="0.4">
      <c r="A55" s="218"/>
      <c r="B55" s="498" t="s">
        <v>472</v>
      </c>
      <c r="C55" s="499"/>
      <c r="D55" s="499"/>
      <c r="E55" s="499"/>
      <c r="F55" s="499"/>
      <c r="G55" s="499"/>
      <c r="M55" s="310"/>
      <c r="N55" s="309"/>
      <c r="O55" s="309"/>
      <c r="P55" s="309"/>
    </row>
    <row r="56" spans="1:16" ht="13.15" x14ac:dyDescent="0.4">
      <c r="A56" s="218"/>
      <c r="B56" s="299" t="s">
        <v>381</v>
      </c>
      <c r="M56" s="310"/>
      <c r="N56" s="309"/>
      <c r="O56" s="309"/>
      <c r="P56" s="309"/>
    </row>
    <row r="57" spans="1:16" x14ac:dyDescent="0.35">
      <c r="A57" s="218">
        <f>A54+1</f>
        <v>39</v>
      </c>
      <c r="B57" s="166" t="s">
        <v>473</v>
      </c>
      <c r="H57" s="320" t="s">
        <v>438</v>
      </c>
      <c r="M57" s="310"/>
      <c r="N57" s="309"/>
      <c r="O57" s="309"/>
      <c r="P57" s="309"/>
    </row>
    <row r="58" spans="1:16" x14ac:dyDescent="0.35">
      <c r="A58" s="218">
        <f t="shared" si="0"/>
        <v>40</v>
      </c>
      <c r="B58" s="166" t="s">
        <v>474</v>
      </c>
      <c r="H58" s="319" t="s">
        <v>438</v>
      </c>
      <c r="M58" s="310"/>
      <c r="N58" s="309"/>
      <c r="O58" s="309"/>
      <c r="P58" s="309"/>
    </row>
    <row r="59" spans="1:16" ht="13.15" x14ac:dyDescent="0.35">
      <c r="A59" s="218">
        <f t="shared" si="0"/>
        <v>41</v>
      </c>
      <c r="B59" s="166" t="s">
        <v>475</v>
      </c>
      <c r="H59" s="319" t="s">
        <v>438</v>
      </c>
      <c r="M59" s="199"/>
      <c r="N59" s="199"/>
      <c r="O59" s="199"/>
      <c r="P59" s="199"/>
    </row>
    <row r="60" spans="1:16" x14ac:dyDescent="0.35">
      <c r="A60" s="218">
        <f t="shared" si="0"/>
        <v>42</v>
      </c>
      <c r="B60" s="166" t="s">
        <v>385</v>
      </c>
      <c r="H60" s="319" t="s">
        <v>438</v>
      </c>
      <c r="M60" s="310"/>
      <c r="N60" s="309"/>
      <c r="O60" s="309"/>
      <c r="P60" s="309"/>
    </row>
    <row r="61" spans="1:16" x14ac:dyDescent="0.35">
      <c r="A61" s="218">
        <f t="shared" si="0"/>
        <v>43</v>
      </c>
      <c r="B61" s="467" t="s">
        <v>476</v>
      </c>
      <c r="C61" s="467"/>
      <c r="D61" s="467"/>
      <c r="E61" s="467"/>
      <c r="F61" s="467"/>
      <c r="H61" s="320" t="s">
        <v>438</v>
      </c>
      <c r="M61" s="310"/>
      <c r="N61" s="309"/>
      <c r="O61" s="309"/>
      <c r="P61" s="309"/>
    </row>
    <row r="62" spans="1:16" ht="13.15" x14ac:dyDescent="0.4">
      <c r="A62" s="218"/>
      <c r="B62" s="299" t="s">
        <v>477</v>
      </c>
      <c r="H62" s="316"/>
      <c r="M62" s="310"/>
      <c r="N62" s="309"/>
      <c r="O62" s="309"/>
      <c r="P62" s="309"/>
    </row>
    <row r="63" spans="1:16" x14ac:dyDescent="0.35">
      <c r="A63" s="218">
        <f>A61</f>
        <v>43</v>
      </c>
      <c r="B63" s="166" t="s">
        <v>478</v>
      </c>
      <c r="H63" s="319" t="s">
        <v>438</v>
      </c>
      <c r="M63" s="310"/>
      <c r="N63" s="309"/>
      <c r="O63" s="218"/>
      <c r="P63" s="218"/>
    </row>
    <row r="64" spans="1:16" x14ac:dyDescent="0.35">
      <c r="A64" s="218">
        <f t="shared" si="0"/>
        <v>44</v>
      </c>
      <c r="B64" s="166" t="s">
        <v>396</v>
      </c>
      <c r="H64" s="319" t="s">
        <v>438</v>
      </c>
      <c r="M64" s="310"/>
      <c r="N64" s="309"/>
      <c r="O64" s="309"/>
      <c r="P64" s="309"/>
    </row>
    <row r="65" spans="1:16" x14ac:dyDescent="0.35">
      <c r="A65" s="218">
        <f t="shared" si="0"/>
        <v>45</v>
      </c>
      <c r="B65" s="166" t="s">
        <v>390</v>
      </c>
      <c r="H65" s="319" t="s">
        <v>438</v>
      </c>
      <c r="M65" s="310"/>
      <c r="N65" s="309"/>
      <c r="O65" s="309"/>
      <c r="P65" s="309"/>
    </row>
    <row r="66" spans="1:16" x14ac:dyDescent="0.35">
      <c r="A66" s="218">
        <f t="shared" si="0"/>
        <v>46</v>
      </c>
      <c r="B66" s="166" t="s">
        <v>391</v>
      </c>
      <c r="H66" s="319" t="s">
        <v>438</v>
      </c>
      <c r="M66" s="310"/>
      <c r="N66" s="309"/>
      <c r="O66" s="309"/>
      <c r="P66" s="309"/>
    </row>
    <row r="67" spans="1:16" x14ac:dyDescent="0.35">
      <c r="A67" s="218">
        <f t="shared" si="0"/>
        <v>47</v>
      </c>
      <c r="B67" s="166" t="s">
        <v>390</v>
      </c>
      <c r="H67" s="319" t="s">
        <v>438</v>
      </c>
      <c r="M67" s="310"/>
      <c r="N67" s="309"/>
      <c r="O67" s="309"/>
      <c r="P67" s="309"/>
    </row>
    <row r="68" spans="1:16" x14ac:dyDescent="0.35">
      <c r="A68" s="218">
        <f t="shared" si="0"/>
        <v>48</v>
      </c>
      <c r="B68" s="166" t="s">
        <v>479</v>
      </c>
      <c r="H68" s="319" t="s">
        <v>438</v>
      </c>
      <c r="M68" s="310"/>
      <c r="N68" s="309"/>
      <c r="O68" s="218"/>
      <c r="P68" s="218"/>
    </row>
    <row r="69" spans="1:16" x14ac:dyDescent="0.35">
      <c r="A69" s="218">
        <f t="shared" si="0"/>
        <v>49</v>
      </c>
      <c r="B69" s="166" t="s">
        <v>398</v>
      </c>
      <c r="H69" s="319" t="s">
        <v>438</v>
      </c>
      <c r="M69" s="310"/>
      <c r="N69" s="309"/>
      <c r="O69" s="309"/>
      <c r="P69" s="309"/>
    </row>
    <row r="70" spans="1:16" ht="13.15" x14ac:dyDescent="0.35">
      <c r="A70" s="218">
        <f t="shared" si="0"/>
        <v>50</v>
      </c>
      <c r="B70" s="166" t="s">
        <v>480</v>
      </c>
      <c r="H70" s="320" t="s">
        <v>438</v>
      </c>
      <c r="M70" s="199"/>
      <c r="N70" s="199"/>
      <c r="O70" s="199"/>
      <c r="P70" s="199"/>
    </row>
    <row r="71" spans="1:16" x14ac:dyDescent="0.35">
      <c r="A71" s="218">
        <f t="shared" si="0"/>
        <v>51</v>
      </c>
      <c r="B71" s="467" t="s">
        <v>481</v>
      </c>
      <c r="C71" s="467"/>
      <c r="D71" s="467"/>
      <c r="E71" s="467"/>
      <c r="F71" s="467"/>
      <c r="G71" s="500"/>
      <c r="H71" s="320" t="s">
        <v>438</v>
      </c>
      <c r="I71" s="501">
        <f>'Cover Service Sheet'!D50</f>
        <v>0</v>
      </c>
      <c r="J71" s="502"/>
      <c r="K71" s="502"/>
      <c r="M71" s="310"/>
      <c r="N71" s="309"/>
      <c r="O71" s="309"/>
      <c r="P71" s="309"/>
    </row>
    <row r="72" spans="1:16" ht="13.15" x14ac:dyDescent="0.4">
      <c r="A72" s="218"/>
      <c r="B72" s="299" t="s">
        <v>401</v>
      </c>
      <c r="H72" s="323"/>
      <c r="M72" s="310"/>
      <c r="N72" s="309"/>
      <c r="O72" s="309"/>
      <c r="P72" s="309"/>
    </row>
    <row r="73" spans="1:16" x14ac:dyDescent="0.35">
      <c r="A73" s="218">
        <f>A71+1</f>
        <v>52</v>
      </c>
      <c r="B73" s="166" t="s">
        <v>482</v>
      </c>
      <c r="H73" s="319" t="s">
        <v>438</v>
      </c>
      <c r="M73" s="310"/>
      <c r="N73" s="309"/>
      <c r="O73" s="309"/>
      <c r="P73" s="309"/>
    </row>
    <row r="74" spans="1:16" x14ac:dyDescent="0.35">
      <c r="A74" s="218">
        <f t="shared" ref="A74:A98" si="1">A73+1</f>
        <v>53</v>
      </c>
      <c r="B74" s="166" t="s">
        <v>483</v>
      </c>
      <c r="H74" s="319" t="s">
        <v>438</v>
      </c>
      <c r="M74" s="310"/>
      <c r="N74" s="309"/>
      <c r="O74" s="309"/>
      <c r="P74" s="309"/>
    </row>
    <row r="75" spans="1:16" ht="13.15" x14ac:dyDescent="0.35">
      <c r="A75" s="218">
        <f t="shared" si="1"/>
        <v>54</v>
      </c>
      <c r="B75" s="166" t="s">
        <v>484</v>
      </c>
      <c r="H75" s="319" t="s">
        <v>438</v>
      </c>
      <c r="M75" s="199"/>
      <c r="N75" s="199"/>
      <c r="O75" s="199"/>
      <c r="P75" s="199"/>
    </row>
    <row r="76" spans="1:16" x14ac:dyDescent="0.35">
      <c r="A76" s="218">
        <f t="shared" si="1"/>
        <v>55</v>
      </c>
      <c r="B76" s="166" t="s">
        <v>405</v>
      </c>
      <c r="H76" s="320" t="s">
        <v>438</v>
      </c>
      <c r="M76" s="310"/>
      <c r="N76" s="309"/>
      <c r="O76" s="309"/>
      <c r="P76" s="309"/>
    </row>
    <row r="77" spans="1:16" ht="13.15" x14ac:dyDescent="0.4">
      <c r="A77" s="218"/>
      <c r="B77" s="299" t="s">
        <v>485</v>
      </c>
      <c r="H77" s="316"/>
      <c r="M77" s="310"/>
      <c r="N77" s="326"/>
      <c r="O77" s="326"/>
      <c r="P77" s="326"/>
    </row>
    <row r="78" spans="1:16" x14ac:dyDescent="0.35">
      <c r="A78" s="218">
        <f>A76+1</f>
        <v>56</v>
      </c>
      <c r="B78" s="166" t="s">
        <v>486</v>
      </c>
      <c r="H78" s="306"/>
      <c r="M78" s="310"/>
      <c r="N78" s="309"/>
      <c r="O78" s="309"/>
      <c r="P78" s="309"/>
    </row>
    <row r="79" spans="1:16" x14ac:dyDescent="0.35">
      <c r="A79" s="218">
        <f t="shared" si="1"/>
        <v>57</v>
      </c>
      <c r="B79" s="166" t="s">
        <v>408</v>
      </c>
      <c r="H79" s="331"/>
      <c r="M79" s="310"/>
      <c r="N79" s="309"/>
      <c r="O79" s="309"/>
      <c r="P79" s="309"/>
    </row>
    <row r="80" spans="1:16" x14ac:dyDescent="0.35">
      <c r="A80" s="218">
        <f t="shared" si="1"/>
        <v>58</v>
      </c>
      <c r="B80" s="166" t="s">
        <v>487</v>
      </c>
      <c r="H80" s="330"/>
      <c r="M80" s="310"/>
      <c r="N80" s="309"/>
      <c r="O80" s="309"/>
      <c r="P80" s="309"/>
    </row>
    <row r="81" spans="1:16" x14ac:dyDescent="0.35">
      <c r="A81" s="218">
        <f t="shared" si="1"/>
        <v>59</v>
      </c>
      <c r="B81" s="166" t="s">
        <v>488</v>
      </c>
      <c r="H81" s="332"/>
      <c r="M81" s="310"/>
      <c r="N81" s="309"/>
      <c r="O81" s="309"/>
      <c r="P81" s="309"/>
    </row>
    <row r="82" spans="1:16" ht="13.15" x14ac:dyDescent="0.35">
      <c r="A82" s="218">
        <f t="shared" si="1"/>
        <v>60</v>
      </c>
      <c r="B82" s="166" t="s">
        <v>489</v>
      </c>
      <c r="H82" s="319" t="s">
        <v>438</v>
      </c>
      <c r="M82" s="198"/>
      <c r="N82" s="309"/>
      <c r="O82" s="309"/>
      <c r="P82" s="309"/>
    </row>
    <row r="83" spans="1:16" x14ac:dyDescent="0.35">
      <c r="A83" s="218">
        <f t="shared" si="1"/>
        <v>61</v>
      </c>
      <c r="B83" s="166" t="s">
        <v>412</v>
      </c>
      <c r="H83" s="320" t="s">
        <v>438</v>
      </c>
      <c r="M83" s="310"/>
      <c r="N83" s="309"/>
      <c r="O83" s="218"/>
      <c r="P83" s="218"/>
    </row>
    <row r="84" spans="1:16" ht="13.15" x14ac:dyDescent="0.4">
      <c r="A84" s="218"/>
      <c r="B84" s="299" t="s">
        <v>386</v>
      </c>
      <c r="H84" s="323"/>
      <c r="M84" s="310"/>
      <c r="N84" s="309"/>
      <c r="O84" s="309"/>
      <c r="P84" s="309"/>
    </row>
    <row r="85" spans="1:16" x14ac:dyDescent="0.35">
      <c r="A85" s="218">
        <f>A83+1</f>
        <v>62</v>
      </c>
      <c r="B85" s="166" t="s">
        <v>490</v>
      </c>
      <c r="H85" s="319" t="s">
        <v>438</v>
      </c>
      <c r="M85" s="310"/>
      <c r="N85" s="309"/>
      <c r="O85" s="309"/>
      <c r="P85" s="309"/>
    </row>
    <row r="86" spans="1:16" x14ac:dyDescent="0.35">
      <c r="A86" s="218">
        <f t="shared" si="1"/>
        <v>63</v>
      </c>
      <c r="B86" s="166" t="s">
        <v>414</v>
      </c>
      <c r="H86" s="319" t="s">
        <v>438</v>
      </c>
      <c r="M86" s="310"/>
      <c r="N86" s="309"/>
      <c r="O86" s="309"/>
      <c r="P86" s="309"/>
    </row>
    <row r="87" spans="1:16" x14ac:dyDescent="0.35">
      <c r="A87" s="218">
        <f t="shared" si="1"/>
        <v>64</v>
      </c>
      <c r="B87" s="166" t="s">
        <v>491</v>
      </c>
      <c r="H87" s="319" t="s">
        <v>438</v>
      </c>
      <c r="M87" s="310"/>
      <c r="N87" s="309"/>
      <c r="O87" s="309"/>
      <c r="P87" s="309"/>
    </row>
    <row r="88" spans="1:16" x14ac:dyDescent="0.35">
      <c r="A88" s="218">
        <f t="shared" si="1"/>
        <v>65</v>
      </c>
      <c r="B88" s="166" t="s">
        <v>416</v>
      </c>
      <c r="H88" s="319" t="s">
        <v>438</v>
      </c>
      <c r="M88" s="310"/>
      <c r="N88" s="309"/>
      <c r="O88" s="218"/>
      <c r="P88" s="218"/>
    </row>
    <row r="89" spans="1:16" ht="13.15" x14ac:dyDescent="0.35">
      <c r="A89" s="218">
        <f t="shared" si="1"/>
        <v>66</v>
      </c>
      <c r="B89" s="166" t="s">
        <v>492</v>
      </c>
      <c r="H89" s="319" t="s">
        <v>438</v>
      </c>
      <c r="M89" s="199"/>
      <c r="N89" s="199"/>
      <c r="O89" s="199"/>
      <c r="P89" s="199"/>
    </row>
    <row r="90" spans="1:16" x14ac:dyDescent="0.35">
      <c r="A90" s="218">
        <f t="shared" si="1"/>
        <v>67</v>
      </c>
      <c r="B90" s="166" t="s">
        <v>493</v>
      </c>
      <c r="H90" s="319" t="s">
        <v>438</v>
      </c>
      <c r="M90" s="310"/>
      <c r="N90" s="309"/>
      <c r="O90" s="309"/>
      <c r="P90" s="309"/>
    </row>
    <row r="91" spans="1:16" x14ac:dyDescent="0.35">
      <c r="A91" s="218">
        <f t="shared" si="1"/>
        <v>68</v>
      </c>
      <c r="B91" s="166" t="s">
        <v>419</v>
      </c>
      <c r="H91" s="319" t="s">
        <v>438</v>
      </c>
      <c r="M91" s="310"/>
      <c r="N91" s="309"/>
      <c r="O91" s="309"/>
      <c r="P91" s="309"/>
    </row>
    <row r="92" spans="1:16" x14ac:dyDescent="0.35">
      <c r="A92" s="218">
        <f t="shared" si="1"/>
        <v>69</v>
      </c>
      <c r="B92" s="166" t="s">
        <v>494</v>
      </c>
      <c r="H92" s="319" t="s">
        <v>438</v>
      </c>
    </row>
    <row r="93" spans="1:16" x14ac:dyDescent="0.35">
      <c r="A93" s="218">
        <f t="shared" si="1"/>
        <v>70</v>
      </c>
      <c r="B93" s="166" t="s">
        <v>495</v>
      </c>
      <c r="H93" s="320" t="s">
        <v>438</v>
      </c>
    </row>
    <row r="94" spans="1:16" ht="13.15" x14ac:dyDescent="0.4">
      <c r="A94" s="218"/>
      <c r="B94" s="299" t="s">
        <v>422</v>
      </c>
      <c r="H94" s="323"/>
    </row>
    <row r="95" spans="1:16" x14ac:dyDescent="0.35">
      <c r="A95" s="218">
        <f>A93+1</f>
        <v>71</v>
      </c>
      <c r="B95" s="166" t="s">
        <v>496</v>
      </c>
      <c r="H95" s="319" t="s">
        <v>438</v>
      </c>
    </row>
    <row r="96" spans="1:16" ht="13.15" x14ac:dyDescent="0.4">
      <c r="A96" s="218"/>
      <c r="B96" s="299"/>
      <c r="C96" s="299"/>
      <c r="H96" s="316"/>
    </row>
    <row r="97" spans="1:9" x14ac:dyDescent="0.35">
      <c r="A97" s="218">
        <f>A95+1</f>
        <v>72</v>
      </c>
      <c r="B97" s="166" t="s">
        <v>497</v>
      </c>
      <c r="H97" s="492"/>
      <c r="I97" s="493"/>
    </row>
    <row r="98" spans="1:9" x14ac:dyDescent="0.35">
      <c r="A98" s="218">
        <f t="shared" si="1"/>
        <v>73</v>
      </c>
      <c r="B98" s="166" t="s">
        <v>236</v>
      </c>
      <c r="H98" s="494"/>
      <c r="I98" s="495"/>
    </row>
    <row r="100" spans="1:9" ht="13.15" x14ac:dyDescent="0.4">
      <c r="B100" s="299" t="s">
        <v>498</v>
      </c>
    </row>
    <row r="101" spans="1:9" ht="13.5" x14ac:dyDescent="0.35">
      <c r="B101" s="305" t="s">
        <v>499</v>
      </c>
      <c r="C101" s="304"/>
      <c r="D101" s="304"/>
      <c r="E101" s="304"/>
    </row>
    <row r="102" spans="1:9" ht="13.5" x14ac:dyDescent="0.35">
      <c r="B102" s="305" t="s">
        <v>500</v>
      </c>
      <c r="C102" s="304"/>
      <c r="D102" s="304"/>
      <c r="E102" s="304"/>
    </row>
    <row r="103" spans="1:9" ht="13.5" x14ac:dyDescent="0.35">
      <c r="B103" s="305" t="s">
        <v>501</v>
      </c>
      <c r="C103" s="304"/>
      <c r="D103" s="304"/>
      <c r="E103" s="304"/>
    </row>
    <row r="104" spans="1:9" ht="13.5" x14ac:dyDescent="0.35">
      <c r="B104" s="305" t="s">
        <v>502</v>
      </c>
      <c r="C104" s="304"/>
      <c r="D104" s="304"/>
      <c r="E104" s="304"/>
    </row>
    <row r="105" spans="1:9" ht="13.5" x14ac:dyDescent="0.35">
      <c r="B105" s="305" t="s">
        <v>503</v>
      </c>
      <c r="C105" s="304"/>
      <c r="D105" s="304"/>
      <c r="E105" s="304"/>
    </row>
    <row r="106" spans="1:9" ht="13.5" x14ac:dyDescent="0.35">
      <c r="B106" s="305" t="s">
        <v>504</v>
      </c>
      <c r="C106" s="304"/>
      <c r="D106" s="304"/>
      <c r="E106" s="304"/>
    </row>
    <row r="107" spans="1:9" ht="13.5" x14ac:dyDescent="0.35">
      <c r="B107" s="305" t="s">
        <v>505</v>
      </c>
      <c r="C107" s="304"/>
      <c r="D107" s="304"/>
      <c r="E107" s="304"/>
    </row>
    <row r="108" spans="1:9" ht="13.5" x14ac:dyDescent="0.35">
      <c r="B108" s="305" t="s">
        <v>54</v>
      </c>
      <c r="C108" s="304"/>
      <c r="D108" s="304"/>
      <c r="E108" s="304"/>
    </row>
    <row r="109" spans="1:9" ht="13.5" x14ac:dyDescent="0.35">
      <c r="B109" s="305" t="s">
        <v>506</v>
      </c>
      <c r="C109" s="304"/>
      <c r="D109" s="304"/>
      <c r="E109" s="304"/>
    </row>
    <row r="110" spans="1:9" ht="13.5" x14ac:dyDescent="0.35">
      <c r="B110" s="305" t="s">
        <v>507</v>
      </c>
      <c r="C110" s="304"/>
      <c r="D110" s="304"/>
      <c r="E110" s="304"/>
    </row>
    <row r="111" spans="1:9" ht="13.5" x14ac:dyDescent="0.35">
      <c r="B111" s="305" t="s">
        <v>508</v>
      </c>
      <c r="C111" s="304"/>
      <c r="D111" s="304"/>
      <c r="E111" s="304"/>
    </row>
    <row r="112" spans="1:9" ht="13.5" x14ac:dyDescent="0.35">
      <c r="B112" s="305" t="s">
        <v>509</v>
      </c>
      <c r="C112" s="304"/>
      <c r="D112" s="304"/>
      <c r="E112" s="304"/>
    </row>
    <row r="113" spans="2:5" ht="13.5" x14ac:dyDescent="0.35">
      <c r="B113" s="305" t="s">
        <v>510</v>
      </c>
      <c r="C113" s="304"/>
      <c r="D113" s="304"/>
      <c r="E113" s="304"/>
    </row>
    <row r="114" spans="2:5" ht="13.5" x14ac:dyDescent="0.35">
      <c r="B114" s="305" t="s">
        <v>511</v>
      </c>
      <c r="C114" s="304"/>
      <c r="D114" s="304"/>
      <c r="E114" s="304"/>
    </row>
    <row r="115" spans="2:5" ht="13.5" x14ac:dyDescent="0.35">
      <c r="B115" s="305" t="s">
        <v>512</v>
      </c>
      <c r="C115" s="304"/>
      <c r="D115" s="304"/>
      <c r="E115" s="304"/>
    </row>
    <row r="116" spans="2:5" ht="13.5" x14ac:dyDescent="0.35">
      <c r="B116" s="305" t="s">
        <v>513</v>
      </c>
      <c r="C116" s="304"/>
      <c r="D116" s="304"/>
      <c r="E116" s="304"/>
    </row>
    <row r="117" spans="2:5" x14ac:dyDescent="0.35">
      <c r="B117" s="310"/>
    </row>
    <row r="118" spans="2:5" x14ac:dyDescent="0.35">
      <c r="B118" s="310"/>
    </row>
  </sheetData>
  <sheetProtection sheet="1" objects="1" scenarios="1"/>
  <mergeCells count="20">
    <mergeCell ref="B11:E11"/>
    <mergeCell ref="B13:F13"/>
    <mergeCell ref="H97:I97"/>
    <mergeCell ref="H98:I98"/>
    <mergeCell ref="B14:G14"/>
    <mergeCell ref="B55:G55"/>
    <mergeCell ref="B37:E37"/>
    <mergeCell ref="B46:D46"/>
    <mergeCell ref="B41:C41"/>
    <mergeCell ref="B42:E42"/>
    <mergeCell ref="B61:F61"/>
    <mergeCell ref="B45:G45"/>
    <mergeCell ref="I45:K45"/>
    <mergeCell ref="B71:G71"/>
    <mergeCell ref="I71:K71"/>
    <mergeCell ref="H3:I3"/>
    <mergeCell ref="H4:I4"/>
    <mergeCell ref="H5:I5"/>
    <mergeCell ref="H6:I6"/>
    <mergeCell ref="H7:I7"/>
  </mergeCells>
  <dataValidations count="1">
    <dataValidation type="list" allowBlank="1" showInputMessage="1" showErrorMessage="1" sqref="H97:I97" xr:uid="{D17F046C-9065-4821-9AE8-C4E4A23C2ECF}">
      <formula1>"C Jones, A Hayward, B Brown, G Salf, A Mustoe, S Mosson, L Harding, L Massaro, J Odom"</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37579" r:id="rId4" name="Check Box 11">
              <controlPr defaultSize="0" autoFill="0" autoLine="0" autoPict="0">
                <anchor moveWithCells="1">
                  <from>
                    <xdr:col>7</xdr:col>
                    <xdr:colOff>171450</xdr:colOff>
                    <xdr:row>8</xdr:row>
                    <xdr:rowOff>133350</xdr:rowOff>
                  </from>
                  <to>
                    <xdr:col>8</xdr:col>
                    <xdr:colOff>57150</xdr:colOff>
                    <xdr:row>10</xdr:row>
                    <xdr:rowOff>19050</xdr:rowOff>
                  </to>
                </anchor>
              </controlPr>
            </control>
          </mc:Choice>
        </mc:AlternateContent>
        <mc:AlternateContent xmlns:mc="http://schemas.openxmlformats.org/markup-compatibility/2006">
          <mc:Choice Requires="x14">
            <control shapeId="237580" r:id="rId5" name="Check Box 12">
              <controlPr defaultSize="0" autoFill="0" autoLine="0" autoPict="0">
                <anchor moveWithCells="1">
                  <from>
                    <xdr:col>7</xdr:col>
                    <xdr:colOff>171450</xdr:colOff>
                    <xdr:row>9</xdr:row>
                    <xdr:rowOff>142875</xdr:rowOff>
                  </from>
                  <to>
                    <xdr:col>8</xdr:col>
                    <xdr:colOff>47625</xdr:colOff>
                    <xdr:row>11</xdr:row>
                    <xdr:rowOff>19050</xdr:rowOff>
                  </to>
                </anchor>
              </controlPr>
            </control>
          </mc:Choice>
        </mc:AlternateContent>
        <mc:AlternateContent xmlns:mc="http://schemas.openxmlformats.org/markup-compatibility/2006">
          <mc:Choice Requires="x14">
            <control shapeId="237581" r:id="rId6" name="Check Box 13">
              <controlPr defaultSize="0" autoFill="0" autoLine="0" autoPict="0">
                <anchor moveWithCells="1">
                  <from>
                    <xdr:col>7</xdr:col>
                    <xdr:colOff>180975</xdr:colOff>
                    <xdr:row>11</xdr:row>
                    <xdr:rowOff>133350</xdr:rowOff>
                  </from>
                  <to>
                    <xdr:col>8</xdr:col>
                    <xdr:colOff>57150</xdr:colOff>
                    <xdr:row>13</xdr:row>
                    <xdr:rowOff>19050</xdr:rowOff>
                  </to>
                </anchor>
              </controlPr>
            </control>
          </mc:Choice>
        </mc:AlternateContent>
        <mc:AlternateContent xmlns:mc="http://schemas.openxmlformats.org/markup-compatibility/2006">
          <mc:Choice Requires="x14">
            <control shapeId="237582" r:id="rId7" name="Check Box 14">
              <controlPr defaultSize="0" autoFill="0" autoLine="0" autoPict="0">
                <anchor moveWithCells="1">
                  <from>
                    <xdr:col>7</xdr:col>
                    <xdr:colOff>180975</xdr:colOff>
                    <xdr:row>14</xdr:row>
                    <xdr:rowOff>133350</xdr:rowOff>
                  </from>
                  <to>
                    <xdr:col>8</xdr:col>
                    <xdr:colOff>57150</xdr:colOff>
                    <xdr:row>16</xdr:row>
                    <xdr:rowOff>19050</xdr:rowOff>
                  </to>
                </anchor>
              </controlPr>
            </control>
          </mc:Choice>
        </mc:AlternateContent>
        <mc:AlternateContent xmlns:mc="http://schemas.openxmlformats.org/markup-compatibility/2006">
          <mc:Choice Requires="x14">
            <control shapeId="237583" r:id="rId8" name="Check Box 15">
              <controlPr defaultSize="0" autoFill="0" autoLine="0" autoPict="0">
                <anchor moveWithCells="1">
                  <from>
                    <xdr:col>7</xdr:col>
                    <xdr:colOff>180975</xdr:colOff>
                    <xdr:row>15</xdr:row>
                    <xdr:rowOff>133350</xdr:rowOff>
                  </from>
                  <to>
                    <xdr:col>8</xdr:col>
                    <xdr:colOff>57150</xdr:colOff>
                    <xdr:row>17</xdr:row>
                    <xdr:rowOff>19050</xdr:rowOff>
                  </to>
                </anchor>
              </controlPr>
            </control>
          </mc:Choice>
        </mc:AlternateContent>
        <mc:AlternateContent xmlns:mc="http://schemas.openxmlformats.org/markup-compatibility/2006">
          <mc:Choice Requires="x14">
            <control shapeId="237584" r:id="rId9" name="Check Box 16">
              <controlPr defaultSize="0" autoFill="0" autoLine="0" autoPict="0">
                <anchor moveWithCells="1">
                  <from>
                    <xdr:col>7</xdr:col>
                    <xdr:colOff>180975</xdr:colOff>
                    <xdr:row>16</xdr:row>
                    <xdr:rowOff>133350</xdr:rowOff>
                  </from>
                  <to>
                    <xdr:col>8</xdr:col>
                    <xdr:colOff>57150</xdr:colOff>
                    <xdr:row>18</xdr:row>
                    <xdr:rowOff>19050</xdr:rowOff>
                  </to>
                </anchor>
              </controlPr>
            </control>
          </mc:Choice>
        </mc:AlternateContent>
        <mc:AlternateContent xmlns:mc="http://schemas.openxmlformats.org/markup-compatibility/2006">
          <mc:Choice Requires="x14">
            <control shapeId="237585" r:id="rId10" name="Check Box 17">
              <controlPr defaultSize="0" autoFill="0" autoLine="0" autoPict="0">
                <anchor moveWithCells="1">
                  <from>
                    <xdr:col>7</xdr:col>
                    <xdr:colOff>180975</xdr:colOff>
                    <xdr:row>17</xdr:row>
                    <xdr:rowOff>133350</xdr:rowOff>
                  </from>
                  <to>
                    <xdr:col>8</xdr:col>
                    <xdr:colOff>57150</xdr:colOff>
                    <xdr:row>19</xdr:row>
                    <xdr:rowOff>19050</xdr:rowOff>
                  </to>
                </anchor>
              </controlPr>
            </control>
          </mc:Choice>
        </mc:AlternateContent>
        <mc:AlternateContent xmlns:mc="http://schemas.openxmlformats.org/markup-compatibility/2006">
          <mc:Choice Requires="x14">
            <control shapeId="237586" r:id="rId11" name="Check Box 18">
              <controlPr defaultSize="0" autoFill="0" autoLine="0" autoPict="0">
                <anchor moveWithCells="1">
                  <from>
                    <xdr:col>7</xdr:col>
                    <xdr:colOff>180975</xdr:colOff>
                    <xdr:row>18</xdr:row>
                    <xdr:rowOff>133350</xdr:rowOff>
                  </from>
                  <to>
                    <xdr:col>8</xdr:col>
                    <xdr:colOff>57150</xdr:colOff>
                    <xdr:row>20</xdr:row>
                    <xdr:rowOff>19050</xdr:rowOff>
                  </to>
                </anchor>
              </controlPr>
            </control>
          </mc:Choice>
        </mc:AlternateContent>
        <mc:AlternateContent xmlns:mc="http://schemas.openxmlformats.org/markup-compatibility/2006">
          <mc:Choice Requires="x14">
            <control shapeId="237587" r:id="rId12" name="Check Box 19">
              <controlPr defaultSize="0" autoFill="0" autoLine="0" autoPict="0">
                <anchor moveWithCells="1">
                  <from>
                    <xdr:col>7</xdr:col>
                    <xdr:colOff>180975</xdr:colOff>
                    <xdr:row>19</xdr:row>
                    <xdr:rowOff>133350</xdr:rowOff>
                  </from>
                  <to>
                    <xdr:col>8</xdr:col>
                    <xdr:colOff>57150</xdr:colOff>
                    <xdr:row>21</xdr:row>
                    <xdr:rowOff>19050</xdr:rowOff>
                  </to>
                </anchor>
              </controlPr>
            </control>
          </mc:Choice>
        </mc:AlternateContent>
        <mc:AlternateContent xmlns:mc="http://schemas.openxmlformats.org/markup-compatibility/2006">
          <mc:Choice Requires="x14">
            <control shapeId="237588" r:id="rId13" name="Check Box 20">
              <controlPr defaultSize="0" autoFill="0" autoLine="0" autoPict="0">
                <anchor moveWithCells="1">
                  <from>
                    <xdr:col>7</xdr:col>
                    <xdr:colOff>180975</xdr:colOff>
                    <xdr:row>20</xdr:row>
                    <xdr:rowOff>133350</xdr:rowOff>
                  </from>
                  <to>
                    <xdr:col>8</xdr:col>
                    <xdr:colOff>57150</xdr:colOff>
                    <xdr:row>22</xdr:row>
                    <xdr:rowOff>19050</xdr:rowOff>
                  </to>
                </anchor>
              </controlPr>
            </control>
          </mc:Choice>
        </mc:AlternateContent>
        <mc:AlternateContent xmlns:mc="http://schemas.openxmlformats.org/markup-compatibility/2006">
          <mc:Choice Requires="x14">
            <control shapeId="237589" r:id="rId14" name="Check Box 21">
              <controlPr defaultSize="0" autoFill="0" autoLine="0" autoPict="0">
                <anchor moveWithCells="1">
                  <from>
                    <xdr:col>7</xdr:col>
                    <xdr:colOff>180975</xdr:colOff>
                    <xdr:row>21</xdr:row>
                    <xdr:rowOff>133350</xdr:rowOff>
                  </from>
                  <to>
                    <xdr:col>8</xdr:col>
                    <xdr:colOff>57150</xdr:colOff>
                    <xdr:row>23</xdr:row>
                    <xdr:rowOff>19050</xdr:rowOff>
                  </to>
                </anchor>
              </controlPr>
            </control>
          </mc:Choice>
        </mc:AlternateContent>
        <mc:AlternateContent xmlns:mc="http://schemas.openxmlformats.org/markup-compatibility/2006">
          <mc:Choice Requires="x14">
            <control shapeId="237590" r:id="rId15" name="Check Box 22">
              <controlPr defaultSize="0" autoFill="0" autoLine="0" autoPict="0">
                <anchor moveWithCells="1">
                  <from>
                    <xdr:col>7</xdr:col>
                    <xdr:colOff>180975</xdr:colOff>
                    <xdr:row>22</xdr:row>
                    <xdr:rowOff>133350</xdr:rowOff>
                  </from>
                  <to>
                    <xdr:col>8</xdr:col>
                    <xdr:colOff>57150</xdr:colOff>
                    <xdr:row>24</xdr:row>
                    <xdr:rowOff>19050</xdr:rowOff>
                  </to>
                </anchor>
              </controlPr>
            </control>
          </mc:Choice>
        </mc:AlternateContent>
        <mc:AlternateContent xmlns:mc="http://schemas.openxmlformats.org/markup-compatibility/2006">
          <mc:Choice Requires="x14">
            <control shapeId="237591" r:id="rId16" name="Check Box 23">
              <controlPr defaultSize="0" autoFill="0" autoLine="0" autoPict="0">
                <anchor moveWithCells="1">
                  <from>
                    <xdr:col>7</xdr:col>
                    <xdr:colOff>180975</xdr:colOff>
                    <xdr:row>23</xdr:row>
                    <xdr:rowOff>133350</xdr:rowOff>
                  </from>
                  <to>
                    <xdr:col>8</xdr:col>
                    <xdr:colOff>57150</xdr:colOff>
                    <xdr:row>25</xdr:row>
                    <xdr:rowOff>19050</xdr:rowOff>
                  </to>
                </anchor>
              </controlPr>
            </control>
          </mc:Choice>
        </mc:AlternateContent>
        <mc:AlternateContent xmlns:mc="http://schemas.openxmlformats.org/markup-compatibility/2006">
          <mc:Choice Requires="x14">
            <control shapeId="237592" r:id="rId17" name="Check Box 24">
              <controlPr defaultSize="0" autoFill="0" autoLine="0" autoPict="0">
                <anchor moveWithCells="1">
                  <from>
                    <xdr:col>7</xdr:col>
                    <xdr:colOff>180975</xdr:colOff>
                    <xdr:row>27</xdr:row>
                    <xdr:rowOff>133350</xdr:rowOff>
                  </from>
                  <to>
                    <xdr:col>8</xdr:col>
                    <xdr:colOff>57150</xdr:colOff>
                    <xdr:row>29</xdr:row>
                    <xdr:rowOff>19050</xdr:rowOff>
                  </to>
                </anchor>
              </controlPr>
            </control>
          </mc:Choice>
        </mc:AlternateContent>
        <mc:AlternateContent xmlns:mc="http://schemas.openxmlformats.org/markup-compatibility/2006">
          <mc:Choice Requires="x14">
            <control shapeId="237593" r:id="rId18" name="Check Box 25">
              <controlPr defaultSize="0" autoFill="0" autoLine="0" autoPict="0">
                <anchor moveWithCells="1">
                  <from>
                    <xdr:col>7</xdr:col>
                    <xdr:colOff>180975</xdr:colOff>
                    <xdr:row>28</xdr:row>
                    <xdr:rowOff>133350</xdr:rowOff>
                  </from>
                  <to>
                    <xdr:col>8</xdr:col>
                    <xdr:colOff>57150</xdr:colOff>
                    <xdr:row>30</xdr:row>
                    <xdr:rowOff>19050</xdr:rowOff>
                  </to>
                </anchor>
              </controlPr>
            </control>
          </mc:Choice>
        </mc:AlternateContent>
        <mc:AlternateContent xmlns:mc="http://schemas.openxmlformats.org/markup-compatibility/2006">
          <mc:Choice Requires="x14">
            <control shapeId="237594" r:id="rId19" name="Check Box 26">
              <controlPr defaultSize="0" autoFill="0" autoLine="0" autoPict="0">
                <anchor moveWithCells="1">
                  <from>
                    <xdr:col>7</xdr:col>
                    <xdr:colOff>180975</xdr:colOff>
                    <xdr:row>30</xdr:row>
                    <xdr:rowOff>133350</xdr:rowOff>
                  </from>
                  <to>
                    <xdr:col>8</xdr:col>
                    <xdr:colOff>57150</xdr:colOff>
                    <xdr:row>32</xdr:row>
                    <xdr:rowOff>19050</xdr:rowOff>
                  </to>
                </anchor>
              </controlPr>
            </control>
          </mc:Choice>
        </mc:AlternateContent>
        <mc:AlternateContent xmlns:mc="http://schemas.openxmlformats.org/markup-compatibility/2006">
          <mc:Choice Requires="x14">
            <control shapeId="237595" r:id="rId20" name="Check Box 27">
              <controlPr defaultSize="0" autoFill="0" autoLine="0" autoPict="0">
                <anchor moveWithCells="1">
                  <from>
                    <xdr:col>7</xdr:col>
                    <xdr:colOff>180975</xdr:colOff>
                    <xdr:row>31</xdr:row>
                    <xdr:rowOff>133350</xdr:rowOff>
                  </from>
                  <to>
                    <xdr:col>8</xdr:col>
                    <xdr:colOff>57150</xdr:colOff>
                    <xdr:row>33</xdr:row>
                    <xdr:rowOff>0</xdr:rowOff>
                  </to>
                </anchor>
              </controlPr>
            </control>
          </mc:Choice>
        </mc:AlternateContent>
        <mc:AlternateContent xmlns:mc="http://schemas.openxmlformats.org/markup-compatibility/2006">
          <mc:Choice Requires="x14">
            <control shapeId="237596" r:id="rId21" name="Check Box 28">
              <controlPr defaultSize="0" autoFill="0" autoLine="0" autoPict="0">
                <anchor moveWithCells="1">
                  <from>
                    <xdr:col>7</xdr:col>
                    <xdr:colOff>180975</xdr:colOff>
                    <xdr:row>32</xdr:row>
                    <xdr:rowOff>133350</xdr:rowOff>
                  </from>
                  <to>
                    <xdr:col>8</xdr:col>
                    <xdr:colOff>57150</xdr:colOff>
                    <xdr:row>34</xdr:row>
                    <xdr:rowOff>0</xdr:rowOff>
                  </to>
                </anchor>
              </controlPr>
            </control>
          </mc:Choice>
        </mc:AlternateContent>
        <mc:AlternateContent xmlns:mc="http://schemas.openxmlformats.org/markup-compatibility/2006">
          <mc:Choice Requires="x14">
            <control shapeId="237597" r:id="rId22" name="Check Box 29">
              <controlPr defaultSize="0" autoFill="0" autoLine="0" autoPict="0">
                <anchor moveWithCells="1">
                  <from>
                    <xdr:col>7</xdr:col>
                    <xdr:colOff>180975</xdr:colOff>
                    <xdr:row>33</xdr:row>
                    <xdr:rowOff>133350</xdr:rowOff>
                  </from>
                  <to>
                    <xdr:col>8</xdr:col>
                    <xdr:colOff>57150</xdr:colOff>
                    <xdr:row>35</xdr:row>
                    <xdr:rowOff>19050</xdr:rowOff>
                  </to>
                </anchor>
              </controlPr>
            </control>
          </mc:Choice>
        </mc:AlternateContent>
        <mc:AlternateContent xmlns:mc="http://schemas.openxmlformats.org/markup-compatibility/2006">
          <mc:Choice Requires="x14">
            <control shapeId="237598" r:id="rId23" name="Check Box 30">
              <controlPr defaultSize="0" autoFill="0" autoLine="0" autoPict="0">
                <anchor moveWithCells="1">
                  <from>
                    <xdr:col>7</xdr:col>
                    <xdr:colOff>180975</xdr:colOff>
                    <xdr:row>35</xdr:row>
                    <xdr:rowOff>133350</xdr:rowOff>
                  </from>
                  <to>
                    <xdr:col>8</xdr:col>
                    <xdr:colOff>57150</xdr:colOff>
                    <xdr:row>37</xdr:row>
                    <xdr:rowOff>19050</xdr:rowOff>
                  </to>
                </anchor>
              </controlPr>
            </control>
          </mc:Choice>
        </mc:AlternateContent>
        <mc:AlternateContent xmlns:mc="http://schemas.openxmlformats.org/markup-compatibility/2006">
          <mc:Choice Requires="x14">
            <control shapeId="237599" r:id="rId24" name="Check Box 31">
              <controlPr defaultSize="0" autoFill="0" autoLine="0" autoPict="0">
                <anchor moveWithCells="1">
                  <from>
                    <xdr:col>7</xdr:col>
                    <xdr:colOff>180975</xdr:colOff>
                    <xdr:row>36</xdr:row>
                    <xdr:rowOff>133350</xdr:rowOff>
                  </from>
                  <to>
                    <xdr:col>8</xdr:col>
                    <xdr:colOff>57150</xdr:colOff>
                    <xdr:row>38</xdr:row>
                    <xdr:rowOff>19050</xdr:rowOff>
                  </to>
                </anchor>
              </controlPr>
            </control>
          </mc:Choice>
        </mc:AlternateContent>
        <mc:AlternateContent xmlns:mc="http://schemas.openxmlformats.org/markup-compatibility/2006">
          <mc:Choice Requires="x14">
            <control shapeId="237600" r:id="rId25" name="Check Box 32">
              <controlPr defaultSize="0" autoFill="0" autoLine="0" autoPict="0">
                <anchor moveWithCells="1">
                  <from>
                    <xdr:col>7</xdr:col>
                    <xdr:colOff>180975</xdr:colOff>
                    <xdr:row>37</xdr:row>
                    <xdr:rowOff>133350</xdr:rowOff>
                  </from>
                  <to>
                    <xdr:col>8</xdr:col>
                    <xdr:colOff>57150</xdr:colOff>
                    <xdr:row>39</xdr:row>
                    <xdr:rowOff>19050</xdr:rowOff>
                  </to>
                </anchor>
              </controlPr>
            </control>
          </mc:Choice>
        </mc:AlternateContent>
        <mc:AlternateContent xmlns:mc="http://schemas.openxmlformats.org/markup-compatibility/2006">
          <mc:Choice Requires="x14">
            <control shapeId="237601" r:id="rId26" name="Check Box 33">
              <controlPr defaultSize="0" autoFill="0" autoLine="0" autoPict="0">
                <anchor moveWithCells="1">
                  <from>
                    <xdr:col>7</xdr:col>
                    <xdr:colOff>180975</xdr:colOff>
                    <xdr:row>38</xdr:row>
                    <xdr:rowOff>133350</xdr:rowOff>
                  </from>
                  <to>
                    <xdr:col>8</xdr:col>
                    <xdr:colOff>57150</xdr:colOff>
                    <xdr:row>40</xdr:row>
                    <xdr:rowOff>19050</xdr:rowOff>
                  </to>
                </anchor>
              </controlPr>
            </control>
          </mc:Choice>
        </mc:AlternateContent>
        <mc:AlternateContent xmlns:mc="http://schemas.openxmlformats.org/markup-compatibility/2006">
          <mc:Choice Requires="x14">
            <control shapeId="237602" r:id="rId27" name="Check Box 34">
              <controlPr defaultSize="0" autoFill="0" autoLine="0" autoPict="0">
                <anchor moveWithCells="1">
                  <from>
                    <xdr:col>7</xdr:col>
                    <xdr:colOff>180975</xdr:colOff>
                    <xdr:row>49</xdr:row>
                    <xdr:rowOff>133350</xdr:rowOff>
                  </from>
                  <to>
                    <xdr:col>8</xdr:col>
                    <xdr:colOff>57150</xdr:colOff>
                    <xdr:row>51</xdr:row>
                    <xdr:rowOff>19050</xdr:rowOff>
                  </to>
                </anchor>
              </controlPr>
            </control>
          </mc:Choice>
        </mc:AlternateContent>
        <mc:AlternateContent xmlns:mc="http://schemas.openxmlformats.org/markup-compatibility/2006">
          <mc:Choice Requires="x14">
            <control shapeId="237603" r:id="rId28" name="Check Box 35">
              <controlPr defaultSize="0" autoFill="0" autoLine="0" autoPict="0">
                <anchor moveWithCells="1">
                  <from>
                    <xdr:col>7</xdr:col>
                    <xdr:colOff>180975</xdr:colOff>
                    <xdr:row>51</xdr:row>
                    <xdr:rowOff>133350</xdr:rowOff>
                  </from>
                  <to>
                    <xdr:col>8</xdr:col>
                    <xdr:colOff>57150</xdr:colOff>
                    <xdr:row>53</xdr:row>
                    <xdr:rowOff>19050</xdr:rowOff>
                  </to>
                </anchor>
              </controlPr>
            </control>
          </mc:Choice>
        </mc:AlternateContent>
        <mc:AlternateContent xmlns:mc="http://schemas.openxmlformats.org/markup-compatibility/2006">
          <mc:Choice Requires="x14">
            <control shapeId="237604" r:id="rId29" name="Check Box 36">
              <controlPr defaultSize="0" autoFill="0" autoLine="0" autoPict="0">
                <anchor moveWithCells="1">
                  <from>
                    <xdr:col>7</xdr:col>
                    <xdr:colOff>180975</xdr:colOff>
                    <xdr:row>42</xdr:row>
                    <xdr:rowOff>133350</xdr:rowOff>
                  </from>
                  <to>
                    <xdr:col>8</xdr:col>
                    <xdr:colOff>57150</xdr:colOff>
                    <xdr:row>44</xdr:row>
                    <xdr:rowOff>19050</xdr:rowOff>
                  </to>
                </anchor>
              </controlPr>
            </control>
          </mc:Choice>
        </mc:AlternateContent>
        <mc:AlternateContent xmlns:mc="http://schemas.openxmlformats.org/markup-compatibility/2006">
          <mc:Choice Requires="x14">
            <control shapeId="237605" r:id="rId30" name="Check Box 37">
              <controlPr defaultSize="0" autoFill="0" autoLine="0" autoPict="0">
                <anchor moveWithCells="1">
                  <from>
                    <xdr:col>7</xdr:col>
                    <xdr:colOff>180975</xdr:colOff>
                    <xdr:row>43</xdr:row>
                    <xdr:rowOff>133350</xdr:rowOff>
                  </from>
                  <to>
                    <xdr:col>8</xdr:col>
                    <xdr:colOff>57150</xdr:colOff>
                    <xdr:row>45</xdr:row>
                    <xdr:rowOff>19050</xdr:rowOff>
                  </to>
                </anchor>
              </controlPr>
            </control>
          </mc:Choice>
        </mc:AlternateContent>
        <mc:AlternateContent xmlns:mc="http://schemas.openxmlformats.org/markup-compatibility/2006">
          <mc:Choice Requires="x14">
            <control shapeId="237606" r:id="rId31" name="Check Box 38">
              <controlPr defaultSize="0" autoFill="0" autoLine="0" autoPict="0">
                <anchor moveWithCells="1">
                  <from>
                    <xdr:col>7</xdr:col>
                    <xdr:colOff>180975</xdr:colOff>
                    <xdr:row>44</xdr:row>
                    <xdr:rowOff>133350</xdr:rowOff>
                  </from>
                  <to>
                    <xdr:col>8</xdr:col>
                    <xdr:colOff>57150</xdr:colOff>
                    <xdr:row>46</xdr:row>
                    <xdr:rowOff>19050</xdr:rowOff>
                  </to>
                </anchor>
              </controlPr>
            </control>
          </mc:Choice>
        </mc:AlternateContent>
        <mc:AlternateContent xmlns:mc="http://schemas.openxmlformats.org/markup-compatibility/2006">
          <mc:Choice Requires="x14">
            <control shapeId="237610" r:id="rId32" name="Check Box 42">
              <controlPr defaultSize="0" autoFill="0" autoLine="0" autoPict="0">
                <anchor moveWithCells="1">
                  <from>
                    <xdr:col>7</xdr:col>
                    <xdr:colOff>180975</xdr:colOff>
                    <xdr:row>55</xdr:row>
                    <xdr:rowOff>133350</xdr:rowOff>
                  </from>
                  <to>
                    <xdr:col>8</xdr:col>
                    <xdr:colOff>57150</xdr:colOff>
                    <xdr:row>57</xdr:row>
                    <xdr:rowOff>19050</xdr:rowOff>
                  </to>
                </anchor>
              </controlPr>
            </control>
          </mc:Choice>
        </mc:AlternateContent>
        <mc:AlternateContent xmlns:mc="http://schemas.openxmlformats.org/markup-compatibility/2006">
          <mc:Choice Requires="x14">
            <control shapeId="237611" r:id="rId33" name="Check Box 43">
              <controlPr defaultSize="0" autoFill="0" autoLine="0" autoPict="0">
                <anchor moveWithCells="1">
                  <from>
                    <xdr:col>7</xdr:col>
                    <xdr:colOff>180975</xdr:colOff>
                    <xdr:row>56</xdr:row>
                    <xdr:rowOff>133350</xdr:rowOff>
                  </from>
                  <to>
                    <xdr:col>8</xdr:col>
                    <xdr:colOff>57150</xdr:colOff>
                    <xdr:row>58</xdr:row>
                    <xdr:rowOff>19050</xdr:rowOff>
                  </to>
                </anchor>
              </controlPr>
            </control>
          </mc:Choice>
        </mc:AlternateContent>
        <mc:AlternateContent xmlns:mc="http://schemas.openxmlformats.org/markup-compatibility/2006">
          <mc:Choice Requires="x14">
            <control shapeId="237612" r:id="rId34" name="Check Box 44">
              <controlPr defaultSize="0" autoFill="0" autoLine="0" autoPict="0">
                <anchor moveWithCells="1">
                  <from>
                    <xdr:col>7</xdr:col>
                    <xdr:colOff>180975</xdr:colOff>
                    <xdr:row>57</xdr:row>
                    <xdr:rowOff>133350</xdr:rowOff>
                  </from>
                  <to>
                    <xdr:col>8</xdr:col>
                    <xdr:colOff>57150</xdr:colOff>
                    <xdr:row>59</xdr:row>
                    <xdr:rowOff>19050</xdr:rowOff>
                  </to>
                </anchor>
              </controlPr>
            </control>
          </mc:Choice>
        </mc:AlternateContent>
        <mc:AlternateContent xmlns:mc="http://schemas.openxmlformats.org/markup-compatibility/2006">
          <mc:Choice Requires="x14">
            <control shapeId="237613" r:id="rId35" name="Check Box 45">
              <controlPr defaultSize="0" autoFill="0" autoLine="0" autoPict="0">
                <anchor moveWithCells="1">
                  <from>
                    <xdr:col>7</xdr:col>
                    <xdr:colOff>180975</xdr:colOff>
                    <xdr:row>58</xdr:row>
                    <xdr:rowOff>133350</xdr:rowOff>
                  </from>
                  <to>
                    <xdr:col>8</xdr:col>
                    <xdr:colOff>57150</xdr:colOff>
                    <xdr:row>60</xdr:row>
                    <xdr:rowOff>19050</xdr:rowOff>
                  </to>
                </anchor>
              </controlPr>
            </control>
          </mc:Choice>
        </mc:AlternateContent>
        <mc:AlternateContent xmlns:mc="http://schemas.openxmlformats.org/markup-compatibility/2006">
          <mc:Choice Requires="x14">
            <control shapeId="237614" r:id="rId36" name="Check Box 46">
              <controlPr defaultSize="0" autoFill="0" autoLine="0" autoPict="0">
                <anchor moveWithCells="1">
                  <from>
                    <xdr:col>7</xdr:col>
                    <xdr:colOff>180975</xdr:colOff>
                    <xdr:row>59</xdr:row>
                    <xdr:rowOff>133350</xdr:rowOff>
                  </from>
                  <to>
                    <xdr:col>8</xdr:col>
                    <xdr:colOff>57150</xdr:colOff>
                    <xdr:row>61</xdr:row>
                    <xdr:rowOff>19050</xdr:rowOff>
                  </to>
                </anchor>
              </controlPr>
            </control>
          </mc:Choice>
        </mc:AlternateContent>
        <mc:AlternateContent xmlns:mc="http://schemas.openxmlformats.org/markup-compatibility/2006">
          <mc:Choice Requires="x14">
            <control shapeId="237615" r:id="rId37" name="Check Box 47">
              <controlPr defaultSize="0" autoFill="0" autoLine="0" autoPict="0">
                <anchor moveWithCells="1">
                  <from>
                    <xdr:col>7</xdr:col>
                    <xdr:colOff>180975</xdr:colOff>
                    <xdr:row>61</xdr:row>
                    <xdr:rowOff>133350</xdr:rowOff>
                  </from>
                  <to>
                    <xdr:col>8</xdr:col>
                    <xdr:colOff>57150</xdr:colOff>
                    <xdr:row>63</xdr:row>
                    <xdr:rowOff>19050</xdr:rowOff>
                  </to>
                </anchor>
              </controlPr>
            </control>
          </mc:Choice>
        </mc:AlternateContent>
        <mc:AlternateContent xmlns:mc="http://schemas.openxmlformats.org/markup-compatibility/2006">
          <mc:Choice Requires="x14">
            <control shapeId="237617" r:id="rId38" name="Check Box 49">
              <controlPr defaultSize="0" autoFill="0" autoLine="0" autoPict="0">
                <anchor moveWithCells="1">
                  <from>
                    <xdr:col>7</xdr:col>
                    <xdr:colOff>180975</xdr:colOff>
                    <xdr:row>62</xdr:row>
                    <xdr:rowOff>133350</xdr:rowOff>
                  </from>
                  <to>
                    <xdr:col>8</xdr:col>
                    <xdr:colOff>57150</xdr:colOff>
                    <xdr:row>64</xdr:row>
                    <xdr:rowOff>19050</xdr:rowOff>
                  </to>
                </anchor>
              </controlPr>
            </control>
          </mc:Choice>
        </mc:AlternateContent>
        <mc:AlternateContent xmlns:mc="http://schemas.openxmlformats.org/markup-compatibility/2006">
          <mc:Choice Requires="x14">
            <control shapeId="237618" r:id="rId39" name="Check Box 50">
              <controlPr defaultSize="0" autoFill="0" autoLine="0" autoPict="0">
                <anchor moveWithCells="1">
                  <from>
                    <xdr:col>7</xdr:col>
                    <xdr:colOff>180975</xdr:colOff>
                    <xdr:row>63</xdr:row>
                    <xdr:rowOff>133350</xdr:rowOff>
                  </from>
                  <to>
                    <xdr:col>8</xdr:col>
                    <xdr:colOff>57150</xdr:colOff>
                    <xdr:row>65</xdr:row>
                    <xdr:rowOff>19050</xdr:rowOff>
                  </to>
                </anchor>
              </controlPr>
            </control>
          </mc:Choice>
        </mc:AlternateContent>
        <mc:AlternateContent xmlns:mc="http://schemas.openxmlformats.org/markup-compatibility/2006">
          <mc:Choice Requires="x14">
            <control shapeId="237619" r:id="rId40" name="Check Box 51">
              <controlPr defaultSize="0" autoFill="0" autoLine="0" autoPict="0">
                <anchor moveWithCells="1">
                  <from>
                    <xdr:col>7</xdr:col>
                    <xdr:colOff>180975</xdr:colOff>
                    <xdr:row>64</xdr:row>
                    <xdr:rowOff>133350</xdr:rowOff>
                  </from>
                  <to>
                    <xdr:col>8</xdr:col>
                    <xdr:colOff>57150</xdr:colOff>
                    <xdr:row>66</xdr:row>
                    <xdr:rowOff>19050</xdr:rowOff>
                  </to>
                </anchor>
              </controlPr>
            </control>
          </mc:Choice>
        </mc:AlternateContent>
        <mc:AlternateContent xmlns:mc="http://schemas.openxmlformats.org/markup-compatibility/2006">
          <mc:Choice Requires="x14">
            <control shapeId="237620" r:id="rId41" name="Check Box 52">
              <controlPr defaultSize="0" autoFill="0" autoLine="0" autoPict="0">
                <anchor moveWithCells="1">
                  <from>
                    <xdr:col>7</xdr:col>
                    <xdr:colOff>180975</xdr:colOff>
                    <xdr:row>65</xdr:row>
                    <xdr:rowOff>133350</xdr:rowOff>
                  </from>
                  <to>
                    <xdr:col>8</xdr:col>
                    <xdr:colOff>57150</xdr:colOff>
                    <xdr:row>67</xdr:row>
                    <xdr:rowOff>19050</xdr:rowOff>
                  </to>
                </anchor>
              </controlPr>
            </control>
          </mc:Choice>
        </mc:AlternateContent>
        <mc:AlternateContent xmlns:mc="http://schemas.openxmlformats.org/markup-compatibility/2006">
          <mc:Choice Requires="x14">
            <control shapeId="237622" r:id="rId42" name="Check Box 54">
              <controlPr defaultSize="0" autoFill="0" autoLine="0" autoPict="0">
                <anchor moveWithCells="1">
                  <from>
                    <xdr:col>7</xdr:col>
                    <xdr:colOff>180975</xdr:colOff>
                    <xdr:row>66</xdr:row>
                    <xdr:rowOff>133350</xdr:rowOff>
                  </from>
                  <to>
                    <xdr:col>8</xdr:col>
                    <xdr:colOff>57150</xdr:colOff>
                    <xdr:row>68</xdr:row>
                    <xdr:rowOff>19050</xdr:rowOff>
                  </to>
                </anchor>
              </controlPr>
            </control>
          </mc:Choice>
        </mc:AlternateContent>
        <mc:AlternateContent xmlns:mc="http://schemas.openxmlformats.org/markup-compatibility/2006">
          <mc:Choice Requires="x14">
            <control shapeId="237623" r:id="rId43" name="Check Box 55">
              <controlPr defaultSize="0" autoFill="0" autoLine="0" autoPict="0">
                <anchor moveWithCells="1">
                  <from>
                    <xdr:col>7</xdr:col>
                    <xdr:colOff>190500</xdr:colOff>
                    <xdr:row>67</xdr:row>
                    <xdr:rowOff>133350</xdr:rowOff>
                  </from>
                  <to>
                    <xdr:col>8</xdr:col>
                    <xdr:colOff>66675</xdr:colOff>
                    <xdr:row>69</xdr:row>
                    <xdr:rowOff>19050</xdr:rowOff>
                  </to>
                </anchor>
              </controlPr>
            </control>
          </mc:Choice>
        </mc:AlternateContent>
        <mc:AlternateContent xmlns:mc="http://schemas.openxmlformats.org/markup-compatibility/2006">
          <mc:Choice Requires="x14">
            <control shapeId="237628" r:id="rId44" name="Check Box 60">
              <controlPr defaultSize="0" autoFill="0" autoLine="0" autoPict="0">
                <anchor moveWithCells="1">
                  <from>
                    <xdr:col>7</xdr:col>
                    <xdr:colOff>180975</xdr:colOff>
                    <xdr:row>68</xdr:row>
                    <xdr:rowOff>133350</xdr:rowOff>
                  </from>
                  <to>
                    <xdr:col>8</xdr:col>
                    <xdr:colOff>57150</xdr:colOff>
                    <xdr:row>70</xdr:row>
                    <xdr:rowOff>19050</xdr:rowOff>
                  </to>
                </anchor>
              </controlPr>
            </control>
          </mc:Choice>
        </mc:AlternateContent>
        <mc:AlternateContent xmlns:mc="http://schemas.openxmlformats.org/markup-compatibility/2006">
          <mc:Choice Requires="x14">
            <control shapeId="237629" r:id="rId45" name="Check Box 61">
              <controlPr defaultSize="0" autoFill="0" autoLine="0" autoPict="0">
                <anchor moveWithCells="1">
                  <from>
                    <xdr:col>7</xdr:col>
                    <xdr:colOff>180975</xdr:colOff>
                    <xdr:row>69</xdr:row>
                    <xdr:rowOff>133350</xdr:rowOff>
                  </from>
                  <to>
                    <xdr:col>8</xdr:col>
                    <xdr:colOff>57150</xdr:colOff>
                    <xdr:row>71</xdr:row>
                    <xdr:rowOff>19050</xdr:rowOff>
                  </to>
                </anchor>
              </controlPr>
            </control>
          </mc:Choice>
        </mc:AlternateContent>
        <mc:AlternateContent xmlns:mc="http://schemas.openxmlformats.org/markup-compatibility/2006">
          <mc:Choice Requires="x14">
            <control shapeId="237630" r:id="rId46" name="Check Box 62">
              <controlPr defaultSize="0" autoFill="0" autoLine="0" autoPict="0">
                <anchor moveWithCells="1">
                  <from>
                    <xdr:col>7</xdr:col>
                    <xdr:colOff>180975</xdr:colOff>
                    <xdr:row>71</xdr:row>
                    <xdr:rowOff>133350</xdr:rowOff>
                  </from>
                  <to>
                    <xdr:col>8</xdr:col>
                    <xdr:colOff>57150</xdr:colOff>
                    <xdr:row>73</xdr:row>
                    <xdr:rowOff>19050</xdr:rowOff>
                  </to>
                </anchor>
              </controlPr>
            </control>
          </mc:Choice>
        </mc:AlternateContent>
        <mc:AlternateContent xmlns:mc="http://schemas.openxmlformats.org/markup-compatibility/2006">
          <mc:Choice Requires="x14">
            <control shapeId="237631" r:id="rId47" name="Check Box 63">
              <controlPr defaultSize="0" autoFill="0" autoLine="0" autoPict="0">
                <anchor moveWithCells="1">
                  <from>
                    <xdr:col>7</xdr:col>
                    <xdr:colOff>180975</xdr:colOff>
                    <xdr:row>72</xdr:row>
                    <xdr:rowOff>133350</xdr:rowOff>
                  </from>
                  <to>
                    <xdr:col>8</xdr:col>
                    <xdr:colOff>57150</xdr:colOff>
                    <xdr:row>74</xdr:row>
                    <xdr:rowOff>19050</xdr:rowOff>
                  </to>
                </anchor>
              </controlPr>
            </control>
          </mc:Choice>
        </mc:AlternateContent>
        <mc:AlternateContent xmlns:mc="http://schemas.openxmlformats.org/markup-compatibility/2006">
          <mc:Choice Requires="x14">
            <control shapeId="237632" r:id="rId48" name="Check Box 64">
              <controlPr defaultSize="0" autoFill="0" autoLine="0" autoPict="0">
                <anchor moveWithCells="1">
                  <from>
                    <xdr:col>7</xdr:col>
                    <xdr:colOff>180975</xdr:colOff>
                    <xdr:row>73</xdr:row>
                    <xdr:rowOff>133350</xdr:rowOff>
                  </from>
                  <to>
                    <xdr:col>8</xdr:col>
                    <xdr:colOff>57150</xdr:colOff>
                    <xdr:row>75</xdr:row>
                    <xdr:rowOff>19050</xdr:rowOff>
                  </to>
                </anchor>
              </controlPr>
            </control>
          </mc:Choice>
        </mc:AlternateContent>
        <mc:AlternateContent xmlns:mc="http://schemas.openxmlformats.org/markup-compatibility/2006">
          <mc:Choice Requires="x14">
            <control shapeId="237633" r:id="rId49" name="Check Box 65">
              <controlPr defaultSize="0" autoFill="0" autoLine="0" autoPict="0">
                <anchor moveWithCells="1">
                  <from>
                    <xdr:col>7</xdr:col>
                    <xdr:colOff>180975</xdr:colOff>
                    <xdr:row>74</xdr:row>
                    <xdr:rowOff>133350</xdr:rowOff>
                  </from>
                  <to>
                    <xdr:col>8</xdr:col>
                    <xdr:colOff>57150</xdr:colOff>
                    <xdr:row>76</xdr:row>
                    <xdr:rowOff>19050</xdr:rowOff>
                  </to>
                </anchor>
              </controlPr>
            </control>
          </mc:Choice>
        </mc:AlternateContent>
        <mc:AlternateContent xmlns:mc="http://schemas.openxmlformats.org/markup-compatibility/2006">
          <mc:Choice Requires="x14">
            <control shapeId="237634" r:id="rId50" name="Check Box 66">
              <controlPr defaultSize="0" autoFill="0" autoLine="0" autoPict="0">
                <anchor moveWithCells="1">
                  <from>
                    <xdr:col>7</xdr:col>
                    <xdr:colOff>180975</xdr:colOff>
                    <xdr:row>80</xdr:row>
                    <xdr:rowOff>133350</xdr:rowOff>
                  </from>
                  <to>
                    <xdr:col>8</xdr:col>
                    <xdr:colOff>57150</xdr:colOff>
                    <xdr:row>82</xdr:row>
                    <xdr:rowOff>19050</xdr:rowOff>
                  </to>
                </anchor>
              </controlPr>
            </control>
          </mc:Choice>
        </mc:AlternateContent>
        <mc:AlternateContent xmlns:mc="http://schemas.openxmlformats.org/markup-compatibility/2006">
          <mc:Choice Requires="x14">
            <control shapeId="237635" r:id="rId51" name="Check Box 67">
              <controlPr defaultSize="0" autoFill="0" autoLine="0" autoPict="0">
                <anchor moveWithCells="1">
                  <from>
                    <xdr:col>7</xdr:col>
                    <xdr:colOff>180975</xdr:colOff>
                    <xdr:row>81</xdr:row>
                    <xdr:rowOff>133350</xdr:rowOff>
                  </from>
                  <to>
                    <xdr:col>8</xdr:col>
                    <xdr:colOff>57150</xdr:colOff>
                    <xdr:row>83</xdr:row>
                    <xdr:rowOff>19050</xdr:rowOff>
                  </to>
                </anchor>
              </controlPr>
            </control>
          </mc:Choice>
        </mc:AlternateContent>
        <mc:AlternateContent xmlns:mc="http://schemas.openxmlformats.org/markup-compatibility/2006">
          <mc:Choice Requires="x14">
            <control shapeId="237636" r:id="rId52" name="Check Box 68">
              <controlPr defaultSize="0" autoFill="0" autoLine="0" autoPict="0">
                <anchor moveWithCells="1">
                  <from>
                    <xdr:col>7</xdr:col>
                    <xdr:colOff>180975</xdr:colOff>
                    <xdr:row>83</xdr:row>
                    <xdr:rowOff>133350</xdr:rowOff>
                  </from>
                  <to>
                    <xdr:col>8</xdr:col>
                    <xdr:colOff>57150</xdr:colOff>
                    <xdr:row>85</xdr:row>
                    <xdr:rowOff>19050</xdr:rowOff>
                  </to>
                </anchor>
              </controlPr>
            </control>
          </mc:Choice>
        </mc:AlternateContent>
        <mc:AlternateContent xmlns:mc="http://schemas.openxmlformats.org/markup-compatibility/2006">
          <mc:Choice Requires="x14">
            <control shapeId="237637" r:id="rId53" name="Check Box 69">
              <controlPr defaultSize="0" autoFill="0" autoLine="0" autoPict="0">
                <anchor moveWithCells="1">
                  <from>
                    <xdr:col>7</xdr:col>
                    <xdr:colOff>180975</xdr:colOff>
                    <xdr:row>84</xdr:row>
                    <xdr:rowOff>133350</xdr:rowOff>
                  </from>
                  <to>
                    <xdr:col>8</xdr:col>
                    <xdr:colOff>57150</xdr:colOff>
                    <xdr:row>86</xdr:row>
                    <xdr:rowOff>19050</xdr:rowOff>
                  </to>
                </anchor>
              </controlPr>
            </control>
          </mc:Choice>
        </mc:AlternateContent>
        <mc:AlternateContent xmlns:mc="http://schemas.openxmlformats.org/markup-compatibility/2006">
          <mc:Choice Requires="x14">
            <control shapeId="237638" r:id="rId54" name="Check Box 70">
              <controlPr defaultSize="0" autoFill="0" autoLine="0" autoPict="0">
                <anchor moveWithCells="1">
                  <from>
                    <xdr:col>7</xdr:col>
                    <xdr:colOff>180975</xdr:colOff>
                    <xdr:row>85</xdr:row>
                    <xdr:rowOff>133350</xdr:rowOff>
                  </from>
                  <to>
                    <xdr:col>8</xdr:col>
                    <xdr:colOff>57150</xdr:colOff>
                    <xdr:row>87</xdr:row>
                    <xdr:rowOff>19050</xdr:rowOff>
                  </to>
                </anchor>
              </controlPr>
            </control>
          </mc:Choice>
        </mc:AlternateContent>
        <mc:AlternateContent xmlns:mc="http://schemas.openxmlformats.org/markup-compatibility/2006">
          <mc:Choice Requires="x14">
            <control shapeId="237639" r:id="rId55" name="Check Box 71">
              <controlPr defaultSize="0" autoFill="0" autoLine="0" autoPict="0">
                <anchor moveWithCells="1">
                  <from>
                    <xdr:col>7</xdr:col>
                    <xdr:colOff>180975</xdr:colOff>
                    <xdr:row>86</xdr:row>
                    <xdr:rowOff>133350</xdr:rowOff>
                  </from>
                  <to>
                    <xdr:col>8</xdr:col>
                    <xdr:colOff>57150</xdr:colOff>
                    <xdr:row>88</xdr:row>
                    <xdr:rowOff>19050</xdr:rowOff>
                  </to>
                </anchor>
              </controlPr>
            </control>
          </mc:Choice>
        </mc:AlternateContent>
        <mc:AlternateContent xmlns:mc="http://schemas.openxmlformats.org/markup-compatibility/2006">
          <mc:Choice Requires="x14">
            <control shapeId="237640" r:id="rId56" name="Check Box 72">
              <controlPr defaultSize="0" autoFill="0" autoLine="0" autoPict="0">
                <anchor moveWithCells="1">
                  <from>
                    <xdr:col>7</xdr:col>
                    <xdr:colOff>180975</xdr:colOff>
                    <xdr:row>87</xdr:row>
                    <xdr:rowOff>133350</xdr:rowOff>
                  </from>
                  <to>
                    <xdr:col>8</xdr:col>
                    <xdr:colOff>57150</xdr:colOff>
                    <xdr:row>89</xdr:row>
                    <xdr:rowOff>19050</xdr:rowOff>
                  </to>
                </anchor>
              </controlPr>
            </control>
          </mc:Choice>
        </mc:AlternateContent>
        <mc:AlternateContent xmlns:mc="http://schemas.openxmlformats.org/markup-compatibility/2006">
          <mc:Choice Requires="x14">
            <control shapeId="237641" r:id="rId57" name="Check Box 73">
              <controlPr defaultSize="0" autoFill="0" autoLine="0" autoPict="0">
                <anchor moveWithCells="1">
                  <from>
                    <xdr:col>7</xdr:col>
                    <xdr:colOff>180975</xdr:colOff>
                    <xdr:row>88</xdr:row>
                    <xdr:rowOff>133350</xdr:rowOff>
                  </from>
                  <to>
                    <xdr:col>8</xdr:col>
                    <xdr:colOff>57150</xdr:colOff>
                    <xdr:row>90</xdr:row>
                    <xdr:rowOff>19050</xdr:rowOff>
                  </to>
                </anchor>
              </controlPr>
            </control>
          </mc:Choice>
        </mc:AlternateContent>
        <mc:AlternateContent xmlns:mc="http://schemas.openxmlformats.org/markup-compatibility/2006">
          <mc:Choice Requires="x14">
            <control shapeId="237642" r:id="rId58" name="Check Box 74">
              <controlPr defaultSize="0" autoFill="0" autoLine="0" autoPict="0">
                <anchor moveWithCells="1">
                  <from>
                    <xdr:col>7</xdr:col>
                    <xdr:colOff>180975</xdr:colOff>
                    <xdr:row>89</xdr:row>
                    <xdr:rowOff>133350</xdr:rowOff>
                  </from>
                  <to>
                    <xdr:col>8</xdr:col>
                    <xdr:colOff>57150</xdr:colOff>
                    <xdr:row>91</xdr:row>
                    <xdr:rowOff>19050</xdr:rowOff>
                  </to>
                </anchor>
              </controlPr>
            </control>
          </mc:Choice>
        </mc:AlternateContent>
        <mc:AlternateContent xmlns:mc="http://schemas.openxmlformats.org/markup-compatibility/2006">
          <mc:Choice Requires="x14">
            <control shapeId="237643" r:id="rId59" name="Check Box 75">
              <controlPr defaultSize="0" autoFill="0" autoLine="0" autoPict="0">
                <anchor moveWithCells="1">
                  <from>
                    <xdr:col>7</xdr:col>
                    <xdr:colOff>180975</xdr:colOff>
                    <xdr:row>90</xdr:row>
                    <xdr:rowOff>133350</xdr:rowOff>
                  </from>
                  <to>
                    <xdr:col>8</xdr:col>
                    <xdr:colOff>57150</xdr:colOff>
                    <xdr:row>92</xdr:row>
                    <xdr:rowOff>19050</xdr:rowOff>
                  </to>
                </anchor>
              </controlPr>
            </control>
          </mc:Choice>
        </mc:AlternateContent>
        <mc:AlternateContent xmlns:mc="http://schemas.openxmlformats.org/markup-compatibility/2006">
          <mc:Choice Requires="x14">
            <control shapeId="237644" r:id="rId60" name="Check Box 76">
              <controlPr defaultSize="0" autoFill="0" autoLine="0" autoPict="0">
                <anchor moveWithCells="1">
                  <from>
                    <xdr:col>7</xdr:col>
                    <xdr:colOff>180975</xdr:colOff>
                    <xdr:row>91</xdr:row>
                    <xdr:rowOff>133350</xdr:rowOff>
                  </from>
                  <to>
                    <xdr:col>8</xdr:col>
                    <xdr:colOff>57150</xdr:colOff>
                    <xdr:row>93</xdr:row>
                    <xdr:rowOff>19050</xdr:rowOff>
                  </to>
                </anchor>
              </controlPr>
            </control>
          </mc:Choice>
        </mc:AlternateContent>
        <mc:AlternateContent xmlns:mc="http://schemas.openxmlformats.org/markup-compatibility/2006">
          <mc:Choice Requires="x14">
            <control shapeId="237645" r:id="rId61" name="Check Box 77">
              <controlPr defaultSize="0" autoFill="0" autoLine="0" autoPict="0">
                <anchor moveWithCells="1">
                  <from>
                    <xdr:col>7</xdr:col>
                    <xdr:colOff>180975</xdr:colOff>
                    <xdr:row>93</xdr:row>
                    <xdr:rowOff>133350</xdr:rowOff>
                  </from>
                  <to>
                    <xdr:col>8</xdr:col>
                    <xdr:colOff>57150</xdr:colOff>
                    <xdr:row>95</xdr:row>
                    <xdr:rowOff>19050</xdr:rowOff>
                  </to>
                </anchor>
              </controlPr>
            </control>
          </mc:Choice>
        </mc:AlternateContent>
        <mc:AlternateContent xmlns:mc="http://schemas.openxmlformats.org/markup-compatibility/2006">
          <mc:Choice Requires="x14">
            <control shapeId="237648" r:id="rId62" name="Check Box 80">
              <controlPr defaultSize="0" autoFill="0" autoLine="0" autoPict="0">
                <anchor moveWithCells="1">
                  <from>
                    <xdr:col>7</xdr:col>
                    <xdr:colOff>200025</xdr:colOff>
                    <xdr:row>40</xdr:row>
                    <xdr:rowOff>133350</xdr:rowOff>
                  </from>
                  <to>
                    <xdr:col>8</xdr:col>
                    <xdr:colOff>57150</xdr:colOff>
                    <xdr:row>42</xdr:row>
                    <xdr:rowOff>19050</xdr:rowOff>
                  </to>
                </anchor>
              </controlPr>
            </control>
          </mc:Choice>
        </mc:AlternateContent>
        <mc:AlternateContent xmlns:mc="http://schemas.openxmlformats.org/markup-compatibility/2006">
          <mc:Choice Requires="x14">
            <control shapeId="237649" r:id="rId63" name="Check Box 81">
              <controlPr defaultSize="0" autoFill="0" autoLine="0" autoPict="0">
                <anchor moveWithCells="1">
                  <from>
                    <xdr:col>7</xdr:col>
                    <xdr:colOff>180975</xdr:colOff>
                    <xdr:row>50</xdr:row>
                    <xdr:rowOff>133350</xdr:rowOff>
                  </from>
                  <to>
                    <xdr:col>8</xdr:col>
                    <xdr:colOff>47625</xdr:colOff>
                    <xdr:row>52</xdr:row>
                    <xdr:rowOff>19050</xdr:rowOff>
                  </to>
                </anchor>
              </controlPr>
            </control>
          </mc:Choice>
        </mc:AlternateContent>
        <mc:AlternateContent xmlns:mc="http://schemas.openxmlformats.org/markup-compatibility/2006">
          <mc:Choice Requires="x14">
            <control shapeId="237650" r:id="rId64" name="Check Box 82">
              <controlPr defaultSize="0" autoFill="0" autoLine="0" autoPict="0">
                <anchor moveWithCells="1">
                  <from>
                    <xdr:col>7</xdr:col>
                    <xdr:colOff>180975</xdr:colOff>
                    <xdr:row>52</xdr:row>
                    <xdr:rowOff>133350</xdr:rowOff>
                  </from>
                  <to>
                    <xdr:col>8</xdr:col>
                    <xdr:colOff>47625</xdr:colOff>
                    <xdr:row>54</xdr:row>
                    <xdr:rowOff>19050</xdr:rowOff>
                  </to>
                </anchor>
              </controlPr>
            </control>
          </mc:Choice>
        </mc:AlternateContent>
        <mc:AlternateContent xmlns:mc="http://schemas.openxmlformats.org/markup-compatibility/2006">
          <mc:Choice Requires="x14">
            <control shapeId="237654" r:id="rId65" name="Check Box 86">
              <controlPr defaultSize="0" autoFill="0" autoLine="0" autoPict="0">
                <anchor moveWithCells="1">
                  <from>
                    <xdr:col>6</xdr:col>
                    <xdr:colOff>180975</xdr:colOff>
                    <xdr:row>100</xdr:row>
                    <xdr:rowOff>0</xdr:rowOff>
                  </from>
                  <to>
                    <xdr:col>7</xdr:col>
                    <xdr:colOff>285750</xdr:colOff>
                    <xdr:row>101</xdr:row>
                    <xdr:rowOff>19050</xdr:rowOff>
                  </to>
                </anchor>
              </controlPr>
            </control>
          </mc:Choice>
        </mc:AlternateContent>
        <mc:AlternateContent xmlns:mc="http://schemas.openxmlformats.org/markup-compatibility/2006">
          <mc:Choice Requires="x14">
            <control shapeId="237655" r:id="rId66" name="Check Box 87">
              <controlPr defaultSize="0" autoFill="0" autoLine="0" autoPict="0">
                <anchor moveWithCells="1">
                  <from>
                    <xdr:col>6</xdr:col>
                    <xdr:colOff>180975</xdr:colOff>
                    <xdr:row>100</xdr:row>
                    <xdr:rowOff>171450</xdr:rowOff>
                  </from>
                  <to>
                    <xdr:col>7</xdr:col>
                    <xdr:colOff>285750</xdr:colOff>
                    <xdr:row>102</xdr:row>
                    <xdr:rowOff>9525</xdr:rowOff>
                  </to>
                </anchor>
              </controlPr>
            </control>
          </mc:Choice>
        </mc:AlternateContent>
        <mc:AlternateContent xmlns:mc="http://schemas.openxmlformats.org/markup-compatibility/2006">
          <mc:Choice Requires="x14">
            <control shapeId="237656" r:id="rId67" name="Check Box 88">
              <controlPr defaultSize="0" autoFill="0" autoLine="0" autoPict="0">
                <anchor moveWithCells="1">
                  <from>
                    <xdr:col>6</xdr:col>
                    <xdr:colOff>180975</xdr:colOff>
                    <xdr:row>101</xdr:row>
                    <xdr:rowOff>171450</xdr:rowOff>
                  </from>
                  <to>
                    <xdr:col>7</xdr:col>
                    <xdr:colOff>285750</xdr:colOff>
                    <xdr:row>103</xdr:row>
                    <xdr:rowOff>9525</xdr:rowOff>
                  </to>
                </anchor>
              </controlPr>
            </control>
          </mc:Choice>
        </mc:AlternateContent>
        <mc:AlternateContent xmlns:mc="http://schemas.openxmlformats.org/markup-compatibility/2006">
          <mc:Choice Requires="x14">
            <control shapeId="237657" r:id="rId68" name="Check Box 89">
              <controlPr defaultSize="0" autoFill="0" autoLine="0" autoPict="0">
                <anchor moveWithCells="1">
                  <from>
                    <xdr:col>6</xdr:col>
                    <xdr:colOff>180975</xdr:colOff>
                    <xdr:row>102</xdr:row>
                    <xdr:rowOff>171450</xdr:rowOff>
                  </from>
                  <to>
                    <xdr:col>7</xdr:col>
                    <xdr:colOff>285750</xdr:colOff>
                    <xdr:row>104</xdr:row>
                    <xdr:rowOff>9525</xdr:rowOff>
                  </to>
                </anchor>
              </controlPr>
            </control>
          </mc:Choice>
        </mc:AlternateContent>
        <mc:AlternateContent xmlns:mc="http://schemas.openxmlformats.org/markup-compatibility/2006">
          <mc:Choice Requires="x14">
            <control shapeId="237658" r:id="rId69" name="Check Box 90">
              <controlPr defaultSize="0" autoFill="0" autoLine="0" autoPict="0">
                <anchor moveWithCells="1">
                  <from>
                    <xdr:col>6</xdr:col>
                    <xdr:colOff>180975</xdr:colOff>
                    <xdr:row>103</xdr:row>
                    <xdr:rowOff>171450</xdr:rowOff>
                  </from>
                  <to>
                    <xdr:col>7</xdr:col>
                    <xdr:colOff>285750</xdr:colOff>
                    <xdr:row>105</xdr:row>
                    <xdr:rowOff>9525</xdr:rowOff>
                  </to>
                </anchor>
              </controlPr>
            </control>
          </mc:Choice>
        </mc:AlternateContent>
        <mc:AlternateContent xmlns:mc="http://schemas.openxmlformats.org/markup-compatibility/2006">
          <mc:Choice Requires="x14">
            <control shapeId="237659" r:id="rId70" name="Check Box 91">
              <controlPr defaultSize="0" autoFill="0" autoLine="0" autoPict="0">
                <anchor moveWithCells="1">
                  <from>
                    <xdr:col>6</xdr:col>
                    <xdr:colOff>180975</xdr:colOff>
                    <xdr:row>104</xdr:row>
                    <xdr:rowOff>171450</xdr:rowOff>
                  </from>
                  <to>
                    <xdr:col>7</xdr:col>
                    <xdr:colOff>285750</xdr:colOff>
                    <xdr:row>106</xdr:row>
                    <xdr:rowOff>9525</xdr:rowOff>
                  </to>
                </anchor>
              </controlPr>
            </control>
          </mc:Choice>
        </mc:AlternateContent>
        <mc:AlternateContent xmlns:mc="http://schemas.openxmlformats.org/markup-compatibility/2006">
          <mc:Choice Requires="x14">
            <control shapeId="237660" r:id="rId71" name="Check Box 92">
              <controlPr defaultSize="0" autoFill="0" autoLine="0" autoPict="0">
                <anchor moveWithCells="1">
                  <from>
                    <xdr:col>6</xdr:col>
                    <xdr:colOff>180975</xdr:colOff>
                    <xdr:row>105</xdr:row>
                    <xdr:rowOff>171450</xdr:rowOff>
                  </from>
                  <to>
                    <xdr:col>7</xdr:col>
                    <xdr:colOff>285750</xdr:colOff>
                    <xdr:row>107</xdr:row>
                    <xdr:rowOff>9525</xdr:rowOff>
                  </to>
                </anchor>
              </controlPr>
            </control>
          </mc:Choice>
        </mc:AlternateContent>
        <mc:AlternateContent xmlns:mc="http://schemas.openxmlformats.org/markup-compatibility/2006">
          <mc:Choice Requires="x14">
            <control shapeId="237661" r:id="rId72" name="Check Box 93">
              <controlPr defaultSize="0" autoFill="0" autoLine="0" autoPict="0">
                <anchor moveWithCells="1">
                  <from>
                    <xdr:col>6</xdr:col>
                    <xdr:colOff>180975</xdr:colOff>
                    <xdr:row>106</xdr:row>
                    <xdr:rowOff>171450</xdr:rowOff>
                  </from>
                  <to>
                    <xdr:col>7</xdr:col>
                    <xdr:colOff>285750</xdr:colOff>
                    <xdr:row>108</xdr:row>
                    <xdr:rowOff>9525</xdr:rowOff>
                  </to>
                </anchor>
              </controlPr>
            </control>
          </mc:Choice>
        </mc:AlternateContent>
        <mc:AlternateContent xmlns:mc="http://schemas.openxmlformats.org/markup-compatibility/2006">
          <mc:Choice Requires="x14">
            <control shapeId="237662" r:id="rId73" name="Check Box 94">
              <controlPr defaultSize="0" autoFill="0" autoLine="0" autoPict="0">
                <anchor moveWithCells="1">
                  <from>
                    <xdr:col>6</xdr:col>
                    <xdr:colOff>180975</xdr:colOff>
                    <xdr:row>107</xdr:row>
                    <xdr:rowOff>171450</xdr:rowOff>
                  </from>
                  <to>
                    <xdr:col>7</xdr:col>
                    <xdr:colOff>285750</xdr:colOff>
                    <xdr:row>109</xdr:row>
                    <xdr:rowOff>9525</xdr:rowOff>
                  </to>
                </anchor>
              </controlPr>
            </control>
          </mc:Choice>
        </mc:AlternateContent>
        <mc:AlternateContent xmlns:mc="http://schemas.openxmlformats.org/markup-compatibility/2006">
          <mc:Choice Requires="x14">
            <control shapeId="237663" r:id="rId74" name="Check Box 95">
              <controlPr defaultSize="0" autoFill="0" autoLine="0" autoPict="0">
                <anchor moveWithCells="1">
                  <from>
                    <xdr:col>6</xdr:col>
                    <xdr:colOff>180975</xdr:colOff>
                    <xdr:row>108</xdr:row>
                    <xdr:rowOff>171450</xdr:rowOff>
                  </from>
                  <to>
                    <xdr:col>7</xdr:col>
                    <xdr:colOff>285750</xdr:colOff>
                    <xdr:row>110</xdr:row>
                    <xdr:rowOff>9525</xdr:rowOff>
                  </to>
                </anchor>
              </controlPr>
            </control>
          </mc:Choice>
        </mc:AlternateContent>
        <mc:AlternateContent xmlns:mc="http://schemas.openxmlformats.org/markup-compatibility/2006">
          <mc:Choice Requires="x14">
            <control shapeId="237664" r:id="rId75" name="Check Box 96">
              <controlPr defaultSize="0" autoFill="0" autoLine="0" autoPict="0">
                <anchor moveWithCells="1">
                  <from>
                    <xdr:col>6</xdr:col>
                    <xdr:colOff>180975</xdr:colOff>
                    <xdr:row>109</xdr:row>
                    <xdr:rowOff>171450</xdr:rowOff>
                  </from>
                  <to>
                    <xdr:col>7</xdr:col>
                    <xdr:colOff>285750</xdr:colOff>
                    <xdr:row>111</xdr:row>
                    <xdr:rowOff>9525</xdr:rowOff>
                  </to>
                </anchor>
              </controlPr>
            </control>
          </mc:Choice>
        </mc:AlternateContent>
        <mc:AlternateContent xmlns:mc="http://schemas.openxmlformats.org/markup-compatibility/2006">
          <mc:Choice Requires="x14">
            <control shapeId="237665" r:id="rId76" name="Check Box 97">
              <controlPr defaultSize="0" autoFill="0" autoLine="0" autoPict="0">
                <anchor moveWithCells="1">
                  <from>
                    <xdr:col>6</xdr:col>
                    <xdr:colOff>180975</xdr:colOff>
                    <xdr:row>110</xdr:row>
                    <xdr:rowOff>171450</xdr:rowOff>
                  </from>
                  <to>
                    <xdr:col>7</xdr:col>
                    <xdr:colOff>285750</xdr:colOff>
                    <xdr:row>112</xdr:row>
                    <xdr:rowOff>9525</xdr:rowOff>
                  </to>
                </anchor>
              </controlPr>
            </control>
          </mc:Choice>
        </mc:AlternateContent>
        <mc:AlternateContent xmlns:mc="http://schemas.openxmlformats.org/markup-compatibility/2006">
          <mc:Choice Requires="x14">
            <control shapeId="237666" r:id="rId77" name="Check Box 98">
              <controlPr defaultSize="0" autoFill="0" autoLine="0" autoPict="0">
                <anchor moveWithCells="1">
                  <from>
                    <xdr:col>6</xdr:col>
                    <xdr:colOff>180975</xdr:colOff>
                    <xdr:row>111</xdr:row>
                    <xdr:rowOff>171450</xdr:rowOff>
                  </from>
                  <to>
                    <xdr:col>7</xdr:col>
                    <xdr:colOff>285750</xdr:colOff>
                    <xdr:row>113</xdr:row>
                    <xdr:rowOff>9525</xdr:rowOff>
                  </to>
                </anchor>
              </controlPr>
            </control>
          </mc:Choice>
        </mc:AlternateContent>
        <mc:AlternateContent xmlns:mc="http://schemas.openxmlformats.org/markup-compatibility/2006">
          <mc:Choice Requires="x14">
            <control shapeId="237667" r:id="rId78" name="Check Box 99">
              <controlPr defaultSize="0" autoFill="0" autoLine="0" autoPict="0">
                <anchor moveWithCells="1">
                  <from>
                    <xdr:col>6</xdr:col>
                    <xdr:colOff>180975</xdr:colOff>
                    <xdr:row>112</xdr:row>
                    <xdr:rowOff>171450</xdr:rowOff>
                  </from>
                  <to>
                    <xdr:col>7</xdr:col>
                    <xdr:colOff>285750</xdr:colOff>
                    <xdr:row>114</xdr:row>
                    <xdr:rowOff>9525</xdr:rowOff>
                  </to>
                </anchor>
              </controlPr>
            </control>
          </mc:Choice>
        </mc:AlternateContent>
        <mc:AlternateContent xmlns:mc="http://schemas.openxmlformats.org/markup-compatibility/2006">
          <mc:Choice Requires="x14">
            <control shapeId="237668" r:id="rId79" name="Check Box 100">
              <controlPr defaultSize="0" autoFill="0" autoLine="0" autoPict="0">
                <anchor moveWithCells="1">
                  <from>
                    <xdr:col>6</xdr:col>
                    <xdr:colOff>180975</xdr:colOff>
                    <xdr:row>113</xdr:row>
                    <xdr:rowOff>171450</xdr:rowOff>
                  </from>
                  <to>
                    <xdr:col>7</xdr:col>
                    <xdr:colOff>285750</xdr:colOff>
                    <xdr:row>115</xdr:row>
                    <xdr:rowOff>9525</xdr:rowOff>
                  </to>
                </anchor>
              </controlPr>
            </control>
          </mc:Choice>
        </mc:AlternateContent>
        <mc:AlternateContent xmlns:mc="http://schemas.openxmlformats.org/markup-compatibility/2006">
          <mc:Choice Requires="x14">
            <control shapeId="237669" r:id="rId80" name="Check Box 101">
              <controlPr defaultSize="0" autoFill="0" autoLine="0" autoPict="0">
                <anchor moveWithCells="1">
                  <from>
                    <xdr:col>6</xdr:col>
                    <xdr:colOff>180975</xdr:colOff>
                    <xdr:row>114</xdr:row>
                    <xdr:rowOff>171450</xdr:rowOff>
                  </from>
                  <to>
                    <xdr:col>7</xdr:col>
                    <xdr:colOff>285750</xdr:colOff>
                    <xdr:row>116</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XFC76"/>
  <sheetViews>
    <sheetView tabSelected="1" zoomScale="70" zoomScaleNormal="70" zoomScaleSheetLayoutView="100" workbookViewId="0">
      <selection activeCell="I29" sqref="I29"/>
    </sheetView>
  </sheetViews>
  <sheetFormatPr defaultColWidth="0" defaultRowHeight="12.75" x14ac:dyDescent="0.35"/>
  <cols>
    <col min="1" max="1" width="11.3984375" style="72" bestFit="1" customWidth="1"/>
    <col min="2" max="6" width="15.59765625" style="72" customWidth="1"/>
    <col min="7" max="7" width="15.59765625" style="72" bestFit="1" customWidth="1"/>
    <col min="8" max="9" width="15.59765625" style="72" customWidth="1"/>
    <col min="10" max="10" width="16.1328125" style="72" customWidth="1"/>
    <col min="11" max="13" width="10.73046875" style="72" customWidth="1"/>
    <col min="14" max="16383" width="7.86328125" style="72" hidden="1"/>
    <col min="16384" max="16384" width="1.86328125" style="72" customWidth="1"/>
  </cols>
  <sheetData>
    <row r="1" spans="2:13" ht="13.15" x14ac:dyDescent="0.35">
      <c r="B1" s="172"/>
      <c r="C1" s="183"/>
      <c r="D1" s="183"/>
      <c r="E1" s="183"/>
      <c r="F1" s="183"/>
      <c r="G1" s="183"/>
      <c r="H1" s="183"/>
      <c r="I1" s="183"/>
      <c r="J1" s="183"/>
      <c r="K1" s="183"/>
      <c r="L1" s="183"/>
      <c r="M1" s="183"/>
    </row>
    <row r="2" spans="2:13" ht="13.15" x14ac:dyDescent="0.35">
      <c r="B2" s="173"/>
      <c r="C2" s="173"/>
      <c r="D2" s="183"/>
      <c r="E2" s="183"/>
      <c r="F2" s="183"/>
      <c r="G2" s="183"/>
      <c r="H2" s="183"/>
      <c r="I2" s="183"/>
      <c r="J2" s="183"/>
      <c r="K2" s="183"/>
      <c r="L2" s="183"/>
      <c r="M2" s="183"/>
    </row>
    <row r="3" spans="2:13" ht="13.15" x14ac:dyDescent="0.35">
      <c r="B3" s="174" t="s">
        <v>514</v>
      </c>
      <c r="C3" s="174" t="s">
        <v>515</v>
      </c>
      <c r="D3" s="389"/>
      <c r="E3" s="389"/>
      <c r="F3" s="183"/>
      <c r="G3" s="183"/>
      <c r="H3" s="183"/>
      <c r="I3" s="183"/>
      <c r="J3" s="183"/>
      <c r="K3" s="183"/>
      <c r="L3" s="183"/>
      <c r="M3" s="183"/>
    </row>
    <row r="4" spans="2:13" ht="13.15" x14ac:dyDescent="0.35">
      <c r="B4" s="175"/>
      <c r="C4" s="175"/>
      <c r="D4" s="175"/>
      <c r="E4" s="175"/>
      <c r="F4" s="183"/>
      <c r="G4" s="509" t="s">
        <v>687</v>
      </c>
      <c r="H4" s="509"/>
      <c r="I4" s="509"/>
      <c r="J4" s="509"/>
      <c r="K4" s="509"/>
      <c r="L4" s="509"/>
      <c r="M4" s="183"/>
    </row>
    <row r="5" spans="2:13" x14ac:dyDescent="0.35">
      <c r="B5" s="390">
        <f>VLOOKUP("pump_flow_emptying_ml_min",AUTO!$A$1:$B$1051,2,FALSE)</f>
        <v>150</v>
      </c>
      <c r="C5" s="176" t="s">
        <v>516</v>
      </c>
      <c r="D5" s="177" t="s">
        <v>517</v>
      </c>
      <c r="E5" s="176"/>
      <c r="F5" s="183"/>
      <c r="G5" s="509"/>
      <c r="H5" s="509"/>
      <c r="I5" s="509"/>
      <c r="J5" s="509"/>
      <c r="K5" s="509"/>
      <c r="L5" s="509"/>
      <c r="M5" s="183"/>
    </row>
    <row r="6" spans="2:13" x14ac:dyDescent="0.35">
      <c r="B6" s="390">
        <f>VLOOKUP("pump_target_flow_ml_min",AUTO!$A$1:$B$1051,2,FALSE)</f>
        <v>30</v>
      </c>
      <c r="C6" s="176" t="s">
        <v>516</v>
      </c>
      <c r="D6" s="177" t="s">
        <v>518</v>
      </c>
      <c r="E6" s="176"/>
      <c r="F6" s="183"/>
      <c r="G6" s="509"/>
      <c r="H6" s="509"/>
      <c r="I6" s="509"/>
      <c r="J6" s="509"/>
      <c r="K6" s="509"/>
      <c r="L6" s="509"/>
      <c r="M6" s="183"/>
    </row>
    <row r="7" spans="2:13" x14ac:dyDescent="0.35">
      <c r="B7" s="390">
        <f>VLOOKUP("pump_current_sampling",AUTO!$A$1:$B$1051,2,FALSE)</f>
        <v>17</v>
      </c>
      <c r="C7" s="391" t="s">
        <v>519</v>
      </c>
      <c r="D7" s="392" t="s">
        <v>520</v>
      </c>
      <c r="E7" s="391"/>
      <c r="F7" s="183"/>
      <c r="G7" s="183"/>
      <c r="H7" s="183"/>
      <c r="I7" s="183"/>
      <c r="J7" s="183"/>
      <c r="K7" s="183"/>
      <c r="L7" s="183"/>
      <c r="M7" s="183"/>
    </row>
    <row r="8" spans="2:13" x14ac:dyDescent="0.35">
      <c r="B8" s="390">
        <f>VLOOKUP("pump_current_emptying",AUTO!$A$1:$B$1051,2,FALSE)</f>
        <v>253</v>
      </c>
      <c r="C8" s="391" t="s">
        <v>519</v>
      </c>
      <c r="D8" s="392" t="s">
        <v>521</v>
      </c>
      <c r="E8" s="391"/>
      <c r="F8" s="183"/>
      <c r="G8" s="393"/>
      <c r="H8" s="394" t="s">
        <v>522</v>
      </c>
      <c r="I8" s="183"/>
      <c r="J8" s="183"/>
      <c r="K8" s="183"/>
      <c r="L8" s="178" t="s">
        <v>523</v>
      </c>
      <c r="M8" s="183"/>
    </row>
    <row r="9" spans="2:13" x14ac:dyDescent="0.35">
      <c r="B9" s="395"/>
      <c r="C9" s="396"/>
      <c r="D9" s="397"/>
      <c r="E9" s="396"/>
      <c r="F9" s="183"/>
      <c r="G9" s="183"/>
      <c r="H9" s="183"/>
      <c r="I9" s="183"/>
      <c r="J9" s="183"/>
      <c r="K9" s="183"/>
      <c r="L9" s="178" t="s">
        <v>524</v>
      </c>
      <c r="M9" s="183"/>
    </row>
    <row r="10" spans="2:13" ht="13.15" x14ac:dyDescent="0.35">
      <c r="B10" s="303" t="s">
        <v>525</v>
      </c>
      <c r="C10" s="174" t="s">
        <v>515</v>
      </c>
      <c r="D10" s="398"/>
      <c r="E10" s="399"/>
      <c r="F10" s="183"/>
      <c r="G10" s="400"/>
      <c r="H10" s="401" t="s">
        <v>526</v>
      </c>
      <c r="I10" s="183"/>
      <c r="J10" s="183"/>
      <c r="K10" s="183"/>
      <c r="L10" s="178" t="s">
        <v>19</v>
      </c>
      <c r="M10" s="183"/>
    </row>
    <row r="11" spans="2:13" x14ac:dyDescent="0.35">
      <c r="B11" s="390">
        <f>VLOOKUP("no_noise_threshold",AUTO!$A$1:$B$1051,2,FALSE)</f>
        <v>34</v>
      </c>
      <c r="C11" s="402" t="s">
        <v>23</v>
      </c>
      <c r="D11" s="180" t="s">
        <v>527</v>
      </c>
      <c r="E11" s="403"/>
      <c r="F11" s="183"/>
      <c r="G11" s="183"/>
      <c r="H11" s="183"/>
      <c r="I11" s="183"/>
      <c r="J11" s="183"/>
      <c r="K11" s="183"/>
      <c r="L11" s="178" t="s">
        <v>528</v>
      </c>
      <c r="M11" s="183"/>
    </row>
    <row r="12" spans="2:13" x14ac:dyDescent="0.35">
      <c r="B12" s="390">
        <f>VLOOKUP("sample_volume_ml",AUTO!$A$1:$B$1051,2,FALSE)</f>
        <v>40</v>
      </c>
      <c r="C12" s="176" t="s">
        <v>529</v>
      </c>
      <c r="D12" s="177" t="s">
        <v>530</v>
      </c>
      <c r="E12" s="176"/>
      <c r="F12" s="183"/>
      <c r="G12" s="404"/>
      <c r="H12" s="401" t="s">
        <v>16</v>
      </c>
      <c r="I12" s="183"/>
      <c r="J12" s="183"/>
      <c r="K12" s="183"/>
      <c r="L12" s="183"/>
      <c r="M12" s="183"/>
    </row>
    <row r="13" spans="2:13" x14ac:dyDescent="0.35">
      <c r="B13" s="390"/>
      <c r="C13" s="405"/>
      <c r="D13" s="177"/>
      <c r="E13" s="176"/>
      <c r="F13" s="183"/>
      <c r="G13" s="183"/>
      <c r="H13" s="183"/>
      <c r="I13" s="183"/>
      <c r="J13" s="183"/>
      <c r="K13" s="183"/>
      <c r="L13" s="183"/>
      <c r="M13" s="183"/>
    </row>
    <row r="14" spans="2:13" ht="13.15" x14ac:dyDescent="0.35">
      <c r="B14" s="390">
        <f>VLOOKUP("led_level",AUTO!$A$1:$B$1051,2,FALSE)</f>
        <v>10865</v>
      </c>
      <c r="C14" s="176" t="s">
        <v>531</v>
      </c>
      <c r="D14" s="177" t="s">
        <v>532</v>
      </c>
      <c r="E14" s="176"/>
      <c r="F14" s="183"/>
      <c r="G14" s="181" t="s">
        <v>533</v>
      </c>
      <c r="H14" s="522" t="s">
        <v>1007</v>
      </c>
      <c r="I14" s="523"/>
      <c r="J14" s="523"/>
      <c r="K14" s="396"/>
      <c r="L14" s="396"/>
      <c r="M14" s="406"/>
    </row>
    <row r="15" spans="2:13" ht="12.75" customHeight="1" x14ac:dyDescent="0.35">
      <c r="B15" s="407"/>
      <c r="C15" s="396"/>
      <c r="D15" s="397"/>
      <c r="E15" s="396"/>
      <c r="F15" s="183"/>
      <c r="G15" s="181" t="s">
        <v>241</v>
      </c>
      <c r="H15" s="513">
        <f>VLOOKUP("serial_number_",AUTO!$A$1:$B$1051,2,FALSE)</f>
        <v>63010062</v>
      </c>
      <c r="I15" s="514"/>
      <c r="J15" s="515"/>
      <c r="K15" s="183"/>
      <c r="L15" s="183"/>
      <c r="M15" s="183"/>
    </row>
    <row r="16" spans="2:13" ht="13.15" x14ac:dyDescent="0.35">
      <c r="B16" s="182"/>
      <c r="C16" s="174"/>
      <c r="D16" s="398"/>
      <c r="E16" s="399"/>
      <c r="F16" s="183"/>
      <c r="G16" s="181" t="s">
        <v>236</v>
      </c>
      <c r="H16" s="510">
        <f>VLOOKUP("date_",AUTO!$A$1:$B$1051,2,FALSE)</f>
        <v>46163.5</v>
      </c>
      <c r="I16" s="511"/>
      <c r="J16" s="512"/>
      <c r="K16" s="183"/>
      <c r="L16" s="183"/>
      <c r="M16" s="183"/>
    </row>
    <row r="17" spans="2:10" ht="13.15" x14ac:dyDescent="0.35">
      <c r="B17" s="390"/>
      <c r="C17" s="402"/>
      <c r="D17" s="180"/>
      <c r="E17" s="403"/>
      <c r="F17" s="183"/>
      <c r="G17" s="181" t="s">
        <v>534</v>
      </c>
      <c r="H17" s="513" t="str">
        <f>H15&amp;" "&amp;TEXT(H16,"ddmmyy")</f>
        <v>63010062 210526</v>
      </c>
      <c r="I17" s="514"/>
      <c r="J17" s="515"/>
    </row>
    <row r="18" spans="2:10" ht="13.15" x14ac:dyDescent="0.35">
      <c r="B18" s="390"/>
      <c r="C18" s="176"/>
      <c r="D18" s="177"/>
      <c r="E18" s="176"/>
      <c r="F18" s="183"/>
      <c r="G18" s="181" t="s">
        <v>1003</v>
      </c>
      <c r="H18" s="519" t="s">
        <v>1008</v>
      </c>
      <c r="I18" s="520"/>
      <c r="J18" s="521"/>
    </row>
    <row r="19" spans="2:10" ht="13.15" x14ac:dyDescent="0.35">
      <c r="B19" s="390"/>
      <c r="C19" s="405"/>
      <c r="D19" s="177"/>
      <c r="E19" s="176"/>
      <c r="F19" s="183"/>
      <c r="G19" s="181" t="s">
        <v>535</v>
      </c>
      <c r="H19" s="516">
        <f>VLOOKUP("rig_param_identifier",AUTO!$A$1:$B$1051,2,FALSE)</f>
        <v>303</v>
      </c>
      <c r="I19" s="517"/>
      <c r="J19" s="518"/>
    </row>
    <row r="20" spans="2:10" x14ac:dyDescent="0.35">
      <c r="B20" s="390"/>
      <c r="C20" s="176"/>
      <c r="D20" s="177"/>
      <c r="E20" s="176"/>
      <c r="F20" s="183"/>
      <c r="G20" s="183"/>
      <c r="H20" s="183"/>
      <c r="I20" s="183"/>
      <c r="J20" s="183"/>
    </row>
    <row r="21" spans="2:10" ht="12.75" customHeight="1" x14ac:dyDescent="0.35">
      <c r="B21" s="407"/>
      <c r="C21" s="396"/>
      <c r="D21" s="397"/>
      <c r="E21" s="396"/>
      <c r="F21" s="183"/>
      <c r="G21" s="505" t="s">
        <v>536</v>
      </c>
      <c r="H21" s="506">
        <f>VLOOKUP("rig_cleanliness_count",AUTO!$A$1:$B$1051,2,FALSE)</f>
        <v>0</v>
      </c>
      <c r="I21" s="183"/>
      <c r="J21" s="183"/>
    </row>
    <row r="22" spans="2:10" ht="13.15" x14ac:dyDescent="0.35">
      <c r="B22" s="179" t="s">
        <v>537</v>
      </c>
      <c r="C22" s="174" t="s">
        <v>515</v>
      </c>
      <c r="D22" s="398"/>
      <c r="E22" s="399"/>
      <c r="F22" s="183"/>
      <c r="G22" s="505"/>
      <c r="H22" s="507"/>
      <c r="I22" s="183"/>
      <c r="J22" s="183"/>
    </row>
    <row r="23" spans="2:10" x14ac:dyDescent="0.35">
      <c r="B23" s="390">
        <f>VLOOKUP("meas_init_level",AUTO!A13:B1063,2,FALSE)</f>
        <v>0</v>
      </c>
      <c r="C23" s="403" t="s">
        <v>538</v>
      </c>
      <c r="D23" s="180" t="s">
        <v>539</v>
      </c>
      <c r="E23" s="403"/>
      <c r="F23" s="183"/>
      <c r="G23" s="505"/>
      <c r="H23" s="507"/>
      <c r="I23" s="183"/>
      <c r="J23" s="183"/>
    </row>
    <row r="24" spans="2:10" x14ac:dyDescent="0.35">
      <c r="B24" s="390">
        <f>VLOOKUP("calc_init_volume",AUTO!$A$1:$B$1051,2,FALSE)</f>
        <v>0</v>
      </c>
      <c r="C24" s="176" t="s">
        <v>540</v>
      </c>
      <c r="D24" s="177" t="s">
        <v>541</v>
      </c>
      <c r="E24" s="176"/>
      <c r="F24" s="183"/>
      <c r="G24" s="505"/>
      <c r="H24" s="508"/>
      <c r="I24" s="183"/>
      <c r="J24" s="183"/>
    </row>
    <row r="25" spans="2:10" x14ac:dyDescent="0.35">
      <c r="B25" s="390">
        <f>VLOOKUP("desired_concentration",AUTO!$A$1:$B$1051,2,FALSE)</f>
        <v>16</v>
      </c>
      <c r="C25" s="176" t="s">
        <v>542</v>
      </c>
      <c r="D25" s="177" t="s">
        <v>543</v>
      </c>
      <c r="E25" s="176"/>
      <c r="F25" s="183"/>
      <c r="G25" s="183"/>
      <c r="H25" s="183"/>
      <c r="I25" s="183"/>
      <c r="J25" s="183"/>
    </row>
    <row r="26" spans="2:10" x14ac:dyDescent="0.35">
      <c r="B26" s="390">
        <f>VLOOKUP("calc_qty_add",AUTO!$A$1:$B$1051,2,FALSE)</f>
        <v>0</v>
      </c>
      <c r="C26" s="176" t="s">
        <v>544</v>
      </c>
      <c r="D26" s="177" t="s">
        <v>545</v>
      </c>
      <c r="E26" s="176"/>
      <c r="F26" s="183"/>
      <c r="G26" s="184" t="s">
        <v>546</v>
      </c>
      <c r="H26" s="503" t="s">
        <v>1009</v>
      </c>
      <c r="I26" s="504"/>
      <c r="J26" s="183"/>
    </row>
    <row r="27" spans="2:10" x14ac:dyDescent="0.35">
      <c r="B27" s="390">
        <f>VLOOKUP("meas_qty_add",AUTO!$A$1:$B$1051,2,FALSE)</f>
        <v>0</v>
      </c>
      <c r="C27" s="176" t="s">
        <v>544</v>
      </c>
      <c r="D27" s="177" t="s">
        <v>547</v>
      </c>
      <c r="E27" s="176"/>
      <c r="F27" s="183"/>
      <c r="G27" s="184" t="s">
        <v>548</v>
      </c>
      <c r="H27" s="492"/>
      <c r="I27" s="493"/>
      <c r="J27" s="183"/>
    </row>
    <row r="28" spans="2:10" x14ac:dyDescent="0.35">
      <c r="B28" s="390">
        <f>VLOOKUP("meas_final_level",AUTO!$A$1:$B$1051,2,FALSE)</f>
        <v>0</v>
      </c>
      <c r="C28" s="176" t="s">
        <v>538</v>
      </c>
      <c r="D28" s="177" t="s">
        <v>549</v>
      </c>
      <c r="E28" s="176"/>
      <c r="F28" s="183"/>
      <c r="G28" s="183"/>
      <c r="H28" s="183"/>
      <c r="I28" s="183"/>
      <c r="J28" s="183"/>
    </row>
    <row r="29" spans="2:10" x14ac:dyDescent="0.35">
      <c r="B29" s="390">
        <f>VLOOKUP("calc_volume",AUTO!$A$1:$B$1051,2,FALSE)</f>
        <v>0</v>
      </c>
      <c r="C29" s="176" t="s">
        <v>540</v>
      </c>
      <c r="D29" s="177" t="s">
        <v>550</v>
      </c>
      <c r="E29" s="176"/>
      <c r="F29" s="183"/>
      <c r="G29" s="183"/>
      <c r="H29" s="183"/>
      <c r="I29" s="183"/>
      <c r="J29" s="183"/>
    </row>
    <row r="30" spans="2:10" x14ac:dyDescent="0.35">
      <c r="B30" s="427">
        <f>VLOOKUP("calc_concentration",AUTO!$A$1:$B$1051,2,FALSE)</f>
        <v>16</v>
      </c>
      <c r="C30" s="176" t="s">
        <v>542</v>
      </c>
      <c r="D30" s="177" t="s">
        <v>551</v>
      </c>
      <c r="E30" s="176"/>
      <c r="F30" s="183"/>
      <c r="G30" s="183"/>
      <c r="H30" s="183"/>
      <c r="I30" s="183"/>
      <c r="J30" s="183"/>
    </row>
    <row r="31" spans="2:10" hidden="1" x14ac:dyDescent="0.35">
      <c r="B31" s="183"/>
      <c r="C31" s="183"/>
      <c r="D31" s="183"/>
      <c r="E31" s="183"/>
      <c r="F31" s="183"/>
      <c r="G31" s="183"/>
      <c r="H31" s="183"/>
      <c r="I31" s="183"/>
      <c r="J31" s="183"/>
    </row>
    <row r="32" spans="2:10" ht="13.15" hidden="1" x14ac:dyDescent="0.35">
      <c r="B32" s="175"/>
      <c r="C32" s="183"/>
      <c r="D32" s="183"/>
      <c r="E32" s="183"/>
      <c r="F32" s="183"/>
      <c r="G32" s="183"/>
      <c r="H32" s="183"/>
      <c r="I32" s="183"/>
      <c r="J32" s="183"/>
    </row>
    <row r="33" spans="2:10" s="186" customFormat="1" ht="13.15" hidden="1" x14ac:dyDescent="0.35">
      <c r="B33" s="218"/>
      <c r="C33" s="218"/>
      <c r="D33" s="218"/>
      <c r="E33" s="218"/>
      <c r="F33" s="218"/>
      <c r="G33" s="218"/>
      <c r="H33" s="218"/>
      <c r="I33" s="218"/>
      <c r="J33" s="185"/>
    </row>
    <row r="34" spans="2:10" s="186" customFormat="1" ht="13.15" hidden="1" x14ac:dyDescent="0.35">
      <c r="B34" s="218"/>
      <c r="C34" s="218"/>
      <c r="D34" s="218"/>
      <c r="E34" s="218"/>
      <c r="F34" s="218"/>
      <c r="G34" s="218"/>
      <c r="H34" s="218"/>
      <c r="I34" s="218"/>
      <c r="J34" s="185"/>
    </row>
    <row r="35" spans="2:10" s="186" customFormat="1" ht="13.15" hidden="1" x14ac:dyDescent="0.35">
      <c r="B35" s="187"/>
      <c r="C35" s="187"/>
      <c r="D35" s="187"/>
      <c r="E35" s="187"/>
      <c r="F35" s="187"/>
      <c r="G35" s="187"/>
      <c r="H35" s="187"/>
      <c r="I35" s="187"/>
      <c r="J35" s="185"/>
    </row>
    <row r="36" spans="2:10" s="186" customFormat="1" ht="13.15" hidden="1" x14ac:dyDescent="0.35">
      <c r="B36" s="408"/>
      <c r="C36" s="408"/>
      <c r="D36" s="408"/>
      <c r="E36" s="408"/>
      <c r="F36" s="408"/>
      <c r="G36" s="408"/>
      <c r="H36" s="408"/>
      <c r="I36" s="408"/>
      <c r="J36" s="185"/>
    </row>
    <row r="37" spans="2:10" s="186" customFormat="1" ht="13.15" hidden="1" x14ac:dyDescent="0.35">
      <c r="B37" s="408"/>
      <c r="C37" s="408"/>
      <c r="D37" s="408"/>
      <c r="E37" s="408"/>
      <c r="F37" s="408"/>
      <c r="G37" s="408"/>
      <c r="H37" s="408"/>
      <c r="I37" s="408"/>
      <c r="J37" s="185"/>
    </row>
    <row r="38" spans="2:10" s="186" customFormat="1" ht="13.15" hidden="1" x14ac:dyDescent="0.35">
      <c r="B38" s="409"/>
      <c r="C38" s="409"/>
      <c r="D38" s="409"/>
      <c r="E38" s="409"/>
      <c r="F38" s="409"/>
      <c r="G38" s="409"/>
      <c r="H38" s="409"/>
      <c r="I38" s="409"/>
      <c r="J38" s="185"/>
    </row>
    <row r="39" spans="2:10" s="186" customFormat="1" ht="13.15" hidden="1" x14ac:dyDescent="0.35">
      <c r="B39" s="188"/>
      <c r="C39" s="409"/>
      <c r="D39" s="409"/>
      <c r="E39" s="409"/>
      <c r="F39" s="409"/>
      <c r="G39" s="409"/>
      <c r="H39" s="409"/>
      <c r="I39" s="409"/>
      <c r="J39" s="185"/>
    </row>
    <row r="40" spans="2:10" s="190" customFormat="1" ht="13.15" hidden="1" x14ac:dyDescent="0.35">
      <c r="B40" s="410"/>
      <c r="C40" s="410"/>
      <c r="D40" s="410"/>
      <c r="E40" s="410"/>
      <c r="F40" s="410"/>
      <c r="G40" s="410"/>
      <c r="H40" s="410"/>
      <c r="I40" s="410"/>
      <c r="J40" s="189"/>
    </row>
    <row r="41" spans="2:10" s="186" customFormat="1" ht="13.15" hidden="1" x14ac:dyDescent="0.35">
      <c r="B41" s="410"/>
      <c r="C41" s="410"/>
      <c r="D41" s="410"/>
      <c r="E41" s="410"/>
      <c r="F41" s="410"/>
      <c r="G41" s="410"/>
      <c r="H41" s="410"/>
      <c r="I41" s="410"/>
      <c r="J41" s="185"/>
    </row>
    <row r="42" spans="2:10" s="186" customFormat="1" ht="13.15" hidden="1" x14ac:dyDescent="0.35">
      <c r="B42" s="187"/>
      <c r="C42" s="187"/>
      <c r="D42" s="187"/>
      <c r="E42" s="187"/>
      <c r="F42" s="187"/>
      <c r="G42" s="187"/>
      <c r="H42" s="187"/>
      <c r="I42" s="187"/>
      <c r="J42" s="185"/>
    </row>
    <row r="43" spans="2:10" s="186" customFormat="1" ht="13.15" hidden="1" x14ac:dyDescent="0.35">
      <c r="B43" s="408"/>
      <c r="C43" s="408"/>
      <c r="D43" s="408"/>
      <c r="E43" s="408"/>
      <c r="F43" s="408"/>
      <c r="G43" s="408"/>
      <c r="H43" s="408"/>
      <c r="I43" s="408"/>
      <c r="J43" s="185"/>
    </row>
    <row r="44" spans="2:10" s="186" customFormat="1" ht="13.15" hidden="1" x14ac:dyDescent="0.35">
      <c r="B44" s="408"/>
      <c r="C44" s="408"/>
      <c r="D44" s="408"/>
      <c r="E44" s="408"/>
      <c r="F44" s="408"/>
      <c r="G44" s="408"/>
      <c r="H44" s="408"/>
      <c r="I44" s="408"/>
      <c r="J44" s="185"/>
    </row>
    <row r="45" spans="2:10" s="186" customFormat="1" ht="13.15" hidden="1" x14ac:dyDescent="0.35">
      <c r="B45" s="409"/>
      <c r="C45" s="409"/>
      <c r="D45" s="409"/>
      <c r="E45" s="409"/>
      <c r="F45" s="409"/>
      <c r="G45" s="409"/>
      <c r="H45" s="409"/>
      <c r="I45" s="409"/>
      <c r="J45" s="185"/>
    </row>
    <row r="46" spans="2:10" s="186" customFormat="1" ht="13.15" hidden="1" x14ac:dyDescent="0.35">
      <c r="B46" s="188"/>
      <c r="C46" s="409"/>
      <c r="D46" s="409"/>
      <c r="E46" s="409"/>
      <c r="F46" s="409"/>
      <c r="G46" s="409"/>
      <c r="H46" s="409"/>
      <c r="I46" s="409"/>
      <c r="J46" s="185"/>
    </row>
    <row r="47" spans="2:10" s="190" customFormat="1" ht="13.15" hidden="1" x14ac:dyDescent="0.35">
      <c r="B47" s="410"/>
      <c r="C47" s="410"/>
      <c r="D47" s="410"/>
      <c r="E47" s="410"/>
      <c r="F47" s="410"/>
      <c r="G47" s="410"/>
      <c r="H47" s="410"/>
      <c r="I47" s="410"/>
      <c r="J47" s="189"/>
    </row>
    <row r="48" spans="2:10" s="190" customFormat="1" ht="13.15" hidden="1" x14ac:dyDescent="0.35">
      <c r="B48" s="410"/>
      <c r="C48" s="410"/>
      <c r="D48" s="410"/>
      <c r="E48" s="410"/>
      <c r="F48" s="410"/>
      <c r="G48" s="410"/>
      <c r="H48" s="410"/>
      <c r="I48" s="410"/>
      <c r="J48" s="189"/>
    </row>
    <row r="49" spans="2:10" s="186" customFormat="1" ht="13.15" hidden="1" x14ac:dyDescent="0.35">
      <c r="B49" s="191"/>
      <c r="C49" s="191"/>
      <c r="D49" s="191"/>
      <c r="E49" s="191"/>
      <c r="F49" s="191"/>
      <c r="G49" s="191"/>
      <c r="H49" s="191"/>
      <c r="I49" s="191"/>
      <c r="J49" s="185"/>
    </row>
    <row r="50" spans="2:10" s="186" customFormat="1" ht="13.15" hidden="1" x14ac:dyDescent="0.35">
      <c r="B50" s="187"/>
      <c r="C50" s="187"/>
      <c r="D50" s="187"/>
      <c r="E50" s="187"/>
      <c r="F50" s="187"/>
      <c r="G50" s="187"/>
      <c r="H50" s="187"/>
      <c r="I50" s="187"/>
      <c r="J50" s="185"/>
    </row>
    <row r="51" spans="2:10" s="186" customFormat="1" ht="13.15" hidden="1" x14ac:dyDescent="0.35">
      <c r="B51" s="187"/>
      <c r="C51" s="187"/>
      <c r="D51" s="187"/>
      <c r="E51" s="187"/>
      <c r="F51" s="187"/>
      <c r="G51" s="187"/>
      <c r="H51" s="187"/>
      <c r="I51" s="187"/>
      <c r="J51" s="185"/>
    </row>
    <row r="52" spans="2:10" s="186" customFormat="1" ht="13.15" hidden="1" x14ac:dyDescent="0.35">
      <c r="B52" s="187"/>
      <c r="C52" s="187"/>
      <c r="D52" s="187"/>
      <c r="E52" s="187"/>
      <c r="F52" s="187"/>
      <c r="G52" s="187"/>
      <c r="H52" s="187"/>
      <c r="I52" s="187"/>
      <c r="J52" s="185"/>
    </row>
    <row r="53" spans="2:10" s="186" customFormat="1" ht="13.15" hidden="1" x14ac:dyDescent="0.35">
      <c r="B53" s="408"/>
      <c r="C53" s="408"/>
      <c r="D53" s="408"/>
      <c r="E53" s="408"/>
      <c r="F53" s="408"/>
      <c r="G53" s="408"/>
      <c r="H53" s="408"/>
      <c r="I53" s="408"/>
      <c r="J53" s="185"/>
    </row>
    <row r="54" spans="2:10" s="186" customFormat="1" ht="13.15" hidden="1" x14ac:dyDescent="0.35">
      <c r="B54" s="408"/>
      <c r="C54" s="408"/>
      <c r="D54" s="408"/>
      <c r="E54" s="408"/>
      <c r="F54" s="408"/>
      <c r="G54" s="408"/>
      <c r="H54" s="408"/>
      <c r="I54" s="408"/>
      <c r="J54" s="185"/>
    </row>
    <row r="55" spans="2:10" ht="13.15" x14ac:dyDescent="0.35">
      <c r="B55" s="183"/>
      <c r="C55" s="183"/>
      <c r="D55" s="183"/>
      <c r="E55" s="183"/>
      <c r="F55" s="183"/>
      <c r="G55" s="183"/>
      <c r="H55" s="183"/>
      <c r="I55" s="183"/>
      <c r="J55" s="175"/>
    </row>
    <row r="56" spans="2:10" ht="13.15" hidden="1" x14ac:dyDescent="0.35">
      <c r="B56" s="175"/>
      <c r="C56" s="183"/>
      <c r="D56" s="183"/>
      <c r="E56" s="183"/>
      <c r="F56" s="183"/>
      <c r="G56" s="183"/>
      <c r="H56" s="183"/>
      <c r="I56" s="183"/>
      <c r="J56" s="175"/>
    </row>
    <row r="57" spans="2:10" ht="13.15" hidden="1" x14ac:dyDescent="0.35">
      <c r="B57" s="175"/>
      <c r="C57" s="175"/>
      <c r="D57" s="175"/>
      <c r="E57" s="175"/>
      <c r="F57" s="175"/>
      <c r="G57" s="175"/>
      <c r="H57" s="175"/>
      <c r="I57" s="175"/>
      <c r="J57" s="175"/>
    </row>
    <row r="58" spans="2:10" ht="13.15" hidden="1" x14ac:dyDescent="0.35">
      <c r="B58" s="175"/>
      <c r="C58" s="175"/>
      <c r="D58" s="175"/>
      <c r="E58" s="175"/>
      <c r="F58" s="175"/>
      <c r="G58" s="175"/>
      <c r="H58" s="175"/>
      <c r="I58" s="175"/>
      <c r="J58" s="175"/>
    </row>
    <row r="59" spans="2:10" ht="13.15" hidden="1" x14ac:dyDescent="0.35">
      <c r="B59" s="192"/>
      <c r="C59" s="411"/>
      <c r="D59" s="175"/>
      <c r="E59" s="175"/>
      <c r="F59" s="175"/>
      <c r="G59" s="175"/>
      <c r="H59" s="175"/>
      <c r="I59" s="175"/>
      <c r="J59" s="175"/>
    </row>
    <row r="60" spans="2:10" ht="13.15" hidden="1" x14ac:dyDescent="0.35">
      <c r="B60" s="175"/>
      <c r="C60" s="175"/>
      <c r="D60" s="175"/>
      <c r="E60" s="175"/>
      <c r="F60" s="175"/>
      <c r="G60" s="175"/>
      <c r="H60" s="175"/>
      <c r="I60" s="175"/>
      <c r="J60" s="175"/>
    </row>
    <row r="61" spans="2:10" ht="13.15" hidden="1" x14ac:dyDescent="0.35">
      <c r="B61" s="175"/>
      <c r="C61" s="175"/>
      <c r="D61" s="175"/>
      <c r="E61" s="175"/>
      <c r="F61" s="175"/>
      <c r="G61" s="175"/>
      <c r="H61" s="175"/>
      <c r="I61" s="175"/>
      <c r="J61" s="175"/>
    </row>
    <row r="62" spans="2:10" s="193" customFormat="1" ht="13.15" x14ac:dyDescent="0.35">
      <c r="B62" s="175"/>
      <c r="C62" s="175"/>
      <c r="D62" s="175"/>
      <c r="E62" s="175"/>
      <c r="F62" s="175"/>
      <c r="G62" s="175"/>
      <c r="H62" s="175"/>
      <c r="I62" s="175"/>
      <c r="J62" s="192"/>
    </row>
    <row r="63" spans="2:10" ht="13.15" x14ac:dyDescent="0.35">
      <c r="B63" s="194" t="s">
        <v>552</v>
      </c>
      <c r="C63" s="411"/>
      <c r="D63" s="411"/>
      <c r="E63" s="411"/>
      <c r="F63" s="411"/>
      <c r="G63" s="411"/>
      <c r="H63" s="411"/>
      <c r="I63" s="411"/>
      <c r="J63" s="175"/>
    </row>
    <row r="64" spans="2:10" ht="13.15" x14ac:dyDescent="0.35">
      <c r="B64" s="412">
        <v>4</v>
      </c>
      <c r="C64" s="412">
        <v>6</v>
      </c>
      <c r="D64" s="412">
        <v>14</v>
      </c>
      <c r="E64" s="412">
        <v>21</v>
      </c>
      <c r="F64" s="412">
        <v>25</v>
      </c>
      <c r="G64" s="412">
        <v>38</v>
      </c>
      <c r="H64" s="412">
        <v>50</v>
      </c>
      <c r="I64" s="412">
        <v>70</v>
      </c>
      <c r="J64" s="52" t="s">
        <v>553</v>
      </c>
    </row>
    <row r="65" spans="1:10" s="195" customFormat="1" ht="13.15" x14ac:dyDescent="0.35">
      <c r="B65" s="196">
        <f>VLOOKUP("threshold0",AUTO!$A$1:$B$1051,2,FALSE)</f>
        <v>76</v>
      </c>
      <c r="C65" s="196">
        <f>VLOOKUP("threshold1",AUTO!$A$1:$B$1051,2,FALSE)</f>
        <v>180</v>
      </c>
      <c r="D65" s="196">
        <f>VLOOKUP("threshold2",AUTO!$A$1:$B$1051,2,FALSE)</f>
        <v>1020</v>
      </c>
      <c r="E65" s="196">
        <f>VLOOKUP("threshold3",AUTO!$A$1:$B$1051,2,FALSE)</f>
        <v>2204</v>
      </c>
      <c r="F65" s="196">
        <f>VLOOKUP("threshold4",AUTO!$A$1:$B$1051,2,FALSE)</f>
        <v>3244</v>
      </c>
      <c r="G65" s="196">
        <f>VLOOKUP("threshold5",AUTO!$A$1:$B$1051,2,FALSE)</f>
        <v>11420</v>
      </c>
      <c r="H65" s="196">
        <f>VLOOKUP("threshold6",AUTO!$A$1:$B$1051,2,FALSE)</f>
        <v>18008</v>
      </c>
      <c r="I65" s="196">
        <f>VLOOKUP("threshold7",AUTO!$A$1:$B$1051,2,FALSE)</f>
        <v>30374</v>
      </c>
      <c r="J65" s="57" t="s">
        <v>554</v>
      </c>
    </row>
    <row r="66" spans="1:10" x14ac:dyDescent="0.35">
      <c r="A66" s="183"/>
      <c r="B66" s="413"/>
      <c r="C66" s="413"/>
      <c r="D66" s="413"/>
      <c r="E66" s="413"/>
      <c r="F66" s="413"/>
      <c r="G66" s="414"/>
      <c r="H66" s="413"/>
      <c r="I66" s="413"/>
      <c r="J66" s="183"/>
    </row>
    <row r="67" spans="1:10" ht="13.15" x14ac:dyDescent="0.35">
      <c r="A67" s="138" t="s">
        <v>555</v>
      </c>
      <c r="B67" s="137" t="s">
        <v>556</v>
      </c>
      <c r="C67" s="137">
        <v>1</v>
      </c>
      <c r="D67" s="137" t="s">
        <v>557</v>
      </c>
      <c r="E67" s="137">
        <v>2</v>
      </c>
      <c r="F67" s="137" t="s">
        <v>558</v>
      </c>
      <c r="G67" s="137">
        <v>3</v>
      </c>
      <c r="H67" s="137" t="s">
        <v>559</v>
      </c>
      <c r="I67" s="137" t="s">
        <v>560</v>
      </c>
      <c r="J67" s="183"/>
    </row>
    <row r="68" spans="1:10" ht="18" customHeight="1" x14ac:dyDescent="0.35">
      <c r="A68" s="139">
        <v>4</v>
      </c>
      <c r="B68" s="163">
        <f>VLOOKUP("reference_count_0",AUTO!$A$1:$B$1051,2,FALSE)</f>
        <v>1415270</v>
      </c>
      <c r="C68" s="390">
        <f>VLOOKUP("verification_count_1_0",AUTO!$A$1:$B$1051,2,FALSE)</f>
        <v>1443077</v>
      </c>
      <c r="D68" s="156">
        <f>(C68-B68)/B68</f>
        <v>1.9647841047997907E-2</v>
      </c>
      <c r="E68" s="390">
        <f>VLOOKUP("verification_count_2_0",AUTO!$A$1:$B$1051,2,FALSE)</f>
        <v>1424740</v>
      </c>
      <c r="F68" s="156">
        <f>(E68-B68)/B68</f>
        <v>6.6913027196224039E-3</v>
      </c>
      <c r="G68" s="390">
        <f>VLOOKUP("verification_count_3_0",AUTO!$A$1:$B$1051,2,FALSE)</f>
        <v>1420326</v>
      </c>
      <c r="H68" s="156">
        <f>(G68-B68)/B68</f>
        <v>3.5724632049008317E-3</v>
      </c>
      <c r="I68" s="329">
        <f>(C68+E68+G68)/3</f>
        <v>1429381</v>
      </c>
      <c r="J68" s="156">
        <f>(I68-$B68)/$B68</f>
        <v>9.9705356575070479E-3</v>
      </c>
    </row>
    <row r="69" spans="1:10" ht="18" customHeight="1" x14ac:dyDescent="0.35">
      <c r="A69" s="139">
        <v>6</v>
      </c>
      <c r="B69" s="163">
        <f>VLOOKUP("reference_count_1",AUTO!$A$1:$B$1051,2,FALSE)</f>
        <v>580231</v>
      </c>
      <c r="C69" s="390">
        <f>VLOOKUP("verification_count_1_1",AUTO!$A$1:$B$1051,2,FALSE)</f>
        <v>588111</v>
      </c>
      <c r="D69" s="156">
        <f t="shared" ref="D69:D76" si="0">(C69-B69)/B69</f>
        <v>1.3580797992523668E-2</v>
      </c>
      <c r="E69" s="390">
        <f>VLOOKUP("verification_count_2_1",AUTO!$A$1:$B$1051,2,FALSE)</f>
        <v>580711</v>
      </c>
      <c r="F69" s="156">
        <f t="shared" ref="F69:F76" si="1">(E69-B69)/B69</f>
        <v>8.2725673050905587E-4</v>
      </c>
      <c r="G69" s="390">
        <f>VLOOKUP("verification_count_3_1",AUTO!$A$1:$B$1051,2,FALSE)</f>
        <v>578927</v>
      </c>
      <c r="H69" s="156">
        <f t="shared" ref="H69:H76" si="2">(G69-B69)/B69</f>
        <v>-2.2473807845496017E-3</v>
      </c>
      <c r="I69" s="329">
        <f t="shared" ref="I69:I76" si="3">(C69+E69+G69)/3</f>
        <v>582583</v>
      </c>
      <c r="J69" s="156">
        <f t="shared" ref="J69:J76" si="4">(I69-$B69)/$B69</f>
        <v>4.0535579794943738E-3</v>
      </c>
    </row>
    <row r="70" spans="1:10" ht="18" customHeight="1" x14ac:dyDescent="0.35">
      <c r="A70" s="139">
        <v>10</v>
      </c>
      <c r="B70" s="163">
        <f>VLOOKUP("reference_count32_6",AUTO!$A$1:$B$1051,2,FALSE)*100</f>
        <v>136892</v>
      </c>
      <c r="C70" s="430">
        <f>VLOOKUP("verification_count32_1_6",AUTO!$A$1:$B$1051,2,FALSE)*100</f>
        <v>137567</v>
      </c>
      <c r="D70" s="156">
        <f t="shared" si="0"/>
        <v>4.9308944277240453E-3</v>
      </c>
      <c r="E70" s="430">
        <f>VLOOKUP("verification_count32_2_6",AUTO!$A$1:$B$1051,2,FALSE)*100</f>
        <v>135762</v>
      </c>
      <c r="F70" s="156">
        <f t="shared" si="1"/>
        <v>-8.2546825234491427E-3</v>
      </c>
      <c r="G70" s="430">
        <f>VLOOKUP("verification_count32_3_6",AUTO!$A$1:$B$1051,2,FALSE)*100</f>
        <v>135400</v>
      </c>
      <c r="H70" s="156">
        <f t="shared" si="2"/>
        <v>-1.0899102942465592E-2</v>
      </c>
      <c r="I70" s="329">
        <f t="shared" si="3"/>
        <v>136243</v>
      </c>
      <c r="J70" s="156">
        <f t="shared" si="4"/>
        <v>-4.7409636793968972E-3</v>
      </c>
    </row>
    <row r="71" spans="1:10" ht="18" customHeight="1" x14ac:dyDescent="0.35">
      <c r="A71" s="139">
        <v>14</v>
      </c>
      <c r="B71" s="163">
        <f>VLOOKUP("reference_count_2",AUTO!$A$1:$B$1051,2,FALSE)</f>
        <v>45814.7</v>
      </c>
      <c r="C71" s="390">
        <f>VLOOKUP("verification_count_1_2",AUTO!$A$1:$B$1051,2,FALSE)</f>
        <v>47076</v>
      </c>
      <c r="D71" s="156">
        <f t="shared" si="0"/>
        <v>2.7530465112725895E-2</v>
      </c>
      <c r="E71" s="390">
        <f>VLOOKUP("verification_count_2_2",AUTO!$A$1:$B$1051,2,FALSE)</f>
        <v>45733</v>
      </c>
      <c r="F71" s="156">
        <f t="shared" si="1"/>
        <v>-1.7832704350349798E-3</v>
      </c>
      <c r="G71" s="390">
        <f>VLOOKUP("verification_count_3_2",AUTO!$A$1:$B$1051,2,FALSE)</f>
        <v>46206</v>
      </c>
      <c r="H71" s="156">
        <f t="shared" si="2"/>
        <v>8.5409268204310607E-3</v>
      </c>
      <c r="I71" s="329">
        <f t="shared" si="3"/>
        <v>46338.333333333336</v>
      </c>
      <c r="J71" s="156">
        <f t="shared" si="4"/>
        <v>1.1429373832707378E-2</v>
      </c>
    </row>
    <row r="72" spans="1:10" ht="18" customHeight="1" x14ac:dyDescent="0.35">
      <c r="A72" s="139">
        <v>21</v>
      </c>
      <c r="B72" s="163">
        <f>VLOOKUP("reference_count_3",AUTO!$A$1:$B$1051,2,FALSE)</f>
        <v>11873.6</v>
      </c>
      <c r="C72" s="390">
        <f>VLOOKUP("verification_count_1_3",AUTO!$A$1:$B$1051,2,FALSE)</f>
        <v>12122</v>
      </c>
      <c r="D72" s="156">
        <f t="shared" si="0"/>
        <v>2.0920361137313E-2</v>
      </c>
      <c r="E72" s="390">
        <f>VLOOKUP("verification_count_2_3",AUTO!$A$1:$B$1051,2,FALSE)</f>
        <v>12357</v>
      </c>
      <c r="F72" s="156">
        <f t="shared" si="1"/>
        <v>4.0712168171405438E-2</v>
      </c>
      <c r="G72" s="390">
        <f>VLOOKUP("verification_count_3_3",AUTO!$A$1:$B$1051,2,FALSE)</f>
        <v>12094</v>
      </c>
      <c r="H72" s="156">
        <f t="shared" si="2"/>
        <v>1.856218838431475E-2</v>
      </c>
      <c r="I72" s="329">
        <f t="shared" si="3"/>
        <v>12191</v>
      </c>
      <c r="J72" s="156">
        <f t="shared" si="4"/>
        <v>2.6731572564344396E-2</v>
      </c>
    </row>
    <row r="73" spans="1:10" ht="18" customHeight="1" x14ac:dyDescent="0.35">
      <c r="A73" s="139">
        <v>25</v>
      </c>
      <c r="B73" s="163">
        <f>VLOOKUP("reference_count_4",AUTO!$A$1:$B$1051,2,FALSE)</f>
        <v>5545.63</v>
      </c>
      <c r="C73" s="390">
        <f>VLOOKUP("verification_count_1_4",AUTO!$A$1:$B$1051,2,FALSE)</f>
        <v>5515</v>
      </c>
      <c r="D73" s="156">
        <f t="shared" si="0"/>
        <v>-5.5232678703772357E-3</v>
      </c>
      <c r="E73" s="390">
        <f>VLOOKUP("verification_count_2_4",AUTO!$A$1:$B$1051,2,FALSE)</f>
        <v>5636</v>
      </c>
      <c r="F73" s="156">
        <f t="shared" si="1"/>
        <v>1.6295713922493908E-2</v>
      </c>
      <c r="G73" s="390">
        <f>VLOOKUP("verification_count_3_4",AUTO!$A$1:$B$1051,2,FALSE)</f>
        <v>5600</v>
      </c>
      <c r="H73" s="156">
        <f t="shared" si="2"/>
        <v>9.8041160337057984E-3</v>
      </c>
      <c r="I73" s="329">
        <f t="shared" si="3"/>
        <v>5583.666666666667</v>
      </c>
      <c r="J73" s="156">
        <f t="shared" si="4"/>
        <v>6.8588540286075453E-3</v>
      </c>
    </row>
    <row r="74" spans="1:10" ht="18" customHeight="1" x14ac:dyDescent="0.35">
      <c r="A74" s="139">
        <v>38</v>
      </c>
      <c r="B74" s="163">
        <f>VLOOKUP("reference_count_5",AUTO!$A$1:$B$1051,2,FALSE)</f>
        <v>184.08699999999999</v>
      </c>
      <c r="C74" s="390">
        <f>VLOOKUP("verification_count_1_5",AUTO!$A$1:$B$1051,2,FALSE)</f>
        <v>143</v>
      </c>
      <c r="D74" s="156">
        <f t="shared" si="0"/>
        <v>-0.22319338139032083</v>
      </c>
      <c r="E74" s="390">
        <f>VLOOKUP("verification_count_2_5",AUTO!$A$1:$B$1051,2,FALSE)</f>
        <v>179</v>
      </c>
      <c r="F74" s="156">
        <f t="shared" si="1"/>
        <v>-2.7633673208863143E-2</v>
      </c>
      <c r="G74" s="390">
        <f>VLOOKUP("verification_count_3_5",AUTO!$A$1:$B$1051,2,FALSE)</f>
        <v>185</v>
      </c>
      <c r="H74" s="156">
        <f t="shared" si="2"/>
        <v>4.9596114880464722E-3</v>
      </c>
      <c r="I74" s="329">
        <f t="shared" si="3"/>
        <v>169</v>
      </c>
      <c r="J74" s="156">
        <f t="shared" si="4"/>
        <v>-8.1955814370379174E-2</v>
      </c>
    </row>
    <row r="75" spans="1:10" ht="18" customHeight="1" x14ac:dyDescent="0.35">
      <c r="A75" s="139">
        <v>50</v>
      </c>
      <c r="B75" s="163">
        <f>VLOOKUP("reference_count_6",AUTO!$A$1:$B$1051,2,FALSE)</f>
        <v>34.516399999999997</v>
      </c>
      <c r="C75" s="390">
        <f>VLOOKUP("verification_count_1_6",AUTO!$A$1:$B$1051,2,FALSE)</f>
        <v>23</v>
      </c>
      <c r="D75" s="156">
        <f t="shared" si="0"/>
        <v>-0.33365009097124843</v>
      </c>
      <c r="E75" s="390">
        <f>VLOOKUP("verification_count_2_6",AUTO!$A$1:$B$1051,2,FALSE)</f>
        <v>23</v>
      </c>
      <c r="F75" s="156">
        <f t="shared" si="1"/>
        <v>-0.33365009097124843</v>
      </c>
      <c r="G75" s="390">
        <f>VLOOKUP("verification_count_3_6",AUTO!$A$1:$B$1051,2,FALSE)</f>
        <v>59</v>
      </c>
      <c r="H75" s="156">
        <f t="shared" si="2"/>
        <v>0.70933237533462368</v>
      </c>
      <c r="I75" s="329">
        <f t="shared" si="3"/>
        <v>35</v>
      </c>
      <c r="J75" s="156">
        <f t="shared" si="4"/>
        <v>1.401073113070896E-2</v>
      </c>
    </row>
    <row r="76" spans="1:10" ht="18" customHeight="1" x14ac:dyDescent="0.35">
      <c r="A76" s="139">
        <v>70</v>
      </c>
      <c r="B76" s="163">
        <f>VLOOKUP("reference_count_7",AUTO!$A$1:$B$1051,2,FALSE)</f>
        <v>4.4329299999999998</v>
      </c>
      <c r="C76" s="390">
        <f>VLOOKUP("verification_count_1_7",AUTO!$A$1:$B$1051,2,FALSE)</f>
        <v>11</v>
      </c>
      <c r="D76" s="156">
        <f t="shared" si="0"/>
        <v>1.481428761564022</v>
      </c>
      <c r="E76" s="390">
        <f>VLOOKUP("verification_count_2_7",AUTO!$A$1:$B$1051,2,FALSE)</f>
        <v>5</v>
      </c>
      <c r="F76" s="156">
        <f t="shared" si="1"/>
        <v>0.12792216434728276</v>
      </c>
      <c r="G76" s="390">
        <f>VLOOKUP("verification_count_3_7",AUTO!$A$1:$B$1051,2,FALSE)</f>
        <v>0</v>
      </c>
      <c r="H76" s="156">
        <f t="shared" si="2"/>
        <v>-1</v>
      </c>
      <c r="I76" s="329">
        <f t="shared" si="3"/>
        <v>5.333333333333333</v>
      </c>
      <c r="J76" s="156">
        <f t="shared" si="4"/>
        <v>0.20311697530376821</v>
      </c>
    </row>
  </sheetData>
  <mergeCells count="11">
    <mergeCell ref="H27:I27"/>
    <mergeCell ref="H26:I26"/>
    <mergeCell ref="G21:G24"/>
    <mergeCell ref="H21:H24"/>
    <mergeCell ref="G4:L6"/>
    <mergeCell ref="H16:J16"/>
    <mergeCell ref="H17:J17"/>
    <mergeCell ref="H15:J15"/>
    <mergeCell ref="H19:J19"/>
    <mergeCell ref="H18:J18"/>
    <mergeCell ref="H14:J14"/>
  </mergeCells>
  <phoneticPr fontId="0" type="noConversion"/>
  <conditionalFormatting sqref="B65:I65">
    <cfRule type="cellIs" dxfId="82" priority="13" stopIfTrue="1" operator="greaterThan">
      <formula>0</formula>
    </cfRule>
  </conditionalFormatting>
  <conditionalFormatting sqref="D68:D76">
    <cfRule type="cellIs" dxfId="81" priority="10" stopIfTrue="1" operator="between">
      <formula>-0.1</formula>
      <formula>0.1</formula>
    </cfRule>
    <cfRule type="cellIs" dxfId="80" priority="11" stopIfTrue="1" operator="greaterThanOrEqual">
      <formula>0.1</formula>
    </cfRule>
    <cfRule type="cellIs" dxfId="79" priority="12" stopIfTrue="1" operator="lessThan">
      <formula>-0.1</formula>
    </cfRule>
  </conditionalFormatting>
  <conditionalFormatting sqref="F68:F76">
    <cfRule type="cellIs" dxfId="78" priority="7" stopIfTrue="1" operator="between">
      <formula>-0.1</formula>
      <formula>0.1</formula>
    </cfRule>
    <cfRule type="cellIs" dxfId="77" priority="8" stopIfTrue="1" operator="greaterThanOrEqual">
      <formula>0.1</formula>
    </cfRule>
    <cfRule type="cellIs" dxfId="76" priority="9" stopIfTrue="1" operator="lessThan">
      <formula>-0.1</formula>
    </cfRule>
  </conditionalFormatting>
  <conditionalFormatting sqref="H68:H76">
    <cfRule type="cellIs" dxfId="75" priority="4" stopIfTrue="1" operator="between">
      <formula>-0.1</formula>
      <formula>0.1</formula>
    </cfRule>
    <cfRule type="cellIs" dxfId="74" priority="5" stopIfTrue="1" operator="greaterThanOrEqual">
      <formula>0.1</formula>
    </cfRule>
    <cfRule type="cellIs" dxfId="73" priority="6" stopIfTrue="1" operator="lessThan">
      <formula>-0.1</formula>
    </cfRule>
  </conditionalFormatting>
  <conditionalFormatting sqref="J68:J76">
    <cfRule type="cellIs" dxfId="72" priority="1" stopIfTrue="1" operator="between">
      <formula>-0.1</formula>
      <formula>0.1</formula>
    </cfRule>
    <cfRule type="cellIs" dxfId="71" priority="2" stopIfTrue="1" operator="greaterThanOrEqual">
      <formula>0.1</formula>
    </cfRule>
    <cfRule type="cellIs" dxfId="70" priority="3" stopIfTrue="1" operator="lessThan">
      <formula>-0.1</formula>
    </cfRule>
  </conditionalFormatting>
  <dataValidations count="1">
    <dataValidation type="list" allowBlank="1" showInputMessage="1" showErrorMessage="1" sqref="H27:I27" xr:uid="{606110EB-6AC4-4C0F-9338-96BD28F72019}">
      <formula1>"C Jones, A Hayward, B Brown, G Salf, A Mustoe, S Mosson, L Harding, L Massaro, J Odom"</formula1>
    </dataValidation>
  </dataValidations>
  <pageMargins left="0.49" right="0.23622047244094491" top="0.89" bottom="0.23622047244094491" header="0" footer="0"/>
  <pageSetup paperSize="9" scale="54" orientation="portrait" r:id="rId1"/>
  <headerFooter alignWithMargins="0">
    <oddHeader xml:space="preserve">&amp;L&amp;8Using Level formula:
V=15.549-(0.036xH)&amp;C&amp;8Contamination Monitoring Product 30-1 Twin light source calibration record&amp;R&amp;8('A' Rig  with 'A2' level gauge)
</oddHeader>
    <oddFooter>&amp;CPage &amp;P</oddFooter>
  </headerFooter>
  <rowBreaks count="1" manualBreakCount="1">
    <brk id="129" min="1" max="12"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EB45F05-A18D-4BBD-9C75-98A539B0854D}">
          <x14:formula1>
            <xm:f>'Cover Service Sheet'!$R$1:$R$13</xm:f>
          </x14:formula1>
          <xm:sqref>H26:I26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XEQ155"/>
  <sheetViews>
    <sheetView view="pageBreakPreview" zoomScale="55" zoomScaleNormal="40" zoomScaleSheetLayoutView="55" zoomScalePageLayoutView="40" workbookViewId="0">
      <selection activeCell="D76" sqref="D76:F76"/>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569</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1004</v>
      </c>
      <c r="L17" s="96"/>
      <c r="M17" s="96"/>
      <c r="N17" s="97"/>
      <c r="O17" s="378" t="str">
        <f>'Auto-Calibration record'!H18</f>
        <v>RM8631b</v>
      </c>
    </row>
    <row r="18" spans="2:15" ht="25.9" customHeight="1" x14ac:dyDescent="0.45">
      <c r="B18" s="131" t="s">
        <v>573</v>
      </c>
      <c r="C18" s="132"/>
      <c r="D18" s="552">
        <f>'Auto-Calibration record'!H15</f>
        <v>63010062</v>
      </c>
      <c r="E18" s="553"/>
      <c r="F18" s="554"/>
      <c r="K18" s="98" t="s">
        <v>574</v>
      </c>
      <c r="L18" s="99"/>
      <c r="M18" s="99"/>
      <c r="N18" s="100"/>
      <c r="O18" s="55">
        <f>'Auto-Calibration record'!H16</f>
        <v>46163.5</v>
      </c>
    </row>
    <row r="19" spans="2:15" ht="25.9" customHeight="1" x14ac:dyDescent="0.45">
      <c r="B19" s="131" t="s">
        <v>575</v>
      </c>
      <c r="C19" s="132"/>
      <c r="D19" s="552" t="str">
        <f>'Auto-Calibration record'!H17</f>
        <v>63010062 210526</v>
      </c>
      <c r="E19" s="553"/>
      <c r="F19" s="554"/>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76</v>
      </c>
      <c r="G28" s="545"/>
      <c r="H28" s="541">
        <f>'Auto-Calibration record'!B68</f>
        <v>1415270</v>
      </c>
      <c r="I28" s="541"/>
      <c r="J28" s="159">
        <f>'Auto-Calibration record'!I68</f>
        <v>1429381</v>
      </c>
      <c r="K28" s="159">
        <f t="shared" ref="K28:K33" si="0">J28-H28</f>
        <v>14111</v>
      </c>
      <c r="L28" s="379">
        <f t="shared" ref="L28:L33" si="1">K28/H28</f>
        <v>9.9705356575070479E-3</v>
      </c>
    </row>
    <row r="29" spans="2:15" s="108" customFormat="1" ht="25.9" customHeight="1" x14ac:dyDescent="0.35">
      <c r="D29" s="530" t="s">
        <v>591</v>
      </c>
      <c r="E29" s="530"/>
      <c r="F29" s="545">
        <f>'Auto-Calibration record'!C65</f>
        <v>180</v>
      </c>
      <c r="G29" s="545"/>
      <c r="H29" s="541">
        <f>'Auto-Calibration record'!B69</f>
        <v>580231</v>
      </c>
      <c r="I29" s="541"/>
      <c r="J29" s="159">
        <f>'Auto-Calibration record'!I69</f>
        <v>582583</v>
      </c>
      <c r="K29" s="159">
        <f t="shared" si="0"/>
        <v>2352</v>
      </c>
      <c r="L29" s="379">
        <f t="shared" si="1"/>
        <v>4.0535579794943738E-3</v>
      </c>
    </row>
    <row r="30" spans="2:15" s="108" customFormat="1" ht="25.9" customHeight="1" x14ac:dyDescent="0.35">
      <c r="D30" s="530" t="s">
        <v>592</v>
      </c>
      <c r="E30" s="530"/>
      <c r="F30" s="545">
        <f>'Auto-Calibration record'!D65</f>
        <v>1020</v>
      </c>
      <c r="G30" s="545"/>
      <c r="H30" s="541">
        <f>'Auto-Calibration record'!B71</f>
        <v>45814.7</v>
      </c>
      <c r="I30" s="541"/>
      <c r="J30" s="159">
        <f>'Auto-Calibration record'!I71</f>
        <v>46338.333333333336</v>
      </c>
      <c r="K30" s="159">
        <f t="shared" si="0"/>
        <v>523.63333333333867</v>
      </c>
      <c r="L30" s="379">
        <f t="shared" si="1"/>
        <v>1.1429373832707378E-2</v>
      </c>
    </row>
    <row r="31" spans="2:15" s="108" customFormat="1" ht="25.9" customHeight="1" x14ac:dyDescent="0.35">
      <c r="D31" s="530" t="s">
        <v>593</v>
      </c>
      <c r="E31" s="530"/>
      <c r="F31" s="545">
        <f>'Auto-Calibration record'!E65</f>
        <v>2204</v>
      </c>
      <c r="G31" s="545"/>
      <c r="H31" s="541">
        <f>'Auto-Calibration record'!B72</f>
        <v>11873.6</v>
      </c>
      <c r="I31" s="541"/>
      <c r="J31" s="159">
        <f>'Auto-Calibration record'!I72</f>
        <v>12191</v>
      </c>
      <c r="K31" s="159">
        <f t="shared" si="0"/>
        <v>317.39999999999964</v>
      </c>
      <c r="L31" s="379">
        <f t="shared" si="1"/>
        <v>2.6731572564344396E-2</v>
      </c>
    </row>
    <row r="32" spans="2:15" s="108" customFormat="1" ht="25.9" customHeight="1" x14ac:dyDescent="0.35">
      <c r="D32" s="530" t="s">
        <v>594</v>
      </c>
      <c r="E32" s="530"/>
      <c r="F32" s="545">
        <f>'Auto-Calibration record'!F65</f>
        <v>3244</v>
      </c>
      <c r="G32" s="545"/>
      <c r="H32" s="541">
        <f>'Auto-Calibration record'!B73</f>
        <v>5545.63</v>
      </c>
      <c r="I32" s="541"/>
      <c r="J32" s="159">
        <f>'Auto-Calibration record'!I73</f>
        <v>5583.666666666667</v>
      </c>
      <c r="K32" s="159">
        <f t="shared" si="0"/>
        <v>38.036666666666861</v>
      </c>
      <c r="L32" s="379">
        <f t="shared" si="1"/>
        <v>6.8588540286075453E-3</v>
      </c>
    </row>
    <row r="33" spans="2:12" s="108" customFormat="1" ht="25.9" customHeight="1" x14ac:dyDescent="0.35">
      <c r="D33" s="530" t="s">
        <v>595</v>
      </c>
      <c r="E33" s="530"/>
      <c r="F33" s="545">
        <f>'Auto-Calibration record'!G65</f>
        <v>11420</v>
      </c>
      <c r="G33" s="545"/>
      <c r="H33" s="541">
        <f>'Auto-Calibration record'!B74</f>
        <v>184.08699999999999</v>
      </c>
      <c r="I33" s="541"/>
      <c r="J33" s="159">
        <f>'Auto-Calibration record'!I74</f>
        <v>169</v>
      </c>
      <c r="K33" s="159">
        <f t="shared" si="0"/>
        <v>-15.086999999999989</v>
      </c>
      <c r="L33" s="379">
        <f t="shared" si="1"/>
        <v>-8.1955814370379174E-2</v>
      </c>
    </row>
    <row r="34" spans="2:12" s="108" customFormat="1" ht="25.9" customHeight="1" x14ac:dyDescent="0.35">
      <c r="D34" s="530" t="s">
        <v>596</v>
      </c>
      <c r="E34" s="530"/>
      <c r="F34" s="545">
        <f>'Auto-Calibration record'!H65</f>
        <v>18008</v>
      </c>
      <c r="G34" s="545"/>
      <c r="H34" s="541">
        <f>'Auto-Calibration record'!B75</f>
        <v>34.516399999999997</v>
      </c>
      <c r="I34" s="541"/>
      <c r="J34" s="159">
        <f>'Auto-Calibration record'!I75</f>
        <v>35</v>
      </c>
      <c r="K34" s="159" t="s">
        <v>23</v>
      </c>
      <c r="L34" s="112" t="s">
        <v>23</v>
      </c>
    </row>
    <row r="35" spans="2:12" s="102" customFormat="1" ht="25.9" customHeight="1" x14ac:dyDescent="0.45">
      <c r="D35" s="530" t="s">
        <v>597</v>
      </c>
      <c r="E35" s="530"/>
      <c r="F35" s="546">
        <f>'Auto-Calibration record'!I65</f>
        <v>30374</v>
      </c>
      <c r="G35" s="546"/>
      <c r="H35" s="541">
        <f>'Auto-Calibration record'!B76</f>
        <v>4.4329299999999998</v>
      </c>
      <c r="I35" s="541"/>
      <c r="J35" s="380">
        <f>'Auto-Calibration record'!I76</f>
        <v>5.333333333333333</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67"/>
      <c r="K38" s="167"/>
      <c r="L38" s="167"/>
    </row>
    <row r="39" spans="2:12" ht="25.9" customHeight="1" x14ac:dyDescent="0.35">
      <c r="B39" s="115"/>
      <c r="D39" s="109" t="s">
        <v>587</v>
      </c>
      <c r="E39" s="529" t="s">
        <v>587</v>
      </c>
      <c r="F39" s="529"/>
      <c r="G39" s="529" t="s">
        <v>602</v>
      </c>
      <c r="H39" s="529"/>
      <c r="I39" s="116"/>
      <c r="J39" s="168"/>
      <c r="K39" s="168"/>
      <c r="L39" s="168"/>
    </row>
    <row r="40" spans="2:12" ht="25.9" customHeight="1" x14ac:dyDescent="0.35">
      <c r="B40" s="115"/>
      <c r="D40" s="129">
        <f>'Auto-Calibration record'!B11</f>
        <v>34</v>
      </c>
      <c r="E40" s="541">
        <f>F28-D40</f>
        <v>42</v>
      </c>
      <c r="F40" s="541"/>
      <c r="G40" s="555">
        <f>F28/D40</f>
        <v>2.2352941176470589</v>
      </c>
      <c r="H40" s="555"/>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25" t="s">
        <v>607</v>
      </c>
      <c r="E74" s="526"/>
      <c r="F74" s="526"/>
      <c r="G74" s="527"/>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t="str">
        <f>'Auto-Calibration record'!H26</f>
        <v>John Devereux</v>
      </c>
      <c r="E76" s="548"/>
      <c r="F76" s="549"/>
      <c r="K76" s="122" t="s">
        <v>609</v>
      </c>
      <c r="L76" s="542" t="s">
        <v>610</v>
      </c>
      <c r="M76" s="543"/>
      <c r="N76" s="543"/>
      <c r="O76" s="544"/>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50" t="str">
        <f>'Cover Service Sheet'!C183</f>
        <v xml:space="preserve">
</v>
      </c>
      <c r="C99" s="550"/>
      <c r="D99" s="550"/>
      <c r="E99" s="550"/>
      <c r="F99" s="550"/>
      <c r="G99" s="550"/>
      <c r="H99" s="550"/>
      <c r="I99" s="550"/>
      <c r="J99" s="550"/>
      <c r="K99" s="550"/>
      <c r="L99" s="550"/>
      <c r="M99" s="550"/>
      <c r="N99" s="550"/>
      <c r="O99" s="550"/>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50">
        <f>'Cover Service Sheet'!C187</f>
        <v>0</v>
      </c>
      <c r="C103" s="550"/>
      <c r="D103" s="550"/>
      <c r="E103" s="550"/>
      <c r="F103" s="550"/>
      <c r="G103" s="550"/>
      <c r="H103" s="550"/>
      <c r="I103" s="550"/>
      <c r="J103" s="550"/>
      <c r="K103" s="550"/>
      <c r="L103" s="550"/>
      <c r="M103" s="550"/>
      <c r="N103" s="550"/>
      <c r="O103" s="550"/>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50">
        <f>'Cover Service Sheet'!C191</f>
        <v>0</v>
      </c>
      <c r="C107" s="550"/>
      <c r="D107" s="550"/>
      <c r="E107" s="550"/>
      <c r="F107" s="550"/>
      <c r="G107" s="550"/>
      <c r="H107" s="550"/>
      <c r="I107" s="550"/>
      <c r="J107" s="550"/>
      <c r="K107" s="550"/>
      <c r="L107" s="550"/>
      <c r="M107" s="550"/>
      <c r="N107" s="550"/>
      <c r="O107" s="550"/>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H30:I30"/>
    <mergeCell ref="B103:O103"/>
    <mergeCell ref="B107:O107"/>
    <mergeCell ref="B99:O99"/>
    <mergeCell ref="D17:F17"/>
    <mergeCell ref="H26:I26"/>
    <mergeCell ref="H27:I27"/>
    <mergeCell ref="H28:I28"/>
    <mergeCell ref="H29:I29"/>
    <mergeCell ref="F29:G29"/>
    <mergeCell ref="D19:F19"/>
    <mergeCell ref="D18:F18"/>
    <mergeCell ref="G39:H39"/>
    <mergeCell ref="G40:H40"/>
    <mergeCell ref="H34:I34"/>
    <mergeCell ref="H35:I35"/>
    <mergeCell ref="F30:G30"/>
    <mergeCell ref="F31:G31"/>
    <mergeCell ref="F32:G32"/>
    <mergeCell ref="F33:G33"/>
    <mergeCell ref="F28:G28"/>
    <mergeCell ref="L76:O76"/>
    <mergeCell ref="F34:G34"/>
    <mergeCell ref="F35:G35"/>
    <mergeCell ref="G38:H38"/>
    <mergeCell ref="H31:I31"/>
    <mergeCell ref="D76:F76"/>
    <mergeCell ref="D31:E31"/>
    <mergeCell ref="D32:E32"/>
    <mergeCell ref="D33:E33"/>
    <mergeCell ref="D34:E34"/>
    <mergeCell ref="E40:F40"/>
    <mergeCell ref="D35:E35"/>
    <mergeCell ref="B10:P10"/>
    <mergeCell ref="D74:G74"/>
    <mergeCell ref="D26:E26"/>
    <mergeCell ref="D27:E27"/>
    <mergeCell ref="D28:E28"/>
    <mergeCell ref="D29:E29"/>
    <mergeCell ref="D30:E30"/>
    <mergeCell ref="K72:O75"/>
    <mergeCell ref="B13:O13"/>
    <mergeCell ref="B14:O14"/>
    <mergeCell ref="H32:I32"/>
    <mergeCell ref="H33:I33"/>
    <mergeCell ref="E38:F38"/>
    <mergeCell ref="E39:F39"/>
    <mergeCell ref="F26:G26"/>
    <mergeCell ref="F27:G27"/>
  </mergeCells>
  <phoneticPr fontId="12" type="noConversion"/>
  <conditionalFormatting sqref="D72">
    <cfRule type="cellIs" dxfId="69" priority="6" stopIfTrue="1" operator="equal">
      <formula>"PASS"</formula>
    </cfRule>
    <cfRule type="cellIs" dxfId="68" priority="7" stopIfTrue="1" operator="equal">
      <formula>"FAIL"</formula>
    </cfRule>
  </conditionalFormatting>
  <conditionalFormatting sqref="G40">
    <cfRule type="cellIs" dxfId="67" priority="1" stopIfTrue="1" operator="greaterThanOrEqual">
      <formula>1.19</formula>
    </cfRule>
    <cfRule type="cellIs" dxfId="66" priority="2" stopIfTrue="1" operator="lessThan">
      <formula>1.19</formula>
    </cfRule>
  </conditionalFormatting>
  <conditionalFormatting sqref="K72">
    <cfRule type="cellIs" dxfId="65" priority="11" stopIfTrue="1" operator="equal">
      <formula>"FAIL"</formula>
    </cfRule>
    <cfRule type="cellIs" dxfId="64" priority="12" stopIfTrue="1" operator="equal">
      <formula>"PASS - VERIFIED"</formula>
    </cfRule>
  </conditionalFormatting>
  <conditionalFormatting sqref="L28:L33">
    <cfRule type="cellIs" dxfId="63" priority="3" stopIfTrue="1" operator="between">
      <formula>-0.1</formula>
      <formula>0.1</formula>
    </cfRule>
    <cfRule type="cellIs" dxfId="62" priority="4" stopIfTrue="1" operator="greaterThanOrEqual">
      <formula>0.1</formula>
    </cfRule>
    <cfRule type="cellIs" dxfId="61" priority="5" stopIfTrue="1" operator="lessThan">
      <formula>-0.1</formula>
    </cfRule>
  </conditionalFormatting>
  <conditionalFormatting sqref="O22">
    <cfRule type="cellIs" dxfId="60" priority="8" stopIfTrue="1" operator="greaterThan">
      <formula>0</formula>
    </cfRule>
  </conditionalFormatting>
  <dataValidations count="2">
    <dataValidation type="list" allowBlank="1" showInputMessage="1" showErrorMessage="1" sqref="D72" xr:uid="{00000000-0002-0000-0500-000000000000}">
      <formula1>"PASS, FAIL"</formula1>
    </dataValidation>
    <dataValidation type="list" allowBlank="1" showInputMessage="1" showErrorMessage="1" sqref="K72" xr:uid="{00000000-0002-0000-0500-000001000000}">
      <formula1>"PASS - VERIFIED, FAIL"</formula1>
    </dataValidation>
  </dataValidations>
  <hyperlinks>
    <hyperlink ref="B8" r:id="rId1" xr:uid="{00000000-0004-0000-0500-000000000000}"/>
    <hyperlink ref="B90" r:id="rId2" xr:uid="{1E179079-674B-440C-8543-426B42357BFC}"/>
    <hyperlink ref="R94" r:id="rId3" xr:uid="{B6D448E6-E610-459C-9E07-FC30BE8DB8E4}"/>
    <hyperlink ref="AH94" r:id="rId4" xr:uid="{5442F03E-65AB-4EA2-8873-2DB8DF9BEB35}"/>
    <hyperlink ref="AX94" r:id="rId5" xr:uid="{EC746779-8D7A-44A8-BECC-A81F8EE16E3A}"/>
    <hyperlink ref="BN94" r:id="rId6" xr:uid="{D89FAA8D-D701-4CB1-BA73-7FDC8A2F426D}"/>
    <hyperlink ref="CD94" r:id="rId7" xr:uid="{F95634F5-3121-4DF8-B1EF-EF72E140FDA5}"/>
    <hyperlink ref="CT94" r:id="rId8" xr:uid="{66BE4298-92F4-46A2-BA46-81994890B686}"/>
    <hyperlink ref="DJ94" r:id="rId9" xr:uid="{84F01DF1-58A8-4C62-B3E2-24643A2B88CD}"/>
    <hyperlink ref="DZ94" r:id="rId10" xr:uid="{4D5E235A-F359-46FC-AE55-92E60FBCBF0A}"/>
    <hyperlink ref="EP94" r:id="rId11" xr:uid="{E920B27D-1F78-4843-882E-1E63D1975472}"/>
    <hyperlink ref="FF94" r:id="rId12" xr:uid="{570CE82C-2C78-4175-B081-89AC7FEF00FE}"/>
    <hyperlink ref="FV94" r:id="rId13" xr:uid="{32109244-7524-455B-9D6F-DED3CED75E41}"/>
    <hyperlink ref="GL94" r:id="rId14" xr:uid="{90782FA0-22C0-46CD-BF0E-4805531E0D06}"/>
    <hyperlink ref="HB94" r:id="rId15" xr:uid="{2F9429EF-13BE-4A9C-8A8F-CC1536B63F5B}"/>
    <hyperlink ref="HR94" r:id="rId16" xr:uid="{C80A7384-7458-4671-B4FB-A7F2B84B0D99}"/>
    <hyperlink ref="IH94" r:id="rId17" xr:uid="{67F5CCD4-C104-4742-ADA8-20443C54A9AD}"/>
    <hyperlink ref="IX94" r:id="rId18" xr:uid="{01367CB3-05D5-47C7-A44B-D6532CA344C1}"/>
    <hyperlink ref="JN94" r:id="rId19" xr:uid="{FFC723FE-3E3B-4FE5-A1E8-7BF3DC4FF1EE}"/>
    <hyperlink ref="KD94" r:id="rId20" xr:uid="{1BE43E76-A536-4DDE-BE74-F5C5BAD3DC2F}"/>
    <hyperlink ref="KT94" r:id="rId21" xr:uid="{014B1EE6-C2DF-4D37-933B-9A3F6A436FA0}"/>
    <hyperlink ref="LJ94" r:id="rId22" xr:uid="{F1D8F6CD-D561-4844-B444-A62F86F29C40}"/>
    <hyperlink ref="LZ94" r:id="rId23" xr:uid="{5A2701E1-05A5-4AE3-9B32-4AFDBAC352BE}"/>
    <hyperlink ref="MP94" r:id="rId24" xr:uid="{F8587AE8-DD29-4061-93FF-C492720DEC27}"/>
    <hyperlink ref="NF94" r:id="rId25" xr:uid="{7200B901-FDAF-4E75-B662-BA51A2EDD9E3}"/>
    <hyperlink ref="NV94" r:id="rId26" xr:uid="{97B32E39-0AD8-49C2-BF20-377D8785F407}"/>
    <hyperlink ref="OL94" r:id="rId27" xr:uid="{427008A5-724F-4162-9D3A-7AB980AD0635}"/>
    <hyperlink ref="PB94" r:id="rId28" xr:uid="{B7141FD8-DD16-4021-9E2F-1701615B389A}"/>
    <hyperlink ref="PR94" r:id="rId29" xr:uid="{9B1F9DE3-03FF-4EB0-A2FE-140C7804501B}"/>
    <hyperlink ref="QH94" r:id="rId30" xr:uid="{AE44BB23-E91A-42D6-91FC-27E4B280E533}"/>
    <hyperlink ref="QX94" r:id="rId31" xr:uid="{47FAAD13-128E-4942-AD9B-1E230AA2A297}"/>
    <hyperlink ref="RN94" r:id="rId32" xr:uid="{70447E26-69A7-4F2D-BA7F-0DE44A37D4E2}"/>
    <hyperlink ref="SD94" r:id="rId33" xr:uid="{30402A53-63C4-49B1-A239-3B133BA4C6CA}"/>
    <hyperlink ref="ST94" r:id="rId34" xr:uid="{5C8102D8-025D-412C-89F2-B2F1881E44C1}"/>
    <hyperlink ref="TJ94" r:id="rId35" xr:uid="{90912078-BF25-4E22-8C43-45B0149B3B45}"/>
    <hyperlink ref="TZ94" r:id="rId36" xr:uid="{86BA3651-1F47-4713-A5F8-25E47D1CA1B1}"/>
    <hyperlink ref="UP94" r:id="rId37" xr:uid="{95C8EA61-6ECD-411E-B0D4-AB4B3F54F5DA}"/>
    <hyperlink ref="VF94" r:id="rId38" xr:uid="{6693A813-272C-4F40-97BE-8E80C6D85F36}"/>
    <hyperlink ref="VV94" r:id="rId39" xr:uid="{314C21A2-DB0A-4D45-A803-ABD51D21DF2D}"/>
    <hyperlink ref="WL94" r:id="rId40" xr:uid="{D3ACA495-B790-43ED-9203-6831BE11803F}"/>
    <hyperlink ref="XB94" r:id="rId41" xr:uid="{913E3561-4257-4F9E-8722-79C00A465C5A}"/>
    <hyperlink ref="XR94" r:id="rId42" xr:uid="{627387F1-F5A8-4945-8C10-26639C956985}"/>
    <hyperlink ref="YH94" r:id="rId43" xr:uid="{21B39C6A-D702-482C-AD54-9113AFE0AE4C}"/>
    <hyperlink ref="YX94" r:id="rId44" xr:uid="{3AEFBE37-45A8-4D35-86C5-B7BDE74FCD90}"/>
    <hyperlink ref="ZN94" r:id="rId45" xr:uid="{F82826C0-7CBA-4E8E-8811-DC3298EF3F9E}"/>
    <hyperlink ref="AAD94" r:id="rId46" xr:uid="{66F2FA79-566F-4DF7-B2EC-0CF286E92C26}"/>
    <hyperlink ref="AAT94" r:id="rId47" xr:uid="{6A00465C-AD91-4560-8F54-8091A005F1F9}"/>
    <hyperlink ref="ABJ94" r:id="rId48" xr:uid="{0E936B4C-85F9-4FA2-831B-00BAF2640E52}"/>
    <hyperlink ref="ABZ94" r:id="rId49" xr:uid="{CF450D91-B6F5-4A32-96B9-06FB8246CB0E}"/>
    <hyperlink ref="ACP94" r:id="rId50" xr:uid="{D627CB95-8C88-43B8-A4D2-FD34D266D48E}"/>
    <hyperlink ref="ADF94" r:id="rId51" xr:uid="{76AA9839-CED7-4CBA-A8CF-2D13DA8C32DC}"/>
    <hyperlink ref="ADV94" r:id="rId52" xr:uid="{35B207AD-C97B-4745-B17F-38B849F120BF}"/>
    <hyperlink ref="AEL94" r:id="rId53" xr:uid="{A8CF7559-F1C3-41FE-932E-64AE3CF5F39F}"/>
    <hyperlink ref="AFB94" r:id="rId54" xr:uid="{115E87BC-39CC-46CE-BCD4-F717D8C533DE}"/>
    <hyperlink ref="AFR94" r:id="rId55" xr:uid="{E1DE05EA-B8AF-46F7-9A0E-02B7C4A5A5C1}"/>
    <hyperlink ref="AGH94" r:id="rId56" xr:uid="{F4439A00-F3D7-404D-A86E-A5E8672278B0}"/>
    <hyperlink ref="AGX94" r:id="rId57" xr:uid="{C36C81CA-DDF1-4966-9D1D-0159DD85F3ED}"/>
    <hyperlink ref="AHN94" r:id="rId58" xr:uid="{8FB696F7-D2DB-4B73-BA33-BD229354E978}"/>
    <hyperlink ref="AID94" r:id="rId59" xr:uid="{4EE11DFC-283A-4C93-96A3-29BC4BF0AFAE}"/>
    <hyperlink ref="AIT94" r:id="rId60" xr:uid="{53688D9C-5D26-414A-9EEE-BAEDB0D21C14}"/>
    <hyperlink ref="AJJ94" r:id="rId61" xr:uid="{9556FC86-EA59-4726-A4F1-7CD5D97A5B48}"/>
    <hyperlink ref="AJZ94" r:id="rId62" xr:uid="{24D563BF-C213-4D1B-BB1A-CB950A9F5A3E}"/>
    <hyperlink ref="AKP94" r:id="rId63" xr:uid="{11C1CB1A-974D-434B-80D3-77800A190746}"/>
    <hyperlink ref="ALF94" r:id="rId64" xr:uid="{E6F2C50D-9CC9-4EEE-9213-264F38D9BE63}"/>
    <hyperlink ref="ALV94" r:id="rId65" xr:uid="{CEDA794B-09D0-40A4-B7D6-57F5604A7129}"/>
    <hyperlink ref="AML94" r:id="rId66" xr:uid="{67603545-DC13-4952-BAE6-7E453C54312F}"/>
    <hyperlink ref="ANB94" r:id="rId67" xr:uid="{C8C185DE-8093-463E-81CA-86A9EA3BF337}"/>
    <hyperlink ref="ANR94" r:id="rId68" xr:uid="{F7B17B09-56BF-4E3D-9406-C7F6AAE8CC00}"/>
    <hyperlink ref="AOH94" r:id="rId69" xr:uid="{CDACDFDE-1D91-4DEB-BFAA-1460CC50D983}"/>
    <hyperlink ref="AOX94" r:id="rId70" xr:uid="{C004F7AD-9C8A-427E-A60C-B05C7C51B7E7}"/>
    <hyperlink ref="APN94" r:id="rId71" xr:uid="{A564F372-C798-469E-8187-78F8EB5D586D}"/>
    <hyperlink ref="AQD94" r:id="rId72" xr:uid="{55388828-5767-4DF1-B6EE-4DDEA4350260}"/>
    <hyperlink ref="AQT94" r:id="rId73" xr:uid="{0FDA36D7-DCD0-42F9-B16B-4C9AC39A4D98}"/>
    <hyperlink ref="ARJ94" r:id="rId74" xr:uid="{76B568FD-9627-488E-87E2-0D7A890519C8}"/>
    <hyperlink ref="ARZ94" r:id="rId75" xr:uid="{B74FF885-39D0-424B-9248-B2B789D4403B}"/>
    <hyperlink ref="ASP94" r:id="rId76" xr:uid="{03E306CE-5B9A-43DD-9D03-33E53954559C}"/>
    <hyperlink ref="ATF94" r:id="rId77" xr:uid="{9B93F398-5227-4877-B57E-53DB877A42D7}"/>
    <hyperlink ref="ATV94" r:id="rId78" xr:uid="{AAF242AE-D65E-4B99-9FDB-0BB57B6047CF}"/>
    <hyperlink ref="AUL94" r:id="rId79" xr:uid="{4D318C99-BB53-4182-8C3E-FFE60C5212D4}"/>
    <hyperlink ref="AVB94" r:id="rId80" xr:uid="{B4077C6D-FD2D-46DF-AC78-AB8CC619217C}"/>
    <hyperlink ref="AVR94" r:id="rId81" xr:uid="{24C99A3E-94A5-49E1-B70E-7430E3D00348}"/>
    <hyperlink ref="AWH94" r:id="rId82" xr:uid="{7D255711-B430-4478-BB74-C4B9CA7B9F9E}"/>
    <hyperlink ref="AWX94" r:id="rId83" xr:uid="{5F296748-9359-4C49-8D64-DBCF3BFAB2BF}"/>
    <hyperlink ref="AXN94" r:id="rId84" xr:uid="{7DE91D03-36E0-4C14-A6B3-50D3A1CAA4F9}"/>
    <hyperlink ref="AYD94" r:id="rId85" xr:uid="{1251BE74-387F-4ECE-8440-B7C3379D4194}"/>
    <hyperlink ref="AYT94" r:id="rId86" xr:uid="{ADDD3820-4E52-4E1A-8EE7-BC4AE5997759}"/>
    <hyperlink ref="AZJ94" r:id="rId87" xr:uid="{3596AC55-3E7E-4B92-BCF2-000C65A8284A}"/>
    <hyperlink ref="AZZ94" r:id="rId88" xr:uid="{12AE26A3-1176-43C7-AF59-84A9D7A820D3}"/>
    <hyperlink ref="BAP94" r:id="rId89" xr:uid="{B100CF82-C7EE-420F-82A5-6B1E8A537FC1}"/>
    <hyperlink ref="BBF94" r:id="rId90" xr:uid="{FFAABF21-0287-4C25-A687-096657DE099E}"/>
    <hyperlink ref="BBV94" r:id="rId91" xr:uid="{96064DB3-B964-4B7B-A5E1-09BE9B1DEFE4}"/>
    <hyperlink ref="BCL94" r:id="rId92" xr:uid="{6BB63856-6D45-48F1-A742-71001BC27703}"/>
    <hyperlink ref="BDB94" r:id="rId93" xr:uid="{0E26DEA3-251A-4450-8FE0-57CED1AEF7FB}"/>
    <hyperlink ref="BDR94" r:id="rId94" xr:uid="{5E50E6B9-432E-41B5-AD64-E371559C60DB}"/>
    <hyperlink ref="BEH94" r:id="rId95" xr:uid="{37F21F3A-3C7C-4C95-9388-1347BDCECDC6}"/>
    <hyperlink ref="BEX94" r:id="rId96" xr:uid="{9D6F6A5D-358E-4D25-AA17-DDA2A0072A9F}"/>
    <hyperlink ref="BFN94" r:id="rId97" xr:uid="{58C9EBF1-C322-471E-8F4C-D025D6B072D1}"/>
    <hyperlink ref="BGD94" r:id="rId98" xr:uid="{BEA491CA-750B-456B-8790-797DC1B7F76F}"/>
    <hyperlink ref="BGT94" r:id="rId99" xr:uid="{D2EC9D08-AB19-4FC9-8D9D-C5C6B6B5BF4E}"/>
    <hyperlink ref="BHJ94" r:id="rId100" xr:uid="{1B6D8E16-8E12-4EE0-BE44-838B71AF5AD5}"/>
    <hyperlink ref="BHZ94" r:id="rId101" xr:uid="{7D34715C-E275-46FA-B50E-66B145C55648}"/>
    <hyperlink ref="BIP94" r:id="rId102" xr:uid="{0FF20A2B-0899-4BDC-ADB0-1BE9D1FFB39C}"/>
    <hyperlink ref="BJF94" r:id="rId103" xr:uid="{68DBEC2C-1449-4089-90B2-4582EED2D1E7}"/>
    <hyperlink ref="BJV94" r:id="rId104" xr:uid="{D50F0587-F10F-49FA-B8DB-FB2BFA0A7F11}"/>
    <hyperlink ref="BKL94" r:id="rId105" xr:uid="{ED1BA6CB-E931-44EE-A1FF-42623634BF51}"/>
    <hyperlink ref="BLB94" r:id="rId106" xr:uid="{E9D4E11E-5F1D-499F-99A1-EABE1E8EB9EB}"/>
    <hyperlink ref="BLR94" r:id="rId107" xr:uid="{2051FF20-8C8F-46AC-85BE-D23B9BCD68BE}"/>
    <hyperlink ref="BMH94" r:id="rId108" xr:uid="{C5EA4576-32EE-4FF5-925B-B5AC0DCA56BD}"/>
    <hyperlink ref="BMX94" r:id="rId109" xr:uid="{5D4E7BAC-57E5-4577-87B0-D9E96C1FB04D}"/>
    <hyperlink ref="BNN94" r:id="rId110" xr:uid="{62004CE4-E41B-462B-8CFF-B99D16282CEE}"/>
    <hyperlink ref="BOD94" r:id="rId111" xr:uid="{0AC578DB-D3BD-44CE-A35A-3C1B67168BA0}"/>
    <hyperlink ref="BOT94" r:id="rId112" xr:uid="{854F3F6B-7344-43F7-A429-9AF559589200}"/>
    <hyperlink ref="BPJ94" r:id="rId113" xr:uid="{33542AFD-F392-46E0-9408-B60D6F8CD556}"/>
    <hyperlink ref="BPZ94" r:id="rId114" xr:uid="{304F1FE9-489E-4343-81DD-AEB3563C397D}"/>
    <hyperlink ref="BQP94" r:id="rId115" xr:uid="{79CE0D5A-B23E-4F1B-A7B4-0B9E422103DA}"/>
    <hyperlink ref="BRF94" r:id="rId116" xr:uid="{924867D3-72AB-4B0E-B42F-CF0DFBEAEAFE}"/>
    <hyperlink ref="BRV94" r:id="rId117" xr:uid="{43DFB2EB-05A1-4B81-8A54-782C1E6AD2E1}"/>
    <hyperlink ref="BSL94" r:id="rId118" xr:uid="{4C1B03DD-0550-454E-9EF5-4F0A8CBBB925}"/>
    <hyperlink ref="BTB94" r:id="rId119" xr:uid="{584150A6-970C-46C6-9C2E-E7352354F978}"/>
    <hyperlink ref="BTR94" r:id="rId120" xr:uid="{0ABDC34C-180A-4A04-B212-0FF6B1930E58}"/>
    <hyperlink ref="BUH94" r:id="rId121" xr:uid="{0C31E8C2-4B3D-4E40-9FE8-DD18A6428A7A}"/>
    <hyperlink ref="BUX94" r:id="rId122" xr:uid="{98FE4069-C5BE-4E41-823F-2677A78D3529}"/>
    <hyperlink ref="BVN94" r:id="rId123" xr:uid="{065B8FCE-D0F6-4A3B-9658-97CD7320954F}"/>
    <hyperlink ref="BWD94" r:id="rId124" xr:uid="{766DADF3-2766-408C-BDA3-3A971FF7BA6F}"/>
    <hyperlink ref="BWT94" r:id="rId125" xr:uid="{D6FC4128-9C4C-475F-B530-8037A2EE19D5}"/>
    <hyperlink ref="BXJ94" r:id="rId126" xr:uid="{3DEFE878-8937-4201-9D94-14E6BDC861D6}"/>
    <hyperlink ref="BXZ94" r:id="rId127" xr:uid="{D9955DFC-359D-49FE-A726-7488F93D370C}"/>
    <hyperlink ref="BYP94" r:id="rId128" xr:uid="{F5FBC057-405C-4A2B-B439-DFE1F22F4902}"/>
    <hyperlink ref="BZF94" r:id="rId129" xr:uid="{3B954912-02F6-4B5B-BF6D-63B077DF2EDB}"/>
    <hyperlink ref="BZV94" r:id="rId130" xr:uid="{0D820B2C-3448-4A3F-BD19-210600052812}"/>
    <hyperlink ref="CAL94" r:id="rId131" xr:uid="{70AE88E0-28AF-4A91-A276-E4AFB7E96AB8}"/>
    <hyperlink ref="CBB94" r:id="rId132" xr:uid="{419F07A0-1146-4B19-AE7A-44C4FF36F980}"/>
    <hyperlink ref="CBR94" r:id="rId133" xr:uid="{71831BF1-8D4C-409E-9B42-C65435A35664}"/>
    <hyperlink ref="CCH94" r:id="rId134" xr:uid="{EC2237FA-C1C6-43CD-9EAD-84CA87E77E26}"/>
    <hyperlink ref="CCX94" r:id="rId135" xr:uid="{CB22AD8E-97D4-4EDC-AD91-F8B956B0A6E4}"/>
    <hyperlink ref="CDN94" r:id="rId136" xr:uid="{EDBABA39-4CFC-4EAF-8954-8B8D2BCDDB21}"/>
    <hyperlink ref="CED94" r:id="rId137" xr:uid="{C9EEA544-4CA0-4091-803D-75789E0AD4AC}"/>
    <hyperlink ref="CET94" r:id="rId138" xr:uid="{E552191F-B075-44F7-9F99-D4C7C586F19C}"/>
    <hyperlink ref="CFJ94" r:id="rId139" xr:uid="{E4734FD6-B63B-418C-946F-2B169D05E7EB}"/>
    <hyperlink ref="CFZ94" r:id="rId140" xr:uid="{A97C8F1D-53C6-4B50-9BB5-6D61D7E92CB9}"/>
    <hyperlink ref="CGP94" r:id="rId141" xr:uid="{649F7949-2042-434C-8428-BB019EB438CA}"/>
    <hyperlink ref="CHF94" r:id="rId142" xr:uid="{67E5988B-7786-484E-AA15-F8355819B869}"/>
    <hyperlink ref="CHV94" r:id="rId143" xr:uid="{738DABF0-F01C-463D-B549-E7419668F033}"/>
    <hyperlink ref="CIL94" r:id="rId144" xr:uid="{8545A0CD-5D15-4109-BC2B-78AC76603549}"/>
    <hyperlink ref="CJB94" r:id="rId145" xr:uid="{3F11CE75-C45D-4736-A747-01A77A54D710}"/>
    <hyperlink ref="CJR94" r:id="rId146" xr:uid="{EF1E8792-AE69-485F-8A33-574D2239C2C7}"/>
    <hyperlink ref="CKH94" r:id="rId147" xr:uid="{4F47B264-4D86-4E27-9E0A-7460B048849B}"/>
    <hyperlink ref="CKX94" r:id="rId148" xr:uid="{A1724217-D5FE-4BC7-B967-00DFFDD2D85C}"/>
    <hyperlink ref="CLN94" r:id="rId149" xr:uid="{A775B6F1-1914-49D4-AB0B-123F0F4B621A}"/>
    <hyperlink ref="CMD94" r:id="rId150" xr:uid="{37EB9855-ACF1-43EC-B2F7-6CB6DC3EE767}"/>
    <hyperlink ref="CMT94" r:id="rId151" xr:uid="{FAAE82EB-5F91-45B6-9876-7A3D9DD23EA5}"/>
    <hyperlink ref="CNJ94" r:id="rId152" xr:uid="{A2064695-1B0D-47AE-8729-D399771D293A}"/>
    <hyperlink ref="CNZ94" r:id="rId153" xr:uid="{56415023-FEF2-475D-BB57-DCFDD112BEC5}"/>
    <hyperlink ref="COP94" r:id="rId154" xr:uid="{69FA7776-9B4C-4257-8E0C-B9BD8926F62E}"/>
    <hyperlink ref="CPF94" r:id="rId155" xr:uid="{DD80A354-3FEA-4A9F-98EF-6C47E88D9812}"/>
    <hyperlink ref="CPV94" r:id="rId156" xr:uid="{0024D125-CE56-4D3B-A6F3-52E8FA74E9FD}"/>
    <hyperlink ref="CQL94" r:id="rId157" xr:uid="{EF9C01E1-B1E4-4154-9E8D-E4FA1EC56712}"/>
    <hyperlink ref="CRB94" r:id="rId158" xr:uid="{0A6DBEDE-0BD4-4BBE-9467-951B9CC1EFCD}"/>
    <hyperlink ref="CRR94" r:id="rId159" xr:uid="{A48609C5-965D-4813-910C-0CEBC6B2A45D}"/>
    <hyperlink ref="CSH94" r:id="rId160" xr:uid="{8D377D29-2183-4669-8847-9F9A2D3DE740}"/>
    <hyperlink ref="CSX94" r:id="rId161" xr:uid="{5C87D8A2-0FAB-45B9-A866-EFACF30F2CD1}"/>
    <hyperlink ref="CTN94" r:id="rId162" xr:uid="{3D6025BB-FDB8-4656-82EF-B305540208D0}"/>
    <hyperlink ref="CUD94" r:id="rId163" xr:uid="{0CE667BD-EB84-400B-BF0C-32DA8C8125CA}"/>
    <hyperlink ref="CUT94" r:id="rId164" xr:uid="{82BDEAFF-117D-4DBA-82EE-5D3FDACFFF95}"/>
    <hyperlink ref="CVJ94" r:id="rId165" xr:uid="{324EF2A7-1741-426C-B3DD-AB510103B9DD}"/>
    <hyperlink ref="CVZ94" r:id="rId166" xr:uid="{FAE66235-00BE-4433-A21A-EF5035127C2C}"/>
    <hyperlink ref="CWP94" r:id="rId167" xr:uid="{8E90A876-6C74-4D2A-878F-199F306947F9}"/>
    <hyperlink ref="CXF94" r:id="rId168" xr:uid="{F0223AD9-0B3D-446D-BB0E-3CA726AB7703}"/>
    <hyperlink ref="CXV94" r:id="rId169" xr:uid="{8EB93BEA-74E2-4F2A-8D9A-FDEF77381880}"/>
    <hyperlink ref="CYL94" r:id="rId170" xr:uid="{C3408ADD-2715-4E67-A85C-3CB13C55F62C}"/>
    <hyperlink ref="CZB94" r:id="rId171" xr:uid="{A5230CF6-FC03-46C8-B237-F516D31E9A92}"/>
    <hyperlink ref="CZR94" r:id="rId172" xr:uid="{D6B8BC61-33C0-404A-BA60-CD6B9100E9D0}"/>
    <hyperlink ref="DAH94" r:id="rId173" xr:uid="{D253E6F3-DD21-4FEA-B089-52B1E8BE3511}"/>
    <hyperlink ref="DAX94" r:id="rId174" xr:uid="{2087B09D-24B0-4234-A77F-F78713D81DA5}"/>
    <hyperlink ref="DBN94" r:id="rId175" xr:uid="{239A6C51-ED20-4120-A113-658B43F5E727}"/>
    <hyperlink ref="DCD94" r:id="rId176" xr:uid="{02AB4A7E-5647-4C6A-B025-21023E84FD92}"/>
    <hyperlink ref="DCT94" r:id="rId177" xr:uid="{5750F32B-40CD-4AAC-A7BD-4ED6C1C75E8B}"/>
    <hyperlink ref="DDJ94" r:id="rId178" xr:uid="{230DDFE5-1F4B-4032-A85C-3E853DE9C230}"/>
    <hyperlink ref="DDZ94" r:id="rId179" xr:uid="{594A3E80-B982-4A3D-BB00-EDF3A4CAAEAD}"/>
    <hyperlink ref="DEP94" r:id="rId180" xr:uid="{AB2AF1BF-3002-464B-A60F-A96E461F2E82}"/>
    <hyperlink ref="DFF94" r:id="rId181" xr:uid="{F86F4BBC-05C7-465B-A876-6D8E27F62A32}"/>
    <hyperlink ref="DFV94" r:id="rId182" xr:uid="{2EEED848-647E-463C-8018-7A93F9233678}"/>
    <hyperlink ref="DGL94" r:id="rId183" xr:uid="{F31AF18F-F2EB-4DBA-B52A-96F393752058}"/>
    <hyperlink ref="DHB94" r:id="rId184" xr:uid="{94685B26-717E-49AF-A4EE-572E4520ACB3}"/>
    <hyperlink ref="DHR94" r:id="rId185" xr:uid="{F31BAA0E-D290-4790-A5DB-73C899F97807}"/>
    <hyperlink ref="DIH94" r:id="rId186" xr:uid="{E3FF72E9-2A46-49E8-B6A5-C4E6A2367332}"/>
    <hyperlink ref="DIX94" r:id="rId187" xr:uid="{7611E598-8723-42B9-9E59-9758950D654C}"/>
    <hyperlink ref="DJN94" r:id="rId188" xr:uid="{C1D586C2-6BFC-457A-8C3D-0798157DAFA6}"/>
    <hyperlink ref="DKD94" r:id="rId189" xr:uid="{150356DD-901A-4476-85FE-EDD737779DCF}"/>
    <hyperlink ref="DKT94" r:id="rId190" xr:uid="{A416E811-0121-4520-ADA0-BA3447D2F1D8}"/>
    <hyperlink ref="DLJ94" r:id="rId191" xr:uid="{017914F3-87E1-4531-B797-08A90DFE67A2}"/>
    <hyperlink ref="DLZ94" r:id="rId192" xr:uid="{FB321946-CC8E-45BF-9321-34F902942F77}"/>
    <hyperlink ref="DMP94" r:id="rId193" xr:uid="{37056398-2776-4AD3-AC13-64E41395E459}"/>
    <hyperlink ref="DNF94" r:id="rId194" xr:uid="{7F5E5C42-0667-445C-B011-0EA901E10F3E}"/>
    <hyperlink ref="DNV94" r:id="rId195" xr:uid="{36F8ECE1-4484-4C0A-98AD-D9C469D71B76}"/>
    <hyperlink ref="DOL94" r:id="rId196" xr:uid="{84CAB9DD-B4EC-409F-94AA-B5377EF0C606}"/>
    <hyperlink ref="DPB94" r:id="rId197" xr:uid="{D313DA5B-7763-4462-989C-96C4CC4DD377}"/>
    <hyperlink ref="DPR94" r:id="rId198" xr:uid="{546554DC-70B4-4EA5-BC20-C33AED6F95FC}"/>
    <hyperlink ref="DQH94" r:id="rId199" xr:uid="{F7D39CA8-FDFE-4748-99A2-EA1DBFF2FFC5}"/>
    <hyperlink ref="DQX94" r:id="rId200" xr:uid="{6A420F60-F4BC-48BE-A1C9-1704A4F34440}"/>
    <hyperlink ref="DRN94" r:id="rId201" xr:uid="{CC75C9EE-F228-4B41-93EC-E49A6123CAF8}"/>
    <hyperlink ref="DSD94" r:id="rId202" xr:uid="{51EA2074-DA98-43D3-82FB-D5E8B8A70F79}"/>
    <hyperlink ref="DST94" r:id="rId203" xr:uid="{44CE9A14-C2E0-4256-AE1A-9A26D3CC8687}"/>
    <hyperlink ref="DTJ94" r:id="rId204" xr:uid="{8B599E8A-C1E1-49B7-9832-D87134C5865A}"/>
    <hyperlink ref="DTZ94" r:id="rId205" xr:uid="{5A845661-7E00-420D-9811-487AAAFB08EC}"/>
    <hyperlink ref="DUP94" r:id="rId206" xr:uid="{9CEE6793-4CC6-4EAA-9E13-1A3F699AF613}"/>
    <hyperlink ref="DVF94" r:id="rId207" xr:uid="{8CD6E825-3552-47A6-8927-79FF8B950AFB}"/>
    <hyperlink ref="DVV94" r:id="rId208" xr:uid="{4682FEBB-B789-4F28-80D0-333323B15870}"/>
    <hyperlink ref="DWL94" r:id="rId209" xr:uid="{7A55723D-60CA-4CE5-B93D-9EFB99D57625}"/>
    <hyperlink ref="DXB94" r:id="rId210" xr:uid="{F965D73C-C32C-4D60-BA1D-2FACEE230C93}"/>
    <hyperlink ref="DXR94" r:id="rId211" xr:uid="{E20CB698-1900-47FC-BCB2-A644831E297F}"/>
    <hyperlink ref="DYH94" r:id="rId212" xr:uid="{271B8ED5-7880-4A70-BADC-8EBCA034E776}"/>
    <hyperlink ref="DYX94" r:id="rId213" xr:uid="{9B73E4EF-D579-4465-AAA1-54CB53124C3C}"/>
    <hyperlink ref="DZN94" r:id="rId214" xr:uid="{F501A4D3-012B-4AE5-A9E6-E6FAB7E6FD4A}"/>
    <hyperlink ref="EAD94" r:id="rId215" xr:uid="{A72AD221-E4C7-409D-A558-3391DE474B63}"/>
    <hyperlink ref="EAT94" r:id="rId216" xr:uid="{5E31DDC6-88F5-48EF-9D63-8FBE4FDD99C4}"/>
    <hyperlink ref="EBJ94" r:id="rId217" xr:uid="{0CF64B40-E2F0-484C-A27E-252E4CE2D385}"/>
    <hyperlink ref="EBZ94" r:id="rId218" xr:uid="{FE562F16-C7A4-4021-B8F9-33B912158CBD}"/>
    <hyperlink ref="ECP94" r:id="rId219" xr:uid="{03C45D40-860D-4AAB-A20B-45270659F681}"/>
    <hyperlink ref="EDF94" r:id="rId220" xr:uid="{7A5FD49B-ABCB-470E-BFB0-88BC56C0AC37}"/>
    <hyperlink ref="EDV94" r:id="rId221" xr:uid="{B69DD864-0B15-4C84-947F-938EC79948CB}"/>
    <hyperlink ref="EEL94" r:id="rId222" xr:uid="{5F1C313E-39FB-4042-BDE9-879A6F998CA0}"/>
    <hyperlink ref="EFB94" r:id="rId223" xr:uid="{915F0D6B-B88B-4C2C-8EAF-D92FF981377A}"/>
    <hyperlink ref="EFR94" r:id="rId224" xr:uid="{4D8B090C-B0DA-44EE-ABE2-B12C045AA2CE}"/>
    <hyperlink ref="EGH94" r:id="rId225" xr:uid="{194CD535-A36F-4E2B-BF06-D335570C72A3}"/>
    <hyperlink ref="EGX94" r:id="rId226" xr:uid="{0DE3BB33-0222-4C2B-9D40-7951794AF04E}"/>
    <hyperlink ref="EHN94" r:id="rId227" xr:uid="{2D06A64D-2FAD-44AC-BF0E-0E901F4AF8C8}"/>
    <hyperlink ref="EID94" r:id="rId228" xr:uid="{85CBD426-B92A-41D0-A373-3EA6DAE8CFEE}"/>
    <hyperlink ref="EIT94" r:id="rId229" xr:uid="{44696E60-EFAA-4AF3-BD71-95D055BB213D}"/>
    <hyperlink ref="EJJ94" r:id="rId230" xr:uid="{39CCCCC9-0DFF-4FA8-8724-1FBEAC498DDD}"/>
    <hyperlink ref="EJZ94" r:id="rId231" xr:uid="{568CE16C-661D-48B2-AD94-49471146E775}"/>
    <hyperlink ref="EKP94" r:id="rId232" xr:uid="{A4806F0A-7FC6-49DB-98D8-47DA88221539}"/>
    <hyperlink ref="ELF94" r:id="rId233" xr:uid="{28FEEF2C-64EF-4CE2-BE50-19BF7CA62D05}"/>
    <hyperlink ref="ELV94" r:id="rId234" xr:uid="{CF12318B-26BF-4E47-828E-C90421443042}"/>
    <hyperlink ref="EML94" r:id="rId235" xr:uid="{2F3F7967-F8F8-4215-86B6-8AF056C4B77A}"/>
    <hyperlink ref="ENB94" r:id="rId236" xr:uid="{5A445972-17C9-4626-B51D-8740E0D32BA1}"/>
    <hyperlink ref="ENR94" r:id="rId237" xr:uid="{10A889A7-3A26-47C4-A920-9E43C5615754}"/>
    <hyperlink ref="EOH94" r:id="rId238" xr:uid="{A52A07F0-D0C8-4AC9-A712-CD4A3CCED81F}"/>
    <hyperlink ref="EOX94" r:id="rId239" xr:uid="{7683F3F2-9F5D-4260-A62A-B420F5DD9263}"/>
    <hyperlink ref="EPN94" r:id="rId240" xr:uid="{1E1BFA86-7890-4A96-A669-FDF583F8D97A}"/>
    <hyperlink ref="EQD94" r:id="rId241" xr:uid="{BCFB96D7-560C-41C2-BE63-B48FDF3917BF}"/>
    <hyperlink ref="EQT94" r:id="rId242" xr:uid="{5F5D06E2-AA60-4989-9620-2453A8C3C861}"/>
    <hyperlink ref="ERJ94" r:id="rId243" xr:uid="{0C9CA6A2-EE31-40E4-8A04-B8E0256945E3}"/>
    <hyperlink ref="ERZ94" r:id="rId244" xr:uid="{32E4861B-177C-491F-858F-FF9C726B999F}"/>
    <hyperlink ref="ESP94" r:id="rId245" xr:uid="{EFCEB673-D2D4-44A2-A180-7D541CFF1DAB}"/>
    <hyperlink ref="ETF94" r:id="rId246" xr:uid="{93C2C88F-26A5-4D20-BE15-98EF91198395}"/>
    <hyperlink ref="ETV94" r:id="rId247" xr:uid="{EDC65B3E-7C9A-44F8-AE8C-B80276D71C0D}"/>
    <hyperlink ref="EUL94" r:id="rId248" xr:uid="{6941F401-4EE7-4F25-A1E4-3DA16997391F}"/>
    <hyperlink ref="EVB94" r:id="rId249" xr:uid="{0DA6BD46-E726-4F13-B1F0-B733BD03CBA7}"/>
    <hyperlink ref="EVR94" r:id="rId250" xr:uid="{D5349F92-B6DA-4477-A366-F8334CF86976}"/>
    <hyperlink ref="EWH94" r:id="rId251" xr:uid="{97A080E7-A2EB-4046-B50F-2875C22242D0}"/>
    <hyperlink ref="EWX94" r:id="rId252" xr:uid="{90BF8FBD-C453-4FDE-A7AD-DB032607FA67}"/>
    <hyperlink ref="EXN94" r:id="rId253" xr:uid="{3EEF73F8-5B5C-4D75-A50D-ECD78114DD3F}"/>
    <hyperlink ref="EYD94" r:id="rId254" xr:uid="{A29AC93B-01E3-42A1-AE1C-D17F3F0DFA24}"/>
    <hyperlink ref="EYT94" r:id="rId255" xr:uid="{EAB20624-6208-4E46-8143-BE03A48966C5}"/>
    <hyperlink ref="EZJ94" r:id="rId256" xr:uid="{B26D6CCE-A861-4982-B85D-ED8E57657D09}"/>
    <hyperlink ref="EZZ94" r:id="rId257" xr:uid="{E50E9CA8-49E6-491E-A334-5997C664F7E0}"/>
    <hyperlink ref="FAP94" r:id="rId258" xr:uid="{11282D7E-D3C3-46F6-A674-9C99247809D1}"/>
    <hyperlink ref="FBF94" r:id="rId259" xr:uid="{8AD7EB9E-CD09-447A-A59E-53C6E0FA9FB3}"/>
    <hyperlink ref="FBV94" r:id="rId260" xr:uid="{73C4447B-3D11-48A1-90B0-862580B0D9DC}"/>
    <hyperlink ref="FCL94" r:id="rId261" xr:uid="{8F97D3F3-2689-4474-9788-CE69AD84A91D}"/>
    <hyperlink ref="FDB94" r:id="rId262" xr:uid="{EC4FD0E2-5213-4BBA-9AD6-F26A5C11FEEA}"/>
    <hyperlink ref="FDR94" r:id="rId263" xr:uid="{53D4847C-D3BA-4D96-A7B4-20B34870FD9E}"/>
    <hyperlink ref="FEH94" r:id="rId264" xr:uid="{CDD9BBCA-39EF-40FA-8034-DD734225CDCC}"/>
    <hyperlink ref="FEX94" r:id="rId265" xr:uid="{A075A5BA-52CA-42D9-8676-26D806B9B6B6}"/>
    <hyperlink ref="FFN94" r:id="rId266" xr:uid="{03FBDE7F-D5A1-4EAC-A65D-4B5D851F4A06}"/>
    <hyperlink ref="FGD94" r:id="rId267" xr:uid="{9D2656FC-ED00-4407-903A-EBA7AB3080D7}"/>
    <hyperlink ref="FGT94" r:id="rId268" xr:uid="{BC743C4C-1582-4249-AD5B-F5D77EEECFD4}"/>
    <hyperlink ref="FHJ94" r:id="rId269" xr:uid="{85D8719C-F1B3-4350-A718-D0C62BFF8AE6}"/>
    <hyperlink ref="FHZ94" r:id="rId270" xr:uid="{1DF4BD84-3C34-45CD-9D6E-14E704A0B9FF}"/>
    <hyperlink ref="FIP94" r:id="rId271" xr:uid="{284B0824-56B6-4966-AB30-002C185E13EA}"/>
    <hyperlink ref="FJF94" r:id="rId272" xr:uid="{CD91AE98-AFA5-4CF2-9392-D54DE3287928}"/>
    <hyperlink ref="FJV94" r:id="rId273" xr:uid="{82BC4A53-4742-4598-9EF5-1D910F61109F}"/>
    <hyperlink ref="FKL94" r:id="rId274" xr:uid="{852420C1-A22B-4AB8-BEA6-D54E265A1C14}"/>
    <hyperlink ref="FLB94" r:id="rId275" xr:uid="{AFBC9B34-0C53-47A1-B03F-16FD34D8F5D5}"/>
    <hyperlink ref="FLR94" r:id="rId276" xr:uid="{0D7155BD-C3EB-4DF1-9642-DF536BD21AB1}"/>
    <hyperlink ref="FMH94" r:id="rId277" xr:uid="{EAFA2E54-F1FC-4CBB-B6B1-6C3AE190D72E}"/>
    <hyperlink ref="FMX94" r:id="rId278" xr:uid="{AA495A17-4CEA-4E9B-9848-127CFA518303}"/>
    <hyperlink ref="FNN94" r:id="rId279" xr:uid="{9A85C146-D0BA-4C89-96E4-83526949A366}"/>
    <hyperlink ref="FOD94" r:id="rId280" xr:uid="{15FFA6DB-7E3B-4AF9-8E9A-6033BC85E7AD}"/>
    <hyperlink ref="FOT94" r:id="rId281" xr:uid="{1CE58CCC-228D-4580-AE37-4F5EB46492BC}"/>
    <hyperlink ref="FPJ94" r:id="rId282" xr:uid="{E0EC0419-9D68-47CC-B585-3CD26E61AAE1}"/>
    <hyperlink ref="FPZ94" r:id="rId283" xr:uid="{589FC9AD-47BC-4E57-9880-1E713D51D2E2}"/>
    <hyperlink ref="FQP94" r:id="rId284" xr:uid="{F6C5B241-080F-48E7-BB4F-AEE78614CD96}"/>
    <hyperlink ref="FRF94" r:id="rId285" xr:uid="{8A5EBC0F-1567-4DE8-8EF7-35268036FEDB}"/>
    <hyperlink ref="FRV94" r:id="rId286" xr:uid="{2A7F37B4-82C3-4613-B6DC-E4B38C0D7452}"/>
    <hyperlink ref="FSL94" r:id="rId287" xr:uid="{0D70F802-74AE-4ECC-8C2C-27201548FF56}"/>
    <hyperlink ref="FTB94" r:id="rId288" xr:uid="{E1DEA327-612A-4D99-AFB6-5925690B6871}"/>
    <hyperlink ref="FTR94" r:id="rId289" xr:uid="{6E9B46CE-9DEF-46EB-A2CF-6F1EB4505265}"/>
    <hyperlink ref="FUH94" r:id="rId290" xr:uid="{7331E5FA-BA6F-4E1F-848A-5DF0F91DC039}"/>
    <hyperlink ref="FUX94" r:id="rId291" xr:uid="{F4AA12F8-F5DC-49D9-ACE4-28AEEDBBE360}"/>
    <hyperlink ref="FVN94" r:id="rId292" xr:uid="{C057A702-2B3E-453B-B126-F5E13B90DF3B}"/>
    <hyperlink ref="FWD94" r:id="rId293" xr:uid="{8463DF2B-6339-467A-AF51-2A7DC1F8481B}"/>
    <hyperlink ref="FWT94" r:id="rId294" xr:uid="{0351FAED-9D75-485E-8FE2-CC54C9A958FD}"/>
    <hyperlink ref="FXJ94" r:id="rId295" xr:uid="{3A2ADEB3-7B1C-4A5E-97D5-C733856B78A3}"/>
    <hyperlink ref="FXZ94" r:id="rId296" xr:uid="{0C36A2BC-F4B0-43FD-94F9-E044683999BE}"/>
    <hyperlink ref="FYP94" r:id="rId297" xr:uid="{DA01E458-77CA-455C-A2AB-DA8A38D1CC30}"/>
    <hyperlink ref="FZF94" r:id="rId298" xr:uid="{12B620B7-51F3-4DAB-AF99-0275A9B05E8B}"/>
    <hyperlink ref="FZV94" r:id="rId299" xr:uid="{2D58B593-1BBC-472E-AA9F-197A736CCD81}"/>
    <hyperlink ref="GAL94" r:id="rId300" xr:uid="{4707B82A-1ED4-4977-AC85-3010F4B04E3A}"/>
    <hyperlink ref="GBB94" r:id="rId301" xr:uid="{586BBA56-96F9-4C93-9CA6-15D98191F580}"/>
    <hyperlink ref="GBR94" r:id="rId302" xr:uid="{CC3DB075-651E-4696-A60D-89586C2E8561}"/>
    <hyperlink ref="GCH94" r:id="rId303" xr:uid="{DC83A6FC-D3A0-4C96-988C-2CD448E47C33}"/>
    <hyperlink ref="GCX94" r:id="rId304" xr:uid="{2CB7B4D5-B3EF-4BFD-B0AB-F1D6A480363C}"/>
    <hyperlink ref="GDN94" r:id="rId305" xr:uid="{A12B09F1-330F-4E7A-A561-E02DAC008491}"/>
    <hyperlink ref="GED94" r:id="rId306" xr:uid="{296EC540-F7E9-41FC-AE00-5148C3220C8E}"/>
    <hyperlink ref="GET94" r:id="rId307" xr:uid="{13BCE70C-2E35-4ABE-AB3B-AB499FBE4CCD}"/>
    <hyperlink ref="GFJ94" r:id="rId308" xr:uid="{0295AF95-AA29-4D5B-9656-0DF00C934731}"/>
    <hyperlink ref="GFZ94" r:id="rId309" xr:uid="{DF35608A-AF55-45B5-9181-395476A254FA}"/>
    <hyperlink ref="GGP94" r:id="rId310" xr:uid="{E906FA0D-859E-4DCC-B037-B9E1FEF00A10}"/>
    <hyperlink ref="GHF94" r:id="rId311" xr:uid="{5B34FB9C-66FF-43FD-AA51-908C83BC9346}"/>
    <hyperlink ref="GHV94" r:id="rId312" xr:uid="{7F23D139-B8F5-4D62-A5F2-0B6BFB7C5CA4}"/>
    <hyperlink ref="GIL94" r:id="rId313" xr:uid="{74F0BA38-C890-4A4D-984D-58AFC3827FD4}"/>
    <hyperlink ref="GJB94" r:id="rId314" xr:uid="{7AE622B9-7046-4F16-8C05-5FE32B2736DB}"/>
    <hyperlink ref="GJR94" r:id="rId315" xr:uid="{37EE78F9-8ACF-49C8-A678-C1320C8C6820}"/>
    <hyperlink ref="GKH94" r:id="rId316" xr:uid="{7E2ECA1B-7462-41DF-A2F3-BF0CD6FF300D}"/>
    <hyperlink ref="GKX94" r:id="rId317" xr:uid="{7130D878-1DD8-4BED-AA07-79CE15FF575A}"/>
    <hyperlink ref="GLN94" r:id="rId318" xr:uid="{58A3F60D-D59E-43EB-AB7A-31B0C4735DD5}"/>
    <hyperlink ref="GMD94" r:id="rId319" xr:uid="{FADC147A-905B-47D0-B490-F3EEC2FBD4A9}"/>
    <hyperlink ref="GMT94" r:id="rId320" xr:uid="{F3E17B4F-A1F0-4F61-8A6C-B3BB72C7ECAA}"/>
    <hyperlink ref="GNJ94" r:id="rId321" xr:uid="{46E8ECE7-10C6-490B-9D28-18E9E7927266}"/>
    <hyperlink ref="GNZ94" r:id="rId322" xr:uid="{52E6E19F-70A3-4D1F-8B2D-C232B8E097C8}"/>
    <hyperlink ref="GOP94" r:id="rId323" xr:uid="{26584416-E75F-42A2-94EA-B0A981B5AC03}"/>
    <hyperlink ref="GPF94" r:id="rId324" xr:uid="{79DF695A-3A2E-40FD-873A-88F32A53DE7B}"/>
    <hyperlink ref="GPV94" r:id="rId325" xr:uid="{5F2AD8EC-0EB4-421F-B8CB-297B9AEC1DB7}"/>
    <hyperlink ref="GQL94" r:id="rId326" xr:uid="{8AF3B037-88BF-4B1C-8474-2B3E4259B60C}"/>
    <hyperlink ref="GRB94" r:id="rId327" xr:uid="{DC050028-B307-4A09-8648-68C20BCB1311}"/>
    <hyperlink ref="GRR94" r:id="rId328" xr:uid="{C458496B-7B04-4B5F-BE9B-1D01AAF7FD72}"/>
    <hyperlink ref="GSH94" r:id="rId329" xr:uid="{70D8DCC6-029F-417A-8BB1-1BA8096F53DD}"/>
    <hyperlink ref="GSX94" r:id="rId330" xr:uid="{E9FDE3DD-379C-4161-AC95-E947B94C0EE0}"/>
    <hyperlink ref="GTN94" r:id="rId331" xr:uid="{5A91E75E-BB88-4219-B492-10D0CFD607B2}"/>
    <hyperlink ref="GUD94" r:id="rId332" xr:uid="{0DE11D21-F83E-47F9-B69B-23D753F006B2}"/>
    <hyperlink ref="GUT94" r:id="rId333" xr:uid="{D3FBBB12-99C1-40B0-A20C-32F3DFB6DACE}"/>
    <hyperlink ref="GVJ94" r:id="rId334" xr:uid="{2AFA8836-71AF-4D5A-A130-DF31F6BA3664}"/>
    <hyperlink ref="GVZ94" r:id="rId335" xr:uid="{CE51CD16-1FA9-44FB-B63C-57C447651CE9}"/>
    <hyperlink ref="GWP94" r:id="rId336" xr:uid="{7DAF71F6-2E18-43A4-A88C-725BE9B00E50}"/>
    <hyperlink ref="GXF94" r:id="rId337" xr:uid="{8C95C0A9-4189-4E27-915C-18C392A7144D}"/>
    <hyperlink ref="GXV94" r:id="rId338" xr:uid="{4F8B0A98-8A79-4344-ACDA-B37D69DD4D24}"/>
    <hyperlink ref="GYL94" r:id="rId339" xr:uid="{F3D67062-E1C9-4D3F-BAC7-50FD9DA9BB27}"/>
    <hyperlink ref="GZB94" r:id="rId340" xr:uid="{AAF9B745-DF3E-41B5-9AED-C234901EFE25}"/>
    <hyperlink ref="GZR94" r:id="rId341" xr:uid="{6309EABA-D058-408B-A6D3-0A87823BE9A5}"/>
    <hyperlink ref="HAH94" r:id="rId342" xr:uid="{ED8D7950-9146-43CD-8ED7-AAE1DC5B795F}"/>
    <hyperlink ref="HAX94" r:id="rId343" xr:uid="{008C2D47-EFC8-465A-8B5D-A0675AFB8334}"/>
    <hyperlink ref="HBN94" r:id="rId344" xr:uid="{D21BC2D8-465D-41D1-BEEE-A296D1C177F6}"/>
    <hyperlink ref="HCD94" r:id="rId345" xr:uid="{61495876-4C67-4F8C-B0BA-46C594D46BD3}"/>
    <hyperlink ref="HCT94" r:id="rId346" xr:uid="{76BB55CD-A73A-405F-98CE-1CC46A3A4193}"/>
    <hyperlink ref="HDJ94" r:id="rId347" xr:uid="{1C54F200-C620-4D3E-84D3-2367A58134D3}"/>
    <hyperlink ref="HDZ94" r:id="rId348" xr:uid="{D419734C-D172-446A-BBCF-4A55C6B91CC8}"/>
    <hyperlink ref="HEP94" r:id="rId349" xr:uid="{966A58DF-7B58-4077-BBFD-91E1E09EC4AD}"/>
    <hyperlink ref="HFF94" r:id="rId350" xr:uid="{B5F39E24-95DD-4F8A-AEF1-BA29D24D2A22}"/>
    <hyperlink ref="HFV94" r:id="rId351" xr:uid="{36422A2A-CDF5-4487-B201-9DBAF45C0AAC}"/>
    <hyperlink ref="HGL94" r:id="rId352" xr:uid="{FE820E7F-7BEE-4458-B934-BC1711F790DA}"/>
    <hyperlink ref="HHB94" r:id="rId353" xr:uid="{1B4CAF52-DB0E-44B4-9874-E16920482A86}"/>
    <hyperlink ref="HHR94" r:id="rId354" xr:uid="{0D29DB26-CAF8-4A4C-B26C-D3DE99AD18F5}"/>
    <hyperlink ref="HIH94" r:id="rId355" xr:uid="{B1062611-7465-4FF5-BC5E-F98177EC0C55}"/>
    <hyperlink ref="HIX94" r:id="rId356" xr:uid="{03BB6A90-6BD6-4ECC-92BE-0CE745156BA5}"/>
    <hyperlink ref="HJN94" r:id="rId357" xr:uid="{3B57C225-FA13-4E5D-93CD-DC1386FC660D}"/>
    <hyperlink ref="HKD94" r:id="rId358" xr:uid="{A371755E-7FB0-4C13-8495-D9D6DCD1D750}"/>
    <hyperlink ref="HKT94" r:id="rId359" xr:uid="{8DE9B5E4-1C8C-46EE-B008-BE0BB4F1374E}"/>
    <hyperlink ref="HLJ94" r:id="rId360" xr:uid="{8A77CD3A-5317-4F78-82A4-5925F9D68D12}"/>
    <hyperlink ref="HLZ94" r:id="rId361" xr:uid="{B384DDEA-8FA7-40E6-AB87-74CCEA8DB654}"/>
    <hyperlink ref="HMP94" r:id="rId362" xr:uid="{AA3B9CE8-04D2-4CCD-9359-CBC861CCF648}"/>
    <hyperlink ref="HNF94" r:id="rId363" xr:uid="{3DD6E4A5-4E41-4A7E-9EC6-56332A574792}"/>
    <hyperlink ref="HNV94" r:id="rId364" xr:uid="{D54A48E5-B1D5-4613-988A-2BDE56CA137C}"/>
    <hyperlink ref="HOL94" r:id="rId365" xr:uid="{6A57CEED-3185-4181-84E0-9485E4079EF3}"/>
    <hyperlink ref="HPB94" r:id="rId366" xr:uid="{D6E9626D-B25F-452F-9A41-2C99C88C5E8E}"/>
    <hyperlink ref="HPR94" r:id="rId367" xr:uid="{E40AF0DD-18EA-4DA0-B001-37BCD18E63AE}"/>
    <hyperlink ref="HQH94" r:id="rId368" xr:uid="{ADD977AC-8C04-4BFF-A23F-6D231C3ADB0E}"/>
    <hyperlink ref="HQX94" r:id="rId369" xr:uid="{E5638E82-CF59-4F5A-8BC1-6775CA1EFF0D}"/>
    <hyperlink ref="HRN94" r:id="rId370" xr:uid="{9F3B3A97-390A-4278-A263-6D8A757E2D63}"/>
    <hyperlink ref="HSD94" r:id="rId371" xr:uid="{FCB926D5-FC39-41EB-9DB9-1955D613343F}"/>
    <hyperlink ref="HST94" r:id="rId372" xr:uid="{D1186730-B90A-4BE0-A982-0532EE71D04E}"/>
    <hyperlink ref="HTJ94" r:id="rId373" xr:uid="{B06BA30A-528B-429E-917A-AEEC0BDFA579}"/>
    <hyperlink ref="HTZ94" r:id="rId374" xr:uid="{18FFD13B-E76E-4622-8543-84481BD46E21}"/>
    <hyperlink ref="HUP94" r:id="rId375" xr:uid="{AF155C3C-1567-46AC-B27B-F671A1661C06}"/>
    <hyperlink ref="HVF94" r:id="rId376" xr:uid="{1DC91956-2CCD-4736-9193-F0D8946C4B8A}"/>
    <hyperlink ref="HVV94" r:id="rId377" xr:uid="{30217B74-D550-412E-8BD3-C3F8D83B253B}"/>
    <hyperlink ref="HWL94" r:id="rId378" xr:uid="{28FECD63-6457-4031-94F3-61C3F1007D85}"/>
    <hyperlink ref="HXB94" r:id="rId379" xr:uid="{8B6C9014-4404-4414-91EE-B097572BFECA}"/>
    <hyperlink ref="HXR94" r:id="rId380" xr:uid="{9081EE83-C244-4B9A-A987-967CFFD090A2}"/>
    <hyperlink ref="HYH94" r:id="rId381" xr:uid="{6D395342-ADD3-485A-89A8-19522BD3C0BB}"/>
    <hyperlink ref="HYX94" r:id="rId382" xr:uid="{0B9AAC10-9F11-407B-A157-BC606CAE1CC3}"/>
    <hyperlink ref="HZN94" r:id="rId383" xr:uid="{8A6EB90A-7279-4EEB-9F77-A99794669EBE}"/>
    <hyperlink ref="IAD94" r:id="rId384" xr:uid="{DB6B507A-4916-4537-86B7-BD4D9831D824}"/>
    <hyperlink ref="IAT94" r:id="rId385" xr:uid="{8C7B5CB0-1BA1-4514-BC7B-1A737EF61530}"/>
    <hyperlink ref="IBJ94" r:id="rId386" xr:uid="{A23EC981-1BF7-4885-A9CD-E7E491FD3018}"/>
    <hyperlink ref="IBZ94" r:id="rId387" xr:uid="{43A2D688-399D-4307-B69D-4911C0D3B89C}"/>
    <hyperlink ref="ICP94" r:id="rId388" xr:uid="{BFCFE29E-A0F4-4541-904F-0DA8F6D90794}"/>
    <hyperlink ref="IDF94" r:id="rId389" xr:uid="{19399545-7EA0-4E81-B2DE-0EE3B57EBFF0}"/>
    <hyperlink ref="IDV94" r:id="rId390" xr:uid="{626A79BC-755F-4D54-9C1E-DF3C1873F926}"/>
    <hyperlink ref="IEL94" r:id="rId391" xr:uid="{9B718790-5895-48D9-BDF5-20B3ADC8DC2C}"/>
    <hyperlink ref="IFB94" r:id="rId392" xr:uid="{4D7E3822-31E1-43CB-8241-1991156CDDE9}"/>
    <hyperlink ref="IFR94" r:id="rId393" xr:uid="{AC44FF4D-3805-42B7-8BA6-3FCC443AAA85}"/>
    <hyperlink ref="IGH94" r:id="rId394" xr:uid="{DC5B70BB-0A03-4C3B-BEAA-24AAE2A79B5B}"/>
    <hyperlink ref="IGX94" r:id="rId395" xr:uid="{39BAED39-793A-4823-8E24-358B458592A4}"/>
    <hyperlink ref="IHN94" r:id="rId396" xr:uid="{2829105A-8AA9-431B-A74A-17535D1F1B14}"/>
    <hyperlink ref="IID94" r:id="rId397" xr:uid="{8C240580-B07D-4D80-B94B-EFB646EE5A68}"/>
    <hyperlink ref="IIT94" r:id="rId398" xr:uid="{E9953001-D61B-416C-88B6-E0F6BF2292F9}"/>
    <hyperlink ref="IJJ94" r:id="rId399" xr:uid="{92414544-3B06-489C-A348-D9604E35B45F}"/>
    <hyperlink ref="IJZ94" r:id="rId400" xr:uid="{7522267C-876F-4E28-B144-ED8576EF1062}"/>
    <hyperlink ref="IKP94" r:id="rId401" xr:uid="{58E83105-C488-4845-8A08-CCF63DC28704}"/>
    <hyperlink ref="ILF94" r:id="rId402" xr:uid="{EB4FD784-B565-45A6-9A5B-A1E72CB4DDD9}"/>
    <hyperlink ref="ILV94" r:id="rId403" xr:uid="{FDB45933-35A2-49B0-B938-44CDEB6F7841}"/>
    <hyperlink ref="IML94" r:id="rId404" xr:uid="{0E136A9B-330A-4D2B-B05B-8CAA591B6933}"/>
    <hyperlink ref="INB94" r:id="rId405" xr:uid="{461778EF-AB7E-46A8-9530-DC8C49A03400}"/>
    <hyperlink ref="INR94" r:id="rId406" xr:uid="{C2EAE14C-158B-4D71-BB90-C0CC0C705C99}"/>
    <hyperlink ref="IOH94" r:id="rId407" xr:uid="{EFA04AF2-283F-48C8-AC9B-0E654DF47733}"/>
    <hyperlink ref="IOX94" r:id="rId408" xr:uid="{49635056-0160-49BC-AF4F-2977B887177B}"/>
    <hyperlink ref="IPN94" r:id="rId409" xr:uid="{739044CC-9F4A-4AB6-9BE2-05DD81824682}"/>
    <hyperlink ref="IQD94" r:id="rId410" xr:uid="{FD3FB3E7-0A7A-46F9-A121-E0EE33F25471}"/>
    <hyperlink ref="IQT94" r:id="rId411" xr:uid="{0EAADFAF-6FE4-4B67-B4B3-5DE99523CADD}"/>
    <hyperlink ref="IRJ94" r:id="rId412" xr:uid="{69C1FC8F-1E0D-4AA0-8CFE-CA6873D4A84C}"/>
    <hyperlink ref="IRZ94" r:id="rId413" xr:uid="{F901BCC0-D767-4B86-8297-A27335EE05C6}"/>
    <hyperlink ref="ISP94" r:id="rId414" xr:uid="{2535A904-A648-4F94-8822-CF3C9751F895}"/>
    <hyperlink ref="ITF94" r:id="rId415" xr:uid="{065935B9-8F1B-4F17-A464-AAA83F688A5E}"/>
    <hyperlink ref="ITV94" r:id="rId416" xr:uid="{4A55C130-4E23-490C-AB2A-0F17719E9512}"/>
    <hyperlink ref="IUL94" r:id="rId417" xr:uid="{CB1BB12F-4BD6-494E-815A-CA5112C6938E}"/>
    <hyperlink ref="IVB94" r:id="rId418" xr:uid="{8750D272-CD0A-4526-89B3-0929C8813AE9}"/>
    <hyperlink ref="IVR94" r:id="rId419" xr:uid="{3D4E0525-F9D1-4709-8CD9-E29649C92A0A}"/>
    <hyperlink ref="IWH94" r:id="rId420" xr:uid="{FE71B117-51C5-4E46-A709-6A8CA545124C}"/>
    <hyperlink ref="IWX94" r:id="rId421" xr:uid="{F2DFCA0A-DFFD-4E04-8B68-71E39359F9F5}"/>
    <hyperlink ref="IXN94" r:id="rId422" xr:uid="{971AECD3-D67E-48D5-980F-4A8C95C904B7}"/>
    <hyperlink ref="IYD94" r:id="rId423" xr:uid="{0AF0D9B4-F3FD-4108-8F89-E3E0A8ABD9AD}"/>
    <hyperlink ref="IYT94" r:id="rId424" xr:uid="{4D38AB19-7B21-430F-88CE-7EC59F53206A}"/>
    <hyperlink ref="IZJ94" r:id="rId425" xr:uid="{2C543B9E-B503-4318-97C7-280109CEEFCF}"/>
    <hyperlink ref="IZZ94" r:id="rId426" xr:uid="{E4DA43DB-AADD-44E1-B332-2EECB8079A6F}"/>
    <hyperlink ref="JAP94" r:id="rId427" xr:uid="{96161AD8-A1F2-4FBC-8937-933D181617E7}"/>
    <hyperlink ref="JBF94" r:id="rId428" xr:uid="{7C7F06D8-A643-4A62-89B2-12506C408FC1}"/>
    <hyperlink ref="JBV94" r:id="rId429" xr:uid="{A6B01730-A258-483E-9E65-279539A1AF46}"/>
    <hyperlink ref="JCL94" r:id="rId430" xr:uid="{7C7936AC-AB70-467C-85C0-6BD57F70198C}"/>
    <hyperlink ref="JDB94" r:id="rId431" xr:uid="{5812EFC3-FDC0-46CF-B72D-AE3830EFF593}"/>
    <hyperlink ref="JDR94" r:id="rId432" xr:uid="{F488CA8E-4127-4AD1-AEEB-7651C33E27B7}"/>
    <hyperlink ref="JEH94" r:id="rId433" xr:uid="{D96C8401-8A99-416A-8706-D2A2A9401C7D}"/>
    <hyperlink ref="JEX94" r:id="rId434" xr:uid="{5EB682D7-60AB-4495-92F9-02A2B9242332}"/>
    <hyperlink ref="JFN94" r:id="rId435" xr:uid="{C6D68118-2A1C-4EA6-8569-14B28155B635}"/>
    <hyperlink ref="JGD94" r:id="rId436" xr:uid="{525205CF-EC14-4C36-BB30-9494C2CE228E}"/>
    <hyperlink ref="JGT94" r:id="rId437" xr:uid="{E70F6059-CE45-4ABD-B2FE-62B012962959}"/>
    <hyperlink ref="JHJ94" r:id="rId438" xr:uid="{7A16D97E-5FD7-4C05-A68C-494A44ADC025}"/>
    <hyperlink ref="JHZ94" r:id="rId439" xr:uid="{3C0F738C-57E5-45A1-B4E1-43FCBFDDA018}"/>
    <hyperlink ref="JIP94" r:id="rId440" xr:uid="{A9E9B5F2-9AFC-4F93-90A4-561C336D52D8}"/>
    <hyperlink ref="JJF94" r:id="rId441" xr:uid="{FCB752F6-36FA-4C04-AAF7-C4243FB01C8D}"/>
    <hyperlink ref="JJV94" r:id="rId442" xr:uid="{ED87D88C-D84A-4DF9-B124-E44540159585}"/>
    <hyperlink ref="JKL94" r:id="rId443" xr:uid="{F33ACFD1-E9A0-4784-8D96-4AF1EC99A314}"/>
    <hyperlink ref="JLB94" r:id="rId444" xr:uid="{1ABEE530-800F-47BE-AEB0-0B99E906DA6E}"/>
    <hyperlink ref="JLR94" r:id="rId445" xr:uid="{871D7C6E-7B65-4AF1-81B9-506748314F00}"/>
    <hyperlink ref="JMH94" r:id="rId446" xr:uid="{2D3C0706-C07E-4A00-AFBE-0B61E785828F}"/>
    <hyperlink ref="JMX94" r:id="rId447" xr:uid="{0763FD4D-8DBA-4F85-AAE2-3029170DE13F}"/>
    <hyperlink ref="JNN94" r:id="rId448" xr:uid="{AFF4794C-B50D-4D2B-8F2B-EBDEF6D40A74}"/>
    <hyperlink ref="JOD94" r:id="rId449" xr:uid="{E5CEBB3D-00CB-46C3-A0DA-13DD23F12557}"/>
    <hyperlink ref="JOT94" r:id="rId450" xr:uid="{B5633915-947E-4DB9-B26B-78894ECF4C32}"/>
    <hyperlink ref="JPJ94" r:id="rId451" xr:uid="{9280903A-1528-4BEC-8616-CEC6074CAF9D}"/>
    <hyperlink ref="JPZ94" r:id="rId452" xr:uid="{00F62404-A9AE-449E-8840-53EEB82D43A6}"/>
    <hyperlink ref="JQP94" r:id="rId453" xr:uid="{A3B5E1F5-1CD8-4A8E-87E3-910886D4E65B}"/>
    <hyperlink ref="JRF94" r:id="rId454" xr:uid="{CA6D57F8-B1AD-4F0C-970C-E0DBF86DD60C}"/>
    <hyperlink ref="JRV94" r:id="rId455" xr:uid="{D52168E4-5528-46DE-9D59-2E6512B28BAD}"/>
    <hyperlink ref="JSL94" r:id="rId456" xr:uid="{CBF526E4-0DB1-4223-A825-6202FA679A3B}"/>
    <hyperlink ref="JTB94" r:id="rId457" xr:uid="{43572C8B-038C-49E9-BDA8-03EDE3571E7B}"/>
    <hyperlink ref="JTR94" r:id="rId458" xr:uid="{CBE9CBF0-D650-4153-83BA-7EE2BEF2E8D0}"/>
    <hyperlink ref="JUH94" r:id="rId459" xr:uid="{059378F3-A76F-43E4-B994-0A9672C750C3}"/>
    <hyperlink ref="JUX94" r:id="rId460" xr:uid="{336E7D23-4C2A-4F32-B72E-AAC67501C7F3}"/>
    <hyperlink ref="JVN94" r:id="rId461" xr:uid="{521B02AD-1E7C-4A7A-BDC1-26C4426C788C}"/>
    <hyperlink ref="JWD94" r:id="rId462" xr:uid="{9E8D3620-1A16-4D86-9FFC-ED72030D6D28}"/>
    <hyperlink ref="JWT94" r:id="rId463" xr:uid="{AB01684C-7B93-476F-9D63-69C68378B89E}"/>
    <hyperlink ref="JXJ94" r:id="rId464" xr:uid="{19FB3679-912C-43D5-9D8F-C888453AD3B6}"/>
    <hyperlink ref="JXZ94" r:id="rId465" xr:uid="{8748B6EE-817E-4B74-B5E4-24B24F7D5C9B}"/>
    <hyperlink ref="JYP94" r:id="rId466" xr:uid="{9C224820-450B-48E5-B127-5BA84E6854E5}"/>
    <hyperlink ref="JZF94" r:id="rId467" xr:uid="{0487EDCF-17BA-46DA-AD9F-0D2B35D05FD7}"/>
    <hyperlink ref="JZV94" r:id="rId468" xr:uid="{7F117466-0FA0-4539-A94D-8FBA01463809}"/>
    <hyperlink ref="KAL94" r:id="rId469" xr:uid="{B28E24A2-FD1C-4ACF-BAD4-A760625483DD}"/>
    <hyperlink ref="KBB94" r:id="rId470" xr:uid="{BFC82D26-F6DA-47CC-93CA-9B5CD9047A81}"/>
    <hyperlink ref="KBR94" r:id="rId471" xr:uid="{F073F3A9-C21D-4033-A0F7-95C878CDBF3A}"/>
    <hyperlink ref="KCH94" r:id="rId472" xr:uid="{02BBFB92-1340-4FF6-90A7-3B83D6D53324}"/>
    <hyperlink ref="KCX94" r:id="rId473" xr:uid="{44FD28D0-8589-458D-BB03-5A006007E1C4}"/>
    <hyperlink ref="KDN94" r:id="rId474" xr:uid="{C53754E6-38F9-410C-B7AA-C4E48EE65520}"/>
    <hyperlink ref="KED94" r:id="rId475" xr:uid="{48A77F73-3D8F-41DE-BF3D-D8CE493D2C60}"/>
    <hyperlink ref="KET94" r:id="rId476" xr:uid="{F8F5EECD-FA8A-42F0-96D9-3BD502393CCC}"/>
    <hyperlink ref="KFJ94" r:id="rId477" xr:uid="{E8EE008D-5B6A-4943-8CC2-F07CD7FCA536}"/>
    <hyperlink ref="KFZ94" r:id="rId478" xr:uid="{3340F0AB-088D-4223-B016-71453FAE4B79}"/>
    <hyperlink ref="KGP94" r:id="rId479" xr:uid="{5F4CF814-29B6-4B2C-9AF5-519229ADDAAA}"/>
    <hyperlink ref="KHF94" r:id="rId480" xr:uid="{8BF17689-5CB8-4059-90D9-70A8A8A7CEB7}"/>
    <hyperlink ref="KHV94" r:id="rId481" xr:uid="{C299621B-BC8C-4308-A2FB-9BAA061C28BF}"/>
    <hyperlink ref="KIL94" r:id="rId482" xr:uid="{7583E778-7239-47C9-AA36-27E489D5481E}"/>
    <hyperlink ref="KJB94" r:id="rId483" xr:uid="{4A829BA3-F69C-4BA7-A515-421C42E9A14C}"/>
    <hyperlink ref="KJR94" r:id="rId484" xr:uid="{79B39E48-DC90-4F0B-937F-23B0A5C3693C}"/>
    <hyperlink ref="KKH94" r:id="rId485" xr:uid="{CA7E4678-6765-474C-80D0-E85FE5327E46}"/>
    <hyperlink ref="KKX94" r:id="rId486" xr:uid="{F712DB6F-50F8-464D-9A5F-A10D24222E03}"/>
    <hyperlink ref="KLN94" r:id="rId487" xr:uid="{302A12B3-7215-4136-9F90-1CBF6C4A34C0}"/>
    <hyperlink ref="KMD94" r:id="rId488" xr:uid="{4BB6034E-5FF3-48E1-BCC8-B419889D6768}"/>
    <hyperlink ref="KMT94" r:id="rId489" xr:uid="{96AA9CEE-3DE1-4375-BD9D-47BE67531B36}"/>
    <hyperlink ref="KNJ94" r:id="rId490" xr:uid="{A75880C8-A825-4520-83EC-4FE2AA618218}"/>
    <hyperlink ref="KNZ94" r:id="rId491" xr:uid="{B029B4DF-7C93-4340-9C07-E227B123E483}"/>
    <hyperlink ref="KOP94" r:id="rId492" xr:uid="{DF0B1653-8062-4D3F-8441-D0758515A2B2}"/>
    <hyperlink ref="KPF94" r:id="rId493" xr:uid="{6AA3D7D6-13BD-453A-BE60-FFB7CC10D7D9}"/>
    <hyperlink ref="KPV94" r:id="rId494" xr:uid="{8AB2D91E-D7C4-4908-935C-B82D52AA74DF}"/>
    <hyperlink ref="KQL94" r:id="rId495" xr:uid="{B5F6BE28-A949-4539-B256-F7F2D6CD5960}"/>
    <hyperlink ref="KRB94" r:id="rId496" xr:uid="{792050CA-1CB9-45A9-B4B6-9056FA2D6FB0}"/>
    <hyperlink ref="KRR94" r:id="rId497" xr:uid="{7DB2DC32-0444-4FFA-A541-E8A8A4877804}"/>
    <hyperlink ref="KSH94" r:id="rId498" xr:uid="{5BC729CC-8A06-4232-AFB7-6CE12D1760CF}"/>
    <hyperlink ref="KSX94" r:id="rId499" xr:uid="{9406941E-40E3-4FD1-9FBC-C91DD940FB9A}"/>
    <hyperlink ref="KTN94" r:id="rId500" xr:uid="{F769785A-D460-49DD-9B46-A4BDFB27D376}"/>
    <hyperlink ref="KUD94" r:id="rId501" xr:uid="{77ED90B8-3C5A-40CB-915B-8586D0442DBC}"/>
    <hyperlink ref="KUT94" r:id="rId502" xr:uid="{1653F7A9-23F9-4F7F-A67A-35BD0A9ADAA4}"/>
    <hyperlink ref="KVJ94" r:id="rId503" xr:uid="{51E71AA6-89DE-4480-B7B8-62E9763C97E7}"/>
    <hyperlink ref="KVZ94" r:id="rId504" xr:uid="{EB796106-27A7-4CA2-B18E-D39D4F9F671E}"/>
    <hyperlink ref="KWP94" r:id="rId505" xr:uid="{ABC75498-40F8-4D4F-AAA4-BF80989F50A9}"/>
    <hyperlink ref="KXF94" r:id="rId506" xr:uid="{23D54D02-7C9E-41DD-AF8A-2E81A76C27FD}"/>
    <hyperlink ref="KXV94" r:id="rId507" xr:uid="{6CCA3824-8C50-4C49-8C56-69A8C8827D0A}"/>
    <hyperlink ref="KYL94" r:id="rId508" xr:uid="{F0EF2170-698F-4D32-95F2-4B0E91F0EB2B}"/>
    <hyperlink ref="KZB94" r:id="rId509" xr:uid="{E91D63DA-53C6-42F7-A7EE-97C26DEDA597}"/>
    <hyperlink ref="KZR94" r:id="rId510" xr:uid="{01DD6392-4A43-4B05-9502-B68A6D5B811C}"/>
    <hyperlink ref="LAH94" r:id="rId511" xr:uid="{55AFD423-2B95-4BAF-A4D5-DE1282A7942B}"/>
    <hyperlink ref="LAX94" r:id="rId512" xr:uid="{B2B764F3-610E-4F85-A88F-E1D0A7C916D6}"/>
    <hyperlink ref="LBN94" r:id="rId513" xr:uid="{9C592B40-75AA-4EAF-8B91-F2EC708816EE}"/>
    <hyperlink ref="LCD94" r:id="rId514" xr:uid="{70487260-F751-44D2-9ADE-D7156AD43D3F}"/>
    <hyperlink ref="LCT94" r:id="rId515" xr:uid="{F02D573D-F63D-411A-B61F-BBBBD2C4C67A}"/>
    <hyperlink ref="LDJ94" r:id="rId516" xr:uid="{D47C52A1-5DC9-453C-BEFE-5999B34B5B29}"/>
    <hyperlink ref="LDZ94" r:id="rId517" xr:uid="{25C65255-C774-4F4D-8858-7E64BF2F1981}"/>
    <hyperlink ref="LEP94" r:id="rId518" xr:uid="{674500B8-82E6-435A-86CB-CC425A958245}"/>
    <hyperlink ref="LFF94" r:id="rId519" xr:uid="{8843ED30-B752-4B8C-974A-FA964BC3DC2B}"/>
    <hyperlink ref="LFV94" r:id="rId520" xr:uid="{4D18A1DC-C46F-4CE4-A115-58B28E226A87}"/>
    <hyperlink ref="LGL94" r:id="rId521" xr:uid="{665688BD-7CAF-4279-A757-B51903A13FEE}"/>
    <hyperlink ref="LHB94" r:id="rId522" xr:uid="{5E702D4D-E82C-42F9-948C-85C5368D9B1B}"/>
    <hyperlink ref="LHR94" r:id="rId523" xr:uid="{F7F9BEB5-6180-496C-893F-38EC323E5BFC}"/>
    <hyperlink ref="LIH94" r:id="rId524" xr:uid="{54CD988A-5C7E-4DB5-B847-1056A415B866}"/>
    <hyperlink ref="LIX94" r:id="rId525" xr:uid="{E6076104-4C60-421B-AD58-B03E60BBAA21}"/>
    <hyperlink ref="LJN94" r:id="rId526" xr:uid="{CD93E0CD-E9E1-4EFC-BE13-035125B56880}"/>
    <hyperlink ref="LKD94" r:id="rId527" xr:uid="{9972D260-2C7B-4112-A4E3-AD95887A461F}"/>
    <hyperlink ref="LKT94" r:id="rId528" xr:uid="{53DB843F-AF56-474D-9B4E-7F0EE59FF6AB}"/>
    <hyperlink ref="LLJ94" r:id="rId529" xr:uid="{6192FAEB-AAB2-4F06-9818-F63957ED4E26}"/>
    <hyperlink ref="LLZ94" r:id="rId530" xr:uid="{1A61BAB4-4D34-4782-8EA7-C00698E98CC8}"/>
    <hyperlink ref="LMP94" r:id="rId531" xr:uid="{6461873C-860F-401E-8339-7500EE5BD5C1}"/>
    <hyperlink ref="LNF94" r:id="rId532" xr:uid="{5912D36C-924C-4015-9878-917EBD86A3BC}"/>
    <hyperlink ref="LNV94" r:id="rId533" xr:uid="{5ED6C841-5B2B-4EF6-A4F9-210D499E189A}"/>
    <hyperlink ref="LOL94" r:id="rId534" xr:uid="{925755C9-8D54-43AA-8497-ABB8ECAF10F2}"/>
    <hyperlink ref="LPB94" r:id="rId535" xr:uid="{375A0239-D387-44BC-AC97-870E5D35A7F3}"/>
    <hyperlink ref="LPR94" r:id="rId536" xr:uid="{E7847C2E-E8C4-4257-B523-6C65E7BE2341}"/>
    <hyperlink ref="LQH94" r:id="rId537" xr:uid="{1A2BCEAF-253F-4D82-A911-57FD2444FDC1}"/>
    <hyperlink ref="LQX94" r:id="rId538" xr:uid="{F16655EC-B6FF-4685-8C09-4939638746E0}"/>
    <hyperlink ref="LRN94" r:id="rId539" xr:uid="{573F2703-546D-4A83-9824-89514B066151}"/>
    <hyperlink ref="LSD94" r:id="rId540" xr:uid="{C5A1D846-97A6-4CC8-8385-3C54DFB7F5BD}"/>
    <hyperlink ref="LST94" r:id="rId541" xr:uid="{FE0DECB2-808E-4A8D-B130-ABEF13D0085D}"/>
    <hyperlink ref="LTJ94" r:id="rId542" xr:uid="{AD31C4E3-E531-462D-96BD-722493869E71}"/>
    <hyperlink ref="LTZ94" r:id="rId543" xr:uid="{4D1BAFB4-70BD-46A1-9C6C-BD0AB20D9B75}"/>
    <hyperlink ref="LUP94" r:id="rId544" xr:uid="{583E5201-3176-4B1D-904B-7E359A597F5F}"/>
    <hyperlink ref="LVF94" r:id="rId545" xr:uid="{03E8461C-EE63-4ACE-8116-7C498AD3F3A2}"/>
    <hyperlink ref="LVV94" r:id="rId546" xr:uid="{E5EF1F2F-F7F9-40D9-AF53-E335EF1DCE3D}"/>
    <hyperlink ref="LWL94" r:id="rId547" xr:uid="{05A0F4A2-7CD3-4B2C-9D93-937612DA0D4E}"/>
    <hyperlink ref="LXB94" r:id="rId548" xr:uid="{3B5F6013-1273-45A0-BA13-39AEDAE8E88C}"/>
    <hyperlink ref="LXR94" r:id="rId549" xr:uid="{D0378102-062D-482C-B9C8-25DF7F68A583}"/>
    <hyperlink ref="LYH94" r:id="rId550" xr:uid="{BF602502-B1D7-484B-8B47-6C78723B432C}"/>
    <hyperlink ref="LYX94" r:id="rId551" xr:uid="{E60D5822-3D99-4E09-BAC9-0E8FAD36D194}"/>
    <hyperlink ref="LZN94" r:id="rId552" xr:uid="{4DF8B5CB-40A3-42C9-A08C-BE75EA55263D}"/>
    <hyperlink ref="MAD94" r:id="rId553" xr:uid="{77083506-B32D-4514-ABEC-37555028B6D8}"/>
    <hyperlink ref="MAT94" r:id="rId554" xr:uid="{D0ECE56E-289A-4BD7-A737-B50C8ED30A37}"/>
    <hyperlink ref="MBJ94" r:id="rId555" xr:uid="{E3C44497-C47F-47C0-83BF-06C2F85906B0}"/>
    <hyperlink ref="MBZ94" r:id="rId556" xr:uid="{C721DE23-EED8-4883-827F-C525D279F86F}"/>
    <hyperlink ref="MCP94" r:id="rId557" xr:uid="{1E9E8FB2-2637-4280-AF4B-6C887AD5A59B}"/>
    <hyperlink ref="MDF94" r:id="rId558" xr:uid="{A26C02D0-1187-4C1B-875E-A9E11F25653F}"/>
    <hyperlink ref="MDV94" r:id="rId559" xr:uid="{D11E9F72-8734-43DC-B01F-E109C832BE82}"/>
    <hyperlink ref="MEL94" r:id="rId560" xr:uid="{71F09E38-CC09-4A38-BE60-C0B62EBB1EB0}"/>
    <hyperlink ref="MFB94" r:id="rId561" xr:uid="{267A345A-5BB4-48EB-963A-686BFF2037E1}"/>
    <hyperlink ref="MFR94" r:id="rId562" xr:uid="{AD3A4595-E916-4814-886D-2ED922B26D28}"/>
    <hyperlink ref="MGH94" r:id="rId563" xr:uid="{C58A36C7-4BF2-4E10-A61F-D7B021ED2423}"/>
    <hyperlink ref="MGX94" r:id="rId564" xr:uid="{0F98B58E-9AA7-44A4-BFF0-BC4E952A5AD7}"/>
    <hyperlink ref="MHN94" r:id="rId565" xr:uid="{7E2260CC-934C-4EE9-8D19-07156E2E4C3C}"/>
    <hyperlink ref="MID94" r:id="rId566" xr:uid="{4A2E79CB-E633-4261-8AF0-6F99EF27C197}"/>
    <hyperlink ref="MIT94" r:id="rId567" xr:uid="{D5BCB40D-8230-4B96-8781-826CB3F22573}"/>
    <hyperlink ref="MJJ94" r:id="rId568" xr:uid="{A84E3364-72B6-4983-9DB8-646E5F1D0C96}"/>
    <hyperlink ref="MJZ94" r:id="rId569" xr:uid="{DE5C3EC4-B057-4EE8-84D3-A8AF6A83B856}"/>
    <hyperlink ref="MKP94" r:id="rId570" xr:uid="{D1600D03-5BAB-4D3D-A667-586DB7700BFA}"/>
    <hyperlink ref="MLF94" r:id="rId571" xr:uid="{CABA9D3D-EFFA-4DB5-B062-A5BB9D7413A2}"/>
    <hyperlink ref="MLV94" r:id="rId572" xr:uid="{2B2F66E7-1376-4B99-8674-C1FCE70F7815}"/>
    <hyperlink ref="MML94" r:id="rId573" xr:uid="{323AC95A-53BF-4821-B8D8-FECD3889CC87}"/>
    <hyperlink ref="MNB94" r:id="rId574" xr:uid="{2DFA3E7B-84DF-4A2A-A7C2-D9C233C222AE}"/>
    <hyperlink ref="MNR94" r:id="rId575" xr:uid="{F136CF3E-D038-4222-870E-E4A8EF11F1F2}"/>
    <hyperlink ref="MOH94" r:id="rId576" xr:uid="{A8DAC2B0-363A-4642-A1A8-EC9EE7CEE5AF}"/>
    <hyperlink ref="MOX94" r:id="rId577" xr:uid="{3C5DF1EF-5196-4CFD-A8C4-5F34A1FD5FF1}"/>
    <hyperlink ref="MPN94" r:id="rId578" xr:uid="{809C431B-429E-43C0-9A55-55FC99724CEA}"/>
    <hyperlink ref="MQD94" r:id="rId579" xr:uid="{770695E4-7275-455B-920D-1B9ED22660BD}"/>
    <hyperlink ref="MQT94" r:id="rId580" xr:uid="{1C31D52B-BA98-4F5C-BDE5-E1B0830D6D48}"/>
    <hyperlink ref="MRJ94" r:id="rId581" xr:uid="{0D51FB93-0574-4389-838A-24145A08AF8D}"/>
    <hyperlink ref="MRZ94" r:id="rId582" xr:uid="{495C5C13-84E8-43C5-8E4B-C49A053EF618}"/>
    <hyperlink ref="MSP94" r:id="rId583" xr:uid="{D6B57324-442D-4FCD-96E4-B56691CE4B25}"/>
    <hyperlink ref="MTF94" r:id="rId584" xr:uid="{16C17A75-EA41-4993-8DC4-A4A989DF5249}"/>
    <hyperlink ref="MTV94" r:id="rId585" xr:uid="{E8062F9E-F4D9-451A-A8AE-CB8A73169493}"/>
    <hyperlink ref="MUL94" r:id="rId586" xr:uid="{A4AC73CF-704A-41C0-B254-F298C4C54600}"/>
    <hyperlink ref="MVB94" r:id="rId587" xr:uid="{D0FB6A43-79F0-4746-9160-1479F496F353}"/>
    <hyperlink ref="MVR94" r:id="rId588" xr:uid="{A1697BFC-D376-4AF4-8314-A67292E79229}"/>
    <hyperlink ref="MWH94" r:id="rId589" xr:uid="{F49B0DB8-9A5D-471E-9061-C1A6A3B3D089}"/>
    <hyperlink ref="MWX94" r:id="rId590" xr:uid="{6660D483-113B-4510-B1B9-28401853CC8A}"/>
    <hyperlink ref="MXN94" r:id="rId591" xr:uid="{74E3BBBF-8114-42E2-B01B-70661ED48D56}"/>
    <hyperlink ref="MYD94" r:id="rId592" xr:uid="{F43E0A12-36A5-4A42-ADC8-61B54913E432}"/>
    <hyperlink ref="MYT94" r:id="rId593" xr:uid="{2F77182A-133F-472F-BFAA-CC065D70FC3C}"/>
    <hyperlink ref="MZJ94" r:id="rId594" xr:uid="{EE67A8DB-2377-4C36-AD51-1B68B495A67A}"/>
    <hyperlink ref="MZZ94" r:id="rId595" xr:uid="{7ACD0E3E-6402-45BC-B139-0031E48427C7}"/>
    <hyperlink ref="NAP94" r:id="rId596" xr:uid="{A5480FBB-2A75-4EA8-A0D8-1B8DA20AA63A}"/>
    <hyperlink ref="NBF94" r:id="rId597" xr:uid="{05493809-DD3D-43E7-A3DA-ECEB46E76389}"/>
    <hyperlink ref="NBV94" r:id="rId598" xr:uid="{2B574F06-DE31-4819-BEF0-6771DCCB7A77}"/>
    <hyperlink ref="NCL94" r:id="rId599" xr:uid="{E6806576-E3E9-4293-A014-E54A5831712F}"/>
    <hyperlink ref="NDB94" r:id="rId600" xr:uid="{96AF63DF-47F4-4EF2-911C-085E469E812F}"/>
    <hyperlink ref="NDR94" r:id="rId601" xr:uid="{98218226-24EA-4D33-8A5C-2322091199D7}"/>
    <hyperlink ref="NEH94" r:id="rId602" xr:uid="{A032BF16-CA2B-49FA-AE8D-61B587D2FBB3}"/>
    <hyperlink ref="NEX94" r:id="rId603" xr:uid="{B6CFB560-D961-4A74-AAF9-6569B7D08778}"/>
    <hyperlink ref="NFN94" r:id="rId604" xr:uid="{B0962C22-C0EF-491B-B831-A8BA69D20328}"/>
    <hyperlink ref="NGD94" r:id="rId605" xr:uid="{0DF65857-3566-4C0C-9473-29D3825C9974}"/>
    <hyperlink ref="NGT94" r:id="rId606" xr:uid="{C9012360-F678-4BFE-9644-4D885CD609C0}"/>
    <hyperlink ref="NHJ94" r:id="rId607" xr:uid="{E7600FC6-A7D6-469B-9715-43AEEAA053BA}"/>
    <hyperlink ref="NHZ94" r:id="rId608" xr:uid="{B2FDE9E4-3A4A-497F-A8E6-C0C193A292BE}"/>
    <hyperlink ref="NIP94" r:id="rId609" xr:uid="{605ADEF1-C7C9-462C-9B1F-BAEA7204DAB1}"/>
    <hyperlink ref="NJF94" r:id="rId610" xr:uid="{790A5570-1071-4D98-AD56-8D939899569C}"/>
    <hyperlink ref="NJV94" r:id="rId611" xr:uid="{8B3285FB-A48D-457B-A745-F237F6A4E94A}"/>
    <hyperlink ref="NKL94" r:id="rId612" xr:uid="{AFCA717E-4619-4029-B70D-E9BF35604513}"/>
    <hyperlink ref="NLB94" r:id="rId613" xr:uid="{AED601E3-ACD1-4C3E-85D6-31B1A428AAF5}"/>
    <hyperlink ref="NLR94" r:id="rId614" xr:uid="{54394929-496F-4D63-8A2C-F478AD89BC0C}"/>
    <hyperlink ref="NMH94" r:id="rId615" xr:uid="{20791581-3D12-4053-88FB-9624C26F39C7}"/>
    <hyperlink ref="NMX94" r:id="rId616" xr:uid="{B2C54E7D-612D-4917-A30B-028AF916A8EE}"/>
    <hyperlink ref="NNN94" r:id="rId617" xr:uid="{319FEF85-BB7E-4A55-BB56-FA824D265342}"/>
    <hyperlink ref="NOD94" r:id="rId618" xr:uid="{AE9D57D5-9102-4E2C-8A6D-E11AF1411970}"/>
    <hyperlink ref="NOT94" r:id="rId619" xr:uid="{6528C515-3531-4C86-AC98-6753FEDA30B1}"/>
    <hyperlink ref="NPJ94" r:id="rId620" xr:uid="{3196972B-7AA4-41F6-ABF5-75BCD85D52A3}"/>
    <hyperlink ref="NPZ94" r:id="rId621" xr:uid="{95F291EC-30D7-42F0-A5D9-A26727BF376C}"/>
    <hyperlink ref="NQP94" r:id="rId622" xr:uid="{B03CF1A8-235D-49C9-9F7F-6777521E7D85}"/>
    <hyperlink ref="NRF94" r:id="rId623" xr:uid="{F3F2F848-FFCC-4EDD-9424-D3A1EC56221B}"/>
    <hyperlink ref="NRV94" r:id="rId624" xr:uid="{503DE315-4E00-48FC-8EE7-A2B5F0041F4F}"/>
    <hyperlink ref="NSL94" r:id="rId625" xr:uid="{5864ED54-CF61-4778-9FF5-0BAE20CBA6BA}"/>
    <hyperlink ref="NTB94" r:id="rId626" xr:uid="{B03958C5-8273-483D-928A-4D41B13A0B40}"/>
    <hyperlink ref="NTR94" r:id="rId627" xr:uid="{526A46BE-3D57-40C8-840D-38D0BFE47B8C}"/>
    <hyperlink ref="NUH94" r:id="rId628" xr:uid="{463AD396-7D45-4D8A-B6CF-E1AFA452DD7A}"/>
    <hyperlink ref="NUX94" r:id="rId629" xr:uid="{6E53D36C-BB09-4968-AF7E-9F25A961111D}"/>
    <hyperlink ref="NVN94" r:id="rId630" xr:uid="{BB04F63F-5302-4671-BB7F-ED56B3F7D29D}"/>
    <hyperlink ref="NWD94" r:id="rId631" xr:uid="{BB184F36-CE5A-4C58-A985-CEFDF110C132}"/>
    <hyperlink ref="NWT94" r:id="rId632" xr:uid="{B4B03D2A-0990-4AD9-BCEB-F48865FEE745}"/>
    <hyperlink ref="NXJ94" r:id="rId633" xr:uid="{61C59F45-26BE-45BE-A012-01F87137458B}"/>
    <hyperlink ref="NXZ94" r:id="rId634" xr:uid="{C9BE280C-E8F2-4E4D-9DFE-8A7CFCDB6C20}"/>
    <hyperlink ref="NYP94" r:id="rId635" xr:uid="{755514E7-A91A-4C11-86E9-BA51D24DEFBE}"/>
    <hyperlink ref="NZF94" r:id="rId636" xr:uid="{65353537-86A3-4618-B652-DAFFB51A22B8}"/>
    <hyperlink ref="NZV94" r:id="rId637" xr:uid="{14B0EF69-1369-4DD3-8EE7-639E070DD041}"/>
    <hyperlink ref="OAL94" r:id="rId638" xr:uid="{275A5276-1B0A-4125-BD6B-B65A33E85367}"/>
    <hyperlink ref="OBB94" r:id="rId639" xr:uid="{F3B76DBD-BEC1-486C-9194-9708DE1E7246}"/>
    <hyperlink ref="OBR94" r:id="rId640" xr:uid="{83731C10-83FB-4FB7-8FC0-2E163139147A}"/>
    <hyperlink ref="OCH94" r:id="rId641" xr:uid="{36ADDA7B-4441-4AA1-A2E4-5BE8E5FD1575}"/>
    <hyperlink ref="OCX94" r:id="rId642" xr:uid="{50CEE79D-2627-41CE-AB95-B6EA870862AF}"/>
    <hyperlink ref="ODN94" r:id="rId643" xr:uid="{19F37E6F-3696-41F4-BD9C-0ECC45A57A9A}"/>
    <hyperlink ref="OED94" r:id="rId644" xr:uid="{D064996D-91E6-4ABD-8799-F8B82B341470}"/>
    <hyperlink ref="OET94" r:id="rId645" xr:uid="{3279FAF5-10D0-4055-A057-5C10CBB684AA}"/>
    <hyperlink ref="OFJ94" r:id="rId646" xr:uid="{D1BDCFDF-B95B-48AB-8AB4-B9E0B33BFB1A}"/>
    <hyperlink ref="OFZ94" r:id="rId647" xr:uid="{5D51EACE-F043-4EF0-99F7-DFED4B1FD1FB}"/>
    <hyperlink ref="OGP94" r:id="rId648" xr:uid="{C298A053-72C9-4C50-98EC-2E580AC99D96}"/>
    <hyperlink ref="OHF94" r:id="rId649" xr:uid="{FC617745-96E4-4EAC-B97A-ABA5FE004438}"/>
    <hyperlink ref="OHV94" r:id="rId650" xr:uid="{E81F4D0D-0AD4-45DC-A4A3-0BC314C7F295}"/>
    <hyperlink ref="OIL94" r:id="rId651" xr:uid="{87C235AD-2807-437D-969A-C450E27351B3}"/>
    <hyperlink ref="OJB94" r:id="rId652" xr:uid="{EFE3F7B3-32FC-4024-AE61-AFFB7774A495}"/>
    <hyperlink ref="OJR94" r:id="rId653" xr:uid="{9548AFCE-F20A-481C-B02B-9BF91A415B5E}"/>
    <hyperlink ref="OKH94" r:id="rId654" xr:uid="{E73BBE18-F951-477B-8AA2-21BEF4168116}"/>
    <hyperlink ref="OKX94" r:id="rId655" xr:uid="{CBCB6F20-D694-4009-811B-9C5145306255}"/>
    <hyperlink ref="OLN94" r:id="rId656" xr:uid="{A6DB5306-8B1B-4616-8189-F76F73B99CF5}"/>
    <hyperlink ref="OMD94" r:id="rId657" xr:uid="{F4FAF673-375A-4B87-81FD-8A525080278D}"/>
    <hyperlink ref="OMT94" r:id="rId658" xr:uid="{34320EED-20B8-436B-9371-9AE940079CD2}"/>
    <hyperlink ref="ONJ94" r:id="rId659" xr:uid="{EE02F59D-5AB4-4BD0-A85F-E564A458C8C6}"/>
    <hyperlink ref="ONZ94" r:id="rId660" xr:uid="{3F41BD2B-BBF1-4572-825D-C53B31ADF71C}"/>
    <hyperlink ref="OOP94" r:id="rId661" xr:uid="{83294BED-B80E-4DF8-A2F0-2BBB681F7DFE}"/>
    <hyperlink ref="OPF94" r:id="rId662" xr:uid="{2C459941-320C-4BEC-AC0D-F551C6436E9D}"/>
    <hyperlink ref="OPV94" r:id="rId663" xr:uid="{A79E8B1D-81C1-48D7-893B-C9444EF9AF6B}"/>
    <hyperlink ref="OQL94" r:id="rId664" xr:uid="{388CEC45-E28F-4286-B694-89198F1EAB11}"/>
    <hyperlink ref="ORB94" r:id="rId665" xr:uid="{8F93B906-B0A5-4C26-941C-7AAB5801556C}"/>
    <hyperlink ref="ORR94" r:id="rId666" xr:uid="{1E6D3B25-0CF6-4BF5-8AB8-70B733B4C702}"/>
    <hyperlink ref="OSH94" r:id="rId667" xr:uid="{D1C69A42-E584-4312-9B10-CA0766B62C87}"/>
    <hyperlink ref="OSX94" r:id="rId668" xr:uid="{0E172561-273F-4BB7-A0AC-9291A6A3425B}"/>
    <hyperlink ref="OTN94" r:id="rId669" xr:uid="{6D8B8511-90F1-43F0-A0FE-0BB39688B10E}"/>
    <hyperlink ref="OUD94" r:id="rId670" xr:uid="{DE1B3DAB-A2FA-4E46-A64D-ED77BAA5BB00}"/>
    <hyperlink ref="OUT94" r:id="rId671" xr:uid="{81594F7A-FB9B-4948-8E6F-2DC4E8325D0D}"/>
    <hyperlink ref="OVJ94" r:id="rId672" xr:uid="{4A8B3EB8-A864-4D17-BB75-00E7F91CF72B}"/>
    <hyperlink ref="OVZ94" r:id="rId673" xr:uid="{3B9B6515-DCB3-449E-ACEF-C8737299BD50}"/>
    <hyperlink ref="OWP94" r:id="rId674" xr:uid="{13B9D2FE-FC9F-4523-BE35-8577DC7CA7CB}"/>
    <hyperlink ref="OXF94" r:id="rId675" xr:uid="{80DF8127-3396-47C8-B7E9-9E2F69E6782A}"/>
    <hyperlink ref="OXV94" r:id="rId676" xr:uid="{D3E52853-9CEC-4034-9E95-ECAEBB8FAEF2}"/>
    <hyperlink ref="OYL94" r:id="rId677" xr:uid="{817B6E18-79E2-48D6-819D-7E53CAB81CDF}"/>
    <hyperlink ref="OZB94" r:id="rId678" xr:uid="{06A8F7CA-2C3A-48EB-840C-96C57D005FE5}"/>
    <hyperlink ref="OZR94" r:id="rId679" xr:uid="{6B617805-1A4B-4FF2-821B-BEC8C635F2AC}"/>
    <hyperlink ref="PAH94" r:id="rId680" xr:uid="{ACFC5E96-1AF6-45F0-BE16-A24AED76F201}"/>
    <hyperlink ref="PAX94" r:id="rId681" xr:uid="{F2E0808C-86AF-45E7-A677-993728214AC4}"/>
    <hyperlink ref="PBN94" r:id="rId682" xr:uid="{4DEC9C26-7CEB-4B88-B16C-6F8008021893}"/>
    <hyperlink ref="PCD94" r:id="rId683" xr:uid="{E9F0CF42-C62E-489F-AD78-58B3F0515EE8}"/>
    <hyperlink ref="PCT94" r:id="rId684" xr:uid="{63D9505D-599C-4FBE-AF06-CB04B7787516}"/>
    <hyperlink ref="PDJ94" r:id="rId685" xr:uid="{CA698EA4-F272-4E77-B864-43FFE13E1E92}"/>
    <hyperlink ref="PDZ94" r:id="rId686" xr:uid="{00021651-1151-4376-BBB5-36E970CA3A80}"/>
    <hyperlink ref="PEP94" r:id="rId687" xr:uid="{CB08890A-52C8-452E-B60A-834C41A061F9}"/>
    <hyperlink ref="PFF94" r:id="rId688" xr:uid="{C135B71C-9BF6-4A8D-8BFF-3BA7BD022AFB}"/>
    <hyperlink ref="PFV94" r:id="rId689" xr:uid="{3A428CDF-AB65-44DE-9BB4-066B43B930A7}"/>
    <hyperlink ref="PGL94" r:id="rId690" xr:uid="{57199EBF-0D54-4B60-BB9E-DBB836D5D899}"/>
    <hyperlink ref="PHB94" r:id="rId691" xr:uid="{ADFF37FE-C30A-48CC-800A-00E5BCDEC314}"/>
    <hyperlink ref="PHR94" r:id="rId692" xr:uid="{EC4B6AEE-062E-4CA0-B649-89B7796EE589}"/>
    <hyperlink ref="PIH94" r:id="rId693" xr:uid="{8530191A-9B2C-4C0F-904F-81B327092E32}"/>
    <hyperlink ref="PIX94" r:id="rId694" xr:uid="{AE52DD9E-F01B-4D51-A4B0-8EB83735DB32}"/>
    <hyperlink ref="PJN94" r:id="rId695" xr:uid="{C3A695C4-2CC3-4A4C-9634-5FA96A7A31EE}"/>
    <hyperlink ref="PKD94" r:id="rId696" xr:uid="{987B639D-8065-4034-BB87-C30A7A7DAE9C}"/>
    <hyperlink ref="PKT94" r:id="rId697" xr:uid="{9DC27FFB-9241-4162-A1F6-31F2122097FE}"/>
    <hyperlink ref="PLJ94" r:id="rId698" xr:uid="{0D031644-BBB1-49D5-B240-0BAE7DEB22B7}"/>
    <hyperlink ref="PLZ94" r:id="rId699" xr:uid="{7353D489-F41A-4D13-B9BF-F05021F0482D}"/>
    <hyperlink ref="PMP94" r:id="rId700" xr:uid="{4C544840-5186-4323-B4AE-E8C7D22CA0BB}"/>
    <hyperlink ref="PNF94" r:id="rId701" xr:uid="{A0CF3B77-6457-455A-9FCB-88AFEE35FF55}"/>
    <hyperlink ref="PNV94" r:id="rId702" xr:uid="{6D9C0941-1CD8-42B7-8CDF-60BE276BFA36}"/>
    <hyperlink ref="POL94" r:id="rId703" xr:uid="{0CFE2CB1-7AA4-48A8-AFE0-1C988649064E}"/>
    <hyperlink ref="PPB94" r:id="rId704" xr:uid="{513E5820-2256-4817-BC94-E6C80B2A415F}"/>
    <hyperlink ref="PPR94" r:id="rId705" xr:uid="{11D8B29E-7B2C-4D05-9687-9E0DD9D5F1B1}"/>
    <hyperlink ref="PQH94" r:id="rId706" xr:uid="{2C7B645B-7830-488F-AC27-92EBDB2D49C7}"/>
    <hyperlink ref="PQX94" r:id="rId707" xr:uid="{01F7ACCD-4A58-4DF7-93F4-8A84F9B3531C}"/>
    <hyperlink ref="PRN94" r:id="rId708" xr:uid="{A87AD30A-DA7B-40E8-B1B2-B269E4ED8E6C}"/>
    <hyperlink ref="PSD94" r:id="rId709" xr:uid="{0B454CCB-6791-452C-86F5-0EA5EF4E40A1}"/>
    <hyperlink ref="PST94" r:id="rId710" xr:uid="{681D6309-7AD8-4CA3-ADB3-96A89F51E65F}"/>
    <hyperlink ref="PTJ94" r:id="rId711" xr:uid="{B092CBBC-532F-4BF8-B413-2AF7324C449D}"/>
    <hyperlink ref="PTZ94" r:id="rId712" xr:uid="{FD893091-3AE0-4579-9573-7E326E09118B}"/>
    <hyperlink ref="PUP94" r:id="rId713" xr:uid="{91CD5BDA-1ABF-467C-A9A6-1AD1DF00DEF8}"/>
    <hyperlink ref="PVF94" r:id="rId714" xr:uid="{F62C2F75-92AB-4E7F-AC71-DBB2DE23F1EE}"/>
    <hyperlink ref="PVV94" r:id="rId715" xr:uid="{DF3D7F83-4B15-4D51-A34F-4DA24C95207D}"/>
    <hyperlink ref="PWL94" r:id="rId716" xr:uid="{BB65514C-1233-4638-89B6-4F5A8EBCC0C9}"/>
    <hyperlink ref="PXB94" r:id="rId717" xr:uid="{D7956370-D502-4F58-BF7E-610579B96856}"/>
    <hyperlink ref="PXR94" r:id="rId718" xr:uid="{504D884A-7F18-4347-9E17-4872BB6DDAB5}"/>
    <hyperlink ref="PYH94" r:id="rId719" xr:uid="{B0AFA334-165F-4E16-945A-54F7342F8DE0}"/>
    <hyperlink ref="PYX94" r:id="rId720" xr:uid="{E2967F28-C645-4579-8774-8A6994E94CF6}"/>
    <hyperlink ref="PZN94" r:id="rId721" xr:uid="{93240139-6B1A-4825-B272-F2A53DAAC9CD}"/>
    <hyperlink ref="QAD94" r:id="rId722" xr:uid="{E0110083-779B-4F3F-8A37-0AAB7E3C0761}"/>
    <hyperlink ref="QAT94" r:id="rId723" xr:uid="{4CFD7F78-C13E-4D6A-AF6C-F22ABD06D654}"/>
    <hyperlink ref="QBJ94" r:id="rId724" xr:uid="{F55CC2FE-469E-4456-93F9-BFB1584AF43C}"/>
    <hyperlink ref="QBZ94" r:id="rId725" xr:uid="{CF5A2816-FFB7-4FD4-915B-3D038D2994EA}"/>
    <hyperlink ref="QCP94" r:id="rId726" xr:uid="{6C82A315-CD81-4E28-9732-A6917682C1E4}"/>
    <hyperlink ref="QDF94" r:id="rId727" xr:uid="{FFB3DBF8-7728-41CE-911E-362F0AB1CA78}"/>
    <hyperlink ref="QDV94" r:id="rId728" xr:uid="{E618C0EB-6549-4A05-82B4-6DA4B5E921ED}"/>
    <hyperlink ref="QEL94" r:id="rId729" xr:uid="{B4A2E984-2322-44F2-AE90-1B6914AD932E}"/>
    <hyperlink ref="QFB94" r:id="rId730" xr:uid="{BEFBA437-6D14-4D62-BA6F-A9AB1A6DB8E8}"/>
    <hyperlink ref="QFR94" r:id="rId731" xr:uid="{7FC7E0EC-DDC3-4FCA-AA83-7B1BFCCCCF4F}"/>
    <hyperlink ref="QGH94" r:id="rId732" xr:uid="{1716142C-6B0E-4026-880C-177168F776CC}"/>
    <hyperlink ref="QGX94" r:id="rId733" xr:uid="{8BA480D1-460A-4ED5-A6A0-93FDB02A1BB1}"/>
    <hyperlink ref="QHN94" r:id="rId734" xr:uid="{DAEF00C1-A4A2-449B-8CA4-D684296F7BDE}"/>
    <hyperlink ref="QID94" r:id="rId735" xr:uid="{88842DC0-23ED-4240-8445-229AAB7F6D83}"/>
    <hyperlink ref="QIT94" r:id="rId736" xr:uid="{C2851DC8-A51B-4CB2-9EDE-D8CB1E0B26C9}"/>
    <hyperlink ref="QJJ94" r:id="rId737" xr:uid="{15A37C78-8779-476A-AB10-8B6469563A5A}"/>
    <hyperlink ref="QJZ94" r:id="rId738" xr:uid="{4BA06184-0819-44BF-BE21-A496210251BE}"/>
    <hyperlink ref="QKP94" r:id="rId739" xr:uid="{17C1DBD6-F5FA-44ED-A190-188E619AE6E4}"/>
    <hyperlink ref="QLF94" r:id="rId740" xr:uid="{0507A10C-2201-41D9-833D-897D9CEA901A}"/>
    <hyperlink ref="QLV94" r:id="rId741" xr:uid="{EC4D2488-5810-428C-8A16-1DE9A0367A57}"/>
    <hyperlink ref="QML94" r:id="rId742" xr:uid="{9F0545AA-A9B0-4C8E-B467-E963836E324B}"/>
    <hyperlink ref="QNB94" r:id="rId743" xr:uid="{75C90ABD-B3F7-49EC-8D2B-CAA7C8BC6B6A}"/>
    <hyperlink ref="QNR94" r:id="rId744" xr:uid="{93D59991-C679-4616-BB9B-666818B34923}"/>
    <hyperlink ref="QOH94" r:id="rId745" xr:uid="{48A91585-051E-4ACD-B8E0-E5051F528DCA}"/>
    <hyperlink ref="QOX94" r:id="rId746" xr:uid="{30451FD0-9079-401B-8931-2C5B2B11A380}"/>
    <hyperlink ref="QPN94" r:id="rId747" xr:uid="{FF6EF9DD-11C6-4913-9DF5-4560F304610A}"/>
    <hyperlink ref="QQD94" r:id="rId748" xr:uid="{3AF1F5F3-3E4C-413B-972E-41DF3016AB2E}"/>
    <hyperlink ref="QQT94" r:id="rId749" xr:uid="{1129DA05-5117-4A58-BAEA-158CA84AEDCF}"/>
    <hyperlink ref="QRJ94" r:id="rId750" xr:uid="{D8356B51-1745-4800-9974-4596210D148E}"/>
    <hyperlink ref="QRZ94" r:id="rId751" xr:uid="{C4961F49-EA25-4A85-94A1-3F6D2367AE13}"/>
    <hyperlink ref="QSP94" r:id="rId752" xr:uid="{E7882CEB-2B3B-41A0-89DA-BD877FE276A2}"/>
    <hyperlink ref="QTF94" r:id="rId753" xr:uid="{A9263E54-E650-4708-99D6-FC1855174E27}"/>
    <hyperlink ref="QTV94" r:id="rId754" xr:uid="{4B26B085-7B1E-4AB9-8475-230D2372A97A}"/>
    <hyperlink ref="QUL94" r:id="rId755" xr:uid="{2A792967-E875-4904-B9D3-DD0B32F3248F}"/>
    <hyperlink ref="QVB94" r:id="rId756" xr:uid="{9B665C66-1340-4B74-9EBB-CF7F4324F830}"/>
    <hyperlink ref="QVR94" r:id="rId757" xr:uid="{87A62AA2-79B8-4514-AE6E-F980D1F2B7BE}"/>
    <hyperlink ref="QWH94" r:id="rId758" xr:uid="{96F9EB9B-BE7B-42F4-B5A9-146572DBBB9C}"/>
    <hyperlink ref="QWX94" r:id="rId759" xr:uid="{BA4F3C12-5A11-49DD-9931-8EBCD605CE7C}"/>
    <hyperlink ref="QXN94" r:id="rId760" xr:uid="{C82B86B7-3AF0-4C42-A721-8C3920596301}"/>
    <hyperlink ref="QYD94" r:id="rId761" xr:uid="{F75181E3-82E0-43D2-9C92-95402448633C}"/>
    <hyperlink ref="QYT94" r:id="rId762" xr:uid="{88E40548-5A81-4E65-A900-53E53F6845E6}"/>
    <hyperlink ref="QZJ94" r:id="rId763" xr:uid="{C30B02C1-9D7C-413B-8F6F-4AB0BB752597}"/>
    <hyperlink ref="QZZ94" r:id="rId764" xr:uid="{F0C51150-CA97-4E09-9E69-75004ED05C4B}"/>
    <hyperlink ref="RAP94" r:id="rId765" xr:uid="{ADB440BE-A52A-41C2-9B06-80526F702187}"/>
    <hyperlink ref="RBF94" r:id="rId766" xr:uid="{6319F5D1-BD64-4CB0-98BF-070FA6B29AD8}"/>
    <hyperlink ref="RBV94" r:id="rId767" xr:uid="{D69ECF93-EC85-4049-86EF-90E0859646A9}"/>
    <hyperlink ref="RCL94" r:id="rId768" xr:uid="{6AFBA968-8EE4-4A23-848D-2210AB4B21F5}"/>
    <hyperlink ref="RDB94" r:id="rId769" xr:uid="{E899337C-C76A-4B8D-A4CA-3C9B17F48866}"/>
    <hyperlink ref="RDR94" r:id="rId770" xr:uid="{018A6933-18B3-4709-9B91-3C53FC832B55}"/>
    <hyperlink ref="REH94" r:id="rId771" xr:uid="{94834996-0EFA-463C-909E-3813CB8CCE24}"/>
    <hyperlink ref="REX94" r:id="rId772" xr:uid="{05BDF0A7-9B46-4102-8793-9C74075D1D69}"/>
    <hyperlink ref="RFN94" r:id="rId773" xr:uid="{DAA9AA89-903E-4691-BF62-596A306C98BE}"/>
    <hyperlink ref="RGD94" r:id="rId774" xr:uid="{5A257FA3-DD10-4ECB-B88C-6B7626D6D685}"/>
    <hyperlink ref="RGT94" r:id="rId775" xr:uid="{9747496C-0F19-4752-B5D0-2F8479F40917}"/>
    <hyperlink ref="RHJ94" r:id="rId776" xr:uid="{8B0D5C3D-0395-468A-8771-94F4FD8723B5}"/>
    <hyperlink ref="RHZ94" r:id="rId777" xr:uid="{6ECEC6AD-222B-494F-B189-F872F6F239CA}"/>
    <hyperlink ref="RIP94" r:id="rId778" xr:uid="{CF38C2B6-4F53-4429-A66F-B6C9949B473E}"/>
    <hyperlink ref="RJF94" r:id="rId779" xr:uid="{3332AF77-1CBA-4460-A0B9-A5113D3E830E}"/>
    <hyperlink ref="RJV94" r:id="rId780" xr:uid="{D8CEA8C4-6C76-476E-9D98-4A90FBB51B33}"/>
    <hyperlink ref="RKL94" r:id="rId781" xr:uid="{594ED2D5-2B79-4E67-85AA-373B7CEF968E}"/>
    <hyperlink ref="RLB94" r:id="rId782" xr:uid="{1C78FAFE-0E25-407F-B6D6-8BEC6EAA8D00}"/>
    <hyperlink ref="RLR94" r:id="rId783" xr:uid="{60ECEB52-FE77-4C5F-8539-27A2760FAE7D}"/>
    <hyperlink ref="RMH94" r:id="rId784" xr:uid="{73CACA55-6C42-4176-8725-38D5E4348AAA}"/>
    <hyperlink ref="RMX94" r:id="rId785" xr:uid="{CFE6C917-E3F4-4D41-B620-BFBEA6C4A743}"/>
    <hyperlink ref="RNN94" r:id="rId786" xr:uid="{1ED3618C-7FFE-4EDD-9B0A-0561C05C3661}"/>
    <hyperlink ref="ROD94" r:id="rId787" xr:uid="{F9A51FA2-A742-42CB-9458-4EAA9F58CCFB}"/>
    <hyperlink ref="ROT94" r:id="rId788" xr:uid="{9DADFFCE-E161-45FF-8A1D-BA0DAD23D3ED}"/>
    <hyperlink ref="RPJ94" r:id="rId789" xr:uid="{534CCE4D-68D5-439A-9C04-EA2FE044AE69}"/>
    <hyperlink ref="RPZ94" r:id="rId790" xr:uid="{BC183FA2-95C9-4A18-9F8C-1A209D9F056B}"/>
    <hyperlink ref="RQP94" r:id="rId791" xr:uid="{D6BEB95B-80AD-4599-8647-C4746B987809}"/>
    <hyperlink ref="RRF94" r:id="rId792" xr:uid="{8A36B942-1FF0-455B-8E18-77F7296C0ED8}"/>
    <hyperlink ref="RRV94" r:id="rId793" xr:uid="{AF149BB0-EADC-40B7-A28D-EADE74BE349C}"/>
    <hyperlink ref="RSL94" r:id="rId794" xr:uid="{6B23DC7B-3CE1-4444-9507-C390D9881505}"/>
    <hyperlink ref="RTB94" r:id="rId795" xr:uid="{C41E7F2E-95A5-414B-B7F0-2A62409FBFAB}"/>
    <hyperlink ref="RTR94" r:id="rId796" xr:uid="{CD956CF8-3433-40AD-9BE1-0A87A7E0AC3C}"/>
    <hyperlink ref="RUH94" r:id="rId797" xr:uid="{D41C12F1-9B33-4E13-A2D9-A83501D524FD}"/>
    <hyperlink ref="RUX94" r:id="rId798" xr:uid="{E8CAA050-B8E5-438D-A6DA-6268D5843E7A}"/>
    <hyperlink ref="RVN94" r:id="rId799" xr:uid="{66B5C645-ADEF-4237-BFE5-161A3C471EF2}"/>
    <hyperlink ref="RWD94" r:id="rId800" xr:uid="{80137D42-9EF4-4D00-B738-9DDEA9D1B003}"/>
    <hyperlink ref="RWT94" r:id="rId801" xr:uid="{749BF127-F41E-4AB8-97C2-AB0C14FC878A}"/>
    <hyperlink ref="RXJ94" r:id="rId802" xr:uid="{C1C1137E-8CB8-45B6-8A54-63713ED0FCDB}"/>
    <hyperlink ref="RXZ94" r:id="rId803" xr:uid="{43B11815-2FD4-4A5D-BC54-179FFEA6BDA9}"/>
    <hyperlink ref="RYP94" r:id="rId804" xr:uid="{04A4458B-5122-45EA-A69E-359848E41AB0}"/>
    <hyperlink ref="RZF94" r:id="rId805" xr:uid="{67B5A694-EB49-491C-8747-9984F20ADE64}"/>
    <hyperlink ref="RZV94" r:id="rId806" xr:uid="{FD1195A2-AE77-48FB-A7FB-B64B0BCDDA31}"/>
    <hyperlink ref="SAL94" r:id="rId807" xr:uid="{F5D9051E-A4E7-4DF6-B32D-50CA111D80D6}"/>
    <hyperlink ref="SBB94" r:id="rId808" xr:uid="{5AFFB203-B3A7-42E3-A16A-95978CF0B2AA}"/>
    <hyperlink ref="SBR94" r:id="rId809" xr:uid="{8CD86D72-D609-42DA-8E2C-4960D3638ADB}"/>
    <hyperlink ref="SCH94" r:id="rId810" xr:uid="{4CD72C14-2AC1-4CBE-9410-ABB483441C4E}"/>
    <hyperlink ref="SCX94" r:id="rId811" xr:uid="{9F09CEB1-B13F-446A-9AC2-F4F730AEE92B}"/>
    <hyperlink ref="SDN94" r:id="rId812" xr:uid="{91424488-B219-41BF-9855-26147024DF4D}"/>
    <hyperlink ref="SED94" r:id="rId813" xr:uid="{33C258ED-B66A-40AF-A7A7-37ADF60B8E04}"/>
    <hyperlink ref="SET94" r:id="rId814" xr:uid="{CDF77D3C-6BBE-4D44-96B5-0CC8C4D0D207}"/>
    <hyperlink ref="SFJ94" r:id="rId815" xr:uid="{C9EFD9B3-932A-4C3C-A53B-092B397B4EDE}"/>
    <hyperlink ref="SFZ94" r:id="rId816" xr:uid="{6E54F5A2-DFA6-41BB-9600-1E4660F3267C}"/>
    <hyperlink ref="SGP94" r:id="rId817" xr:uid="{EF7E3381-F236-4C7A-B04A-E440FF74C4E7}"/>
    <hyperlink ref="SHF94" r:id="rId818" xr:uid="{6DF73AD7-CFBD-49F7-AE7A-40ED35261051}"/>
    <hyperlink ref="SHV94" r:id="rId819" xr:uid="{7AF69300-551C-45BD-BA5F-A5843683C86F}"/>
    <hyperlink ref="SIL94" r:id="rId820" xr:uid="{182B1E44-AD05-4F2D-8F98-D211EB9AC3B3}"/>
    <hyperlink ref="SJB94" r:id="rId821" xr:uid="{F0D1AF02-3438-4542-BC52-822A88BA7B56}"/>
    <hyperlink ref="SJR94" r:id="rId822" xr:uid="{E0AE90EF-65D8-4677-947D-FB4501D73B22}"/>
    <hyperlink ref="SKH94" r:id="rId823" xr:uid="{4E09DD11-F521-433E-B906-D663D7BEF310}"/>
    <hyperlink ref="SKX94" r:id="rId824" xr:uid="{50AF6A01-D58C-402C-A23D-8B8429CB79D3}"/>
    <hyperlink ref="SLN94" r:id="rId825" xr:uid="{BD7980B8-8FFD-4517-A284-6560087EEEE8}"/>
    <hyperlink ref="SMD94" r:id="rId826" xr:uid="{A5901726-D349-41A9-98C9-11C24CF409DC}"/>
    <hyperlink ref="SMT94" r:id="rId827" xr:uid="{A379E897-48B2-43B5-A05A-FFCCA0FCA1C2}"/>
    <hyperlink ref="SNJ94" r:id="rId828" xr:uid="{57D99AFB-8E50-4E38-A546-BF5FDCE6284B}"/>
    <hyperlink ref="SNZ94" r:id="rId829" xr:uid="{FF322B9D-DFA8-42DB-A7E5-2FFE97FA4FC8}"/>
    <hyperlink ref="SOP94" r:id="rId830" xr:uid="{F0E9D4AA-90DB-44CE-A13D-93A2A9B65330}"/>
    <hyperlink ref="SPF94" r:id="rId831" xr:uid="{D3A8CFAA-AA2C-4557-89B8-CBB34C722BB6}"/>
    <hyperlink ref="SPV94" r:id="rId832" xr:uid="{63D6560F-C6A8-4169-8FCB-914F91A5C18A}"/>
    <hyperlink ref="SQL94" r:id="rId833" xr:uid="{588B2722-9291-4B53-9872-FAA264BD5E59}"/>
    <hyperlink ref="SRB94" r:id="rId834" xr:uid="{11412814-D1DE-4F2C-A18B-891EAF197564}"/>
    <hyperlink ref="SRR94" r:id="rId835" xr:uid="{8724443E-06B6-4D74-9E77-30673D60E161}"/>
    <hyperlink ref="SSH94" r:id="rId836" xr:uid="{8025864B-DC8D-4343-BE19-650DDB818D9E}"/>
    <hyperlink ref="SSX94" r:id="rId837" xr:uid="{5B7BAFD8-D592-4E55-98E7-15C7CF87A6BF}"/>
    <hyperlink ref="STN94" r:id="rId838" xr:uid="{1E1742B2-CBC7-487C-8EE8-EF2E36B1380D}"/>
    <hyperlink ref="SUD94" r:id="rId839" xr:uid="{A0D83FE6-1829-49B0-B40F-36943817496C}"/>
    <hyperlink ref="SUT94" r:id="rId840" xr:uid="{2BDE4E24-018B-45B9-A34E-7BA5D73119A7}"/>
    <hyperlink ref="SVJ94" r:id="rId841" xr:uid="{877B3F5C-649A-424E-B28F-37ADF4DF7FD1}"/>
    <hyperlink ref="SVZ94" r:id="rId842" xr:uid="{8B24FFF7-51C1-4CC1-9A41-00886585FCAB}"/>
    <hyperlink ref="SWP94" r:id="rId843" xr:uid="{DC715C94-A20D-4501-AC3C-8C8B541ABB6D}"/>
    <hyperlink ref="SXF94" r:id="rId844" xr:uid="{301EFE32-8F94-4445-B553-747D04F5CD0F}"/>
    <hyperlink ref="SXV94" r:id="rId845" xr:uid="{D9EBCB3F-AB84-4151-A7B6-DFF9C14818B8}"/>
    <hyperlink ref="SYL94" r:id="rId846" xr:uid="{3A28B0D3-4D0E-4D41-9CA1-0E4713781C7E}"/>
    <hyperlink ref="SZB94" r:id="rId847" xr:uid="{D0345B52-AE96-4628-857B-94DFF7B172BC}"/>
    <hyperlink ref="SZR94" r:id="rId848" xr:uid="{EA328E18-E898-4C13-849F-AC260E690FC1}"/>
    <hyperlink ref="TAH94" r:id="rId849" xr:uid="{95D6F9E2-15F4-49CC-9A1A-AE10CF899384}"/>
    <hyperlink ref="TAX94" r:id="rId850" xr:uid="{A63A6E50-6C12-46BA-9FC8-7B39DB0FEE7A}"/>
    <hyperlink ref="TBN94" r:id="rId851" xr:uid="{CFD8E7D6-7EC9-4FA0-BBCC-B75BCBB64745}"/>
    <hyperlink ref="TCD94" r:id="rId852" xr:uid="{91B55C49-78E9-42D1-B4F3-FBB36F8C55F8}"/>
    <hyperlink ref="TCT94" r:id="rId853" xr:uid="{600C5196-1571-4089-9BE9-B8D872AC7265}"/>
    <hyperlink ref="TDJ94" r:id="rId854" xr:uid="{04B05B82-3D6E-4D08-89AA-83E44006CFE5}"/>
    <hyperlink ref="TDZ94" r:id="rId855" xr:uid="{BD321E4C-1683-4C5C-BF56-FA64F9448FB8}"/>
    <hyperlink ref="TEP94" r:id="rId856" xr:uid="{B19604B1-3D87-4713-B9A5-987243DB7F49}"/>
    <hyperlink ref="TFF94" r:id="rId857" xr:uid="{92CAFA02-A8FF-43E0-A5CA-DCD11847AF11}"/>
    <hyperlink ref="TFV94" r:id="rId858" xr:uid="{4ABF8F46-F995-469C-A6A1-263DEC48AA70}"/>
    <hyperlink ref="TGL94" r:id="rId859" xr:uid="{61EB112C-A95D-4AB2-A4EC-C225383F4181}"/>
    <hyperlink ref="THB94" r:id="rId860" xr:uid="{E040AD7D-A1D9-4D1A-9F32-3BEDA8AC9C1E}"/>
    <hyperlink ref="THR94" r:id="rId861" xr:uid="{C1307382-C10D-404D-9A96-B949A1DCE166}"/>
    <hyperlink ref="TIH94" r:id="rId862" xr:uid="{3A825FA9-1036-45F8-9DC6-18ACAA515E8B}"/>
    <hyperlink ref="TIX94" r:id="rId863" xr:uid="{1DA1901B-A6EC-4461-9C9C-A6A0F188C7E3}"/>
    <hyperlink ref="TJN94" r:id="rId864" xr:uid="{DE4D9F2F-A47C-4E98-85E9-D087292A0ADE}"/>
    <hyperlink ref="TKD94" r:id="rId865" xr:uid="{65211CCF-3E21-4D21-9329-6F2D87FFB07C}"/>
    <hyperlink ref="TKT94" r:id="rId866" xr:uid="{774846AE-575A-4DE9-A085-6B50A4BBB939}"/>
    <hyperlink ref="TLJ94" r:id="rId867" xr:uid="{E0C79134-74C7-4E27-B7E5-5A98DE955EF7}"/>
    <hyperlink ref="TLZ94" r:id="rId868" xr:uid="{DF507046-47FE-414C-8DF0-747C55C60774}"/>
    <hyperlink ref="TMP94" r:id="rId869" xr:uid="{4BC43466-9398-4143-92F8-3939602D60DA}"/>
    <hyperlink ref="TNF94" r:id="rId870" xr:uid="{153133E4-B2D8-476C-B750-1B557E7CA37C}"/>
    <hyperlink ref="TNV94" r:id="rId871" xr:uid="{66C92F5E-ABEF-4DC8-8A98-04A05437B933}"/>
    <hyperlink ref="TOL94" r:id="rId872" xr:uid="{E4D2E22F-7544-4FB5-97DF-0A6A2A54818F}"/>
    <hyperlink ref="TPB94" r:id="rId873" xr:uid="{74545A59-32FB-474D-AC73-9CD6445410B6}"/>
    <hyperlink ref="TPR94" r:id="rId874" xr:uid="{ADF46974-13D8-4505-BA1C-F8C3BA2C566B}"/>
    <hyperlink ref="TQH94" r:id="rId875" xr:uid="{C79DDF40-5560-4260-8EA4-91D47CA38193}"/>
    <hyperlink ref="TQX94" r:id="rId876" xr:uid="{CC283D61-4994-4133-B235-52072A7DC7F6}"/>
    <hyperlink ref="TRN94" r:id="rId877" xr:uid="{F18542AD-176C-47F5-BD87-783118B946FC}"/>
    <hyperlink ref="TSD94" r:id="rId878" xr:uid="{BA89B9DB-6026-4F70-943E-DA4C1D92D9E5}"/>
    <hyperlink ref="TST94" r:id="rId879" xr:uid="{3C19FF29-E398-4A7D-B5FB-61B3885EF1DB}"/>
    <hyperlink ref="TTJ94" r:id="rId880" xr:uid="{CD477C5D-F49B-45C9-ADD9-BF0F35EBE03C}"/>
    <hyperlink ref="TTZ94" r:id="rId881" xr:uid="{6B521952-FDB1-4AFD-97E1-46217038671C}"/>
    <hyperlink ref="TUP94" r:id="rId882" xr:uid="{2AEF0CAF-9241-4B82-A750-CE9C7BAD1B47}"/>
    <hyperlink ref="TVF94" r:id="rId883" xr:uid="{5D27574D-C793-45C2-B00F-EB2650DC302C}"/>
    <hyperlink ref="TVV94" r:id="rId884" xr:uid="{9BC10B70-88E5-467D-9FA8-BDA13C5F31C1}"/>
    <hyperlink ref="TWL94" r:id="rId885" xr:uid="{F9EC55BE-3F0B-4E8F-B203-642DAF450211}"/>
    <hyperlink ref="TXB94" r:id="rId886" xr:uid="{68C75B0F-C57D-4D26-87AE-1E8B14CF5777}"/>
    <hyperlink ref="TXR94" r:id="rId887" xr:uid="{F0253983-DA68-4558-B187-F6D516A1ACCA}"/>
    <hyperlink ref="TYH94" r:id="rId888" xr:uid="{FB2973E6-DE5F-40F0-BF96-1999ECF92B16}"/>
    <hyperlink ref="TYX94" r:id="rId889" xr:uid="{48E8BF67-F7AB-49FB-84D5-E703126EE875}"/>
    <hyperlink ref="TZN94" r:id="rId890" xr:uid="{18E65A13-2F73-4FA6-B15C-D0B68FE17D24}"/>
    <hyperlink ref="UAD94" r:id="rId891" xr:uid="{C4A4E684-B28E-4989-86C9-031EBE1A00A6}"/>
    <hyperlink ref="UAT94" r:id="rId892" xr:uid="{E9C01F9F-E22C-4DF5-A15D-463335F5BA2E}"/>
    <hyperlink ref="UBJ94" r:id="rId893" xr:uid="{26963CE1-17F6-4969-8592-95B835489619}"/>
    <hyperlink ref="UBZ94" r:id="rId894" xr:uid="{44D95564-1FF2-4A48-B88A-039051FBA39A}"/>
    <hyperlink ref="UCP94" r:id="rId895" xr:uid="{A01148E9-C97C-40D0-A861-4EBFFA7AB4FB}"/>
    <hyperlink ref="UDF94" r:id="rId896" xr:uid="{F2E63ADC-E67F-4108-80CD-3FD0DEE1F507}"/>
    <hyperlink ref="UDV94" r:id="rId897" xr:uid="{A449F868-2922-4C7C-BD8E-66BE9B53CA64}"/>
    <hyperlink ref="UEL94" r:id="rId898" xr:uid="{E2D12692-8314-4E22-92E6-8E0D0F26B7BE}"/>
    <hyperlink ref="UFB94" r:id="rId899" xr:uid="{D83CFA81-CA45-4588-994C-0A76D4E3AF73}"/>
    <hyperlink ref="UFR94" r:id="rId900" xr:uid="{1A6D3C4A-D7D9-434A-B47A-46B5200FD3CB}"/>
    <hyperlink ref="UGH94" r:id="rId901" xr:uid="{C668E331-2420-4AA9-9F72-3DD880E8054E}"/>
    <hyperlink ref="UGX94" r:id="rId902" xr:uid="{4F5522ED-3B8B-4628-845E-F9B93367D1C7}"/>
    <hyperlink ref="UHN94" r:id="rId903" xr:uid="{7A4ADC54-BB48-49E7-9C01-BAC7CD109A48}"/>
    <hyperlink ref="UID94" r:id="rId904" xr:uid="{9041D418-DA2A-4FA7-BCB8-506DF1745669}"/>
    <hyperlink ref="UIT94" r:id="rId905" xr:uid="{8CC51A63-D126-493B-85A5-3F03A433CFF4}"/>
    <hyperlink ref="UJJ94" r:id="rId906" xr:uid="{10D61ACD-70FA-43CA-912F-F4CE3FC30631}"/>
    <hyperlink ref="UJZ94" r:id="rId907" xr:uid="{21518BA2-0B9C-4D46-8175-ACCED1F35573}"/>
    <hyperlink ref="UKP94" r:id="rId908" xr:uid="{6D1148BA-36C8-4304-9BB7-15C7330B83DA}"/>
    <hyperlink ref="ULF94" r:id="rId909" xr:uid="{479151DC-0E04-49EE-A742-3C593AD8ECFA}"/>
    <hyperlink ref="ULV94" r:id="rId910" xr:uid="{2DF46CD5-C06D-4170-A603-281596C46497}"/>
    <hyperlink ref="UML94" r:id="rId911" xr:uid="{59B13197-BA37-4FA4-8C60-34E1F6B41898}"/>
    <hyperlink ref="UNB94" r:id="rId912" xr:uid="{AFA08A50-64DD-4FE5-A5B3-9DC1FC7239C2}"/>
    <hyperlink ref="UNR94" r:id="rId913" xr:uid="{CF9BEA8E-BCB0-4BAC-B2B1-FBA4341E176E}"/>
    <hyperlink ref="UOH94" r:id="rId914" xr:uid="{43B69CA4-F968-42DF-A755-1ECBADB45759}"/>
    <hyperlink ref="UOX94" r:id="rId915" xr:uid="{85E34B39-0336-4272-9AC7-79F3664929D8}"/>
    <hyperlink ref="UPN94" r:id="rId916" xr:uid="{4C845B55-0B91-49EC-9152-FA8F197E1624}"/>
    <hyperlink ref="UQD94" r:id="rId917" xr:uid="{B0C2A51F-7C4E-4B8D-80F4-E255086C3831}"/>
    <hyperlink ref="UQT94" r:id="rId918" xr:uid="{EC113842-A225-41FE-9AF9-09E402D58B83}"/>
    <hyperlink ref="URJ94" r:id="rId919" xr:uid="{040C7501-1540-4EF9-8371-5A1B211D61CA}"/>
    <hyperlink ref="URZ94" r:id="rId920" xr:uid="{678CA495-E0D1-407D-BDE3-75A2A33B7169}"/>
    <hyperlink ref="USP94" r:id="rId921" xr:uid="{CE77AF13-86AB-4CFE-9D0F-6DD6A454291C}"/>
    <hyperlink ref="UTF94" r:id="rId922" xr:uid="{7D1564A8-C3F5-4EC3-A6E5-1CB2D69FF106}"/>
    <hyperlink ref="UTV94" r:id="rId923" xr:uid="{18311889-03C8-46AA-86D9-BFCB34338CCC}"/>
    <hyperlink ref="UUL94" r:id="rId924" xr:uid="{C6336233-DCBF-4E2B-8865-168C16FB6712}"/>
    <hyperlink ref="UVB94" r:id="rId925" xr:uid="{26DE7663-FED1-4190-9A1C-561EC03FFB8C}"/>
    <hyperlink ref="UVR94" r:id="rId926" xr:uid="{9239469A-C9B2-4AC1-BA90-69730626EC4B}"/>
    <hyperlink ref="UWH94" r:id="rId927" xr:uid="{7F98C12F-055A-409F-94A1-F0727E8E1405}"/>
    <hyperlink ref="UWX94" r:id="rId928" xr:uid="{17CB9790-7F12-447B-B7C6-A788954EC95D}"/>
    <hyperlink ref="UXN94" r:id="rId929" xr:uid="{7D0B261D-E924-4DEB-A803-19698D07C24E}"/>
    <hyperlink ref="UYD94" r:id="rId930" xr:uid="{2690DFF0-870D-4D73-8155-8C2D23B1B183}"/>
    <hyperlink ref="UYT94" r:id="rId931" xr:uid="{FB58BC26-2DE8-4212-9F7C-A6D1DC175581}"/>
    <hyperlink ref="UZJ94" r:id="rId932" xr:uid="{48DE57E6-82EA-47C7-A0E6-C7A59A629D47}"/>
    <hyperlink ref="UZZ94" r:id="rId933" xr:uid="{FA10D6A8-4EE9-4767-AA41-CD6EAFEE6830}"/>
    <hyperlink ref="VAP94" r:id="rId934" xr:uid="{440B6C38-67F9-444D-9027-31154AF0C46E}"/>
    <hyperlink ref="VBF94" r:id="rId935" xr:uid="{FB5D3315-84F4-4150-BAD3-30542F8F4E44}"/>
    <hyperlink ref="VBV94" r:id="rId936" xr:uid="{BFF585FB-D60B-43A7-B10C-BCBDE83FB985}"/>
    <hyperlink ref="VCL94" r:id="rId937" xr:uid="{4714B8B3-2A51-4ED2-851C-8FA6980EF279}"/>
    <hyperlink ref="VDB94" r:id="rId938" xr:uid="{1EA2F6E0-3524-4FD3-9375-6942ED468B60}"/>
    <hyperlink ref="VDR94" r:id="rId939" xr:uid="{71047131-9145-4CDB-AEDA-CB5715DDA2EB}"/>
    <hyperlink ref="VEH94" r:id="rId940" xr:uid="{4763E990-5197-45E0-8651-998B7ED5E73E}"/>
    <hyperlink ref="VEX94" r:id="rId941" xr:uid="{4E78A0E3-FBB4-4819-ABA4-DE02616C2A74}"/>
    <hyperlink ref="VFN94" r:id="rId942" xr:uid="{36C6CADD-9DCD-4CC2-B6CE-2BDFBBC7E120}"/>
    <hyperlink ref="VGD94" r:id="rId943" xr:uid="{4C5D978E-EFF4-4622-912D-5B95C149BD9B}"/>
    <hyperlink ref="VGT94" r:id="rId944" xr:uid="{4FF93976-3DB2-4464-A172-E3ADCCD1BA45}"/>
    <hyperlink ref="VHJ94" r:id="rId945" xr:uid="{B8708F82-60E8-446B-95E6-2CB03C8461E6}"/>
    <hyperlink ref="VHZ94" r:id="rId946" xr:uid="{49390CC7-EFBD-421B-B19B-9150FF9806D1}"/>
    <hyperlink ref="VIP94" r:id="rId947" xr:uid="{D8E0F110-E1CB-4B63-9199-89901AE81D7B}"/>
    <hyperlink ref="VJF94" r:id="rId948" xr:uid="{8B99286B-9A00-45AD-817E-242B79CA6F82}"/>
    <hyperlink ref="VJV94" r:id="rId949" xr:uid="{471C74E9-5EA9-4E05-828D-6484501E7D14}"/>
    <hyperlink ref="VKL94" r:id="rId950" xr:uid="{7154A6BF-85B0-42BF-BF46-18373ABF1505}"/>
    <hyperlink ref="VLB94" r:id="rId951" xr:uid="{F01BB8C5-553C-4475-83EF-9F9E509A7DEE}"/>
    <hyperlink ref="VLR94" r:id="rId952" xr:uid="{3F6680F9-6D65-4A0D-A65A-45A4AAAB877D}"/>
    <hyperlink ref="VMH94" r:id="rId953" xr:uid="{AD7684CA-9FA8-4B54-9C28-BE82B1746829}"/>
    <hyperlink ref="VMX94" r:id="rId954" xr:uid="{3FCC0266-FDC5-40EE-ABFB-4E94BB74179A}"/>
    <hyperlink ref="VNN94" r:id="rId955" xr:uid="{C2D6D7DD-89EC-481C-9782-184830D9832A}"/>
    <hyperlink ref="VOD94" r:id="rId956" xr:uid="{8D4C29A1-959F-46D2-ADD4-500BF6AE75D8}"/>
    <hyperlink ref="VOT94" r:id="rId957" xr:uid="{043E8566-5E72-4A38-8466-44EC03D22C17}"/>
    <hyperlink ref="VPJ94" r:id="rId958" xr:uid="{DBD10560-44BB-4EFE-99EC-E0DA47E34AF3}"/>
    <hyperlink ref="VPZ94" r:id="rId959" xr:uid="{E0B8CB8D-7A90-4CFC-88EB-EB058607060E}"/>
    <hyperlink ref="VQP94" r:id="rId960" xr:uid="{D9AB0878-C1BD-4BD6-A20B-B770D0FB9A3D}"/>
    <hyperlink ref="VRF94" r:id="rId961" xr:uid="{5BC352DD-08F1-4D34-8F3B-F19AF968FE8E}"/>
    <hyperlink ref="VRV94" r:id="rId962" xr:uid="{91C4D825-41AD-45EC-98B2-30B96829EC0F}"/>
    <hyperlink ref="VSL94" r:id="rId963" xr:uid="{B69BC4DA-21F9-4F02-A158-D7E4FD7A43C3}"/>
    <hyperlink ref="VTB94" r:id="rId964" xr:uid="{AC6796A6-C2F2-45F5-BC78-57B28F8E40FE}"/>
    <hyperlink ref="VTR94" r:id="rId965" xr:uid="{2D88EDD4-336D-4DD7-A3C1-FCBA497E02E6}"/>
    <hyperlink ref="VUH94" r:id="rId966" xr:uid="{488AD3E1-5D08-4E1C-9B98-62ADE4903BBC}"/>
    <hyperlink ref="VUX94" r:id="rId967" xr:uid="{F2FD0384-CB92-4182-9AB0-BFC8657B6A22}"/>
    <hyperlink ref="VVN94" r:id="rId968" xr:uid="{9467A348-01FB-41E2-94A2-67EA5F87B70F}"/>
    <hyperlink ref="VWD94" r:id="rId969" xr:uid="{2E5EFFDF-2E4B-4620-85B4-C9312E5B42C3}"/>
    <hyperlink ref="VWT94" r:id="rId970" xr:uid="{A80E9B86-9180-4DA1-9659-9B5489D84FF1}"/>
    <hyperlink ref="VXJ94" r:id="rId971" xr:uid="{9F828ADE-9508-4649-8B61-F981B87FCD21}"/>
    <hyperlink ref="VXZ94" r:id="rId972" xr:uid="{BAF338F3-BFE3-4327-AF32-4ECEE3F0017C}"/>
    <hyperlink ref="VYP94" r:id="rId973" xr:uid="{E097C612-6351-469C-891B-E5BE225B10D2}"/>
    <hyperlink ref="VZF94" r:id="rId974" xr:uid="{E53DBE2E-44EA-4C51-B0D7-BD10211919A5}"/>
    <hyperlink ref="VZV94" r:id="rId975" xr:uid="{3D9062D6-9DAA-4562-BAFF-3714CA23F4E4}"/>
    <hyperlink ref="WAL94" r:id="rId976" xr:uid="{DD5E04D1-92E4-424F-BD92-3C9D9E01FCFE}"/>
    <hyperlink ref="WBB94" r:id="rId977" xr:uid="{5ACDAD91-3821-4F4F-A498-BFD504F03A8C}"/>
    <hyperlink ref="WBR94" r:id="rId978" xr:uid="{A7F92C18-CE86-4A52-988E-6AFEC89B2703}"/>
    <hyperlink ref="WCH94" r:id="rId979" xr:uid="{59A057A1-EA13-42D9-8117-1BB6F2625F13}"/>
    <hyperlink ref="WCX94" r:id="rId980" xr:uid="{216703B8-5046-49CF-B684-841D1F66D8E5}"/>
    <hyperlink ref="WDN94" r:id="rId981" xr:uid="{982E0086-E1CA-40AF-9FCD-C3E2FEB41E21}"/>
    <hyperlink ref="WED94" r:id="rId982" xr:uid="{83F0EB65-B3B3-4CAC-8BA4-CFE4CC2EAA9A}"/>
    <hyperlink ref="WET94" r:id="rId983" xr:uid="{846A9DE6-9FEC-403E-A2D7-DFFB1784DD60}"/>
    <hyperlink ref="WFJ94" r:id="rId984" xr:uid="{E3F37A6B-F2DE-4B5D-94E8-531450A7D351}"/>
    <hyperlink ref="WFZ94" r:id="rId985" xr:uid="{B706C7B7-04B6-4F4D-9219-7E2D24DD2047}"/>
    <hyperlink ref="WGP94" r:id="rId986" xr:uid="{386A91A0-F0D4-4B8E-9714-7F0000707683}"/>
    <hyperlink ref="WHF94" r:id="rId987" xr:uid="{FC7B1B89-7F5B-4877-BB78-51B0B2DCF8CA}"/>
    <hyperlink ref="WHV94" r:id="rId988" xr:uid="{9484BD7B-56B2-49A2-8289-9DB4496F3D7E}"/>
    <hyperlink ref="WIL94" r:id="rId989" xr:uid="{2C3AFDEB-1A4B-4A9D-ACD8-8ED27AC660EF}"/>
    <hyperlink ref="WJB94" r:id="rId990" xr:uid="{C5E3EA30-A7E9-497A-9898-7D6DE02A0824}"/>
    <hyperlink ref="WJR94" r:id="rId991" xr:uid="{2C0A78D8-DACC-475B-AE9F-D514B0E537C5}"/>
    <hyperlink ref="WKH94" r:id="rId992" xr:uid="{50A1C571-B588-4EFF-B5A0-B09D8135CFF4}"/>
    <hyperlink ref="WKX94" r:id="rId993" xr:uid="{DDC4A79B-2028-47D3-8474-2B6DFD3ABD4D}"/>
    <hyperlink ref="WLN94" r:id="rId994" xr:uid="{0363CD74-F739-4E5B-AB44-D90FF895A837}"/>
    <hyperlink ref="WMD94" r:id="rId995" xr:uid="{1B9F3053-B64E-402A-A1F6-650F614266CE}"/>
    <hyperlink ref="WMT94" r:id="rId996" xr:uid="{7DC23210-698F-45A9-816B-2218E6C790F3}"/>
    <hyperlink ref="WNJ94" r:id="rId997" xr:uid="{9A40692E-FDD0-49C3-8997-9996D7D44B85}"/>
    <hyperlink ref="WNZ94" r:id="rId998" xr:uid="{30D36016-BADB-4517-AD00-4151D9547963}"/>
    <hyperlink ref="WOP94" r:id="rId999" xr:uid="{B1F83B3D-302A-4B34-9870-857C494A1C76}"/>
    <hyperlink ref="WPF94" r:id="rId1000" xr:uid="{9F1E70D4-E817-426E-98E3-925847EC2AE3}"/>
    <hyperlink ref="WPV94" r:id="rId1001" xr:uid="{B98BF222-F263-4DEB-B528-34DC1386E8A7}"/>
    <hyperlink ref="WQL94" r:id="rId1002" xr:uid="{9B7D5375-EA28-4B9E-BBE9-2412B42C2830}"/>
    <hyperlink ref="WRB94" r:id="rId1003" xr:uid="{A0CC08B4-72BD-4663-8D6C-4B70C0D10530}"/>
    <hyperlink ref="WRR94" r:id="rId1004" xr:uid="{86250186-337C-40A4-A993-8976BAA035C9}"/>
    <hyperlink ref="WSH94" r:id="rId1005" xr:uid="{24112266-9294-45B2-868B-4A04E4413CD9}"/>
    <hyperlink ref="WSX94" r:id="rId1006" xr:uid="{10DBEC4A-0B94-4959-A439-CC1DAE4D1EDF}"/>
    <hyperlink ref="WTN94" r:id="rId1007" xr:uid="{19E44546-AB08-4089-B843-D5ACD2339C84}"/>
    <hyperlink ref="WUD94" r:id="rId1008" xr:uid="{965D1766-208E-48B4-8B56-5C70D94529F4}"/>
    <hyperlink ref="WUT94" r:id="rId1009" xr:uid="{71811185-EAAE-4612-98C8-0ABB48B7ECBE}"/>
    <hyperlink ref="WVJ94" r:id="rId1010" xr:uid="{4D9E0ABD-7CCF-4C8D-BC7A-77F2FC1B2D0F}"/>
    <hyperlink ref="WVZ94" r:id="rId1011" xr:uid="{A34790A3-742A-4005-8E32-C5CD956FC4B0}"/>
    <hyperlink ref="WWP94" r:id="rId1012" xr:uid="{F27D3D96-D56A-403D-B0EB-71F40A80E8EE}"/>
    <hyperlink ref="WXF94" r:id="rId1013" xr:uid="{94B74CF0-02AE-4F22-B042-83E42FC14C03}"/>
    <hyperlink ref="WXV94" r:id="rId1014" xr:uid="{DD328EBC-143F-445A-9C3B-5C3987C628D4}"/>
    <hyperlink ref="WYL94" r:id="rId1015" xr:uid="{0903507D-C8C1-4007-99E6-181E13480ABA}"/>
    <hyperlink ref="WZB94" r:id="rId1016" xr:uid="{C7B62DFB-A696-4F07-B94B-7112C643481F}"/>
    <hyperlink ref="WZR94" r:id="rId1017" xr:uid="{B0BA5852-02D6-4101-A6BB-C587D0202CC1}"/>
    <hyperlink ref="XAH94" r:id="rId1018" xr:uid="{4908C128-4050-4B52-921D-0C2DA0BE8E47}"/>
    <hyperlink ref="XAX94" r:id="rId1019" xr:uid="{24803A0C-BB2A-47D4-AB6D-F2E67347F44D}"/>
    <hyperlink ref="XBN94" r:id="rId1020" xr:uid="{8158CC31-C93F-472B-9808-8DB30938649B}"/>
    <hyperlink ref="XCD94" r:id="rId1021" xr:uid="{078CBAA3-10A4-40A6-89CF-68289686E513}"/>
    <hyperlink ref="XCT94" r:id="rId1022" xr:uid="{15A2CA60-4A35-4C9A-9D17-5ACEF197D510}"/>
    <hyperlink ref="XDJ94" r:id="rId1023" xr:uid="{5044AF64-81E9-4727-88AE-CDD717E00217}"/>
    <hyperlink ref="XDZ94" r:id="rId1024" xr:uid="{D885F6BC-6E4C-42A3-BCDE-999304CFDD9E}"/>
    <hyperlink ref="XEP94" r:id="rId1025" xr:uid="{FF31E16F-028C-44EB-A430-1C6F1CE1E68F}"/>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2050" r:id="rId1029">
          <objectPr defaultSize="0" autoPict="0" r:id="rId1030">
            <anchor moveWithCells="1">
              <from>
                <xdr:col>11</xdr:col>
                <xdr:colOff>1076325</xdr:colOff>
                <xdr:row>1</xdr:row>
                <xdr:rowOff>76200</xdr:rowOff>
              </from>
              <to>
                <xdr:col>15</xdr:col>
                <xdr:colOff>161925</xdr:colOff>
                <xdr:row>7</xdr:row>
                <xdr:rowOff>19050</xdr:rowOff>
              </to>
            </anchor>
          </objectPr>
        </oleObject>
      </mc:Choice>
      <mc:Fallback>
        <oleObject progId="Paint.Picture" shapeId="2050" r:id="rId1029"/>
      </mc:Fallback>
    </mc:AlternateContent>
    <mc:AlternateContent xmlns:mc="http://schemas.openxmlformats.org/markup-compatibility/2006">
      <mc:Choice Requires="x14">
        <oleObject progId="Paint.Picture" shapeId="2051" r:id="rId1031">
          <objectPr defaultSize="0" autoPict="0" r:id="rId1030">
            <anchor moveWithCells="1">
              <from>
                <xdr:col>11</xdr:col>
                <xdr:colOff>1076325</xdr:colOff>
                <xdr:row>89</xdr:row>
                <xdr:rowOff>76200</xdr:rowOff>
              </from>
              <to>
                <xdr:col>15</xdr:col>
                <xdr:colOff>161925</xdr:colOff>
                <xdr:row>95</xdr:row>
                <xdr:rowOff>57150</xdr:rowOff>
              </to>
            </anchor>
          </objectPr>
        </oleObject>
      </mc:Choice>
      <mc:Fallback>
        <oleObject progId="Paint.Picture" shapeId="2051" r:id="rId1031"/>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C893-ED24-4DFD-8AC3-845C76332533}">
  <sheetPr codeName="Sheet8"/>
  <dimension ref="A1"/>
  <sheetViews>
    <sheetView workbookViewId="0">
      <selection activeCell="A2" sqref="A2:B22"/>
    </sheetView>
  </sheetViews>
  <sheetFormatPr defaultRowHeight="12.75" x14ac:dyDescent="0.35"/>
  <cols>
    <col min="1" max="1" width="42" customWidth="1"/>
    <col min="2" max="2" width="13.86328125"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2:L74"/>
  <sheetViews>
    <sheetView showWhiteSpace="0" topLeftCell="A21" zoomScaleNormal="100" workbookViewId="0">
      <selection activeCell="F57" sqref="F57"/>
    </sheetView>
  </sheetViews>
  <sheetFormatPr defaultColWidth="9.1328125" defaultRowHeight="12.75" x14ac:dyDescent="0.35"/>
  <cols>
    <col min="1" max="1" width="4.86328125" style="1" customWidth="1"/>
    <col min="2" max="3" width="11.73046875" style="1" customWidth="1"/>
    <col min="4" max="4" width="3.1328125" style="1" customWidth="1"/>
    <col min="5" max="5" width="7.86328125" style="1" customWidth="1"/>
    <col min="6" max="6" width="10.73046875" style="1" customWidth="1"/>
    <col min="7" max="7" width="9.86328125" style="1" customWidth="1"/>
    <col min="8" max="8" width="9.86328125" style="1" bestFit="1" customWidth="1"/>
    <col min="9" max="9" width="8.59765625" style="1" customWidth="1"/>
    <col min="10" max="10" width="4.86328125" style="1" customWidth="1"/>
    <col min="11" max="11" width="11.73046875" style="1" customWidth="1"/>
    <col min="12" max="12" width="19.86328125" style="1" customWidth="1"/>
    <col min="13" max="16" width="11.73046875" style="1" customWidth="1"/>
    <col min="17" max="16384" width="9.1328125" style="1"/>
  </cols>
  <sheetData>
    <row r="2" spans="1:12" ht="27.75" x14ac:dyDescent="0.75">
      <c r="A2" s="61" t="s">
        <v>622</v>
      </c>
    </row>
    <row r="3" spans="1:12" ht="17.649999999999999" x14ac:dyDescent="0.5">
      <c r="A3" s="62" t="s">
        <v>623</v>
      </c>
    </row>
    <row r="5" spans="1:12" x14ac:dyDescent="0.35">
      <c r="A5" s="63" t="s">
        <v>624</v>
      </c>
      <c r="B5" s="63"/>
      <c r="C5" s="63" t="s">
        <v>625</v>
      </c>
      <c r="D5" s="63"/>
      <c r="E5" s="63" t="s">
        <v>626</v>
      </c>
      <c r="F5" s="63"/>
      <c r="G5" s="63"/>
      <c r="H5" s="63"/>
    </row>
    <row r="6" spans="1:12" ht="25.5" thickBot="1" x14ac:dyDescent="0.75">
      <c r="A6" s="64"/>
      <c r="B6" s="64"/>
      <c r="C6" s="65" t="s">
        <v>627</v>
      </c>
      <c r="D6" s="64"/>
      <c r="E6" s="64"/>
      <c r="F6" s="64"/>
      <c r="G6" s="64"/>
      <c r="H6" s="64"/>
      <c r="I6" s="60"/>
      <c r="J6" s="60"/>
      <c r="K6" s="60"/>
    </row>
    <row r="7" spans="1:12" ht="13.15" thickTop="1" x14ac:dyDescent="0.35">
      <c r="A7" s="415"/>
      <c r="B7" s="307"/>
      <c r="C7" s="388"/>
      <c r="D7" s="416"/>
      <c r="E7" s="415"/>
      <c r="F7" s="415"/>
      <c r="G7" s="415"/>
      <c r="H7" s="415"/>
      <c r="I7" s="415"/>
      <c r="J7" s="415"/>
      <c r="K7" s="415"/>
      <c r="L7" s="415"/>
    </row>
    <row r="8" spans="1:12" x14ac:dyDescent="0.35">
      <c r="B8" s="307" t="s">
        <v>628</v>
      </c>
      <c r="C8" s="415"/>
      <c r="D8" s="307" t="s">
        <v>629</v>
      </c>
      <c r="E8" s="415"/>
      <c r="G8" s="415"/>
      <c r="H8" s="415"/>
      <c r="I8" s="415"/>
      <c r="J8" s="415"/>
      <c r="K8" s="415"/>
      <c r="L8" s="415"/>
    </row>
    <row r="9" spans="1:12" x14ac:dyDescent="0.35">
      <c r="B9" s="388"/>
      <c r="C9" s="415"/>
      <c r="D9" s="307" t="s">
        <v>624</v>
      </c>
      <c r="E9" s="415"/>
      <c r="G9" s="415"/>
      <c r="H9" s="415"/>
      <c r="I9" s="415"/>
      <c r="J9" s="415"/>
      <c r="K9" s="415"/>
      <c r="L9" s="415"/>
    </row>
    <row r="10" spans="1:12" x14ac:dyDescent="0.35">
      <c r="B10" s="388"/>
      <c r="C10" s="415"/>
      <c r="D10" s="307" t="s">
        <v>630</v>
      </c>
      <c r="E10" s="415"/>
      <c r="G10" s="415"/>
      <c r="H10" s="415"/>
      <c r="I10" s="415"/>
      <c r="J10" s="415"/>
      <c r="K10" s="415"/>
      <c r="L10" s="415"/>
    </row>
    <row r="11" spans="1:12" x14ac:dyDescent="0.35">
      <c r="B11" s="388"/>
      <c r="C11" s="415"/>
      <c r="D11" s="307" t="s">
        <v>631</v>
      </c>
      <c r="E11" s="415"/>
      <c r="G11" s="415"/>
      <c r="H11" s="415"/>
      <c r="I11" s="415"/>
      <c r="J11" s="415"/>
      <c r="K11" s="415"/>
      <c r="L11" s="415"/>
    </row>
    <row r="12" spans="1:12" x14ac:dyDescent="0.35">
      <c r="B12" s="415"/>
      <c r="C12" s="307"/>
      <c r="D12" s="415"/>
      <c r="E12" s="415"/>
      <c r="F12" s="415"/>
      <c r="G12" s="415"/>
      <c r="H12" s="415"/>
      <c r="I12" s="415"/>
      <c r="J12" s="415"/>
      <c r="K12" s="415"/>
      <c r="L12" s="415"/>
    </row>
    <row r="13" spans="1:12" x14ac:dyDescent="0.35">
      <c r="B13" s="307" t="s">
        <v>632</v>
      </c>
      <c r="C13" s="415"/>
      <c r="D13" s="164" t="s">
        <v>633</v>
      </c>
      <c r="E13" s="417">
        <f>'Auto-Calibration record'!J17</f>
        <v>0</v>
      </c>
      <c r="F13" s="397" t="str">
        <f>"0"&amp;('Auto-Calibration record'!H15-200000)</f>
        <v>062810062</v>
      </c>
      <c r="G13" s="415"/>
      <c r="H13" s="415"/>
      <c r="I13" s="415"/>
      <c r="J13" s="415"/>
      <c r="K13" s="415"/>
      <c r="L13" s="415"/>
    </row>
    <row r="14" spans="1:12" x14ac:dyDescent="0.35">
      <c r="B14" s="307" t="s">
        <v>634</v>
      </c>
      <c r="C14" s="415"/>
      <c r="D14" s="556" t="str">
        <f>'Auto-Calibration record'!H14</f>
        <v>5.6mg/l RM8631b</v>
      </c>
      <c r="E14" s="556"/>
      <c r="F14" s="556"/>
      <c r="G14" s="415"/>
      <c r="H14" s="415"/>
      <c r="I14" s="415"/>
      <c r="J14" s="415"/>
      <c r="K14" s="415"/>
      <c r="L14" s="415"/>
    </row>
    <row r="15" spans="1:12" x14ac:dyDescent="0.35">
      <c r="B15" s="307" t="s">
        <v>30</v>
      </c>
      <c r="C15" s="415"/>
      <c r="D15" s="164" t="s">
        <v>633</v>
      </c>
      <c r="E15" s="418" t="str">
        <f>F13</f>
        <v>062810062</v>
      </c>
      <c r="F15" s="415"/>
      <c r="G15" s="415"/>
      <c r="H15" s="415"/>
      <c r="I15" s="415"/>
      <c r="J15" s="415"/>
      <c r="K15" s="415"/>
      <c r="L15" s="415"/>
    </row>
    <row r="16" spans="1:12" x14ac:dyDescent="0.35">
      <c r="A16" s="415"/>
      <c r="B16" s="307"/>
      <c r="C16" s="415"/>
      <c r="D16" s="416"/>
      <c r="E16" s="415"/>
      <c r="F16" s="388"/>
      <c r="G16" s="415"/>
      <c r="H16" s="415"/>
      <c r="I16" s="415"/>
      <c r="J16" s="415"/>
      <c r="K16" s="415"/>
      <c r="L16" s="415"/>
    </row>
    <row r="17" spans="1:12" ht="62.25" customHeight="1" x14ac:dyDescent="0.35">
      <c r="B17" s="557" t="s">
        <v>635</v>
      </c>
      <c r="C17" s="557"/>
      <c r="D17" s="557"/>
      <c r="E17" s="557"/>
      <c r="F17" s="557"/>
      <c r="G17" s="557"/>
      <c r="H17" s="557"/>
      <c r="I17" s="557"/>
      <c r="J17" s="419"/>
      <c r="K17" s="419"/>
      <c r="L17" s="419"/>
    </row>
    <row r="18" spans="1:12" ht="28.5" customHeight="1" x14ac:dyDescent="0.35">
      <c r="B18" s="557" t="s">
        <v>636</v>
      </c>
      <c r="C18" s="557"/>
      <c r="D18" s="557"/>
      <c r="E18" s="557"/>
      <c r="F18" s="557"/>
      <c r="G18" s="557"/>
      <c r="H18" s="557"/>
      <c r="I18" s="557"/>
      <c r="J18" s="419"/>
      <c r="K18" s="419"/>
      <c r="L18" s="419"/>
    </row>
    <row r="19" spans="1:12" x14ac:dyDescent="0.35">
      <c r="A19" s="416"/>
      <c r="B19" s="307"/>
      <c r="C19" s="416"/>
      <c r="D19" s="416"/>
      <c r="E19" s="416"/>
      <c r="F19" s="388"/>
      <c r="G19" s="416"/>
      <c r="H19" s="416"/>
      <c r="I19" s="416"/>
      <c r="J19" s="415"/>
      <c r="K19" s="415"/>
      <c r="L19" s="415"/>
    </row>
    <row r="20" spans="1:12" ht="35.25" customHeight="1" x14ac:dyDescent="0.35">
      <c r="B20" s="565" t="s">
        <v>637</v>
      </c>
      <c r="C20" s="565"/>
      <c r="D20" s="565"/>
      <c r="E20" s="565"/>
      <c r="F20" s="565"/>
      <c r="G20" s="565"/>
      <c r="H20" s="565"/>
      <c r="I20" s="565"/>
      <c r="J20" s="420"/>
      <c r="K20" s="420"/>
      <c r="L20" s="420"/>
    </row>
    <row r="21" spans="1:12" x14ac:dyDescent="0.35">
      <c r="A21" s="415"/>
      <c r="B21" s="307"/>
      <c r="C21" s="415"/>
      <c r="D21" s="416"/>
      <c r="E21" s="415"/>
      <c r="F21" s="388"/>
      <c r="G21" s="415"/>
      <c r="H21" s="415"/>
      <c r="I21" s="415"/>
      <c r="J21" s="415"/>
      <c r="K21" s="415"/>
      <c r="L21" s="415"/>
    </row>
    <row r="22" spans="1:12" x14ac:dyDescent="0.35">
      <c r="A22" s="415"/>
      <c r="B22" s="307" t="s">
        <v>638</v>
      </c>
      <c r="C22" s="415"/>
      <c r="D22" s="416"/>
      <c r="E22" s="415"/>
      <c r="F22" s="388"/>
      <c r="G22" s="415"/>
      <c r="H22" s="415"/>
      <c r="I22" s="415"/>
      <c r="J22" s="415"/>
      <c r="K22" s="415"/>
      <c r="L22" s="415"/>
    </row>
    <row r="23" spans="1:12" x14ac:dyDescent="0.35">
      <c r="D23" s="6"/>
      <c r="F23" s="66"/>
    </row>
    <row r="24" spans="1:12" ht="15" x14ac:dyDescent="0.35">
      <c r="B24" s="67"/>
      <c r="D24" s="6"/>
      <c r="F24" s="66"/>
    </row>
    <row r="25" spans="1:12" x14ac:dyDescent="0.35">
      <c r="B25" s="307" t="s">
        <v>639</v>
      </c>
      <c r="D25" s="568">
        <f>'Auto-Calibration record'!H16</f>
        <v>46163.5</v>
      </c>
      <c r="E25" s="568"/>
      <c r="G25" s="307" t="s">
        <v>640</v>
      </c>
    </row>
    <row r="26" spans="1:12" ht="15" x14ac:dyDescent="0.35">
      <c r="B26" s="67"/>
      <c r="D26" s="6"/>
      <c r="G26" s="66"/>
    </row>
    <row r="27" spans="1:12" ht="15" x14ac:dyDescent="0.35">
      <c r="B27" s="67"/>
      <c r="D27" s="6"/>
      <c r="G27" s="66"/>
    </row>
    <row r="28" spans="1:12" x14ac:dyDescent="0.35">
      <c r="D28" s="6"/>
    </row>
    <row r="29" spans="1:12" x14ac:dyDescent="0.35">
      <c r="C29" s="66"/>
      <c r="D29" s="6"/>
      <c r="G29" s="307" t="s">
        <v>641</v>
      </c>
    </row>
    <row r="30" spans="1:12" ht="13.9" x14ac:dyDescent="0.35">
      <c r="A30" s="68" t="s">
        <v>642</v>
      </c>
      <c r="C30" s="66"/>
      <c r="D30" s="6"/>
    </row>
    <row r="32" spans="1:12" ht="27.75" x14ac:dyDescent="0.75">
      <c r="A32" s="61" t="s">
        <v>622</v>
      </c>
    </row>
    <row r="33" spans="1:12" ht="17.649999999999999" x14ac:dyDescent="0.5">
      <c r="A33" s="62" t="s">
        <v>623</v>
      </c>
    </row>
    <row r="35" spans="1:12" x14ac:dyDescent="0.35">
      <c r="A35" s="63" t="s">
        <v>624</v>
      </c>
      <c r="B35" s="63"/>
      <c r="C35" s="63" t="s">
        <v>625</v>
      </c>
      <c r="D35" s="63"/>
      <c r="E35" s="63" t="s">
        <v>626</v>
      </c>
      <c r="F35" s="63"/>
      <c r="G35" s="63"/>
      <c r="H35" s="63"/>
      <c r="I35" s="63"/>
    </row>
    <row r="36" spans="1:12" ht="25.5" thickBot="1" x14ac:dyDescent="0.75">
      <c r="A36" s="64"/>
      <c r="B36" s="64"/>
      <c r="C36" s="65" t="s">
        <v>627</v>
      </c>
      <c r="D36" s="64"/>
      <c r="E36" s="64"/>
      <c r="F36" s="64"/>
      <c r="G36" s="64"/>
      <c r="H36" s="64"/>
      <c r="I36" s="64"/>
      <c r="J36" s="153"/>
      <c r="K36" s="60"/>
    </row>
    <row r="37" spans="1:12" ht="13.15" thickTop="1" x14ac:dyDescent="0.35"/>
    <row r="39" spans="1:12" s="59" customFormat="1" ht="17.649999999999999" thickBot="1" x14ac:dyDescent="0.5">
      <c r="A39" s="70" t="s">
        <v>643</v>
      </c>
      <c r="B39" s="69"/>
      <c r="C39" s="69"/>
      <c r="D39" s="69"/>
      <c r="E39" s="69"/>
      <c r="F39" s="69"/>
      <c r="G39" s="69"/>
      <c r="H39" s="69"/>
      <c r="I39" s="69"/>
      <c r="J39" s="153"/>
    </row>
    <row r="40" spans="1:12" s="59" customFormat="1" ht="13.15" thickTop="1" x14ac:dyDescent="0.35">
      <c r="A40" s="1"/>
      <c r="B40" s="1"/>
      <c r="C40" s="1"/>
      <c r="D40" s="1"/>
      <c r="E40" s="1"/>
      <c r="F40" s="1"/>
    </row>
    <row r="41" spans="1:12" x14ac:dyDescent="0.35">
      <c r="A41" s="59"/>
      <c r="C41" s="85" t="s">
        <v>644</v>
      </c>
      <c r="D41" s="71"/>
      <c r="E41" s="566" t="str">
        <f>'Auto-Calibration record'!H14</f>
        <v>5.6mg/l RM8631b</v>
      </c>
      <c r="F41" s="567"/>
      <c r="G41" s="183"/>
    </row>
    <row r="42" spans="1:12" x14ac:dyDescent="0.35">
      <c r="A42" s="59"/>
      <c r="C42" s="421" t="s">
        <v>645</v>
      </c>
      <c r="D42" s="422"/>
      <c r="E42" s="165" t="s">
        <v>633</v>
      </c>
      <c r="F42" s="150" t="str">
        <f>E15</f>
        <v>062810062</v>
      </c>
    </row>
    <row r="43" spans="1:12" x14ac:dyDescent="0.35">
      <c r="A43" s="59"/>
      <c r="C43" s="85" t="s">
        <v>646</v>
      </c>
      <c r="D43" s="71"/>
      <c r="E43" s="563" t="s">
        <v>647</v>
      </c>
      <c r="F43" s="564"/>
      <c r="G43" s="59"/>
    </row>
    <row r="44" spans="1:12" x14ac:dyDescent="0.35">
      <c r="C44" s="86" t="s">
        <v>648</v>
      </c>
      <c r="D44" s="73"/>
      <c r="E44" s="563">
        <f>'Auto-Calibration record'!B17</f>
        <v>0</v>
      </c>
      <c r="F44" s="564"/>
      <c r="G44" s="59"/>
      <c r="H44" s="4"/>
      <c r="I44" s="4"/>
      <c r="J44" s="4"/>
      <c r="K44" s="4"/>
      <c r="L44" s="4"/>
    </row>
    <row r="45" spans="1:12" x14ac:dyDescent="0.35">
      <c r="C45" s="85" t="s">
        <v>649</v>
      </c>
      <c r="D45" s="71"/>
      <c r="E45" s="563">
        <f>'Auto-Calibration record'!B11</f>
        <v>34</v>
      </c>
      <c r="F45" s="564"/>
      <c r="G45" s="59"/>
    </row>
    <row r="46" spans="1:12" x14ac:dyDescent="0.35">
      <c r="A46" s="59"/>
      <c r="C46" s="85" t="s">
        <v>650</v>
      </c>
      <c r="D46" s="71"/>
      <c r="E46" s="563" t="s">
        <v>651</v>
      </c>
      <c r="F46" s="564"/>
      <c r="G46" s="59"/>
    </row>
    <row r="47" spans="1:12" s="2" customFormat="1" x14ac:dyDescent="0.35">
      <c r="A47" s="1"/>
      <c r="C47" s="85" t="s">
        <v>652</v>
      </c>
      <c r="D47" s="71"/>
      <c r="E47" s="563" t="s">
        <v>653</v>
      </c>
      <c r="F47" s="564"/>
      <c r="G47" s="59"/>
    </row>
    <row r="48" spans="1:12" x14ac:dyDescent="0.35">
      <c r="B48" s="59"/>
      <c r="C48" s="59"/>
      <c r="D48" s="4"/>
      <c r="E48" s="4"/>
      <c r="F48" s="4"/>
    </row>
    <row r="49" spans="1:10" s="59" customFormat="1" x14ac:dyDescent="0.35">
      <c r="A49" s="74" t="s">
        <v>654</v>
      </c>
      <c r="B49" s="1"/>
      <c r="C49" s="1"/>
      <c r="D49" s="1"/>
      <c r="E49" s="1"/>
      <c r="F49" s="1"/>
    </row>
    <row r="50" spans="1:10" s="59" customFormat="1" x14ac:dyDescent="0.35">
      <c r="A50" s="74"/>
      <c r="B50" s="1"/>
      <c r="C50" s="1"/>
      <c r="D50" s="1"/>
      <c r="E50" s="1"/>
      <c r="F50" s="1"/>
    </row>
    <row r="51" spans="1:10" s="59" customFormat="1" x14ac:dyDescent="0.35">
      <c r="A51" s="74"/>
      <c r="B51" s="1"/>
      <c r="C51" s="1"/>
      <c r="D51" s="1"/>
      <c r="E51" s="1"/>
      <c r="F51" s="1"/>
    </row>
    <row r="52" spans="1:10" s="59" customFormat="1" ht="17.649999999999999" thickBot="1" x14ac:dyDescent="0.5">
      <c r="A52" s="70" t="s">
        <v>655</v>
      </c>
      <c r="B52" s="69"/>
      <c r="C52" s="69"/>
      <c r="D52" s="69"/>
      <c r="E52" s="69"/>
      <c r="F52" s="69"/>
      <c r="G52" s="69"/>
      <c r="H52" s="69"/>
      <c r="I52" s="69"/>
      <c r="J52" s="153"/>
    </row>
    <row r="53" spans="1:10" s="59" customFormat="1" ht="13.15" thickTop="1" x14ac:dyDescent="0.35">
      <c r="A53" s="1"/>
      <c r="B53" s="1"/>
      <c r="C53" s="1"/>
    </row>
    <row r="54" spans="1:10" s="59" customFormat="1" ht="13.15" thickBot="1" x14ac:dyDescent="0.4">
      <c r="B54" s="1" t="s">
        <v>656</v>
      </c>
      <c r="C54" s="1"/>
    </row>
    <row r="55" spans="1:10" s="59" customFormat="1" ht="63.75" customHeight="1" x14ac:dyDescent="0.35">
      <c r="B55" s="75" t="s">
        <v>580</v>
      </c>
      <c r="C55" s="76" t="s">
        <v>581</v>
      </c>
      <c r="D55" s="561" t="s">
        <v>657</v>
      </c>
      <c r="E55" s="561"/>
      <c r="F55" s="78" t="s">
        <v>658</v>
      </c>
      <c r="G55" s="77" t="s">
        <v>584</v>
      </c>
      <c r="H55" s="79" t="s">
        <v>584</v>
      </c>
      <c r="I55" s="2"/>
    </row>
    <row r="56" spans="1:10" s="2" customFormat="1" x14ac:dyDescent="0.3">
      <c r="A56" s="59"/>
      <c r="B56" s="140" t="s">
        <v>659</v>
      </c>
      <c r="C56" s="141" t="s">
        <v>587</v>
      </c>
      <c r="D56" s="562" t="s">
        <v>660</v>
      </c>
      <c r="E56" s="562"/>
      <c r="F56" s="143" t="s">
        <v>660</v>
      </c>
      <c r="G56" s="142" t="s">
        <v>660</v>
      </c>
      <c r="H56" s="144" t="s">
        <v>589</v>
      </c>
      <c r="I56" s="80"/>
    </row>
    <row r="57" spans="1:10" x14ac:dyDescent="0.35">
      <c r="A57" s="59"/>
      <c r="B57" s="146">
        <v>4</v>
      </c>
      <c r="C57" s="145">
        <f>'Auto-Calibration record'!B65</f>
        <v>76</v>
      </c>
      <c r="D57" s="559">
        <f>'Auto-Calibration record'!B68</f>
        <v>1415270</v>
      </c>
      <c r="E57" s="560"/>
      <c r="F57" s="160">
        <f>'Auto-Calibration record'!I68</f>
        <v>1429381</v>
      </c>
      <c r="G57" s="145">
        <f t="shared" ref="G57:G62" si="0">F57-D57</f>
        <v>14111</v>
      </c>
      <c r="H57" s="147">
        <f t="shared" ref="H57:H62" si="1">G57/D57</f>
        <v>9.9705356575070479E-3</v>
      </c>
      <c r="I57" s="81"/>
    </row>
    <row r="58" spans="1:10" s="59" customFormat="1" x14ac:dyDescent="0.35">
      <c r="A58" s="2"/>
      <c r="B58" s="146">
        <v>6</v>
      </c>
      <c r="C58" s="145">
        <f>'Auto-Calibration record'!C65</f>
        <v>180</v>
      </c>
      <c r="D58" s="559">
        <f>'Auto-Calibration record'!B69</f>
        <v>580231</v>
      </c>
      <c r="E58" s="560"/>
      <c r="F58" s="160">
        <f>'Auto-Calibration record'!I69</f>
        <v>582583</v>
      </c>
      <c r="G58" s="145">
        <f t="shared" si="0"/>
        <v>2352</v>
      </c>
      <c r="H58" s="147">
        <f t="shared" si="1"/>
        <v>4.0535579794943738E-3</v>
      </c>
      <c r="I58" s="81"/>
    </row>
    <row r="59" spans="1:10" x14ac:dyDescent="0.35">
      <c r="B59" s="146">
        <v>14</v>
      </c>
      <c r="C59" s="145">
        <f>'Auto-Calibration record'!D65</f>
        <v>1020</v>
      </c>
      <c r="D59" s="559">
        <f>'Auto-Calibration record'!B71</f>
        <v>45814.7</v>
      </c>
      <c r="E59" s="560"/>
      <c r="F59" s="160">
        <f>'Auto-Calibration record'!I71</f>
        <v>46338.333333333336</v>
      </c>
      <c r="G59" s="145">
        <f t="shared" si="0"/>
        <v>523.63333333333867</v>
      </c>
      <c r="H59" s="147">
        <f t="shared" si="1"/>
        <v>1.1429373832707378E-2</v>
      </c>
      <c r="I59" s="81"/>
    </row>
    <row r="60" spans="1:10" x14ac:dyDescent="0.35">
      <c r="A60" s="59"/>
      <c r="B60" s="146">
        <v>21</v>
      </c>
      <c r="C60" s="145">
        <f>'Auto-Calibration record'!E65</f>
        <v>2204</v>
      </c>
      <c r="D60" s="559">
        <f>'Auto-Calibration record'!B72</f>
        <v>11873.6</v>
      </c>
      <c r="E60" s="560"/>
      <c r="F60" s="160">
        <f>'Auto-Calibration record'!I72</f>
        <v>12191</v>
      </c>
      <c r="G60" s="145">
        <f t="shared" si="0"/>
        <v>317.39999999999964</v>
      </c>
      <c r="H60" s="147">
        <f t="shared" si="1"/>
        <v>2.6731572564344396E-2</v>
      </c>
      <c r="I60" s="81"/>
    </row>
    <row r="61" spans="1:10" x14ac:dyDescent="0.35">
      <c r="B61" s="146">
        <v>25</v>
      </c>
      <c r="C61" s="145">
        <f>'Auto-Calibration record'!F65</f>
        <v>3244</v>
      </c>
      <c r="D61" s="559">
        <f>'Auto-Calibration record'!B73</f>
        <v>5545.63</v>
      </c>
      <c r="E61" s="560"/>
      <c r="F61" s="160">
        <f>'Auto-Calibration record'!I73</f>
        <v>5583.666666666667</v>
      </c>
      <c r="G61" s="145">
        <f t="shared" si="0"/>
        <v>38.036666666666861</v>
      </c>
      <c r="H61" s="147">
        <f t="shared" si="1"/>
        <v>6.8588540286075453E-3</v>
      </c>
      <c r="I61" s="81"/>
    </row>
    <row r="62" spans="1:10" x14ac:dyDescent="0.35">
      <c r="A62" s="2"/>
      <c r="B62" s="146">
        <v>38</v>
      </c>
      <c r="C62" s="145">
        <f>'Auto-Calibration record'!G65</f>
        <v>11420</v>
      </c>
      <c r="D62" s="559">
        <f>'Auto-Calibration record'!B74</f>
        <v>184.08699999999999</v>
      </c>
      <c r="E62" s="560"/>
      <c r="F62" s="160">
        <f>'Auto-Calibration record'!I74</f>
        <v>169</v>
      </c>
      <c r="G62" s="145">
        <f t="shared" si="0"/>
        <v>-15.086999999999989</v>
      </c>
      <c r="H62" s="147">
        <f t="shared" si="1"/>
        <v>-8.1955814370379174E-2</v>
      </c>
      <c r="I62" s="81"/>
    </row>
    <row r="63" spans="1:10" x14ac:dyDescent="0.35">
      <c r="B63" s="146" t="s">
        <v>661</v>
      </c>
      <c r="C63" s="145">
        <f>'Auto-Calibration record'!H65</f>
        <v>18008</v>
      </c>
      <c r="D63" s="559">
        <f>'Auto-Calibration record'!B75</f>
        <v>34.516399999999997</v>
      </c>
      <c r="E63" s="560"/>
      <c r="F63" s="160">
        <f>'Auto-Calibration record'!I75</f>
        <v>35</v>
      </c>
      <c r="G63" s="423" t="s">
        <v>23</v>
      </c>
      <c r="H63" s="424" t="s">
        <v>23</v>
      </c>
      <c r="I63" s="81"/>
    </row>
    <row r="64" spans="1:10" ht="13.15" thickBot="1" x14ac:dyDescent="0.4">
      <c r="A64" s="59"/>
      <c r="B64" s="148" t="s">
        <v>662</v>
      </c>
      <c r="C64" s="149">
        <f>'Auto-Calibration record'!I65</f>
        <v>30374</v>
      </c>
      <c r="D64" s="559">
        <f>'Auto-Calibration record'!B76</f>
        <v>4.4329299999999998</v>
      </c>
      <c r="E64" s="560"/>
      <c r="F64" s="161">
        <f>'Auto-Calibration record'!I76</f>
        <v>5.333333333333333</v>
      </c>
      <c r="G64" s="425" t="s">
        <v>23</v>
      </c>
      <c r="H64" s="426" t="s">
        <v>23</v>
      </c>
      <c r="I64" s="81"/>
    </row>
    <row r="65" spans="2:7" x14ac:dyDescent="0.35">
      <c r="B65" s="558" t="s">
        <v>663</v>
      </c>
      <c r="C65" s="558"/>
      <c r="D65" s="558"/>
      <c r="E65" s="558"/>
      <c r="F65" s="558"/>
      <c r="G65" s="558"/>
    </row>
    <row r="67" spans="2:7" x14ac:dyDescent="0.35">
      <c r="B67" s="84" t="s">
        <v>664</v>
      </c>
      <c r="C67" s="82">
        <f>'Auto-Calibration record'!H16</f>
        <v>46163.5</v>
      </c>
    </row>
    <row r="72" spans="2:7" x14ac:dyDescent="0.35">
      <c r="F72" s="6" t="s">
        <v>641</v>
      </c>
    </row>
    <row r="74" spans="2:7" x14ac:dyDescent="0.35">
      <c r="B74" s="83" t="s">
        <v>665</v>
      </c>
    </row>
  </sheetData>
  <sheetProtection sheet="1" objects="1" scenarios="1" selectLockedCells="1"/>
  <mergeCells count="22">
    <mergeCell ref="B20:I20"/>
    <mergeCell ref="E41:F41"/>
    <mergeCell ref="E43:F43"/>
    <mergeCell ref="E44:F44"/>
    <mergeCell ref="E45:F45"/>
    <mergeCell ref="D25:E25"/>
    <mergeCell ref="D14:F14"/>
    <mergeCell ref="B17:I17"/>
    <mergeCell ref="B18:I18"/>
    <mergeCell ref="B65:G65"/>
    <mergeCell ref="D60:E60"/>
    <mergeCell ref="D61:E61"/>
    <mergeCell ref="D62:E62"/>
    <mergeCell ref="D63:E63"/>
    <mergeCell ref="D64:E64"/>
    <mergeCell ref="D55:E55"/>
    <mergeCell ref="D56:E56"/>
    <mergeCell ref="D57:E57"/>
    <mergeCell ref="D58:E58"/>
    <mergeCell ref="D59:E59"/>
    <mergeCell ref="E46:F46"/>
    <mergeCell ref="E47:F47"/>
  </mergeCells>
  <pageMargins left="1" right="1" top="1" bottom="1" header="0.5" footer="0.5"/>
  <pageSetup paperSize="9" fitToHeight="0" orientation="portrait" r:id="rId1"/>
  <rowBreaks count="1" manualBreakCount="1">
    <brk id="30"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pageSetUpPr fitToPage="1"/>
  </sheetPr>
  <dimension ref="A2:P94"/>
  <sheetViews>
    <sheetView topLeftCell="A14" zoomScale="85" zoomScaleNormal="85" zoomScalePageLayoutView="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666</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46163.5</v>
      </c>
    </row>
    <row r="19" spans="2:15" ht="25.9" customHeight="1" x14ac:dyDescent="0.45">
      <c r="B19" s="131" t="s">
        <v>575</v>
      </c>
      <c r="C19" s="132"/>
      <c r="D19" s="552" t="str">
        <f>'Auto-Calibration record'!H17</f>
        <v>63010062 210526</v>
      </c>
      <c r="E19" s="553"/>
      <c r="F19" s="554"/>
      <c r="K19" s="95" t="s">
        <v>576</v>
      </c>
      <c r="L19" s="96"/>
      <c r="M19" s="96"/>
      <c r="N19" s="97"/>
      <c r="O19" s="162">
        <f>'Auto-Calibration record'!H19</f>
        <v>303</v>
      </c>
    </row>
    <row r="20" spans="2:15" ht="25.5" customHeight="1" x14ac:dyDescent="0.45">
      <c r="B20" s="101"/>
      <c r="D20" s="126"/>
      <c r="E20" s="133"/>
      <c r="F20" s="127"/>
      <c r="K20" s="101"/>
      <c r="L20" s="102"/>
      <c r="M20" s="102"/>
      <c r="N20" s="102"/>
      <c r="O20" s="58"/>
    </row>
    <row r="21" spans="2:15" ht="34.5" customHeight="1" x14ac:dyDescent="0.45">
      <c r="B21" s="101"/>
      <c r="D21" s="135" t="s">
        <v>667</v>
      </c>
      <c r="E21" s="569" t="s">
        <v>668</v>
      </c>
      <c r="F21" s="569"/>
      <c r="G21" s="569" t="s">
        <v>669</v>
      </c>
      <c r="H21" s="569"/>
      <c r="I21" s="569" t="s">
        <v>670</v>
      </c>
      <c r="J21" s="569"/>
      <c r="M21" s="102"/>
      <c r="N21" s="102"/>
      <c r="O21" s="128"/>
    </row>
    <row r="22" spans="2:15" ht="17.649999999999999" x14ac:dyDescent="0.45">
      <c r="B22" s="101"/>
      <c r="D22" s="134" t="s">
        <v>671</v>
      </c>
      <c r="E22" s="570" t="s">
        <v>672</v>
      </c>
      <c r="F22" s="570"/>
      <c r="G22" s="570" t="s">
        <v>673</v>
      </c>
      <c r="H22" s="570"/>
      <c r="I22" s="570">
        <v>5226</v>
      </c>
      <c r="J22" s="570"/>
      <c r="M22" s="102"/>
      <c r="N22" s="102"/>
      <c r="O22" s="128"/>
    </row>
    <row r="23" spans="2:15" ht="14.25" customHeight="1" x14ac:dyDescent="0.45">
      <c r="B23" s="101"/>
      <c r="D23" s="134" t="s">
        <v>674</v>
      </c>
      <c r="E23" s="570" t="s">
        <v>672</v>
      </c>
      <c r="F23" s="570"/>
      <c r="G23" s="570" t="s">
        <v>673</v>
      </c>
      <c r="H23" s="570"/>
      <c r="I23" s="570">
        <v>5306</v>
      </c>
      <c r="J23" s="570"/>
      <c r="M23" s="102"/>
      <c r="N23" s="102"/>
      <c r="O23" s="128"/>
    </row>
    <row r="24" spans="2:15" ht="14.25" customHeight="1" x14ac:dyDescent="0.45">
      <c r="B24" s="101"/>
      <c r="D24" s="134" t="s">
        <v>675</v>
      </c>
      <c r="E24" s="570" t="s">
        <v>672</v>
      </c>
      <c r="F24" s="570"/>
      <c r="G24" s="570" t="s">
        <v>673</v>
      </c>
      <c r="H24" s="570"/>
      <c r="I24" s="570">
        <v>5326</v>
      </c>
      <c r="J24" s="570"/>
      <c r="M24" s="102"/>
      <c r="N24" s="102"/>
      <c r="O24" s="128"/>
    </row>
    <row r="25" spans="2:15" ht="14.25" customHeight="1" x14ac:dyDescent="0.45">
      <c r="B25" s="101"/>
      <c r="D25" s="134" t="s">
        <v>676</v>
      </c>
      <c r="E25" s="570" t="s">
        <v>672</v>
      </c>
      <c r="F25" s="570"/>
      <c r="G25" s="570" t="s">
        <v>673</v>
      </c>
      <c r="H25" s="570"/>
      <c r="I25" s="570">
        <v>5529</v>
      </c>
      <c r="J25" s="570"/>
      <c r="M25" s="102"/>
      <c r="N25" s="102"/>
      <c r="O25" s="128"/>
    </row>
    <row r="26" spans="2:15" ht="14.25" customHeight="1" x14ac:dyDescent="0.45">
      <c r="B26" s="101"/>
      <c r="D26" s="126"/>
      <c r="E26" s="127"/>
      <c r="K26" s="101"/>
      <c r="L26" s="102"/>
      <c r="M26" s="102"/>
      <c r="N26" s="102"/>
      <c r="O26" s="128"/>
    </row>
    <row r="27" spans="2:15" ht="15" x14ac:dyDescent="0.4">
      <c r="B27" s="103" t="s">
        <v>577</v>
      </c>
    </row>
    <row r="28" spans="2:15" ht="15" x14ac:dyDescent="0.4">
      <c r="B28" s="103" t="s">
        <v>578</v>
      </c>
      <c r="O28" s="104"/>
    </row>
    <row r="29" spans="2:15" ht="15" x14ac:dyDescent="0.4">
      <c r="B29" s="103" t="s">
        <v>579</v>
      </c>
    </row>
    <row r="30" spans="2:15" ht="15" x14ac:dyDescent="0.4">
      <c r="B30" s="103"/>
    </row>
    <row r="31" spans="2:15" ht="13.15" x14ac:dyDescent="0.4">
      <c r="B31" s="105"/>
    </row>
    <row r="32" spans="2:15" s="106" customFormat="1" ht="67.5" customHeight="1" x14ac:dyDescent="0.35">
      <c r="D32" s="528" t="s">
        <v>580</v>
      </c>
      <c r="E32" s="528"/>
      <c r="F32" s="528" t="s">
        <v>581</v>
      </c>
      <c r="G32" s="528"/>
      <c r="H32" s="528" t="s">
        <v>582</v>
      </c>
      <c r="I32" s="528"/>
      <c r="J32" s="107" t="s">
        <v>583</v>
      </c>
      <c r="K32" s="107" t="s">
        <v>584</v>
      </c>
      <c r="L32" s="107" t="s">
        <v>585</v>
      </c>
    </row>
    <row r="33" spans="2:12" s="108" customFormat="1" ht="25.9" customHeight="1" x14ac:dyDescent="0.35">
      <c r="D33" s="529" t="s">
        <v>586</v>
      </c>
      <c r="E33" s="529"/>
      <c r="F33" s="529" t="s">
        <v>587</v>
      </c>
      <c r="G33" s="529"/>
      <c r="H33" s="529" t="s">
        <v>588</v>
      </c>
      <c r="I33" s="529"/>
      <c r="J33" s="109" t="s">
        <v>588</v>
      </c>
      <c r="K33" s="109" t="s">
        <v>588</v>
      </c>
      <c r="L33" s="109" t="s">
        <v>589</v>
      </c>
    </row>
    <row r="34" spans="2:12" s="108" customFormat="1" ht="25.9" customHeight="1" x14ac:dyDescent="0.35">
      <c r="D34" s="530" t="s">
        <v>590</v>
      </c>
      <c r="E34" s="530"/>
      <c r="F34" s="545">
        <f>'Auto-Calibration record'!B65</f>
        <v>76</v>
      </c>
      <c r="G34" s="545"/>
      <c r="H34" s="541">
        <f>'Auto-Calibration record'!B68</f>
        <v>1415270</v>
      </c>
      <c r="I34" s="571"/>
      <c r="J34" s="158">
        <f>'Auto-Calibration record'!I68</f>
        <v>1429381</v>
      </c>
      <c r="K34" s="159">
        <f t="shared" ref="K34:K39" si="0">J34-H34</f>
        <v>14111</v>
      </c>
      <c r="L34" s="111">
        <f t="shared" ref="L34:L39" si="1">K34/H34</f>
        <v>9.9705356575070479E-3</v>
      </c>
    </row>
    <row r="35" spans="2:12" s="108" customFormat="1" ht="25.9" customHeight="1" x14ac:dyDescent="0.35">
      <c r="D35" s="530" t="s">
        <v>591</v>
      </c>
      <c r="E35" s="530"/>
      <c r="F35" s="545">
        <f>'Auto-Calibration record'!C65</f>
        <v>180</v>
      </c>
      <c r="G35" s="545"/>
      <c r="H35" s="541">
        <f>'Auto-Calibration record'!B69</f>
        <v>580231</v>
      </c>
      <c r="I35" s="571"/>
      <c r="J35" s="158">
        <f>'Auto-Calibration record'!I69</f>
        <v>582583</v>
      </c>
      <c r="K35" s="159">
        <f t="shared" si="0"/>
        <v>2352</v>
      </c>
      <c r="L35" s="111">
        <f t="shared" si="1"/>
        <v>4.0535579794943738E-3</v>
      </c>
    </row>
    <row r="36" spans="2:12" s="108" customFormat="1" ht="25.9" customHeight="1" x14ac:dyDescent="0.35">
      <c r="D36" s="530" t="s">
        <v>592</v>
      </c>
      <c r="E36" s="530"/>
      <c r="F36" s="545">
        <f>'Auto-Calibration record'!D65</f>
        <v>1020</v>
      </c>
      <c r="G36" s="545"/>
      <c r="H36" s="541">
        <f>'Auto-Calibration record'!B71</f>
        <v>45814.7</v>
      </c>
      <c r="I36" s="571"/>
      <c r="J36" s="158">
        <f>'Auto-Calibration record'!I71</f>
        <v>46338.333333333336</v>
      </c>
      <c r="K36" s="159">
        <f t="shared" si="0"/>
        <v>523.63333333333867</v>
      </c>
      <c r="L36" s="111">
        <f t="shared" si="1"/>
        <v>1.1429373832707378E-2</v>
      </c>
    </row>
    <row r="37" spans="2:12" s="108" customFormat="1" ht="25.9" customHeight="1" x14ac:dyDescent="0.35">
      <c r="D37" s="530" t="s">
        <v>593</v>
      </c>
      <c r="E37" s="530"/>
      <c r="F37" s="545">
        <f>'Auto-Calibration record'!E65</f>
        <v>2204</v>
      </c>
      <c r="G37" s="545"/>
      <c r="H37" s="541">
        <f>'Auto-Calibration record'!B72</f>
        <v>11873.6</v>
      </c>
      <c r="I37" s="571"/>
      <c r="J37" s="158">
        <f>'Auto-Calibration record'!I72</f>
        <v>12191</v>
      </c>
      <c r="K37" s="159">
        <f t="shared" si="0"/>
        <v>317.39999999999964</v>
      </c>
      <c r="L37" s="111">
        <f t="shared" si="1"/>
        <v>2.6731572564344396E-2</v>
      </c>
    </row>
    <row r="38" spans="2:12" s="108" customFormat="1" ht="25.9" customHeight="1" x14ac:dyDescent="0.35">
      <c r="D38" s="530" t="s">
        <v>594</v>
      </c>
      <c r="E38" s="530"/>
      <c r="F38" s="545">
        <f>'Auto-Calibration record'!F65</f>
        <v>3244</v>
      </c>
      <c r="G38" s="545"/>
      <c r="H38" s="541">
        <f>'Auto-Calibration record'!B73</f>
        <v>5545.63</v>
      </c>
      <c r="I38" s="571"/>
      <c r="J38" s="158">
        <f>'Auto-Calibration record'!I73</f>
        <v>5583.666666666667</v>
      </c>
      <c r="K38" s="159">
        <f t="shared" si="0"/>
        <v>38.036666666666861</v>
      </c>
      <c r="L38" s="111">
        <f t="shared" si="1"/>
        <v>6.8588540286075453E-3</v>
      </c>
    </row>
    <row r="39" spans="2:12" s="108" customFormat="1" ht="25.9" customHeight="1" x14ac:dyDescent="0.35">
      <c r="D39" s="530" t="s">
        <v>595</v>
      </c>
      <c r="E39" s="530"/>
      <c r="F39" s="545">
        <f>'Auto-Calibration record'!G65</f>
        <v>11420</v>
      </c>
      <c r="G39" s="545"/>
      <c r="H39" s="541">
        <f>'Auto-Calibration record'!B74</f>
        <v>184.08699999999999</v>
      </c>
      <c r="I39" s="571"/>
      <c r="J39" s="158">
        <f>'Auto-Calibration record'!I74</f>
        <v>169</v>
      </c>
      <c r="K39" s="159">
        <f t="shared" si="0"/>
        <v>-15.086999999999989</v>
      </c>
      <c r="L39" s="111">
        <f t="shared" si="1"/>
        <v>-8.1955814370379174E-2</v>
      </c>
    </row>
    <row r="40" spans="2:12" s="108" customFormat="1" ht="25.9" customHeight="1" x14ac:dyDescent="0.35">
      <c r="D40" s="530" t="s">
        <v>596</v>
      </c>
      <c r="E40" s="530"/>
      <c r="F40" s="545">
        <f>'Auto-Calibration record'!H65</f>
        <v>18008</v>
      </c>
      <c r="G40" s="545"/>
      <c r="H40" s="541">
        <f>'Auto-Calibration record'!B75</f>
        <v>34.516399999999997</v>
      </c>
      <c r="I40" s="571"/>
      <c r="J40" s="158">
        <f>'Auto-Calibration record'!I75</f>
        <v>35</v>
      </c>
      <c r="K40" s="159" t="s">
        <v>23</v>
      </c>
      <c r="L40" s="112" t="s">
        <v>23</v>
      </c>
    </row>
    <row r="41" spans="2:12" s="102" customFormat="1" ht="25.9" customHeight="1" x14ac:dyDescent="0.45">
      <c r="D41" s="530" t="s">
        <v>597</v>
      </c>
      <c r="E41" s="530"/>
      <c r="F41" s="546">
        <f>'Auto-Calibration record'!I65</f>
        <v>30374</v>
      </c>
      <c r="G41" s="546"/>
      <c r="H41" s="541">
        <f>'Auto-Calibration record'!B76</f>
        <v>4.4329299999999998</v>
      </c>
      <c r="I41" s="571"/>
      <c r="J41" s="158">
        <f>'Auto-Calibration record'!I76</f>
        <v>5.333333333333333</v>
      </c>
      <c r="K41" s="159" t="s">
        <v>23</v>
      </c>
      <c r="L41" s="112" t="s">
        <v>23</v>
      </c>
    </row>
    <row r="42" spans="2:12" ht="20.25" x14ac:dyDescent="0.55000000000000004">
      <c r="D42" s="113" t="s">
        <v>598</v>
      </c>
      <c r="E42" s="114"/>
      <c r="F42" s="114"/>
      <c r="G42" s="114"/>
      <c r="H42" s="114"/>
      <c r="I42" s="114"/>
      <c r="J42" s="114"/>
      <c r="K42" s="114"/>
    </row>
    <row r="43" spans="2:12" ht="20.25" x14ac:dyDescent="0.55000000000000004">
      <c r="B43" s="115"/>
      <c r="D43" s="114"/>
      <c r="E43" s="114"/>
      <c r="F43" s="114"/>
      <c r="G43" s="114"/>
      <c r="H43" s="114"/>
      <c r="I43" s="114"/>
      <c r="J43" s="114"/>
      <c r="K43" s="114"/>
    </row>
    <row r="44" spans="2:12" ht="81" customHeight="1" x14ac:dyDescent="0.35">
      <c r="B44" s="115"/>
      <c r="D44" s="107" t="s">
        <v>599</v>
      </c>
      <c r="E44" s="528" t="s">
        <v>600</v>
      </c>
      <c r="F44" s="528"/>
      <c r="G44" s="528" t="s">
        <v>601</v>
      </c>
      <c r="H44" s="528"/>
      <c r="I44" s="108"/>
      <c r="J44" s="107" t="s">
        <v>677</v>
      </c>
      <c r="K44" s="107" t="s">
        <v>678</v>
      </c>
      <c r="L44" s="107" t="s">
        <v>601</v>
      </c>
    </row>
    <row r="45" spans="2:12" ht="25.9" customHeight="1" x14ac:dyDescent="0.35">
      <c r="B45" s="115"/>
      <c r="D45" s="109" t="s">
        <v>587</v>
      </c>
      <c r="E45" s="529" t="s">
        <v>587</v>
      </c>
      <c r="F45" s="529"/>
      <c r="G45" s="529" t="s">
        <v>602</v>
      </c>
      <c r="H45" s="529"/>
      <c r="I45" s="116"/>
      <c r="J45" s="109" t="s">
        <v>587</v>
      </c>
      <c r="K45" s="109" t="s">
        <v>587</v>
      </c>
      <c r="L45" s="109" t="s">
        <v>602</v>
      </c>
    </row>
    <row r="46" spans="2:12" ht="25.9" customHeight="1" x14ac:dyDescent="0.35">
      <c r="B46" s="115"/>
      <c r="D46" s="129">
        <f>'Auto-Calibration record'!B17</f>
        <v>0</v>
      </c>
      <c r="E46" s="541">
        <f>F34-D46</f>
        <v>76</v>
      </c>
      <c r="F46" s="541"/>
      <c r="G46" s="555" t="e">
        <f>F34/D46</f>
        <v>#DIV/0!</v>
      </c>
      <c r="H46" s="555"/>
      <c r="I46" s="116"/>
      <c r="J46" s="129">
        <f>'Auto-Calibration record'!B11</f>
        <v>34</v>
      </c>
      <c r="K46" s="159">
        <f>F35-J46</f>
        <v>146</v>
      </c>
      <c r="L46" s="151">
        <f>F35/J46</f>
        <v>5.2941176470588234</v>
      </c>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x14ac:dyDescent="0.35">
      <c r="B69" s="115"/>
    </row>
    <row r="70" spans="2:16" x14ac:dyDescent="0.35">
      <c r="B70" s="115"/>
    </row>
    <row r="71" spans="2:16" x14ac:dyDescent="0.35">
      <c r="B71" s="115"/>
    </row>
    <row r="72" spans="2:16" x14ac:dyDescent="0.35">
      <c r="B72" s="115"/>
    </row>
    <row r="73" spans="2:16" x14ac:dyDescent="0.35">
      <c r="B73" s="115"/>
    </row>
    <row r="74" spans="2:16" x14ac:dyDescent="0.35">
      <c r="B74" s="115"/>
    </row>
    <row r="75" spans="2:16" ht="13.15" thickBot="1" x14ac:dyDescent="0.4">
      <c r="B75" s="118"/>
      <c r="C75" s="119"/>
      <c r="D75" s="119"/>
      <c r="E75" s="119"/>
      <c r="F75" s="119"/>
      <c r="G75" s="119"/>
      <c r="H75" s="119"/>
      <c r="I75" s="119"/>
      <c r="J75" s="119"/>
      <c r="K75" s="119"/>
      <c r="L75" s="119"/>
      <c r="M75" s="119"/>
      <c r="N75" s="119"/>
      <c r="O75" s="119"/>
      <c r="P75" s="119"/>
    </row>
    <row r="76" spans="2:16" ht="13.15" thickTop="1" x14ac:dyDescent="0.35">
      <c r="B76" s="115"/>
    </row>
    <row r="77" spans="2:16" ht="25.9" customHeight="1" x14ac:dyDescent="0.35"/>
    <row r="78" spans="2:16" s="88" customFormat="1" ht="25.9" customHeight="1" x14ac:dyDescent="0.4">
      <c r="B78" s="120" t="s">
        <v>603</v>
      </c>
      <c r="C78" s="121"/>
      <c r="D78" s="130" t="s">
        <v>604</v>
      </c>
      <c r="H78" s="1"/>
      <c r="I78" s="1"/>
      <c r="K78" s="531" t="s">
        <v>605</v>
      </c>
      <c r="L78" s="532"/>
      <c r="M78" s="532"/>
      <c r="N78" s="532"/>
      <c r="O78" s="533"/>
    </row>
    <row r="79" spans="2:16" s="88" customFormat="1" ht="25.9" customHeight="1" x14ac:dyDescent="0.4">
      <c r="H79" s="1"/>
      <c r="I79" s="1"/>
      <c r="K79" s="534"/>
      <c r="L79" s="535"/>
      <c r="M79" s="535"/>
      <c r="N79" s="535"/>
      <c r="O79" s="536"/>
    </row>
    <row r="80" spans="2:16" s="88" customFormat="1" ht="25.9" customHeight="1" x14ac:dyDescent="0.4">
      <c r="B80" s="120" t="s">
        <v>606</v>
      </c>
      <c r="C80" s="121"/>
      <c r="D80" s="572" t="s">
        <v>607</v>
      </c>
      <c r="E80" s="573"/>
      <c r="F80" s="573"/>
      <c r="G80" s="574"/>
      <c r="H80" s="1"/>
      <c r="I80" s="1"/>
      <c r="K80" s="534"/>
      <c r="L80" s="535"/>
      <c r="M80" s="535"/>
      <c r="N80" s="535"/>
      <c r="O80" s="536"/>
    </row>
    <row r="81" spans="2:16" s="88" customFormat="1" ht="25.9" customHeight="1" x14ac:dyDescent="0.4">
      <c r="K81" s="537"/>
      <c r="L81" s="538"/>
      <c r="M81" s="538"/>
      <c r="N81" s="538"/>
      <c r="O81" s="539"/>
    </row>
    <row r="82" spans="2:16" s="88" customFormat="1" ht="25.9" customHeight="1" x14ac:dyDescent="0.4">
      <c r="B82" s="120" t="s">
        <v>608</v>
      </c>
      <c r="C82" s="121"/>
      <c r="D82" s="547"/>
      <c r="E82" s="548"/>
      <c r="F82" s="549"/>
      <c r="K82" s="122" t="s">
        <v>609</v>
      </c>
      <c r="L82" s="542" t="s">
        <v>610</v>
      </c>
      <c r="M82" s="543"/>
      <c r="N82" s="543"/>
      <c r="O82" s="544"/>
      <c r="P82" s="123"/>
    </row>
    <row r="83" spans="2:16" ht="25.9" customHeight="1" x14ac:dyDescent="0.4">
      <c r="H83" s="88"/>
      <c r="I83" s="88"/>
      <c r="J83" s="88"/>
      <c r="K83" s="88"/>
    </row>
    <row r="84" spans="2:16" ht="15" x14ac:dyDescent="0.4">
      <c r="B84" s="115" t="s">
        <v>611</v>
      </c>
      <c r="H84" s="88"/>
      <c r="I84" s="88"/>
      <c r="J84" s="88"/>
      <c r="K84" s="88"/>
    </row>
    <row r="85" spans="2:16" ht="15" x14ac:dyDescent="0.4">
      <c r="B85" s="115" t="s">
        <v>612</v>
      </c>
      <c r="H85" s="88"/>
      <c r="I85" s="88"/>
      <c r="J85" s="88"/>
      <c r="K85" s="88"/>
    </row>
    <row r="86" spans="2:16" x14ac:dyDescent="0.35">
      <c r="B86" s="115" t="s">
        <v>613</v>
      </c>
    </row>
    <row r="89" spans="2:16" x14ac:dyDescent="0.35">
      <c r="O89" s="124" t="s">
        <v>614</v>
      </c>
    </row>
    <row r="90" spans="2:16" x14ac:dyDescent="0.35">
      <c r="O90" s="124" t="s">
        <v>524</v>
      </c>
    </row>
    <row r="91" spans="2:16" x14ac:dyDescent="0.35">
      <c r="O91" s="124" t="s">
        <v>19</v>
      </c>
    </row>
    <row r="92" spans="2:16" x14ac:dyDescent="0.35">
      <c r="B92" s="125" t="s">
        <v>679</v>
      </c>
      <c r="C92" s="125"/>
      <c r="L92" s="125"/>
      <c r="N92" s="125"/>
      <c r="O92" s="124" t="s">
        <v>20</v>
      </c>
    </row>
    <row r="94" spans="2:16" x14ac:dyDescent="0.35">
      <c r="D94" s="125"/>
      <c r="E94" s="125"/>
      <c r="F94" s="125"/>
      <c r="G94" s="125"/>
      <c r="H94" s="125"/>
      <c r="I94" s="125"/>
      <c r="J94" s="125"/>
      <c r="K94" s="125"/>
    </row>
  </sheetData>
  <sheetProtection sheet="1" objects="1" scenarios="1" selectLockedCells="1" autoFilter="0"/>
  <autoFilter ref="D21:J25" xr:uid="{00000000-0009-0000-0000-000007000000}">
    <filterColumn colId="1" showButton="0"/>
    <filterColumn colId="3" showButton="0"/>
    <filterColumn colId="5" showButton="0"/>
  </autoFilter>
  <mergeCells count="61">
    <mergeCell ref="D19:F19"/>
    <mergeCell ref="I24:J24"/>
    <mergeCell ref="I25:J25"/>
    <mergeCell ref="D39:E39"/>
    <mergeCell ref="F39:G39"/>
    <mergeCell ref="H39:I39"/>
    <mergeCell ref="D37:E37"/>
    <mergeCell ref="F37:G37"/>
    <mergeCell ref="H37:I37"/>
    <mergeCell ref="D38:E38"/>
    <mergeCell ref="F38:G38"/>
    <mergeCell ref="H38:I38"/>
    <mergeCell ref="D35:E35"/>
    <mergeCell ref="F35:G35"/>
    <mergeCell ref="H35:I35"/>
    <mergeCell ref="D36:E36"/>
    <mergeCell ref="F36:G36"/>
    <mergeCell ref="D40:E40"/>
    <mergeCell ref="F40:G40"/>
    <mergeCell ref="H40:I40"/>
    <mergeCell ref="D82:F82"/>
    <mergeCell ref="H36:I36"/>
    <mergeCell ref="L82:O82"/>
    <mergeCell ref="D41:E41"/>
    <mergeCell ref="F41:G41"/>
    <mergeCell ref="H41:I41"/>
    <mergeCell ref="E44:F44"/>
    <mergeCell ref="G44:H44"/>
    <mergeCell ref="E45:F45"/>
    <mergeCell ref="G45:H45"/>
    <mergeCell ref="E46:F46"/>
    <mergeCell ref="G46:H46"/>
    <mergeCell ref="K78:O81"/>
    <mergeCell ref="D80:G80"/>
    <mergeCell ref="D33:E33"/>
    <mergeCell ref="F33:G33"/>
    <mergeCell ref="H33:I33"/>
    <mergeCell ref="D34:E34"/>
    <mergeCell ref="F34:G34"/>
    <mergeCell ref="H34:I34"/>
    <mergeCell ref="B10:P10"/>
    <mergeCell ref="B13:O13"/>
    <mergeCell ref="B14:O14"/>
    <mergeCell ref="D17:F17"/>
    <mergeCell ref="D18:F18"/>
    <mergeCell ref="D32:E32"/>
    <mergeCell ref="F32:G32"/>
    <mergeCell ref="H32:I32"/>
    <mergeCell ref="E21:F21"/>
    <mergeCell ref="E22:F22"/>
    <mergeCell ref="E23:F23"/>
    <mergeCell ref="E24:F24"/>
    <mergeCell ref="E25:F25"/>
    <mergeCell ref="G21:H21"/>
    <mergeCell ref="G22:H22"/>
    <mergeCell ref="G23:H23"/>
    <mergeCell ref="G24:H24"/>
    <mergeCell ref="G25:H25"/>
    <mergeCell ref="I21:J21"/>
    <mergeCell ref="I22:J22"/>
    <mergeCell ref="I23:J23"/>
  </mergeCells>
  <conditionalFormatting sqref="D78">
    <cfRule type="cellIs" dxfId="59" priority="4" stopIfTrue="1" operator="equal">
      <formula>"PASS"</formula>
    </cfRule>
    <cfRule type="cellIs" dxfId="58" priority="5" stopIfTrue="1" operator="equal">
      <formula>"FAIL"</formula>
    </cfRule>
  </conditionalFormatting>
  <conditionalFormatting sqref="G46 L46">
    <cfRule type="cellIs" dxfId="57" priority="7" stopIfTrue="1" operator="greaterThanOrEqual">
      <formula>1.19</formula>
    </cfRule>
    <cfRule type="cellIs" dxfId="56" priority="8" stopIfTrue="1" operator="lessThan">
      <formula>1.19</formula>
    </cfRule>
  </conditionalFormatting>
  <conditionalFormatting sqref="K78">
    <cfRule type="cellIs" dxfId="55" priority="9" stopIfTrue="1" operator="equal">
      <formula>"FAIL"</formula>
    </cfRule>
    <cfRule type="cellIs" dxfId="54" priority="10" stopIfTrue="1" operator="equal">
      <formula>"PASS - VERIFIED"</formula>
    </cfRule>
  </conditionalFormatting>
  <conditionalFormatting sqref="L34:L39">
    <cfRule type="cellIs" dxfId="53" priority="1" operator="between">
      <formula>-0.1</formula>
      <formula>0.1</formula>
    </cfRule>
    <cfRule type="cellIs" dxfId="52" priority="2" operator="lessThan">
      <formula>-0.1</formula>
    </cfRule>
    <cfRule type="cellIs" dxfId="51" priority="3" operator="greaterThan">
      <formula>0.1</formula>
    </cfRule>
  </conditionalFormatting>
  <conditionalFormatting sqref="O28">
    <cfRule type="cellIs" dxfId="50" priority="6" stopIfTrue="1" operator="greaterThan">
      <formula>0</formula>
    </cfRule>
  </conditionalFormatting>
  <dataValidations count="2">
    <dataValidation type="list" allowBlank="1" showInputMessage="1" showErrorMessage="1" sqref="K78" xr:uid="{00000000-0002-0000-0700-000000000000}">
      <formula1>"PASS - VERIFIED, FAIL"</formula1>
    </dataValidation>
    <dataValidation type="list" allowBlank="1" showInputMessage="1" showErrorMessage="1" sqref="D78" xr:uid="{00000000-0002-0000-0700-000001000000}">
      <formula1>"PASS, FAIL"</formula1>
    </dataValidation>
  </dataValidations>
  <hyperlinks>
    <hyperlink ref="B8" r:id="rId1" xr:uid="{00000000-0004-0000-07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17761"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117761" r:id="rId5"/>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2:P88"/>
  <sheetViews>
    <sheetView zoomScale="55" zoomScaleNormal="55" zoomScalePageLayoutView="55"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680</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46163.5</v>
      </c>
    </row>
    <row r="19" spans="2:15" ht="25.9" customHeight="1" x14ac:dyDescent="0.45">
      <c r="B19" s="131" t="s">
        <v>575</v>
      </c>
      <c r="C19" s="132"/>
      <c r="D19" s="552" t="str">
        <f>'Auto-Calibration record'!H17</f>
        <v>63010062 210526</v>
      </c>
      <c r="E19" s="553"/>
      <c r="F19" s="55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76</v>
      </c>
      <c r="G28" s="545"/>
      <c r="H28" s="541">
        <f>'Auto-Calibration record'!B68</f>
        <v>1415270</v>
      </c>
      <c r="I28" s="571"/>
      <c r="J28" s="158">
        <f>'Auto-Calibration record'!I68</f>
        <v>1429381</v>
      </c>
      <c r="K28" s="159">
        <f t="shared" ref="K28:K33" si="0">J28-H28</f>
        <v>14111</v>
      </c>
      <c r="L28" s="111">
        <f t="shared" ref="L28:L33" si="1">K28/H28</f>
        <v>9.9705356575070479E-3</v>
      </c>
    </row>
    <row r="29" spans="2:15" s="108" customFormat="1" ht="25.9" customHeight="1" x14ac:dyDescent="0.35">
      <c r="D29" s="530" t="s">
        <v>591</v>
      </c>
      <c r="E29" s="530"/>
      <c r="F29" s="545">
        <f>'Auto-Calibration record'!C65</f>
        <v>180</v>
      </c>
      <c r="G29" s="545"/>
      <c r="H29" s="541">
        <f>'Auto-Calibration record'!B69</f>
        <v>580231</v>
      </c>
      <c r="I29" s="571"/>
      <c r="J29" s="158">
        <f>'Auto-Calibration record'!I69</f>
        <v>582583</v>
      </c>
      <c r="K29" s="159">
        <f t="shared" si="0"/>
        <v>2352</v>
      </c>
      <c r="L29" s="111">
        <f t="shared" si="1"/>
        <v>4.0535579794943738E-3</v>
      </c>
    </row>
    <row r="30" spans="2:15" s="108" customFormat="1" ht="25.9" customHeight="1" x14ac:dyDescent="0.35">
      <c r="D30" s="530" t="s">
        <v>592</v>
      </c>
      <c r="E30" s="530"/>
      <c r="F30" s="545">
        <f>'Auto-Calibration record'!D65</f>
        <v>1020</v>
      </c>
      <c r="G30" s="545"/>
      <c r="H30" s="541">
        <f>'Auto-Calibration record'!B71</f>
        <v>45814.7</v>
      </c>
      <c r="I30" s="571"/>
      <c r="J30" s="158">
        <f>'Auto-Calibration record'!I71</f>
        <v>46338.333333333336</v>
      </c>
      <c r="K30" s="159">
        <f t="shared" si="0"/>
        <v>523.63333333333867</v>
      </c>
      <c r="L30" s="111">
        <f t="shared" si="1"/>
        <v>1.1429373832707378E-2</v>
      </c>
    </row>
    <row r="31" spans="2:15" s="108" customFormat="1" ht="25.9" customHeight="1" x14ac:dyDescent="0.35">
      <c r="D31" s="530" t="s">
        <v>593</v>
      </c>
      <c r="E31" s="530"/>
      <c r="F31" s="545">
        <f>'Auto-Calibration record'!E65</f>
        <v>2204</v>
      </c>
      <c r="G31" s="545"/>
      <c r="H31" s="541">
        <f>'Auto-Calibration record'!B72</f>
        <v>11873.6</v>
      </c>
      <c r="I31" s="571"/>
      <c r="J31" s="158">
        <f>'Auto-Calibration record'!I72</f>
        <v>12191</v>
      </c>
      <c r="K31" s="159">
        <f t="shared" si="0"/>
        <v>317.39999999999964</v>
      </c>
      <c r="L31" s="111">
        <f t="shared" si="1"/>
        <v>2.6731572564344396E-2</v>
      </c>
    </row>
    <row r="32" spans="2:15" s="108" customFormat="1" ht="25.9" customHeight="1" x14ac:dyDescent="0.35">
      <c r="D32" s="530" t="s">
        <v>594</v>
      </c>
      <c r="E32" s="530"/>
      <c r="F32" s="545">
        <f>'Auto-Calibration record'!F65</f>
        <v>3244</v>
      </c>
      <c r="G32" s="545"/>
      <c r="H32" s="541">
        <f>'Auto-Calibration record'!B73</f>
        <v>5545.63</v>
      </c>
      <c r="I32" s="571"/>
      <c r="J32" s="158">
        <f>'Auto-Calibration record'!I73</f>
        <v>5583.666666666667</v>
      </c>
      <c r="K32" s="159">
        <f t="shared" si="0"/>
        <v>38.036666666666861</v>
      </c>
      <c r="L32" s="111">
        <f t="shared" si="1"/>
        <v>6.8588540286075453E-3</v>
      </c>
    </row>
    <row r="33" spans="2:14" s="108" customFormat="1" ht="25.9" customHeight="1" x14ac:dyDescent="0.35">
      <c r="D33" s="530" t="s">
        <v>595</v>
      </c>
      <c r="E33" s="530"/>
      <c r="F33" s="545">
        <f>'Auto-Calibration record'!G65</f>
        <v>11420</v>
      </c>
      <c r="G33" s="545"/>
      <c r="H33" s="541">
        <f>'Auto-Calibration record'!B74</f>
        <v>184.08699999999999</v>
      </c>
      <c r="I33" s="571"/>
      <c r="J33" s="158">
        <f>'Auto-Calibration record'!I74</f>
        <v>169</v>
      </c>
      <c r="K33" s="159">
        <f t="shared" si="0"/>
        <v>-15.086999999999989</v>
      </c>
      <c r="L33" s="111">
        <f t="shared" si="1"/>
        <v>-8.1955814370379174E-2</v>
      </c>
    </row>
    <row r="34" spans="2:14" s="108" customFormat="1" ht="25.9" customHeight="1" x14ac:dyDescent="0.35">
      <c r="D34" s="530" t="s">
        <v>596</v>
      </c>
      <c r="E34" s="530"/>
      <c r="F34" s="545">
        <f>'Auto-Calibration record'!H65</f>
        <v>18008</v>
      </c>
      <c r="G34" s="545"/>
      <c r="H34" s="541">
        <f>'Auto-Calibration record'!B75</f>
        <v>34.516399999999997</v>
      </c>
      <c r="I34" s="571"/>
      <c r="J34" s="158">
        <f>'Auto-Calibration record'!I75</f>
        <v>35</v>
      </c>
      <c r="K34" s="159" t="s">
        <v>23</v>
      </c>
      <c r="L34" s="112" t="s">
        <v>23</v>
      </c>
    </row>
    <row r="35" spans="2:14" s="102" customFormat="1" ht="25.9" customHeight="1" x14ac:dyDescent="0.45">
      <c r="D35" s="530" t="s">
        <v>597</v>
      </c>
      <c r="E35" s="530"/>
      <c r="F35" s="546">
        <f>'Auto-Calibration record'!I65</f>
        <v>30374</v>
      </c>
      <c r="G35" s="546"/>
      <c r="H35" s="541">
        <f>'Auto-Calibration record'!B76</f>
        <v>4.4329299999999998</v>
      </c>
      <c r="I35" s="571"/>
      <c r="J35" s="158">
        <f>'Auto-Calibration record'!I76</f>
        <v>5.333333333333333</v>
      </c>
      <c r="K35" s="159" t="s">
        <v>23</v>
      </c>
      <c r="L35" s="112" t="s">
        <v>23</v>
      </c>
    </row>
    <row r="36" spans="2:14" ht="20.25" x14ac:dyDescent="0.55000000000000004">
      <c r="D36" s="113" t="s">
        <v>598</v>
      </c>
      <c r="E36" s="114"/>
      <c r="F36" s="114"/>
      <c r="G36" s="114"/>
      <c r="H36" s="114"/>
      <c r="I36" s="114"/>
      <c r="J36" s="114"/>
      <c r="K36" s="114"/>
    </row>
    <row r="37" spans="2:14" ht="20.25" x14ac:dyDescent="0.55000000000000004">
      <c r="B37" s="115"/>
      <c r="D37" s="114"/>
      <c r="E37" s="114"/>
      <c r="F37" s="114"/>
      <c r="G37" s="114"/>
      <c r="H37" s="114"/>
      <c r="I37" s="114"/>
      <c r="J37" s="114"/>
      <c r="K37" s="114"/>
    </row>
    <row r="38" spans="2:14" ht="81" customHeight="1" x14ac:dyDescent="0.35">
      <c r="B38" s="115"/>
      <c r="D38" s="107" t="s">
        <v>599</v>
      </c>
      <c r="E38" s="528" t="s">
        <v>600</v>
      </c>
      <c r="F38" s="528"/>
      <c r="G38" s="528" t="s">
        <v>601</v>
      </c>
      <c r="H38" s="528"/>
      <c r="I38" s="108"/>
      <c r="J38" s="107" t="s">
        <v>677</v>
      </c>
      <c r="K38" s="107" t="s">
        <v>678</v>
      </c>
      <c r="L38" s="107" t="s">
        <v>601</v>
      </c>
      <c r="N38" s="152"/>
    </row>
    <row r="39" spans="2:14" ht="25.9" customHeight="1" x14ac:dyDescent="0.35">
      <c r="B39" s="115"/>
      <c r="D39" s="109" t="s">
        <v>587</v>
      </c>
      <c r="E39" s="529" t="s">
        <v>587</v>
      </c>
      <c r="F39" s="529"/>
      <c r="G39" s="529" t="s">
        <v>602</v>
      </c>
      <c r="H39" s="529"/>
      <c r="I39" s="116"/>
      <c r="J39" s="109" t="s">
        <v>587</v>
      </c>
      <c r="K39" s="109" t="s">
        <v>587</v>
      </c>
      <c r="L39" s="109" t="s">
        <v>602</v>
      </c>
    </row>
    <row r="40" spans="2:14" ht="25.9" customHeight="1" x14ac:dyDescent="0.35">
      <c r="B40" s="115"/>
      <c r="D40" s="129">
        <f>'Auto-Calibration record'!B17</f>
        <v>0</v>
      </c>
      <c r="E40" s="541">
        <f>F28-D40</f>
        <v>76</v>
      </c>
      <c r="F40" s="541"/>
      <c r="G40" s="555" t="e">
        <f>F28/D40</f>
        <v>#DIV/0!</v>
      </c>
      <c r="H40" s="555"/>
      <c r="I40" s="116"/>
      <c r="J40" s="129">
        <f>'Auto-Calibration record'!B11</f>
        <v>34</v>
      </c>
      <c r="K40" s="159">
        <f>F29-J40</f>
        <v>146</v>
      </c>
      <c r="L40" s="151">
        <f>F29/J40</f>
        <v>5.2941176470588234</v>
      </c>
    </row>
    <row r="41" spans="2:14" x14ac:dyDescent="0.35">
      <c r="B41" s="115"/>
    </row>
    <row r="42" spans="2:14" x14ac:dyDescent="0.35">
      <c r="B42" s="115"/>
    </row>
    <row r="43" spans="2:14" x14ac:dyDescent="0.35">
      <c r="B43" s="115"/>
    </row>
    <row r="44" spans="2:14" x14ac:dyDescent="0.35">
      <c r="B44" s="115"/>
    </row>
    <row r="45" spans="2:14" x14ac:dyDescent="0.35">
      <c r="B45" s="115"/>
    </row>
    <row r="46" spans="2:14" x14ac:dyDescent="0.35">
      <c r="B46" s="115"/>
    </row>
    <row r="47" spans="2:14" x14ac:dyDescent="0.35">
      <c r="B47" s="115"/>
    </row>
    <row r="48" spans="2:14"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72" t="s">
        <v>607</v>
      </c>
      <c r="E74" s="573"/>
      <c r="F74" s="573"/>
      <c r="G74" s="574"/>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c r="E76" s="548"/>
      <c r="F76" s="549"/>
      <c r="K76" s="122" t="s">
        <v>609</v>
      </c>
      <c r="L76" s="542" t="s">
        <v>610</v>
      </c>
      <c r="M76" s="543"/>
      <c r="N76" s="543"/>
      <c r="O76" s="544"/>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9" priority="2" stopIfTrue="1" operator="equal">
      <formula>"PASS"</formula>
    </cfRule>
    <cfRule type="cellIs" dxfId="48" priority="3" stopIfTrue="1" operator="equal">
      <formula>"FAIL"</formula>
    </cfRule>
  </conditionalFormatting>
  <conditionalFormatting sqref="G40 L40">
    <cfRule type="cellIs" dxfId="47" priority="5" stopIfTrue="1" operator="greaterThanOrEqual">
      <formula>1.19</formula>
    </cfRule>
    <cfRule type="cellIs" dxfId="46" priority="6" stopIfTrue="1" operator="lessThan">
      <formula>1.19</formula>
    </cfRule>
  </conditionalFormatting>
  <conditionalFormatting sqref="K72">
    <cfRule type="cellIs" dxfId="45" priority="7" stopIfTrue="1" operator="equal">
      <formula>"FAIL"</formula>
    </cfRule>
    <cfRule type="cellIs" dxfId="44" priority="8" stopIfTrue="1" operator="equal">
      <formula>"PASS - VERIFIED"</formula>
    </cfRule>
  </conditionalFormatting>
  <conditionalFormatting sqref="L28:L33">
    <cfRule type="cellIs" dxfId="43" priority="1" operator="between">
      <formula>-0.1</formula>
      <formula>0.1</formula>
    </cfRule>
  </conditionalFormatting>
  <conditionalFormatting sqref="O22">
    <cfRule type="cellIs" dxfId="42" priority="4" stopIfTrue="1" operator="greaterThan">
      <formula>0</formula>
    </cfRule>
  </conditionalFormatting>
  <dataValidations count="2">
    <dataValidation type="list" allowBlank="1" showInputMessage="1" showErrorMessage="1" sqref="K72" xr:uid="{00000000-0002-0000-0800-000000000000}">
      <formula1>"PASS - VERIFIED, FAIL"</formula1>
    </dataValidation>
    <dataValidation type="list" allowBlank="1" showInputMessage="1" showErrorMessage="1" sqref="D72" xr:uid="{00000000-0002-0000-0800-000001000000}">
      <formula1>"PASS, FAIL"</formula1>
    </dataValidation>
  </dataValidations>
  <hyperlinks>
    <hyperlink ref="B8" r:id="rId1" xr:uid="{00000000-0004-0000-0800-000000000000}"/>
  </hyperlinks>
  <pageMargins left="0.7" right="0.7" top="0.75" bottom="0.75" header="0.3" footer="0.3"/>
  <pageSetup paperSize="9" scale="3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2:P88"/>
  <sheetViews>
    <sheetView zoomScale="55" zoomScaleNormal="55" zoomScalePageLayoutView="40"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680</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46163.5</v>
      </c>
    </row>
    <row r="19" spans="2:15" ht="25.9" customHeight="1" x14ac:dyDescent="0.45">
      <c r="B19" s="131" t="s">
        <v>575</v>
      </c>
      <c r="C19" s="132"/>
      <c r="D19" s="552" t="str">
        <f>'Auto-Calibration record'!H17</f>
        <v>63010062 210526</v>
      </c>
      <c r="E19" s="553"/>
      <c r="F19" s="55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76</v>
      </c>
      <c r="G28" s="545"/>
      <c r="H28" s="541">
        <f>'Auto-Calibration record'!B68</f>
        <v>1415270</v>
      </c>
      <c r="I28" s="571"/>
      <c r="J28" s="158">
        <f>'Auto-Calibration record'!I68</f>
        <v>1429381</v>
      </c>
      <c r="K28" s="159">
        <f t="shared" ref="K28:K33" si="0">J28-H28</f>
        <v>14111</v>
      </c>
      <c r="L28" s="111">
        <f t="shared" ref="L28:L33" si="1">K28/H28</f>
        <v>9.9705356575070479E-3</v>
      </c>
    </row>
    <row r="29" spans="2:15" s="108" customFormat="1" ht="25.9" customHeight="1" x14ac:dyDescent="0.35">
      <c r="D29" s="530" t="s">
        <v>591</v>
      </c>
      <c r="E29" s="530"/>
      <c r="F29" s="545">
        <f>'Auto-Calibration record'!C65</f>
        <v>180</v>
      </c>
      <c r="G29" s="545"/>
      <c r="H29" s="541">
        <f>'Auto-Calibration record'!B69</f>
        <v>580231</v>
      </c>
      <c r="I29" s="571"/>
      <c r="J29" s="158">
        <f>'Auto-Calibration record'!I69</f>
        <v>582583</v>
      </c>
      <c r="K29" s="159">
        <f t="shared" si="0"/>
        <v>2352</v>
      </c>
      <c r="L29" s="111">
        <f t="shared" si="1"/>
        <v>4.0535579794943738E-3</v>
      </c>
    </row>
    <row r="30" spans="2:15" s="108" customFormat="1" ht="25.9" customHeight="1" x14ac:dyDescent="0.35">
      <c r="D30" s="530" t="s">
        <v>592</v>
      </c>
      <c r="E30" s="530"/>
      <c r="F30" s="545">
        <f>'Auto-Calibration record'!D65</f>
        <v>1020</v>
      </c>
      <c r="G30" s="545"/>
      <c r="H30" s="541">
        <f>'Auto-Calibration record'!B71</f>
        <v>45814.7</v>
      </c>
      <c r="I30" s="571"/>
      <c r="J30" s="158">
        <f>'Auto-Calibration record'!I71</f>
        <v>46338.333333333336</v>
      </c>
      <c r="K30" s="159">
        <f t="shared" si="0"/>
        <v>523.63333333333867</v>
      </c>
      <c r="L30" s="111">
        <f t="shared" si="1"/>
        <v>1.1429373832707378E-2</v>
      </c>
    </row>
    <row r="31" spans="2:15" s="108" customFormat="1" ht="25.9" customHeight="1" x14ac:dyDescent="0.35">
      <c r="D31" s="530" t="s">
        <v>593</v>
      </c>
      <c r="E31" s="530"/>
      <c r="F31" s="545">
        <f>'Auto-Calibration record'!E65</f>
        <v>2204</v>
      </c>
      <c r="G31" s="545"/>
      <c r="H31" s="541">
        <f>'Auto-Calibration record'!B72</f>
        <v>11873.6</v>
      </c>
      <c r="I31" s="571"/>
      <c r="J31" s="158">
        <f>'Auto-Calibration record'!I72</f>
        <v>12191</v>
      </c>
      <c r="K31" s="159">
        <f t="shared" si="0"/>
        <v>317.39999999999964</v>
      </c>
      <c r="L31" s="111">
        <f t="shared" si="1"/>
        <v>2.6731572564344396E-2</v>
      </c>
    </row>
    <row r="32" spans="2:15" s="108" customFormat="1" ht="25.9" customHeight="1" x14ac:dyDescent="0.35">
      <c r="D32" s="530" t="s">
        <v>594</v>
      </c>
      <c r="E32" s="530"/>
      <c r="F32" s="545">
        <f>'Auto-Calibration record'!F65</f>
        <v>3244</v>
      </c>
      <c r="G32" s="545"/>
      <c r="H32" s="541">
        <f>'Auto-Calibration record'!B73</f>
        <v>5545.63</v>
      </c>
      <c r="I32" s="571"/>
      <c r="J32" s="158">
        <f>'Auto-Calibration record'!I73</f>
        <v>5583.666666666667</v>
      </c>
      <c r="K32" s="159">
        <f t="shared" si="0"/>
        <v>38.036666666666861</v>
      </c>
      <c r="L32" s="111">
        <f t="shared" si="1"/>
        <v>6.8588540286075453E-3</v>
      </c>
    </row>
    <row r="33" spans="2:12" s="108" customFormat="1" ht="25.9" customHeight="1" x14ac:dyDescent="0.35">
      <c r="D33" s="530" t="s">
        <v>595</v>
      </c>
      <c r="E33" s="530"/>
      <c r="F33" s="545">
        <f>'Auto-Calibration record'!G65</f>
        <v>11420</v>
      </c>
      <c r="G33" s="545"/>
      <c r="H33" s="541">
        <f>'Auto-Calibration record'!B74</f>
        <v>184.08699999999999</v>
      </c>
      <c r="I33" s="571"/>
      <c r="J33" s="158">
        <f>'Auto-Calibration record'!I74</f>
        <v>169</v>
      </c>
      <c r="K33" s="159">
        <f t="shared" si="0"/>
        <v>-15.086999999999989</v>
      </c>
      <c r="L33" s="111">
        <f t="shared" si="1"/>
        <v>-8.1955814370379174E-2</v>
      </c>
    </row>
    <row r="34" spans="2:12" s="108" customFormat="1" ht="25.9" customHeight="1" x14ac:dyDescent="0.35">
      <c r="D34" s="530" t="s">
        <v>596</v>
      </c>
      <c r="E34" s="530"/>
      <c r="F34" s="545">
        <f>'Auto-Calibration record'!H65</f>
        <v>18008</v>
      </c>
      <c r="G34" s="545"/>
      <c r="H34" s="541">
        <f>'Auto-Calibration record'!B75</f>
        <v>34.516399999999997</v>
      </c>
      <c r="I34" s="571"/>
      <c r="J34" s="158">
        <f>'Auto-Calibration record'!I75</f>
        <v>35</v>
      </c>
      <c r="K34" s="159" t="s">
        <v>23</v>
      </c>
      <c r="L34" s="112" t="s">
        <v>23</v>
      </c>
    </row>
    <row r="35" spans="2:12" s="102" customFormat="1" ht="25.9" customHeight="1" x14ac:dyDescent="0.45">
      <c r="D35" s="530" t="s">
        <v>597</v>
      </c>
      <c r="E35" s="530"/>
      <c r="F35" s="546">
        <f>'Auto-Calibration record'!I65</f>
        <v>30374</v>
      </c>
      <c r="G35" s="546"/>
      <c r="H35" s="541">
        <f>'Auto-Calibration record'!B76</f>
        <v>4.4329299999999998</v>
      </c>
      <c r="I35" s="571"/>
      <c r="J35" s="158">
        <f>'Auto-Calibration record'!I76</f>
        <v>5.333333333333333</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07" t="s">
        <v>677</v>
      </c>
      <c r="K38" s="107" t="s">
        <v>678</v>
      </c>
      <c r="L38" s="107" t="s">
        <v>601</v>
      </c>
    </row>
    <row r="39" spans="2:12" ht="25.9" customHeight="1" x14ac:dyDescent="0.35">
      <c r="B39" s="115"/>
      <c r="D39" s="109" t="s">
        <v>587</v>
      </c>
      <c r="E39" s="529" t="s">
        <v>587</v>
      </c>
      <c r="F39" s="529"/>
      <c r="G39" s="529" t="s">
        <v>602</v>
      </c>
      <c r="H39" s="529"/>
      <c r="I39" s="116"/>
      <c r="J39" s="109" t="s">
        <v>587</v>
      </c>
      <c r="K39" s="109" t="s">
        <v>587</v>
      </c>
      <c r="L39" s="109" t="s">
        <v>602</v>
      </c>
    </row>
    <row r="40" spans="2:12" ht="25.9" customHeight="1" x14ac:dyDescent="0.35">
      <c r="B40" s="115"/>
      <c r="D40" s="129">
        <f>'Auto-Calibration record'!B17</f>
        <v>0</v>
      </c>
      <c r="E40" s="541">
        <f>F28-D40</f>
        <v>76</v>
      </c>
      <c r="F40" s="541"/>
      <c r="G40" s="555" t="e">
        <f>F28/D40</f>
        <v>#DIV/0!</v>
      </c>
      <c r="H40" s="555"/>
      <c r="I40" s="116"/>
      <c r="J40" s="129">
        <f>'Auto-Calibration record'!B11</f>
        <v>34</v>
      </c>
      <c r="K40" s="159">
        <f>F29-J40</f>
        <v>146</v>
      </c>
      <c r="L40" s="151">
        <f>F29/J40</f>
        <v>5.2941176470588234</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72" t="s">
        <v>607</v>
      </c>
      <c r="E74" s="573"/>
      <c r="F74" s="573"/>
      <c r="G74" s="574"/>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c r="E76" s="548"/>
      <c r="F76" s="549"/>
      <c r="K76" s="122" t="s">
        <v>609</v>
      </c>
      <c r="L76" s="542" t="s">
        <v>610</v>
      </c>
      <c r="M76" s="543"/>
      <c r="N76" s="543"/>
      <c r="O76" s="544"/>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1" priority="2" stopIfTrue="1" operator="equal">
      <formula>"PASS"</formula>
    </cfRule>
    <cfRule type="cellIs" dxfId="40" priority="3" stopIfTrue="1" operator="equal">
      <formula>"FAIL"</formula>
    </cfRule>
  </conditionalFormatting>
  <conditionalFormatting sqref="G40 L40">
    <cfRule type="cellIs" dxfId="39" priority="5" stopIfTrue="1" operator="greaterThanOrEqual">
      <formula>1.19</formula>
    </cfRule>
    <cfRule type="cellIs" dxfId="38" priority="6" stopIfTrue="1" operator="lessThan">
      <formula>1.19</formula>
    </cfRule>
  </conditionalFormatting>
  <conditionalFormatting sqref="K72">
    <cfRule type="cellIs" dxfId="37" priority="7" stopIfTrue="1" operator="equal">
      <formula>"FAIL"</formula>
    </cfRule>
    <cfRule type="cellIs" dxfId="36" priority="8" stopIfTrue="1" operator="equal">
      <formula>"PASS - VERIFIED"</formula>
    </cfRule>
  </conditionalFormatting>
  <conditionalFormatting sqref="L28:L33">
    <cfRule type="cellIs" dxfId="35" priority="1" operator="between">
      <formula>-0.1</formula>
      <formula>0.1</formula>
    </cfRule>
  </conditionalFormatting>
  <conditionalFormatting sqref="O22">
    <cfRule type="cellIs" dxfId="34" priority="4" stopIfTrue="1" operator="greaterThan">
      <formula>0</formula>
    </cfRule>
  </conditionalFormatting>
  <dataValidations count="2">
    <dataValidation type="list" allowBlank="1" showInputMessage="1" showErrorMessage="1" sqref="K72" xr:uid="{00000000-0002-0000-0900-000000000000}">
      <formula1>"PASS - VERIFIED, FAIL"</formula1>
    </dataValidation>
    <dataValidation type="list" allowBlank="1" showInputMessage="1" showErrorMessage="1" sqref="D72" xr:uid="{00000000-0002-0000-0900-000001000000}">
      <formula1>"PASS, FAIL"</formula1>
    </dataValidation>
  </dataValidations>
  <pageMargins left="0.7" right="0.7" top="0.75" bottom="0.75" header="0.3" footer="0.3"/>
  <pageSetup scale="40"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pageSetUpPr fitToPage="1"/>
  </sheetPr>
  <dimension ref="A2:P88"/>
  <sheetViews>
    <sheetView topLeftCell="A13" zoomScale="55" zoomScaleNormal="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666</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46163.5</v>
      </c>
    </row>
    <row r="19" spans="2:15" ht="25.9" customHeight="1" x14ac:dyDescent="0.45">
      <c r="B19" s="131" t="s">
        <v>575</v>
      </c>
      <c r="C19" s="132"/>
      <c r="D19" s="552" t="str">
        <f>'Auto-Calibration record'!H17</f>
        <v>63010062 210526</v>
      </c>
      <c r="E19" s="553"/>
      <c r="F19" s="55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76</v>
      </c>
      <c r="G28" s="545"/>
      <c r="H28" s="541">
        <f>'Auto-Calibration record'!B68</f>
        <v>1415270</v>
      </c>
      <c r="I28" s="571"/>
      <c r="J28" s="158">
        <f>'Auto-Calibration record'!I68</f>
        <v>1429381</v>
      </c>
      <c r="K28" s="159">
        <f t="shared" ref="K28:K33" si="0">J28-H28</f>
        <v>14111</v>
      </c>
      <c r="L28" s="111">
        <f t="shared" ref="L28:L33" si="1">K28/H28</f>
        <v>9.9705356575070479E-3</v>
      </c>
    </row>
    <row r="29" spans="2:15" s="108" customFormat="1" ht="25.9" customHeight="1" x14ac:dyDescent="0.35">
      <c r="D29" s="530" t="s">
        <v>591</v>
      </c>
      <c r="E29" s="530"/>
      <c r="F29" s="545">
        <f>'Auto-Calibration record'!C65</f>
        <v>180</v>
      </c>
      <c r="G29" s="545"/>
      <c r="H29" s="541">
        <f>'Auto-Calibration record'!B69</f>
        <v>580231</v>
      </c>
      <c r="I29" s="571"/>
      <c r="J29" s="158">
        <f>'Auto-Calibration record'!I69</f>
        <v>582583</v>
      </c>
      <c r="K29" s="159">
        <f t="shared" si="0"/>
        <v>2352</v>
      </c>
      <c r="L29" s="111">
        <f t="shared" si="1"/>
        <v>4.0535579794943738E-3</v>
      </c>
    </row>
    <row r="30" spans="2:15" s="108" customFormat="1" ht="25.9" customHeight="1" x14ac:dyDescent="0.35">
      <c r="D30" s="530" t="s">
        <v>592</v>
      </c>
      <c r="E30" s="530"/>
      <c r="F30" s="545">
        <f>'Auto-Calibration record'!D65</f>
        <v>1020</v>
      </c>
      <c r="G30" s="545"/>
      <c r="H30" s="541">
        <f>'Auto-Calibration record'!B71</f>
        <v>45814.7</v>
      </c>
      <c r="I30" s="571"/>
      <c r="J30" s="158">
        <f>'Auto-Calibration record'!I71</f>
        <v>46338.333333333336</v>
      </c>
      <c r="K30" s="159">
        <f t="shared" si="0"/>
        <v>523.63333333333867</v>
      </c>
      <c r="L30" s="111">
        <f t="shared" si="1"/>
        <v>1.1429373832707378E-2</v>
      </c>
    </row>
    <row r="31" spans="2:15" s="108" customFormat="1" ht="25.9" customHeight="1" x14ac:dyDescent="0.35">
      <c r="D31" s="530" t="s">
        <v>593</v>
      </c>
      <c r="E31" s="530"/>
      <c r="F31" s="545">
        <f>'Auto-Calibration record'!E65</f>
        <v>2204</v>
      </c>
      <c r="G31" s="545"/>
      <c r="H31" s="541">
        <f>'Auto-Calibration record'!B72</f>
        <v>11873.6</v>
      </c>
      <c r="I31" s="571"/>
      <c r="J31" s="158">
        <f>'Auto-Calibration record'!I72</f>
        <v>12191</v>
      </c>
      <c r="K31" s="159">
        <f t="shared" si="0"/>
        <v>317.39999999999964</v>
      </c>
      <c r="L31" s="111">
        <f t="shared" si="1"/>
        <v>2.6731572564344396E-2</v>
      </c>
    </row>
    <row r="32" spans="2:15" s="108" customFormat="1" ht="25.9" customHeight="1" x14ac:dyDescent="0.35">
      <c r="D32" s="530" t="s">
        <v>594</v>
      </c>
      <c r="E32" s="530"/>
      <c r="F32" s="545">
        <f>'Auto-Calibration record'!F65</f>
        <v>3244</v>
      </c>
      <c r="G32" s="545"/>
      <c r="H32" s="541">
        <f>'Auto-Calibration record'!B73</f>
        <v>5545.63</v>
      </c>
      <c r="I32" s="571"/>
      <c r="J32" s="158">
        <f>'Auto-Calibration record'!I73</f>
        <v>5583.666666666667</v>
      </c>
      <c r="K32" s="159">
        <f t="shared" si="0"/>
        <v>38.036666666666861</v>
      </c>
      <c r="L32" s="111">
        <f t="shared" si="1"/>
        <v>6.8588540286075453E-3</v>
      </c>
    </row>
    <row r="33" spans="2:12" s="108" customFormat="1" ht="25.9" customHeight="1" x14ac:dyDescent="0.35">
      <c r="D33" s="530" t="s">
        <v>595</v>
      </c>
      <c r="E33" s="530"/>
      <c r="F33" s="545">
        <f>'Auto-Calibration record'!G65</f>
        <v>11420</v>
      </c>
      <c r="G33" s="545"/>
      <c r="H33" s="541">
        <f>'Auto-Calibration record'!B74</f>
        <v>184.08699999999999</v>
      </c>
      <c r="I33" s="571"/>
      <c r="J33" s="158">
        <f>'Auto-Calibration record'!I74</f>
        <v>169</v>
      </c>
      <c r="K33" s="159">
        <f t="shared" si="0"/>
        <v>-15.086999999999989</v>
      </c>
      <c r="L33" s="111">
        <f t="shared" si="1"/>
        <v>-8.1955814370379174E-2</v>
      </c>
    </row>
    <row r="34" spans="2:12" s="108" customFormat="1" ht="25.9" customHeight="1" x14ac:dyDescent="0.35">
      <c r="D34" s="530" t="s">
        <v>596</v>
      </c>
      <c r="E34" s="530"/>
      <c r="F34" s="545">
        <f>'Auto-Calibration record'!H65</f>
        <v>18008</v>
      </c>
      <c r="G34" s="545"/>
      <c r="H34" s="541">
        <f>'Auto-Calibration record'!B75</f>
        <v>34.516399999999997</v>
      </c>
      <c r="I34" s="571"/>
      <c r="J34" s="158">
        <f>'Auto-Calibration record'!I75</f>
        <v>35</v>
      </c>
      <c r="K34" s="159" t="s">
        <v>23</v>
      </c>
      <c r="L34" s="112" t="s">
        <v>23</v>
      </c>
    </row>
    <row r="35" spans="2:12" s="102" customFormat="1" ht="25.9" customHeight="1" x14ac:dyDescent="0.45">
      <c r="D35" s="530" t="s">
        <v>597</v>
      </c>
      <c r="E35" s="530"/>
      <c r="F35" s="546">
        <f>'Auto-Calibration record'!I65</f>
        <v>30374</v>
      </c>
      <c r="G35" s="546"/>
      <c r="H35" s="541">
        <f>'Auto-Calibration record'!B76</f>
        <v>4.4329299999999998</v>
      </c>
      <c r="I35" s="571"/>
      <c r="J35" s="158">
        <f>'Auto-Calibration record'!I76</f>
        <v>5.333333333333333</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07" t="s">
        <v>677</v>
      </c>
      <c r="K38" s="107" t="s">
        <v>678</v>
      </c>
      <c r="L38" s="107" t="s">
        <v>601</v>
      </c>
    </row>
    <row r="39" spans="2:12" ht="25.9" customHeight="1" x14ac:dyDescent="0.35">
      <c r="B39" s="115"/>
      <c r="D39" s="109" t="s">
        <v>587</v>
      </c>
      <c r="E39" s="529" t="s">
        <v>587</v>
      </c>
      <c r="F39" s="529"/>
      <c r="G39" s="529" t="s">
        <v>602</v>
      </c>
      <c r="H39" s="529"/>
      <c r="I39" s="116"/>
      <c r="J39" s="109" t="s">
        <v>587</v>
      </c>
      <c r="K39" s="109" t="s">
        <v>587</v>
      </c>
      <c r="L39" s="109" t="s">
        <v>602</v>
      </c>
    </row>
    <row r="40" spans="2:12" ht="25.9" customHeight="1" x14ac:dyDescent="0.35">
      <c r="B40" s="115"/>
      <c r="D40" s="129">
        <f>'Auto-Calibration record'!B17</f>
        <v>0</v>
      </c>
      <c r="E40" s="541">
        <f>F28-D40</f>
        <v>76</v>
      </c>
      <c r="F40" s="541"/>
      <c r="G40" s="555" t="e">
        <f>F28/D40</f>
        <v>#DIV/0!</v>
      </c>
      <c r="H40" s="555"/>
      <c r="I40" s="116"/>
      <c r="J40" s="129">
        <f>'Auto-Calibration record'!B11</f>
        <v>34</v>
      </c>
      <c r="K40" s="159">
        <f>F29-J40</f>
        <v>146</v>
      </c>
      <c r="L40" s="151">
        <f>F29/J40</f>
        <v>5.2941176470588234</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72" t="s">
        <v>607</v>
      </c>
      <c r="E74" s="573"/>
      <c r="F74" s="573"/>
      <c r="G74" s="574"/>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c r="E76" s="548"/>
      <c r="F76" s="549"/>
      <c r="K76" s="122" t="s">
        <v>609</v>
      </c>
      <c r="L76" s="542" t="s">
        <v>610</v>
      </c>
      <c r="M76" s="543"/>
      <c r="N76" s="543"/>
      <c r="O76" s="544"/>
      <c r="P76" s="123"/>
    </row>
    <row r="77" spans="2:16" ht="25.9" customHeight="1" x14ac:dyDescent="0.4">
      <c r="H77" s="88"/>
      <c r="I77" s="88"/>
      <c r="J77" s="88"/>
      <c r="K77" s="88"/>
    </row>
    <row r="78" spans="2:16" ht="17.649999999999999" x14ac:dyDescent="0.4">
      <c r="B78" s="115" t="s">
        <v>611</v>
      </c>
      <c r="H78" s="88"/>
      <c r="I78" s="88"/>
      <c r="J78" s="136" t="s">
        <v>681</v>
      </c>
      <c r="M78" s="575" t="s">
        <v>682</v>
      </c>
      <c r="N78" s="576"/>
      <c r="O78" s="577"/>
    </row>
    <row r="79" spans="2:16" ht="15" x14ac:dyDescent="0.4">
      <c r="B79" s="115" t="s">
        <v>612</v>
      </c>
      <c r="H79" s="88"/>
      <c r="I79" s="88"/>
      <c r="M79" s="578" t="s">
        <v>683</v>
      </c>
      <c r="N79" s="579"/>
      <c r="O79" s="580"/>
    </row>
    <row r="80" spans="2:16" ht="13.15" x14ac:dyDescent="0.35">
      <c r="B80" s="115" t="s">
        <v>613</v>
      </c>
      <c r="M80" s="578" t="s">
        <v>684</v>
      </c>
      <c r="N80" s="579"/>
      <c r="O80" s="580"/>
    </row>
    <row r="81" spans="2:15" ht="13.15" x14ac:dyDescent="0.35">
      <c r="M81" s="581" t="s">
        <v>685</v>
      </c>
      <c r="N81" s="582"/>
      <c r="O81" s="583"/>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50">
    <mergeCell ref="M78:O78"/>
    <mergeCell ref="M79:O79"/>
    <mergeCell ref="M80:O80"/>
    <mergeCell ref="M81:O81"/>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33" priority="2" stopIfTrue="1" operator="equal">
      <formula>"PASS"</formula>
    </cfRule>
    <cfRule type="cellIs" dxfId="32" priority="3" stopIfTrue="1" operator="equal">
      <formula>"FAIL"</formula>
    </cfRule>
  </conditionalFormatting>
  <conditionalFormatting sqref="G40 L40">
    <cfRule type="cellIs" dxfId="31" priority="5" stopIfTrue="1" operator="greaterThanOrEqual">
      <formula>1.19</formula>
    </cfRule>
    <cfRule type="cellIs" dxfId="30" priority="6" stopIfTrue="1" operator="lessThan">
      <formula>1.19</formula>
    </cfRule>
  </conditionalFormatting>
  <conditionalFormatting sqref="K72">
    <cfRule type="cellIs" dxfId="29" priority="7" stopIfTrue="1" operator="equal">
      <formula>"FAIL"</formula>
    </cfRule>
    <cfRule type="cellIs" dxfId="28" priority="8" stopIfTrue="1" operator="equal">
      <formula>"PASS - VERIFIED"</formula>
    </cfRule>
  </conditionalFormatting>
  <conditionalFormatting sqref="L28:L33">
    <cfRule type="cellIs" dxfId="27" priority="1" operator="between">
      <formula>-0.1</formula>
      <formula>0.1</formula>
    </cfRule>
  </conditionalFormatting>
  <conditionalFormatting sqref="O22">
    <cfRule type="cellIs" dxfId="26" priority="4" stopIfTrue="1" operator="greaterThan">
      <formula>0</formula>
    </cfRule>
  </conditionalFormatting>
  <dataValidations count="2">
    <dataValidation type="list" allowBlank="1" showInputMessage="1" showErrorMessage="1" sqref="K72" xr:uid="{00000000-0002-0000-0A00-000000000000}">
      <formula1>"PASS - VERIFIED, FAIL"</formula1>
    </dataValidation>
    <dataValidation type="list" allowBlank="1" showInputMessage="1" showErrorMessage="1" sqref="D72" xr:uid="{00000000-0002-0000-0A00-000001000000}">
      <formula1>"PASS, FAIL"</formula1>
    </dataValidation>
  </dataValidations>
  <hyperlinks>
    <hyperlink ref="B8" r:id="rId1" xr:uid="{00000000-0004-0000-0A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99681" r:id="rId5">
          <objectPr defaultSize="0" autoPict="0" r:id="rId6">
            <anchor moveWithCells="1">
              <from>
                <xdr:col>11</xdr:col>
                <xdr:colOff>1076325</xdr:colOff>
                <xdr:row>1</xdr:row>
                <xdr:rowOff>76200</xdr:rowOff>
              </from>
              <to>
                <xdr:col>15</xdr:col>
                <xdr:colOff>161925</xdr:colOff>
                <xdr:row>7</xdr:row>
                <xdr:rowOff>19050</xdr:rowOff>
              </to>
            </anchor>
          </objectPr>
        </oleObject>
      </mc:Choice>
      <mc:Fallback>
        <oleObject progId="Paint.Picture" shapeId="199681" r:id="rId5"/>
      </mc:Fallback>
    </mc:AlternateContent>
    <mc:AlternateContent xmlns:mc="http://schemas.openxmlformats.org/markup-compatibility/2006">
      <mc:Choice Requires="x14">
        <oleObject progId="MSPhotoEd.3" shapeId="199682" r:id="rId7">
          <objectPr defaultSize="0" autoPict="0" r:id="rId8">
            <anchor moveWithCells="1" sizeWithCells="1">
              <from>
                <xdr:col>11</xdr:col>
                <xdr:colOff>257175</xdr:colOff>
                <xdr:row>76</xdr:row>
                <xdr:rowOff>266700</xdr:rowOff>
              </from>
              <to>
                <xdr:col>11</xdr:col>
                <xdr:colOff>876300</xdr:colOff>
                <xdr:row>78</xdr:row>
                <xdr:rowOff>161925</xdr:rowOff>
              </to>
            </anchor>
          </objectPr>
        </oleObject>
      </mc:Choice>
      <mc:Fallback>
        <oleObject progId="MSPhotoEd.3" shapeId="199682" r:id="rId7"/>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2:P88"/>
  <sheetViews>
    <sheetView topLeftCell="A2" zoomScale="50" zoomScaleNormal="50"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51" customHeight="1" x14ac:dyDescent="0.35">
      <c r="B13" s="540" t="s">
        <v>680</v>
      </c>
      <c r="C13" s="540"/>
      <c r="D13" s="540"/>
      <c r="E13" s="540"/>
      <c r="F13" s="540"/>
      <c r="G13" s="540"/>
      <c r="H13" s="540"/>
      <c r="I13" s="540"/>
      <c r="J13" s="540"/>
      <c r="K13" s="540"/>
      <c r="L13" s="540"/>
      <c r="M13" s="540"/>
      <c r="N13" s="540"/>
      <c r="O13" s="540"/>
      <c r="P13" s="91"/>
    </row>
    <row r="14" spans="1:16" ht="66"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46163.5</v>
      </c>
    </row>
    <row r="19" spans="2:15" ht="25.9" customHeight="1" x14ac:dyDescent="0.45">
      <c r="B19" s="131" t="s">
        <v>575</v>
      </c>
      <c r="C19" s="132"/>
      <c r="D19" s="552" t="str">
        <f>'Auto-Calibration record'!H17</f>
        <v>63010062 210526</v>
      </c>
      <c r="E19" s="553"/>
      <c r="F19" s="55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76</v>
      </c>
      <c r="G28" s="545"/>
      <c r="H28" s="541">
        <f>'Auto-Calibration record'!B68</f>
        <v>1415270</v>
      </c>
      <c r="I28" s="571"/>
      <c r="J28" s="158">
        <f>'MP Calibration Certificate'!J28</f>
        <v>1429381</v>
      </c>
      <c r="K28" s="159">
        <f t="shared" ref="K28:K33" si="0">J28-H28</f>
        <v>14111</v>
      </c>
      <c r="L28" s="111">
        <f t="shared" ref="L28:L33" si="1">K28/H28</f>
        <v>9.9705356575070479E-3</v>
      </c>
    </row>
    <row r="29" spans="2:15" s="108" customFormat="1" ht="25.9" customHeight="1" x14ac:dyDescent="0.35">
      <c r="D29" s="530" t="s">
        <v>591</v>
      </c>
      <c r="E29" s="530"/>
      <c r="F29" s="545">
        <f>'Auto-Calibration record'!C65</f>
        <v>180</v>
      </c>
      <c r="G29" s="545"/>
      <c r="H29" s="541">
        <f>'Auto-Calibration record'!B69</f>
        <v>580231</v>
      </c>
      <c r="I29" s="571"/>
      <c r="J29" s="158">
        <f>'MP Calibration Certificate'!J29</f>
        <v>582583</v>
      </c>
      <c r="K29" s="159">
        <f t="shared" si="0"/>
        <v>2352</v>
      </c>
      <c r="L29" s="111">
        <f t="shared" si="1"/>
        <v>4.0535579794943738E-3</v>
      </c>
    </row>
    <row r="30" spans="2:15" s="108" customFormat="1" ht="25.9" customHeight="1" x14ac:dyDescent="0.35">
      <c r="D30" s="530" t="s">
        <v>592</v>
      </c>
      <c r="E30" s="530"/>
      <c r="F30" s="545">
        <f>'Auto-Calibration record'!D65</f>
        <v>1020</v>
      </c>
      <c r="G30" s="545"/>
      <c r="H30" s="541">
        <f>'Auto-Calibration record'!B71</f>
        <v>45814.7</v>
      </c>
      <c r="I30" s="571"/>
      <c r="J30" s="158">
        <f>'MP Calibration Certificate'!J30</f>
        <v>46338.333333333336</v>
      </c>
      <c r="K30" s="159">
        <f t="shared" si="0"/>
        <v>523.63333333333867</v>
      </c>
      <c r="L30" s="111">
        <f t="shared" si="1"/>
        <v>1.1429373832707378E-2</v>
      </c>
    </row>
    <row r="31" spans="2:15" s="108" customFormat="1" ht="25.9" customHeight="1" x14ac:dyDescent="0.35">
      <c r="D31" s="530" t="s">
        <v>593</v>
      </c>
      <c r="E31" s="530"/>
      <c r="F31" s="545">
        <f>'Auto-Calibration record'!E65</f>
        <v>2204</v>
      </c>
      <c r="G31" s="545"/>
      <c r="H31" s="541">
        <f>'Auto-Calibration record'!B72</f>
        <v>11873.6</v>
      </c>
      <c r="I31" s="571"/>
      <c r="J31" s="158">
        <f>'MP Calibration Certificate'!J31</f>
        <v>12191</v>
      </c>
      <c r="K31" s="159">
        <f t="shared" si="0"/>
        <v>317.39999999999964</v>
      </c>
      <c r="L31" s="111">
        <f t="shared" si="1"/>
        <v>2.6731572564344396E-2</v>
      </c>
    </row>
    <row r="32" spans="2:15" s="108" customFormat="1" ht="25.9" customHeight="1" x14ac:dyDescent="0.35">
      <c r="D32" s="530" t="s">
        <v>594</v>
      </c>
      <c r="E32" s="530"/>
      <c r="F32" s="545">
        <f>'Auto-Calibration record'!F65</f>
        <v>3244</v>
      </c>
      <c r="G32" s="545"/>
      <c r="H32" s="541">
        <f>'Auto-Calibration record'!B73</f>
        <v>5545.63</v>
      </c>
      <c r="I32" s="571"/>
      <c r="J32" s="158">
        <f>'MP Calibration Certificate'!J32</f>
        <v>5583.666666666667</v>
      </c>
      <c r="K32" s="159">
        <f t="shared" si="0"/>
        <v>38.036666666666861</v>
      </c>
      <c r="L32" s="111">
        <f t="shared" si="1"/>
        <v>6.8588540286075453E-3</v>
      </c>
    </row>
    <row r="33" spans="2:12" s="108" customFormat="1" ht="25.9" customHeight="1" x14ac:dyDescent="0.35">
      <c r="D33" s="530" t="s">
        <v>595</v>
      </c>
      <c r="E33" s="530"/>
      <c r="F33" s="545">
        <f>'Auto-Calibration record'!G65</f>
        <v>11420</v>
      </c>
      <c r="G33" s="545"/>
      <c r="H33" s="541">
        <f>'Auto-Calibration record'!B74</f>
        <v>184.08699999999999</v>
      </c>
      <c r="I33" s="571"/>
      <c r="J33" s="158">
        <f>'MP Calibration Certificate'!J33</f>
        <v>169</v>
      </c>
      <c r="K33" s="159">
        <f t="shared" si="0"/>
        <v>-15.086999999999989</v>
      </c>
      <c r="L33" s="111">
        <f t="shared" si="1"/>
        <v>-8.1955814370379174E-2</v>
      </c>
    </row>
    <row r="34" spans="2:12" s="108" customFormat="1" ht="25.9" customHeight="1" x14ac:dyDescent="0.35">
      <c r="D34" s="530" t="s">
        <v>596</v>
      </c>
      <c r="E34" s="530"/>
      <c r="F34" s="545">
        <f>'Auto-Calibration record'!H65</f>
        <v>18008</v>
      </c>
      <c r="G34" s="545"/>
      <c r="H34" s="541">
        <f>'Auto-Calibration record'!B75</f>
        <v>34.516399999999997</v>
      </c>
      <c r="I34" s="571"/>
      <c r="J34" s="158">
        <f>'MP Calibration Certificate'!J34</f>
        <v>35</v>
      </c>
      <c r="K34" s="159" t="s">
        <v>23</v>
      </c>
      <c r="L34" s="112" t="s">
        <v>23</v>
      </c>
    </row>
    <row r="35" spans="2:12" s="102" customFormat="1" ht="25.9" customHeight="1" x14ac:dyDescent="0.45">
      <c r="D35" s="530" t="s">
        <v>597</v>
      </c>
      <c r="E35" s="530"/>
      <c r="F35" s="546">
        <f>'Auto-Calibration record'!I65</f>
        <v>30374</v>
      </c>
      <c r="G35" s="546"/>
      <c r="H35" s="541">
        <f>'Auto-Calibration record'!B76</f>
        <v>4.4329299999999998</v>
      </c>
      <c r="I35" s="571"/>
      <c r="J35" s="158">
        <f>'MP Calibration Certificate'!J35</f>
        <v>5.333333333333333</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07" t="s">
        <v>677</v>
      </c>
      <c r="K38" s="107" t="s">
        <v>678</v>
      </c>
      <c r="L38" s="107" t="s">
        <v>601</v>
      </c>
    </row>
    <row r="39" spans="2:12" ht="25.9" customHeight="1" x14ac:dyDescent="0.35">
      <c r="B39" s="115"/>
      <c r="D39" s="109" t="s">
        <v>587</v>
      </c>
      <c r="E39" s="529" t="s">
        <v>587</v>
      </c>
      <c r="F39" s="529"/>
      <c r="G39" s="529" t="s">
        <v>602</v>
      </c>
      <c r="H39" s="529"/>
      <c r="I39" s="116"/>
      <c r="J39" s="109" t="s">
        <v>587</v>
      </c>
      <c r="K39" s="109" t="s">
        <v>587</v>
      </c>
      <c r="L39" s="109" t="s">
        <v>602</v>
      </c>
    </row>
    <row r="40" spans="2:12" ht="25.9" customHeight="1" x14ac:dyDescent="0.35">
      <c r="B40" s="115"/>
      <c r="D40" s="129">
        <f>'Auto-Calibration record'!B17</f>
        <v>0</v>
      </c>
      <c r="E40" s="541">
        <f>F28-D40</f>
        <v>76</v>
      </c>
      <c r="F40" s="541"/>
      <c r="G40" s="555" t="e">
        <f>F28/D40</f>
        <v>#DIV/0!</v>
      </c>
      <c r="H40" s="555"/>
      <c r="I40" s="116"/>
      <c r="J40" s="129">
        <f>'Auto-Calibration record'!B11</f>
        <v>34</v>
      </c>
      <c r="K40" s="159">
        <f>F29-J40</f>
        <v>146</v>
      </c>
      <c r="L40" s="151">
        <f>F29/J40</f>
        <v>5.2941176470588234</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72" t="s">
        <v>607</v>
      </c>
      <c r="E74" s="573"/>
      <c r="F74" s="573"/>
      <c r="G74" s="574"/>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c r="E76" s="548"/>
      <c r="F76" s="549"/>
      <c r="K76" s="122" t="s">
        <v>609</v>
      </c>
      <c r="L76" s="542" t="s">
        <v>610</v>
      </c>
      <c r="M76" s="543"/>
      <c r="N76" s="543"/>
      <c r="O76" s="544"/>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25" priority="2" stopIfTrue="1" operator="equal">
      <formula>"PASS"</formula>
    </cfRule>
    <cfRule type="cellIs" dxfId="24" priority="3" stopIfTrue="1" operator="equal">
      <formula>"FAIL"</formula>
    </cfRule>
  </conditionalFormatting>
  <conditionalFormatting sqref="G40 L40">
    <cfRule type="cellIs" dxfId="23" priority="5" stopIfTrue="1" operator="greaterThanOrEqual">
      <formula>1.19</formula>
    </cfRule>
    <cfRule type="cellIs" dxfId="22" priority="6" stopIfTrue="1" operator="lessThan">
      <formula>1.19</formula>
    </cfRule>
  </conditionalFormatting>
  <conditionalFormatting sqref="K72">
    <cfRule type="cellIs" dxfId="21" priority="7" stopIfTrue="1" operator="equal">
      <formula>"FAIL"</formula>
    </cfRule>
    <cfRule type="cellIs" dxfId="20" priority="8" stopIfTrue="1" operator="equal">
      <formula>"PASS - VERIFIED"</formula>
    </cfRule>
  </conditionalFormatting>
  <conditionalFormatting sqref="L28:L33">
    <cfRule type="cellIs" dxfId="19" priority="1" operator="between">
      <formula>-0.1</formula>
      <formula>0.1</formula>
    </cfRule>
  </conditionalFormatting>
  <conditionalFormatting sqref="O22">
    <cfRule type="cellIs" dxfId="18" priority="4" stopIfTrue="1" operator="greaterThan">
      <formula>0</formula>
    </cfRule>
  </conditionalFormatting>
  <dataValidations count="2">
    <dataValidation type="list" allowBlank="1" showInputMessage="1" showErrorMessage="1" sqref="K72" xr:uid="{00000000-0002-0000-0B00-000000000000}">
      <formula1>"PASS - VERIFIED, FAIL"</formula1>
    </dataValidation>
    <dataValidation type="list" allowBlank="1" showInputMessage="1" showErrorMessage="1" sqref="D72" xr:uid="{00000000-0002-0000-0B00-000001000000}">
      <formula1>"PASS, FAIL"</formula1>
    </dataValidation>
  </dataValidations>
  <pageMargins left="0.7" right="0.7" top="0.75" bottom="0.75" header="0.3" footer="0.3"/>
  <pageSetup paperSize="9" scale="3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2:P88"/>
  <sheetViews>
    <sheetView topLeftCell="A28" zoomScale="55" zoomScaleNormal="55"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666</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46163.5</v>
      </c>
    </row>
    <row r="19" spans="2:15" ht="25.9" customHeight="1" x14ac:dyDescent="0.45">
      <c r="B19" s="131" t="s">
        <v>575</v>
      </c>
      <c r="C19" s="132"/>
      <c r="D19" s="552" t="str">
        <f>'Auto-Calibration record'!H17</f>
        <v>63010062 210526</v>
      </c>
      <c r="E19" s="553"/>
      <c r="F19" s="55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76</v>
      </c>
      <c r="G28" s="545"/>
      <c r="H28" s="541">
        <f>'Auto-Calibration record'!B68</f>
        <v>1415270</v>
      </c>
      <c r="I28" s="571"/>
      <c r="J28" s="158">
        <f>'Auto-Calibration record'!I68</f>
        <v>1429381</v>
      </c>
      <c r="K28" s="159">
        <f t="shared" ref="K28:K33" si="0">J28-H28</f>
        <v>14111</v>
      </c>
      <c r="L28" s="111">
        <f t="shared" ref="L28:L33" si="1">K28/H28</f>
        <v>9.9705356575070479E-3</v>
      </c>
    </row>
    <row r="29" spans="2:15" s="108" customFormat="1" ht="25.9" customHeight="1" x14ac:dyDescent="0.35">
      <c r="D29" s="530" t="s">
        <v>591</v>
      </c>
      <c r="E29" s="530"/>
      <c r="F29" s="545">
        <f>'Auto-Calibration record'!C65</f>
        <v>180</v>
      </c>
      <c r="G29" s="545"/>
      <c r="H29" s="541">
        <f>'Auto-Calibration record'!B69</f>
        <v>580231</v>
      </c>
      <c r="I29" s="571"/>
      <c r="J29" s="158">
        <f>'Auto-Calibration record'!I69</f>
        <v>582583</v>
      </c>
      <c r="K29" s="159">
        <f t="shared" si="0"/>
        <v>2352</v>
      </c>
      <c r="L29" s="111">
        <f t="shared" si="1"/>
        <v>4.0535579794943738E-3</v>
      </c>
    </row>
    <row r="30" spans="2:15" s="108" customFormat="1" ht="25.9" customHeight="1" x14ac:dyDescent="0.35">
      <c r="D30" s="530" t="s">
        <v>592</v>
      </c>
      <c r="E30" s="530"/>
      <c r="F30" s="545">
        <f>'Auto-Calibration record'!D65</f>
        <v>1020</v>
      </c>
      <c r="G30" s="545"/>
      <c r="H30" s="541">
        <f>'Auto-Calibration record'!B71</f>
        <v>45814.7</v>
      </c>
      <c r="I30" s="571"/>
      <c r="J30" s="158">
        <f>'Auto-Calibration record'!I71</f>
        <v>46338.333333333336</v>
      </c>
      <c r="K30" s="159">
        <f t="shared" si="0"/>
        <v>523.63333333333867</v>
      </c>
      <c r="L30" s="111">
        <f t="shared" si="1"/>
        <v>1.1429373832707378E-2</v>
      </c>
    </row>
    <row r="31" spans="2:15" s="108" customFormat="1" ht="25.9" customHeight="1" x14ac:dyDescent="0.35">
      <c r="D31" s="530" t="s">
        <v>593</v>
      </c>
      <c r="E31" s="530"/>
      <c r="F31" s="545">
        <f>'Auto-Calibration record'!E65</f>
        <v>2204</v>
      </c>
      <c r="G31" s="545"/>
      <c r="H31" s="541">
        <f>'Auto-Calibration record'!B72</f>
        <v>11873.6</v>
      </c>
      <c r="I31" s="571"/>
      <c r="J31" s="158">
        <f>'Auto-Calibration record'!I72</f>
        <v>12191</v>
      </c>
      <c r="K31" s="159">
        <f t="shared" si="0"/>
        <v>317.39999999999964</v>
      </c>
      <c r="L31" s="111">
        <f t="shared" si="1"/>
        <v>2.6731572564344396E-2</v>
      </c>
    </row>
    <row r="32" spans="2:15" s="108" customFormat="1" ht="25.9" customHeight="1" x14ac:dyDescent="0.35">
      <c r="D32" s="530" t="s">
        <v>594</v>
      </c>
      <c r="E32" s="530"/>
      <c r="F32" s="545">
        <f>'Auto-Calibration record'!F65</f>
        <v>3244</v>
      </c>
      <c r="G32" s="545"/>
      <c r="H32" s="541">
        <f>'Auto-Calibration record'!B73</f>
        <v>5545.63</v>
      </c>
      <c r="I32" s="571"/>
      <c r="J32" s="158">
        <f>'Auto-Calibration record'!I73</f>
        <v>5583.666666666667</v>
      </c>
      <c r="K32" s="159">
        <f t="shared" si="0"/>
        <v>38.036666666666861</v>
      </c>
      <c r="L32" s="111">
        <f t="shared" si="1"/>
        <v>6.8588540286075453E-3</v>
      </c>
    </row>
    <row r="33" spans="2:12" s="108" customFormat="1" ht="25.9" customHeight="1" x14ac:dyDescent="0.35">
      <c r="D33" s="530" t="s">
        <v>595</v>
      </c>
      <c r="E33" s="530"/>
      <c r="F33" s="545">
        <f>'Auto-Calibration record'!G65</f>
        <v>11420</v>
      </c>
      <c r="G33" s="545"/>
      <c r="H33" s="541">
        <f>'Auto-Calibration record'!B74</f>
        <v>184.08699999999999</v>
      </c>
      <c r="I33" s="571"/>
      <c r="J33" s="158">
        <f>'Auto-Calibration record'!I74</f>
        <v>169</v>
      </c>
      <c r="K33" s="159">
        <f t="shared" si="0"/>
        <v>-15.086999999999989</v>
      </c>
      <c r="L33" s="111">
        <f t="shared" si="1"/>
        <v>-8.1955814370379174E-2</v>
      </c>
    </row>
    <row r="34" spans="2:12" s="108" customFormat="1" ht="25.9" customHeight="1" x14ac:dyDescent="0.35">
      <c r="D34" s="530" t="s">
        <v>596</v>
      </c>
      <c r="E34" s="530"/>
      <c r="F34" s="545">
        <f>'Auto-Calibration record'!H65</f>
        <v>18008</v>
      </c>
      <c r="G34" s="545"/>
      <c r="H34" s="541">
        <f>'Auto-Calibration record'!B75</f>
        <v>34.516399999999997</v>
      </c>
      <c r="I34" s="571"/>
      <c r="J34" s="158">
        <f>'Auto-Calibration record'!I75</f>
        <v>35</v>
      </c>
      <c r="K34" s="159" t="s">
        <v>23</v>
      </c>
      <c r="L34" s="112" t="s">
        <v>23</v>
      </c>
    </row>
    <row r="35" spans="2:12" s="102" customFormat="1" ht="25.9" customHeight="1" x14ac:dyDescent="0.45">
      <c r="D35" s="530" t="s">
        <v>597</v>
      </c>
      <c r="E35" s="530"/>
      <c r="F35" s="546">
        <f>'Auto-Calibration record'!I65</f>
        <v>30374</v>
      </c>
      <c r="G35" s="546"/>
      <c r="H35" s="541">
        <f>'Auto-Calibration record'!B76</f>
        <v>4.4329299999999998</v>
      </c>
      <c r="I35" s="571"/>
      <c r="J35" s="158">
        <f>'Auto-Calibration record'!I76</f>
        <v>5.333333333333333</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07" t="s">
        <v>677</v>
      </c>
      <c r="K38" s="107" t="s">
        <v>678</v>
      </c>
      <c r="L38" s="107" t="s">
        <v>601</v>
      </c>
    </row>
    <row r="39" spans="2:12" ht="25.9" customHeight="1" x14ac:dyDescent="0.35">
      <c r="B39" s="115"/>
      <c r="D39" s="109" t="s">
        <v>587</v>
      </c>
      <c r="E39" s="529" t="s">
        <v>587</v>
      </c>
      <c r="F39" s="529"/>
      <c r="G39" s="529" t="s">
        <v>602</v>
      </c>
      <c r="H39" s="529"/>
      <c r="I39" s="116"/>
      <c r="J39" s="109" t="s">
        <v>587</v>
      </c>
      <c r="K39" s="109" t="s">
        <v>587</v>
      </c>
      <c r="L39" s="109" t="s">
        <v>602</v>
      </c>
    </row>
    <row r="40" spans="2:12" ht="25.9" customHeight="1" x14ac:dyDescent="0.35">
      <c r="B40" s="115"/>
      <c r="D40" s="129">
        <f>'Auto-Calibration record'!B17</f>
        <v>0</v>
      </c>
      <c r="E40" s="571">
        <f>F28-D40</f>
        <v>76</v>
      </c>
      <c r="F40" s="571"/>
      <c r="G40" s="584" t="e">
        <f>F28/D40</f>
        <v>#DIV/0!</v>
      </c>
      <c r="H40" s="584"/>
      <c r="I40" s="116"/>
      <c r="J40" s="129">
        <f>'Auto-Calibration record'!B11</f>
        <v>34</v>
      </c>
      <c r="K40" s="110">
        <f>F29-J40</f>
        <v>146</v>
      </c>
      <c r="L40" s="117">
        <f>F29/J40</f>
        <v>5.2941176470588234</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72" t="s">
        <v>607</v>
      </c>
      <c r="E74" s="573"/>
      <c r="F74" s="573"/>
      <c r="G74" s="574"/>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c r="E76" s="548"/>
      <c r="F76" s="549"/>
      <c r="K76" s="122" t="s">
        <v>609</v>
      </c>
      <c r="L76" s="542" t="s">
        <v>610</v>
      </c>
      <c r="M76" s="543"/>
      <c r="N76" s="543"/>
      <c r="O76" s="544"/>
      <c r="P76" s="123"/>
    </row>
    <row r="77" spans="2:16" ht="25.9" customHeight="1" x14ac:dyDescent="0.4">
      <c r="B77" s="136" t="s">
        <v>686</v>
      </c>
      <c r="H77" s="88"/>
      <c r="I77" s="88"/>
      <c r="J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17" priority="2" stopIfTrue="1" operator="equal">
      <formula>"PASS"</formula>
    </cfRule>
    <cfRule type="cellIs" dxfId="16" priority="3" stopIfTrue="1" operator="equal">
      <formula>"FAIL"</formula>
    </cfRule>
  </conditionalFormatting>
  <conditionalFormatting sqref="G40 L40">
    <cfRule type="cellIs" dxfId="15" priority="5" stopIfTrue="1" operator="greaterThanOrEqual">
      <formula>1.19</formula>
    </cfRule>
    <cfRule type="cellIs" dxfId="14" priority="6" stopIfTrue="1" operator="lessThan">
      <formula>1.19</formula>
    </cfRule>
  </conditionalFormatting>
  <conditionalFormatting sqref="K72">
    <cfRule type="cellIs" dxfId="13" priority="7" stopIfTrue="1" operator="equal">
      <formula>"FAIL"</formula>
    </cfRule>
    <cfRule type="cellIs" dxfId="12" priority="8" stopIfTrue="1" operator="equal">
      <formula>"PASS - VERIFIED"</formula>
    </cfRule>
  </conditionalFormatting>
  <conditionalFormatting sqref="L28:L33">
    <cfRule type="cellIs" dxfId="11" priority="1" operator="between">
      <formula>-0.1</formula>
      <formula>0.1</formula>
    </cfRule>
  </conditionalFormatting>
  <conditionalFormatting sqref="O22">
    <cfRule type="cellIs" dxfId="10" priority="4" stopIfTrue="1" operator="greaterThan">
      <formula>0</formula>
    </cfRule>
  </conditionalFormatting>
  <dataValidations count="2">
    <dataValidation type="list" allowBlank="1" showInputMessage="1" showErrorMessage="1" sqref="K72" xr:uid="{00000000-0002-0000-0C00-000000000000}">
      <formula1>"PASS - VERIFIED, FAIL"</formula1>
    </dataValidation>
    <dataValidation type="list" allowBlank="1" showInputMessage="1" showErrorMessage="1" sqref="D72" xr:uid="{00000000-0002-0000-0C00-000001000000}">
      <formula1>"PASS, FAIL"</formula1>
    </dataValidation>
  </dataValidations>
  <hyperlinks>
    <hyperlink ref="B8" r:id="rId1" xr:uid="{00000000-0004-0000-0C00-000000000000}"/>
  </hyperlinks>
  <pageMargins left="0.7" right="0.7" top="0.75" bottom="0.75" header="0.3" footer="0.3"/>
  <pageSetup scale="40" orientation="portrait" r:id="rId2"/>
  <drawing r:id="rId3"/>
  <legacyDrawing r:id="rId4"/>
  <oleObjects>
    <mc:AlternateContent xmlns:mc="http://schemas.openxmlformats.org/markup-compatibility/2006">
      <mc:Choice Requires="x14">
        <oleObject progId="Paint.Picture" shapeId="232449"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232449" r:id="rId5"/>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30C45-327F-4806-AD74-A5EA3455F00D}">
  <dimension ref="A2:XEQ155"/>
  <sheetViews>
    <sheetView zoomScale="55" zoomScaleNormal="55" zoomScaleSheetLayoutView="55" zoomScalePageLayoutView="40" workbookViewId="0">
      <selection activeCell="E40" sqref="E40:F40"/>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569</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1004</v>
      </c>
      <c r="L17" s="96"/>
      <c r="M17" s="96"/>
      <c r="N17" s="97"/>
      <c r="O17" s="378" t="str">
        <f>'Auto-Calibration record'!H18</f>
        <v>RM8631b</v>
      </c>
    </row>
    <row r="18" spans="2:15" ht="25.9" customHeight="1" x14ac:dyDescent="0.45">
      <c r="B18" s="131" t="s">
        <v>573</v>
      </c>
      <c r="C18" s="132"/>
      <c r="D18" s="552">
        <f>'Auto-Calibration record'!H15</f>
        <v>63010062</v>
      </c>
      <c r="E18" s="553"/>
      <c r="F18" s="554"/>
      <c r="K18" s="98" t="s">
        <v>574</v>
      </c>
      <c r="L18" s="99"/>
      <c r="M18" s="99"/>
      <c r="N18" s="100"/>
      <c r="O18" s="55">
        <f>'Auto-Calibration record'!H16</f>
        <v>46163.5</v>
      </c>
    </row>
    <row r="19" spans="2:15" ht="25.9" customHeight="1" x14ac:dyDescent="0.45">
      <c r="B19" s="131" t="s">
        <v>575</v>
      </c>
      <c r="C19" s="132"/>
      <c r="D19" s="552" t="str">
        <f>'Auto-Calibration record'!H17</f>
        <v>63010062 210526</v>
      </c>
      <c r="E19" s="553"/>
      <c r="F19" s="554"/>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76</v>
      </c>
      <c r="G28" s="545"/>
      <c r="H28" s="541">
        <f>'Auto-Calibration record'!B68</f>
        <v>1415270</v>
      </c>
      <c r="I28" s="541"/>
      <c r="J28" s="159">
        <f>'Auto-Calibration record'!I68</f>
        <v>1429381</v>
      </c>
      <c r="K28" s="159">
        <f t="shared" ref="K28:K35" si="0">J28-H28</f>
        <v>14111</v>
      </c>
      <c r="L28" s="379">
        <f t="shared" ref="L28:L35" si="1">K28/H28</f>
        <v>9.9705356575070479E-3</v>
      </c>
    </row>
    <row r="29" spans="2:15" s="108" customFormat="1" ht="25.9" customHeight="1" x14ac:dyDescent="0.35">
      <c r="D29" s="530" t="s">
        <v>591</v>
      </c>
      <c r="E29" s="530"/>
      <c r="F29" s="545">
        <f>'Auto-Calibration record'!C65</f>
        <v>180</v>
      </c>
      <c r="G29" s="545"/>
      <c r="H29" s="541">
        <f>'Auto-Calibration record'!B69</f>
        <v>580231</v>
      </c>
      <c r="I29" s="541"/>
      <c r="J29" s="159">
        <f>'Auto-Calibration record'!I69</f>
        <v>582583</v>
      </c>
      <c r="K29" s="159">
        <f t="shared" si="0"/>
        <v>2352</v>
      </c>
      <c r="L29" s="379">
        <f t="shared" si="1"/>
        <v>4.0535579794943738E-3</v>
      </c>
    </row>
    <row r="30" spans="2:15" s="108" customFormat="1" ht="25.9" customHeight="1" x14ac:dyDescent="0.35">
      <c r="D30" s="530" t="s">
        <v>592</v>
      </c>
      <c r="E30" s="530"/>
      <c r="F30" s="545">
        <f>'Auto-Calibration record'!D65</f>
        <v>1020</v>
      </c>
      <c r="G30" s="545"/>
      <c r="H30" s="541">
        <f>'Auto-Calibration record'!B71</f>
        <v>45814.7</v>
      </c>
      <c r="I30" s="541"/>
      <c r="J30" s="159">
        <f>'Auto-Calibration record'!I71</f>
        <v>46338.333333333336</v>
      </c>
      <c r="K30" s="159">
        <f t="shared" si="0"/>
        <v>523.63333333333867</v>
      </c>
      <c r="L30" s="379">
        <f t="shared" si="1"/>
        <v>1.1429373832707378E-2</v>
      </c>
    </row>
    <row r="31" spans="2:15" s="108" customFormat="1" ht="25.9" customHeight="1" x14ac:dyDescent="0.35">
      <c r="D31" s="530" t="s">
        <v>593</v>
      </c>
      <c r="E31" s="530"/>
      <c r="F31" s="545">
        <f>'Auto-Calibration record'!E65</f>
        <v>2204</v>
      </c>
      <c r="G31" s="545"/>
      <c r="H31" s="541">
        <f>'Auto-Calibration record'!B72</f>
        <v>11873.6</v>
      </c>
      <c r="I31" s="541"/>
      <c r="J31" s="159">
        <f>'Auto-Calibration record'!I72</f>
        <v>12191</v>
      </c>
      <c r="K31" s="159">
        <f t="shared" si="0"/>
        <v>317.39999999999964</v>
      </c>
      <c r="L31" s="379">
        <f t="shared" si="1"/>
        <v>2.6731572564344396E-2</v>
      </c>
    </row>
    <row r="32" spans="2:15" s="108" customFormat="1" ht="25.9" customHeight="1" x14ac:dyDescent="0.35">
      <c r="D32" s="530" t="s">
        <v>594</v>
      </c>
      <c r="E32" s="530"/>
      <c r="F32" s="545">
        <f>'Auto-Calibration record'!F65</f>
        <v>3244</v>
      </c>
      <c r="G32" s="545"/>
      <c r="H32" s="541">
        <f>'Auto-Calibration record'!B73</f>
        <v>5545.63</v>
      </c>
      <c r="I32" s="541"/>
      <c r="J32" s="159">
        <f>'Auto-Calibration record'!I73</f>
        <v>5583.666666666667</v>
      </c>
      <c r="K32" s="159">
        <f t="shared" si="0"/>
        <v>38.036666666666861</v>
      </c>
      <c r="L32" s="379">
        <f t="shared" si="1"/>
        <v>6.8588540286075453E-3</v>
      </c>
    </row>
    <row r="33" spans="2:12" s="108" customFormat="1" ht="25.9" customHeight="1" x14ac:dyDescent="0.35">
      <c r="D33" s="530" t="s">
        <v>595</v>
      </c>
      <c r="E33" s="530"/>
      <c r="F33" s="545">
        <f>'Auto-Calibration record'!G65</f>
        <v>11420</v>
      </c>
      <c r="G33" s="545"/>
      <c r="H33" s="541">
        <f>'Auto-Calibration record'!B74</f>
        <v>184.08699999999999</v>
      </c>
      <c r="I33" s="541"/>
      <c r="J33" s="159">
        <f>'Auto-Calibration record'!I74</f>
        <v>169</v>
      </c>
      <c r="K33" s="159">
        <f t="shared" si="0"/>
        <v>-15.086999999999989</v>
      </c>
      <c r="L33" s="379">
        <f t="shared" si="1"/>
        <v>-8.1955814370379174E-2</v>
      </c>
    </row>
    <row r="34" spans="2:12" s="108" customFormat="1" ht="25.9" customHeight="1" x14ac:dyDescent="0.35">
      <c r="D34" s="530" t="s">
        <v>1005</v>
      </c>
      <c r="E34" s="530"/>
      <c r="F34" s="545">
        <f>'Auto-Calibration record'!H65</f>
        <v>18008</v>
      </c>
      <c r="G34" s="545"/>
      <c r="H34" s="541">
        <f>'Auto-Calibration record'!B75</f>
        <v>34.516399999999997</v>
      </c>
      <c r="I34" s="541"/>
      <c r="J34" s="159">
        <f>'Auto-Calibration record'!I75</f>
        <v>35</v>
      </c>
      <c r="K34" s="159">
        <f t="shared" si="0"/>
        <v>0.48360000000000269</v>
      </c>
      <c r="L34" s="379">
        <f t="shared" si="1"/>
        <v>1.401073113070896E-2</v>
      </c>
    </row>
    <row r="35" spans="2:12" s="102" customFormat="1" ht="25.9" customHeight="1" x14ac:dyDescent="0.45">
      <c r="D35" s="530" t="s">
        <v>1006</v>
      </c>
      <c r="E35" s="530"/>
      <c r="F35" s="546">
        <f>'Auto-Calibration record'!I65</f>
        <v>30374</v>
      </c>
      <c r="G35" s="546"/>
      <c r="H35" s="541">
        <f>'Auto-Calibration record'!B76</f>
        <v>4.4329299999999998</v>
      </c>
      <c r="I35" s="541"/>
      <c r="J35" s="380">
        <f>'Auto-Calibration record'!I76</f>
        <v>5.333333333333333</v>
      </c>
      <c r="K35" s="159">
        <f t="shared" si="0"/>
        <v>0.90040333333333322</v>
      </c>
      <c r="L35" s="379">
        <f t="shared" si="1"/>
        <v>0.20311697530376821</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67"/>
      <c r="K38" s="167"/>
      <c r="L38" s="167"/>
    </row>
    <row r="39" spans="2:12" ht="25.9" customHeight="1" x14ac:dyDescent="0.35">
      <c r="B39" s="115"/>
      <c r="D39" s="109" t="s">
        <v>587</v>
      </c>
      <c r="E39" s="529" t="s">
        <v>587</v>
      </c>
      <c r="F39" s="529"/>
      <c r="G39" s="529" t="s">
        <v>602</v>
      </c>
      <c r="H39" s="529"/>
      <c r="I39" s="116"/>
      <c r="J39" s="168"/>
      <c r="K39" s="168"/>
      <c r="L39" s="168"/>
    </row>
    <row r="40" spans="2:12" ht="25.9" customHeight="1" x14ac:dyDescent="0.35">
      <c r="B40" s="115"/>
      <c r="D40" s="129">
        <f>'Auto-Calibration record'!B11</f>
        <v>34</v>
      </c>
      <c r="E40" s="541">
        <f>F28-D40</f>
        <v>42</v>
      </c>
      <c r="F40" s="541"/>
      <c r="G40" s="555">
        <f>F28/D40</f>
        <v>2.2352941176470589</v>
      </c>
      <c r="H40" s="555"/>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25" t="s">
        <v>607</v>
      </c>
      <c r="E74" s="526"/>
      <c r="F74" s="526"/>
      <c r="G74" s="527"/>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t="str">
        <f>'Auto-Calibration record'!H26</f>
        <v>John Devereux</v>
      </c>
      <c r="E76" s="548"/>
      <c r="F76" s="549"/>
      <c r="K76" s="122" t="s">
        <v>609</v>
      </c>
      <c r="L76" s="542" t="s">
        <v>610</v>
      </c>
      <c r="M76" s="543"/>
      <c r="N76" s="543"/>
      <c r="O76" s="544"/>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50" t="str">
        <f>'Cover Service Sheet'!C183</f>
        <v xml:space="preserve">
</v>
      </c>
      <c r="C99" s="550"/>
      <c r="D99" s="550"/>
      <c r="E99" s="550"/>
      <c r="F99" s="550"/>
      <c r="G99" s="550"/>
      <c r="H99" s="550"/>
      <c r="I99" s="550"/>
      <c r="J99" s="550"/>
      <c r="K99" s="550"/>
      <c r="L99" s="550"/>
      <c r="M99" s="550"/>
      <c r="N99" s="550"/>
      <c r="O99" s="550"/>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50">
        <f>'Cover Service Sheet'!C187</f>
        <v>0</v>
      </c>
      <c r="C103" s="550"/>
      <c r="D103" s="550"/>
      <c r="E103" s="550"/>
      <c r="F103" s="550"/>
      <c r="G103" s="550"/>
      <c r="H103" s="550"/>
      <c r="I103" s="550"/>
      <c r="J103" s="550"/>
      <c r="K103" s="550"/>
      <c r="L103" s="550"/>
      <c r="M103" s="550"/>
      <c r="N103" s="550"/>
      <c r="O103" s="550"/>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50">
        <f>'Cover Service Sheet'!C191</f>
        <v>0</v>
      </c>
      <c r="C107" s="550"/>
      <c r="D107" s="550"/>
      <c r="E107" s="550"/>
      <c r="F107" s="550"/>
      <c r="G107" s="550"/>
      <c r="H107" s="550"/>
      <c r="I107" s="550"/>
      <c r="J107" s="550"/>
      <c r="K107" s="550"/>
      <c r="L107" s="550"/>
      <c r="M107" s="550"/>
      <c r="N107" s="550"/>
      <c r="O107" s="550"/>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B107:O107"/>
    <mergeCell ref="K72:O75"/>
    <mergeCell ref="D74:G74"/>
    <mergeCell ref="D76:F76"/>
    <mergeCell ref="L76:O76"/>
    <mergeCell ref="B99:O99"/>
    <mergeCell ref="B103:O103"/>
    <mergeCell ref="E38:F38"/>
    <mergeCell ref="G38:H38"/>
    <mergeCell ref="E39:F39"/>
    <mergeCell ref="G39:H39"/>
    <mergeCell ref="E40:F40"/>
    <mergeCell ref="G40:H40"/>
    <mergeCell ref="D34:E34"/>
    <mergeCell ref="F34:G34"/>
    <mergeCell ref="H34:I34"/>
    <mergeCell ref="D35:E35"/>
    <mergeCell ref="F35:G35"/>
    <mergeCell ref="H35:I35"/>
    <mergeCell ref="D32:E32"/>
    <mergeCell ref="F32:G32"/>
    <mergeCell ref="H32:I32"/>
    <mergeCell ref="D33:E33"/>
    <mergeCell ref="F33:G33"/>
    <mergeCell ref="H33:I33"/>
    <mergeCell ref="D30:E30"/>
    <mergeCell ref="F30:G30"/>
    <mergeCell ref="H30:I30"/>
    <mergeCell ref="D31:E31"/>
    <mergeCell ref="F31:G31"/>
    <mergeCell ref="H31:I31"/>
    <mergeCell ref="D28:E28"/>
    <mergeCell ref="F28:G28"/>
    <mergeCell ref="H28:I28"/>
    <mergeCell ref="D29:E29"/>
    <mergeCell ref="F29:G29"/>
    <mergeCell ref="H29:I29"/>
    <mergeCell ref="D26:E26"/>
    <mergeCell ref="F26:G26"/>
    <mergeCell ref="H26:I26"/>
    <mergeCell ref="D27:E27"/>
    <mergeCell ref="F27:G27"/>
    <mergeCell ref="H27:I27"/>
    <mergeCell ref="D19:F19"/>
    <mergeCell ref="B10:P10"/>
    <mergeCell ref="B13:O13"/>
    <mergeCell ref="B14:O14"/>
    <mergeCell ref="D17:F17"/>
    <mergeCell ref="D18:F18"/>
  </mergeCells>
  <conditionalFormatting sqref="D72">
    <cfRule type="cellIs" dxfId="9" priority="6" stopIfTrue="1" operator="equal">
      <formula>"PASS"</formula>
    </cfRule>
    <cfRule type="cellIs" dxfId="8" priority="7" stopIfTrue="1" operator="equal">
      <formula>"FAIL"</formula>
    </cfRule>
  </conditionalFormatting>
  <conditionalFormatting sqref="G40">
    <cfRule type="cellIs" dxfId="7" priority="1" stopIfTrue="1" operator="greaterThanOrEqual">
      <formula>1.19</formula>
    </cfRule>
    <cfRule type="cellIs" dxfId="6" priority="2" stopIfTrue="1" operator="lessThan">
      <formula>1.19</formula>
    </cfRule>
  </conditionalFormatting>
  <conditionalFormatting sqref="K72">
    <cfRule type="cellIs" dxfId="5" priority="9" stopIfTrue="1" operator="equal">
      <formula>"FAIL"</formula>
    </cfRule>
    <cfRule type="cellIs" dxfId="4" priority="10" stopIfTrue="1" operator="equal">
      <formula>"PASS - VERIFIED"</formula>
    </cfRule>
  </conditionalFormatting>
  <conditionalFormatting sqref="L28:L35">
    <cfRule type="cellIs" dxfId="3" priority="3" stopIfTrue="1" operator="between">
      <formula>-0.1</formula>
      <formula>0.1</formula>
    </cfRule>
    <cfRule type="cellIs" dxfId="2" priority="4" stopIfTrue="1" operator="greaterThanOrEqual">
      <formula>0.1</formula>
    </cfRule>
    <cfRule type="cellIs" dxfId="1" priority="5" stopIfTrue="1" operator="lessThan">
      <formula>-0.1</formula>
    </cfRule>
  </conditionalFormatting>
  <conditionalFormatting sqref="O22">
    <cfRule type="cellIs" dxfId="0" priority="8" stopIfTrue="1" operator="greaterThan">
      <formula>0</formula>
    </cfRule>
  </conditionalFormatting>
  <dataValidations count="2">
    <dataValidation type="list" allowBlank="1" showInputMessage="1" showErrorMessage="1" sqref="K72" xr:uid="{BA914334-66B8-4628-9DAA-2EA9646F6892}">
      <formula1>"PASS - VERIFIED, FAIL"</formula1>
    </dataValidation>
    <dataValidation type="list" allowBlank="1" showInputMessage="1" showErrorMessage="1" sqref="D72" xr:uid="{C4334644-5D15-4C6B-B9BF-96FEDC68C611}">
      <formula1>"PASS, FAIL"</formula1>
    </dataValidation>
  </dataValidations>
  <hyperlinks>
    <hyperlink ref="B8" r:id="rId1" xr:uid="{64A32334-D03B-4E14-878B-AC3E3F278620}"/>
    <hyperlink ref="B90" r:id="rId2" xr:uid="{0EF987B2-022B-4452-8419-BA258CDD24F6}"/>
    <hyperlink ref="R94" r:id="rId3" xr:uid="{46F42E65-7EEC-49C1-A92B-EAAFB487335D}"/>
    <hyperlink ref="AH94" r:id="rId4" xr:uid="{DBEEBF46-DAA8-437F-9288-ED37A85015E9}"/>
    <hyperlink ref="AX94" r:id="rId5" xr:uid="{EBC2CF4D-DD2E-4CEA-A573-2D3E8CCD07C2}"/>
    <hyperlink ref="BN94" r:id="rId6" xr:uid="{D213D1BA-AEAD-4DDD-92D6-FDB229365B97}"/>
    <hyperlink ref="CD94" r:id="rId7" xr:uid="{7A89C20D-A19C-4BE4-BEFB-184C4555469D}"/>
    <hyperlink ref="CT94" r:id="rId8" xr:uid="{5664BFC8-D907-47AC-A665-1B57BECC5EFD}"/>
    <hyperlink ref="DJ94" r:id="rId9" xr:uid="{FCAF65D8-C9D3-4319-8864-D9E5025B6AAE}"/>
    <hyperlink ref="DZ94" r:id="rId10" xr:uid="{F9E1D56A-3068-4D02-8E0D-CB4D43A46270}"/>
    <hyperlink ref="EP94" r:id="rId11" xr:uid="{1B18853B-309C-43AB-8184-55DAC79E4025}"/>
    <hyperlink ref="FF94" r:id="rId12" xr:uid="{BDDDDBF4-87E0-480E-A17B-348120E4B12D}"/>
    <hyperlink ref="FV94" r:id="rId13" xr:uid="{CEEB2E2F-70C8-418B-AD34-FF11EFDD3236}"/>
    <hyperlink ref="GL94" r:id="rId14" xr:uid="{4FC5AB58-68E8-42ED-8DE2-F8F3C6E71F33}"/>
    <hyperlink ref="HB94" r:id="rId15" xr:uid="{E6CC7AFC-470B-4C05-A190-564060D6A9C2}"/>
    <hyperlink ref="HR94" r:id="rId16" xr:uid="{E2663A7B-421F-411E-8885-EABA9B901EF5}"/>
    <hyperlink ref="IH94" r:id="rId17" xr:uid="{24F36C79-37F3-4271-B2D0-A6AE08967E79}"/>
    <hyperlink ref="IX94" r:id="rId18" xr:uid="{D746844F-6A81-4DB7-8328-0542950A7E06}"/>
    <hyperlink ref="JN94" r:id="rId19" xr:uid="{ACBC9073-63F9-4F1A-A678-B051B6F5B6D9}"/>
    <hyperlink ref="KD94" r:id="rId20" xr:uid="{4F837BB5-D12D-4850-8D54-D20C34AEF2CA}"/>
    <hyperlink ref="KT94" r:id="rId21" xr:uid="{E227BAEC-47E2-4BE1-B6BA-CBD9A81AE5A0}"/>
    <hyperlink ref="LJ94" r:id="rId22" xr:uid="{786BAADB-D169-467F-8D86-CD3CA00F2463}"/>
    <hyperlink ref="LZ94" r:id="rId23" xr:uid="{3094F71F-BDB3-41DA-BA84-980EFFBF4139}"/>
    <hyperlink ref="MP94" r:id="rId24" xr:uid="{122BB955-2DEC-4083-B5DF-1C11B9DDF0C6}"/>
    <hyperlink ref="NF94" r:id="rId25" xr:uid="{D12782B2-676F-4EBF-BDF6-9E0356D73833}"/>
    <hyperlink ref="NV94" r:id="rId26" xr:uid="{976B5915-8025-407E-B661-2DBBF0012437}"/>
    <hyperlink ref="OL94" r:id="rId27" xr:uid="{71C0D04A-440E-42D2-A412-3A2923D750E9}"/>
    <hyperlink ref="PB94" r:id="rId28" xr:uid="{F0F81E6B-C9CD-496A-A4E9-789ABE885142}"/>
    <hyperlink ref="PR94" r:id="rId29" xr:uid="{19CFCFE8-F4C2-4740-986D-A919E08F4C97}"/>
    <hyperlink ref="QH94" r:id="rId30" xr:uid="{D231EF43-384E-4022-A5F9-5DEF8793F7A2}"/>
    <hyperlink ref="QX94" r:id="rId31" xr:uid="{B1C90EEB-114F-48BF-A5F4-46B9A1CF95E9}"/>
    <hyperlink ref="RN94" r:id="rId32" xr:uid="{F20395E0-C592-4D5A-B50A-5FE6023962B3}"/>
    <hyperlink ref="SD94" r:id="rId33" xr:uid="{6D55E0AF-A18C-4D06-A1A8-32564FC3C456}"/>
    <hyperlink ref="ST94" r:id="rId34" xr:uid="{A6AF9AE1-E58C-45D8-85EB-0180A187E500}"/>
    <hyperlink ref="TJ94" r:id="rId35" xr:uid="{068D27B0-7586-43F9-82C1-FF7E0DDB6D69}"/>
    <hyperlink ref="TZ94" r:id="rId36" xr:uid="{56DA76DE-2E08-4848-B66E-80F3FD252C39}"/>
    <hyperlink ref="UP94" r:id="rId37" xr:uid="{AC2EDF69-EA0D-41A0-8A42-63B364454122}"/>
    <hyperlink ref="VF94" r:id="rId38" xr:uid="{9F2D89C5-857C-4394-9FB8-0858F791FFF5}"/>
    <hyperlink ref="VV94" r:id="rId39" xr:uid="{F61922E4-805A-4F56-8A6E-C180E0D1831B}"/>
    <hyperlink ref="WL94" r:id="rId40" xr:uid="{509B2869-EC94-48A3-A098-7ECA0FCB8963}"/>
    <hyperlink ref="XB94" r:id="rId41" xr:uid="{BBE36254-2C73-4230-800E-370109EA78A3}"/>
    <hyperlink ref="XR94" r:id="rId42" xr:uid="{99F0F8F5-128C-4113-934A-F02B0A30DD44}"/>
    <hyperlink ref="YH94" r:id="rId43" xr:uid="{6B83A29B-5685-41AE-8C6B-C5AFB1BA23D5}"/>
    <hyperlink ref="YX94" r:id="rId44" xr:uid="{0757658B-6D19-471A-A580-29126D04CA0F}"/>
    <hyperlink ref="ZN94" r:id="rId45" xr:uid="{74F5CF12-3E6A-49F4-8D5D-CF072FD5AFE8}"/>
    <hyperlink ref="AAD94" r:id="rId46" xr:uid="{03C91668-E29F-4662-B0F8-7E18E8644CD1}"/>
    <hyperlink ref="AAT94" r:id="rId47" xr:uid="{4CDB3974-5221-46D5-8FBA-BB79FDCF31DF}"/>
    <hyperlink ref="ABJ94" r:id="rId48" xr:uid="{3B8D837D-C049-4CAD-B4C0-09721F9C5F7E}"/>
    <hyperlink ref="ABZ94" r:id="rId49" xr:uid="{24BA8911-3574-4347-AF8D-E6FF177622BA}"/>
    <hyperlink ref="ACP94" r:id="rId50" xr:uid="{7E996726-8769-4090-8721-95FA0730AB62}"/>
    <hyperlink ref="ADF94" r:id="rId51" xr:uid="{F31FA018-B9FC-48BF-8D6B-A52EF61879C4}"/>
    <hyperlink ref="ADV94" r:id="rId52" xr:uid="{EA7FE0F4-98A7-4B15-BB2E-202968CC6AC6}"/>
    <hyperlink ref="AEL94" r:id="rId53" xr:uid="{BF3B1DBC-1F6F-4D90-B4D0-41E4EF7B0050}"/>
    <hyperlink ref="AFB94" r:id="rId54" xr:uid="{C649B87F-0A70-413D-A408-FD40AB2274E9}"/>
    <hyperlink ref="AFR94" r:id="rId55" xr:uid="{B3517C4C-30F9-4640-BAF5-56A40918F96F}"/>
    <hyperlink ref="AGH94" r:id="rId56" xr:uid="{A2D6A7F1-23E2-4362-B436-698EF907FDF7}"/>
    <hyperlink ref="AGX94" r:id="rId57" xr:uid="{2CC8444D-3EAF-4021-B5C5-F6FCA6AB5B47}"/>
    <hyperlink ref="AHN94" r:id="rId58" xr:uid="{628111F0-9984-4A12-96A8-6D5F35177F0D}"/>
    <hyperlink ref="AID94" r:id="rId59" xr:uid="{C83B7D34-0287-427A-935D-AEE2BB55E9AF}"/>
    <hyperlink ref="AIT94" r:id="rId60" xr:uid="{347DE9E1-1252-421B-BBD4-08F51DCEAD7A}"/>
    <hyperlink ref="AJJ94" r:id="rId61" xr:uid="{4DD43B15-B091-4296-8245-B49652BE0611}"/>
    <hyperlink ref="AJZ94" r:id="rId62" xr:uid="{614A4748-502B-4D28-920F-2677698A4A7D}"/>
    <hyperlink ref="AKP94" r:id="rId63" xr:uid="{64C7A7A3-E711-4459-A2F7-CBA1D3A59C7C}"/>
    <hyperlink ref="ALF94" r:id="rId64" xr:uid="{672DAAF3-5443-4073-8603-40CC3AA2A839}"/>
    <hyperlink ref="ALV94" r:id="rId65" xr:uid="{8553785D-2CDA-4245-96D6-BDBFF64B6D97}"/>
    <hyperlink ref="AML94" r:id="rId66" xr:uid="{6FA05A16-5B06-492E-ABF7-E89785E5FC4E}"/>
    <hyperlink ref="ANB94" r:id="rId67" xr:uid="{87DF2402-BD8C-457B-ACF5-E3503913E641}"/>
    <hyperlink ref="ANR94" r:id="rId68" xr:uid="{0ADC9A46-24D7-4BB8-9734-1C7352899BCF}"/>
    <hyperlink ref="AOH94" r:id="rId69" xr:uid="{4CA8266B-5923-4778-9511-5615D459F8DB}"/>
    <hyperlink ref="AOX94" r:id="rId70" xr:uid="{8BB08E8A-0B1C-4C44-99CC-27D6D5A27402}"/>
    <hyperlink ref="APN94" r:id="rId71" xr:uid="{C17949A7-F1C4-4EB2-85AF-43649608D0E7}"/>
    <hyperlink ref="AQD94" r:id="rId72" xr:uid="{321E0963-3815-4D92-B0BE-90862425A450}"/>
    <hyperlink ref="AQT94" r:id="rId73" xr:uid="{C183D4A4-306C-4271-BD76-EEEA0E366289}"/>
    <hyperlink ref="ARJ94" r:id="rId74" xr:uid="{523FC963-CC33-410E-954F-970AC7D91357}"/>
    <hyperlink ref="ARZ94" r:id="rId75" xr:uid="{40E0F4D9-6538-4B91-B831-5A3BF39D0BCB}"/>
    <hyperlink ref="ASP94" r:id="rId76" xr:uid="{36D6E171-E0BE-4AB4-A3A4-60D85462434B}"/>
    <hyperlink ref="ATF94" r:id="rId77" xr:uid="{DFE078F5-B674-4A3F-A63B-B622A1C4658A}"/>
    <hyperlink ref="ATV94" r:id="rId78" xr:uid="{50A692EB-E6F4-426B-A922-A7170E086DCA}"/>
    <hyperlink ref="AUL94" r:id="rId79" xr:uid="{2AF8C771-9CA7-4F07-906D-C6B50C69A07D}"/>
    <hyperlink ref="AVB94" r:id="rId80" xr:uid="{C6A43583-31B0-4C50-8475-B3660C8F6605}"/>
    <hyperlink ref="AVR94" r:id="rId81" xr:uid="{9D529949-2BA1-4764-852B-BAF38966F1FB}"/>
    <hyperlink ref="AWH94" r:id="rId82" xr:uid="{26457E72-82B0-4656-A142-76B7DA829218}"/>
    <hyperlink ref="AWX94" r:id="rId83" xr:uid="{EEED8DA6-EEFE-4733-B96B-6A13C74E10A4}"/>
    <hyperlink ref="AXN94" r:id="rId84" xr:uid="{AA06F199-0F8E-4144-89B2-2BE23BB33DB5}"/>
    <hyperlink ref="AYD94" r:id="rId85" xr:uid="{EC9C44E8-9DA9-407F-8273-5680DD342269}"/>
    <hyperlink ref="AYT94" r:id="rId86" xr:uid="{9855A0D7-C563-43B9-AFBA-761EB8C48CF1}"/>
    <hyperlink ref="AZJ94" r:id="rId87" xr:uid="{C472D5A6-D737-4B34-8216-CB420700B059}"/>
    <hyperlink ref="AZZ94" r:id="rId88" xr:uid="{FD67CE76-C8A1-47EE-A553-99AD41CBB88B}"/>
    <hyperlink ref="BAP94" r:id="rId89" xr:uid="{9F335F99-2B9C-4BC3-8EF6-4DA8B393C11E}"/>
    <hyperlink ref="BBF94" r:id="rId90" xr:uid="{8A1EEE2B-7EA7-4B74-A0F7-DDE0FBB24EC8}"/>
    <hyperlink ref="BBV94" r:id="rId91" xr:uid="{B7E7C830-B3B0-4EB5-A36F-461538384173}"/>
    <hyperlink ref="BCL94" r:id="rId92" xr:uid="{A0B134F0-E00D-4492-AFE5-2A18CD5F60AD}"/>
    <hyperlink ref="BDB94" r:id="rId93" xr:uid="{CCD7179D-6063-472C-A18F-2F60361C1B1D}"/>
    <hyperlink ref="BDR94" r:id="rId94" xr:uid="{621A6E93-9228-492B-AB72-4E608C966993}"/>
    <hyperlink ref="BEH94" r:id="rId95" xr:uid="{5B695E88-4F31-4170-A739-628783C4A67E}"/>
    <hyperlink ref="BEX94" r:id="rId96" xr:uid="{A806E7AC-933C-4B11-9066-681C0990FCF7}"/>
    <hyperlink ref="BFN94" r:id="rId97" xr:uid="{9CFAF0D9-0AE8-4F76-A1E1-C5B08B9496EF}"/>
    <hyperlink ref="BGD94" r:id="rId98" xr:uid="{9127227E-67F5-41C8-9364-0D11BDE8B497}"/>
    <hyperlink ref="BGT94" r:id="rId99" xr:uid="{67AD9FAF-38ED-488C-84EC-4083438D37C7}"/>
    <hyperlink ref="BHJ94" r:id="rId100" xr:uid="{C6CF2CD1-08AD-46AB-ADB9-0D9C65A59A50}"/>
    <hyperlink ref="BHZ94" r:id="rId101" xr:uid="{42916334-9CCE-4851-82BE-599725C6C767}"/>
    <hyperlink ref="BIP94" r:id="rId102" xr:uid="{2C78770F-46E0-44E7-8E25-6041ADB9F904}"/>
    <hyperlink ref="BJF94" r:id="rId103" xr:uid="{3A97D9B3-BEAC-431B-9BC9-29E1D5B68660}"/>
    <hyperlink ref="BJV94" r:id="rId104" xr:uid="{CE2E6EB9-1510-4E9F-8B8E-2452EBAD2264}"/>
    <hyperlink ref="BKL94" r:id="rId105" xr:uid="{423EC38C-AC78-4475-B04C-A8D1E6600D48}"/>
    <hyperlink ref="BLB94" r:id="rId106" xr:uid="{D56BDD3B-9C6C-46D1-8138-FCBCEF37B759}"/>
    <hyperlink ref="BLR94" r:id="rId107" xr:uid="{49266E4D-D012-45DF-89F4-17FB4FC7FFC4}"/>
    <hyperlink ref="BMH94" r:id="rId108" xr:uid="{016272D2-790C-4C58-A3BC-A1BC2AB9BC77}"/>
    <hyperlink ref="BMX94" r:id="rId109" xr:uid="{4983C529-3CC1-4E40-8D91-8943B5D22318}"/>
    <hyperlink ref="BNN94" r:id="rId110" xr:uid="{827335EE-B573-4A95-B696-42C4592AC1AC}"/>
    <hyperlink ref="BOD94" r:id="rId111" xr:uid="{2D77AFB9-4340-4EFF-BEDC-60C863619456}"/>
    <hyperlink ref="BOT94" r:id="rId112" xr:uid="{D5AAD067-E8DF-4507-9076-CA7EE12B5B2A}"/>
    <hyperlink ref="BPJ94" r:id="rId113" xr:uid="{A5A746FC-5B9F-427C-B8DD-90FEB97BF192}"/>
    <hyperlink ref="BPZ94" r:id="rId114" xr:uid="{B4E0EB83-01DC-4F2F-B5EB-E859E3F805D0}"/>
    <hyperlink ref="BQP94" r:id="rId115" xr:uid="{BA60B0E4-8480-4C84-BB01-3BFFA0E75AF9}"/>
    <hyperlink ref="BRF94" r:id="rId116" xr:uid="{D47E9329-5371-455B-B53A-0AB4D230D764}"/>
    <hyperlink ref="BRV94" r:id="rId117" xr:uid="{C56E7A87-B077-42EC-8910-00C56D4D63CF}"/>
    <hyperlink ref="BSL94" r:id="rId118" xr:uid="{4132E49F-1ED0-4014-BBD7-5DF9B71B3DDB}"/>
    <hyperlink ref="BTB94" r:id="rId119" xr:uid="{D268C274-A871-4C0E-AE19-038BC50CB6D2}"/>
    <hyperlink ref="BTR94" r:id="rId120" xr:uid="{1359B867-8B9D-4329-86B9-50A556F141CD}"/>
    <hyperlink ref="BUH94" r:id="rId121" xr:uid="{CE291B0D-9B97-4650-8FB1-905AC6C2387C}"/>
    <hyperlink ref="BUX94" r:id="rId122" xr:uid="{E90F0DDA-EEF3-4DD5-8433-D88FE75FB3B7}"/>
    <hyperlink ref="BVN94" r:id="rId123" xr:uid="{520AF443-A631-48D3-9533-13D11196FC3D}"/>
    <hyperlink ref="BWD94" r:id="rId124" xr:uid="{3E3765EA-2AAD-46F8-9DF8-4BB6F156FD02}"/>
    <hyperlink ref="BWT94" r:id="rId125" xr:uid="{FD5680EE-B752-45B3-BA33-72FC9193129D}"/>
    <hyperlink ref="BXJ94" r:id="rId126" xr:uid="{14CA2944-4138-4B39-841A-5C3B0EC22559}"/>
    <hyperlink ref="BXZ94" r:id="rId127" xr:uid="{D8CA7D82-70A6-4EE6-A5DE-D6CD659A29AE}"/>
    <hyperlink ref="BYP94" r:id="rId128" xr:uid="{BF17B83F-DFC2-4BB9-ADAF-8B423D7F905B}"/>
    <hyperlink ref="BZF94" r:id="rId129" xr:uid="{119AD23D-63D3-4E35-A347-187D8D16D170}"/>
    <hyperlink ref="BZV94" r:id="rId130" xr:uid="{9E23E62F-1001-4208-9014-2633D87CCD38}"/>
    <hyperlink ref="CAL94" r:id="rId131" xr:uid="{EF8869E3-6694-44A2-AB49-F02107ABC376}"/>
    <hyperlink ref="CBB94" r:id="rId132" xr:uid="{36403219-B906-45E1-AA82-98F045928BD5}"/>
    <hyperlink ref="CBR94" r:id="rId133" xr:uid="{53F36D81-136F-46C4-995D-ED7A3EF68B7E}"/>
    <hyperlink ref="CCH94" r:id="rId134" xr:uid="{75EDD3BB-F9C1-48DF-8414-E44240DB0D59}"/>
    <hyperlink ref="CCX94" r:id="rId135" xr:uid="{6249F4CC-7386-44CA-8290-82E3D6B6DEA5}"/>
    <hyperlink ref="CDN94" r:id="rId136" xr:uid="{D7CBE8EC-4B4E-4DDC-AFB9-12BB344B3380}"/>
    <hyperlink ref="CED94" r:id="rId137" xr:uid="{BE1FCE8A-99DC-4202-BEAA-08E3A0F94A97}"/>
    <hyperlink ref="CET94" r:id="rId138" xr:uid="{510BE829-3442-4E68-848B-7D345D1D196D}"/>
    <hyperlink ref="CFJ94" r:id="rId139" xr:uid="{A3BF6BD6-2B2C-40F5-BEE6-877490ABD642}"/>
    <hyperlink ref="CFZ94" r:id="rId140" xr:uid="{009189E7-0410-4E22-AD49-AEED0EE744C3}"/>
    <hyperlink ref="CGP94" r:id="rId141" xr:uid="{D1270A25-22BE-495A-B9A7-EDB90B8A3D7D}"/>
    <hyperlink ref="CHF94" r:id="rId142" xr:uid="{752B2B36-6488-4ED9-8332-4FC7587D9E2A}"/>
    <hyperlink ref="CHV94" r:id="rId143" xr:uid="{5AE62E92-2DF2-4B76-A60F-54B8BD491042}"/>
    <hyperlink ref="CIL94" r:id="rId144" xr:uid="{25EC133C-3A9E-40A1-905B-48AA41EB04F3}"/>
    <hyperlink ref="CJB94" r:id="rId145" xr:uid="{C5AA0895-AFEE-402D-B6FB-E4E4139626CB}"/>
    <hyperlink ref="CJR94" r:id="rId146" xr:uid="{BDCC143B-1B1A-4CD0-8948-B9341E388D75}"/>
    <hyperlink ref="CKH94" r:id="rId147" xr:uid="{6B67510A-4378-4CC8-B59A-0B2D5A57E5EB}"/>
    <hyperlink ref="CKX94" r:id="rId148" xr:uid="{6B087493-E19E-45DD-A6C4-47AE0C904BD6}"/>
    <hyperlink ref="CLN94" r:id="rId149" xr:uid="{ED8F5249-3559-423D-A107-A458436B2A2A}"/>
    <hyperlink ref="CMD94" r:id="rId150" xr:uid="{D9767A3D-89D8-4A48-A136-98FA24611777}"/>
    <hyperlink ref="CMT94" r:id="rId151" xr:uid="{3B9094D0-0D87-4DDF-9487-369BCC0832A3}"/>
    <hyperlink ref="CNJ94" r:id="rId152" xr:uid="{88BF82B8-AE90-4876-BD4D-9E1A1E79C4CE}"/>
    <hyperlink ref="CNZ94" r:id="rId153" xr:uid="{829AF51A-303F-4821-9592-A7303B4FC988}"/>
    <hyperlink ref="COP94" r:id="rId154" xr:uid="{AD749CA4-E8A2-41C6-AFD1-D00D35D723ED}"/>
    <hyperlink ref="CPF94" r:id="rId155" xr:uid="{19D3CD0C-8A63-41FB-8293-12330B312A1F}"/>
    <hyperlink ref="CPV94" r:id="rId156" xr:uid="{78C07CA2-D4CC-4802-BE33-8262E0B2C8A3}"/>
    <hyperlink ref="CQL94" r:id="rId157" xr:uid="{F4D058C3-649F-4217-9A93-EA853E2EE22F}"/>
    <hyperlink ref="CRB94" r:id="rId158" xr:uid="{FA9A253D-75FE-44A0-B9FD-44B4865FB088}"/>
    <hyperlink ref="CRR94" r:id="rId159" xr:uid="{C515134F-B155-4692-AC81-76440816E89A}"/>
    <hyperlink ref="CSH94" r:id="rId160" xr:uid="{56A64522-3912-4D9F-9EC2-CA0366426CA9}"/>
    <hyperlink ref="CSX94" r:id="rId161" xr:uid="{7C12DF1D-664A-455A-9551-B6D208811FCF}"/>
    <hyperlink ref="CTN94" r:id="rId162" xr:uid="{0121E60E-1963-4EAC-B8EA-7375326FA123}"/>
    <hyperlink ref="CUD94" r:id="rId163" xr:uid="{261EB810-4A1B-4F90-9A2D-EA3F8343B649}"/>
    <hyperlink ref="CUT94" r:id="rId164" xr:uid="{43325F31-C7CF-4F1E-ABB8-2A2724458CCB}"/>
    <hyperlink ref="CVJ94" r:id="rId165" xr:uid="{C2D08502-FE60-417D-A0F3-36B6A70AD439}"/>
    <hyperlink ref="CVZ94" r:id="rId166" xr:uid="{DAD10C74-6E74-47A4-BC9B-3647B01522E7}"/>
    <hyperlink ref="CWP94" r:id="rId167" xr:uid="{B1411BAC-C247-48A3-9314-046657A7F9F6}"/>
    <hyperlink ref="CXF94" r:id="rId168" xr:uid="{8E65D494-A4D6-41AD-8A41-B6B2BE980686}"/>
    <hyperlink ref="CXV94" r:id="rId169" xr:uid="{FA8CA58B-3FC8-4E5E-8FB4-FBC0A57EC64D}"/>
    <hyperlink ref="CYL94" r:id="rId170" xr:uid="{E1197F5E-A75B-4E34-AC08-4EBD09992365}"/>
    <hyperlink ref="CZB94" r:id="rId171" xr:uid="{5BD8921B-E5E5-4E88-8B5B-E8FE46192029}"/>
    <hyperlink ref="CZR94" r:id="rId172" xr:uid="{900C58CE-84D0-4A68-B162-6EBDDE9CAEC2}"/>
    <hyperlink ref="DAH94" r:id="rId173" xr:uid="{7F28EB60-3E56-4EBC-B1DB-44DA02247463}"/>
    <hyperlink ref="DAX94" r:id="rId174" xr:uid="{D95C3F62-B472-42C4-84C9-5E61E0841D53}"/>
    <hyperlink ref="DBN94" r:id="rId175" xr:uid="{E6552966-C922-4DDE-ABA0-32E759483BE7}"/>
    <hyperlink ref="DCD94" r:id="rId176" xr:uid="{39CE7156-8439-4457-BF34-B89AB5CEE9E0}"/>
    <hyperlink ref="DCT94" r:id="rId177" xr:uid="{75F7372F-C1A3-4604-82CA-C3CD7771C6F2}"/>
    <hyperlink ref="DDJ94" r:id="rId178" xr:uid="{B071CB19-9D98-454C-A058-46BDA7CA8DC7}"/>
    <hyperlink ref="DDZ94" r:id="rId179" xr:uid="{211FCC19-6850-40A6-92AE-587DFB9D420F}"/>
    <hyperlink ref="DEP94" r:id="rId180" xr:uid="{DB316711-029B-47C7-B1A0-DEEF11C0F3D8}"/>
    <hyperlink ref="DFF94" r:id="rId181" xr:uid="{E92C0D6E-BB1D-4745-BA7E-7C89C9D8CA22}"/>
    <hyperlink ref="DFV94" r:id="rId182" xr:uid="{49096497-0352-4B15-BADA-8736D2FA1CFF}"/>
    <hyperlink ref="DGL94" r:id="rId183" xr:uid="{17223577-D9F8-4E02-B9B3-2A45DCB79CA8}"/>
    <hyperlink ref="DHB94" r:id="rId184" xr:uid="{F319DF35-3130-4455-8888-F8E5E6067D1B}"/>
    <hyperlink ref="DHR94" r:id="rId185" xr:uid="{C4F8EA84-3F33-429F-BD9E-F69DF3AFF120}"/>
    <hyperlink ref="DIH94" r:id="rId186" xr:uid="{027D377F-8FD5-407A-BA36-000C45C60D65}"/>
    <hyperlink ref="DIX94" r:id="rId187" xr:uid="{EDDE657A-C138-4F6D-B583-A3FFD8AF7BB3}"/>
    <hyperlink ref="DJN94" r:id="rId188" xr:uid="{5031DD37-FB57-4B0C-9627-7A09ABEBC200}"/>
    <hyperlink ref="DKD94" r:id="rId189" xr:uid="{2B772F8B-6918-45D8-B77C-D684E238A35A}"/>
    <hyperlink ref="DKT94" r:id="rId190" xr:uid="{859E1601-5014-4B6E-AA37-EE18A52FC793}"/>
    <hyperlink ref="DLJ94" r:id="rId191" xr:uid="{8B57E202-C805-4D33-B493-EB5D27A3B312}"/>
    <hyperlink ref="DLZ94" r:id="rId192" xr:uid="{D2CF020A-87C8-48F7-9BDB-B24164895089}"/>
    <hyperlink ref="DMP94" r:id="rId193" xr:uid="{F2DFD0B7-5E25-4CED-B300-37AEFA942625}"/>
    <hyperlink ref="DNF94" r:id="rId194" xr:uid="{8E7A88A8-036F-4F24-9414-0338B2079A26}"/>
    <hyperlink ref="DNV94" r:id="rId195" xr:uid="{B15F9C5B-4BBA-4350-B954-250F030CFCF0}"/>
    <hyperlink ref="DOL94" r:id="rId196" xr:uid="{E1838AE2-2542-4DCB-81E8-4A6AAB5742BA}"/>
    <hyperlink ref="DPB94" r:id="rId197" xr:uid="{277CCCA3-BC9C-4A97-9895-A0DDCD2B92B0}"/>
    <hyperlink ref="DPR94" r:id="rId198" xr:uid="{62ADF435-2DD5-4F16-BC75-11FF7891DEA2}"/>
    <hyperlink ref="DQH94" r:id="rId199" xr:uid="{6D89747B-62C1-4A5D-B793-500CEFAFFD3B}"/>
    <hyperlink ref="DQX94" r:id="rId200" xr:uid="{0B85505A-8FFF-4A4A-A75B-E26CD5ED6EF6}"/>
    <hyperlink ref="DRN94" r:id="rId201" xr:uid="{92987812-2656-4253-BAAC-77730C872901}"/>
    <hyperlink ref="DSD94" r:id="rId202" xr:uid="{12CC97BB-A788-4A88-A92F-2614B57E38C0}"/>
    <hyperlink ref="DST94" r:id="rId203" xr:uid="{BFD0080D-CDBF-40E6-BAC5-C441B91CAB4E}"/>
    <hyperlink ref="DTJ94" r:id="rId204" xr:uid="{9995EECA-D9B6-46C6-90D2-BCAE88C62B35}"/>
    <hyperlink ref="DTZ94" r:id="rId205" xr:uid="{0815BB72-AAD1-4E36-9545-05F0F45A110F}"/>
    <hyperlink ref="DUP94" r:id="rId206" xr:uid="{EA5B0D29-5ADF-4AB3-97A4-E49F18C1D1A9}"/>
    <hyperlink ref="DVF94" r:id="rId207" xr:uid="{1DFE273F-80C3-438C-84F6-674A1AB38ED5}"/>
    <hyperlink ref="DVV94" r:id="rId208" xr:uid="{DC1ACB08-3E18-43BD-94BF-870888B3A523}"/>
    <hyperlink ref="DWL94" r:id="rId209" xr:uid="{0C9929D1-B32D-43FA-B758-26D40ECB0FB9}"/>
    <hyperlink ref="DXB94" r:id="rId210" xr:uid="{5D7DE5B0-51E3-4884-8217-144077D35D31}"/>
    <hyperlink ref="DXR94" r:id="rId211" xr:uid="{732CB112-AD96-495C-A25C-6D18BFD4CD69}"/>
    <hyperlink ref="DYH94" r:id="rId212" xr:uid="{D8DC9846-F19F-439D-A4C4-C8E10A42E155}"/>
    <hyperlink ref="DYX94" r:id="rId213" xr:uid="{5E30FC3F-856D-4B46-994C-8A7540D24E2C}"/>
    <hyperlink ref="DZN94" r:id="rId214" xr:uid="{4404B0AC-D939-4C5A-AB4C-24EFCF18AC60}"/>
    <hyperlink ref="EAD94" r:id="rId215" xr:uid="{E86ADFF1-6C51-497B-A18A-C6E0B0CD3636}"/>
    <hyperlink ref="EAT94" r:id="rId216" xr:uid="{805F6749-52C8-44B8-ACC8-75CE1F7C27BB}"/>
    <hyperlink ref="EBJ94" r:id="rId217" xr:uid="{7E56920F-6626-4112-81FE-2DF7C723987A}"/>
    <hyperlink ref="EBZ94" r:id="rId218" xr:uid="{27A9744A-7AFB-4C84-B317-E828C4B8D908}"/>
    <hyperlink ref="ECP94" r:id="rId219" xr:uid="{B23BC891-A2EA-4322-B49F-ACE0D72845BB}"/>
    <hyperlink ref="EDF94" r:id="rId220" xr:uid="{E8ACDD3C-3D19-41BC-86EB-0EAF507BDBC0}"/>
    <hyperlink ref="EDV94" r:id="rId221" xr:uid="{767135DF-FADB-47F5-9295-3F820936CE4B}"/>
    <hyperlink ref="EEL94" r:id="rId222" xr:uid="{4F617A5C-A725-40CF-9F4D-809EDF4BC005}"/>
    <hyperlink ref="EFB94" r:id="rId223" xr:uid="{97767E6E-B208-4E63-82B2-26F82814F9AB}"/>
    <hyperlink ref="EFR94" r:id="rId224" xr:uid="{BF5D09F0-5067-42D9-810B-DD2E92F83FE3}"/>
    <hyperlink ref="EGH94" r:id="rId225" xr:uid="{16DAC64A-FEB3-401C-B9CB-4929E33660C2}"/>
    <hyperlink ref="EGX94" r:id="rId226" xr:uid="{88E60320-0240-4BE3-AEFE-C9099E592E1D}"/>
    <hyperlink ref="EHN94" r:id="rId227" xr:uid="{DA92F2D5-5A35-48E1-8222-C5970B2ABCF2}"/>
    <hyperlink ref="EID94" r:id="rId228" xr:uid="{04633286-4BC1-4FE3-A8A6-74D557DA6990}"/>
    <hyperlink ref="EIT94" r:id="rId229" xr:uid="{CDC7F40D-CB71-4F73-A44D-92193EA3EEB7}"/>
    <hyperlink ref="EJJ94" r:id="rId230" xr:uid="{FE1CCB3A-E8E4-4681-889E-FCBBCD6B1525}"/>
    <hyperlink ref="EJZ94" r:id="rId231" xr:uid="{7F5C93A2-DC46-446C-9C46-D8B088E07F25}"/>
    <hyperlink ref="EKP94" r:id="rId232" xr:uid="{2106AC69-6BA2-4A98-9DC1-92C65CABFAE6}"/>
    <hyperlink ref="ELF94" r:id="rId233" xr:uid="{D89D4A82-9D37-485D-BE7F-EF3B0F79B7C6}"/>
    <hyperlink ref="ELV94" r:id="rId234" xr:uid="{283CA91B-B448-4FE8-8AE5-1BBD49548092}"/>
    <hyperlink ref="EML94" r:id="rId235" xr:uid="{5A84E688-89D0-4137-A28B-08A3E971DD9F}"/>
    <hyperlink ref="ENB94" r:id="rId236" xr:uid="{AAB48936-473C-43FF-A49E-620C564C4FEF}"/>
    <hyperlink ref="ENR94" r:id="rId237" xr:uid="{5D46D34F-544D-4C84-80BF-E42694A733C9}"/>
    <hyperlink ref="EOH94" r:id="rId238" xr:uid="{627F2CB3-3FDE-48DA-8258-27FE830841C5}"/>
    <hyperlink ref="EOX94" r:id="rId239" xr:uid="{D403964B-C245-478D-B5E3-5BEDDF9DC774}"/>
    <hyperlink ref="EPN94" r:id="rId240" xr:uid="{5590F630-DCB6-484B-882F-18EA597A7684}"/>
    <hyperlink ref="EQD94" r:id="rId241" xr:uid="{356E66A7-3E8F-413D-9DFF-BECAAB12F221}"/>
    <hyperlink ref="EQT94" r:id="rId242" xr:uid="{BECEA720-BFC3-44DC-A7FC-20C22B0972A6}"/>
    <hyperlink ref="ERJ94" r:id="rId243" xr:uid="{8B752C2A-5F8D-476B-9454-04050C668532}"/>
    <hyperlink ref="ERZ94" r:id="rId244" xr:uid="{18DFA339-62AF-4800-A9F9-F2A2ED76975B}"/>
    <hyperlink ref="ESP94" r:id="rId245" xr:uid="{2E2853CD-D7A0-47A7-B6C2-79E767FEF070}"/>
    <hyperlink ref="ETF94" r:id="rId246" xr:uid="{134D5574-C8F5-4A9E-9AC6-4D68E5F6A334}"/>
    <hyperlink ref="ETV94" r:id="rId247" xr:uid="{7E39D6E5-742F-4D24-9D3B-7CE9D8944372}"/>
    <hyperlink ref="EUL94" r:id="rId248" xr:uid="{AAFD4E23-24D7-4030-B1EE-12F4A024AB68}"/>
    <hyperlink ref="EVB94" r:id="rId249" xr:uid="{A89B334B-2220-4081-9418-9F41AEC986CC}"/>
    <hyperlink ref="EVR94" r:id="rId250" xr:uid="{15E48F66-8EF8-4364-8E63-D37229AEE398}"/>
    <hyperlink ref="EWH94" r:id="rId251" xr:uid="{70DDD7A9-4F07-4595-AD65-A8D2E7D079D6}"/>
    <hyperlink ref="EWX94" r:id="rId252" xr:uid="{995345B1-DEF0-4B65-A379-9F31126AC43D}"/>
    <hyperlink ref="EXN94" r:id="rId253" xr:uid="{E1B1B6B1-6FAF-4AE7-8FEC-E718F9E1AF11}"/>
    <hyperlink ref="EYD94" r:id="rId254" xr:uid="{754E2AAE-066D-4B38-8BB3-369A49E23A54}"/>
    <hyperlink ref="EYT94" r:id="rId255" xr:uid="{0C338175-98AF-4E6A-AF0A-C33CF192CE8F}"/>
    <hyperlink ref="EZJ94" r:id="rId256" xr:uid="{BB9805A4-8C0A-41CE-8F24-BD803E9573CC}"/>
    <hyperlink ref="EZZ94" r:id="rId257" xr:uid="{C08F463A-0AAA-44EC-B894-0271CC3F079D}"/>
    <hyperlink ref="FAP94" r:id="rId258" xr:uid="{7A38BD1B-8510-4886-9BDD-B440C510CBAC}"/>
    <hyperlink ref="FBF94" r:id="rId259" xr:uid="{7A5660F4-6509-4B4B-A79D-AC8C7A13F3CB}"/>
    <hyperlink ref="FBV94" r:id="rId260" xr:uid="{73AE2AD2-5AAD-4D49-B8F7-49EA025DB952}"/>
    <hyperlink ref="FCL94" r:id="rId261" xr:uid="{2A3A42AB-1252-4D3F-8104-3248E61DB893}"/>
    <hyperlink ref="FDB94" r:id="rId262" xr:uid="{1ACA3C51-5E2D-4D15-97A8-FFC85BAA5FCD}"/>
    <hyperlink ref="FDR94" r:id="rId263" xr:uid="{14482A35-461B-4273-890C-DA1BCC766C7F}"/>
    <hyperlink ref="FEH94" r:id="rId264" xr:uid="{B6D8AE2F-49F3-48D0-84AE-D3DAFBAF5A59}"/>
    <hyperlink ref="FEX94" r:id="rId265" xr:uid="{46A9DB53-9EAC-40ED-AC5F-C74C9238F7F5}"/>
    <hyperlink ref="FFN94" r:id="rId266" xr:uid="{6DD8D4A2-4DB7-4135-BDBB-34FB02980901}"/>
    <hyperlink ref="FGD94" r:id="rId267" xr:uid="{9AEB93FB-E136-42CB-916C-0FF65FA4928A}"/>
    <hyperlink ref="FGT94" r:id="rId268" xr:uid="{5DD51AEC-F6B2-43F4-ABFD-878EDBC81914}"/>
    <hyperlink ref="FHJ94" r:id="rId269" xr:uid="{6520ECEA-5122-4BDC-9662-431308C49D54}"/>
    <hyperlink ref="FHZ94" r:id="rId270" xr:uid="{FD4D8B56-C382-44A6-8C21-E725BD08E570}"/>
    <hyperlink ref="FIP94" r:id="rId271" xr:uid="{5A720EC1-4E0F-4D97-8090-0FB05C139289}"/>
    <hyperlink ref="FJF94" r:id="rId272" xr:uid="{E5B2F3A1-BF88-42C3-95DF-A12950599116}"/>
    <hyperlink ref="FJV94" r:id="rId273" xr:uid="{0E0D3411-235B-4BC2-B3DF-E39590A3D563}"/>
    <hyperlink ref="FKL94" r:id="rId274" xr:uid="{BABFF295-7E2A-4F13-933A-9D918D9E5043}"/>
    <hyperlink ref="FLB94" r:id="rId275" xr:uid="{EA2B90CE-0CF5-47BE-AD2B-E85F96C04968}"/>
    <hyperlink ref="FLR94" r:id="rId276" xr:uid="{83722C3A-9F6F-4284-9E65-FBD9D0947164}"/>
    <hyperlink ref="FMH94" r:id="rId277" xr:uid="{61548571-61C2-4E8F-992F-97642820D61A}"/>
    <hyperlink ref="FMX94" r:id="rId278" xr:uid="{71B4D61E-3D4B-468F-9ACE-3CB8301F6A99}"/>
    <hyperlink ref="FNN94" r:id="rId279" xr:uid="{9BE87B56-B6C2-42DD-B062-FF57AE59E959}"/>
    <hyperlink ref="FOD94" r:id="rId280" xr:uid="{B4563B08-17DC-4748-A89D-FAB79A5087E4}"/>
    <hyperlink ref="FOT94" r:id="rId281" xr:uid="{12399331-87B6-4E4B-8C39-05C23A14FD58}"/>
    <hyperlink ref="FPJ94" r:id="rId282" xr:uid="{1A065A5E-C0F8-491B-9DE5-A38A60CC3184}"/>
    <hyperlink ref="FPZ94" r:id="rId283" xr:uid="{68CFE4E6-486E-40D3-B395-24A0D923578E}"/>
    <hyperlink ref="FQP94" r:id="rId284" xr:uid="{E3B624ED-F476-462D-A4AA-D03A539A69BB}"/>
    <hyperlink ref="FRF94" r:id="rId285" xr:uid="{C5095F2E-42B9-4B2E-BAC8-B5550890965C}"/>
    <hyperlink ref="FRV94" r:id="rId286" xr:uid="{C4775759-5FA9-44E8-AC10-F9E7C026F38A}"/>
    <hyperlink ref="FSL94" r:id="rId287" xr:uid="{3D9A7885-DB0D-40AE-BA36-8C477F172087}"/>
    <hyperlink ref="FTB94" r:id="rId288" xr:uid="{E7813BD0-FE94-4C43-86B1-72E3377BF211}"/>
    <hyperlink ref="FTR94" r:id="rId289" xr:uid="{32F2A46D-C4A8-445E-9992-FCC3B764EFA7}"/>
    <hyperlink ref="FUH94" r:id="rId290" xr:uid="{6EC4B9D3-B852-4F84-B1A6-973658BC99DB}"/>
    <hyperlink ref="FUX94" r:id="rId291" xr:uid="{1874D8A5-270D-4E51-BF85-32ACBF7B7BA7}"/>
    <hyperlink ref="FVN94" r:id="rId292" xr:uid="{68F18327-72D2-4E36-9A5F-65AABB898DF3}"/>
    <hyperlink ref="FWD94" r:id="rId293" xr:uid="{333E53A4-04A1-40BD-B53F-D556105F5909}"/>
    <hyperlink ref="FWT94" r:id="rId294" xr:uid="{2A553220-A29C-4951-AA02-47310F29D669}"/>
    <hyperlink ref="FXJ94" r:id="rId295" xr:uid="{44655E33-A22B-436D-8EC4-268EE3F401E0}"/>
    <hyperlink ref="FXZ94" r:id="rId296" xr:uid="{2D5CE720-29C8-461C-BBA7-4EA4B3E2B40F}"/>
    <hyperlink ref="FYP94" r:id="rId297" xr:uid="{028F6025-5270-4B93-B395-C14682C2AFF1}"/>
    <hyperlink ref="FZF94" r:id="rId298" xr:uid="{0403DF14-AE57-4032-9D2C-B214B68355E9}"/>
    <hyperlink ref="FZV94" r:id="rId299" xr:uid="{62A87293-FAA7-4173-9A2D-4344582A5E95}"/>
    <hyperlink ref="GAL94" r:id="rId300" xr:uid="{E9D0E494-4F95-4468-863C-B83E61D2FA75}"/>
    <hyperlink ref="GBB94" r:id="rId301" xr:uid="{76E71496-E39D-47AD-940E-5842F3335D90}"/>
    <hyperlink ref="GBR94" r:id="rId302" xr:uid="{2F61D480-2E5F-43FF-AC55-E1F1ABEE897E}"/>
    <hyperlink ref="GCH94" r:id="rId303" xr:uid="{09CA3FDA-9061-4A5F-8297-43651DAD98C2}"/>
    <hyperlink ref="GCX94" r:id="rId304" xr:uid="{D7870BBF-366D-49F9-9FA7-17E951B709EC}"/>
    <hyperlink ref="GDN94" r:id="rId305" xr:uid="{803C37E8-B47E-457F-8D9C-FFFDD58DFD3A}"/>
    <hyperlink ref="GED94" r:id="rId306" xr:uid="{AD966DCF-52AA-4179-BC11-8220D95AFA48}"/>
    <hyperlink ref="GET94" r:id="rId307" xr:uid="{EC00A9FA-0EE8-4B29-8D65-92FF6272C71C}"/>
    <hyperlink ref="GFJ94" r:id="rId308" xr:uid="{34C64E77-3494-4980-9420-C3241EDF0093}"/>
    <hyperlink ref="GFZ94" r:id="rId309" xr:uid="{49EC0E4A-BA58-40A4-82F1-BE12122CC1AE}"/>
    <hyperlink ref="GGP94" r:id="rId310" xr:uid="{CF0614F4-11EC-4345-BEA2-30D6E5BFBCCF}"/>
    <hyperlink ref="GHF94" r:id="rId311" xr:uid="{DFCE5580-C0EB-4F70-A55B-20A9F712A03D}"/>
    <hyperlink ref="GHV94" r:id="rId312" xr:uid="{70E5277C-3AA6-417F-BFF3-DECA2F838572}"/>
    <hyperlink ref="GIL94" r:id="rId313" xr:uid="{5924C250-75C2-46BB-8283-1BD69E46EA0B}"/>
    <hyperlink ref="GJB94" r:id="rId314" xr:uid="{07553280-D951-47C8-BF04-2A8CBDD4B585}"/>
    <hyperlink ref="GJR94" r:id="rId315" xr:uid="{24D79CF4-EE5C-4B95-8B76-1C785B5CEAC0}"/>
    <hyperlink ref="GKH94" r:id="rId316" xr:uid="{BEB91D28-365A-48F2-A41E-61ADA7286FF1}"/>
    <hyperlink ref="GKX94" r:id="rId317" xr:uid="{F970A8BE-42BD-4986-8EAF-7096767F17FA}"/>
    <hyperlink ref="GLN94" r:id="rId318" xr:uid="{0278268E-2140-4119-BD25-8B8DB8015A83}"/>
    <hyperlink ref="GMD94" r:id="rId319" xr:uid="{7C94B6E7-7C3C-4B12-B519-B7C8AD40A0EC}"/>
    <hyperlink ref="GMT94" r:id="rId320" xr:uid="{A1D115DC-7F49-406C-BE54-804798731D43}"/>
    <hyperlink ref="GNJ94" r:id="rId321" xr:uid="{E677BBD9-CDDA-44E3-A746-6AA4C65A12C8}"/>
    <hyperlink ref="GNZ94" r:id="rId322" xr:uid="{E27CBC54-54A3-488F-AD1A-0C5FAF285AFA}"/>
    <hyperlink ref="GOP94" r:id="rId323" xr:uid="{3C385998-BC09-4911-B570-9B823AA197AE}"/>
    <hyperlink ref="GPF94" r:id="rId324" xr:uid="{545CE93D-E5FA-49F2-A099-A95F1C443D6E}"/>
    <hyperlink ref="GPV94" r:id="rId325" xr:uid="{DE7F8490-6519-4C15-AC0D-C5F1607381DD}"/>
    <hyperlink ref="GQL94" r:id="rId326" xr:uid="{C7BC8624-9DCE-4A1B-8FB7-C125A8A3371D}"/>
    <hyperlink ref="GRB94" r:id="rId327" xr:uid="{885E9E0B-8DEB-4CCB-B4C9-FA8C36A4777A}"/>
    <hyperlink ref="GRR94" r:id="rId328" xr:uid="{97FFA2C3-7BD3-43CC-B662-0FFEAD77456F}"/>
    <hyperlink ref="GSH94" r:id="rId329" xr:uid="{A1B4F920-4AFC-45BD-8A60-38DB378C4EF2}"/>
    <hyperlink ref="GSX94" r:id="rId330" xr:uid="{EEA977AF-EC6B-45EE-85B3-6EA2D56B2389}"/>
    <hyperlink ref="GTN94" r:id="rId331" xr:uid="{50225570-8207-46E6-A33C-C784D4D28C37}"/>
    <hyperlink ref="GUD94" r:id="rId332" xr:uid="{B7DBAD50-A0ED-40C7-8704-24E3BF7544D5}"/>
    <hyperlink ref="GUT94" r:id="rId333" xr:uid="{F25C8C4E-8690-45D4-9C99-4BBD35655085}"/>
    <hyperlink ref="GVJ94" r:id="rId334" xr:uid="{6CF64CB3-3E31-4190-BDE7-2A50C7017B55}"/>
    <hyperlink ref="GVZ94" r:id="rId335" xr:uid="{528E5F3D-83E0-4D64-A7F3-FA6A35E2C92D}"/>
    <hyperlink ref="GWP94" r:id="rId336" xr:uid="{6E1532A3-ADDE-414C-88AF-2BACE6FF6056}"/>
    <hyperlink ref="GXF94" r:id="rId337" xr:uid="{F0220954-F610-4327-B51C-07650E5914D1}"/>
    <hyperlink ref="GXV94" r:id="rId338" xr:uid="{3DBBDA97-E660-4700-8994-276E32FC04A1}"/>
    <hyperlink ref="GYL94" r:id="rId339" xr:uid="{166B3A1F-B7CF-41C7-A963-D16942C6E375}"/>
    <hyperlink ref="GZB94" r:id="rId340" xr:uid="{F4E3A6C2-FE87-44DB-B921-50ACD37CD2BA}"/>
    <hyperlink ref="GZR94" r:id="rId341" xr:uid="{E8BA3C55-C1CA-4CF5-B747-5E4AA2BBDE26}"/>
    <hyperlink ref="HAH94" r:id="rId342" xr:uid="{92ED6E75-C206-471A-A7AD-002CC7B96E66}"/>
    <hyperlink ref="HAX94" r:id="rId343" xr:uid="{CE0799BA-4CFB-4161-B1CD-DB4ADAF56F93}"/>
    <hyperlink ref="HBN94" r:id="rId344" xr:uid="{6C858E9F-003A-4C17-94DF-678DCE9EB1AD}"/>
    <hyperlink ref="HCD94" r:id="rId345" xr:uid="{E1E2B13D-45D8-429D-8311-AACD34192A34}"/>
    <hyperlink ref="HCT94" r:id="rId346" xr:uid="{40EFE622-0020-45BD-9C01-F611DDBC288D}"/>
    <hyperlink ref="HDJ94" r:id="rId347" xr:uid="{E02824BD-F209-4308-94E7-C80C898E5B31}"/>
    <hyperlink ref="HDZ94" r:id="rId348" xr:uid="{52EA08ED-68A3-412C-895D-5DA9CFC0C0D8}"/>
    <hyperlink ref="HEP94" r:id="rId349" xr:uid="{42C3E6EC-CA3E-453A-B9A5-635F2CE687F3}"/>
    <hyperlink ref="HFF94" r:id="rId350" xr:uid="{6DF1048E-011E-4601-A892-E13602C14567}"/>
    <hyperlink ref="HFV94" r:id="rId351" xr:uid="{9498CCE5-27BD-4A6A-A062-598936E0F062}"/>
    <hyperlink ref="HGL94" r:id="rId352" xr:uid="{2A65B27B-7674-444C-8444-226F47D0DAEA}"/>
    <hyperlink ref="HHB94" r:id="rId353" xr:uid="{E45A8D39-CC90-4E41-B6EB-542B09E334C4}"/>
    <hyperlink ref="HHR94" r:id="rId354" xr:uid="{3BCB537D-7007-4921-80E2-280E190B00FF}"/>
    <hyperlink ref="HIH94" r:id="rId355" xr:uid="{883E27DB-5A8C-4DD8-94E4-F5D9675412CF}"/>
    <hyperlink ref="HIX94" r:id="rId356" xr:uid="{FA4233A0-33CD-4855-83DB-657FBC133593}"/>
    <hyperlink ref="HJN94" r:id="rId357" xr:uid="{B5EA609F-FA17-40F0-882B-A80B16D93D5B}"/>
    <hyperlink ref="HKD94" r:id="rId358" xr:uid="{EF496B28-9FD3-48D9-9272-6D272DC36474}"/>
    <hyperlink ref="HKT94" r:id="rId359" xr:uid="{37A27081-0523-4B8B-A05A-592DB71694FF}"/>
    <hyperlink ref="HLJ94" r:id="rId360" xr:uid="{8421E36C-FF8B-484A-9A38-F3E5CB50E27F}"/>
    <hyperlink ref="HLZ94" r:id="rId361" xr:uid="{3BCDB50C-6E55-4FD7-86BB-506ABEE2C722}"/>
    <hyperlink ref="HMP94" r:id="rId362" xr:uid="{50029C06-21BE-4604-A565-4E20D2ADEFAE}"/>
    <hyperlink ref="HNF94" r:id="rId363" xr:uid="{FB5F2766-0742-4233-B01A-1C7E396F694B}"/>
    <hyperlink ref="HNV94" r:id="rId364" xr:uid="{E4A14CAC-3DEA-4000-BE1D-382246E1230E}"/>
    <hyperlink ref="HOL94" r:id="rId365" xr:uid="{907A32CE-7642-47B3-AF3C-08EF61AD40D7}"/>
    <hyperlink ref="HPB94" r:id="rId366" xr:uid="{9F769C0A-C380-40CC-ACC7-E554F22638E0}"/>
    <hyperlink ref="HPR94" r:id="rId367" xr:uid="{FC983D2B-E758-4620-A085-BA8BC5BBE7FD}"/>
    <hyperlink ref="HQH94" r:id="rId368" xr:uid="{3C0A8C2C-38F0-4AF0-BDA0-485FB985957F}"/>
    <hyperlink ref="HQX94" r:id="rId369" xr:uid="{8BDBA6A7-07C7-46A1-8952-3213B3B15B03}"/>
    <hyperlink ref="HRN94" r:id="rId370" xr:uid="{1AEDBAF4-D67D-49BB-B199-6FE93395A8DF}"/>
    <hyperlink ref="HSD94" r:id="rId371" xr:uid="{C9914E3C-52B5-4AC6-A946-F7E0FA7E2128}"/>
    <hyperlink ref="HST94" r:id="rId372" xr:uid="{3C217384-4D68-462E-AC1D-ABE58A5AB0A6}"/>
    <hyperlink ref="HTJ94" r:id="rId373" xr:uid="{79E54D9B-8D55-4150-BEBA-E6F7DD30FF86}"/>
    <hyperlink ref="HTZ94" r:id="rId374" xr:uid="{1D677E89-00AF-4CE7-90FF-9C90C657507E}"/>
    <hyperlink ref="HUP94" r:id="rId375" xr:uid="{7ECA49B9-06EC-4C21-9A33-A4DD041C846F}"/>
    <hyperlink ref="HVF94" r:id="rId376" xr:uid="{F5252FE2-E3FF-44AE-B365-F255BAC4F448}"/>
    <hyperlink ref="HVV94" r:id="rId377" xr:uid="{772AB9F5-8034-470B-8CA7-F37D544A3540}"/>
    <hyperlink ref="HWL94" r:id="rId378" xr:uid="{B22E9C8F-DD70-4371-9FFF-275478CE2000}"/>
    <hyperlink ref="HXB94" r:id="rId379" xr:uid="{A65CA510-E1F7-4A8C-91A0-28F159152D74}"/>
    <hyperlink ref="HXR94" r:id="rId380" xr:uid="{BBB27D9E-6917-4ADF-A533-361A93CD1898}"/>
    <hyperlink ref="HYH94" r:id="rId381" xr:uid="{84A1A4BF-C1E6-4ED5-A986-CEE7F98827A0}"/>
    <hyperlink ref="HYX94" r:id="rId382" xr:uid="{68AD4B53-0C46-4D12-966B-51718AA3861E}"/>
    <hyperlink ref="HZN94" r:id="rId383" xr:uid="{6BA7E980-A683-4B65-BA14-35ECEB9F22A4}"/>
    <hyperlink ref="IAD94" r:id="rId384" xr:uid="{31143CAC-D8F7-4B3D-B5A1-269CEBD6A04C}"/>
    <hyperlink ref="IAT94" r:id="rId385" xr:uid="{A918AD65-FDFB-4D01-A7F0-A69416BBEFA8}"/>
    <hyperlink ref="IBJ94" r:id="rId386" xr:uid="{B21CA2E0-0A72-45E5-9734-B3226D0DD9C5}"/>
    <hyperlink ref="IBZ94" r:id="rId387" xr:uid="{6DA1319B-AD93-4A42-BCDB-C0213E3D033F}"/>
    <hyperlink ref="ICP94" r:id="rId388" xr:uid="{30D5D3F3-3F01-4AFD-A339-F2A6AB0BBEBE}"/>
    <hyperlink ref="IDF94" r:id="rId389" xr:uid="{190CF6B6-BA99-4C78-9ACD-BEFD6E10DE2D}"/>
    <hyperlink ref="IDV94" r:id="rId390" xr:uid="{04F8B9C2-CF62-4298-8900-F0195435093E}"/>
    <hyperlink ref="IEL94" r:id="rId391" xr:uid="{F372EE83-5D4A-4012-B353-B6982F6FF818}"/>
    <hyperlink ref="IFB94" r:id="rId392" xr:uid="{80DA2EC4-258C-419E-9B9A-C251EDF6E5E6}"/>
    <hyperlink ref="IFR94" r:id="rId393" xr:uid="{0606F12B-DD1E-42AC-A70D-27DAD4F82E11}"/>
    <hyperlink ref="IGH94" r:id="rId394" xr:uid="{DBFDE857-7FAF-4E76-97DA-4F38B71F0C5C}"/>
    <hyperlink ref="IGX94" r:id="rId395" xr:uid="{26993560-C9A9-44CC-80C6-CC6BD7C61A01}"/>
    <hyperlink ref="IHN94" r:id="rId396" xr:uid="{F11AE5BB-CEE3-4EE6-889E-335FFF267BCF}"/>
    <hyperlink ref="IID94" r:id="rId397" xr:uid="{093B0D4D-CAB5-4700-8BAD-CD8689CDBD79}"/>
    <hyperlink ref="IIT94" r:id="rId398" xr:uid="{21F497AC-6D98-43DF-BE21-66E1C4DFFCBE}"/>
    <hyperlink ref="IJJ94" r:id="rId399" xr:uid="{B7E38ABC-656B-4353-8A5E-A87DFED146E5}"/>
    <hyperlink ref="IJZ94" r:id="rId400" xr:uid="{42A65B7A-68A8-494E-95B4-6AF0083F6DB4}"/>
    <hyperlink ref="IKP94" r:id="rId401" xr:uid="{7D29147B-942E-41A1-9196-47B4F4898EC8}"/>
    <hyperlink ref="ILF94" r:id="rId402" xr:uid="{9F516C30-C459-402C-993C-C33022DF6B70}"/>
    <hyperlink ref="ILV94" r:id="rId403" xr:uid="{D8DC184B-490F-47A7-83D7-3C7095CD8A82}"/>
    <hyperlink ref="IML94" r:id="rId404" xr:uid="{D0A5A1C7-0440-4A8F-9DDA-CCA96C7861A8}"/>
    <hyperlink ref="INB94" r:id="rId405" xr:uid="{C7B6EEB4-D116-42AB-9326-03A2086C95A9}"/>
    <hyperlink ref="INR94" r:id="rId406" xr:uid="{0132408A-F1E8-46D9-8180-2FEE8CBAA6EE}"/>
    <hyperlink ref="IOH94" r:id="rId407" xr:uid="{C77751B0-D427-47EB-8BB5-F789F4595E6A}"/>
    <hyperlink ref="IOX94" r:id="rId408" xr:uid="{83B8168C-864D-4163-9B6B-5DD6311F2658}"/>
    <hyperlink ref="IPN94" r:id="rId409" xr:uid="{261B4DDF-9FCA-413B-967C-CBED227772A5}"/>
    <hyperlink ref="IQD94" r:id="rId410" xr:uid="{43FAE256-5E78-45DD-80AF-C27452BFD07E}"/>
    <hyperlink ref="IQT94" r:id="rId411" xr:uid="{9F2E2047-5224-46F1-995F-9E835CA66F45}"/>
    <hyperlink ref="IRJ94" r:id="rId412" xr:uid="{85A248E2-50C8-48AB-A06D-7D86C7E3C5C0}"/>
    <hyperlink ref="IRZ94" r:id="rId413" xr:uid="{8618A456-B25A-4104-89EF-C3D3CD9B1F54}"/>
    <hyperlink ref="ISP94" r:id="rId414" xr:uid="{3E2790CD-A30E-4A82-BD2C-E692F1DBF724}"/>
    <hyperlink ref="ITF94" r:id="rId415" xr:uid="{E4E90BBF-0CC9-459D-9FEB-AFA565CE3EA6}"/>
    <hyperlink ref="ITV94" r:id="rId416" xr:uid="{51AFC425-C55C-4930-B392-6E53A101ED84}"/>
    <hyperlink ref="IUL94" r:id="rId417" xr:uid="{3C4511B0-02E7-4ECA-8934-045738A2CD4B}"/>
    <hyperlink ref="IVB94" r:id="rId418" xr:uid="{E5AEDE87-D6E7-4D1B-AAAE-88947E00B1FE}"/>
    <hyperlink ref="IVR94" r:id="rId419" xr:uid="{A6E71C1D-80A7-4719-891F-5B2904814BBE}"/>
    <hyperlink ref="IWH94" r:id="rId420" xr:uid="{1620C5E1-ED3C-4402-BF22-C2256CE81C70}"/>
    <hyperlink ref="IWX94" r:id="rId421" xr:uid="{0B9061C8-583F-4CD8-B73C-3CA076A012D9}"/>
    <hyperlink ref="IXN94" r:id="rId422" xr:uid="{EE8A837B-4636-40DD-801D-F6521EF56C55}"/>
    <hyperlink ref="IYD94" r:id="rId423" xr:uid="{E56284B3-3901-4702-BC3D-3BA814DDD9AB}"/>
    <hyperlink ref="IYT94" r:id="rId424" xr:uid="{BCFDC636-ED6E-45D0-9436-54B71EDF1FBF}"/>
    <hyperlink ref="IZJ94" r:id="rId425" xr:uid="{AEF63953-DD17-4B8C-8CE4-2D1EA31BE269}"/>
    <hyperlink ref="IZZ94" r:id="rId426" xr:uid="{C574E908-248B-48A2-8D50-525CF05160C8}"/>
    <hyperlink ref="JAP94" r:id="rId427" xr:uid="{D3E12BC3-2D9C-4649-ACFC-D61A237D47EA}"/>
    <hyperlink ref="JBF94" r:id="rId428" xr:uid="{7E7ECA18-5445-464B-8AAA-9E6108628DDD}"/>
    <hyperlink ref="JBV94" r:id="rId429" xr:uid="{34F1AB35-9C5E-4623-947C-704C75BF26C5}"/>
    <hyperlink ref="JCL94" r:id="rId430" xr:uid="{525559BF-061C-4861-9ECB-621C62BD7D09}"/>
    <hyperlink ref="JDB94" r:id="rId431" xr:uid="{B6673157-138D-41A9-AE07-776DB487BF7F}"/>
    <hyperlink ref="JDR94" r:id="rId432" xr:uid="{138A13A3-836F-46B8-A88E-984C51234AE9}"/>
    <hyperlink ref="JEH94" r:id="rId433" xr:uid="{AD5B65C5-684C-43B3-8551-0C69C096ABD1}"/>
    <hyperlink ref="JEX94" r:id="rId434" xr:uid="{20B454CE-C293-4FB0-B701-BF37E3EF2867}"/>
    <hyperlink ref="JFN94" r:id="rId435" xr:uid="{E720571B-EDE4-4976-AD67-FA718A05D981}"/>
    <hyperlink ref="JGD94" r:id="rId436" xr:uid="{D1561B21-9246-4088-BCC4-97C6A081A36B}"/>
    <hyperlink ref="JGT94" r:id="rId437" xr:uid="{38150B80-1962-4ED7-9856-138002476F20}"/>
    <hyperlink ref="JHJ94" r:id="rId438" xr:uid="{1C6F8161-954E-47BB-8C17-0A5678897629}"/>
    <hyperlink ref="JHZ94" r:id="rId439" xr:uid="{BB4D651D-AB67-474C-A557-5265C2E1E5CD}"/>
    <hyperlink ref="JIP94" r:id="rId440" xr:uid="{42E3F4C3-644F-43F1-8989-765E5FA0BC0D}"/>
    <hyperlink ref="JJF94" r:id="rId441" xr:uid="{D38BAFC8-F8B0-4C79-9F5D-364C6ECB548D}"/>
    <hyperlink ref="JJV94" r:id="rId442" xr:uid="{CCD3AC79-6348-4B7E-97AC-2ED409CD8463}"/>
    <hyperlink ref="JKL94" r:id="rId443" xr:uid="{3802781A-6255-48B2-8F09-23C00B25A827}"/>
    <hyperlink ref="JLB94" r:id="rId444" xr:uid="{B6ACDE04-A4A5-4238-8DB0-F4156BCC6C25}"/>
    <hyperlink ref="JLR94" r:id="rId445" xr:uid="{5726C08A-0529-4F1D-89ED-A1560FC329A5}"/>
    <hyperlink ref="JMH94" r:id="rId446" xr:uid="{341093A9-08CA-48D1-AA75-FE1B2C80C220}"/>
    <hyperlink ref="JMX94" r:id="rId447" xr:uid="{5039297F-1EA3-4C5D-A462-92F2A60C9F33}"/>
    <hyperlink ref="JNN94" r:id="rId448" xr:uid="{D9AE36A0-7B7C-4A42-9517-EFEF355A8A7F}"/>
    <hyperlink ref="JOD94" r:id="rId449" xr:uid="{6668DEBA-6CB9-4081-A8D3-C96F094564FB}"/>
    <hyperlink ref="JOT94" r:id="rId450" xr:uid="{EA74EBF3-F31F-4F56-AD50-54DF0C4FDBED}"/>
    <hyperlink ref="JPJ94" r:id="rId451" xr:uid="{67B4A3B0-7A7F-49C0-BDFF-31E97ECD181F}"/>
    <hyperlink ref="JPZ94" r:id="rId452" xr:uid="{53842A9A-BE50-48C7-B718-D1D349E2D4AD}"/>
    <hyperlink ref="JQP94" r:id="rId453" xr:uid="{21656F43-9D9F-4039-9E80-C2ADAAF4DA43}"/>
    <hyperlink ref="JRF94" r:id="rId454" xr:uid="{C2550BAF-381A-41E5-9C0A-5499915B2B2B}"/>
    <hyperlink ref="JRV94" r:id="rId455" xr:uid="{C405D92F-3C62-406F-BFCF-F1F2AF26E2B5}"/>
    <hyperlink ref="JSL94" r:id="rId456" xr:uid="{AA699CBA-21DE-469D-B2D2-920DBA235BEC}"/>
    <hyperlink ref="JTB94" r:id="rId457" xr:uid="{FD83BADD-81D5-43CC-AD71-52D665B7A272}"/>
    <hyperlink ref="JTR94" r:id="rId458" xr:uid="{DD34C70D-801A-40C5-AF2F-C94F034C3F14}"/>
    <hyperlink ref="JUH94" r:id="rId459" xr:uid="{4F517F78-5383-461B-89E1-A1292A17CECD}"/>
    <hyperlink ref="JUX94" r:id="rId460" xr:uid="{C984F989-22EA-4524-80A5-F310BD3CCB01}"/>
    <hyperlink ref="JVN94" r:id="rId461" xr:uid="{5C48A1FE-6EC2-405E-953A-199F82E6959B}"/>
    <hyperlink ref="JWD94" r:id="rId462" xr:uid="{132FA211-A45B-4C7F-9892-B47AB0692345}"/>
    <hyperlink ref="JWT94" r:id="rId463" xr:uid="{ECE674BA-46BC-4254-90D3-E799C276D9B8}"/>
    <hyperlink ref="JXJ94" r:id="rId464" xr:uid="{9587771D-4487-49F8-B8F4-574E51C2F139}"/>
    <hyperlink ref="JXZ94" r:id="rId465" xr:uid="{A840C14E-0A63-43E3-BA60-3BFF30EE169E}"/>
    <hyperlink ref="JYP94" r:id="rId466" xr:uid="{9E01097E-F957-4D37-B9B0-DF9493518E73}"/>
    <hyperlink ref="JZF94" r:id="rId467" xr:uid="{7D447F2E-0482-44FA-BFE7-C8F02A46E75C}"/>
    <hyperlink ref="JZV94" r:id="rId468" xr:uid="{E8F04E8C-A12F-4866-87C3-8C3F769256AA}"/>
    <hyperlink ref="KAL94" r:id="rId469" xr:uid="{E9E90B6F-B134-493A-B5B5-87E59FFCA578}"/>
    <hyperlink ref="KBB94" r:id="rId470" xr:uid="{D19F9368-FA28-48BC-A57A-5982F343D556}"/>
    <hyperlink ref="KBR94" r:id="rId471" xr:uid="{CBECCE1D-9574-4DA7-939B-9D8641DCB51A}"/>
    <hyperlink ref="KCH94" r:id="rId472" xr:uid="{35CA85CF-722E-4FCD-A5F9-B4DE5A6CB877}"/>
    <hyperlink ref="KCX94" r:id="rId473" xr:uid="{DA04DBE0-7E64-4F6B-BFD6-0370456F0EC4}"/>
    <hyperlink ref="KDN94" r:id="rId474" xr:uid="{F0F5A852-FE47-4862-9AF2-D53458929EEA}"/>
    <hyperlink ref="KED94" r:id="rId475" xr:uid="{63C13140-2680-4B49-89BD-F768506607F1}"/>
    <hyperlink ref="KET94" r:id="rId476" xr:uid="{6D82EA8D-EFF4-44BB-9BA8-A1C232716B42}"/>
    <hyperlink ref="KFJ94" r:id="rId477" xr:uid="{7A083C1A-5651-4982-9B9D-A9B99CA2A32C}"/>
    <hyperlink ref="KFZ94" r:id="rId478" xr:uid="{3FC074F5-BB1C-420A-AAF9-D932FE2B04A5}"/>
    <hyperlink ref="KGP94" r:id="rId479" xr:uid="{E54000A3-D70B-44E5-BA04-EA7EFBA4F283}"/>
    <hyperlink ref="KHF94" r:id="rId480" xr:uid="{8B838EDF-90E5-4A1B-BA3C-9F053E0D5728}"/>
    <hyperlink ref="KHV94" r:id="rId481" xr:uid="{38CCBD72-3DDD-4B17-B779-6CC9A181E43E}"/>
    <hyperlink ref="KIL94" r:id="rId482" xr:uid="{7B633D21-D3BB-45D4-92FE-C02FD6DC52DF}"/>
    <hyperlink ref="KJB94" r:id="rId483" xr:uid="{B57D9A77-9C39-4658-AA79-4327B6AFB5A7}"/>
    <hyperlink ref="KJR94" r:id="rId484" xr:uid="{FA4E6968-D6D4-4D29-AC60-004947A66BC6}"/>
    <hyperlink ref="KKH94" r:id="rId485" xr:uid="{7648D4A9-B3F9-4B04-8CFA-FDF119864A6B}"/>
    <hyperlink ref="KKX94" r:id="rId486" xr:uid="{290040E7-36C6-4442-911F-CDE1C4FEAD15}"/>
    <hyperlink ref="KLN94" r:id="rId487" xr:uid="{0C016B85-CC52-404B-BEE5-214DC447564D}"/>
    <hyperlink ref="KMD94" r:id="rId488" xr:uid="{BEE58371-57E4-4F28-9238-B5F5E0141FD9}"/>
    <hyperlink ref="KMT94" r:id="rId489" xr:uid="{F3202668-BECB-405A-8F65-D6298DC3EFB0}"/>
    <hyperlink ref="KNJ94" r:id="rId490" xr:uid="{518C8410-49C0-4CDE-BEBC-A2ADF590CB03}"/>
    <hyperlink ref="KNZ94" r:id="rId491" xr:uid="{E07FD7BC-886E-4A19-8C6F-5D6AC04E7A2E}"/>
    <hyperlink ref="KOP94" r:id="rId492" xr:uid="{E04643CF-A6EC-47FE-A737-7E78729E2387}"/>
    <hyperlink ref="KPF94" r:id="rId493" xr:uid="{F63D3CD8-2EA9-44D2-AEC0-E77A6B27182D}"/>
    <hyperlink ref="KPV94" r:id="rId494" xr:uid="{0091967F-FB91-4D44-AF48-3A1888380351}"/>
    <hyperlink ref="KQL94" r:id="rId495" xr:uid="{08E379D9-804F-4AA5-BDF5-7B509BFC9402}"/>
    <hyperlink ref="KRB94" r:id="rId496" xr:uid="{70A98482-42CB-4285-B7D6-FE97FAEE65B1}"/>
    <hyperlink ref="KRR94" r:id="rId497" xr:uid="{3672A05C-89AB-449B-A2C4-836EE6A21A49}"/>
    <hyperlink ref="KSH94" r:id="rId498" xr:uid="{E0694940-A81B-46D6-A5EA-779C6CDCBC6A}"/>
    <hyperlink ref="KSX94" r:id="rId499" xr:uid="{D9427F25-5A6D-423B-9CDA-B8A57C55A347}"/>
    <hyperlink ref="KTN94" r:id="rId500" xr:uid="{860AFAFD-5B12-4584-8DF2-82A37B6A97A1}"/>
    <hyperlink ref="KUD94" r:id="rId501" xr:uid="{5ADDC289-D3DE-4D29-9B96-C22E88464838}"/>
    <hyperlink ref="KUT94" r:id="rId502" xr:uid="{EFC7B2BD-BD60-4589-B014-634A67E9C996}"/>
    <hyperlink ref="KVJ94" r:id="rId503" xr:uid="{7B98E554-9B9F-41B0-9118-7726FCE6BD72}"/>
    <hyperlink ref="KVZ94" r:id="rId504" xr:uid="{4EF22367-4A67-4593-BC6B-EBA79C2A8E65}"/>
    <hyperlink ref="KWP94" r:id="rId505" xr:uid="{EEF14509-21A8-48B3-B826-0042284BB957}"/>
    <hyperlink ref="KXF94" r:id="rId506" xr:uid="{23961588-CC83-49C8-8670-795457491BD5}"/>
    <hyperlink ref="KXV94" r:id="rId507" xr:uid="{AD501B88-2871-4A36-8C4E-4682EFA99131}"/>
    <hyperlink ref="KYL94" r:id="rId508" xr:uid="{2317EDB9-668E-47EF-88BE-065149106CF3}"/>
    <hyperlink ref="KZB94" r:id="rId509" xr:uid="{014A0BA0-CA21-4EA4-A6D6-176A38D797EA}"/>
    <hyperlink ref="KZR94" r:id="rId510" xr:uid="{091B5F52-E14C-46A6-BD93-384857421473}"/>
    <hyperlink ref="LAH94" r:id="rId511" xr:uid="{EFE9E065-253C-48E0-8B81-65A3F7033243}"/>
    <hyperlink ref="LAX94" r:id="rId512" xr:uid="{F5E8F8B8-BA08-499E-A077-631A0ED28B40}"/>
    <hyperlink ref="LBN94" r:id="rId513" xr:uid="{A5597FDD-58D7-4586-8489-28E2342126C4}"/>
    <hyperlink ref="LCD94" r:id="rId514" xr:uid="{5D7056CC-F053-4AEA-8516-305E056ED308}"/>
    <hyperlink ref="LCT94" r:id="rId515" xr:uid="{4CD6635C-6EFB-47B3-B187-4A29C7ED362E}"/>
    <hyperlink ref="LDJ94" r:id="rId516" xr:uid="{CBF9A934-5CB2-431A-AF7D-9E6F00A2082B}"/>
    <hyperlink ref="LDZ94" r:id="rId517" xr:uid="{BE4B9F3A-8D71-407D-BE72-8723CEAADCDB}"/>
    <hyperlink ref="LEP94" r:id="rId518" xr:uid="{14772918-74BD-4B5B-B22C-C3C8AF1A9BE8}"/>
    <hyperlink ref="LFF94" r:id="rId519" xr:uid="{7B5DFB51-9E0F-4058-BBDB-876AB0E98037}"/>
    <hyperlink ref="LFV94" r:id="rId520" xr:uid="{ED6E8347-15D4-4077-A49A-3F982752934F}"/>
    <hyperlink ref="LGL94" r:id="rId521" xr:uid="{63ED71AB-137B-47B2-B441-FEB3C3D7669E}"/>
    <hyperlink ref="LHB94" r:id="rId522" xr:uid="{5463DF25-C32A-47CE-AB6E-B9ADA939B418}"/>
    <hyperlink ref="LHR94" r:id="rId523" xr:uid="{18032FB7-4C32-450B-8CF3-FB18075738FC}"/>
    <hyperlink ref="LIH94" r:id="rId524" xr:uid="{C42C95D6-C5E4-411E-AF09-81D17260B6F5}"/>
    <hyperlink ref="LIX94" r:id="rId525" xr:uid="{C34F14FD-7431-419D-8A4B-CF7BACA6294B}"/>
    <hyperlink ref="LJN94" r:id="rId526" xr:uid="{4314ABA7-9973-42CC-B2DD-3FD00B110B3A}"/>
    <hyperlink ref="LKD94" r:id="rId527" xr:uid="{68B89A94-06C6-4ED6-8DA7-8D7B69446D91}"/>
    <hyperlink ref="LKT94" r:id="rId528" xr:uid="{A5918370-8C99-4CDA-8470-F65AD0D75293}"/>
    <hyperlink ref="LLJ94" r:id="rId529" xr:uid="{5BE03CB3-53A1-4801-BBE5-B252D7B754AE}"/>
    <hyperlink ref="LLZ94" r:id="rId530" xr:uid="{A5B1CAD9-047B-4AE7-A9F5-F3E2FAA391A9}"/>
    <hyperlink ref="LMP94" r:id="rId531" xr:uid="{36C2773E-A4CB-4C52-A166-7AF6E1DEBF0C}"/>
    <hyperlink ref="LNF94" r:id="rId532" xr:uid="{9249D7A3-02E5-484F-8C44-04A4FB39E423}"/>
    <hyperlink ref="LNV94" r:id="rId533" xr:uid="{F30DBB0B-CA97-4642-A13E-FB573230BB9C}"/>
    <hyperlink ref="LOL94" r:id="rId534" xr:uid="{A9C98E69-10D8-486E-AD3C-4B97B1D7612A}"/>
    <hyperlink ref="LPB94" r:id="rId535" xr:uid="{9DC26788-A938-43C2-98D5-E9859201F8DD}"/>
    <hyperlink ref="LPR94" r:id="rId536" xr:uid="{A63EC566-E294-45D2-B131-0478A08E96E8}"/>
    <hyperlink ref="LQH94" r:id="rId537" xr:uid="{67F640AC-9223-4099-B52F-887794605C5E}"/>
    <hyperlink ref="LQX94" r:id="rId538" xr:uid="{AB438FD8-3EDB-445A-8FB0-3A526CD0C564}"/>
    <hyperlink ref="LRN94" r:id="rId539" xr:uid="{6CC47645-6541-47BD-A876-38D04617171C}"/>
    <hyperlink ref="LSD94" r:id="rId540" xr:uid="{39412C6F-2E06-49BA-B971-E6EFB0861CBB}"/>
    <hyperlink ref="LST94" r:id="rId541" xr:uid="{498BC70D-60A7-42C3-AA1F-69EEC2901925}"/>
    <hyperlink ref="LTJ94" r:id="rId542" xr:uid="{AB1C90C8-C521-4505-ACB7-4A391570F15D}"/>
    <hyperlink ref="LTZ94" r:id="rId543" xr:uid="{26B4369F-6B20-4D34-95DB-CC0CF6618AB4}"/>
    <hyperlink ref="LUP94" r:id="rId544" xr:uid="{DD7D4C03-57C3-4E84-867E-CB0735BC7B86}"/>
    <hyperlink ref="LVF94" r:id="rId545" xr:uid="{15B2A986-E57C-469F-8C26-B07139E7581F}"/>
    <hyperlink ref="LVV94" r:id="rId546" xr:uid="{6BAFA8C9-7591-476A-A7E1-639E7B782436}"/>
    <hyperlink ref="LWL94" r:id="rId547" xr:uid="{228F01AD-8E83-4A74-BB78-C95DCE6B8113}"/>
    <hyperlink ref="LXB94" r:id="rId548" xr:uid="{45FA1971-F9C0-4536-9DC0-353C333F9029}"/>
    <hyperlink ref="LXR94" r:id="rId549" xr:uid="{6F3BDFA8-8705-42C3-803F-8A3B8D8B50BC}"/>
    <hyperlink ref="LYH94" r:id="rId550" xr:uid="{61A5B465-58A9-4459-93BA-2671C1EC578B}"/>
    <hyperlink ref="LYX94" r:id="rId551" xr:uid="{BF807663-69FD-4138-8962-FB66395CEEB3}"/>
    <hyperlink ref="LZN94" r:id="rId552" xr:uid="{1BA04FF0-8BB5-419D-A9E1-2B4C2E7D5C0B}"/>
    <hyperlink ref="MAD94" r:id="rId553" xr:uid="{B5369A2C-A800-4A4A-8314-591C1B172108}"/>
    <hyperlink ref="MAT94" r:id="rId554" xr:uid="{196809C8-6E84-4DC4-8385-A6C1185F76CB}"/>
    <hyperlink ref="MBJ94" r:id="rId555" xr:uid="{79E5ECDA-C36C-432F-AD8C-E7B2CF616582}"/>
    <hyperlink ref="MBZ94" r:id="rId556" xr:uid="{19A3BC69-E6E3-4118-95B8-552D52CFFCEC}"/>
    <hyperlink ref="MCP94" r:id="rId557" xr:uid="{E6231114-B8F9-4721-A8A2-79570D389F2E}"/>
    <hyperlink ref="MDF94" r:id="rId558" xr:uid="{CD77B400-BCCF-4875-8D51-90A6230CB641}"/>
    <hyperlink ref="MDV94" r:id="rId559" xr:uid="{0B2AF5D1-2E54-418B-B547-306F056036DA}"/>
    <hyperlink ref="MEL94" r:id="rId560" xr:uid="{C9B397E2-3D07-4D64-8B3D-4B840C179C00}"/>
    <hyperlink ref="MFB94" r:id="rId561" xr:uid="{3754F7EC-A256-4640-9AA7-9751DE33F9C5}"/>
    <hyperlink ref="MFR94" r:id="rId562" xr:uid="{00059313-79E6-435F-B3B4-A3D62C7DCBD3}"/>
    <hyperlink ref="MGH94" r:id="rId563" xr:uid="{5FFEC11A-ACDB-47F4-988E-6E94FE5763C6}"/>
    <hyperlink ref="MGX94" r:id="rId564" xr:uid="{B23B9867-B097-48C3-9E48-578F4947DC50}"/>
    <hyperlink ref="MHN94" r:id="rId565" xr:uid="{10C5EA0E-3D1B-4EB1-85F7-5077233E5B93}"/>
    <hyperlink ref="MID94" r:id="rId566" xr:uid="{87871331-7568-4428-A9F1-F2AD4B6795D8}"/>
    <hyperlink ref="MIT94" r:id="rId567" xr:uid="{52E68B34-A98D-433D-9240-955D44F15894}"/>
    <hyperlink ref="MJJ94" r:id="rId568" xr:uid="{EB343849-D486-4C63-9C9A-F58B1CFB83F2}"/>
    <hyperlink ref="MJZ94" r:id="rId569" xr:uid="{863C6265-689A-4735-AD3D-7056A231E348}"/>
    <hyperlink ref="MKP94" r:id="rId570" xr:uid="{768AAEE2-5EF9-4D47-8A54-5CF6568B30AB}"/>
    <hyperlink ref="MLF94" r:id="rId571" xr:uid="{0B94340D-7B75-4AC0-ACBC-FC45C8102211}"/>
    <hyperlink ref="MLV94" r:id="rId572" xr:uid="{3805E205-3A58-4DBC-9563-740EC8E94AA1}"/>
    <hyperlink ref="MML94" r:id="rId573" xr:uid="{F5265545-99A8-4B17-BBED-F0EBF729A1C5}"/>
    <hyperlink ref="MNB94" r:id="rId574" xr:uid="{00893CB9-ED91-4A45-AA97-AD8CD236EE82}"/>
    <hyperlink ref="MNR94" r:id="rId575" xr:uid="{81799056-825B-4FD9-B3FB-D41366E031A2}"/>
    <hyperlink ref="MOH94" r:id="rId576" xr:uid="{2C097FCF-8CDC-4836-8656-B61D09B9554A}"/>
    <hyperlink ref="MOX94" r:id="rId577" xr:uid="{65D6E2A7-E7FF-411B-B6E9-CD1EAEDBF7E4}"/>
    <hyperlink ref="MPN94" r:id="rId578" xr:uid="{F1555668-4B89-4268-B342-979338ADAAE4}"/>
    <hyperlink ref="MQD94" r:id="rId579" xr:uid="{BB894358-E25F-4699-B536-C840CBB32FF9}"/>
    <hyperlink ref="MQT94" r:id="rId580" xr:uid="{C36782DE-8ACD-45B3-8F61-D650C7D9F3D8}"/>
    <hyperlink ref="MRJ94" r:id="rId581" xr:uid="{48CD2CC1-4B71-40EC-9E95-8584D43AAEAD}"/>
    <hyperlink ref="MRZ94" r:id="rId582" xr:uid="{3B2E5830-E8CC-4792-9E8D-B2AE3C3D0B04}"/>
    <hyperlink ref="MSP94" r:id="rId583" xr:uid="{B8277E14-C14B-48C6-90B4-5CF9F011166D}"/>
    <hyperlink ref="MTF94" r:id="rId584" xr:uid="{82F26EB3-39B4-4BB8-B3FF-4DA6981A9FC8}"/>
    <hyperlink ref="MTV94" r:id="rId585" xr:uid="{5FF03DBE-B925-433D-BB7D-769DB1B03979}"/>
    <hyperlink ref="MUL94" r:id="rId586" xr:uid="{5FBE5B5E-9ADC-40CB-A0FD-DD9CA847A224}"/>
    <hyperlink ref="MVB94" r:id="rId587" xr:uid="{C6141332-813F-4FEC-ABD5-BA05257AA227}"/>
    <hyperlink ref="MVR94" r:id="rId588" xr:uid="{94ED688B-2770-4C83-8EB9-485F61FEAFA5}"/>
    <hyperlink ref="MWH94" r:id="rId589" xr:uid="{E091333B-018B-4204-B27A-75520CF94E10}"/>
    <hyperlink ref="MWX94" r:id="rId590" xr:uid="{941EA7D4-5617-468C-B7FF-D87AF0E77CAE}"/>
    <hyperlink ref="MXN94" r:id="rId591" xr:uid="{3F075E72-9FB7-4EBD-8FCA-1770E49923B3}"/>
    <hyperlink ref="MYD94" r:id="rId592" xr:uid="{C2CCA043-9C2B-472F-9135-F25395D09A48}"/>
    <hyperlink ref="MYT94" r:id="rId593" xr:uid="{C15FF5AF-E078-4B01-98AF-A718B1BCDBC3}"/>
    <hyperlink ref="MZJ94" r:id="rId594" xr:uid="{CDF9663F-3002-4F02-ACF9-E0A5A9E010A9}"/>
    <hyperlink ref="MZZ94" r:id="rId595" xr:uid="{850DB81F-E902-45C8-96D4-67DFA90718A5}"/>
    <hyperlink ref="NAP94" r:id="rId596" xr:uid="{233C772D-A73D-4E73-AEC4-F0523A424A4D}"/>
    <hyperlink ref="NBF94" r:id="rId597" xr:uid="{6AC894C1-8E2E-4BD7-9A23-5932249134DD}"/>
    <hyperlink ref="NBV94" r:id="rId598" xr:uid="{07ECAF9F-4635-443A-A1C0-29BE46729654}"/>
    <hyperlink ref="NCL94" r:id="rId599" xr:uid="{A34A318F-B432-4D28-81EE-0D095311EFB9}"/>
    <hyperlink ref="NDB94" r:id="rId600" xr:uid="{C0FB5848-29C3-4723-8B55-FEA295E48D61}"/>
    <hyperlink ref="NDR94" r:id="rId601" xr:uid="{C8366413-CCF5-4B41-9BEE-5ED0C3BA52CD}"/>
    <hyperlink ref="NEH94" r:id="rId602" xr:uid="{72F83B4C-6AD7-45FE-AA66-40C1591D0414}"/>
    <hyperlink ref="NEX94" r:id="rId603" xr:uid="{C734D0E2-AFB0-419D-B260-7E41AE0ACF6C}"/>
    <hyperlink ref="NFN94" r:id="rId604" xr:uid="{BCFDA101-5547-4886-9AB9-1C4EDC6BAAA2}"/>
    <hyperlink ref="NGD94" r:id="rId605" xr:uid="{96D51323-F706-4588-B745-34796C64CE4F}"/>
    <hyperlink ref="NGT94" r:id="rId606" xr:uid="{F902D7B5-A6C3-49DA-9923-9F4F13496399}"/>
    <hyperlink ref="NHJ94" r:id="rId607" xr:uid="{595C325E-CED8-47A9-A412-94CF113C7CE3}"/>
    <hyperlink ref="NHZ94" r:id="rId608" xr:uid="{C8BCA4AA-8D21-4ACF-87EB-27497DEA3405}"/>
    <hyperlink ref="NIP94" r:id="rId609" xr:uid="{6EE60F06-2BB3-4CBD-A020-F8A058A47B63}"/>
    <hyperlink ref="NJF94" r:id="rId610" xr:uid="{F17726ED-A77D-40EA-B0D5-32A07C4C7608}"/>
    <hyperlink ref="NJV94" r:id="rId611" xr:uid="{4DD9B7B6-C3A1-4AEB-B5EF-EC3872D15457}"/>
    <hyperlink ref="NKL94" r:id="rId612" xr:uid="{91141ADA-B301-4480-83E6-DC7D183F75C9}"/>
    <hyperlink ref="NLB94" r:id="rId613" xr:uid="{9491068B-7407-4229-860B-6A66C5920FC5}"/>
    <hyperlink ref="NLR94" r:id="rId614" xr:uid="{E37C2A8D-77CC-4923-B592-EFCFEC9CED23}"/>
    <hyperlink ref="NMH94" r:id="rId615" xr:uid="{1A98A945-235B-4525-9B3C-2C456FE1551F}"/>
    <hyperlink ref="NMX94" r:id="rId616" xr:uid="{C573F689-C975-47F3-9FEB-95F0C813574E}"/>
    <hyperlink ref="NNN94" r:id="rId617" xr:uid="{59460988-AFCF-449D-9190-8DC0560E55AA}"/>
    <hyperlink ref="NOD94" r:id="rId618" xr:uid="{00783BD1-838F-44AF-A9B1-D5FB875B1DBA}"/>
    <hyperlink ref="NOT94" r:id="rId619" xr:uid="{6D64D813-3D4D-4BF1-ABF0-D4E05847AA39}"/>
    <hyperlink ref="NPJ94" r:id="rId620" xr:uid="{836F39FE-E393-452E-AC9E-693EE4D5671B}"/>
    <hyperlink ref="NPZ94" r:id="rId621" xr:uid="{EC4F954C-AFD5-4538-96BC-80981E1A3EE3}"/>
    <hyperlink ref="NQP94" r:id="rId622" xr:uid="{D4306792-96F5-42D8-B98F-06B85F3BB2AF}"/>
    <hyperlink ref="NRF94" r:id="rId623" xr:uid="{8FE3B89B-0C5E-4490-9C43-BFC55E8BC095}"/>
    <hyperlink ref="NRV94" r:id="rId624" xr:uid="{1E5CDBF8-8AC8-4473-85B3-63535CBB566C}"/>
    <hyperlink ref="NSL94" r:id="rId625" xr:uid="{B66BF0DA-0577-4AFC-AA4D-31DFA4938CF6}"/>
    <hyperlink ref="NTB94" r:id="rId626" xr:uid="{1D13AAC2-AA99-4700-BBE2-91FDE6E05E58}"/>
    <hyperlink ref="NTR94" r:id="rId627" xr:uid="{C78FA855-0910-4233-A95A-C84967E2D78E}"/>
    <hyperlink ref="NUH94" r:id="rId628" xr:uid="{B579F19F-42CF-45FB-8FCB-B4503C287673}"/>
    <hyperlink ref="NUX94" r:id="rId629" xr:uid="{CAF57FFA-4838-44D1-82A8-B6ADA50139B3}"/>
    <hyperlink ref="NVN94" r:id="rId630" xr:uid="{5A17087C-3564-41BF-9BD1-FDD85EF5A995}"/>
    <hyperlink ref="NWD94" r:id="rId631" xr:uid="{A76136AC-7678-4E4E-8ADB-1A33E2715A1E}"/>
    <hyperlink ref="NWT94" r:id="rId632" xr:uid="{707DE070-BC0A-4121-8D49-2F2435385753}"/>
    <hyperlink ref="NXJ94" r:id="rId633" xr:uid="{43174AFE-240A-4494-879A-9678B14B263C}"/>
    <hyperlink ref="NXZ94" r:id="rId634" xr:uid="{77038CAE-4D8E-4EA2-85A9-84D8D7003FD7}"/>
    <hyperlink ref="NYP94" r:id="rId635" xr:uid="{03F5E00F-A8C6-4510-B78F-831E3A569220}"/>
    <hyperlink ref="NZF94" r:id="rId636" xr:uid="{AB6D2F12-FC74-4B97-A8F4-14741B709315}"/>
    <hyperlink ref="NZV94" r:id="rId637" xr:uid="{17AD8B55-81A7-4428-9A3F-38BAB79014DD}"/>
    <hyperlink ref="OAL94" r:id="rId638" xr:uid="{40849D70-8336-4C9E-8FF4-EC4C5A01F977}"/>
    <hyperlink ref="OBB94" r:id="rId639" xr:uid="{B7F4C4EE-45A6-49D3-9A37-C4A5B18DA327}"/>
    <hyperlink ref="OBR94" r:id="rId640" xr:uid="{9E248A87-30B4-47A6-A3AD-81B31ED1F746}"/>
    <hyperlink ref="OCH94" r:id="rId641" xr:uid="{5409897D-87F3-44C9-AC21-7DD3A4033D9F}"/>
    <hyperlink ref="OCX94" r:id="rId642" xr:uid="{05570460-41A2-47FC-BC7C-A2C022CF0941}"/>
    <hyperlink ref="ODN94" r:id="rId643" xr:uid="{B9E98F1E-E23D-40AF-B985-802944CBA3F2}"/>
    <hyperlink ref="OED94" r:id="rId644" xr:uid="{4A9E2081-592B-4E3A-887D-8AD28A771E5C}"/>
    <hyperlink ref="OET94" r:id="rId645" xr:uid="{0E1A711E-8793-42D0-9398-B245A8F8B0BA}"/>
    <hyperlink ref="OFJ94" r:id="rId646" xr:uid="{9B7E08B2-AC47-41E2-AB28-51B8A1D6B1E1}"/>
    <hyperlink ref="OFZ94" r:id="rId647" xr:uid="{2ED92D39-043F-4B83-9F2D-4FA83D516794}"/>
    <hyperlink ref="OGP94" r:id="rId648" xr:uid="{F5C88195-0736-45F4-99AA-148EC7F4B4CD}"/>
    <hyperlink ref="OHF94" r:id="rId649" xr:uid="{053D09BB-AEA1-44DD-A563-C73D37E51224}"/>
    <hyperlink ref="OHV94" r:id="rId650" xr:uid="{4614077D-2DCB-40AC-A757-4EE1C96FBF09}"/>
    <hyperlink ref="OIL94" r:id="rId651" xr:uid="{E2A2FDA4-A46E-40E5-BF95-CCBF26BFEA6A}"/>
    <hyperlink ref="OJB94" r:id="rId652" xr:uid="{C39ADAD3-64D3-4BDF-94DB-39BA06EF43DF}"/>
    <hyperlink ref="OJR94" r:id="rId653" xr:uid="{F4B9BF1C-7AB7-4A3F-B102-67127754F34D}"/>
    <hyperlink ref="OKH94" r:id="rId654" xr:uid="{F2C77365-4C08-410D-9BFB-765B8E4DE2C9}"/>
    <hyperlink ref="OKX94" r:id="rId655" xr:uid="{3FFFE955-6266-4729-949A-51932FD9D50C}"/>
    <hyperlink ref="OLN94" r:id="rId656" xr:uid="{B86A0420-1CD1-42DC-B295-37C6DF276A55}"/>
    <hyperlink ref="OMD94" r:id="rId657" xr:uid="{DEE72987-9C63-4E5D-BD84-5D4EF3AFAFF4}"/>
    <hyperlink ref="OMT94" r:id="rId658" xr:uid="{2B822B34-47C0-4EF5-B44C-995D4B7E8112}"/>
    <hyperlink ref="ONJ94" r:id="rId659" xr:uid="{642FD13B-361C-4A4F-BDDA-A4BF3E40F5E5}"/>
    <hyperlink ref="ONZ94" r:id="rId660" xr:uid="{0795D386-AECB-480C-9DC6-EF47B40555A8}"/>
    <hyperlink ref="OOP94" r:id="rId661" xr:uid="{DB006DBB-56CB-4BDB-BAB7-0B4D1C3A83A4}"/>
    <hyperlink ref="OPF94" r:id="rId662" xr:uid="{92FF5B4B-6033-479D-9479-3816763205E4}"/>
    <hyperlink ref="OPV94" r:id="rId663" xr:uid="{D33DBBB5-CB6C-4AFE-B4DF-DB4D9FACC305}"/>
    <hyperlink ref="OQL94" r:id="rId664" xr:uid="{33BC9CC6-58A0-4AEC-863B-05548FA0572D}"/>
    <hyperlink ref="ORB94" r:id="rId665" xr:uid="{2CF4E444-3EFD-4864-8F4D-37F1F7D93AFE}"/>
    <hyperlink ref="ORR94" r:id="rId666" xr:uid="{F3EB9B0F-CA17-4875-B26A-B0ACB79698E9}"/>
    <hyperlink ref="OSH94" r:id="rId667" xr:uid="{0BFB601B-013D-45F1-842C-539B2F6238AD}"/>
    <hyperlink ref="OSX94" r:id="rId668" xr:uid="{5710BEAC-10E6-46D9-84CE-B1543F817195}"/>
    <hyperlink ref="OTN94" r:id="rId669" xr:uid="{34383B4C-CCC0-4F11-B69B-2C6A64B98AC1}"/>
    <hyperlink ref="OUD94" r:id="rId670" xr:uid="{7841BC42-D9EE-4881-AC68-5C5ED2D5FB37}"/>
    <hyperlink ref="OUT94" r:id="rId671" xr:uid="{AA2123D6-B4D4-42A5-99DD-27F3FE239896}"/>
    <hyperlink ref="OVJ94" r:id="rId672" xr:uid="{33ADFE50-1852-4EB4-B1F8-11CC841449AE}"/>
    <hyperlink ref="OVZ94" r:id="rId673" xr:uid="{F2599710-6375-46FA-8EB7-534E12712B72}"/>
    <hyperlink ref="OWP94" r:id="rId674" xr:uid="{9A67539C-6E46-4477-80A4-E825E07DA95E}"/>
    <hyperlink ref="OXF94" r:id="rId675" xr:uid="{6847B06C-FF89-4910-BB9C-125A235CDE89}"/>
    <hyperlink ref="OXV94" r:id="rId676" xr:uid="{E64E8C92-0F9E-4C43-9381-060CFF3DCEF8}"/>
    <hyperlink ref="OYL94" r:id="rId677" xr:uid="{65176616-7E9D-411C-87EE-36B17E756862}"/>
    <hyperlink ref="OZB94" r:id="rId678" xr:uid="{146264D8-4EF1-4EF5-9A07-FEBB2438BCD2}"/>
    <hyperlink ref="OZR94" r:id="rId679" xr:uid="{BEB4C03C-6067-41A8-B23B-5E1CFFB8D4D1}"/>
    <hyperlink ref="PAH94" r:id="rId680" xr:uid="{7209D5BA-5E75-4A4C-A313-2A85057871AD}"/>
    <hyperlink ref="PAX94" r:id="rId681" xr:uid="{2A41CE0D-1BB7-4E0D-B641-615C338AD9DC}"/>
    <hyperlink ref="PBN94" r:id="rId682" xr:uid="{1ECD6867-947C-4E87-94CC-B2FCD6DCF022}"/>
    <hyperlink ref="PCD94" r:id="rId683" xr:uid="{DAB0B80C-DF3D-493E-A75A-15363645C3FD}"/>
    <hyperlink ref="PCT94" r:id="rId684" xr:uid="{924FA958-01D5-4EDE-AE27-12BB48456D62}"/>
    <hyperlink ref="PDJ94" r:id="rId685" xr:uid="{0D2F5F98-EDEF-4DA6-968A-12499817D045}"/>
    <hyperlink ref="PDZ94" r:id="rId686" xr:uid="{C999CACF-E3D7-4934-86E5-2C51799F458E}"/>
    <hyperlink ref="PEP94" r:id="rId687" xr:uid="{2295E99A-C42B-4103-820A-CD14B4AC89C6}"/>
    <hyperlink ref="PFF94" r:id="rId688" xr:uid="{5194F4B9-5648-4425-8BBC-F12F0376824F}"/>
    <hyperlink ref="PFV94" r:id="rId689" xr:uid="{4C45A200-0CB9-4237-941C-756EFB1EBEEB}"/>
    <hyperlink ref="PGL94" r:id="rId690" xr:uid="{B57F05AD-B233-449F-9B6A-BC2721D9C63C}"/>
    <hyperlink ref="PHB94" r:id="rId691" xr:uid="{B30E1154-371C-48A1-9FDB-1F7E7DFA07E7}"/>
    <hyperlink ref="PHR94" r:id="rId692" xr:uid="{63565B95-1396-4F65-95E4-5BB75D4084C0}"/>
    <hyperlink ref="PIH94" r:id="rId693" xr:uid="{E7B908DB-D8AF-45AA-9458-A0B7EC718930}"/>
    <hyperlink ref="PIX94" r:id="rId694" xr:uid="{DD76E431-5DF2-4A84-9245-8776E8BBD6EC}"/>
    <hyperlink ref="PJN94" r:id="rId695" xr:uid="{F0446AE9-A0CA-4B90-ADA4-8E4B9F366041}"/>
    <hyperlink ref="PKD94" r:id="rId696" xr:uid="{4B8F0EA0-F897-436B-AAE6-F64BC4372414}"/>
    <hyperlink ref="PKT94" r:id="rId697" xr:uid="{82AF0690-D749-4489-A0BF-0E4DED365F51}"/>
    <hyperlink ref="PLJ94" r:id="rId698" xr:uid="{4F01F722-6881-41BD-828F-55FE08530A90}"/>
    <hyperlink ref="PLZ94" r:id="rId699" xr:uid="{D93C66AF-CC2C-40A7-BE43-21B4C03E5CE1}"/>
    <hyperlink ref="PMP94" r:id="rId700" xr:uid="{448C65D8-2CBB-42C2-8C73-415E224C657D}"/>
    <hyperlink ref="PNF94" r:id="rId701" xr:uid="{15A64255-3BE1-49E5-8BA2-A19A45DF6BF9}"/>
    <hyperlink ref="PNV94" r:id="rId702" xr:uid="{6C277720-EED2-429D-BC31-2B93D1C2B4BA}"/>
    <hyperlink ref="POL94" r:id="rId703" xr:uid="{0561514F-D07F-4DE5-AF70-10F259270A61}"/>
    <hyperlink ref="PPB94" r:id="rId704" xr:uid="{7918FE26-50D6-4757-B8D1-116023A39D01}"/>
    <hyperlink ref="PPR94" r:id="rId705" xr:uid="{3228876E-5390-4A91-BCD8-25EF29E305E9}"/>
    <hyperlink ref="PQH94" r:id="rId706" xr:uid="{95C71C3A-48D8-4013-BD46-1E446D86A7A1}"/>
    <hyperlink ref="PQX94" r:id="rId707" xr:uid="{52978D93-CA18-4D40-B709-5FDA4249ACF8}"/>
    <hyperlink ref="PRN94" r:id="rId708" xr:uid="{E2AFE145-847E-4143-B794-A0FE9844AF7A}"/>
    <hyperlink ref="PSD94" r:id="rId709" xr:uid="{5683FD12-8F9C-4CBF-A40A-8A9C36300356}"/>
    <hyperlink ref="PST94" r:id="rId710" xr:uid="{05C0ADA3-68FE-4B52-8D99-A78F32C066CC}"/>
    <hyperlink ref="PTJ94" r:id="rId711" xr:uid="{E65811A5-DF82-4751-BFB8-4D31C3312D6C}"/>
    <hyperlink ref="PTZ94" r:id="rId712" xr:uid="{5E132B3E-FD90-4AF6-9E48-E997FFE83607}"/>
    <hyperlink ref="PUP94" r:id="rId713" xr:uid="{5EEB4CF3-8179-48C4-A3A5-DF98BFB8E12F}"/>
    <hyperlink ref="PVF94" r:id="rId714" xr:uid="{F597DD07-D588-4DDE-8B9D-30E156B430E9}"/>
    <hyperlink ref="PVV94" r:id="rId715" xr:uid="{A8630F0D-7CC4-4988-8DD9-1AF57EC2FD0F}"/>
    <hyperlink ref="PWL94" r:id="rId716" xr:uid="{9D712DB4-BB03-4669-8C93-02CDFE61AD2C}"/>
    <hyperlink ref="PXB94" r:id="rId717" xr:uid="{5E3A454B-6588-4964-94EE-238EC230A711}"/>
    <hyperlink ref="PXR94" r:id="rId718" xr:uid="{B188D297-8E08-443F-8BF1-75F15949FDD8}"/>
    <hyperlink ref="PYH94" r:id="rId719" xr:uid="{DD3F5169-ADA8-4E8C-8708-4401B405E587}"/>
    <hyperlink ref="PYX94" r:id="rId720" xr:uid="{A5512955-52CB-4511-AD9F-C227D1EC3FA9}"/>
    <hyperlink ref="PZN94" r:id="rId721" xr:uid="{BA0E3553-12E4-45DE-814A-C8EE33FDDEB1}"/>
    <hyperlink ref="QAD94" r:id="rId722" xr:uid="{663C6A35-CD85-4898-8A84-FEADD5A5D349}"/>
    <hyperlink ref="QAT94" r:id="rId723" xr:uid="{1C6C5B8F-7350-4975-B78F-F1BBF52E764B}"/>
    <hyperlink ref="QBJ94" r:id="rId724" xr:uid="{D1A20C14-7D0E-4B90-9B59-71D4C0E1FAF1}"/>
    <hyperlink ref="QBZ94" r:id="rId725" xr:uid="{BA9EAAF9-9224-4FD8-A998-88FE546A97D3}"/>
    <hyperlink ref="QCP94" r:id="rId726" xr:uid="{86E4F114-08EB-4943-B460-0C59570196DE}"/>
    <hyperlink ref="QDF94" r:id="rId727" xr:uid="{515537D5-4C71-4D1F-BCB7-F2DE2E9B7A55}"/>
    <hyperlink ref="QDV94" r:id="rId728" xr:uid="{5F64EAB6-8107-46BD-9543-3D8D13E75A62}"/>
    <hyperlink ref="QEL94" r:id="rId729" xr:uid="{6888F821-84F8-4421-A5CA-EB86C2C60B45}"/>
    <hyperlink ref="QFB94" r:id="rId730" xr:uid="{80F5273A-0419-47EA-8338-526BFF6CF137}"/>
    <hyperlink ref="QFR94" r:id="rId731" xr:uid="{B13CFDE4-DC2D-4C33-80B1-0F4267A16846}"/>
    <hyperlink ref="QGH94" r:id="rId732" xr:uid="{978A8C86-AA83-4E41-9E64-F512AFC86270}"/>
    <hyperlink ref="QGX94" r:id="rId733" xr:uid="{50966F4D-22FF-48BD-9FA5-4F5762F85CEA}"/>
    <hyperlink ref="QHN94" r:id="rId734" xr:uid="{F615AB30-1B4A-43ED-9A67-2B7CA2A0F6FB}"/>
    <hyperlink ref="QID94" r:id="rId735" xr:uid="{17AA4626-97E4-4F6F-BFA9-342ECE1CAA95}"/>
    <hyperlink ref="QIT94" r:id="rId736" xr:uid="{1A9859EF-30AE-4F9A-9F8B-F445C0705FA0}"/>
    <hyperlink ref="QJJ94" r:id="rId737" xr:uid="{114FBECC-0F8A-4600-AC16-951154430725}"/>
    <hyperlink ref="QJZ94" r:id="rId738" xr:uid="{917FD13A-9CB3-4279-A75E-5A6D610C160C}"/>
    <hyperlink ref="QKP94" r:id="rId739" xr:uid="{BDFEDA80-A4FC-43DD-BE4E-D7275EFEBDDF}"/>
    <hyperlink ref="QLF94" r:id="rId740" xr:uid="{F4AE821F-F6C5-4CA7-9777-4319FADC800F}"/>
    <hyperlink ref="QLV94" r:id="rId741" xr:uid="{C0F2B514-FE9A-4460-BF77-C181E0B75986}"/>
    <hyperlink ref="QML94" r:id="rId742" xr:uid="{B58796BE-C4AE-474A-ACAE-E17CCEA6D623}"/>
    <hyperlink ref="QNB94" r:id="rId743" xr:uid="{CA554F60-545E-4938-8E42-44EC8B8065A7}"/>
    <hyperlink ref="QNR94" r:id="rId744" xr:uid="{B540ECB6-807E-413E-B1AA-E1BAEB96B83F}"/>
    <hyperlink ref="QOH94" r:id="rId745" xr:uid="{9FE8F97A-D577-492C-9486-76473B70C9B9}"/>
    <hyperlink ref="QOX94" r:id="rId746" xr:uid="{FD79ECC4-50D3-4799-87B8-9CC981E6B7BF}"/>
    <hyperlink ref="QPN94" r:id="rId747" xr:uid="{BF38C7E7-3D27-4EB5-A066-CE1712CEFA00}"/>
    <hyperlink ref="QQD94" r:id="rId748" xr:uid="{FB19FB7A-9B90-4916-A5E4-F6650BF8461C}"/>
    <hyperlink ref="QQT94" r:id="rId749" xr:uid="{1E0C1E19-8EF2-4E44-9CCC-4CD9A7DFEBC9}"/>
    <hyperlink ref="QRJ94" r:id="rId750" xr:uid="{2B1EAA4B-CF76-492A-ADB1-4A03262DFE20}"/>
    <hyperlink ref="QRZ94" r:id="rId751" xr:uid="{9687526D-E5CA-431C-AA36-AFB58F763B0A}"/>
    <hyperlink ref="QSP94" r:id="rId752" xr:uid="{69294568-6766-4EBA-A226-116E26B50B02}"/>
    <hyperlink ref="QTF94" r:id="rId753" xr:uid="{184114A5-340D-403C-A856-9467875A0DD6}"/>
    <hyperlink ref="QTV94" r:id="rId754" xr:uid="{0AC8500B-9A0A-43DC-A171-22DAD6DF7CA7}"/>
    <hyperlink ref="QUL94" r:id="rId755" xr:uid="{EEA3C89B-1124-4C09-AB5C-3A6318275178}"/>
    <hyperlink ref="QVB94" r:id="rId756" xr:uid="{4A60B4A5-F8A0-40A8-8F17-25B62AAE4B0D}"/>
    <hyperlink ref="QVR94" r:id="rId757" xr:uid="{3938009D-9E59-4EBB-B435-D5DEFD9D4B7D}"/>
    <hyperlink ref="QWH94" r:id="rId758" xr:uid="{9BF5337A-4040-4FFA-8E3D-F442A0906410}"/>
    <hyperlink ref="QWX94" r:id="rId759" xr:uid="{8C4B582B-EE0F-4086-95EE-C90BF2A4AFCB}"/>
    <hyperlink ref="QXN94" r:id="rId760" xr:uid="{1FB08816-6FCE-441F-B446-F45B126E55F4}"/>
    <hyperlink ref="QYD94" r:id="rId761" xr:uid="{DDB0EDA2-3E35-4E93-8B91-15A4B176D452}"/>
    <hyperlink ref="QYT94" r:id="rId762" xr:uid="{64E090F2-9D38-49F7-AB9C-2DAE85CF4CB9}"/>
    <hyperlink ref="QZJ94" r:id="rId763" xr:uid="{C5644F6F-B1BE-435E-A032-3D12D6617061}"/>
    <hyperlink ref="QZZ94" r:id="rId764" xr:uid="{06738647-DEF7-42C2-9640-001CFD044A74}"/>
    <hyperlink ref="RAP94" r:id="rId765" xr:uid="{E438EF43-F1D4-480D-A566-5581D71618E1}"/>
    <hyperlink ref="RBF94" r:id="rId766" xr:uid="{6F959DD4-D67D-42FA-BE44-84DDCAF91105}"/>
    <hyperlink ref="RBV94" r:id="rId767" xr:uid="{834E63ED-1989-4CF6-A5DF-0F4306D7886A}"/>
    <hyperlink ref="RCL94" r:id="rId768" xr:uid="{80516942-684F-44E1-AA39-013A1FE76C77}"/>
    <hyperlink ref="RDB94" r:id="rId769" xr:uid="{983B879E-E0A3-4814-AD09-3A55CFA9DCD0}"/>
    <hyperlink ref="RDR94" r:id="rId770" xr:uid="{320A5FB6-7134-46F6-8698-24730CB0B98D}"/>
    <hyperlink ref="REH94" r:id="rId771" xr:uid="{EE830C21-44F9-4C9B-8341-54BD4F62141F}"/>
    <hyperlink ref="REX94" r:id="rId772" xr:uid="{5E6DD2E2-CF65-4E2B-BD28-EE5E0ED5E4E0}"/>
    <hyperlink ref="RFN94" r:id="rId773" xr:uid="{DEEAB696-89AB-4F08-9E00-725EEED9F85E}"/>
    <hyperlink ref="RGD94" r:id="rId774" xr:uid="{6CEBF114-76DB-4B91-8B21-E28D6D3B9E0F}"/>
    <hyperlink ref="RGT94" r:id="rId775" xr:uid="{1FF8C671-5D6B-43E3-B5E2-E02C185AC6A2}"/>
    <hyperlink ref="RHJ94" r:id="rId776" xr:uid="{67C02580-F108-4421-8315-88F3DD16CD09}"/>
    <hyperlink ref="RHZ94" r:id="rId777" xr:uid="{17585EE9-F38A-431A-9DF3-298EEA183CAF}"/>
    <hyperlink ref="RIP94" r:id="rId778" xr:uid="{BF86C171-C461-43E0-A2F0-01678876FC61}"/>
    <hyperlink ref="RJF94" r:id="rId779" xr:uid="{1460EFAD-B01B-4E3C-941A-E6F33AC6F71D}"/>
    <hyperlink ref="RJV94" r:id="rId780" xr:uid="{9C33E920-CB26-4B0A-993A-5504CAB186E2}"/>
    <hyperlink ref="RKL94" r:id="rId781" xr:uid="{A6CC8964-3C28-4E7E-8644-59B8C3BDB9AD}"/>
    <hyperlink ref="RLB94" r:id="rId782" xr:uid="{FF9AC87E-18F0-4A56-88B9-F60591081E45}"/>
    <hyperlink ref="RLR94" r:id="rId783" xr:uid="{55C44CA2-118F-40C6-A272-F1FFBE620252}"/>
    <hyperlink ref="RMH94" r:id="rId784" xr:uid="{8BA84D45-273E-48E0-AB75-EA1BA313D768}"/>
    <hyperlink ref="RMX94" r:id="rId785" xr:uid="{4D2EBB9E-C67B-4142-977C-C6B7EDF09CF6}"/>
    <hyperlink ref="RNN94" r:id="rId786" xr:uid="{653538BA-6606-45FB-9F10-14422BA965EB}"/>
    <hyperlink ref="ROD94" r:id="rId787" xr:uid="{60135E22-B8CD-4A88-B56C-B5B093C5AE3C}"/>
    <hyperlink ref="ROT94" r:id="rId788" xr:uid="{A0F935F3-2641-4F39-9710-D976BAD32A1B}"/>
    <hyperlink ref="RPJ94" r:id="rId789" xr:uid="{3F2FA08E-A88A-4740-82A0-59905F2B045B}"/>
    <hyperlink ref="RPZ94" r:id="rId790" xr:uid="{2ECE3B73-857D-4F04-9ADE-00F95DD24455}"/>
    <hyperlink ref="RQP94" r:id="rId791" xr:uid="{0EE7C4BC-68F6-4994-BA37-EB492504F3A5}"/>
    <hyperlink ref="RRF94" r:id="rId792" xr:uid="{44CE7E3A-B9D0-49B6-A365-7DA56093A390}"/>
    <hyperlink ref="RRV94" r:id="rId793" xr:uid="{2A35ABB2-A40B-4D01-BDFB-B926D5A99291}"/>
    <hyperlink ref="RSL94" r:id="rId794" xr:uid="{62F5716F-3B6C-4EFD-BAF2-980DB7992785}"/>
    <hyperlink ref="RTB94" r:id="rId795" xr:uid="{EC1886EC-FB8A-42C1-BA50-B92BF01E68FA}"/>
    <hyperlink ref="RTR94" r:id="rId796" xr:uid="{901B1AB0-652F-4D3B-8483-81D25F520CB1}"/>
    <hyperlink ref="RUH94" r:id="rId797" xr:uid="{98FA62E1-02EB-4325-8B72-E767FF7CF849}"/>
    <hyperlink ref="RUX94" r:id="rId798" xr:uid="{CF3485B4-8346-43D8-8765-9C6D0BDFE10A}"/>
    <hyperlink ref="RVN94" r:id="rId799" xr:uid="{CD70DF0C-8F8B-45A4-87A8-9B1B603DD744}"/>
    <hyperlink ref="RWD94" r:id="rId800" xr:uid="{3C91A870-FC1B-4A34-B9BF-0218E7485D38}"/>
    <hyperlink ref="RWT94" r:id="rId801" xr:uid="{CFD08C68-A2F4-4EA0-9343-823E410367BE}"/>
    <hyperlink ref="RXJ94" r:id="rId802" xr:uid="{E5B638C3-3967-4528-819D-45D59E3D01FC}"/>
    <hyperlink ref="RXZ94" r:id="rId803" xr:uid="{6431C910-9954-420C-B81D-20C8483A6174}"/>
    <hyperlink ref="RYP94" r:id="rId804" xr:uid="{928E1231-B447-402A-B81B-851CDBFEBDA3}"/>
    <hyperlink ref="RZF94" r:id="rId805" xr:uid="{9FB8963F-0800-4462-BF56-F855D0B99F82}"/>
    <hyperlink ref="RZV94" r:id="rId806" xr:uid="{C9A02A25-A4BB-4D07-849B-E25A34B71758}"/>
    <hyperlink ref="SAL94" r:id="rId807" xr:uid="{F21CA639-0882-4166-BBC3-45818678A74B}"/>
    <hyperlink ref="SBB94" r:id="rId808" xr:uid="{2E65DC1E-F28D-42EF-9ECD-CB5777627B33}"/>
    <hyperlink ref="SBR94" r:id="rId809" xr:uid="{16C0E83F-5B70-4CBF-8E42-55CD03B9B79A}"/>
    <hyperlink ref="SCH94" r:id="rId810" xr:uid="{6AFA3F09-BFC4-4B47-8EA6-B038D7BC9F4D}"/>
    <hyperlink ref="SCX94" r:id="rId811" xr:uid="{54F8C243-F8E7-4D71-ADB0-A4DECF419417}"/>
    <hyperlink ref="SDN94" r:id="rId812" xr:uid="{AFCBE8EF-0836-4B19-B116-90BB66C634A6}"/>
    <hyperlink ref="SED94" r:id="rId813" xr:uid="{770D3AC4-4465-4D21-BF68-F12403FE5388}"/>
    <hyperlink ref="SET94" r:id="rId814" xr:uid="{D04E379E-70FA-4FC5-A2CC-43EF058B631E}"/>
    <hyperlink ref="SFJ94" r:id="rId815" xr:uid="{4ACA3A80-2F2A-4662-912D-6FFF7C8E5737}"/>
    <hyperlink ref="SFZ94" r:id="rId816" xr:uid="{0C92FE9F-E6A0-4B65-AB18-5B8F409CE81A}"/>
    <hyperlink ref="SGP94" r:id="rId817" xr:uid="{F7549D80-213C-4B30-8C99-C08E75A004D0}"/>
    <hyperlink ref="SHF94" r:id="rId818" xr:uid="{EE434182-82D4-4799-BF16-E8C3AE6029A9}"/>
    <hyperlink ref="SHV94" r:id="rId819" xr:uid="{42C84EA6-C3B3-4AC9-8728-D9F60AE7D4D6}"/>
    <hyperlink ref="SIL94" r:id="rId820" xr:uid="{2AEC09A5-95FF-4A56-B1A6-550B2865CFB2}"/>
    <hyperlink ref="SJB94" r:id="rId821" xr:uid="{4ABEF17F-2BEE-404A-A488-415FB2C9A9DB}"/>
    <hyperlink ref="SJR94" r:id="rId822" xr:uid="{2A173CCC-4C1A-4FFF-BB75-56EEA4B0CA3C}"/>
    <hyperlink ref="SKH94" r:id="rId823" xr:uid="{7B4446B4-FCAF-47F9-97CE-AAE6C81AF937}"/>
    <hyperlink ref="SKX94" r:id="rId824" xr:uid="{1D2470AC-340E-4DF6-8B06-A27106729A3E}"/>
    <hyperlink ref="SLN94" r:id="rId825" xr:uid="{4AC0D37A-A23A-4A46-897C-C2E633F43D97}"/>
    <hyperlink ref="SMD94" r:id="rId826" xr:uid="{BC80FAFD-607B-4F56-BB7A-36EAED5FAC3D}"/>
    <hyperlink ref="SMT94" r:id="rId827" xr:uid="{DEA63387-CE7A-4C5C-AD2C-31FD2A9A2CC6}"/>
    <hyperlink ref="SNJ94" r:id="rId828" xr:uid="{1E00016E-5401-49A9-824A-2084C462EA99}"/>
    <hyperlink ref="SNZ94" r:id="rId829" xr:uid="{ACBC9C7C-701D-44EB-8B7A-3C6C41803B84}"/>
    <hyperlink ref="SOP94" r:id="rId830" xr:uid="{3982A1E2-9155-48ED-9DDC-4305ADABD399}"/>
    <hyperlink ref="SPF94" r:id="rId831" xr:uid="{70D9D351-EA4A-4E64-84F8-265DFCBD5E55}"/>
    <hyperlink ref="SPV94" r:id="rId832" xr:uid="{0785FAA6-057B-45E5-8E42-5464A4917338}"/>
    <hyperlink ref="SQL94" r:id="rId833" xr:uid="{D6E2E96B-8086-470C-BE21-A8524868B9D0}"/>
    <hyperlink ref="SRB94" r:id="rId834" xr:uid="{F64C832B-44BB-42EA-970E-3A7363BA2824}"/>
    <hyperlink ref="SRR94" r:id="rId835" xr:uid="{5EBE7E0D-D67D-4087-8642-B2C266F831DC}"/>
    <hyperlink ref="SSH94" r:id="rId836" xr:uid="{0635E197-8386-40C3-BF19-64BDD2D3D229}"/>
    <hyperlink ref="SSX94" r:id="rId837" xr:uid="{01A9F2A7-8CE7-4BE7-A932-525E5C277F02}"/>
    <hyperlink ref="STN94" r:id="rId838" xr:uid="{E06C0AD4-E8CC-4468-B38E-D90E86A1390C}"/>
    <hyperlink ref="SUD94" r:id="rId839" xr:uid="{70EB94B8-45BF-472F-AB32-04FAA7805AF9}"/>
    <hyperlink ref="SUT94" r:id="rId840" xr:uid="{C45FE05A-953A-405A-82FE-1527AD75B654}"/>
    <hyperlink ref="SVJ94" r:id="rId841" xr:uid="{926D7B7F-AAB8-41A4-BC89-E3CB64338241}"/>
    <hyperlink ref="SVZ94" r:id="rId842" xr:uid="{5CD6861F-11F7-49C3-AE91-A53374D2260D}"/>
    <hyperlink ref="SWP94" r:id="rId843" xr:uid="{376D427D-3831-4E33-9131-C045A201BDD2}"/>
    <hyperlink ref="SXF94" r:id="rId844" xr:uid="{CD478B8B-5B9A-4E5B-A598-670C8F80909F}"/>
    <hyperlink ref="SXV94" r:id="rId845" xr:uid="{36133595-684B-4021-A28A-688DC4A2D67D}"/>
    <hyperlink ref="SYL94" r:id="rId846" xr:uid="{B07920C2-E6FD-4D7C-B42B-E28299F084F2}"/>
    <hyperlink ref="SZB94" r:id="rId847" xr:uid="{1FFDAB98-D67F-4809-A6C2-917A55A3789E}"/>
    <hyperlink ref="SZR94" r:id="rId848" xr:uid="{4B1BE149-F848-45F8-9F2A-16E405B45898}"/>
    <hyperlink ref="TAH94" r:id="rId849" xr:uid="{0BC6C0A9-1A88-463A-8025-749DEB36355A}"/>
    <hyperlink ref="TAX94" r:id="rId850" xr:uid="{E8AB6EAD-BAD2-4AD0-B4DD-9B6F565F3901}"/>
    <hyperlink ref="TBN94" r:id="rId851" xr:uid="{5C4A8E7D-0C8A-4EFE-89AD-4AE080CDFF93}"/>
    <hyperlink ref="TCD94" r:id="rId852" xr:uid="{72F98841-ABB2-4F24-ADD7-4958971CE752}"/>
    <hyperlink ref="TCT94" r:id="rId853" xr:uid="{FDD9BAA7-63C8-4F0B-846D-D8DA1C6ECE60}"/>
    <hyperlink ref="TDJ94" r:id="rId854" xr:uid="{D07B6B1B-BEE8-4877-9CFE-0F839066E2DA}"/>
    <hyperlink ref="TDZ94" r:id="rId855" xr:uid="{03C7AF7A-9C4D-4EF2-929A-D21CE401F553}"/>
    <hyperlink ref="TEP94" r:id="rId856" xr:uid="{76B68261-FA2E-465C-AF46-9F5C8E38B85D}"/>
    <hyperlink ref="TFF94" r:id="rId857" xr:uid="{990ACE9D-E043-4C10-8B73-2ED6B12643F5}"/>
    <hyperlink ref="TFV94" r:id="rId858" xr:uid="{14566E74-0B7F-49A5-B44B-22A9A8482F11}"/>
    <hyperlink ref="TGL94" r:id="rId859" xr:uid="{652B7574-5496-4C98-B5A2-6AEF216E8836}"/>
    <hyperlink ref="THB94" r:id="rId860" xr:uid="{8F4CDF01-56C5-41CF-B998-7E1ECF77D7CD}"/>
    <hyperlink ref="THR94" r:id="rId861" xr:uid="{AEDE9A03-7435-4027-B1F1-1D05B44C1C3B}"/>
    <hyperlink ref="TIH94" r:id="rId862" xr:uid="{F3D90F43-6B5A-4889-8DBB-E7860AA80CD5}"/>
    <hyperlink ref="TIX94" r:id="rId863" xr:uid="{7EC85CB9-098D-417F-9EED-793A9C18B653}"/>
    <hyperlink ref="TJN94" r:id="rId864" xr:uid="{78E187EB-4F98-4530-8D6F-14C5EC6D711C}"/>
    <hyperlink ref="TKD94" r:id="rId865" xr:uid="{C0972F45-88AC-42DF-BB79-424EFA45485C}"/>
    <hyperlink ref="TKT94" r:id="rId866" xr:uid="{02537998-13AF-454B-A8F3-C5DCB2A46F18}"/>
    <hyperlink ref="TLJ94" r:id="rId867" xr:uid="{B6B29A3F-A8DB-4D5D-A839-35184954168D}"/>
    <hyperlink ref="TLZ94" r:id="rId868" xr:uid="{F9D97662-F35E-40A4-93C0-675550A5F056}"/>
    <hyperlink ref="TMP94" r:id="rId869" xr:uid="{48CBCEB2-334A-4A7E-8403-C216F1491235}"/>
    <hyperlink ref="TNF94" r:id="rId870" xr:uid="{B87A4531-3307-4E02-BDB7-B8B279D2FE39}"/>
    <hyperlink ref="TNV94" r:id="rId871" xr:uid="{1350F463-0237-458E-9FDD-556867063A57}"/>
    <hyperlink ref="TOL94" r:id="rId872" xr:uid="{F71412E0-D191-4DA2-8D47-E8CBD8F997C9}"/>
    <hyperlink ref="TPB94" r:id="rId873" xr:uid="{51B74ADA-FBE4-42D1-8F72-320E8FBC6F5D}"/>
    <hyperlink ref="TPR94" r:id="rId874" xr:uid="{A45BBFD7-F6AD-4126-A3C9-3D8F1F350481}"/>
    <hyperlink ref="TQH94" r:id="rId875" xr:uid="{0CD81640-D666-4409-9930-E895DC5CA358}"/>
    <hyperlink ref="TQX94" r:id="rId876" xr:uid="{B3FA07C1-A584-48D4-95A7-FC55E9595891}"/>
    <hyperlink ref="TRN94" r:id="rId877" xr:uid="{EC6890A8-97C8-4EBC-8D52-9E59EEA7971F}"/>
    <hyperlink ref="TSD94" r:id="rId878" xr:uid="{B0F47B48-211B-4230-AD23-5C85EC34B840}"/>
    <hyperlink ref="TST94" r:id="rId879" xr:uid="{000CD4F6-D088-4338-B0DF-9D074886B3B4}"/>
    <hyperlink ref="TTJ94" r:id="rId880" xr:uid="{7D0ED4EE-C080-49E7-978A-696BF0074E0D}"/>
    <hyperlink ref="TTZ94" r:id="rId881" xr:uid="{9FFA0E13-BF4D-4ED3-93A3-F4C33457A73C}"/>
    <hyperlink ref="TUP94" r:id="rId882" xr:uid="{AE4580AD-8788-4A36-9B9D-EAEF1AB4E2E7}"/>
    <hyperlink ref="TVF94" r:id="rId883" xr:uid="{FBF492E7-AC90-4F63-9CEB-B0FFBD60E047}"/>
    <hyperlink ref="TVV94" r:id="rId884" xr:uid="{F20477CC-C95E-4139-976A-1375C68C2AE2}"/>
    <hyperlink ref="TWL94" r:id="rId885" xr:uid="{602A5E5A-093C-4BBF-BDDC-A56752904EF4}"/>
    <hyperlink ref="TXB94" r:id="rId886" xr:uid="{9EE1F429-F6DD-44FD-AD9F-4DB300F9B80D}"/>
    <hyperlink ref="TXR94" r:id="rId887" xr:uid="{D5A83D52-EF70-48EF-ADBD-E72662F0A514}"/>
    <hyperlink ref="TYH94" r:id="rId888" xr:uid="{B11444B1-2067-4D10-A75D-BCA7744351EF}"/>
    <hyperlink ref="TYX94" r:id="rId889" xr:uid="{23D9B92E-D0B6-45C5-BBE2-18091F27FBA9}"/>
    <hyperlink ref="TZN94" r:id="rId890" xr:uid="{9550C6BD-CB64-416A-ABDD-16F3E2F20E40}"/>
    <hyperlink ref="UAD94" r:id="rId891" xr:uid="{98AAE7BB-426F-4A97-B867-D3ED69897258}"/>
    <hyperlink ref="UAT94" r:id="rId892" xr:uid="{A4A403B5-F727-4164-BACF-15FF93FA386A}"/>
    <hyperlink ref="UBJ94" r:id="rId893" xr:uid="{D73AC1C2-48AD-47E1-A51B-AE4EFF20A94C}"/>
    <hyperlink ref="UBZ94" r:id="rId894" xr:uid="{1A5EA56B-2DD9-430B-97F4-95C812978A3C}"/>
    <hyperlink ref="UCP94" r:id="rId895" xr:uid="{0502F023-DDC3-4B7F-B42B-D600F244CFD8}"/>
    <hyperlink ref="UDF94" r:id="rId896" xr:uid="{9886F0DB-B1A3-4B4F-8851-1E4891D861F3}"/>
    <hyperlink ref="UDV94" r:id="rId897" xr:uid="{DF248958-66B4-42C7-8063-2FFE2A579EAE}"/>
    <hyperlink ref="UEL94" r:id="rId898" xr:uid="{70AF3056-2D01-44E5-895D-EE17022C8F97}"/>
    <hyperlink ref="UFB94" r:id="rId899" xr:uid="{878A9865-616B-4E0F-8011-8F4FB10023C3}"/>
    <hyperlink ref="UFR94" r:id="rId900" xr:uid="{9E0B34FD-FE70-471E-B4EA-8D1516D4C710}"/>
    <hyperlink ref="UGH94" r:id="rId901" xr:uid="{A8D40FA0-86E7-472B-A589-97DA982B273C}"/>
    <hyperlink ref="UGX94" r:id="rId902" xr:uid="{3ABF34A3-4C06-46B0-828C-0F8A6F609360}"/>
    <hyperlink ref="UHN94" r:id="rId903" xr:uid="{3A6DC4CB-B1F5-4F9F-A09D-2DD739A4202A}"/>
    <hyperlink ref="UID94" r:id="rId904" xr:uid="{2B932C66-3AE1-4AFD-9AD9-76FFA8946690}"/>
    <hyperlink ref="UIT94" r:id="rId905" xr:uid="{568361DA-29DC-4984-8B5F-C6779F1A783E}"/>
    <hyperlink ref="UJJ94" r:id="rId906" xr:uid="{DE613BA6-4E92-429C-9F33-F60D8B5ADE44}"/>
    <hyperlink ref="UJZ94" r:id="rId907" xr:uid="{6D54274B-C359-4D50-9811-C17A2BB0ABAE}"/>
    <hyperlink ref="UKP94" r:id="rId908" xr:uid="{74879A45-0562-41FE-BD0E-099C5834827A}"/>
    <hyperlink ref="ULF94" r:id="rId909" xr:uid="{85350596-0959-42BB-B10E-C578CF6257B0}"/>
    <hyperlink ref="ULV94" r:id="rId910" xr:uid="{7519D8ED-6D6A-4123-B13F-4B8AE1334BE8}"/>
    <hyperlink ref="UML94" r:id="rId911" xr:uid="{0145AB42-935F-4B06-93BF-160766A0D665}"/>
    <hyperlink ref="UNB94" r:id="rId912" xr:uid="{270C89C8-6731-451C-B3FF-0DA74AAF2896}"/>
    <hyperlink ref="UNR94" r:id="rId913" xr:uid="{603ACF20-A0FF-4856-A2DD-6791F5D2E27D}"/>
    <hyperlink ref="UOH94" r:id="rId914" xr:uid="{BF463E95-E981-49F3-96FA-164D6D36C4B4}"/>
    <hyperlink ref="UOX94" r:id="rId915" xr:uid="{19919E18-9A3F-40B5-917F-8091A9717A57}"/>
    <hyperlink ref="UPN94" r:id="rId916" xr:uid="{F23C1281-ADBE-4274-8BBD-B164649593AF}"/>
    <hyperlink ref="UQD94" r:id="rId917" xr:uid="{A357F434-421B-4922-ACB6-DE3AD59B9CB2}"/>
    <hyperlink ref="UQT94" r:id="rId918" xr:uid="{6EDB1334-42E2-4AA7-8866-10BBB2CEAC86}"/>
    <hyperlink ref="URJ94" r:id="rId919" xr:uid="{FCE57F9C-0C6D-4D05-9E63-B1332FF1E2BB}"/>
    <hyperlink ref="URZ94" r:id="rId920" xr:uid="{C2C39694-7ACB-4DC6-B680-59FBC38BFCEA}"/>
    <hyperlink ref="USP94" r:id="rId921" xr:uid="{0E911BBF-BBB5-4100-AA11-6CF63D307340}"/>
    <hyperlink ref="UTF94" r:id="rId922" xr:uid="{A49108FA-5443-4066-9ED7-D762DDAF6E21}"/>
    <hyperlink ref="UTV94" r:id="rId923" xr:uid="{174595C0-98E4-41A8-B64A-FAD83374C076}"/>
    <hyperlink ref="UUL94" r:id="rId924" xr:uid="{9C0C4558-84D5-4D5A-83DD-A0E05E148870}"/>
    <hyperlink ref="UVB94" r:id="rId925" xr:uid="{AAC67709-7452-4823-BB07-521D37644DC4}"/>
    <hyperlink ref="UVR94" r:id="rId926" xr:uid="{DD6B1CFF-75CB-4667-A653-71F24A0F97AB}"/>
    <hyperlink ref="UWH94" r:id="rId927" xr:uid="{55AF0679-ED88-4BBF-8EC5-574FF4FCDC25}"/>
    <hyperlink ref="UWX94" r:id="rId928" xr:uid="{D277DE74-E7D9-4B31-804E-2D32531C0FE6}"/>
    <hyperlink ref="UXN94" r:id="rId929" xr:uid="{152E0532-DA3C-4391-8B45-719FBC00E816}"/>
    <hyperlink ref="UYD94" r:id="rId930" xr:uid="{91FDDB5D-1B04-4CD4-8B68-BE55B70C7E09}"/>
    <hyperlink ref="UYT94" r:id="rId931" xr:uid="{2BDED2D5-0F5F-4DC9-BA98-729E70E421CF}"/>
    <hyperlink ref="UZJ94" r:id="rId932" xr:uid="{B1A0C88B-9AC5-4367-868E-12E122209A84}"/>
    <hyperlink ref="UZZ94" r:id="rId933" xr:uid="{5BD1FAFE-2F00-4AC5-BE99-412B82777134}"/>
    <hyperlink ref="VAP94" r:id="rId934" xr:uid="{787B444A-F563-4C85-BA7E-4F97E3CEFA4E}"/>
    <hyperlink ref="VBF94" r:id="rId935" xr:uid="{9643FEBD-1021-4737-8918-05701D097FA3}"/>
    <hyperlink ref="VBV94" r:id="rId936" xr:uid="{7E39C9BF-815C-4052-8AA1-B756CD75C5CA}"/>
    <hyperlink ref="VCL94" r:id="rId937" xr:uid="{67D7D272-6057-4F26-A193-1404F39A8472}"/>
    <hyperlink ref="VDB94" r:id="rId938" xr:uid="{1BB064B0-57D3-474D-903D-0C085288917D}"/>
    <hyperlink ref="VDR94" r:id="rId939" xr:uid="{826587B2-6DC1-474D-BB84-92A7ADA17AA9}"/>
    <hyperlink ref="VEH94" r:id="rId940" xr:uid="{37E92DD4-AA61-43EC-8868-55F3AD149E18}"/>
    <hyperlink ref="VEX94" r:id="rId941" xr:uid="{EE116A67-8A95-4B93-B11F-0070ED83E202}"/>
    <hyperlink ref="VFN94" r:id="rId942" xr:uid="{F667576F-261B-4441-BB62-C69492A4FFDF}"/>
    <hyperlink ref="VGD94" r:id="rId943" xr:uid="{EFC5880F-D1CD-416A-9BA9-F6B6327B04B2}"/>
    <hyperlink ref="VGT94" r:id="rId944" xr:uid="{27031D7C-E5CC-46D6-AF0F-E3EC1914894E}"/>
    <hyperlink ref="VHJ94" r:id="rId945" xr:uid="{DCB564BC-E4F1-4AEC-B515-61775E6AAA6C}"/>
    <hyperlink ref="VHZ94" r:id="rId946" xr:uid="{38A4A63A-4FAC-4C9B-911B-A34A8FF7A500}"/>
    <hyperlink ref="VIP94" r:id="rId947" xr:uid="{72550663-E20B-49B7-92A9-425CFDB29023}"/>
    <hyperlink ref="VJF94" r:id="rId948" xr:uid="{DD75EC00-6AFC-41D5-A1C9-3AA683987BD4}"/>
    <hyperlink ref="VJV94" r:id="rId949" xr:uid="{BF448F43-9B68-4F77-A610-3282E1ACCAF4}"/>
    <hyperlink ref="VKL94" r:id="rId950" xr:uid="{64C816A3-DB54-4AFA-ADA3-381AF732D4DA}"/>
    <hyperlink ref="VLB94" r:id="rId951" xr:uid="{7FA299BA-45FE-4071-8DBC-CEA7D0B620FE}"/>
    <hyperlink ref="VLR94" r:id="rId952" xr:uid="{48CDAF67-4254-4931-BBC0-E34C53C062BC}"/>
    <hyperlink ref="VMH94" r:id="rId953" xr:uid="{7398DB1D-DA33-426B-A682-9450F36DEDAF}"/>
    <hyperlink ref="VMX94" r:id="rId954" xr:uid="{D4CBE6F3-F5A6-4D8F-9760-7CA70B03680D}"/>
    <hyperlink ref="VNN94" r:id="rId955" xr:uid="{6A524EE9-5C86-496F-972C-49C73EC0C58F}"/>
    <hyperlink ref="VOD94" r:id="rId956" xr:uid="{2802DC74-77BC-47B9-9378-E804EB8F7BB6}"/>
    <hyperlink ref="VOT94" r:id="rId957" xr:uid="{2BB23057-AC5C-4AC0-BF02-6451533FE028}"/>
    <hyperlink ref="VPJ94" r:id="rId958" xr:uid="{12B15691-C88E-4FE4-BFB2-0F041532EC45}"/>
    <hyperlink ref="VPZ94" r:id="rId959" xr:uid="{47EDBB6D-9ACA-4377-AF3F-186621634EA8}"/>
    <hyperlink ref="VQP94" r:id="rId960" xr:uid="{B3FA1B7A-C4C5-4513-9C2E-B3C6AA448B82}"/>
    <hyperlink ref="VRF94" r:id="rId961" xr:uid="{CAE1A31B-25E2-4332-A85A-8874DCA9A5A5}"/>
    <hyperlink ref="VRV94" r:id="rId962" xr:uid="{D8807486-9A07-4B0A-AD40-DC39FDCD1B19}"/>
    <hyperlink ref="VSL94" r:id="rId963" xr:uid="{2FFB9511-4B56-4198-B179-55FCA45BA3F9}"/>
    <hyperlink ref="VTB94" r:id="rId964" xr:uid="{A1622473-E2C5-4C52-81D9-2DA9E4322988}"/>
    <hyperlink ref="VTR94" r:id="rId965" xr:uid="{5CCD84A3-48F7-4E6A-BB6E-AE57842AB550}"/>
    <hyperlink ref="VUH94" r:id="rId966" xr:uid="{366B902D-D2A9-4CB7-B5BD-0167AC12DDAD}"/>
    <hyperlink ref="VUX94" r:id="rId967" xr:uid="{3C3A0CA8-A516-4329-B856-4E12672EA8D4}"/>
    <hyperlink ref="VVN94" r:id="rId968" xr:uid="{84BDF915-1E90-4F2D-B972-A8DA3BE659F8}"/>
    <hyperlink ref="VWD94" r:id="rId969" xr:uid="{929644C4-4F5D-4960-9563-A720B1E8CE3A}"/>
    <hyperlink ref="VWT94" r:id="rId970" xr:uid="{F78E02D4-88FE-4929-9504-DF3BD374518F}"/>
    <hyperlink ref="VXJ94" r:id="rId971" xr:uid="{9D99037E-A5F8-4ABF-BF33-FF3218D5C657}"/>
    <hyperlink ref="VXZ94" r:id="rId972" xr:uid="{A81309EF-0838-499D-99FB-C6E6B29A7538}"/>
    <hyperlink ref="VYP94" r:id="rId973" xr:uid="{AC8206B2-1A5D-49FA-A24E-DA2DA21D6B87}"/>
    <hyperlink ref="VZF94" r:id="rId974" xr:uid="{FB9E79AA-7863-48E8-8F83-263F03F249AA}"/>
    <hyperlink ref="VZV94" r:id="rId975" xr:uid="{4CDED905-678D-4115-A407-3F9D437C43F1}"/>
    <hyperlink ref="WAL94" r:id="rId976" xr:uid="{BF127CD9-51E4-4418-AD37-794D7FD5E67E}"/>
    <hyperlink ref="WBB94" r:id="rId977" xr:uid="{680DC475-128A-46C0-B281-74B538BCAE1F}"/>
    <hyperlink ref="WBR94" r:id="rId978" xr:uid="{897D5495-F434-4687-8DA9-AF82231EFACB}"/>
    <hyperlink ref="WCH94" r:id="rId979" xr:uid="{E8AE10D0-E7FF-4419-90DE-0E503BD70262}"/>
    <hyperlink ref="WCX94" r:id="rId980" xr:uid="{3D96B039-B96D-4963-8E1E-4507B058A774}"/>
    <hyperlink ref="WDN94" r:id="rId981" xr:uid="{E26C0C8A-8383-4C62-B6E9-073BF6AC914E}"/>
    <hyperlink ref="WED94" r:id="rId982" xr:uid="{C452A0F7-401E-4A0E-A46F-3BB6DB665D3D}"/>
    <hyperlink ref="WET94" r:id="rId983" xr:uid="{EBD47B01-C0F3-4538-A536-CA1FA37D2E0D}"/>
    <hyperlink ref="WFJ94" r:id="rId984" xr:uid="{B5640E1E-66F6-4F79-B3EF-D35F05170D83}"/>
    <hyperlink ref="WFZ94" r:id="rId985" xr:uid="{C521B2C4-0C0B-49DF-A715-5C011B576BEC}"/>
    <hyperlink ref="WGP94" r:id="rId986" xr:uid="{EAE2D8A0-B164-4B56-A965-13028DB984D0}"/>
    <hyperlink ref="WHF94" r:id="rId987" xr:uid="{0C0E2999-953A-4DF3-A33C-BCB3CCEAA328}"/>
    <hyperlink ref="WHV94" r:id="rId988" xr:uid="{674D8951-7CD6-442E-971A-3498D849890D}"/>
    <hyperlink ref="WIL94" r:id="rId989" xr:uid="{B465E345-BFA9-4D27-8AA9-4BFDE333CAE4}"/>
    <hyperlink ref="WJB94" r:id="rId990" xr:uid="{7AD31C0A-1D3A-46A1-BD57-681275C5D5C6}"/>
    <hyperlink ref="WJR94" r:id="rId991" xr:uid="{B58941EB-6CE4-4B5D-87FB-1356B930BDFB}"/>
    <hyperlink ref="WKH94" r:id="rId992" xr:uid="{7FBEA378-14EA-42FF-AB3B-54E8E22C533F}"/>
    <hyperlink ref="WKX94" r:id="rId993" xr:uid="{22D30BA2-C135-4263-B199-5DCF9EF41997}"/>
    <hyperlink ref="WLN94" r:id="rId994" xr:uid="{9D28820A-783F-4ADF-BA71-1188F8EE03B6}"/>
    <hyperlink ref="WMD94" r:id="rId995" xr:uid="{2009FFB6-0300-469C-A11E-AEADB0615F65}"/>
    <hyperlink ref="WMT94" r:id="rId996" xr:uid="{19731E97-48E2-4AA6-BD13-A6773E04BDAE}"/>
    <hyperlink ref="WNJ94" r:id="rId997" xr:uid="{E774B18B-0F13-4AD5-B09E-47BA5A1D21EF}"/>
    <hyperlink ref="WNZ94" r:id="rId998" xr:uid="{7A0E7743-DC91-44F6-AE16-749D78FC0859}"/>
    <hyperlink ref="WOP94" r:id="rId999" xr:uid="{AC73B046-F4E8-4E09-BAA8-D7A8D459A8BC}"/>
    <hyperlink ref="WPF94" r:id="rId1000" xr:uid="{DBBAE6D6-138F-4BC0-B399-74478C96153E}"/>
    <hyperlink ref="WPV94" r:id="rId1001" xr:uid="{DAF2E0A4-DABD-4CDA-B92D-2D39B5C0BDE4}"/>
    <hyperlink ref="WQL94" r:id="rId1002" xr:uid="{9DB6DCB6-2C83-41CB-956D-05DC37CD2AC3}"/>
    <hyperlink ref="WRB94" r:id="rId1003" xr:uid="{5A9DA1E0-940B-4500-BF94-C0E0FC4C05B7}"/>
    <hyperlink ref="WRR94" r:id="rId1004" xr:uid="{E1CADCAF-B91E-4866-9DE2-6E2932281307}"/>
    <hyperlink ref="WSH94" r:id="rId1005" xr:uid="{FC154893-F6B8-4DC3-A07F-7686C8ADE0D2}"/>
    <hyperlink ref="WSX94" r:id="rId1006" xr:uid="{212B6362-B854-4A8D-893A-3025E0E6CE2F}"/>
    <hyperlink ref="WTN94" r:id="rId1007" xr:uid="{B37CBBCA-6A23-4685-9778-1518967B2ABF}"/>
    <hyperlink ref="WUD94" r:id="rId1008" xr:uid="{CA36BF84-B5D8-429A-8322-91EB8831EF3C}"/>
    <hyperlink ref="WUT94" r:id="rId1009" xr:uid="{294F4B82-88DD-4029-95FC-539748FB478F}"/>
    <hyperlink ref="WVJ94" r:id="rId1010" xr:uid="{C7F8D720-DCDE-4C2D-A903-288002249818}"/>
    <hyperlink ref="WVZ94" r:id="rId1011" xr:uid="{CA700964-9C66-47E7-844B-6CFE0A45DC54}"/>
    <hyperlink ref="WWP94" r:id="rId1012" xr:uid="{E587C516-4ACB-43D2-8168-AC96D54D7CC7}"/>
    <hyperlink ref="WXF94" r:id="rId1013" xr:uid="{2E3AEFE0-CEED-412E-BD12-8F5DCFD32826}"/>
    <hyperlink ref="WXV94" r:id="rId1014" xr:uid="{FC01FE56-F13A-4F4B-A741-BC4929AAA27F}"/>
    <hyperlink ref="WYL94" r:id="rId1015" xr:uid="{141FCA0B-220C-416C-A30B-75F0C366B80B}"/>
    <hyperlink ref="WZB94" r:id="rId1016" xr:uid="{924E5854-812A-40B3-927F-C92FB4349EB7}"/>
    <hyperlink ref="WZR94" r:id="rId1017" xr:uid="{AB361881-254E-4967-A354-73F42FDC211B}"/>
    <hyperlink ref="XAH94" r:id="rId1018" xr:uid="{DE4F2BF8-84CB-4267-A37F-5D9499C6FADA}"/>
    <hyperlink ref="XAX94" r:id="rId1019" xr:uid="{3251D48F-4CF0-4071-9CB0-70B03DAA6B7A}"/>
    <hyperlink ref="XBN94" r:id="rId1020" xr:uid="{CC0C971C-0456-4338-AB9D-48DE28D97681}"/>
    <hyperlink ref="XCD94" r:id="rId1021" xr:uid="{0ED57A08-A712-4652-BB3C-1B0533D673F0}"/>
    <hyperlink ref="XCT94" r:id="rId1022" xr:uid="{C4BFB1E5-5ECE-4AD8-AE1D-0E3B5D4871EE}"/>
    <hyperlink ref="XDJ94" r:id="rId1023" xr:uid="{58B2CE08-FA2C-4FE2-AE43-993493A11C1D}"/>
    <hyperlink ref="XDZ94" r:id="rId1024" xr:uid="{E69E5F89-35FA-4115-9CF8-B54347CCAB27}"/>
    <hyperlink ref="XEP94" r:id="rId1025" xr:uid="{BDAB2481-94B4-4362-B758-77D59C4CCC9D}"/>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307201" r:id="rId1029">
          <objectPr defaultSize="0" autoPict="0" r:id="rId1030">
            <anchor moveWithCells="1">
              <from>
                <xdr:col>11</xdr:col>
                <xdr:colOff>1076325</xdr:colOff>
                <xdr:row>1</xdr:row>
                <xdr:rowOff>76200</xdr:rowOff>
              </from>
              <to>
                <xdr:col>15</xdr:col>
                <xdr:colOff>166688</xdr:colOff>
                <xdr:row>7</xdr:row>
                <xdr:rowOff>19050</xdr:rowOff>
              </to>
            </anchor>
          </objectPr>
        </oleObject>
      </mc:Choice>
      <mc:Fallback>
        <oleObject progId="Paint.Picture" shapeId="307201" r:id="rId1029"/>
      </mc:Fallback>
    </mc:AlternateContent>
    <mc:AlternateContent xmlns:mc="http://schemas.openxmlformats.org/markup-compatibility/2006">
      <mc:Choice Requires="x14">
        <oleObject progId="Paint.Picture" shapeId="307202" r:id="rId1031">
          <objectPr defaultSize="0" autoPict="0" r:id="rId1030">
            <anchor moveWithCells="1">
              <from>
                <xdr:col>11</xdr:col>
                <xdr:colOff>1076325</xdr:colOff>
                <xdr:row>89</xdr:row>
                <xdr:rowOff>76200</xdr:rowOff>
              </from>
              <to>
                <xdr:col>15</xdr:col>
                <xdr:colOff>166688</xdr:colOff>
                <xdr:row>95</xdr:row>
                <xdr:rowOff>61913</xdr:rowOff>
              </to>
            </anchor>
          </objectPr>
        </oleObject>
      </mc:Choice>
      <mc:Fallback>
        <oleObject progId="Paint.Picture" shapeId="307202" r:id="rId1031"/>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5618c633-c8fa-4306-aeb4-38d5faabf3f3" xsi:nil="true"/>
    <lcf76f155ced4ddcb4097134ff3c332f xmlns="572944f8-833f-4c78-98b4-5f94e81f5976">
      <Terms xmlns="http://schemas.microsoft.com/office/infopath/2007/PartnerControls"/>
    </lcf76f155ced4ddcb4097134ff3c332f>
    <_Flow_SignoffStatus xmlns="572944f8-833f-4c78-98b4-5f94e81f5976" xsi:nil="true"/>
    <image_x0020_type xmlns="572944f8-833f-4c78-98b4-5f94e81f597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E6BFFCDBA237041887AF7B2E09114C0" ma:contentTypeVersion="18" ma:contentTypeDescription="Create a new document." ma:contentTypeScope="" ma:versionID="37d18d14b5932431e9be6f64de9f380a">
  <xsd:schema xmlns:xsd="http://www.w3.org/2001/XMLSchema" xmlns:xs="http://www.w3.org/2001/XMLSchema" xmlns:p="http://schemas.microsoft.com/office/2006/metadata/properties" xmlns:ns2="5618c633-c8fa-4306-aeb4-38d5faabf3f3" xmlns:ns3="572944f8-833f-4c78-98b4-5f94e81f5976" targetNamespace="http://schemas.microsoft.com/office/2006/metadata/properties" ma:root="true" ma:fieldsID="f6194e086e7d9179e6720990d5eeb649" ns2:_="" ns3:_="">
    <xsd:import namespace="5618c633-c8fa-4306-aeb4-38d5faabf3f3"/>
    <xsd:import namespace="572944f8-833f-4c78-98b4-5f94e81f597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ObjectDetectorVersions" minOccurs="0"/>
                <xsd:element ref="ns3:MediaServiceLocation" minOccurs="0"/>
                <xsd:element ref="ns3:MediaLengthInSeconds" minOccurs="0"/>
                <xsd:element ref="ns3:MediaServiceSearchProperties" minOccurs="0"/>
                <xsd:element ref="ns3:_Flow_SignoffStatus" minOccurs="0"/>
                <xsd:element ref="ns3:MediaServiceBillingMetadata" minOccurs="0"/>
                <xsd:element ref="ns3:image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18c633-c8fa-4306-aeb4-38d5faabf3f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de2638f-72b9-4c49-9aa0-08f5c4d6531e}" ma:internalName="TaxCatchAll" ma:showField="CatchAllData" ma:web="5618c633-c8fa-4306-aeb4-38d5faabf3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2944f8-833f-4c78-98b4-5f94e81f597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1a198dd-8109-40df-88fd-4d3b687262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_x0024_Resources_x003a_core_x002c_Signoff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image_x0020_type" ma:index="25" nillable="true" ma:displayName="image type" ma:internalName="image_x0020_typ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0BAA5DC-1BCF-4F1E-B1AE-36EAD3F126B1}">
  <ds:schemaRefs>
    <ds:schemaRef ds:uri="http://schemas.microsoft.com/sharepoint/v3/contenttype/forms"/>
  </ds:schemaRefs>
</ds:datastoreItem>
</file>

<file path=customXml/itemProps2.xml><?xml version="1.0" encoding="utf-8"?>
<ds:datastoreItem xmlns:ds="http://schemas.openxmlformats.org/officeDocument/2006/customXml" ds:itemID="{9DD8A31C-973F-41F7-AD5F-0FE588061AAB}">
  <ds:schemaRefs>
    <ds:schemaRef ds:uri="http://purl.org/dc/dcmitype/"/>
    <ds:schemaRef ds:uri="http://schemas.microsoft.com/office/2006/documentManagement/types"/>
    <ds:schemaRef ds:uri="5618c633-c8fa-4306-aeb4-38d5faabf3f3"/>
    <ds:schemaRef ds:uri="http://schemas.microsoft.com/office/2006/metadata/properties"/>
    <ds:schemaRef ds:uri="http://schemas.openxmlformats.org/package/2006/metadata/core-properties"/>
    <ds:schemaRef ds:uri="http://www.w3.org/XML/1998/namespace"/>
    <ds:schemaRef ds:uri="http://purl.org/dc/elements/1.1/"/>
    <ds:schemaRef ds:uri="http://purl.org/dc/terms/"/>
    <ds:schemaRef ds:uri="http://schemas.microsoft.com/office/infopath/2007/PartnerControls"/>
    <ds:schemaRef ds:uri="572944f8-833f-4c78-98b4-5f94e81f5976"/>
  </ds:schemaRefs>
</ds:datastoreItem>
</file>

<file path=customXml/itemProps3.xml><?xml version="1.0" encoding="utf-8"?>
<ds:datastoreItem xmlns:ds="http://schemas.openxmlformats.org/officeDocument/2006/customXml" ds:itemID="{E5FBCD1C-62F6-445D-A3B2-E3FF8CEF33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18c633-c8fa-4306-aeb4-38d5faabf3f3"/>
    <ds:schemaRef ds:uri="572944f8-833f-4c78-98b4-5f94e81f59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17</vt:i4>
      </vt:variant>
      <vt:variant>
        <vt:lpstr>Charts</vt:lpstr>
      </vt:variant>
      <vt:variant>
        <vt:i4>2</vt:i4>
      </vt:variant>
      <vt:variant>
        <vt:lpstr>Named Ranges</vt:lpstr>
      </vt:variant>
      <vt:variant>
        <vt:i4>15</vt:i4>
      </vt:variant>
    </vt:vector>
  </HeadingPairs>
  <TitlesOfParts>
    <vt:vector size="34" baseType="lpstr">
      <vt:lpstr>mtd</vt:lpstr>
      <vt:lpstr>AUTO</vt:lpstr>
      <vt:lpstr>Cover Service Sheet</vt:lpstr>
      <vt:lpstr>ss</vt:lpstr>
      <vt:lpstr>Sheet1</vt:lpstr>
      <vt:lpstr>DO NOT USE post cal</vt:lpstr>
      <vt:lpstr>Auto-Calibration record</vt:lpstr>
      <vt:lpstr>MP Calibration Certificate</vt:lpstr>
      <vt:lpstr>Packing Check List</vt:lpstr>
      <vt:lpstr>LasPaCII (Stauff) Cal Cert</vt:lpstr>
      <vt:lpstr>ACE Winches</vt:lpstr>
      <vt:lpstr>Solge</vt:lpstr>
      <vt:lpstr>PLPC (RMF) Cal Cert</vt:lpstr>
      <vt:lpstr>Dutch Holding Cal Cert</vt:lpstr>
      <vt:lpstr>Blank Cal Cert (EatonWearcheck)</vt:lpstr>
      <vt:lpstr>Trescal Cal Cert</vt:lpstr>
      <vt:lpstr>NAVAIR</vt:lpstr>
      <vt:lpstr>Chart1</vt:lpstr>
      <vt:lpstr>Chart2</vt:lpstr>
      <vt:lpstr>AUTO!_666.lpacal_1</vt:lpstr>
      <vt:lpstr>AUTO!_666.lpacal_2</vt:lpstr>
      <vt:lpstr>AUTO!LPA1.lpacal_1</vt:lpstr>
      <vt:lpstr>'ACE Winches'!Print_Area</vt:lpstr>
      <vt:lpstr>'Auto-Calibration record'!Print_Area</vt:lpstr>
      <vt:lpstr>'Blank Cal Cert (EatonWearcheck)'!Print_Area</vt:lpstr>
      <vt:lpstr>'Cover Service Sheet'!Print_Area</vt:lpstr>
      <vt:lpstr>'Dutch Holding Cal Cert'!Print_Area</vt:lpstr>
      <vt:lpstr>'LasPaCII (Stauff) Cal Cert'!Print_Area</vt:lpstr>
      <vt:lpstr>'MP Calibration Certificate'!Print_Area</vt:lpstr>
      <vt:lpstr>mtd!Print_Area</vt:lpstr>
      <vt:lpstr>NAVAIR!Print_Area</vt:lpstr>
      <vt:lpstr>'PLPC (RMF) Cal Cert'!Print_Area</vt:lpstr>
      <vt:lpstr>Solge!Print_Area</vt:lpstr>
      <vt:lpstr>'Trescal Cal Cert'!Print_Area</vt:lpstr>
    </vt:vector>
  </TitlesOfParts>
  <Manager/>
  <Company>Plastech Control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Devereux</dc:creator>
  <cp:keywords/>
  <dc:description/>
  <cp:lastModifiedBy>John Devereux</cp:lastModifiedBy>
  <cp:revision/>
  <cp:lastPrinted>2026-04-02T10:40:50Z</cp:lastPrinted>
  <dcterms:created xsi:type="dcterms:W3CDTF">2002-07-09T10:21:12Z</dcterms:created>
  <dcterms:modified xsi:type="dcterms:W3CDTF">2026-05-21T10:37:11Z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0x0101006E6BFFCDBA237041887AF7B2E09114C0</vt:lpwstr>
  </property>
  <property fmtid="{D5CDD505-2E9C-101B-9397-08002B2CF9AE}" pid="3" name="MediaServiceImageTags">
    <vt:lpwstr/>
  </property>
</Properties>
</file>