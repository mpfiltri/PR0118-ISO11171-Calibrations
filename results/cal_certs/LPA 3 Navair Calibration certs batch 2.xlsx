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p\projects\PR0118 - ISO 11171 Calibrations\results\cal_certs\"/>
    </mc:Choice>
  </mc:AlternateContent>
  <xr:revisionPtr revIDLastSave="0" documentId="13_ncr:1_{E5706C0A-8EEB-4419-8A11-F821813FD8EE}" xr6:coauthVersionLast="47" xr6:coauthVersionMax="47" xr10:uidLastSave="{00000000-0000-0000-0000-000000000000}"/>
  <bookViews>
    <workbookView xWindow="-98" yWindow="-16297" windowWidth="28996" windowHeight="15944" tabRatio="877" activeTab="1" xr2:uid="{42384B08-A203-4557-8ECF-6CA11FFCA2C8}"/>
  </bookViews>
  <sheets>
    <sheet name="BS110 Cal'd Thresholds" sheetId="35" r:id="rId1"/>
    <sheet name="Sheet1" sheetId="36" r:id="rId2"/>
    <sheet name="Serial Number 63010045" sheetId="21" r:id="rId3"/>
    <sheet name="Serial Number 63010046" sheetId="24" r:id="rId4"/>
    <sheet name="Serial Number 63010047" sheetId="34" r:id="rId5"/>
    <sheet name="Serial Number 63010048" sheetId="16" r:id="rId6"/>
    <sheet name="Serial Number 63010049" sheetId="33" r:id="rId7"/>
    <sheet name="Serial Number 63010050" sheetId="30" r:id="rId8"/>
    <sheet name="Serial Number 63010051" sheetId="1" r:id="rId9"/>
    <sheet name="Serial Number 63010052" sheetId="27" r:id="rId10"/>
    <sheet name="Serial Number 63010053" sheetId="19" r:id="rId11"/>
    <sheet name="Serial Number 63010054" sheetId="29" r:id="rId12"/>
    <sheet name="Serial Number 63010055" sheetId="22" r:id="rId13"/>
    <sheet name="Serial Number 63010056" sheetId="31" r:id="rId14"/>
    <sheet name="Serial Number 63010057" sheetId="25" r:id="rId15"/>
    <sheet name="Serial Number 63010058" sheetId="15" r:id="rId16"/>
    <sheet name="Serial Number 63010059" sheetId="18" r:id="rId17"/>
    <sheet name="Serial Number 63010060" sheetId="17" r:id="rId18"/>
    <sheet name="Serial Number 63010061" sheetId="32" r:id="rId19"/>
    <sheet name="Serial Number 63010062" sheetId="26" r:id="rId20"/>
    <sheet name="Serial Number 63010063" sheetId="20" r:id="rId21"/>
    <sheet name="Serial Number 63010064" sheetId="23" r:id="rId2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36" l="1"/>
  <c r="E35" i="30"/>
  <c r="E34" i="30"/>
  <c r="E33" i="30"/>
  <c r="E32" i="30"/>
  <c r="E31" i="30"/>
  <c r="E30" i="30"/>
  <c r="E29" i="30"/>
  <c r="E28" i="30"/>
  <c r="E27" i="30"/>
  <c r="E35" i="31"/>
  <c r="E34" i="31"/>
  <c r="E33" i="31"/>
  <c r="E32" i="31"/>
  <c r="E31" i="31"/>
  <c r="E30" i="31"/>
  <c r="E29" i="31"/>
  <c r="E28" i="31"/>
  <c r="E27" i="31"/>
  <c r="E35" i="34"/>
  <c r="E34" i="34"/>
  <c r="E33" i="34"/>
  <c r="E32" i="34"/>
  <c r="E31" i="34"/>
  <c r="E30" i="34"/>
  <c r="E29" i="34"/>
  <c r="E28" i="34"/>
  <c r="E27" i="34"/>
  <c r="E35" i="33"/>
  <c r="E34" i="33"/>
  <c r="E33" i="33"/>
  <c r="E32" i="33"/>
  <c r="E31" i="33"/>
  <c r="E30" i="33"/>
  <c r="E29" i="33"/>
  <c r="E28" i="33"/>
  <c r="E27" i="33"/>
  <c r="H35" i="34"/>
  <c r="G35" i="34"/>
  <c r="H34" i="34"/>
  <c r="G34" i="34"/>
  <c r="H33" i="34"/>
  <c r="G33" i="34"/>
  <c r="H32" i="34"/>
  <c r="G32" i="34"/>
  <c r="H31" i="34"/>
  <c r="G31" i="34"/>
  <c r="H30" i="34"/>
  <c r="G30" i="34"/>
  <c r="H29" i="34"/>
  <c r="G29" i="34"/>
  <c r="H28" i="34"/>
  <c r="G28" i="34"/>
  <c r="H27" i="34"/>
  <c r="G27" i="34"/>
  <c r="H35" i="33"/>
  <c r="G35" i="33"/>
  <c r="H34" i="33"/>
  <c r="G34" i="33"/>
  <c r="H33" i="33"/>
  <c r="G33" i="33"/>
  <c r="H32" i="33"/>
  <c r="G32" i="33"/>
  <c r="H31" i="33"/>
  <c r="G31" i="33"/>
  <c r="H30" i="33"/>
  <c r="G30" i="33"/>
  <c r="H29" i="33"/>
  <c r="G29" i="33"/>
  <c r="H28" i="33"/>
  <c r="G28" i="33"/>
  <c r="H27" i="33"/>
  <c r="G27" i="33"/>
  <c r="E35" i="32"/>
  <c r="E34" i="32"/>
  <c r="E33" i="32"/>
  <c r="E32" i="32"/>
  <c r="E31" i="32"/>
  <c r="E30" i="32"/>
  <c r="E29" i="32"/>
  <c r="E28" i="32"/>
  <c r="E27" i="32"/>
  <c r="H35" i="32"/>
  <c r="G35" i="32"/>
  <c r="H34" i="32"/>
  <c r="G34" i="32"/>
  <c r="H33" i="32"/>
  <c r="G33" i="32"/>
  <c r="H32" i="32"/>
  <c r="G32" i="32"/>
  <c r="H31" i="32"/>
  <c r="G31" i="32"/>
  <c r="H30" i="32"/>
  <c r="G30" i="32"/>
  <c r="H29" i="32"/>
  <c r="G29" i="32"/>
  <c r="H28" i="32"/>
  <c r="G28" i="32"/>
  <c r="H27" i="32"/>
  <c r="G27" i="32"/>
  <c r="E35" i="29"/>
  <c r="E34" i="29"/>
  <c r="E33" i="29"/>
  <c r="E32" i="29"/>
  <c r="E31" i="29"/>
  <c r="E30" i="29"/>
  <c r="E29" i="29"/>
  <c r="E28" i="29"/>
  <c r="E27" i="29"/>
  <c r="H35" i="31"/>
  <c r="G35" i="31"/>
  <c r="H34" i="31"/>
  <c r="G34" i="31"/>
  <c r="H33" i="31"/>
  <c r="G33" i="31"/>
  <c r="H32" i="31"/>
  <c r="G32" i="31"/>
  <c r="H31" i="31"/>
  <c r="G31" i="31"/>
  <c r="H30" i="31"/>
  <c r="G30" i="31"/>
  <c r="H29" i="31"/>
  <c r="G29" i="31"/>
  <c r="H28" i="31"/>
  <c r="G28" i="31"/>
  <c r="H27" i="31"/>
  <c r="G27" i="31"/>
  <c r="H35" i="30"/>
  <c r="G35" i="30"/>
  <c r="H34" i="30"/>
  <c r="G34" i="30"/>
  <c r="H33" i="30"/>
  <c r="G33" i="30"/>
  <c r="H32" i="30"/>
  <c r="G32" i="30"/>
  <c r="H31" i="30"/>
  <c r="G31" i="30"/>
  <c r="H30" i="30"/>
  <c r="G30" i="30"/>
  <c r="H29" i="30"/>
  <c r="G29" i="30"/>
  <c r="H28" i="30"/>
  <c r="G28" i="30"/>
  <c r="H27" i="30"/>
  <c r="G27" i="30"/>
  <c r="H35" i="29"/>
  <c r="G35" i="29"/>
  <c r="H34" i="29"/>
  <c r="G34" i="29"/>
  <c r="H33" i="29"/>
  <c r="G33" i="29"/>
  <c r="H32" i="29"/>
  <c r="G32" i="29"/>
  <c r="H31" i="29"/>
  <c r="G31" i="29"/>
  <c r="H30" i="29"/>
  <c r="G30" i="29"/>
  <c r="H29" i="29"/>
  <c r="G29" i="29"/>
  <c r="H28" i="29"/>
  <c r="G28" i="29"/>
  <c r="H27" i="29"/>
  <c r="G27" i="29"/>
  <c r="E27" i="27"/>
  <c r="E28" i="27"/>
  <c r="E29" i="27"/>
  <c r="E30" i="27"/>
  <c r="E31" i="27"/>
  <c r="E32" i="27"/>
  <c r="E33" i="27"/>
  <c r="E35" i="27"/>
  <c r="E34" i="27"/>
  <c r="H35" i="27"/>
  <c r="G35" i="27"/>
  <c r="H34" i="27"/>
  <c r="G34" i="27"/>
  <c r="H33" i="27"/>
  <c r="G33" i="27"/>
  <c r="H32" i="27"/>
  <c r="G32" i="27"/>
  <c r="H31" i="27"/>
  <c r="G31" i="27"/>
  <c r="H30" i="27"/>
  <c r="G30" i="27"/>
  <c r="H29" i="27"/>
  <c r="G29" i="27"/>
  <c r="H28" i="27"/>
  <c r="G28" i="27"/>
  <c r="H27" i="27"/>
  <c r="G27" i="27"/>
  <c r="E35" i="26"/>
  <c r="E34" i="26"/>
  <c r="E33" i="26"/>
  <c r="E32" i="26"/>
  <c r="E31" i="26"/>
  <c r="E30" i="26"/>
  <c r="E29" i="26"/>
  <c r="E28" i="26"/>
  <c r="E27" i="26"/>
  <c r="H35" i="26"/>
  <c r="G35" i="26"/>
  <c r="H34" i="26"/>
  <c r="G34" i="26"/>
  <c r="H33" i="26"/>
  <c r="G33" i="26"/>
  <c r="H32" i="26"/>
  <c r="G32" i="26"/>
  <c r="H31" i="26"/>
  <c r="G31" i="26"/>
  <c r="H30" i="26"/>
  <c r="G30" i="26"/>
  <c r="H29" i="26"/>
  <c r="G29" i="26"/>
  <c r="H28" i="26"/>
  <c r="G28" i="26"/>
  <c r="H27" i="26"/>
  <c r="G27" i="26"/>
  <c r="H35" i="25"/>
  <c r="G35" i="25"/>
  <c r="E35" i="25"/>
  <c r="H34" i="25"/>
  <c r="G34" i="25"/>
  <c r="E34" i="25"/>
  <c r="H33" i="25"/>
  <c r="G33" i="25"/>
  <c r="E33" i="25"/>
  <c r="H32" i="25"/>
  <c r="G32" i="25"/>
  <c r="E32" i="25"/>
  <c r="H31" i="25"/>
  <c r="G31" i="25"/>
  <c r="E31" i="25"/>
  <c r="H30" i="25"/>
  <c r="G30" i="25"/>
  <c r="E30" i="25"/>
  <c r="H29" i="25"/>
  <c r="G29" i="25"/>
  <c r="E29" i="25"/>
  <c r="H28" i="25"/>
  <c r="G28" i="25"/>
  <c r="E28" i="25"/>
  <c r="H27" i="25"/>
  <c r="G27" i="25"/>
  <c r="E27" i="25"/>
  <c r="H35" i="24"/>
  <c r="G35" i="24"/>
  <c r="E35" i="24"/>
  <c r="H34" i="24"/>
  <c r="G34" i="24"/>
  <c r="E34" i="24"/>
  <c r="H33" i="24"/>
  <c r="G33" i="24"/>
  <c r="E33" i="24"/>
  <c r="H32" i="24"/>
  <c r="G32" i="24"/>
  <c r="E32" i="24"/>
  <c r="H31" i="24"/>
  <c r="G31" i="24"/>
  <c r="E31" i="24"/>
  <c r="H30" i="24"/>
  <c r="G30" i="24"/>
  <c r="E30" i="24"/>
  <c r="H29" i="24"/>
  <c r="G29" i="24"/>
  <c r="E29" i="24"/>
  <c r="H28" i="24"/>
  <c r="G28" i="24"/>
  <c r="E28" i="24"/>
  <c r="H27" i="24"/>
  <c r="G27" i="24"/>
  <c r="E27" i="24"/>
  <c r="H35" i="23"/>
  <c r="G35" i="23"/>
  <c r="E35" i="23"/>
  <c r="H34" i="23"/>
  <c r="G34" i="23"/>
  <c r="E34" i="23"/>
  <c r="H33" i="23"/>
  <c r="G33" i="23"/>
  <c r="E33" i="23"/>
  <c r="H32" i="23"/>
  <c r="G32" i="23"/>
  <c r="E32" i="23"/>
  <c r="H31" i="23"/>
  <c r="G31" i="23"/>
  <c r="E31" i="23"/>
  <c r="H30" i="23"/>
  <c r="G30" i="23"/>
  <c r="E30" i="23"/>
  <c r="H29" i="23"/>
  <c r="G29" i="23"/>
  <c r="E29" i="23"/>
  <c r="H28" i="23"/>
  <c r="G28" i="23"/>
  <c r="E28" i="23"/>
  <c r="H27" i="23"/>
  <c r="G27" i="23"/>
  <c r="E27" i="23"/>
  <c r="H35" i="22"/>
  <c r="G35" i="22"/>
  <c r="E35" i="22"/>
  <c r="H34" i="22"/>
  <c r="G34" i="22"/>
  <c r="E34" i="22"/>
  <c r="H33" i="22"/>
  <c r="G33" i="22"/>
  <c r="E33" i="22"/>
  <c r="H32" i="22"/>
  <c r="G32" i="22"/>
  <c r="E32" i="22"/>
  <c r="H31" i="22"/>
  <c r="G31" i="22"/>
  <c r="E31" i="22"/>
  <c r="H30" i="22"/>
  <c r="G30" i="22"/>
  <c r="E30" i="22"/>
  <c r="H29" i="22"/>
  <c r="G29" i="22"/>
  <c r="E29" i="22"/>
  <c r="H28" i="22"/>
  <c r="G28" i="22"/>
  <c r="E28" i="22"/>
  <c r="H27" i="22"/>
  <c r="G27" i="22"/>
  <c r="E27" i="22"/>
  <c r="H35" i="21"/>
  <c r="G35" i="21"/>
  <c r="H34" i="21"/>
  <c r="G34" i="21"/>
  <c r="E34" i="21"/>
  <c r="H33" i="21"/>
  <c r="G33" i="21"/>
  <c r="E33" i="21"/>
  <c r="H32" i="21"/>
  <c r="G32" i="21"/>
  <c r="E32" i="21"/>
  <c r="H31" i="21"/>
  <c r="G31" i="21"/>
  <c r="E31" i="21"/>
  <c r="H30" i="21"/>
  <c r="G30" i="21"/>
  <c r="E30" i="21"/>
  <c r="H29" i="21"/>
  <c r="G29" i="21"/>
  <c r="E29" i="21"/>
  <c r="H28" i="21"/>
  <c r="G28" i="21"/>
  <c r="E28" i="21"/>
  <c r="H27" i="21"/>
  <c r="G27" i="21"/>
  <c r="E27" i="21"/>
  <c r="H35" i="20"/>
  <c r="G35" i="20"/>
  <c r="E35" i="20"/>
  <c r="H34" i="20"/>
  <c r="G34" i="20"/>
  <c r="E34" i="20"/>
  <c r="H33" i="20"/>
  <c r="G33" i="20"/>
  <c r="E33" i="20"/>
  <c r="H32" i="20"/>
  <c r="G32" i="20"/>
  <c r="E32" i="20"/>
  <c r="H31" i="20"/>
  <c r="G31" i="20"/>
  <c r="E31" i="20"/>
  <c r="H30" i="20"/>
  <c r="G30" i="20"/>
  <c r="E30" i="20"/>
  <c r="H29" i="20"/>
  <c r="G29" i="20"/>
  <c r="E29" i="20"/>
  <c r="H28" i="20"/>
  <c r="G28" i="20"/>
  <c r="E28" i="20"/>
  <c r="H27" i="20"/>
  <c r="G27" i="20"/>
  <c r="E27" i="20"/>
  <c r="H35" i="19"/>
  <c r="G35" i="19"/>
  <c r="E35" i="19"/>
  <c r="H34" i="19"/>
  <c r="G34" i="19"/>
  <c r="E34" i="19"/>
  <c r="H33" i="19"/>
  <c r="G33" i="19"/>
  <c r="E33" i="19"/>
  <c r="H32" i="19"/>
  <c r="G32" i="19"/>
  <c r="E32" i="19"/>
  <c r="H31" i="19"/>
  <c r="G31" i="19"/>
  <c r="E31" i="19"/>
  <c r="H30" i="19"/>
  <c r="G30" i="19"/>
  <c r="E30" i="19"/>
  <c r="H29" i="19"/>
  <c r="G29" i="19"/>
  <c r="E29" i="19"/>
  <c r="H28" i="19"/>
  <c r="G28" i="19"/>
  <c r="E28" i="19"/>
  <c r="H27" i="19"/>
  <c r="G27" i="19"/>
  <c r="E27" i="19"/>
  <c r="H35" i="18"/>
  <c r="G35" i="18"/>
  <c r="E35" i="18"/>
  <c r="H34" i="18"/>
  <c r="G34" i="18"/>
  <c r="E34" i="18"/>
  <c r="H33" i="18"/>
  <c r="G33" i="18"/>
  <c r="E33" i="18"/>
  <c r="H32" i="18"/>
  <c r="G32" i="18"/>
  <c r="E32" i="18"/>
  <c r="H31" i="18"/>
  <c r="G31" i="18"/>
  <c r="E31" i="18"/>
  <c r="H30" i="18"/>
  <c r="G30" i="18"/>
  <c r="E30" i="18"/>
  <c r="H29" i="18"/>
  <c r="G29" i="18"/>
  <c r="E29" i="18"/>
  <c r="H28" i="18"/>
  <c r="G28" i="18"/>
  <c r="E28" i="18"/>
  <c r="H27" i="18"/>
  <c r="G27" i="18"/>
  <c r="E27" i="18"/>
  <c r="H35" i="17"/>
  <c r="G35" i="17"/>
  <c r="E35" i="17"/>
  <c r="H34" i="17"/>
  <c r="G34" i="17"/>
  <c r="E34" i="17"/>
  <c r="H33" i="17"/>
  <c r="G33" i="17"/>
  <c r="E33" i="17"/>
  <c r="H32" i="17"/>
  <c r="G32" i="17"/>
  <c r="E32" i="17"/>
  <c r="H31" i="17"/>
  <c r="G31" i="17"/>
  <c r="E31" i="17"/>
  <c r="H30" i="17"/>
  <c r="G30" i="17"/>
  <c r="E30" i="17"/>
  <c r="H29" i="17"/>
  <c r="G29" i="17"/>
  <c r="E29" i="17"/>
  <c r="H28" i="17"/>
  <c r="G28" i="17"/>
  <c r="E28" i="17"/>
  <c r="H27" i="17"/>
  <c r="G27" i="17"/>
  <c r="E27" i="17"/>
  <c r="H35" i="16"/>
  <c r="G35" i="16"/>
  <c r="E35" i="16"/>
  <c r="H34" i="16"/>
  <c r="G34" i="16"/>
  <c r="E34" i="16"/>
  <c r="H33" i="16"/>
  <c r="G33" i="16"/>
  <c r="E33" i="16"/>
  <c r="H32" i="16"/>
  <c r="G32" i="16"/>
  <c r="E32" i="16"/>
  <c r="H31" i="16"/>
  <c r="G31" i="16"/>
  <c r="E31" i="16"/>
  <c r="H30" i="16"/>
  <c r="G30" i="16"/>
  <c r="E30" i="16"/>
  <c r="H29" i="16"/>
  <c r="G29" i="16"/>
  <c r="E29" i="16"/>
  <c r="H28" i="16"/>
  <c r="G28" i="16"/>
  <c r="E28" i="16"/>
  <c r="H27" i="16"/>
  <c r="G27" i="16"/>
  <c r="E27" i="16"/>
  <c r="H35" i="15"/>
  <c r="G35" i="15"/>
  <c r="E35" i="15"/>
  <c r="H34" i="15"/>
  <c r="G34" i="15"/>
  <c r="E34" i="15"/>
  <c r="H33" i="15"/>
  <c r="G33" i="15"/>
  <c r="E33" i="15"/>
  <c r="H32" i="15"/>
  <c r="G32" i="15"/>
  <c r="E32" i="15"/>
  <c r="H31" i="15"/>
  <c r="G31" i="15"/>
  <c r="E31" i="15"/>
  <c r="H30" i="15"/>
  <c r="G30" i="15"/>
  <c r="E30" i="15"/>
  <c r="H29" i="15"/>
  <c r="G29" i="15"/>
  <c r="E29" i="15"/>
  <c r="H28" i="15"/>
  <c r="G28" i="15"/>
  <c r="E28" i="15"/>
  <c r="H27" i="15"/>
  <c r="G27" i="15"/>
  <c r="E27" i="15"/>
  <c r="H35" i="1"/>
  <c r="G35" i="1"/>
  <c r="H34" i="1"/>
  <c r="G34" i="1"/>
  <c r="H33" i="1"/>
  <c r="G33" i="1"/>
  <c r="H32" i="1"/>
  <c r="G32" i="1"/>
  <c r="E32" i="1"/>
  <c r="H31" i="1"/>
  <c r="G31" i="1"/>
  <c r="E31" i="1"/>
  <c r="H30" i="1"/>
  <c r="G30" i="1"/>
  <c r="E30" i="1"/>
  <c r="H29" i="1"/>
  <c r="G29" i="1"/>
  <c r="E29" i="1"/>
  <c r="H28" i="1"/>
  <c r="G28" i="1"/>
  <c r="E28" i="1"/>
  <c r="H27" i="1"/>
  <c r="G27" i="1"/>
  <c r="E27" i="1"/>
  <c r="I25" i="36"/>
  <c r="E36" i="36"/>
  <c r="J7" i="36"/>
  <c r="K21" i="36"/>
  <c r="I30" i="36"/>
  <c r="F17" i="36"/>
  <c r="J12" i="36"/>
  <c r="E16" i="36"/>
  <c r="J26" i="36"/>
  <c r="F37" i="36"/>
  <c r="K8" i="36"/>
  <c r="G19" i="36"/>
  <c r="C30" i="36"/>
  <c r="G8" i="36"/>
  <c r="J36" i="36"/>
  <c r="F8" i="36"/>
  <c r="H13" i="36"/>
  <c r="G29" i="36"/>
  <c r="G20" i="36"/>
  <c r="E5" i="36"/>
  <c r="G12" i="36"/>
  <c r="K23" i="36"/>
  <c r="G34" i="36"/>
  <c r="C6" i="36"/>
  <c r="D20" i="36"/>
  <c r="K28" i="36"/>
  <c r="G39" i="36"/>
  <c r="C11" i="36"/>
  <c r="G14" i="36"/>
  <c r="C25" i="36"/>
  <c r="H35" i="36"/>
  <c r="D7" i="36"/>
  <c r="I17" i="36"/>
  <c r="E28" i="36"/>
  <c r="K9" i="36"/>
  <c r="C35" i="36"/>
  <c r="H6" i="36"/>
  <c r="J11" i="36"/>
  <c r="D24" i="36"/>
  <c r="I18" i="36"/>
  <c r="D5" i="36"/>
  <c r="F11" i="36"/>
  <c r="F38" i="36"/>
  <c r="D22" i="36"/>
  <c r="I32" i="36"/>
  <c r="G7" i="36"/>
  <c r="F18" i="36"/>
  <c r="D27" i="36"/>
  <c r="I37" i="36"/>
  <c r="J22" i="36"/>
  <c r="I12" i="36"/>
  <c r="E23" i="36"/>
  <c r="J33" i="36"/>
  <c r="I31" i="36"/>
  <c r="K15" i="36"/>
  <c r="G26" i="36"/>
  <c r="J38" i="36"/>
  <c r="E33" i="36"/>
  <c r="G38" i="36"/>
  <c r="C10" i="36"/>
  <c r="H20" i="36"/>
  <c r="K16" i="36"/>
  <c r="E9" i="36"/>
  <c r="F20" i="36"/>
  <c r="K30" i="36"/>
  <c r="D12" i="36"/>
  <c r="H16" i="36"/>
  <c r="F25" i="36"/>
  <c r="K35" i="36"/>
  <c r="F39" i="36"/>
  <c r="K10" i="36"/>
  <c r="G21" i="36"/>
  <c r="C32" i="36"/>
  <c r="C21" i="36"/>
  <c r="D14" i="36"/>
  <c r="I24" i="36"/>
  <c r="I38" i="36"/>
  <c r="G31" i="36"/>
  <c r="I36" i="36"/>
  <c r="E8" i="36"/>
  <c r="C17" i="36"/>
  <c r="D15" i="36"/>
  <c r="F13" i="36"/>
  <c r="F30" i="36"/>
  <c r="C24" i="36"/>
  <c r="H18" i="36"/>
  <c r="D29" i="36"/>
  <c r="E10" i="36"/>
  <c r="J14" i="36"/>
  <c r="H23" i="36"/>
  <c r="D34" i="36"/>
  <c r="H37" i="36"/>
  <c r="D9" i="36"/>
  <c r="I19" i="36"/>
  <c r="E30" i="36"/>
  <c r="H8" i="36"/>
  <c r="F12" i="36"/>
  <c r="K22" i="36"/>
  <c r="K36" i="36"/>
  <c r="I29" i="36"/>
  <c r="K34" i="36"/>
  <c r="G6" i="36"/>
  <c r="G13" i="36"/>
  <c r="H11" i="36"/>
  <c r="J39" i="36"/>
  <c r="K11" i="36"/>
  <c r="J16" i="36"/>
  <c r="F27" i="36"/>
  <c r="D8" i="36"/>
  <c r="C13" i="36"/>
  <c r="J21" i="36"/>
  <c r="F32" i="36"/>
  <c r="J35" i="36"/>
  <c r="F7" i="36"/>
  <c r="K17" i="36"/>
  <c r="G28" i="36"/>
  <c r="C39" i="36"/>
  <c r="H10" i="36"/>
  <c r="D21" i="36"/>
  <c r="D35" i="36"/>
  <c r="K27" i="36"/>
  <c r="D33" i="36"/>
  <c r="H36" i="36"/>
  <c r="F6" i="36"/>
  <c r="J19" i="36"/>
  <c r="C15" i="36"/>
  <c r="H25" i="36"/>
  <c r="I39" i="36"/>
  <c r="E11" i="36"/>
  <c r="C20" i="36"/>
  <c r="H30" i="36"/>
  <c r="C34" i="36"/>
  <c r="G33" i="36"/>
  <c r="D16" i="36"/>
  <c r="I26" i="36"/>
  <c r="E37" i="36"/>
  <c r="J8" i="36"/>
  <c r="F19" i="36"/>
  <c r="F33" i="36"/>
  <c r="D26" i="36"/>
  <c r="F31" i="36"/>
  <c r="J34" i="36"/>
  <c r="E38" i="36"/>
  <c r="J9" i="36"/>
  <c r="E6" i="36"/>
  <c r="H33" i="36"/>
  <c r="E13" i="36"/>
  <c r="J23" i="36"/>
  <c r="K37" i="36"/>
  <c r="G9" i="36"/>
  <c r="E18" i="36"/>
  <c r="J28" i="36"/>
  <c r="E32" i="36"/>
  <c r="G17" i="36"/>
  <c r="F14" i="36"/>
  <c r="K24" i="36"/>
  <c r="G35" i="36"/>
  <c r="C7" i="36"/>
  <c r="H17" i="36"/>
  <c r="H31" i="36"/>
  <c r="F24" i="36"/>
  <c r="H29" i="36"/>
  <c r="E31" i="36"/>
  <c r="G36" i="36"/>
  <c r="C8" i="36"/>
  <c r="I34" i="36"/>
  <c r="F16" i="36"/>
  <c r="G5" i="36"/>
  <c r="K39" i="36"/>
  <c r="G11" i="36"/>
  <c r="C22" i="36"/>
  <c r="D36" i="36"/>
  <c r="I7" i="36"/>
  <c r="G16" i="36"/>
  <c r="C27" i="36"/>
  <c r="G30" i="36"/>
  <c r="H15" i="36"/>
  <c r="H12" i="36"/>
  <c r="D23" i="36"/>
  <c r="I33" i="36"/>
  <c r="E35" i="36"/>
  <c r="J15" i="36"/>
  <c r="J29" i="36"/>
  <c r="H22" i="36"/>
  <c r="J27" i="36"/>
  <c r="I27" i="36"/>
  <c r="K32" i="36"/>
  <c r="E29" i="36"/>
  <c r="D38" i="36"/>
  <c r="I9" i="36"/>
  <c r="E20" i="36"/>
  <c r="F34" i="36"/>
  <c r="F26" i="36"/>
  <c r="I14" i="36"/>
  <c r="E25" i="36"/>
  <c r="I28" i="36"/>
  <c r="E39" i="36"/>
  <c r="J10" i="36"/>
  <c r="F21" i="36"/>
  <c r="K31" i="36"/>
  <c r="K13" i="36"/>
  <c r="C14" i="36"/>
  <c r="C28" i="36"/>
  <c r="J20" i="36"/>
  <c r="C26" i="36"/>
  <c r="K25" i="36"/>
  <c r="D28" i="36"/>
  <c r="C23" i="36"/>
  <c r="F36" i="36"/>
  <c r="K7" i="36"/>
  <c r="G18" i="36"/>
  <c r="H32" i="36"/>
  <c r="I6" i="36"/>
  <c r="K12" i="36"/>
  <c r="G23" i="36"/>
  <c r="K26" i="36"/>
  <c r="G37" i="36"/>
  <c r="C9" i="36"/>
  <c r="H19" i="36"/>
  <c r="D30" i="36"/>
  <c r="J13" i="36"/>
  <c r="E12" i="36"/>
  <c r="E26" i="36"/>
  <c r="C19" i="36"/>
  <c r="E24" i="36"/>
  <c r="F22" i="36"/>
  <c r="D31" i="36"/>
  <c r="K5" i="36"/>
  <c r="E34" i="36"/>
  <c r="H34" i="36"/>
  <c r="D6" i="36"/>
  <c r="I16" i="36"/>
  <c r="J30" i="36"/>
  <c r="H39" i="36"/>
  <c r="D11" i="36"/>
  <c r="I21" i="36"/>
  <c r="D25" i="36"/>
  <c r="I35" i="36"/>
  <c r="E7" i="36"/>
  <c r="J17" i="36"/>
  <c r="F28" i="36"/>
  <c r="K38" i="36"/>
  <c r="G10" i="36"/>
  <c r="G24" i="36"/>
  <c r="E17" i="36"/>
  <c r="G22" i="36"/>
  <c r="J18" i="36"/>
  <c r="F29" i="36"/>
  <c r="J5" i="36"/>
  <c r="J6" i="36"/>
  <c r="J32" i="36"/>
  <c r="H24" i="36"/>
  <c r="K14" i="36"/>
  <c r="C29" i="36"/>
  <c r="J37" i="36"/>
  <c r="F9" i="36"/>
  <c r="K19" i="36"/>
  <c r="F23" i="36"/>
  <c r="K33" i="36"/>
  <c r="K29" i="36"/>
  <c r="C16" i="36"/>
  <c r="H26" i="36"/>
  <c r="D37" i="36"/>
  <c r="I22" i="36"/>
  <c r="G15" i="36"/>
  <c r="I20" i="36"/>
  <c r="E15" i="36"/>
  <c r="H27" i="36"/>
  <c r="I5" i="36"/>
  <c r="J25" i="36"/>
  <c r="C37" i="36"/>
  <c r="C31" i="36"/>
  <c r="C12" i="36"/>
  <c r="D13" i="36"/>
  <c r="E27" i="36"/>
  <c r="C36" i="36"/>
  <c r="H7" i="36"/>
  <c r="D18" i="36"/>
  <c r="H21" i="36"/>
  <c r="D32" i="36"/>
  <c r="E19" i="36"/>
  <c r="E14" i="36"/>
  <c r="J24" i="36"/>
  <c r="F35" i="36"/>
  <c r="K6" i="36"/>
  <c r="K20" i="36"/>
  <c r="I13" i="36"/>
  <c r="K18" i="36"/>
  <c r="I11" i="36"/>
  <c r="H5" i="36"/>
  <c r="D19" i="36"/>
  <c r="G27" i="36"/>
  <c r="C38" i="36"/>
  <c r="H9" i="36"/>
  <c r="I23" i="36"/>
  <c r="G32" i="36"/>
  <c r="F10" i="36"/>
  <c r="H14" i="36"/>
  <c r="C18" i="36"/>
  <c r="H28" i="36"/>
  <c r="D39" i="36"/>
  <c r="I10" i="36"/>
  <c r="E21" i="36"/>
  <c r="J31" i="36"/>
  <c r="I15" i="36"/>
  <c r="H38" i="36"/>
  <c r="D10" i="36"/>
  <c r="F15" i="36"/>
  <c r="C33" i="36"/>
  <c r="E22" i="36"/>
  <c r="F5" i="36"/>
  <c r="G25" i="36"/>
  <c r="D17" i="36"/>
  <c r="C5" i="36"/>
  <c r="K4" i="36"/>
  <c r="J4" i="36"/>
  <c r="I4" i="36"/>
  <c r="H4" i="36"/>
  <c r="G4" i="36"/>
  <c r="F4" i="36"/>
  <c r="E4" i="36"/>
  <c r="D4" i="36"/>
  <c r="C4" i="36"/>
  <c r="K3" i="36"/>
  <c r="H3" i="36"/>
  <c r="E3" i="36"/>
  <c r="J3" i="36"/>
  <c r="G3" i="36"/>
  <c r="D3" i="36"/>
  <c r="I3" i="36"/>
  <c r="F3" i="36"/>
  <c r="C3" i="36"/>
  <c r="J2" i="36"/>
  <c r="I2" i="36"/>
  <c r="G2" i="36"/>
  <c r="E2" i="36"/>
  <c r="K2" i="36"/>
  <c r="F2" i="36"/>
  <c r="H2" i="36"/>
  <c r="D2" i="36"/>
  <c r="C2" i="36"/>
</calcChain>
</file>

<file path=xl/sharedStrings.xml><?xml version="1.0" encoding="utf-8"?>
<sst xmlns="http://schemas.openxmlformats.org/spreadsheetml/2006/main" count="1312" uniqueCount="115">
  <si>
    <t>Cal'd thresholds</t>
  </si>
  <si>
    <t>Counts</t>
  </si>
  <si>
    <t>S/N</t>
  </si>
  <si>
    <t>Ref material</t>
  </si>
  <si>
    <t>37D</t>
  </si>
  <si>
    <t>-</t>
  </si>
  <si>
    <t>Step 1</t>
  </si>
  <si>
    <t>Prepare PartiStan - 60s shake, 60s ultrasonic, 60s turn over/roll bottle, 60s ultrasonic</t>
  </si>
  <si>
    <t>Step 2</t>
  </si>
  <si>
    <t>Decant into 4x bottles (Cleaned with heptane + dried)</t>
  </si>
  <si>
    <t>Step 3</t>
  </si>
  <si>
    <t>Open LPA View, connect LPA3 via USB-NETTWarrior to laptop. Ctrl+N &gt; LPA3 Calibration &gt; Select LPA3 COM port</t>
  </si>
  <si>
    <t>Step 4</t>
  </si>
  <si>
    <t>Select PartiStan varient (EG, Partistan 2806 Lot 35D.) Click APPLY Edit</t>
  </si>
  <si>
    <t>Step 5</t>
  </si>
  <si>
    <t>Shake 1x decanted bottle of fluid for 60s. Remove lid &amp; put bottle into bottle sampler. Fit Vacuum cap 60s Vacuum. If bubbles still appear at top, another 15-30s vacuum.</t>
  </si>
  <si>
    <t>Step 6</t>
  </si>
  <si>
    <t>switch bottle sampler cap - set to unit to sample. Turn on unit. Let bottle sampler unit it reaches pressure and stops</t>
  </si>
  <si>
    <t>Step 7</t>
  </si>
  <si>
    <t>Start test on LPA3 once Bottle sampler switches off.</t>
  </si>
  <si>
    <t>Step 8</t>
  </si>
  <si>
    <t>Allow LPA3 test to run</t>
  </si>
  <si>
    <t>Step 9</t>
  </si>
  <si>
    <t>Once LPA3 says EMPTYING, click 'AUTO ADJUST' button on LPA view. allow 30~s for adjustment to complete.</t>
  </si>
  <si>
    <t>Manually set 38, 50, 70 micron levels on the LPA3 itself. Then on the same screen, click 'recalculate'</t>
  </si>
  <si>
    <t>Step 10</t>
  </si>
  <si>
    <t>Once test is finished, repeat steps 4-8. Await test results to auto print to compare as a verification test.</t>
  </si>
  <si>
    <t>MP Filtri UK Ltd</t>
  </si>
  <si>
    <t>Keep House, Conference Way, Vale Park</t>
  </si>
  <si>
    <t>Evesham</t>
  </si>
  <si>
    <t>England</t>
  </si>
  <si>
    <t>WR11 1LB</t>
  </si>
  <si>
    <t>www.mpfiltri.com</t>
  </si>
  <si>
    <t>Table 4 — APC Calibration summary</t>
  </si>
  <si>
    <t>APC
Sensor</t>
  </si>
  <si>
    <t>Model</t>
  </si>
  <si>
    <t>LPA 3 NAVAIR</t>
  </si>
  <si>
    <t>Date</t>
  </si>
  <si>
    <t>Serial Number</t>
  </si>
  <si>
    <t>Operator</t>
  </si>
  <si>
    <t>KAP</t>
  </si>
  <si>
    <t xml:space="preserve">LPA 3 PRIMARY </t>
  </si>
  <si>
    <t>Calibration type (primary or secondary)</t>
  </si>
  <si>
    <t>SECONDARY</t>
  </si>
  <si>
    <t>11171-00009</t>
  </si>
  <si>
    <t>Calibration sample identification numbers</t>
  </si>
  <si>
    <t>S250602008 (35D)</t>
  </si>
  <si>
    <t>Noise level (Annex A)  [mV]</t>
  </si>
  <si>
    <t>Coincidence error limit (Annex B)</t>
  </si>
  <si>
    <t>particles/mL</t>
  </si>
  <si>
    <t>Sample volume (Annex A)  [mL]</t>
  </si>
  <si>
    <t>Working flow rate (Annex C)</t>
  </si>
  <si>
    <t>mL/min</t>
  </si>
  <si>
    <t>Cv, vol (Annex A)  [%]</t>
  </si>
  <si>
    <t>Flow rate range (Annex C)</t>
  </si>
  <si>
    <t>Resolution (Annex D)</t>
  </si>
  <si>
    <t>S_R</t>
  </si>
  <si>
    <t>µm</t>
  </si>
  <si>
    <t>R_R</t>
  </si>
  <si>
    <t>%</t>
  </si>
  <si>
    <t>S_L</t>
  </si>
  <si>
    <t>R_L</t>
  </si>
  <si>
    <t>d</t>
  </si>
  <si>
    <t>R</t>
  </si>
  <si>
    <t>Verification of Particle Counting Accuracy (Annex E)</t>
  </si>
  <si>
    <t>Particle Size Calibration Summary (Clause 6)</t>
  </si>
  <si>
    <t>Particle Size</t>
  </si>
  <si>
    <t>Expected particle concentration</t>
  </si>
  <si>
    <t>Observed particle concentration</t>
  </si>
  <si>
    <t>Particle Concentration</t>
  </si>
  <si>
    <t>Threshold Setting</t>
  </si>
  <si>
    <t>µm(c)</t>
  </si>
  <si>
    <t>Particles/mL</t>
  </si>
  <si>
    <t>mV</t>
  </si>
  <si>
    <t xml:space="preserve">Method of calibration and traceability: 
This device was calibrated using PartiStan 2806 Secondary reference fluid, Sizes and particle concentrations determined on a primary calibrated instrument using NIST SRM 2806d. 
Particle sizes 38, 50, 70 microns calibrated using NIST traceable glass spheres in accordance with clause 6. </t>
  </si>
  <si>
    <t>PartiStan (28DR)</t>
  </si>
  <si>
    <t>PartiStan 28DR</t>
  </si>
  <si>
    <t>Serial Number 63010045</t>
  </si>
  <si>
    <t>Serial Number 63010046</t>
  </si>
  <si>
    <t>Serial Number 63010047</t>
  </si>
  <si>
    <t>Serial Number 63010048</t>
  </si>
  <si>
    <t>Serial Number 63010049</t>
  </si>
  <si>
    <t>Serial Number 63010050</t>
  </si>
  <si>
    <t>Serial Number 63010051</t>
  </si>
  <si>
    <t>Serial Number 63010052</t>
  </si>
  <si>
    <t>Serial Number 63010053</t>
  </si>
  <si>
    <t>Serial Number 63010054</t>
  </si>
  <si>
    <t>Serial Number 63010055</t>
  </si>
  <si>
    <t>Serial Number 63010056</t>
  </si>
  <si>
    <t>Serial Number 63010057</t>
  </si>
  <si>
    <t>Serial Number 63010058</t>
  </si>
  <si>
    <t>Serial Number 63010059</t>
  </si>
  <si>
    <t>Serial Number 63010060</t>
  </si>
  <si>
    <t>Serial Number 63010061</t>
  </si>
  <si>
    <t>Serial Number 63010062</t>
  </si>
  <si>
    <t>Serial Number 63010063</t>
  </si>
  <si>
    <t>Serial Number 63010064</t>
  </si>
  <si>
    <t>Serial Number 63010065</t>
  </si>
  <si>
    <t>Serial Number 63010066</t>
  </si>
  <si>
    <t>Serial Number 63010067</t>
  </si>
  <si>
    <t>Serial Number 63010068</t>
  </si>
  <si>
    <t>Serial Number 63010069</t>
  </si>
  <si>
    <t>Serial Number 63010070</t>
  </si>
  <si>
    <t>Serial Number 63010071</t>
  </si>
  <si>
    <t>Serial Number 63010072</t>
  </si>
  <si>
    <t>Serial Number 63010073</t>
  </si>
  <si>
    <t>Serial Number 63010074</t>
  </si>
  <si>
    <t>Serial Number 63010075</t>
  </si>
  <si>
    <t>Serial Number 63010076</t>
  </si>
  <si>
    <t>Serial Number 63010077</t>
  </si>
  <si>
    <t>Serial Number 63010078</t>
  </si>
  <si>
    <t>Serial Number 63010079</t>
  </si>
  <si>
    <t>Serial Number 63010080</t>
  </si>
  <si>
    <t>Serial Number 63010081</t>
  </si>
  <si>
    <t>Serial Number 63010082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</si>
</sst>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DE7"/>
        <bgColor rgb="FFFFFFCC"/>
      </patternFill>
    </fill>
    <fill>
      <patternFill patternType="solid">
        <fgColor rgb="FFE8EAF6"/>
        <bgColor rgb="FFFFFDE7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</cellStyleXfs>
  <cellXfs count="71">
    <xf numFmtId="0" fontId="0" fillId="0" borderId="0" xfId="0"/>
    <xf numFmtId="0" fontId="2" fillId="0" borderId="0" xfId="2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2" fillId="0" borderId="1" xfId="2" applyBorder="1"/>
    <xf numFmtId="0" fontId="4" fillId="2" borderId="1" xfId="2" applyFont="1" applyFill="1" applyBorder="1" applyAlignment="1">
      <alignment vertical="center" wrapText="1"/>
    </xf>
    <xf numFmtId="164" fontId="5" fillId="0" borderId="0" xfId="1" applyNumberFormat="1" applyFont="1"/>
    <xf numFmtId="0" fontId="6" fillId="3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2" fontId="4" fillId="2" borderId="1" xfId="2" applyNumberFormat="1" applyFont="1" applyFill="1" applyBorder="1" applyAlignment="1">
      <alignment horizontal="left" vertical="center" wrapText="1"/>
    </xf>
    <xf numFmtId="0" fontId="8" fillId="0" borderId="1" xfId="2" applyFont="1" applyBorder="1"/>
    <xf numFmtId="0" fontId="8" fillId="0" borderId="0" xfId="2" applyFont="1"/>
    <xf numFmtId="0" fontId="7" fillId="0" borderId="0" xfId="2" applyFont="1" applyAlignment="1">
      <alignment horizontal="center" vertical="center" wrapText="1"/>
    </xf>
    <xf numFmtId="2" fontId="4" fillId="0" borderId="0" xfId="2" applyNumberFormat="1" applyFont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9" fillId="0" borderId="0" xfId="3" applyBorder="1"/>
    <xf numFmtId="164" fontId="5" fillId="0" borderId="0" xfId="1" applyNumberFormat="1" applyFont="1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2" applyFont="1" applyAlignment="1">
      <alignment vertical="center" wrapText="1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4" borderId="1" xfId="2" applyFon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 wrapText="1"/>
    </xf>
    <xf numFmtId="14" fontId="4" fillId="2" borderId="2" xfId="2" applyNumberFormat="1" applyFont="1" applyFill="1" applyBorder="1" applyAlignment="1">
      <alignment horizontal="center" vertical="center" wrapText="1"/>
    </xf>
    <xf numFmtId="14" fontId="4" fillId="2" borderId="3" xfId="2" applyNumberFormat="1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7" fillId="0" borderId="0" xfId="2" applyFont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3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0" xfId="1" applyFont="1"/>
  </cellXfs>
  <cellStyles count="4">
    <cellStyle name="Hyperlink" xfId="3" builtinId="8"/>
    <cellStyle name="Normal" xfId="0" builtinId="0"/>
    <cellStyle name="Normal 3" xfId="2" xr:uid="{F48FF8C3-4BB0-41B8-AE82-AA81918F202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393059586153191E-2"/>
          <c:y val="7.3536560882558014E-2"/>
          <c:w val="0.9337547801970344"/>
          <c:h val="0.8593008700875894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Sheet1!$B$2:$B$39</c:f>
              <c:numCache>
                <c:formatCode>General</c:formatCode>
                <c:ptCount val="38"/>
                <c:pt idx="0">
                  <c:v>63010045</c:v>
                </c:pt>
                <c:pt idx="1">
                  <c:v>63010046</c:v>
                </c:pt>
                <c:pt idx="2">
                  <c:v>63010047</c:v>
                </c:pt>
                <c:pt idx="3">
                  <c:v>63010048</c:v>
                </c:pt>
                <c:pt idx="4">
                  <c:v>63010049</c:v>
                </c:pt>
                <c:pt idx="5">
                  <c:v>63010050</c:v>
                </c:pt>
                <c:pt idx="6">
                  <c:v>63010051</c:v>
                </c:pt>
                <c:pt idx="7">
                  <c:v>63010052</c:v>
                </c:pt>
                <c:pt idx="8">
                  <c:v>63010053</c:v>
                </c:pt>
                <c:pt idx="9">
                  <c:v>63010054</c:v>
                </c:pt>
                <c:pt idx="10">
                  <c:v>63010055</c:v>
                </c:pt>
                <c:pt idx="11">
                  <c:v>63010056</c:v>
                </c:pt>
                <c:pt idx="12">
                  <c:v>63010057</c:v>
                </c:pt>
                <c:pt idx="13">
                  <c:v>63010058</c:v>
                </c:pt>
                <c:pt idx="14">
                  <c:v>63010059</c:v>
                </c:pt>
                <c:pt idx="15">
                  <c:v>63010060</c:v>
                </c:pt>
                <c:pt idx="16">
                  <c:v>63010061</c:v>
                </c:pt>
                <c:pt idx="17">
                  <c:v>63010062</c:v>
                </c:pt>
                <c:pt idx="18">
                  <c:v>63010063</c:v>
                </c:pt>
                <c:pt idx="19">
                  <c:v>63010064</c:v>
                </c:pt>
                <c:pt idx="20">
                  <c:v>63010065</c:v>
                </c:pt>
                <c:pt idx="21">
                  <c:v>63010066</c:v>
                </c:pt>
                <c:pt idx="22">
                  <c:v>63010067</c:v>
                </c:pt>
                <c:pt idx="23">
                  <c:v>63010068</c:v>
                </c:pt>
                <c:pt idx="24">
                  <c:v>63010069</c:v>
                </c:pt>
                <c:pt idx="25">
                  <c:v>63010070</c:v>
                </c:pt>
                <c:pt idx="26">
                  <c:v>63010071</c:v>
                </c:pt>
                <c:pt idx="27">
                  <c:v>63010072</c:v>
                </c:pt>
                <c:pt idx="28">
                  <c:v>63010073</c:v>
                </c:pt>
                <c:pt idx="29">
                  <c:v>63010074</c:v>
                </c:pt>
                <c:pt idx="30">
                  <c:v>63010075</c:v>
                </c:pt>
                <c:pt idx="31">
                  <c:v>63010076</c:v>
                </c:pt>
                <c:pt idx="32">
                  <c:v>63010077</c:v>
                </c:pt>
                <c:pt idx="33">
                  <c:v>63010078</c:v>
                </c:pt>
                <c:pt idx="34">
                  <c:v>63010079</c:v>
                </c:pt>
                <c:pt idx="35">
                  <c:v>63010080</c:v>
                </c:pt>
                <c:pt idx="36">
                  <c:v>63010081</c:v>
                </c:pt>
                <c:pt idx="37">
                  <c:v>63010082</c:v>
                </c:pt>
              </c:numCache>
            </c:numRef>
          </c:xVal>
          <c:yVal>
            <c:numRef>
              <c:f>Sheet1!$C$2:$C$39</c:f>
              <c:numCache>
                <c:formatCode>0%</c:formatCode>
                <c:ptCount val="38"/>
                <c:pt idx="0">
                  <c:v>-8.21044646326341E-3</c:v>
                </c:pt>
                <c:pt idx="1">
                  <c:v>1.3703813347641924E-2</c:v>
                </c:pt>
                <c:pt idx="2">
                  <c:v>-3.1125270497715851E-2</c:v>
                </c:pt>
                <c:pt idx="3">
                  <c:v>3.0473476788721587E-3</c:v>
                </c:pt>
                <c:pt idx="4">
                  <c:v>-1.2262563116133829E-2</c:v>
                </c:pt>
                <c:pt idx="5">
                  <c:v>-3.744031875794307E-3</c:v>
                </c:pt>
                <c:pt idx="6">
                  <c:v>-4.699613299535832E-4</c:v>
                </c:pt>
                <c:pt idx="7">
                  <c:v>-9.6348710198201903E-4</c:v>
                </c:pt>
                <c:pt idx="8">
                  <c:v>-3.051325698003593E-2</c:v>
                </c:pt>
                <c:pt idx="9">
                  <c:v>-9.4236251846255836E-3</c:v>
                </c:pt>
                <c:pt idx="10">
                  <c:v>1.5842692471367492E-2</c:v>
                </c:pt>
                <c:pt idx="11">
                  <c:v>1.0206780476075927E-2</c:v>
                </c:pt>
                <c:pt idx="12">
                  <c:v>2.1760038470786114E-3</c:v>
                </c:pt>
                <c:pt idx="13">
                  <c:v>-1.2637149147963878E-2</c:v>
                </c:pt>
                <c:pt idx="14">
                  <c:v>-1.2158861731455972E-2</c:v>
                </c:pt>
                <c:pt idx="15">
                  <c:v>-7.3112291153994979E-3</c:v>
                </c:pt>
                <c:pt idx="16">
                  <c:v>-2.4418644591763128E-2</c:v>
                </c:pt>
                <c:pt idx="17">
                  <c:v>-5.0281236701389509E-2</c:v>
                </c:pt>
                <c:pt idx="18">
                  <c:v>4.0612799970407565E-4</c:v>
                </c:pt>
                <c:pt idx="19">
                  <c:v>8.8946518737333946E-3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3A-49E8-872B-E8873D6F877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Sheet1!$B$2:$B$39</c:f>
              <c:numCache>
                <c:formatCode>General</c:formatCode>
                <c:ptCount val="38"/>
                <c:pt idx="0">
                  <c:v>63010045</c:v>
                </c:pt>
                <c:pt idx="1">
                  <c:v>63010046</c:v>
                </c:pt>
                <c:pt idx="2">
                  <c:v>63010047</c:v>
                </c:pt>
                <c:pt idx="3">
                  <c:v>63010048</c:v>
                </c:pt>
                <c:pt idx="4">
                  <c:v>63010049</c:v>
                </c:pt>
                <c:pt idx="5">
                  <c:v>63010050</c:v>
                </c:pt>
                <c:pt idx="6">
                  <c:v>63010051</c:v>
                </c:pt>
                <c:pt idx="7">
                  <c:v>63010052</c:v>
                </c:pt>
                <c:pt idx="8">
                  <c:v>63010053</c:v>
                </c:pt>
                <c:pt idx="9">
                  <c:v>63010054</c:v>
                </c:pt>
                <c:pt idx="10">
                  <c:v>63010055</c:v>
                </c:pt>
                <c:pt idx="11">
                  <c:v>63010056</c:v>
                </c:pt>
                <c:pt idx="12">
                  <c:v>63010057</c:v>
                </c:pt>
                <c:pt idx="13">
                  <c:v>63010058</c:v>
                </c:pt>
                <c:pt idx="14">
                  <c:v>63010059</c:v>
                </c:pt>
                <c:pt idx="15">
                  <c:v>63010060</c:v>
                </c:pt>
                <c:pt idx="16">
                  <c:v>63010061</c:v>
                </c:pt>
                <c:pt idx="17">
                  <c:v>63010062</c:v>
                </c:pt>
                <c:pt idx="18">
                  <c:v>63010063</c:v>
                </c:pt>
                <c:pt idx="19">
                  <c:v>63010064</c:v>
                </c:pt>
                <c:pt idx="20">
                  <c:v>63010065</c:v>
                </c:pt>
                <c:pt idx="21">
                  <c:v>63010066</c:v>
                </c:pt>
                <c:pt idx="22">
                  <c:v>63010067</c:v>
                </c:pt>
                <c:pt idx="23">
                  <c:v>63010068</c:v>
                </c:pt>
                <c:pt idx="24">
                  <c:v>63010069</c:v>
                </c:pt>
                <c:pt idx="25">
                  <c:v>63010070</c:v>
                </c:pt>
                <c:pt idx="26">
                  <c:v>63010071</c:v>
                </c:pt>
                <c:pt idx="27">
                  <c:v>63010072</c:v>
                </c:pt>
                <c:pt idx="28">
                  <c:v>63010073</c:v>
                </c:pt>
                <c:pt idx="29">
                  <c:v>63010074</c:v>
                </c:pt>
                <c:pt idx="30">
                  <c:v>63010075</c:v>
                </c:pt>
                <c:pt idx="31">
                  <c:v>63010076</c:v>
                </c:pt>
                <c:pt idx="32">
                  <c:v>63010077</c:v>
                </c:pt>
                <c:pt idx="33">
                  <c:v>63010078</c:v>
                </c:pt>
                <c:pt idx="34">
                  <c:v>63010079</c:v>
                </c:pt>
                <c:pt idx="35">
                  <c:v>63010080</c:v>
                </c:pt>
                <c:pt idx="36">
                  <c:v>63010081</c:v>
                </c:pt>
                <c:pt idx="37">
                  <c:v>63010082</c:v>
                </c:pt>
              </c:numCache>
            </c:numRef>
          </c:xVal>
          <c:yVal>
            <c:numRef>
              <c:f>Sheet1!$D$2:$D$39</c:f>
              <c:numCache>
                <c:formatCode>0%</c:formatCode>
                <c:ptCount val="38"/>
                <c:pt idx="0">
                  <c:v>-1.7019170772639702E-3</c:v>
                </c:pt>
                <c:pt idx="1">
                  <c:v>-1.8417711986572494E-3</c:v>
                </c:pt>
                <c:pt idx="2">
                  <c:v>-3.6020639834881463E-2</c:v>
                </c:pt>
                <c:pt idx="3">
                  <c:v>1.1812294253070732E-3</c:v>
                </c:pt>
                <c:pt idx="4">
                  <c:v>-7.7523219814242816E-3</c:v>
                </c:pt>
                <c:pt idx="5">
                  <c:v>2.2670794633642855E-2</c:v>
                </c:pt>
                <c:pt idx="6">
                  <c:v>-7.6812186672969851E-4</c:v>
                </c:pt>
                <c:pt idx="7">
                  <c:v>1.6528379772961843E-2</c:v>
                </c:pt>
                <c:pt idx="8">
                  <c:v>-2.5978440949286696E-2</c:v>
                </c:pt>
                <c:pt idx="9">
                  <c:v>-3.6697626418987772E-3</c:v>
                </c:pt>
                <c:pt idx="10">
                  <c:v>7.3197495535426427E-3</c:v>
                </c:pt>
                <c:pt idx="11">
                  <c:v>-3.6780185758513717E-3</c:v>
                </c:pt>
                <c:pt idx="12">
                  <c:v>1.1034055727554115E-2</c:v>
                </c:pt>
                <c:pt idx="13">
                  <c:v>-2.6585192675947167E-2</c:v>
                </c:pt>
                <c:pt idx="14">
                  <c:v>1.9407448845667474E-3</c:v>
                </c:pt>
                <c:pt idx="15">
                  <c:v>-2.9369365492608601E-3</c:v>
                </c:pt>
                <c:pt idx="16">
                  <c:v>-3.5925696594427348E-2</c:v>
                </c:pt>
                <c:pt idx="17">
                  <c:v>-5.5304774404544177E-2</c:v>
                </c:pt>
                <c:pt idx="18">
                  <c:v>5.7619898014071858E-3</c:v>
                </c:pt>
                <c:pt idx="19">
                  <c:v>2.779772961816307E-2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3A-49E8-872B-E8873D6F8777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10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Sheet1!$B$2:$B$39</c:f>
              <c:numCache>
                <c:formatCode>General</c:formatCode>
                <c:ptCount val="38"/>
                <c:pt idx="0">
                  <c:v>63010045</c:v>
                </c:pt>
                <c:pt idx="1">
                  <c:v>63010046</c:v>
                </c:pt>
                <c:pt idx="2">
                  <c:v>63010047</c:v>
                </c:pt>
                <c:pt idx="3">
                  <c:v>63010048</c:v>
                </c:pt>
                <c:pt idx="4">
                  <c:v>63010049</c:v>
                </c:pt>
                <c:pt idx="5">
                  <c:v>63010050</c:v>
                </c:pt>
                <c:pt idx="6">
                  <c:v>63010051</c:v>
                </c:pt>
                <c:pt idx="7">
                  <c:v>63010052</c:v>
                </c:pt>
                <c:pt idx="8">
                  <c:v>63010053</c:v>
                </c:pt>
                <c:pt idx="9">
                  <c:v>63010054</c:v>
                </c:pt>
                <c:pt idx="10">
                  <c:v>63010055</c:v>
                </c:pt>
                <c:pt idx="11">
                  <c:v>63010056</c:v>
                </c:pt>
                <c:pt idx="12">
                  <c:v>63010057</c:v>
                </c:pt>
                <c:pt idx="13">
                  <c:v>63010058</c:v>
                </c:pt>
                <c:pt idx="14">
                  <c:v>63010059</c:v>
                </c:pt>
                <c:pt idx="15">
                  <c:v>63010060</c:v>
                </c:pt>
                <c:pt idx="16">
                  <c:v>63010061</c:v>
                </c:pt>
                <c:pt idx="17">
                  <c:v>63010062</c:v>
                </c:pt>
                <c:pt idx="18">
                  <c:v>63010063</c:v>
                </c:pt>
                <c:pt idx="19">
                  <c:v>63010064</c:v>
                </c:pt>
                <c:pt idx="20">
                  <c:v>63010065</c:v>
                </c:pt>
                <c:pt idx="21">
                  <c:v>63010066</c:v>
                </c:pt>
                <c:pt idx="22">
                  <c:v>63010067</c:v>
                </c:pt>
                <c:pt idx="23">
                  <c:v>63010068</c:v>
                </c:pt>
                <c:pt idx="24">
                  <c:v>63010069</c:v>
                </c:pt>
                <c:pt idx="25">
                  <c:v>63010070</c:v>
                </c:pt>
                <c:pt idx="26">
                  <c:v>63010071</c:v>
                </c:pt>
                <c:pt idx="27">
                  <c:v>63010072</c:v>
                </c:pt>
                <c:pt idx="28">
                  <c:v>63010073</c:v>
                </c:pt>
                <c:pt idx="29">
                  <c:v>63010074</c:v>
                </c:pt>
                <c:pt idx="30">
                  <c:v>63010075</c:v>
                </c:pt>
                <c:pt idx="31">
                  <c:v>63010076</c:v>
                </c:pt>
                <c:pt idx="32">
                  <c:v>63010077</c:v>
                </c:pt>
                <c:pt idx="33">
                  <c:v>63010078</c:v>
                </c:pt>
                <c:pt idx="34">
                  <c:v>63010079</c:v>
                </c:pt>
                <c:pt idx="35">
                  <c:v>63010080</c:v>
                </c:pt>
                <c:pt idx="36">
                  <c:v>63010081</c:v>
                </c:pt>
                <c:pt idx="37">
                  <c:v>63010082</c:v>
                </c:pt>
              </c:numCache>
            </c:numRef>
          </c:xVal>
          <c:yVal>
            <c:numRef>
              <c:f>Sheet1!$E$2:$E$39</c:f>
              <c:numCache>
                <c:formatCode>0%</c:formatCode>
                <c:ptCount val="38"/>
                <c:pt idx="0">
                  <c:v>-6.9347482081355549E-3</c:v>
                </c:pt>
                <c:pt idx="1">
                  <c:v>4.8682863259796871E-3</c:v>
                </c:pt>
                <c:pt idx="2">
                  <c:v>-4.8731151158514119E-2</c:v>
                </c:pt>
                <c:pt idx="3">
                  <c:v>7.6887275435166824E-3</c:v>
                </c:pt>
                <c:pt idx="4">
                  <c:v>-1.6605369621184196E-2</c:v>
                </c:pt>
                <c:pt idx="5">
                  <c:v>5.9764619345347603E-2</c:v>
                </c:pt>
                <c:pt idx="6">
                  <c:v>1.127245648329156E-2</c:v>
                </c:pt>
                <c:pt idx="7">
                  <c:v>2.640676719382129E-2</c:v>
                </c:pt>
                <c:pt idx="8">
                  <c:v>-3.8378479009587685E-2</c:v>
                </c:pt>
                <c:pt idx="9">
                  <c:v>-2.280250091945546E-3</c:v>
                </c:pt>
                <c:pt idx="10">
                  <c:v>1.8616773713109325E-4</c:v>
                </c:pt>
                <c:pt idx="11">
                  <c:v>2.2434718646562324E-3</c:v>
                </c:pt>
                <c:pt idx="12">
                  <c:v>-2.8135343876425023E-2</c:v>
                </c:pt>
                <c:pt idx="13">
                  <c:v>-1.3031741599179858E-3</c:v>
                </c:pt>
                <c:pt idx="14">
                  <c:v>1.6941264078935259E-2</c:v>
                </c:pt>
                <c:pt idx="15">
                  <c:v>-2.7087405752581617E-3</c:v>
                </c:pt>
                <c:pt idx="16">
                  <c:v>-2.280250091945546E-3</c:v>
                </c:pt>
                <c:pt idx="17">
                  <c:v>-6.5810295075863334E-2</c:v>
                </c:pt>
                <c:pt idx="18">
                  <c:v>9.3083868565568828E-4</c:v>
                </c:pt>
                <c:pt idx="19">
                  <c:v>1.2136815005516777E-2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3A-49E8-872B-E8873D6F8777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14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Sheet1!$B$2:$B$39</c:f>
              <c:numCache>
                <c:formatCode>General</c:formatCode>
                <c:ptCount val="38"/>
                <c:pt idx="0">
                  <c:v>63010045</c:v>
                </c:pt>
                <c:pt idx="1">
                  <c:v>63010046</c:v>
                </c:pt>
                <c:pt idx="2">
                  <c:v>63010047</c:v>
                </c:pt>
                <c:pt idx="3">
                  <c:v>63010048</c:v>
                </c:pt>
                <c:pt idx="4">
                  <c:v>63010049</c:v>
                </c:pt>
                <c:pt idx="5">
                  <c:v>63010050</c:v>
                </c:pt>
                <c:pt idx="6">
                  <c:v>63010051</c:v>
                </c:pt>
                <c:pt idx="7">
                  <c:v>63010052</c:v>
                </c:pt>
                <c:pt idx="8">
                  <c:v>63010053</c:v>
                </c:pt>
                <c:pt idx="9">
                  <c:v>63010054</c:v>
                </c:pt>
                <c:pt idx="10">
                  <c:v>63010055</c:v>
                </c:pt>
                <c:pt idx="11">
                  <c:v>63010056</c:v>
                </c:pt>
                <c:pt idx="12">
                  <c:v>63010057</c:v>
                </c:pt>
                <c:pt idx="13">
                  <c:v>63010058</c:v>
                </c:pt>
                <c:pt idx="14">
                  <c:v>63010059</c:v>
                </c:pt>
                <c:pt idx="15">
                  <c:v>63010060</c:v>
                </c:pt>
                <c:pt idx="16">
                  <c:v>63010061</c:v>
                </c:pt>
                <c:pt idx="17">
                  <c:v>63010062</c:v>
                </c:pt>
                <c:pt idx="18">
                  <c:v>63010063</c:v>
                </c:pt>
                <c:pt idx="19">
                  <c:v>63010064</c:v>
                </c:pt>
                <c:pt idx="20">
                  <c:v>63010065</c:v>
                </c:pt>
                <c:pt idx="21">
                  <c:v>63010066</c:v>
                </c:pt>
                <c:pt idx="22">
                  <c:v>63010067</c:v>
                </c:pt>
                <c:pt idx="23">
                  <c:v>63010068</c:v>
                </c:pt>
                <c:pt idx="24">
                  <c:v>63010069</c:v>
                </c:pt>
                <c:pt idx="25">
                  <c:v>63010070</c:v>
                </c:pt>
                <c:pt idx="26">
                  <c:v>63010071</c:v>
                </c:pt>
                <c:pt idx="27">
                  <c:v>63010072</c:v>
                </c:pt>
                <c:pt idx="28">
                  <c:v>63010073</c:v>
                </c:pt>
                <c:pt idx="29">
                  <c:v>63010074</c:v>
                </c:pt>
                <c:pt idx="30">
                  <c:v>63010075</c:v>
                </c:pt>
                <c:pt idx="31">
                  <c:v>63010076</c:v>
                </c:pt>
                <c:pt idx="32">
                  <c:v>63010077</c:v>
                </c:pt>
                <c:pt idx="33">
                  <c:v>63010078</c:v>
                </c:pt>
                <c:pt idx="34">
                  <c:v>63010079</c:v>
                </c:pt>
                <c:pt idx="35">
                  <c:v>63010080</c:v>
                </c:pt>
                <c:pt idx="36">
                  <c:v>63010081</c:v>
                </c:pt>
                <c:pt idx="37">
                  <c:v>63010082</c:v>
                </c:pt>
              </c:numCache>
            </c:numRef>
          </c:xVal>
          <c:yVal>
            <c:numRef>
              <c:f>Sheet1!$F$2:$F$39</c:f>
              <c:numCache>
                <c:formatCode>0%</c:formatCode>
                <c:ptCount val="38"/>
                <c:pt idx="0">
                  <c:v>-7.3324213406292804E-3</c:v>
                </c:pt>
                <c:pt idx="1">
                  <c:v>-1.8878248974008138E-2</c:v>
                </c:pt>
                <c:pt idx="2">
                  <c:v>-3.967123287671237E-2</c:v>
                </c:pt>
                <c:pt idx="3">
                  <c:v>2.0738714090287269E-2</c:v>
                </c:pt>
                <c:pt idx="4">
                  <c:v>-5.6109589041095975E-2</c:v>
                </c:pt>
                <c:pt idx="5">
                  <c:v>0.10197260273972608</c:v>
                </c:pt>
                <c:pt idx="6">
                  <c:v>2.1997264021887952E-2</c:v>
                </c:pt>
                <c:pt idx="7">
                  <c:v>6.0821917808220327E-3</c:v>
                </c:pt>
                <c:pt idx="8">
                  <c:v>-3.4363885088919299E-2</c:v>
                </c:pt>
                <c:pt idx="9">
                  <c:v>5.0958904109590364E-3</c:v>
                </c:pt>
                <c:pt idx="10">
                  <c:v>8.2626538987686793E-3</c:v>
                </c:pt>
                <c:pt idx="11">
                  <c:v>-5.479452054794054E-4</c:v>
                </c:pt>
                <c:pt idx="12">
                  <c:v>8.3835616438356908E-3</c:v>
                </c:pt>
                <c:pt idx="13">
                  <c:v>-4.7414500683994443E-2</c:v>
                </c:pt>
                <c:pt idx="14">
                  <c:v>2.9849521203830331E-2</c:v>
                </c:pt>
                <c:pt idx="15">
                  <c:v>1.0943912448699855E-3</c:v>
                </c:pt>
                <c:pt idx="16">
                  <c:v>4.7452054794520526E-2</c:v>
                </c:pt>
                <c:pt idx="17">
                  <c:v>-5.7099863201094392E-2</c:v>
                </c:pt>
                <c:pt idx="18">
                  <c:v>-5.1983584131320981E-4</c:v>
                </c:pt>
                <c:pt idx="19">
                  <c:v>-1.6438356164384382E-3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3A-49E8-872B-E8873D6F8777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21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Sheet1!$B$2:$B$39</c:f>
              <c:numCache>
                <c:formatCode>General</c:formatCode>
                <c:ptCount val="38"/>
                <c:pt idx="0">
                  <c:v>63010045</c:v>
                </c:pt>
                <c:pt idx="1">
                  <c:v>63010046</c:v>
                </c:pt>
                <c:pt idx="2">
                  <c:v>63010047</c:v>
                </c:pt>
                <c:pt idx="3">
                  <c:v>63010048</c:v>
                </c:pt>
                <c:pt idx="4">
                  <c:v>63010049</c:v>
                </c:pt>
                <c:pt idx="5">
                  <c:v>63010050</c:v>
                </c:pt>
                <c:pt idx="6">
                  <c:v>63010051</c:v>
                </c:pt>
                <c:pt idx="7">
                  <c:v>63010052</c:v>
                </c:pt>
                <c:pt idx="8">
                  <c:v>63010053</c:v>
                </c:pt>
                <c:pt idx="9">
                  <c:v>63010054</c:v>
                </c:pt>
                <c:pt idx="10">
                  <c:v>63010055</c:v>
                </c:pt>
                <c:pt idx="11">
                  <c:v>63010056</c:v>
                </c:pt>
                <c:pt idx="12">
                  <c:v>63010057</c:v>
                </c:pt>
                <c:pt idx="13">
                  <c:v>63010058</c:v>
                </c:pt>
                <c:pt idx="14">
                  <c:v>63010059</c:v>
                </c:pt>
                <c:pt idx="15">
                  <c:v>63010060</c:v>
                </c:pt>
                <c:pt idx="16">
                  <c:v>63010061</c:v>
                </c:pt>
                <c:pt idx="17">
                  <c:v>63010062</c:v>
                </c:pt>
                <c:pt idx="18">
                  <c:v>63010063</c:v>
                </c:pt>
                <c:pt idx="19">
                  <c:v>63010064</c:v>
                </c:pt>
                <c:pt idx="20">
                  <c:v>63010065</c:v>
                </c:pt>
                <c:pt idx="21">
                  <c:v>63010066</c:v>
                </c:pt>
                <c:pt idx="22">
                  <c:v>63010067</c:v>
                </c:pt>
                <c:pt idx="23">
                  <c:v>63010068</c:v>
                </c:pt>
                <c:pt idx="24">
                  <c:v>63010069</c:v>
                </c:pt>
                <c:pt idx="25">
                  <c:v>63010070</c:v>
                </c:pt>
                <c:pt idx="26">
                  <c:v>63010071</c:v>
                </c:pt>
                <c:pt idx="27">
                  <c:v>63010072</c:v>
                </c:pt>
                <c:pt idx="28">
                  <c:v>63010073</c:v>
                </c:pt>
                <c:pt idx="29">
                  <c:v>63010074</c:v>
                </c:pt>
                <c:pt idx="30">
                  <c:v>63010075</c:v>
                </c:pt>
                <c:pt idx="31">
                  <c:v>63010076</c:v>
                </c:pt>
                <c:pt idx="32">
                  <c:v>63010077</c:v>
                </c:pt>
                <c:pt idx="33">
                  <c:v>63010078</c:v>
                </c:pt>
                <c:pt idx="34">
                  <c:v>63010079</c:v>
                </c:pt>
                <c:pt idx="35">
                  <c:v>63010080</c:v>
                </c:pt>
                <c:pt idx="36">
                  <c:v>63010081</c:v>
                </c:pt>
                <c:pt idx="37">
                  <c:v>63010082</c:v>
                </c:pt>
              </c:numCache>
            </c:numRef>
          </c:xVal>
          <c:yVal>
            <c:numRef>
              <c:f>Sheet1!$G$2:$G$39</c:f>
              <c:numCache>
                <c:formatCode>0%</c:formatCode>
                <c:ptCount val="38"/>
                <c:pt idx="0">
                  <c:v>-5.4644808743176121E-4</c:v>
                </c:pt>
                <c:pt idx="1">
                  <c:v>-4.1530054644808745E-2</c:v>
                </c:pt>
                <c:pt idx="2">
                  <c:v>1.3926499032882012E-2</c:v>
                </c:pt>
                <c:pt idx="3">
                  <c:v>2.8506375227686842E-2</c:v>
                </c:pt>
                <c:pt idx="4">
                  <c:v>-7.8143133462282521E-2</c:v>
                </c:pt>
                <c:pt idx="5">
                  <c:v>0.24970986460348144</c:v>
                </c:pt>
                <c:pt idx="6">
                  <c:v>-7.7413479052823364E-2</c:v>
                </c:pt>
                <c:pt idx="7">
                  <c:v>-5.4932301740812428E-2</c:v>
                </c:pt>
                <c:pt idx="8">
                  <c:v>-7.7868852459016424E-2</c:v>
                </c:pt>
                <c:pt idx="9">
                  <c:v>-9.6711798839466123E-4</c:v>
                </c:pt>
                <c:pt idx="10">
                  <c:v>1.757741347905295E-2</c:v>
                </c:pt>
                <c:pt idx="11">
                  <c:v>7.7369439071572899E-4</c:v>
                </c:pt>
                <c:pt idx="12">
                  <c:v>6.7698259187620957E-2</c:v>
                </c:pt>
                <c:pt idx="13">
                  <c:v>-5.7923497267759583E-2</c:v>
                </c:pt>
                <c:pt idx="14">
                  <c:v>9.8542805100182207E-2</c:v>
                </c:pt>
                <c:pt idx="15">
                  <c:v>3.6429872495458149E-4</c:v>
                </c:pt>
                <c:pt idx="16">
                  <c:v>5.9574468085106247E-2</c:v>
                </c:pt>
                <c:pt idx="17">
                  <c:v>-5.2823315118397107E-2</c:v>
                </c:pt>
                <c:pt idx="18">
                  <c:v>7.2859744990894093E-4</c:v>
                </c:pt>
                <c:pt idx="19">
                  <c:v>7.3887814313346123E-2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3A-49E8-872B-E8873D6F8777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Sheet1!$B$2:$B$39</c:f>
              <c:numCache>
                <c:formatCode>General</c:formatCode>
                <c:ptCount val="38"/>
                <c:pt idx="0">
                  <c:v>63010045</c:v>
                </c:pt>
                <c:pt idx="1">
                  <c:v>63010046</c:v>
                </c:pt>
                <c:pt idx="2">
                  <c:v>63010047</c:v>
                </c:pt>
                <c:pt idx="3">
                  <c:v>63010048</c:v>
                </c:pt>
                <c:pt idx="4">
                  <c:v>63010049</c:v>
                </c:pt>
                <c:pt idx="5">
                  <c:v>63010050</c:v>
                </c:pt>
                <c:pt idx="6">
                  <c:v>63010051</c:v>
                </c:pt>
                <c:pt idx="7">
                  <c:v>63010052</c:v>
                </c:pt>
                <c:pt idx="8">
                  <c:v>63010053</c:v>
                </c:pt>
                <c:pt idx="9">
                  <c:v>63010054</c:v>
                </c:pt>
                <c:pt idx="10">
                  <c:v>63010055</c:v>
                </c:pt>
                <c:pt idx="11">
                  <c:v>63010056</c:v>
                </c:pt>
                <c:pt idx="12">
                  <c:v>63010057</c:v>
                </c:pt>
                <c:pt idx="13">
                  <c:v>63010058</c:v>
                </c:pt>
                <c:pt idx="14">
                  <c:v>63010059</c:v>
                </c:pt>
                <c:pt idx="15">
                  <c:v>63010060</c:v>
                </c:pt>
                <c:pt idx="16">
                  <c:v>63010061</c:v>
                </c:pt>
                <c:pt idx="17">
                  <c:v>63010062</c:v>
                </c:pt>
                <c:pt idx="18">
                  <c:v>63010063</c:v>
                </c:pt>
                <c:pt idx="19">
                  <c:v>63010064</c:v>
                </c:pt>
                <c:pt idx="20">
                  <c:v>63010065</c:v>
                </c:pt>
                <c:pt idx="21">
                  <c:v>63010066</c:v>
                </c:pt>
                <c:pt idx="22">
                  <c:v>63010067</c:v>
                </c:pt>
                <c:pt idx="23">
                  <c:v>63010068</c:v>
                </c:pt>
                <c:pt idx="24">
                  <c:v>63010069</c:v>
                </c:pt>
                <c:pt idx="25">
                  <c:v>63010070</c:v>
                </c:pt>
                <c:pt idx="26">
                  <c:v>63010071</c:v>
                </c:pt>
                <c:pt idx="27">
                  <c:v>63010072</c:v>
                </c:pt>
                <c:pt idx="28">
                  <c:v>63010073</c:v>
                </c:pt>
                <c:pt idx="29">
                  <c:v>63010074</c:v>
                </c:pt>
                <c:pt idx="30">
                  <c:v>63010075</c:v>
                </c:pt>
                <c:pt idx="31">
                  <c:v>63010076</c:v>
                </c:pt>
                <c:pt idx="32">
                  <c:v>63010077</c:v>
                </c:pt>
                <c:pt idx="33">
                  <c:v>63010078</c:v>
                </c:pt>
                <c:pt idx="34">
                  <c:v>63010079</c:v>
                </c:pt>
                <c:pt idx="35">
                  <c:v>63010080</c:v>
                </c:pt>
                <c:pt idx="36">
                  <c:v>63010081</c:v>
                </c:pt>
                <c:pt idx="37">
                  <c:v>63010082</c:v>
                </c:pt>
              </c:numCache>
            </c:numRef>
          </c:xVal>
          <c:yVal>
            <c:numRef>
              <c:f>Sheet1!$H$2:$H$39</c:f>
              <c:numCache>
                <c:formatCode>0%</c:formatCode>
                <c:ptCount val="38"/>
                <c:pt idx="0">
                  <c:v>3.646833013435602E-3</c:v>
                </c:pt>
                <c:pt idx="1">
                  <c:v>-5.7005758157389619E-2</c:v>
                </c:pt>
                <c:pt idx="2">
                  <c:v>3.5964912280701755E-2</c:v>
                </c:pt>
                <c:pt idx="3">
                  <c:v>7.6775431861797472E-4</c:v>
                </c:pt>
                <c:pt idx="4">
                  <c:v>-0.13684210526315799</c:v>
                </c:pt>
                <c:pt idx="5">
                  <c:v>0.34078947368421053</c:v>
                </c:pt>
                <c:pt idx="6">
                  <c:v>4.3953934740882827E-2</c:v>
                </c:pt>
                <c:pt idx="7">
                  <c:v>7.4561403508770496E-3</c:v>
                </c:pt>
                <c:pt idx="8">
                  <c:v>-8.157389635316703E-2</c:v>
                </c:pt>
                <c:pt idx="9">
                  <c:v>-3.7280701754386025E-2</c:v>
                </c:pt>
                <c:pt idx="10">
                  <c:v>4.856046065259112E-2</c:v>
                </c:pt>
                <c:pt idx="11">
                  <c:v>-1.3157894736842701E-3</c:v>
                </c:pt>
                <c:pt idx="12">
                  <c:v>6.2280701754385825E-2</c:v>
                </c:pt>
                <c:pt idx="13">
                  <c:v>-0.11209213051823419</c:v>
                </c:pt>
                <c:pt idx="14">
                  <c:v>0.13800383877159295</c:v>
                </c:pt>
                <c:pt idx="15">
                  <c:v>9.596928982724684E-4</c:v>
                </c:pt>
                <c:pt idx="16">
                  <c:v>-3.2456140350877294E-2</c:v>
                </c:pt>
                <c:pt idx="17">
                  <c:v>-2.6679462571976953E-2</c:v>
                </c:pt>
                <c:pt idx="18">
                  <c:v>0</c:v>
                </c:pt>
                <c:pt idx="19">
                  <c:v>6.0087719298245634E-2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3A-49E8-872B-E8873D6F8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72416"/>
        <c:axId val="500978656"/>
      </c:scatterChart>
      <c:valAx>
        <c:axId val="50097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78656"/>
        <c:crosses val="autoZero"/>
        <c:crossBetween val="midCat"/>
      </c:valAx>
      <c:valAx>
        <c:axId val="5009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7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21431</xdr:colOff>
      <xdr:row>2</xdr:row>
      <xdr:rowOff>176213</xdr:rowOff>
    </xdr:from>
    <xdr:to>
      <xdr:col>22</xdr:col>
      <xdr:colOff>138113</xdr:colOff>
      <xdr:row>38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0F502C-F3B6-9905-A5EC-8566C7D6F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89E64-3534-4BEB-94D5-84F564842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0BF70-6526-48B5-92B8-D349DB7EE9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A5D7BA-87E9-424A-A1B4-D4C8BADD8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C0516-21BB-4DEA-B603-163C11040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F2E88D-3BA9-41BC-BB04-419407EB0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58E95-4DAF-4F74-A929-00B1122E86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1F50FE-3A7C-EEC6-7744-0241235EA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106334" y="42333"/>
          <a:ext cx="4106334" cy="109026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A8661-F2FE-44FE-8B03-AD997770E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4317A-B196-4F58-9FD2-7C2755DAC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20097-8C20-4A05-82C2-FD6D8048B2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56C75-E609-47C0-BDAC-FA4789144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62F2C4-8AAD-4083-A9BE-EAD11F64D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E9D52-7FF3-49A4-A912-ADE1AB4D5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65DB3A-96C8-41ED-A961-C924BFBBC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AC7303-DFD7-4AD7-AEC8-4AA6E6BD8C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81B8C-8951-4793-B66A-27925A5AC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58E3C0-4D11-4EC6-A7B8-DD8C25BA9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FC4EE-4833-497A-9CE7-61CD77A6AE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921BE-C829-4DBE-9879-9993E9D0D2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4387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8258B9-D015-41E4-98CA-20A2BCA69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mpfiltri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mpfiltri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mpfiltri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mpfiltri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www.mpfiltri.com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www.mpfiltri.com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://www.mpfiltri.com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://www.mpfiltri.com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://www.mpfiltri.com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://www.mpfiltri.com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://www.mpfiltri.com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://www.mpfiltri.com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://www.mpfiltri.com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://www.mpfiltri.com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http://www.mpfiltri.com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http://www.mpfiltri.com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http://www.mpfiltri.com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hyperlink" Target="http://www.mpfiltri.com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hyperlink" Target="http://www.mpfiltri.com/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hyperlink" Target="http://www.mpfiltr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6AE5-1360-4827-B741-2421859206A8}">
  <dimension ref="B2:V39"/>
  <sheetViews>
    <sheetView workbookViewId="0">
      <selection activeCell="G9" sqref="G9"/>
    </sheetView>
  </sheetViews>
  <sheetFormatPr defaultColWidth="9.265625" defaultRowHeight="14.25" x14ac:dyDescent="0.45"/>
  <cols>
    <col min="1" max="1" width="3.3984375" style="28" customWidth="1"/>
    <col min="2" max="2" width="14.73046875" style="28" bestFit="1" customWidth="1"/>
    <col min="3" max="3" width="11.1328125" style="28" customWidth="1"/>
    <col min="4" max="12" width="9.265625" style="28"/>
    <col min="13" max="13" width="4.73046875" style="28" customWidth="1"/>
    <col min="14" max="16384" width="9.265625" style="28"/>
  </cols>
  <sheetData>
    <row r="2" spans="2:22" x14ac:dyDescent="0.45"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/>
      <c r="N2" s="40" t="s">
        <v>1</v>
      </c>
      <c r="O2" s="40"/>
      <c r="P2" s="40"/>
      <c r="Q2" s="40"/>
      <c r="R2" s="40"/>
      <c r="S2" s="40"/>
      <c r="T2" s="40"/>
      <c r="U2" s="40"/>
      <c r="V2" s="40"/>
    </row>
    <row r="3" spans="2:22" x14ac:dyDescent="0.45"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N3" s="40"/>
      <c r="O3" s="40"/>
      <c r="P3" s="40"/>
      <c r="Q3" s="40"/>
      <c r="R3" s="40"/>
      <c r="S3" s="40"/>
      <c r="T3" s="40"/>
      <c r="U3" s="40"/>
      <c r="V3" s="40"/>
    </row>
    <row r="4" spans="2:22" x14ac:dyDescent="0.45">
      <c r="B4" s="25" t="s">
        <v>2</v>
      </c>
      <c r="C4" s="25" t="s">
        <v>3</v>
      </c>
      <c r="D4" s="25">
        <v>4</v>
      </c>
      <c r="E4" s="25">
        <v>6</v>
      </c>
      <c r="F4" s="25">
        <v>10</v>
      </c>
      <c r="G4" s="25">
        <v>14</v>
      </c>
      <c r="H4" s="25">
        <v>21</v>
      </c>
      <c r="I4" s="25">
        <v>25</v>
      </c>
      <c r="J4" s="25">
        <v>38</v>
      </c>
      <c r="K4" s="25">
        <v>50</v>
      </c>
      <c r="L4" s="25">
        <v>70</v>
      </c>
      <c r="N4" s="25">
        <v>4</v>
      </c>
      <c r="O4" s="25">
        <v>6</v>
      </c>
      <c r="P4" s="25">
        <v>10</v>
      </c>
      <c r="Q4" s="25">
        <v>14</v>
      </c>
      <c r="R4" s="25">
        <v>21</v>
      </c>
      <c r="S4" s="25">
        <v>25</v>
      </c>
      <c r="T4" s="25">
        <v>38</v>
      </c>
      <c r="U4" s="25">
        <v>50</v>
      </c>
      <c r="V4" s="25">
        <v>70</v>
      </c>
    </row>
    <row r="5" spans="2:22" x14ac:dyDescent="0.45">
      <c r="B5" s="38">
        <v>63010066</v>
      </c>
      <c r="C5" s="27" t="s">
        <v>4</v>
      </c>
      <c r="D5" s="27">
        <v>78</v>
      </c>
      <c r="E5" s="27">
        <v>186</v>
      </c>
      <c r="F5" s="27">
        <v>522</v>
      </c>
      <c r="G5" s="27">
        <v>1012</v>
      </c>
      <c r="H5" s="27">
        <v>2072</v>
      </c>
      <c r="I5" s="34">
        <v>3097</v>
      </c>
      <c r="J5" s="37">
        <v>10183</v>
      </c>
      <c r="K5" s="37">
        <v>15921</v>
      </c>
      <c r="L5" s="37">
        <v>24781</v>
      </c>
      <c r="N5" s="27">
        <v>1057464</v>
      </c>
      <c r="O5" s="27">
        <v>459753</v>
      </c>
      <c r="P5" s="27">
        <v>104698</v>
      </c>
      <c r="Q5" s="27">
        <v>1012</v>
      </c>
      <c r="R5" s="27">
        <v>2072</v>
      </c>
      <c r="S5" s="27">
        <v>4776</v>
      </c>
      <c r="T5" s="27" t="s">
        <v>5</v>
      </c>
      <c r="U5" s="27" t="s">
        <v>5</v>
      </c>
      <c r="V5" s="27" t="s">
        <v>5</v>
      </c>
    </row>
    <row r="6" spans="2:22" x14ac:dyDescent="0.45">
      <c r="B6" s="38">
        <v>63010067</v>
      </c>
      <c r="C6" s="27" t="s">
        <v>4</v>
      </c>
      <c r="D6" s="27">
        <v>76</v>
      </c>
      <c r="E6" s="27">
        <v>180</v>
      </c>
      <c r="F6" s="27">
        <v>508</v>
      </c>
      <c r="G6" s="27">
        <v>994</v>
      </c>
      <c r="H6" s="27">
        <v>2074</v>
      </c>
      <c r="I6" s="35">
        <v>3050</v>
      </c>
      <c r="J6" s="37">
        <v>9964</v>
      </c>
      <c r="K6" s="37">
        <v>16287</v>
      </c>
      <c r="L6" s="37">
        <v>25144</v>
      </c>
      <c r="N6" s="27">
        <v>1064210</v>
      </c>
      <c r="O6" s="27">
        <v>459529</v>
      </c>
      <c r="P6" s="27">
        <v>106782</v>
      </c>
      <c r="Q6" s="27">
        <v>36466</v>
      </c>
      <c r="R6" s="27">
        <v>10948</v>
      </c>
      <c r="S6" s="27">
        <v>5210</v>
      </c>
      <c r="T6" s="27" t="s">
        <v>5</v>
      </c>
      <c r="U6" s="27" t="s">
        <v>5</v>
      </c>
      <c r="V6" s="27" t="s">
        <v>5</v>
      </c>
    </row>
    <row r="7" spans="2:22" x14ac:dyDescent="0.45">
      <c r="B7" s="29"/>
      <c r="C7" s="27"/>
      <c r="D7" s="27"/>
      <c r="E7" s="27"/>
      <c r="F7" s="27"/>
      <c r="G7" s="27"/>
      <c r="H7" s="27"/>
      <c r="I7" s="35"/>
      <c r="J7" s="37">
        <v>10301</v>
      </c>
      <c r="K7" s="37">
        <v>15776</v>
      </c>
      <c r="L7" s="37">
        <v>24523</v>
      </c>
      <c r="N7" s="27"/>
      <c r="O7" s="27"/>
      <c r="P7" s="27"/>
      <c r="Q7" s="27"/>
      <c r="R7" s="27"/>
      <c r="S7" s="27"/>
      <c r="T7" s="27"/>
      <c r="U7" s="27"/>
      <c r="V7" s="27"/>
    </row>
    <row r="8" spans="2:22" s="30" customFormat="1" x14ac:dyDescent="0.45">
      <c r="B8" s="29"/>
      <c r="C8" s="29"/>
      <c r="D8" s="29"/>
      <c r="E8" s="29"/>
      <c r="F8" s="29"/>
      <c r="G8" s="29"/>
      <c r="H8" s="29"/>
      <c r="I8" s="35"/>
      <c r="J8" s="37">
        <v>9887</v>
      </c>
      <c r="K8" s="37">
        <v>16401</v>
      </c>
      <c r="L8" s="37">
        <v>25376</v>
      </c>
      <c r="N8" s="29"/>
      <c r="O8" s="29"/>
      <c r="P8" s="29"/>
      <c r="Q8" s="29"/>
      <c r="R8" s="29"/>
      <c r="S8" s="29"/>
      <c r="T8" s="29"/>
      <c r="U8" s="29"/>
      <c r="V8" s="29"/>
    </row>
    <row r="9" spans="2:22" x14ac:dyDescent="0.45">
      <c r="B9" s="29"/>
      <c r="C9" s="27"/>
      <c r="D9" s="27"/>
      <c r="E9" s="27"/>
      <c r="F9" s="27"/>
      <c r="G9" s="27"/>
      <c r="H9" s="27"/>
      <c r="I9" s="35"/>
      <c r="J9" s="37">
        <v>10126</v>
      </c>
      <c r="K9" s="37">
        <v>15693</v>
      </c>
      <c r="L9" s="37">
        <v>24912</v>
      </c>
      <c r="N9" s="27"/>
      <c r="O9" s="27"/>
      <c r="P9" s="27"/>
      <c r="Q9" s="27"/>
      <c r="R9" s="27"/>
      <c r="S9" s="27"/>
      <c r="T9" s="27"/>
      <c r="U9" s="27"/>
      <c r="V9" s="27"/>
    </row>
    <row r="10" spans="2:22" x14ac:dyDescent="0.45">
      <c r="B10" s="29"/>
      <c r="C10" s="27"/>
      <c r="D10" s="27"/>
      <c r="E10" s="27"/>
      <c r="F10" s="27"/>
      <c r="G10" s="27"/>
      <c r="H10" s="27"/>
      <c r="I10" s="35"/>
      <c r="J10" s="37">
        <v>10249</v>
      </c>
      <c r="K10" s="37">
        <v>16114</v>
      </c>
      <c r="L10" s="37">
        <v>25502</v>
      </c>
      <c r="N10" s="27"/>
      <c r="O10" s="27"/>
      <c r="P10" s="27"/>
      <c r="Q10" s="27"/>
      <c r="R10" s="27"/>
      <c r="S10" s="27"/>
      <c r="T10" s="27"/>
      <c r="U10" s="27"/>
      <c r="V10" s="27"/>
    </row>
    <row r="11" spans="2:22" x14ac:dyDescent="0.45">
      <c r="B11" s="29"/>
      <c r="C11" s="27"/>
      <c r="D11" s="27"/>
      <c r="E11" s="27"/>
      <c r="F11" s="27"/>
      <c r="G11" s="27"/>
      <c r="H11" s="27"/>
      <c r="I11" s="35"/>
      <c r="J11" s="37">
        <v>9926</v>
      </c>
      <c r="K11" s="37">
        <v>15882</v>
      </c>
      <c r="L11" s="37">
        <v>24367</v>
      </c>
      <c r="N11" s="27"/>
      <c r="O11" s="27"/>
      <c r="P11" s="27"/>
      <c r="Q11" s="27"/>
      <c r="R11" s="27"/>
      <c r="S11" s="27"/>
      <c r="T11" s="27"/>
      <c r="U11" s="27"/>
      <c r="V11" s="27"/>
    </row>
    <row r="12" spans="2:22" x14ac:dyDescent="0.45">
      <c r="B12" s="29"/>
      <c r="C12" s="27"/>
      <c r="D12" s="27"/>
      <c r="E12" s="27"/>
      <c r="F12" s="27"/>
      <c r="G12" s="27"/>
      <c r="H12" s="27"/>
      <c r="I12" s="35"/>
      <c r="J12" s="37">
        <v>10314</v>
      </c>
      <c r="K12" s="37">
        <v>16352</v>
      </c>
      <c r="L12" s="37">
        <v>25228</v>
      </c>
      <c r="N12" s="27"/>
      <c r="O12" s="27"/>
      <c r="P12" s="27"/>
      <c r="Q12" s="27"/>
      <c r="R12" s="27"/>
      <c r="S12" s="27"/>
      <c r="T12" s="27"/>
      <c r="U12" s="27"/>
      <c r="V12" s="27"/>
    </row>
    <row r="13" spans="2:22" x14ac:dyDescent="0.45">
      <c r="B13" s="29"/>
      <c r="C13" s="27"/>
      <c r="D13" s="27"/>
      <c r="E13" s="27"/>
      <c r="F13" s="27"/>
      <c r="G13" s="27"/>
      <c r="H13" s="27"/>
      <c r="I13" s="35"/>
      <c r="J13" s="37">
        <v>10041</v>
      </c>
      <c r="K13" s="37">
        <v>15731</v>
      </c>
      <c r="L13" s="37">
        <v>24689</v>
      </c>
      <c r="N13" s="27"/>
      <c r="O13" s="27"/>
      <c r="P13" s="27"/>
      <c r="Q13" s="27"/>
      <c r="R13" s="27"/>
      <c r="S13" s="27"/>
      <c r="T13" s="27"/>
      <c r="U13" s="27"/>
      <c r="V13" s="27"/>
    </row>
    <row r="14" spans="2:22" x14ac:dyDescent="0.45">
      <c r="B14" s="29"/>
      <c r="C14" s="27"/>
      <c r="D14" s="27"/>
      <c r="E14" s="27"/>
      <c r="F14" s="27"/>
      <c r="G14" s="27"/>
      <c r="H14" s="27"/>
      <c r="I14" s="35"/>
      <c r="J14" s="37">
        <v>9853</v>
      </c>
      <c r="K14" s="37">
        <v>16228</v>
      </c>
      <c r="L14" s="37">
        <v>25551</v>
      </c>
      <c r="N14" s="27"/>
      <c r="O14" s="27"/>
      <c r="P14" s="27"/>
      <c r="Q14" s="27"/>
      <c r="R14" s="27"/>
      <c r="S14" s="27"/>
      <c r="T14" s="27"/>
      <c r="U14" s="27"/>
      <c r="V14" s="27"/>
    </row>
    <row r="15" spans="2:22" x14ac:dyDescent="0.45">
      <c r="B15" s="29"/>
      <c r="C15" s="27"/>
      <c r="D15" s="27"/>
      <c r="E15" s="27"/>
      <c r="F15" s="27"/>
      <c r="G15" s="27"/>
      <c r="H15" s="27"/>
      <c r="I15" s="34"/>
      <c r="J15" s="37">
        <v>10217</v>
      </c>
      <c r="K15" s="37">
        <v>16276</v>
      </c>
      <c r="L15" s="37">
        <v>24441</v>
      </c>
      <c r="N15" s="27"/>
      <c r="O15" s="27"/>
      <c r="P15" s="27"/>
      <c r="Q15" s="27"/>
      <c r="R15" s="27"/>
      <c r="S15" s="27"/>
      <c r="T15" s="27"/>
      <c r="U15" s="27"/>
      <c r="V15" s="27"/>
    </row>
    <row r="16" spans="2:22" x14ac:dyDescent="0.45">
      <c r="B16" s="29"/>
      <c r="C16" s="27"/>
      <c r="D16" s="27"/>
      <c r="E16" s="27"/>
      <c r="F16" s="27"/>
      <c r="G16" s="27"/>
      <c r="H16" s="27"/>
      <c r="I16" s="35"/>
      <c r="J16" s="37">
        <v>9874</v>
      </c>
      <c r="K16" s="37">
        <v>15648</v>
      </c>
      <c r="L16" s="37">
        <v>25061</v>
      </c>
      <c r="N16" s="27"/>
      <c r="O16" s="27"/>
      <c r="P16" s="27"/>
      <c r="Q16" s="27"/>
      <c r="R16" s="27"/>
      <c r="S16" s="27"/>
      <c r="T16" s="27"/>
      <c r="U16" s="27"/>
      <c r="V16" s="27"/>
    </row>
    <row r="17" spans="2:22" x14ac:dyDescent="0.45">
      <c r="B17" s="29"/>
      <c r="C17" s="27"/>
      <c r="D17" s="27"/>
      <c r="E17" s="27"/>
      <c r="F17" s="27"/>
      <c r="G17" s="27"/>
      <c r="H17" s="27"/>
      <c r="I17" s="35"/>
      <c r="J17" s="37">
        <v>10296</v>
      </c>
      <c r="K17" s="37">
        <v>16082</v>
      </c>
      <c r="L17" s="37">
        <v>25407</v>
      </c>
      <c r="N17" s="27"/>
      <c r="O17" s="27"/>
      <c r="P17" s="27"/>
      <c r="Q17" s="27"/>
      <c r="R17" s="27"/>
      <c r="S17" s="27"/>
      <c r="T17" s="27"/>
      <c r="U17" s="27"/>
      <c r="V17" s="27"/>
    </row>
    <row r="18" spans="2:22" x14ac:dyDescent="0.45">
      <c r="B18" s="29"/>
      <c r="C18" s="27"/>
      <c r="D18" s="27"/>
      <c r="E18" s="27"/>
      <c r="F18" s="27"/>
      <c r="G18" s="27"/>
      <c r="H18" s="27"/>
      <c r="I18" s="35"/>
      <c r="J18" s="37">
        <v>10008</v>
      </c>
      <c r="K18" s="37">
        <v>16418</v>
      </c>
      <c r="L18" s="37">
        <v>24602</v>
      </c>
      <c r="N18" s="27"/>
      <c r="O18" s="27"/>
      <c r="P18" s="27"/>
      <c r="Q18" s="27"/>
      <c r="R18" s="27"/>
      <c r="S18" s="27"/>
      <c r="T18" s="27"/>
      <c r="U18" s="27"/>
      <c r="V18" s="27"/>
    </row>
    <row r="19" spans="2:22" x14ac:dyDescent="0.45">
      <c r="B19" s="29"/>
      <c r="C19" s="27"/>
      <c r="D19" s="27"/>
      <c r="E19" s="27"/>
      <c r="F19" s="27"/>
      <c r="G19" s="27"/>
      <c r="H19" s="27"/>
      <c r="I19" s="35"/>
      <c r="J19" s="37">
        <v>10154</v>
      </c>
      <c r="K19" s="37">
        <v>15872</v>
      </c>
      <c r="L19" s="37">
        <v>25309</v>
      </c>
      <c r="N19" s="27"/>
      <c r="O19" s="27"/>
      <c r="P19" s="27"/>
      <c r="Q19" s="27"/>
      <c r="R19" s="27"/>
      <c r="S19" s="27"/>
      <c r="T19" s="27"/>
      <c r="U19" s="27"/>
      <c r="V19" s="27"/>
    </row>
    <row r="20" spans="2:22" x14ac:dyDescent="0.45">
      <c r="B20" s="36"/>
      <c r="C20" s="27"/>
      <c r="D20" s="27"/>
      <c r="E20" s="27"/>
      <c r="F20" s="27"/>
      <c r="G20" s="27"/>
      <c r="H20" s="27"/>
      <c r="I20" s="35"/>
      <c r="J20" s="37">
        <v>9938</v>
      </c>
      <c r="K20" s="37">
        <v>16215</v>
      </c>
      <c r="L20" s="37">
        <v>24388</v>
      </c>
      <c r="N20" s="27"/>
      <c r="O20" s="27"/>
      <c r="P20" s="27"/>
      <c r="Q20" s="27"/>
      <c r="R20" s="27"/>
      <c r="S20" s="27"/>
      <c r="T20" s="27"/>
      <c r="U20" s="27"/>
      <c r="V20" s="27"/>
    </row>
    <row r="21" spans="2:22" x14ac:dyDescent="0.45">
      <c r="B21" s="29"/>
      <c r="C21" s="27"/>
      <c r="D21" s="27"/>
      <c r="E21" s="27"/>
      <c r="F21" s="27"/>
      <c r="G21" s="27"/>
      <c r="H21" s="27"/>
      <c r="I21" s="35"/>
      <c r="J21" s="37">
        <v>10311</v>
      </c>
      <c r="K21" s="37">
        <v>15734</v>
      </c>
      <c r="L21" s="37">
        <v>25536</v>
      </c>
      <c r="N21" s="27"/>
      <c r="O21" s="27"/>
      <c r="P21" s="27"/>
      <c r="Q21" s="27"/>
      <c r="R21" s="27"/>
      <c r="S21" s="27"/>
      <c r="T21" s="27"/>
      <c r="U21" s="27"/>
      <c r="V21" s="27"/>
    </row>
    <row r="22" spans="2:22" x14ac:dyDescent="0.45">
      <c r="B22" s="29"/>
      <c r="C22" s="27"/>
      <c r="D22" s="27"/>
      <c r="E22" s="27"/>
      <c r="F22" s="27"/>
      <c r="G22" s="27"/>
      <c r="H22" s="27"/>
      <c r="I22" s="35"/>
      <c r="J22" s="37">
        <v>9840</v>
      </c>
      <c r="K22" s="37">
        <v>16332</v>
      </c>
      <c r="L22" s="37">
        <v>24723</v>
      </c>
      <c r="N22" s="27"/>
      <c r="O22" s="27"/>
      <c r="P22" s="27"/>
      <c r="Q22" s="27"/>
      <c r="R22" s="27"/>
      <c r="S22" s="27"/>
      <c r="T22" s="27"/>
      <c r="U22" s="27"/>
      <c r="V22" s="27"/>
    </row>
    <row r="23" spans="2:22" x14ac:dyDescent="0.45">
      <c r="B23" s="29"/>
      <c r="C23" s="27"/>
      <c r="D23" s="27"/>
      <c r="E23" s="27"/>
      <c r="F23" s="27"/>
      <c r="G23" s="27"/>
      <c r="H23" s="27"/>
      <c r="I23" s="35"/>
      <c r="J23" s="37">
        <v>10187</v>
      </c>
      <c r="K23" s="37">
        <v>15905</v>
      </c>
      <c r="L23" s="37">
        <v>25124</v>
      </c>
      <c r="N23" s="27"/>
      <c r="O23" s="27"/>
      <c r="P23" s="27"/>
      <c r="Q23" s="27"/>
      <c r="R23" s="27"/>
      <c r="S23" s="27"/>
      <c r="T23" s="27"/>
      <c r="U23" s="27"/>
      <c r="V23" s="27"/>
    </row>
    <row r="24" spans="2:22" x14ac:dyDescent="0.45">
      <c r="B24" s="29"/>
      <c r="C24" s="27"/>
      <c r="D24" s="27"/>
      <c r="E24" s="27"/>
      <c r="F24" s="27"/>
      <c r="G24" s="27"/>
      <c r="H24" s="27"/>
      <c r="I24" s="35"/>
      <c r="J24" s="37">
        <v>10058</v>
      </c>
      <c r="K24" s="37">
        <v>16391</v>
      </c>
      <c r="L24" s="37">
        <v>24467</v>
      </c>
      <c r="N24" s="27"/>
      <c r="O24" s="27"/>
      <c r="P24" s="27"/>
      <c r="Q24" s="27"/>
      <c r="R24" s="27"/>
      <c r="S24" s="27"/>
      <c r="T24" s="27"/>
      <c r="U24" s="27"/>
      <c r="V24" s="27"/>
    </row>
    <row r="25" spans="2:22" x14ac:dyDescent="0.45">
      <c r="J25" s="28">
        <v>10072</v>
      </c>
      <c r="K25" s="28">
        <v>16030</v>
      </c>
      <c r="L25" s="28">
        <v>24934</v>
      </c>
    </row>
    <row r="26" spans="2:22" hidden="1" x14ac:dyDescent="0.45"/>
    <row r="27" spans="2:22" hidden="1" x14ac:dyDescent="0.45"/>
    <row r="28" spans="2:22" x14ac:dyDescent="0.45">
      <c r="T28" s="31"/>
      <c r="U28" s="31"/>
    </row>
    <row r="29" spans="2:22" x14ac:dyDescent="0.45">
      <c r="B29" s="32" t="s">
        <v>6</v>
      </c>
      <c r="C29" s="32"/>
      <c r="D29" s="41" t="s">
        <v>7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31"/>
      <c r="U29" s="31"/>
      <c r="V29" s="31"/>
    </row>
    <row r="30" spans="2:22" x14ac:dyDescent="0.45">
      <c r="B30" s="28" t="s">
        <v>8</v>
      </c>
      <c r="D30" s="39" t="s">
        <v>9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1"/>
      <c r="U30" s="31"/>
      <c r="V30" s="31"/>
    </row>
    <row r="31" spans="2:22" x14ac:dyDescent="0.45">
      <c r="B31" s="28" t="s">
        <v>10</v>
      </c>
      <c r="D31" s="39" t="s">
        <v>11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1"/>
      <c r="U31" s="31"/>
      <c r="V31" s="31"/>
    </row>
    <row r="32" spans="2:22" x14ac:dyDescent="0.45">
      <c r="B32" s="28" t="s">
        <v>12</v>
      </c>
      <c r="D32" s="33" t="s">
        <v>13</v>
      </c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1"/>
      <c r="U32" s="31"/>
      <c r="V32" s="31"/>
    </row>
    <row r="33" spans="2:22" ht="14.65" customHeight="1" x14ac:dyDescent="0.45">
      <c r="B33" s="28" t="s">
        <v>14</v>
      </c>
      <c r="D33" s="39" t="s">
        <v>15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1"/>
      <c r="U33" s="31"/>
      <c r="V33" s="31"/>
    </row>
    <row r="34" spans="2:22" x14ac:dyDescent="0.45">
      <c r="B34" s="28" t="s">
        <v>16</v>
      </c>
      <c r="D34" s="39" t="s">
        <v>17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1"/>
      <c r="U34" s="31"/>
      <c r="V34" s="31"/>
    </row>
    <row r="35" spans="2:22" ht="14.65" customHeight="1" x14ac:dyDescent="0.45">
      <c r="B35" s="28" t="s">
        <v>18</v>
      </c>
      <c r="D35" s="39" t="s">
        <v>19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1"/>
      <c r="U35" s="31"/>
    </row>
    <row r="36" spans="2:22" x14ac:dyDescent="0.45">
      <c r="B36" s="28" t="s">
        <v>20</v>
      </c>
      <c r="D36" s="39" t="s">
        <v>21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1"/>
      <c r="U36" s="31"/>
    </row>
    <row r="37" spans="2:22" x14ac:dyDescent="0.45">
      <c r="B37" s="28" t="s">
        <v>22</v>
      </c>
      <c r="D37" s="42" t="s">
        <v>23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</row>
    <row r="38" spans="2:22" x14ac:dyDescent="0.45">
      <c r="B38" s="28" t="s">
        <v>22</v>
      </c>
      <c r="D38" s="39" t="s">
        <v>24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</row>
    <row r="39" spans="2:22" x14ac:dyDescent="0.45">
      <c r="B39" s="28" t="s">
        <v>25</v>
      </c>
      <c r="D39" s="39" t="s">
        <v>26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</row>
  </sheetData>
  <mergeCells count="12">
    <mergeCell ref="D39:S39"/>
    <mergeCell ref="B2:L3"/>
    <mergeCell ref="N2:V3"/>
    <mergeCell ref="D29:S29"/>
    <mergeCell ref="D30:S30"/>
    <mergeCell ref="D31:S31"/>
    <mergeCell ref="D33:S33"/>
    <mergeCell ref="D34:S34"/>
    <mergeCell ref="D35:S35"/>
    <mergeCell ref="D36:S36"/>
    <mergeCell ref="D37:S37"/>
    <mergeCell ref="D38:S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95ED-704B-4F99-AD01-F0D2B0B64FF4}">
  <dimension ref="A1:K39"/>
  <sheetViews>
    <sheetView tabSelected="1" zoomScaleNormal="100" workbookViewId="0">
      <selection activeCell="I26" sqref="I26"/>
    </sheetView>
  </sheetViews>
  <sheetFormatPr defaultRowHeight="14.25" x14ac:dyDescent="0.45"/>
  <cols>
    <col min="1" max="1" width="20.265625" bestFit="1" customWidth="1"/>
  </cols>
  <sheetData>
    <row r="1" spans="1:11" x14ac:dyDescent="0.45">
      <c r="C1">
        <v>4</v>
      </c>
      <c r="D1">
        <v>6</v>
      </c>
      <c r="E1">
        <v>10</v>
      </c>
      <c r="F1">
        <v>14</v>
      </c>
      <c r="G1">
        <v>21</v>
      </c>
      <c r="H1">
        <v>25</v>
      </c>
      <c r="I1">
        <v>38</v>
      </c>
      <c r="J1">
        <v>50</v>
      </c>
      <c r="K1">
        <v>70</v>
      </c>
    </row>
    <row r="2" spans="1:11" x14ac:dyDescent="0.45">
      <c r="A2" t="s">
        <v>77</v>
      </c>
      <c r="B2">
        <v>63010045</v>
      </c>
      <c r="C2" s="70">
        <f ca="1">IFERROR( INDIRECT("'"&amp;$A2&amp;"'!E"&amp;(27+COLUMN()-COLUMN($C$2))) /INDIRECT("'"&amp;$A2&amp;"'!D"&amp;(27+COLUMN()-COLUMN($C$2)))-1, "")</f>
        <v>-8.21044646326341E-3</v>
      </c>
      <c r="D2" s="70">
        <f ca="1">IFERROR( INDIRECT("'"&amp;$A2&amp;"'!E"&amp;(27+COLUMN()-COLUMN($C$2))) /INDIRECT("'"&amp;$A2&amp;"'!D"&amp;(27+COLUMN()-COLUMN($C$2)))-1, "")</f>
        <v>-1.7019170772639702E-3</v>
      </c>
      <c r="E2" s="70">
        <f ca="1">IFERROR( INDIRECT("'"&amp;$A2&amp;"'!E"&amp;(27+COLUMN()-COLUMN($C$2))) /INDIRECT("'"&amp;$A2&amp;"'!D"&amp;(27+COLUMN()-COLUMN($C$2)))-1, "")</f>
        <v>-6.9347482081355549E-3</v>
      </c>
      <c r="F2" s="70">
        <f ca="1">IFERROR( INDIRECT("'"&amp;$A2&amp;"'!E"&amp;(27+COLUMN()-COLUMN($C$2))) /INDIRECT("'"&amp;$A2&amp;"'!D"&amp;(27+COLUMN()-COLUMN($C$2)))-1, "")</f>
        <v>-7.3324213406292804E-3</v>
      </c>
      <c r="G2" s="70">
        <f ca="1">IFERROR( INDIRECT("'"&amp;$A2&amp;"'!E"&amp;(27+COLUMN()-COLUMN($C$2))) /INDIRECT("'"&amp;$A2&amp;"'!D"&amp;(27+COLUMN()-COLUMN($C$2)))-1, "")</f>
        <v>-5.4644808743176121E-4</v>
      </c>
      <c r="H2" s="70">
        <f ca="1">IFERROR( INDIRECT("'"&amp;$A2&amp;"'!E"&amp;(27+COLUMN()-COLUMN($C$2))) /INDIRECT("'"&amp;$A2&amp;"'!D"&amp;(27+COLUMN()-COLUMN($C$2)))-1, "")</f>
        <v>3.646833013435602E-3</v>
      </c>
      <c r="I2" s="70" t="str">
        <f ca="1">IFERROR( INDIRECT("'"&amp;$A2&amp;"'!E"&amp;(27+COLUMN()-COLUMN($C$2))) /INDIRECT("'"&amp;$A2&amp;"'!D"&amp;(27+COLUMN()-COLUMN($C$2)))-1, "")</f>
        <v/>
      </c>
      <c r="J2" s="70" t="str">
        <f ca="1">IFERROR( INDIRECT("'"&amp;$A2&amp;"'!E"&amp;(27+COLUMN()-COLUMN($C$2))) /INDIRECT("'"&amp;$A2&amp;"'!D"&amp;(27+COLUMN()-COLUMN($C$2)))-1, "")</f>
        <v/>
      </c>
      <c r="K2" s="70" t="str">
        <f ca="1">IFERROR( INDIRECT("'"&amp;$A2&amp;"'!E"&amp;(27+COLUMN()-COLUMN($C$2))) /INDIRECT("'"&amp;$A2&amp;"'!D"&amp;(27+COLUMN()-COLUMN($C$2)))-1, "")</f>
        <v/>
      </c>
    </row>
    <row r="3" spans="1:11" x14ac:dyDescent="0.45">
      <c r="A3" t="s">
        <v>78</v>
      </c>
      <c r="B3">
        <v>63010046</v>
      </c>
      <c r="C3" s="70">
        <f ca="1">IFERROR( INDIRECT("'"&amp;$A3&amp;"'!E"&amp;(27+COLUMN()-COLUMN($C$2))) /INDIRECT("'"&amp;$A3&amp;"'!D"&amp;(27+COLUMN()-COLUMN($C$2)))-1, "")</f>
        <v>1.3703813347641924E-2</v>
      </c>
      <c r="D3" s="70">
        <f ca="1">IFERROR( INDIRECT("'"&amp;$A3&amp;"'!E"&amp;(27+COLUMN()-COLUMN($C$2))) /INDIRECT("'"&amp;$A3&amp;"'!D"&amp;(27+COLUMN()-COLUMN($C$2)))-1, "")</f>
        <v>-1.8417711986572494E-3</v>
      </c>
      <c r="E3" s="70">
        <f ca="1">IFERROR( INDIRECT("'"&amp;$A3&amp;"'!E"&amp;(27+COLUMN()-COLUMN($C$2))) /INDIRECT("'"&amp;$A3&amp;"'!D"&amp;(27+COLUMN()-COLUMN($C$2)))-1, "")</f>
        <v>4.8682863259796871E-3</v>
      </c>
      <c r="F3" s="70">
        <f ca="1">IFERROR( INDIRECT("'"&amp;$A3&amp;"'!E"&amp;(27+COLUMN()-COLUMN($C$2))) /INDIRECT("'"&amp;$A3&amp;"'!D"&amp;(27+COLUMN()-COLUMN($C$2)))-1, "")</f>
        <v>-1.8878248974008138E-2</v>
      </c>
      <c r="G3" s="70">
        <f ca="1">IFERROR( INDIRECT("'"&amp;$A3&amp;"'!E"&amp;(27+COLUMN()-COLUMN($C$2))) /INDIRECT("'"&amp;$A3&amp;"'!D"&amp;(27+COLUMN()-COLUMN($C$2)))-1, "")</f>
        <v>-4.1530054644808745E-2</v>
      </c>
      <c r="H3" s="70">
        <f ca="1">IFERROR( INDIRECT("'"&amp;$A3&amp;"'!E"&amp;(27+COLUMN()-COLUMN($C$2))) /INDIRECT("'"&amp;$A3&amp;"'!D"&amp;(27+COLUMN()-COLUMN($C$2)))-1, "")</f>
        <v>-5.7005758157389619E-2</v>
      </c>
      <c r="I3" s="70" t="str">
        <f ca="1">IFERROR( INDIRECT("'"&amp;$A3&amp;"'!E"&amp;(27+COLUMN()-COLUMN($C$2))) /INDIRECT("'"&amp;$A3&amp;"'!D"&amp;(27+COLUMN()-COLUMN($C$2)))-1, "")</f>
        <v/>
      </c>
      <c r="J3" s="70" t="str">
        <f ca="1">IFERROR( INDIRECT("'"&amp;$A3&amp;"'!E"&amp;(27+COLUMN()-COLUMN($C$2))) /INDIRECT("'"&amp;$A3&amp;"'!D"&amp;(27+COLUMN()-COLUMN($C$2)))-1, "")</f>
        <v/>
      </c>
      <c r="K3" s="70" t="str">
        <f ca="1">IFERROR( INDIRECT("'"&amp;$A3&amp;"'!E"&amp;(27+COLUMN()-COLUMN($C$2))) /INDIRECT("'"&amp;$A3&amp;"'!D"&amp;(27+COLUMN()-COLUMN($C$2)))-1, "")</f>
        <v/>
      </c>
    </row>
    <row r="4" spans="1:11" x14ac:dyDescent="0.45">
      <c r="A4" t="s">
        <v>79</v>
      </c>
      <c r="B4">
        <v>63010047</v>
      </c>
      <c r="C4" s="70">
        <f ca="1">IFERROR( INDIRECT("'"&amp;$A4&amp;"'!E"&amp;(27+COLUMN()-COLUMN($C$2))) /INDIRECT("'"&amp;$A4&amp;"'!D"&amp;(27+COLUMN()-COLUMN($C$2)))-1, "")</f>
        <v>-3.1125270497715851E-2</v>
      </c>
      <c r="D4" s="70">
        <f ca="1">IFERROR( INDIRECT("'"&amp;$A4&amp;"'!E"&amp;(27+COLUMN()-COLUMN($C$2))) /INDIRECT("'"&amp;$A4&amp;"'!D"&amp;(27+COLUMN()-COLUMN($C$2)))-1, "")</f>
        <v>-3.6020639834881463E-2</v>
      </c>
      <c r="E4" s="70">
        <f ca="1">IFERROR( INDIRECT("'"&amp;$A4&amp;"'!E"&amp;(27+COLUMN()-COLUMN($C$2))) /INDIRECT("'"&amp;$A4&amp;"'!D"&amp;(27+COLUMN()-COLUMN($C$2)))-1, "")</f>
        <v>-4.8731151158514119E-2</v>
      </c>
      <c r="F4" s="70">
        <f ca="1">IFERROR( INDIRECT("'"&amp;$A4&amp;"'!E"&amp;(27+COLUMN()-COLUMN($C$2))) /INDIRECT("'"&amp;$A4&amp;"'!D"&amp;(27+COLUMN()-COLUMN($C$2)))-1, "")</f>
        <v>-3.967123287671237E-2</v>
      </c>
      <c r="G4" s="70">
        <f ca="1">IFERROR( INDIRECT("'"&amp;$A4&amp;"'!E"&amp;(27+COLUMN()-COLUMN($C$2))) /INDIRECT("'"&amp;$A4&amp;"'!D"&amp;(27+COLUMN()-COLUMN($C$2)))-1, "")</f>
        <v>1.3926499032882012E-2</v>
      </c>
      <c r="H4" s="70">
        <f ca="1">IFERROR( INDIRECT("'"&amp;$A4&amp;"'!E"&amp;(27+COLUMN()-COLUMN($C$2))) /INDIRECT("'"&amp;$A4&amp;"'!D"&amp;(27+COLUMN()-COLUMN($C$2)))-1, "")</f>
        <v>3.5964912280701755E-2</v>
      </c>
      <c r="I4" s="70" t="str">
        <f ca="1">IFERROR( INDIRECT("'"&amp;$A4&amp;"'!E"&amp;(27+COLUMN()-COLUMN($C$2))) /INDIRECT("'"&amp;$A4&amp;"'!D"&amp;(27+COLUMN()-COLUMN($C$2)))-1, "")</f>
        <v/>
      </c>
      <c r="J4" s="70" t="str">
        <f ca="1">IFERROR( INDIRECT("'"&amp;$A4&amp;"'!E"&amp;(27+COLUMN()-COLUMN($C$2))) /INDIRECT("'"&amp;$A4&amp;"'!D"&amp;(27+COLUMN()-COLUMN($C$2)))-1, "")</f>
        <v/>
      </c>
      <c r="K4" s="70" t="str">
        <f ca="1">IFERROR( INDIRECT("'"&amp;$A4&amp;"'!E"&amp;(27+COLUMN()-COLUMN($C$2))) /INDIRECT("'"&amp;$A4&amp;"'!D"&amp;(27+COLUMN()-COLUMN($C$2)))-1, "")</f>
        <v/>
      </c>
    </row>
    <row r="5" spans="1:11" x14ac:dyDescent="0.45">
      <c r="A5" t="s">
        <v>80</v>
      </c>
      <c r="B5">
        <v>63010048</v>
      </c>
      <c r="C5" s="70">
        <f ca="1">IFERROR( INDIRECT("'"&amp;$A5&amp;"'!E"&amp;(27+COLUMN()-COLUMN($C$2))) /INDIRECT("'"&amp;$A5&amp;"'!D"&amp;(27+COLUMN()-COLUMN($C$2)))-1, "")</f>
        <v>3.0473476788721587E-3</v>
      </c>
      <c r="D5" s="70">
        <f ca="1">IFERROR( INDIRECT("'"&amp;$A5&amp;"'!E"&amp;(27+COLUMN()-COLUMN($C$2))) /INDIRECT("'"&amp;$A5&amp;"'!D"&amp;(27+COLUMN()-COLUMN($C$2)))-1, "")</f>
        <v>1.1812294253070732E-3</v>
      </c>
      <c r="E5" s="70">
        <f ca="1">IFERROR( INDIRECT("'"&amp;$A5&amp;"'!E"&amp;(27+COLUMN()-COLUMN($C$2))) /INDIRECT("'"&amp;$A5&amp;"'!D"&amp;(27+COLUMN()-COLUMN($C$2)))-1, "")</f>
        <v>7.6887275435166824E-3</v>
      </c>
      <c r="F5" s="70">
        <f ca="1">IFERROR( INDIRECT("'"&amp;$A5&amp;"'!E"&amp;(27+COLUMN()-COLUMN($C$2))) /INDIRECT("'"&amp;$A5&amp;"'!D"&amp;(27+COLUMN()-COLUMN($C$2)))-1, "")</f>
        <v>2.0738714090287269E-2</v>
      </c>
      <c r="G5" s="70">
        <f ca="1">IFERROR( INDIRECT("'"&amp;$A5&amp;"'!E"&amp;(27+COLUMN()-COLUMN($C$2))) /INDIRECT("'"&amp;$A5&amp;"'!D"&amp;(27+COLUMN()-COLUMN($C$2)))-1, "")</f>
        <v>2.8506375227686842E-2</v>
      </c>
      <c r="H5" s="70">
        <f ca="1">IFERROR( INDIRECT("'"&amp;$A5&amp;"'!E"&amp;(27+COLUMN()-COLUMN($C$2))) /INDIRECT("'"&amp;$A5&amp;"'!D"&amp;(27+COLUMN()-COLUMN($C$2)))-1, "")</f>
        <v>7.6775431861797472E-4</v>
      </c>
      <c r="I5" s="70" t="str">
        <f ca="1">IFERROR( INDIRECT("'"&amp;$A5&amp;"'!E"&amp;(27+COLUMN()-COLUMN($C$2))) /INDIRECT("'"&amp;$A5&amp;"'!D"&amp;(27+COLUMN()-COLUMN($C$2)))-1, "")</f>
        <v/>
      </c>
      <c r="J5" s="70" t="str">
        <f ca="1">IFERROR( INDIRECT("'"&amp;$A5&amp;"'!E"&amp;(27+COLUMN()-COLUMN($C$2))) /INDIRECT("'"&amp;$A5&amp;"'!D"&amp;(27+COLUMN()-COLUMN($C$2)))-1, "")</f>
        <v/>
      </c>
      <c r="K5" s="70" t="str">
        <f ca="1">IFERROR( INDIRECT("'"&amp;$A5&amp;"'!E"&amp;(27+COLUMN()-COLUMN($C$2))) /INDIRECT("'"&amp;$A5&amp;"'!D"&amp;(27+COLUMN()-COLUMN($C$2)))-1, "")</f>
        <v/>
      </c>
    </row>
    <row r="6" spans="1:11" x14ac:dyDescent="0.45">
      <c r="A6" t="s">
        <v>81</v>
      </c>
      <c r="B6">
        <v>63010049</v>
      </c>
      <c r="C6" s="70">
        <f ca="1">IFERROR( INDIRECT("'"&amp;$A6&amp;"'!E"&amp;(27+COLUMN()-COLUMN($C$2))) /INDIRECT("'"&amp;$A6&amp;"'!D"&amp;(27+COLUMN()-COLUMN($C$2)))-1, "")</f>
        <v>-1.2262563116133829E-2</v>
      </c>
      <c r="D6" s="70">
        <f ca="1">IFERROR( INDIRECT("'"&amp;$A6&amp;"'!E"&amp;(27+COLUMN()-COLUMN($C$2))) /INDIRECT("'"&amp;$A6&amp;"'!D"&amp;(27+COLUMN()-COLUMN($C$2)))-1, "")</f>
        <v>-7.7523219814242816E-3</v>
      </c>
      <c r="E6" s="70">
        <f ca="1">IFERROR( INDIRECT("'"&amp;$A6&amp;"'!E"&amp;(27+COLUMN()-COLUMN($C$2))) /INDIRECT("'"&amp;$A6&amp;"'!D"&amp;(27+COLUMN()-COLUMN($C$2)))-1, "")</f>
        <v>-1.6605369621184196E-2</v>
      </c>
      <c r="F6" s="70">
        <f ca="1">IFERROR( INDIRECT("'"&amp;$A6&amp;"'!E"&amp;(27+COLUMN()-COLUMN($C$2))) /INDIRECT("'"&amp;$A6&amp;"'!D"&amp;(27+COLUMN()-COLUMN($C$2)))-1, "")</f>
        <v>-5.6109589041095975E-2</v>
      </c>
      <c r="G6" s="70">
        <f ca="1">IFERROR( INDIRECT("'"&amp;$A6&amp;"'!E"&amp;(27+COLUMN()-COLUMN($C$2))) /INDIRECT("'"&amp;$A6&amp;"'!D"&amp;(27+COLUMN()-COLUMN($C$2)))-1, "")</f>
        <v>-7.8143133462282521E-2</v>
      </c>
      <c r="H6" s="70">
        <f ca="1">IFERROR( INDIRECT("'"&amp;$A6&amp;"'!E"&amp;(27+COLUMN()-COLUMN($C$2))) /INDIRECT("'"&amp;$A6&amp;"'!D"&amp;(27+COLUMN()-COLUMN($C$2)))-1, "")</f>
        <v>-0.13684210526315799</v>
      </c>
      <c r="I6" s="70" t="str">
        <f ca="1">IFERROR( INDIRECT("'"&amp;$A6&amp;"'!E"&amp;(27+COLUMN()-COLUMN($C$2))) /INDIRECT("'"&amp;$A6&amp;"'!D"&amp;(27+COLUMN()-COLUMN($C$2)))-1, "")</f>
        <v/>
      </c>
      <c r="J6" s="70" t="str">
        <f ca="1">IFERROR( INDIRECT("'"&amp;$A6&amp;"'!E"&amp;(27+COLUMN()-COLUMN($C$2))) /INDIRECT("'"&amp;$A6&amp;"'!D"&amp;(27+COLUMN()-COLUMN($C$2)))-1, "")</f>
        <v/>
      </c>
      <c r="K6" s="70" t="str">
        <f ca="1">IFERROR( INDIRECT("'"&amp;$A6&amp;"'!E"&amp;(27+COLUMN()-COLUMN($C$2))) /INDIRECT("'"&amp;$A6&amp;"'!D"&amp;(27+COLUMN()-COLUMN($C$2)))-1, "")</f>
        <v/>
      </c>
    </row>
    <row r="7" spans="1:11" x14ac:dyDescent="0.45">
      <c r="A7" t="s">
        <v>82</v>
      </c>
      <c r="B7">
        <v>63010050</v>
      </c>
      <c r="C7" s="70">
        <f ca="1">IFERROR( INDIRECT("'"&amp;$A7&amp;"'!E"&amp;(27+COLUMN()-COLUMN($C$2))) /INDIRECT("'"&amp;$A7&amp;"'!D"&amp;(27+COLUMN()-COLUMN($C$2)))-1, "")</f>
        <v>-3.744031875794307E-3</v>
      </c>
      <c r="D7" s="70">
        <f ca="1">IFERROR( INDIRECT("'"&amp;$A7&amp;"'!E"&amp;(27+COLUMN()-COLUMN($C$2))) /INDIRECT("'"&amp;$A7&amp;"'!D"&amp;(27+COLUMN()-COLUMN($C$2)))-1, "")</f>
        <v>2.2670794633642855E-2</v>
      </c>
      <c r="E7" s="70">
        <f ca="1">IFERROR( INDIRECT("'"&amp;$A7&amp;"'!E"&amp;(27+COLUMN()-COLUMN($C$2))) /INDIRECT("'"&amp;$A7&amp;"'!D"&amp;(27+COLUMN()-COLUMN($C$2)))-1, "")</f>
        <v>5.9764619345347603E-2</v>
      </c>
      <c r="F7" s="70">
        <f ca="1">IFERROR( INDIRECT("'"&amp;$A7&amp;"'!E"&amp;(27+COLUMN()-COLUMN($C$2))) /INDIRECT("'"&amp;$A7&amp;"'!D"&amp;(27+COLUMN()-COLUMN($C$2)))-1, "")</f>
        <v>0.10197260273972608</v>
      </c>
      <c r="G7" s="70">
        <f ca="1">IFERROR( INDIRECT("'"&amp;$A7&amp;"'!E"&amp;(27+COLUMN()-COLUMN($C$2))) /INDIRECT("'"&amp;$A7&amp;"'!D"&amp;(27+COLUMN()-COLUMN($C$2)))-1, "")</f>
        <v>0.24970986460348144</v>
      </c>
      <c r="H7" s="70">
        <f ca="1">IFERROR( INDIRECT("'"&amp;$A7&amp;"'!E"&amp;(27+COLUMN()-COLUMN($C$2))) /INDIRECT("'"&amp;$A7&amp;"'!D"&amp;(27+COLUMN()-COLUMN($C$2)))-1, "")</f>
        <v>0.34078947368421053</v>
      </c>
      <c r="I7" s="70" t="str">
        <f ca="1">IFERROR( INDIRECT("'"&amp;$A7&amp;"'!E"&amp;(27+COLUMN()-COLUMN($C$2))) /INDIRECT("'"&amp;$A7&amp;"'!D"&amp;(27+COLUMN()-COLUMN($C$2)))-1, "")</f>
        <v/>
      </c>
      <c r="J7" s="70" t="str">
        <f ca="1">IFERROR( INDIRECT("'"&amp;$A7&amp;"'!E"&amp;(27+COLUMN()-COLUMN($C$2))) /INDIRECT("'"&amp;$A7&amp;"'!D"&amp;(27+COLUMN()-COLUMN($C$2)))-1, "")</f>
        <v/>
      </c>
      <c r="K7" s="70" t="str">
        <f ca="1">IFERROR( INDIRECT("'"&amp;$A7&amp;"'!E"&amp;(27+COLUMN()-COLUMN($C$2))) /INDIRECT("'"&amp;$A7&amp;"'!D"&amp;(27+COLUMN()-COLUMN($C$2)))-1, "")</f>
        <v/>
      </c>
    </row>
    <row r="8" spans="1:11" x14ac:dyDescent="0.45">
      <c r="A8" t="s">
        <v>83</v>
      </c>
      <c r="B8">
        <v>63010051</v>
      </c>
      <c r="C8" s="70">
        <f ca="1">IFERROR( INDIRECT("'"&amp;$A8&amp;"'!E"&amp;(27+COLUMN()-COLUMN($C$2))) /INDIRECT("'"&amp;$A8&amp;"'!D"&amp;(27+COLUMN()-COLUMN($C$2)))-1, "")</f>
        <v>-4.699613299535832E-4</v>
      </c>
      <c r="D8" s="70">
        <f ca="1">IFERROR( INDIRECT("'"&amp;$A8&amp;"'!E"&amp;(27+COLUMN()-COLUMN($C$2))) /INDIRECT("'"&amp;$A8&amp;"'!D"&amp;(27+COLUMN()-COLUMN($C$2)))-1, "")</f>
        <v>-7.6812186672969851E-4</v>
      </c>
      <c r="E8" s="70">
        <f ca="1">IFERROR( INDIRECT("'"&amp;$A8&amp;"'!E"&amp;(27+COLUMN()-COLUMN($C$2))) /INDIRECT("'"&amp;$A8&amp;"'!D"&amp;(27+COLUMN()-COLUMN($C$2)))-1, "")</f>
        <v>1.127245648329156E-2</v>
      </c>
      <c r="F8" s="70">
        <f ca="1">IFERROR( INDIRECT("'"&amp;$A8&amp;"'!E"&amp;(27+COLUMN()-COLUMN($C$2))) /INDIRECT("'"&amp;$A8&amp;"'!D"&amp;(27+COLUMN()-COLUMN($C$2)))-1, "")</f>
        <v>2.1997264021887952E-2</v>
      </c>
      <c r="G8" s="70">
        <f ca="1">IFERROR( INDIRECT("'"&amp;$A8&amp;"'!E"&amp;(27+COLUMN()-COLUMN($C$2))) /INDIRECT("'"&amp;$A8&amp;"'!D"&amp;(27+COLUMN()-COLUMN($C$2)))-1, "")</f>
        <v>-7.7413479052823364E-2</v>
      </c>
      <c r="H8" s="70">
        <f ca="1">IFERROR( INDIRECT("'"&amp;$A8&amp;"'!E"&amp;(27+COLUMN()-COLUMN($C$2))) /INDIRECT("'"&amp;$A8&amp;"'!D"&amp;(27+COLUMN()-COLUMN($C$2)))-1, "")</f>
        <v>4.3953934740882827E-2</v>
      </c>
      <c r="I8" s="70" t="str">
        <f ca="1">IFERROR( INDIRECT("'"&amp;$A8&amp;"'!E"&amp;(27+COLUMN()-COLUMN($C$2))) /INDIRECT("'"&amp;$A8&amp;"'!D"&amp;(27+COLUMN()-COLUMN($C$2)))-1, "")</f>
        <v/>
      </c>
      <c r="J8" s="70" t="str">
        <f ca="1">IFERROR( INDIRECT("'"&amp;$A8&amp;"'!E"&amp;(27+COLUMN()-COLUMN($C$2))) /INDIRECT("'"&amp;$A8&amp;"'!D"&amp;(27+COLUMN()-COLUMN($C$2)))-1, "")</f>
        <v/>
      </c>
      <c r="K8" s="70" t="str">
        <f ca="1">IFERROR( INDIRECT("'"&amp;$A8&amp;"'!E"&amp;(27+COLUMN()-COLUMN($C$2))) /INDIRECT("'"&amp;$A8&amp;"'!D"&amp;(27+COLUMN()-COLUMN($C$2)))-1, "")</f>
        <v/>
      </c>
    </row>
    <row r="9" spans="1:11" x14ac:dyDescent="0.45">
      <c r="A9" t="s">
        <v>84</v>
      </c>
      <c r="B9">
        <v>63010052</v>
      </c>
      <c r="C9" s="70">
        <f ca="1">IFERROR( INDIRECT("'"&amp;$A9&amp;"'!E"&amp;(27+COLUMN()-COLUMN($C$2))) /INDIRECT("'"&amp;$A9&amp;"'!D"&amp;(27+COLUMN()-COLUMN($C$2)))-1, "")</f>
        <v>-9.6348710198201903E-4</v>
      </c>
      <c r="D9" s="70">
        <f ca="1">IFERROR( INDIRECT("'"&amp;$A9&amp;"'!E"&amp;(27+COLUMN()-COLUMN($C$2))) /INDIRECT("'"&amp;$A9&amp;"'!D"&amp;(27+COLUMN()-COLUMN($C$2)))-1, "")</f>
        <v>1.6528379772961843E-2</v>
      </c>
      <c r="E9" s="70">
        <f ca="1">IFERROR( INDIRECT("'"&amp;$A9&amp;"'!E"&amp;(27+COLUMN()-COLUMN($C$2))) /INDIRECT("'"&amp;$A9&amp;"'!D"&amp;(27+COLUMN()-COLUMN($C$2)))-1, "")</f>
        <v>2.640676719382129E-2</v>
      </c>
      <c r="F9" s="70">
        <f ca="1">IFERROR( INDIRECT("'"&amp;$A9&amp;"'!E"&amp;(27+COLUMN()-COLUMN($C$2))) /INDIRECT("'"&amp;$A9&amp;"'!D"&amp;(27+COLUMN()-COLUMN($C$2)))-1, "")</f>
        <v>6.0821917808220327E-3</v>
      </c>
      <c r="G9" s="70">
        <f ca="1">IFERROR( INDIRECT("'"&amp;$A9&amp;"'!E"&amp;(27+COLUMN()-COLUMN($C$2))) /INDIRECT("'"&amp;$A9&amp;"'!D"&amp;(27+COLUMN()-COLUMN($C$2)))-1, "")</f>
        <v>-5.4932301740812428E-2</v>
      </c>
      <c r="H9" s="70">
        <f ca="1">IFERROR( INDIRECT("'"&amp;$A9&amp;"'!E"&amp;(27+COLUMN()-COLUMN($C$2))) /INDIRECT("'"&amp;$A9&amp;"'!D"&amp;(27+COLUMN()-COLUMN($C$2)))-1, "")</f>
        <v>7.4561403508770496E-3</v>
      </c>
      <c r="I9" s="70" t="str">
        <f ca="1">IFERROR( INDIRECT("'"&amp;$A9&amp;"'!E"&amp;(27+COLUMN()-COLUMN($C$2))) /INDIRECT("'"&amp;$A9&amp;"'!D"&amp;(27+COLUMN()-COLUMN($C$2)))-1, "")</f>
        <v/>
      </c>
      <c r="J9" s="70" t="str">
        <f ca="1">IFERROR( INDIRECT("'"&amp;$A9&amp;"'!E"&amp;(27+COLUMN()-COLUMN($C$2))) /INDIRECT("'"&amp;$A9&amp;"'!D"&amp;(27+COLUMN()-COLUMN($C$2)))-1, "")</f>
        <v/>
      </c>
      <c r="K9" s="70" t="str">
        <f ca="1">IFERROR( INDIRECT("'"&amp;$A9&amp;"'!E"&amp;(27+COLUMN()-COLUMN($C$2))) /INDIRECT("'"&amp;$A9&amp;"'!D"&amp;(27+COLUMN()-COLUMN($C$2)))-1, "")</f>
        <v/>
      </c>
    </row>
    <row r="10" spans="1:11" x14ac:dyDescent="0.45">
      <c r="A10" t="s">
        <v>85</v>
      </c>
      <c r="B10">
        <v>63010053</v>
      </c>
      <c r="C10" s="70">
        <f ca="1">IFERROR( INDIRECT("'"&amp;$A10&amp;"'!E"&amp;(27+COLUMN()-COLUMN($C$2))) /INDIRECT("'"&amp;$A10&amp;"'!D"&amp;(27+COLUMN()-COLUMN($C$2)))-1, "")</f>
        <v>-3.051325698003593E-2</v>
      </c>
      <c r="D10" s="70">
        <f ca="1">IFERROR( INDIRECT("'"&amp;$A10&amp;"'!E"&amp;(27+COLUMN()-COLUMN($C$2))) /INDIRECT("'"&amp;$A10&amp;"'!D"&amp;(27+COLUMN()-COLUMN($C$2)))-1, "")</f>
        <v>-2.5978440949286696E-2</v>
      </c>
      <c r="E10" s="70">
        <f ca="1">IFERROR( INDIRECT("'"&amp;$A10&amp;"'!E"&amp;(27+COLUMN()-COLUMN($C$2))) /INDIRECT("'"&amp;$A10&amp;"'!D"&amp;(27+COLUMN()-COLUMN($C$2)))-1, "")</f>
        <v>-3.8378479009587685E-2</v>
      </c>
      <c r="F10" s="70">
        <f ca="1">IFERROR( INDIRECT("'"&amp;$A10&amp;"'!E"&amp;(27+COLUMN()-COLUMN($C$2))) /INDIRECT("'"&amp;$A10&amp;"'!D"&amp;(27+COLUMN()-COLUMN($C$2)))-1, "")</f>
        <v>-3.4363885088919299E-2</v>
      </c>
      <c r="G10" s="70">
        <f ca="1">IFERROR( INDIRECT("'"&amp;$A10&amp;"'!E"&amp;(27+COLUMN()-COLUMN($C$2))) /INDIRECT("'"&amp;$A10&amp;"'!D"&amp;(27+COLUMN()-COLUMN($C$2)))-1, "")</f>
        <v>-7.7868852459016424E-2</v>
      </c>
      <c r="H10" s="70">
        <f ca="1">IFERROR( INDIRECT("'"&amp;$A10&amp;"'!E"&amp;(27+COLUMN()-COLUMN($C$2))) /INDIRECT("'"&amp;$A10&amp;"'!D"&amp;(27+COLUMN()-COLUMN($C$2)))-1, "")</f>
        <v>-8.157389635316703E-2</v>
      </c>
      <c r="I10" s="70" t="str">
        <f ca="1">IFERROR( INDIRECT("'"&amp;$A10&amp;"'!E"&amp;(27+COLUMN()-COLUMN($C$2))) /INDIRECT("'"&amp;$A10&amp;"'!D"&amp;(27+COLUMN()-COLUMN($C$2)))-1, "")</f>
        <v/>
      </c>
      <c r="J10" s="70" t="str">
        <f ca="1">IFERROR( INDIRECT("'"&amp;$A10&amp;"'!E"&amp;(27+COLUMN()-COLUMN($C$2))) /INDIRECT("'"&amp;$A10&amp;"'!D"&amp;(27+COLUMN()-COLUMN($C$2)))-1, "")</f>
        <v/>
      </c>
      <c r="K10" s="70" t="str">
        <f ca="1">IFERROR( INDIRECT("'"&amp;$A10&amp;"'!E"&amp;(27+COLUMN()-COLUMN($C$2))) /INDIRECT("'"&amp;$A10&amp;"'!D"&amp;(27+COLUMN()-COLUMN($C$2)))-1, "")</f>
        <v/>
      </c>
    </row>
    <row r="11" spans="1:11" x14ac:dyDescent="0.45">
      <c r="A11" t="s">
        <v>86</v>
      </c>
      <c r="B11">
        <v>63010054</v>
      </c>
      <c r="C11" s="70">
        <f ca="1">IFERROR( INDIRECT("'"&amp;$A11&amp;"'!E"&amp;(27+COLUMN()-COLUMN($C$2))) /INDIRECT("'"&amp;$A11&amp;"'!D"&amp;(27+COLUMN()-COLUMN($C$2)))-1, "")</f>
        <v>-9.4236251846255836E-3</v>
      </c>
      <c r="D11" s="70">
        <f ca="1">IFERROR( INDIRECT("'"&amp;$A11&amp;"'!E"&amp;(27+COLUMN()-COLUMN($C$2))) /INDIRECT("'"&amp;$A11&amp;"'!D"&amp;(27+COLUMN()-COLUMN($C$2)))-1, "")</f>
        <v>-3.6697626418987772E-3</v>
      </c>
      <c r="E11" s="70">
        <f ca="1">IFERROR( INDIRECT("'"&amp;$A11&amp;"'!E"&amp;(27+COLUMN()-COLUMN($C$2))) /INDIRECT("'"&amp;$A11&amp;"'!D"&amp;(27+COLUMN()-COLUMN($C$2)))-1, "")</f>
        <v>-2.280250091945546E-3</v>
      </c>
      <c r="F11" s="70">
        <f ca="1">IFERROR( INDIRECT("'"&amp;$A11&amp;"'!E"&amp;(27+COLUMN()-COLUMN($C$2))) /INDIRECT("'"&amp;$A11&amp;"'!D"&amp;(27+COLUMN()-COLUMN($C$2)))-1, "")</f>
        <v>5.0958904109590364E-3</v>
      </c>
      <c r="G11" s="70">
        <f ca="1">IFERROR( INDIRECT("'"&amp;$A11&amp;"'!E"&amp;(27+COLUMN()-COLUMN($C$2))) /INDIRECT("'"&amp;$A11&amp;"'!D"&amp;(27+COLUMN()-COLUMN($C$2)))-1, "")</f>
        <v>-9.6711798839466123E-4</v>
      </c>
      <c r="H11" s="70">
        <f ca="1">IFERROR( INDIRECT("'"&amp;$A11&amp;"'!E"&amp;(27+COLUMN()-COLUMN($C$2))) /INDIRECT("'"&amp;$A11&amp;"'!D"&amp;(27+COLUMN()-COLUMN($C$2)))-1, "")</f>
        <v>-3.7280701754386025E-2</v>
      </c>
      <c r="I11" s="70" t="str">
        <f ca="1">IFERROR( INDIRECT("'"&amp;$A11&amp;"'!E"&amp;(27+COLUMN()-COLUMN($C$2))) /INDIRECT("'"&amp;$A11&amp;"'!D"&amp;(27+COLUMN()-COLUMN($C$2)))-1, "")</f>
        <v/>
      </c>
      <c r="J11" s="70" t="str">
        <f ca="1">IFERROR( INDIRECT("'"&amp;$A11&amp;"'!E"&amp;(27+COLUMN()-COLUMN($C$2))) /INDIRECT("'"&amp;$A11&amp;"'!D"&amp;(27+COLUMN()-COLUMN($C$2)))-1, "")</f>
        <v/>
      </c>
      <c r="K11" s="70" t="str">
        <f ca="1">IFERROR( INDIRECT("'"&amp;$A11&amp;"'!E"&amp;(27+COLUMN()-COLUMN($C$2))) /INDIRECT("'"&amp;$A11&amp;"'!D"&amp;(27+COLUMN()-COLUMN($C$2)))-1, "")</f>
        <v/>
      </c>
    </row>
    <row r="12" spans="1:11" x14ac:dyDescent="0.45">
      <c r="A12" t="s">
        <v>87</v>
      </c>
      <c r="B12">
        <v>63010055</v>
      </c>
      <c r="C12" s="70">
        <f ca="1">IFERROR( INDIRECT("'"&amp;$A12&amp;"'!E"&amp;(27+COLUMN()-COLUMN($C$2))) /INDIRECT("'"&amp;$A12&amp;"'!D"&amp;(27+COLUMN()-COLUMN($C$2)))-1, "")</f>
        <v>1.5842692471367492E-2</v>
      </c>
      <c r="D12" s="70">
        <f ca="1">IFERROR( INDIRECT("'"&amp;$A12&amp;"'!E"&amp;(27+COLUMN()-COLUMN($C$2))) /INDIRECT("'"&amp;$A12&amp;"'!D"&amp;(27+COLUMN()-COLUMN($C$2)))-1, "")</f>
        <v>7.3197495535426427E-3</v>
      </c>
      <c r="E12" s="70">
        <f ca="1">IFERROR( INDIRECT("'"&amp;$A12&amp;"'!E"&amp;(27+COLUMN()-COLUMN($C$2))) /INDIRECT("'"&amp;$A12&amp;"'!D"&amp;(27+COLUMN()-COLUMN($C$2)))-1, "")</f>
        <v>1.8616773713109325E-4</v>
      </c>
      <c r="F12" s="70">
        <f ca="1">IFERROR( INDIRECT("'"&amp;$A12&amp;"'!E"&amp;(27+COLUMN()-COLUMN($C$2))) /INDIRECT("'"&amp;$A12&amp;"'!D"&amp;(27+COLUMN()-COLUMN($C$2)))-1, "")</f>
        <v>8.2626538987686793E-3</v>
      </c>
      <c r="G12" s="70">
        <f ca="1">IFERROR( INDIRECT("'"&amp;$A12&amp;"'!E"&amp;(27+COLUMN()-COLUMN($C$2))) /INDIRECT("'"&amp;$A12&amp;"'!D"&amp;(27+COLUMN()-COLUMN($C$2)))-1, "")</f>
        <v>1.757741347905295E-2</v>
      </c>
      <c r="H12" s="70">
        <f ca="1">IFERROR( INDIRECT("'"&amp;$A12&amp;"'!E"&amp;(27+COLUMN()-COLUMN($C$2))) /INDIRECT("'"&amp;$A12&amp;"'!D"&amp;(27+COLUMN()-COLUMN($C$2)))-1, "")</f>
        <v>4.856046065259112E-2</v>
      </c>
      <c r="I12" s="70" t="str">
        <f ca="1">IFERROR( INDIRECT("'"&amp;$A12&amp;"'!E"&amp;(27+COLUMN()-COLUMN($C$2))) /INDIRECT("'"&amp;$A12&amp;"'!D"&amp;(27+COLUMN()-COLUMN($C$2)))-1, "")</f>
        <v/>
      </c>
      <c r="J12" s="70" t="str">
        <f ca="1">IFERROR( INDIRECT("'"&amp;$A12&amp;"'!E"&amp;(27+COLUMN()-COLUMN($C$2))) /INDIRECT("'"&amp;$A12&amp;"'!D"&amp;(27+COLUMN()-COLUMN($C$2)))-1, "")</f>
        <v/>
      </c>
      <c r="K12" s="70" t="str">
        <f ca="1">IFERROR( INDIRECT("'"&amp;$A12&amp;"'!E"&amp;(27+COLUMN()-COLUMN($C$2))) /INDIRECT("'"&amp;$A12&amp;"'!D"&amp;(27+COLUMN()-COLUMN($C$2)))-1, "")</f>
        <v/>
      </c>
    </row>
    <row r="13" spans="1:11" x14ac:dyDescent="0.45">
      <c r="A13" t="s">
        <v>88</v>
      </c>
      <c r="B13">
        <v>63010056</v>
      </c>
      <c r="C13" s="70">
        <f ca="1">IFERROR( INDIRECT("'"&amp;$A13&amp;"'!E"&amp;(27+COLUMN()-COLUMN($C$2))) /INDIRECT("'"&amp;$A13&amp;"'!D"&amp;(27+COLUMN()-COLUMN($C$2)))-1, "")</f>
        <v>1.0206780476075927E-2</v>
      </c>
      <c r="D13" s="70">
        <f ca="1">IFERROR( INDIRECT("'"&amp;$A13&amp;"'!E"&amp;(27+COLUMN()-COLUMN($C$2))) /INDIRECT("'"&amp;$A13&amp;"'!D"&amp;(27+COLUMN()-COLUMN($C$2)))-1, "")</f>
        <v>-3.6780185758513717E-3</v>
      </c>
      <c r="E13" s="70">
        <f ca="1">IFERROR( INDIRECT("'"&amp;$A13&amp;"'!E"&amp;(27+COLUMN()-COLUMN($C$2))) /INDIRECT("'"&amp;$A13&amp;"'!D"&amp;(27+COLUMN()-COLUMN($C$2)))-1, "")</f>
        <v>2.2434718646562324E-3</v>
      </c>
      <c r="F13" s="70">
        <f ca="1">IFERROR( INDIRECT("'"&amp;$A13&amp;"'!E"&amp;(27+COLUMN()-COLUMN($C$2))) /INDIRECT("'"&amp;$A13&amp;"'!D"&amp;(27+COLUMN()-COLUMN($C$2)))-1, "")</f>
        <v>-5.479452054794054E-4</v>
      </c>
      <c r="G13" s="70">
        <f ca="1">IFERROR( INDIRECT("'"&amp;$A13&amp;"'!E"&amp;(27+COLUMN()-COLUMN($C$2))) /INDIRECT("'"&amp;$A13&amp;"'!D"&amp;(27+COLUMN()-COLUMN($C$2)))-1, "")</f>
        <v>7.7369439071572899E-4</v>
      </c>
      <c r="H13" s="70">
        <f ca="1">IFERROR( INDIRECT("'"&amp;$A13&amp;"'!E"&amp;(27+COLUMN()-COLUMN($C$2))) /INDIRECT("'"&amp;$A13&amp;"'!D"&amp;(27+COLUMN()-COLUMN($C$2)))-1, "")</f>
        <v>-1.3157894736842701E-3</v>
      </c>
      <c r="I13" s="70" t="str">
        <f ca="1">IFERROR( INDIRECT("'"&amp;$A13&amp;"'!E"&amp;(27+COLUMN()-COLUMN($C$2))) /INDIRECT("'"&amp;$A13&amp;"'!D"&amp;(27+COLUMN()-COLUMN($C$2)))-1, "")</f>
        <v/>
      </c>
      <c r="J13" s="70" t="str">
        <f ca="1">IFERROR( INDIRECT("'"&amp;$A13&amp;"'!E"&amp;(27+COLUMN()-COLUMN($C$2))) /INDIRECT("'"&amp;$A13&amp;"'!D"&amp;(27+COLUMN()-COLUMN($C$2)))-1, "")</f>
        <v/>
      </c>
      <c r="K13" s="70" t="str">
        <f ca="1">IFERROR( INDIRECT("'"&amp;$A13&amp;"'!E"&amp;(27+COLUMN()-COLUMN($C$2))) /INDIRECT("'"&amp;$A13&amp;"'!D"&amp;(27+COLUMN()-COLUMN($C$2)))-1, "")</f>
        <v/>
      </c>
    </row>
    <row r="14" spans="1:11" x14ac:dyDescent="0.45">
      <c r="A14" t="s">
        <v>89</v>
      </c>
      <c r="B14">
        <v>63010057</v>
      </c>
      <c r="C14" s="70">
        <f ca="1">IFERROR( INDIRECT("'"&amp;$A14&amp;"'!E"&amp;(27+COLUMN()-COLUMN($C$2))) /INDIRECT("'"&amp;$A14&amp;"'!D"&amp;(27+COLUMN()-COLUMN($C$2)))-1, "")</f>
        <v>2.1760038470786114E-3</v>
      </c>
      <c r="D14" s="70">
        <f ca="1">IFERROR( INDIRECT("'"&amp;$A14&amp;"'!E"&amp;(27+COLUMN()-COLUMN($C$2))) /INDIRECT("'"&amp;$A14&amp;"'!D"&amp;(27+COLUMN()-COLUMN($C$2)))-1, "")</f>
        <v>1.1034055727554115E-2</v>
      </c>
      <c r="E14" s="70">
        <f ca="1">IFERROR( INDIRECT("'"&amp;$A14&amp;"'!E"&amp;(27+COLUMN()-COLUMN($C$2))) /INDIRECT("'"&amp;$A14&amp;"'!D"&amp;(27+COLUMN()-COLUMN($C$2)))-1, "")</f>
        <v>-2.8135343876425023E-2</v>
      </c>
      <c r="F14" s="70">
        <f ca="1">IFERROR( INDIRECT("'"&amp;$A14&amp;"'!E"&amp;(27+COLUMN()-COLUMN($C$2))) /INDIRECT("'"&amp;$A14&amp;"'!D"&amp;(27+COLUMN()-COLUMN($C$2)))-1, "")</f>
        <v>8.3835616438356908E-3</v>
      </c>
      <c r="G14" s="70">
        <f ca="1">IFERROR( INDIRECT("'"&amp;$A14&amp;"'!E"&amp;(27+COLUMN()-COLUMN($C$2))) /INDIRECT("'"&amp;$A14&amp;"'!D"&amp;(27+COLUMN()-COLUMN($C$2)))-1, "")</f>
        <v>6.7698259187620957E-2</v>
      </c>
      <c r="H14" s="70">
        <f ca="1">IFERROR( INDIRECT("'"&amp;$A14&amp;"'!E"&amp;(27+COLUMN()-COLUMN($C$2))) /INDIRECT("'"&amp;$A14&amp;"'!D"&amp;(27+COLUMN()-COLUMN($C$2)))-1, "")</f>
        <v>6.2280701754385825E-2</v>
      </c>
      <c r="I14" s="70" t="str">
        <f ca="1">IFERROR( INDIRECT("'"&amp;$A14&amp;"'!E"&amp;(27+COLUMN()-COLUMN($C$2))) /INDIRECT("'"&amp;$A14&amp;"'!D"&amp;(27+COLUMN()-COLUMN($C$2)))-1, "")</f>
        <v/>
      </c>
      <c r="J14" s="70" t="str">
        <f ca="1">IFERROR( INDIRECT("'"&amp;$A14&amp;"'!E"&amp;(27+COLUMN()-COLUMN($C$2))) /INDIRECT("'"&amp;$A14&amp;"'!D"&amp;(27+COLUMN()-COLUMN($C$2)))-1, "")</f>
        <v/>
      </c>
      <c r="K14" s="70" t="str">
        <f ca="1">IFERROR( INDIRECT("'"&amp;$A14&amp;"'!E"&amp;(27+COLUMN()-COLUMN($C$2))) /INDIRECT("'"&amp;$A14&amp;"'!D"&amp;(27+COLUMN()-COLUMN($C$2)))-1, "")</f>
        <v/>
      </c>
    </row>
    <row r="15" spans="1:11" x14ac:dyDescent="0.45">
      <c r="A15" t="s">
        <v>90</v>
      </c>
      <c r="B15">
        <v>63010058</v>
      </c>
      <c r="C15" s="70">
        <f ca="1">IFERROR( INDIRECT("'"&amp;$A15&amp;"'!E"&amp;(27+COLUMN()-COLUMN($C$2))) /INDIRECT("'"&amp;$A15&amp;"'!D"&amp;(27+COLUMN()-COLUMN($C$2)))-1, "")</f>
        <v>-1.2637149147963878E-2</v>
      </c>
      <c r="D15" s="70">
        <f ca="1">IFERROR( INDIRECT("'"&amp;$A15&amp;"'!E"&amp;(27+COLUMN()-COLUMN($C$2))) /INDIRECT("'"&amp;$A15&amp;"'!D"&amp;(27+COLUMN()-COLUMN($C$2)))-1, "")</f>
        <v>-2.6585192675947167E-2</v>
      </c>
      <c r="E15" s="70">
        <f ca="1">IFERROR( INDIRECT("'"&amp;$A15&amp;"'!E"&amp;(27+COLUMN()-COLUMN($C$2))) /INDIRECT("'"&amp;$A15&amp;"'!D"&amp;(27+COLUMN()-COLUMN($C$2)))-1, "")</f>
        <v>-1.3031741599179858E-3</v>
      </c>
      <c r="F15" s="70">
        <f ca="1">IFERROR( INDIRECT("'"&amp;$A15&amp;"'!E"&amp;(27+COLUMN()-COLUMN($C$2))) /INDIRECT("'"&amp;$A15&amp;"'!D"&amp;(27+COLUMN()-COLUMN($C$2)))-1, "")</f>
        <v>-4.7414500683994443E-2</v>
      </c>
      <c r="G15" s="70">
        <f ca="1">IFERROR( INDIRECT("'"&amp;$A15&amp;"'!E"&amp;(27+COLUMN()-COLUMN($C$2))) /INDIRECT("'"&amp;$A15&amp;"'!D"&amp;(27+COLUMN()-COLUMN($C$2)))-1, "")</f>
        <v>-5.7923497267759583E-2</v>
      </c>
      <c r="H15" s="70">
        <f ca="1">IFERROR( INDIRECT("'"&amp;$A15&amp;"'!E"&amp;(27+COLUMN()-COLUMN($C$2))) /INDIRECT("'"&amp;$A15&amp;"'!D"&amp;(27+COLUMN()-COLUMN($C$2)))-1, "")</f>
        <v>-0.11209213051823419</v>
      </c>
      <c r="I15" s="70" t="str">
        <f ca="1">IFERROR( INDIRECT("'"&amp;$A15&amp;"'!E"&amp;(27+COLUMN()-COLUMN($C$2))) /INDIRECT("'"&amp;$A15&amp;"'!D"&amp;(27+COLUMN()-COLUMN($C$2)))-1, "")</f>
        <v/>
      </c>
      <c r="J15" s="70" t="str">
        <f ca="1">IFERROR( INDIRECT("'"&amp;$A15&amp;"'!E"&amp;(27+COLUMN()-COLUMN($C$2))) /INDIRECT("'"&amp;$A15&amp;"'!D"&amp;(27+COLUMN()-COLUMN($C$2)))-1, "")</f>
        <v/>
      </c>
      <c r="K15" s="70" t="str">
        <f ca="1">IFERROR( INDIRECT("'"&amp;$A15&amp;"'!E"&amp;(27+COLUMN()-COLUMN($C$2))) /INDIRECT("'"&amp;$A15&amp;"'!D"&amp;(27+COLUMN()-COLUMN($C$2)))-1, "")</f>
        <v/>
      </c>
    </row>
    <row r="16" spans="1:11" x14ac:dyDescent="0.45">
      <c r="A16" t="s">
        <v>91</v>
      </c>
      <c r="B16">
        <v>63010059</v>
      </c>
      <c r="C16" s="70">
        <f ca="1">IFERROR( INDIRECT("'"&amp;$A16&amp;"'!E"&amp;(27+COLUMN()-COLUMN($C$2))) /INDIRECT("'"&amp;$A16&amp;"'!D"&amp;(27+COLUMN()-COLUMN($C$2)))-1, "")</f>
        <v>-1.2158861731455972E-2</v>
      </c>
      <c r="D16" s="70">
        <f ca="1">IFERROR( INDIRECT("'"&amp;$A16&amp;"'!E"&amp;(27+COLUMN()-COLUMN($C$2))) /INDIRECT("'"&amp;$A16&amp;"'!D"&amp;(27+COLUMN()-COLUMN($C$2)))-1, "")</f>
        <v>1.9407448845667474E-3</v>
      </c>
      <c r="E16" s="70">
        <f ca="1">IFERROR( INDIRECT("'"&amp;$A16&amp;"'!E"&amp;(27+COLUMN()-COLUMN($C$2))) /INDIRECT("'"&amp;$A16&amp;"'!D"&amp;(27+COLUMN()-COLUMN($C$2)))-1, "")</f>
        <v>1.6941264078935259E-2</v>
      </c>
      <c r="F16" s="70">
        <f ca="1">IFERROR( INDIRECT("'"&amp;$A16&amp;"'!E"&amp;(27+COLUMN()-COLUMN($C$2))) /INDIRECT("'"&amp;$A16&amp;"'!D"&amp;(27+COLUMN()-COLUMN($C$2)))-1, "")</f>
        <v>2.9849521203830331E-2</v>
      </c>
      <c r="G16" s="70">
        <f ca="1">IFERROR( INDIRECT("'"&amp;$A16&amp;"'!E"&amp;(27+COLUMN()-COLUMN($C$2))) /INDIRECT("'"&amp;$A16&amp;"'!D"&amp;(27+COLUMN()-COLUMN($C$2)))-1, "")</f>
        <v>9.8542805100182207E-2</v>
      </c>
      <c r="H16" s="70">
        <f ca="1">IFERROR( INDIRECT("'"&amp;$A16&amp;"'!E"&amp;(27+COLUMN()-COLUMN($C$2))) /INDIRECT("'"&amp;$A16&amp;"'!D"&amp;(27+COLUMN()-COLUMN($C$2)))-1, "")</f>
        <v>0.13800383877159295</v>
      </c>
      <c r="I16" s="70" t="str">
        <f ca="1">IFERROR( INDIRECT("'"&amp;$A16&amp;"'!E"&amp;(27+COLUMN()-COLUMN($C$2))) /INDIRECT("'"&amp;$A16&amp;"'!D"&amp;(27+COLUMN()-COLUMN($C$2)))-1, "")</f>
        <v/>
      </c>
      <c r="J16" s="70" t="str">
        <f ca="1">IFERROR( INDIRECT("'"&amp;$A16&amp;"'!E"&amp;(27+COLUMN()-COLUMN($C$2))) /INDIRECT("'"&amp;$A16&amp;"'!D"&amp;(27+COLUMN()-COLUMN($C$2)))-1, "")</f>
        <v/>
      </c>
      <c r="K16" s="70" t="str">
        <f ca="1">IFERROR( INDIRECT("'"&amp;$A16&amp;"'!E"&amp;(27+COLUMN()-COLUMN($C$2))) /INDIRECT("'"&amp;$A16&amp;"'!D"&amp;(27+COLUMN()-COLUMN($C$2)))-1, "")</f>
        <v/>
      </c>
    </row>
    <row r="17" spans="1:11" x14ac:dyDescent="0.45">
      <c r="A17" t="s">
        <v>92</v>
      </c>
      <c r="B17">
        <v>63010060</v>
      </c>
      <c r="C17" s="70">
        <f ca="1">IFERROR( INDIRECT("'"&amp;$A17&amp;"'!E"&amp;(27+COLUMN()-COLUMN($C$2))) /INDIRECT("'"&amp;$A17&amp;"'!D"&amp;(27+COLUMN()-COLUMN($C$2)))-1, "")</f>
        <v>-7.3112291153994979E-3</v>
      </c>
      <c r="D17" s="70">
        <f ca="1">IFERROR( INDIRECT("'"&amp;$A17&amp;"'!E"&amp;(27+COLUMN()-COLUMN($C$2))) /INDIRECT("'"&amp;$A17&amp;"'!D"&amp;(27+COLUMN()-COLUMN($C$2)))-1, "")</f>
        <v>-2.9369365492608601E-3</v>
      </c>
      <c r="E17" s="70">
        <f ca="1">IFERROR( INDIRECT("'"&amp;$A17&amp;"'!E"&amp;(27+COLUMN()-COLUMN($C$2))) /INDIRECT("'"&amp;$A17&amp;"'!D"&amp;(27+COLUMN()-COLUMN($C$2)))-1, "")</f>
        <v>-2.7087405752581617E-3</v>
      </c>
      <c r="F17" s="70">
        <f ca="1">IFERROR( INDIRECT("'"&amp;$A17&amp;"'!E"&amp;(27+COLUMN()-COLUMN($C$2))) /INDIRECT("'"&amp;$A17&amp;"'!D"&amp;(27+COLUMN()-COLUMN($C$2)))-1, "")</f>
        <v>1.0943912448699855E-3</v>
      </c>
      <c r="G17" s="70">
        <f ca="1">IFERROR( INDIRECT("'"&amp;$A17&amp;"'!E"&amp;(27+COLUMN()-COLUMN($C$2))) /INDIRECT("'"&amp;$A17&amp;"'!D"&amp;(27+COLUMN()-COLUMN($C$2)))-1, "")</f>
        <v>3.6429872495458149E-4</v>
      </c>
      <c r="H17" s="70">
        <f ca="1">IFERROR( INDIRECT("'"&amp;$A17&amp;"'!E"&amp;(27+COLUMN()-COLUMN($C$2))) /INDIRECT("'"&amp;$A17&amp;"'!D"&amp;(27+COLUMN()-COLUMN($C$2)))-1, "")</f>
        <v>9.596928982724684E-4</v>
      </c>
      <c r="I17" s="70" t="str">
        <f ca="1">IFERROR( INDIRECT("'"&amp;$A17&amp;"'!E"&amp;(27+COLUMN()-COLUMN($C$2))) /INDIRECT("'"&amp;$A17&amp;"'!D"&amp;(27+COLUMN()-COLUMN($C$2)))-1, "")</f>
        <v/>
      </c>
      <c r="J17" s="70" t="str">
        <f ca="1">IFERROR( INDIRECT("'"&amp;$A17&amp;"'!E"&amp;(27+COLUMN()-COLUMN($C$2))) /INDIRECT("'"&amp;$A17&amp;"'!D"&amp;(27+COLUMN()-COLUMN($C$2)))-1, "")</f>
        <v/>
      </c>
      <c r="K17" s="70" t="str">
        <f ca="1">IFERROR( INDIRECT("'"&amp;$A17&amp;"'!E"&amp;(27+COLUMN()-COLUMN($C$2))) /INDIRECT("'"&amp;$A17&amp;"'!D"&amp;(27+COLUMN()-COLUMN($C$2)))-1, "")</f>
        <v/>
      </c>
    </row>
    <row r="18" spans="1:11" x14ac:dyDescent="0.45">
      <c r="A18" t="s">
        <v>93</v>
      </c>
      <c r="B18">
        <v>63010061</v>
      </c>
      <c r="C18" s="70">
        <f ca="1">IFERROR( INDIRECT("'"&amp;$A18&amp;"'!E"&amp;(27+COLUMN()-COLUMN($C$2))) /INDIRECT("'"&amp;$A18&amp;"'!D"&amp;(27+COLUMN()-COLUMN($C$2)))-1, "")</f>
        <v>-2.4418644591763128E-2</v>
      </c>
      <c r="D18" s="70">
        <f ca="1">IFERROR( INDIRECT("'"&amp;$A18&amp;"'!E"&amp;(27+COLUMN()-COLUMN($C$2))) /INDIRECT("'"&amp;$A18&amp;"'!D"&amp;(27+COLUMN()-COLUMN($C$2)))-1, "")</f>
        <v>-3.5925696594427348E-2</v>
      </c>
      <c r="E18" s="70">
        <f ca="1">IFERROR( INDIRECT("'"&amp;$A18&amp;"'!E"&amp;(27+COLUMN()-COLUMN($C$2))) /INDIRECT("'"&amp;$A18&amp;"'!D"&amp;(27+COLUMN()-COLUMN($C$2)))-1, "")</f>
        <v>-2.280250091945546E-3</v>
      </c>
      <c r="F18" s="70">
        <f ca="1">IFERROR( INDIRECT("'"&amp;$A18&amp;"'!E"&amp;(27+COLUMN()-COLUMN($C$2))) /INDIRECT("'"&amp;$A18&amp;"'!D"&amp;(27+COLUMN()-COLUMN($C$2)))-1, "")</f>
        <v>4.7452054794520526E-2</v>
      </c>
      <c r="G18" s="70">
        <f ca="1">IFERROR( INDIRECT("'"&amp;$A18&amp;"'!E"&amp;(27+COLUMN()-COLUMN($C$2))) /INDIRECT("'"&amp;$A18&amp;"'!D"&amp;(27+COLUMN()-COLUMN($C$2)))-1, "")</f>
        <v>5.9574468085106247E-2</v>
      </c>
      <c r="H18" s="70">
        <f ca="1">IFERROR( INDIRECT("'"&amp;$A18&amp;"'!E"&amp;(27+COLUMN()-COLUMN($C$2))) /INDIRECT("'"&amp;$A18&amp;"'!D"&amp;(27+COLUMN()-COLUMN($C$2)))-1, "")</f>
        <v>-3.2456140350877294E-2</v>
      </c>
      <c r="I18" s="70" t="str">
        <f ca="1">IFERROR( INDIRECT("'"&amp;$A18&amp;"'!E"&amp;(27+COLUMN()-COLUMN($C$2))) /INDIRECT("'"&amp;$A18&amp;"'!D"&amp;(27+COLUMN()-COLUMN($C$2)))-1, "")</f>
        <v/>
      </c>
      <c r="J18" s="70" t="str">
        <f ca="1">IFERROR( INDIRECT("'"&amp;$A18&amp;"'!E"&amp;(27+COLUMN()-COLUMN($C$2))) /INDIRECT("'"&amp;$A18&amp;"'!D"&amp;(27+COLUMN()-COLUMN($C$2)))-1, "")</f>
        <v/>
      </c>
      <c r="K18" s="70" t="str">
        <f ca="1">IFERROR( INDIRECT("'"&amp;$A18&amp;"'!E"&amp;(27+COLUMN()-COLUMN($C$2))) /INDIRECT("'"&amp;$A18&amp;"'!D"&amp;(27+COLUMN()-COLUMN($C$2)))-1, "")</f>
        <v/>
      </c>
    </row>
    <row r="19" spans="1:11" x14ac:dyDescent="0.45">
      <c r="A19" t="s">
        <v>94</v>
      </c>
      <c r="B19">
        <v>63010062</v>
      </c>
      <c r="C19" s="70">
        <f ca="1">IFERROR( INDIRECT("'"&amp;$A19&amp;"'!E"&amp;(27+COLUMN()-COLUMN($C$2))) /INDIRECT("'"&amp;$A19&amp;"'!D"&amp;(27+COLUMN()-COLUMN($C$2)))-1, "")</f>
        <v>-5.0281236701389509E-2</v>
      </c>
      <c r="D19" s="70">
        <f ca="1">IFERROR( INDIRECT("'"&amp;$A19&amp;"'!E"&amp;(27+COLUMN()-COLUMN($C$2))) /INDIRECT("'"&amp;$A19&amp;"'!D"&amp;(27+COLUMN()-COLUMN($C$2)))-1, "")</f>
        <v>-5.5304774404544177E-2</v>
      </c>
      <c r="E19" s="70">
        <f ca="1">IFERROR( INDIRECT("'"&amp;$A19&amp;"'!E"&amp;(27+COLUMN()-COLUMN($C$2))) /INDIRECT("'"&amp;$A19&amp;"'!D"&amp;(27+COLUMN()-COLUMN($C$2)))-1, "")</f>
        <v>-6.5810295075863334E-2</v>
      </c>
      <c r="F19" s="70">
        <f ca="1">IFERROR( INDIRECT("'"&amp;$A19&amp;"'!E"&amp;(27+COLUMN()-COLUMN($C$2))) /INDIRECT("'"&amp;$A19&amp;"'!D"&amp;(27+COLUMN()-COLUMN($C$2)))-1, "")</f>
        <v>-5.7099863201094392E-2</v>
      </c>
      <c r="G19" s="70">
        <f ca="1">IFERROR( INDIRECT("'"&amp;$A19&amp;"'!E"&amp;(27+COLUMN()-COLUMN($C$2))) /INDIRECT("'"&amp;$A19&amp;"'!D"&amp;(27+COLUMN()-COLUMN($C$2)))-1, "")</f>
        <v>-5.2823315118397107E-2</v>
      </c>
      <c r="H19" s="70">
        <f ca="1">IFERROR( INDIRECT("'"&amp;$A19&amp;"'!E"&amp;(27+COLUMN()-COLUMN($C$2))) /INDIRECT("'"&amp;$A19&amp;"'!D"&amp;(27+COLUMN()-COLUMN($C$2)))-1, "")</f>
        <v>-2.6679462571976953E-2</v>
      </c>
      <c r="I19" s="70" t="str">
        <f ca="1">IFERROR( INDIRECT("'"&amp;$A19&amp;"'!E"&amp;(27+COLUMN()-COLUMN($C$2))) /INDIRECT("'"&amp;$A19&amp;"'!D"&amp;(27+COLUMN()-COLUMN($C$2)))-1, "")</f>
        <v/>
      </c>
      <c r="J19" s="70" t="str">
        <f ca="1">IFERROR( INDIRECT("'"&amp;$A19&amp;"'!E"&amp;(27+COLUMN()-COLUMN($C$2))) /INDIRECT("'"&amp;$A19&amp;"'!D"&amp;(27+COLUMN()-COLUMN($C$2)))-1, "")</f>
        <v/>
      </c>
      <c r="K19" s="70" t="str">
        <f ca="1">IFERROR( INDIRECT("'"&amp;$A19&amp;"'!E"&amp;(27+COLUMN()-COLUMN($C$2))) /INDIRECT("'"&amp;$A19&amp;"'!D"&amp;(27+COLUMN()-COLUMN($C$2)))-1, "")</f>
        <v/>
      </c>
    </row>
    <row r="20" spans="1:11" x14ac:dyDescent="0.45">
      <c r="A20" t="s">
        <v>95</v>
      </c>
      <c r="B20">
        <v>63010063</v>
      </c>
      <c r="C20" s="70">
        <f ca="1">IFERROR( INDIRECT("'"&amp;$A20&amp;"'!E"&amp;(27+COLUMN()-COLUMN($C$2))) /INDIRECT("'"&amp;$A20&amp;"'!D"&amp;(27+COLUMN()-COLUMN($C$2)))-1, "")</f>
        <v>4.0612799970407565E-4</v>
      </c>
      <c r="D20" s="70">
        <f ca="1">IFERROR( INDIRECT("'"&amp;$A20&amp;"'!E"&amp;(27+COLUMN()-COLUMN($C$2))) /INDIRECT("'"&amp;$A20&amp;"'!D"&amp;(27+COLUMN()-COLUMN($C$2)))-1, "")</f>
        <v>5.7619898014071858E-3</v>
      </c>
      <c r="E20" s="70">
        <f ca="1">IFERROR( INDIRECT("'"&amp;$A20&amp;"'!E"&amp;(27+COLUMN()-COLUMN($C$2))) /INDIRECT("'"&amp;$A20&amp;"'!D"&amp;(27+COLUMN()-COLUMN($C$2)))-1, "")</f>
        <v>9.3083868565568828E-4</v>
      </c>
      <c r="F20" s="70">
        <f ca="1">IFERROR( INDIRECT("'"&amp;$A20&amp;"'!E"&amp;(27+COLUMN()-COLUMN($C$2))) /INDIRECT("'"&amp;$A20&amp;"'!D"&amp;(27+COLUMN()-COLUMN($C$2)))-1, "")</f>
        <v>-5.1983584131320981E-4</v>
      </c>
      <c r="G20" s="70">
        <f ca="1">IFERROR( INDIRECT("'"&amp;$A20&amp;"'!E"&amp;(27+COLUMN()-COLUMN($C$2))) /INDIRECT("'"&amp;$A20&amp;"'!D"&amp;(27+COLUMN()-COLUMN($C$2)))-1, "")</f>
        <v>7.2859744990894093E-4</v>
      </c>
      <c r="H20" s="70">
        <f ca="1">IFERROR( INDIRECT("'"&amp;$A20&amp;"'!E"&amp;(27+COLUMN()-COLUMN($C$2))) /INDIRECT("'"&amp;$A20&amp;"'!D"&amp;(27+COLUMN()-COLUMN($C$2)))-1, "")</f>
        <v>0</v>
      </c>
      <c r="I20" s="70" t="str">
        <f ca="1">IFERROR( INDIRECT("'"&amp;$A20&amp;"'!E"&amp;(27+COLUMN()-COLUMN($C$2))) /INDIRECT("'"&amp;$A20&amp;"'!D"&amp;(27+COLUMN()-COLUMN($C$2)))-1, "")</f>
        <v/>
      </c>
      <c r="J20" s="70" t="str">
        <f ca="1">IFERROR( INDIRECT("'"&amp;$A20&amp;"'!E"&amp;(27+COLUMN()-COLUMN($C$2))) /INDIRECT("'"&amp;$A20&amp;"'!D"&amp;(27+COLUMN()-COLUMN($C$2)))-1, "")</f>
        <v/>
      </c>
      <c r="K20" s="70" t="str">
        <f ca="1">IFERROR( INDIRECT("'"&amp;$A20&amp;"'!E"&amp;(27+COLUMN()-COLUMN($C$2))) /INDIRECT("'"&amp;$A20&amp;"'!D"&amp;(27+COLUMN()-COLUMN($C$2)))-1, "")</f>
        <v/>
      </c>
    </row>
    <row r="21" spans="1:11" x14ac:dyDescent="0.45">
      <c r="A21" t="s">
        <v>96</v>
      </c>
      <c r="B21">
        <v>63010064</v>
      </c>
      <c r="C21" s="70">
        <f ca="1">IFERROR( INDIRECT("'"&amp;$A21&amp;"'!E"&amp;(27+COLUMN()-COLUMN($C$2))) /INDIRECT("'"&amp;$A21&amp;"'!D"&amp;(27+COLUMN()-COLUMN($C$2)))-1, "")</f>
        <v>8.8946518737333946E-3</v>
      </c>
      <c r="D21" s="70">
        <f ca="1">IFERROR( INDIRECT("'"&amp;$A21&amp;"'!E"&amp;(27+COLUMN()-COLUMN($C$2))) /INDIRECT("'"&amp;$A21&amp;"'!D"&amp;(27+COLUMN()-COLUMN($C$2)))-1, "")</f>
        <v>2.779772961816307E-2</v>
      </c>
      <c r="E21" s="70">
        <f ca="1">IFERROR( INDIRECT("'"&amp;$A21&amp;"'!E"&amp;(27+COLUMN()-COLUMN($C$2))) /INDIRECT("'"&amp;$A21&amp;"'!D"&amp;(27+COLUMN()-COLUMN($C$2)))-1, "")</f>
        <v>1.2136815005516777E-2</v>
      </c>
      <c r="F21" s="70">
        <f ca="1">IFERROR( INDIRECT("'"&amp;$A21&amp;"'!E"&amp;(27+COLUMN()-COLUMN($C$2))) /INDIRECT("'"&amp;$A21&amp;"'!D"&amp;(27+COLUMN()-COLUMN($C$2)))-1, "")</f>
        <v>-1.6438356164384382E-3</v>
      </c>
      <c r="G21" s="70">
        <f ca="1">IFERROR( INDIRECT("'"&amp;$A21&amp;"'!E"&amp;(27+COLUMN()-COLUMN($C$2))) /INDIRECT("'"&amp;$A21&amp;"'!D"&amp;(27+COLUMN()-COLUMN($C$2)))-1, "")</f>
        <v>7.3887814313346123E-2</v>
      </c>
      <c r="H21" s="70">
        <f ca="1">IFERROR( INDIRECT("'"&amp;$A21&amp;"'!E"&amp;(27+COLUMN()-COLUMN($C$2))) /INDIRECT("'"&amp;$A21&amp;"'!D"&amp;(27+COLUMN()-COLUMN($C$2)))-1, "")</f>
        <v>6.0087719298245634E-2</v>
      </c>
      <c r="I21" s="70" t="str">
        <f ca="1">IFERROR( INDIRECT("'"&amp;$A21&amp;"'!E"&amp;(27+COLUMN()-COLUMN($C$2))) /INDIRECT("'"&amp;$A21&amp;"'!D"&amp;(27+COLUMN()-COLUMN($C$2)))-1, "")</f>
        <v/>
      </c>
      <c r="J21" s="70" t="str">
        <f ca="1">IFERROR( INDIRECT("'"&amp;$A21&amp;"'!E"&amp;(27+COLUMN()-COLUMN($C$2))) /INDIRECT("'"&amp;$A21&amp;"'!D"&amp;(27+COLUMN()-COLUMN($C$2)))-1, "")</f>
        <v/>
      </c>
      <c r="K21" s="70" t="str">
        <f ca="1">IFERROR( INDIRECT("'"&amp;$A21&amp;"'!E"&amp;(27+COLUMN()-COLUMN($C$2))) /INDIRECT("'"&amp;$A21&amp;"'!D"&amp;(27+COLUMN()-COLUMN($C$2)))-1, "")</f>
        <v/>
      </c>
    </row>
    <row r="22" spans="1:11" x14ac:dyDescent="0.45">
      <c r="A22" t="s">
        <v>97</v>
      </c>
      <c r="B22">
        <v>63010065</v>
      </c>
      <c r="C22" s="70" t="str">
        <f ca="1">IFERROR( INDIRECT("'"&amp;$A22&amp;"'!E"&amp;(27+COLUMN()-COLUMN($C$2))) /INDIRECT("'"&amp;$A22&amp;"'!D"&amp;(27+COLUMN()-COLUMN($C$2)))-1, "")</f>
        <v/>
      </c>
      <c r="D22" s="70" t="str">
        <f ca="1">IFERROR( INDIRECT("'"&amp;$A22&amp;"'!E"&amp;(27+COLUMN()-COLUMN($C$2))) /INDIRECT("'"&amp;$A22&amp;"'!D"&amp;(27+COLUMN()-COLUMN($C$2)))-1, "")</f>
        <v/>
      </c>
      <c r="E22" s="70" t="str">
        <f ca="1">IFERROR( INDIRECT("'"&amp;$A22&amp;"'!E"&amp;(27+COLUMN()-COLUMN($C$2))) /INDIRECT("'"&amp;$A22&amp;"'!D"&amp;(27+COLUMN()-COLUMN($C$2)))-1, "")</f>
        <v/>
      </c>
      <c r="F22" s="70" t="str">
        <f ca="1">IFERROR( INDIRECT("'"&amp;$A22&amp;"'!E"&amp;(27+COLUMN()-COLUMN($C$2))) /INDIRECT("'"&amp;$A22&amp;"'!D"&amp;(27+COLUMN()-COLUMN($C$2)))-1, "")</f>
        <v/>
      </c>
      <c r="G22" s="70" t="str">
        <f ca="1">IFERROR( INDIRECT("'"&amp;$A22&amp;"'!E"&amp;(27+COLUMN()-COLUMN($C$2))) /INDIRECT("'"&amp;$A22&amp;"'!D"&amp;(27+COLUMN()-COLUMN($C$2)))-1, "")</f>
        <v/>
      </c>
      <c r="H22" s="70" t="str">
        <f ca="1">IFERROR( INDIRECT("'"&amp;$A22&amp;"'!E"&amp;(27+COLUMN()-COLUMN($C$2))) /INDIRECT("'"&amp;$A22&amp;"'!D"&amp;(27+COLUMN()-COLUMN($C$2)))-1, "")</f>
        <v/>
      </c>
      <c r="I22" s="70" t="str">
        <f ca="1">IFERROR( INDIRECT("'"&amp;$A22&amp;"'!E"&amp;(27+COLUMN()-COLUMN($C$2))) /INDIRECT("'"&amp;$A22&amp;"'!D"&amp;(27+COLUMN()-COLUMN($C$2)))-1, "")</f>
        <v/>
      </c>
      <c r="J22" s="70" t="str">
        <f ca="1">IFERROR( INDIRECT("'"&amp;$A22&amp;"'!E"&amp;(27+COLUMN()-COLUMN($C$2))) /INDIRECT("'"&amp;$A22&amp;"'!D"&amp;(27+COLUMN()-COLUMN($C$2)))-1, "")</f>
        <v/>
      </c>
      <c r="K22" s="70" t="str">
        <f ca="1">IFERROR( INDIRECT("'"&amp;$A22&amp;"'!E"&amp;(27+COLUMN()-COLUMN($C$2))) /INDIRECT("'"&amp;$A22&amp;"'!D"&amp;(27+COLUMN()-COLUMN($C$2)))-1, "")</f>
        <v/>
      </c>
    </row>
    <row r="23" spans="1:11" x14ac:dyDescent="0.45">
      <c r="A23" t="s">
        <v>98</v>
      </c>
      <c r="B23">
        <v>63010066</v>
      </c>
      <c r="C23" s="70" t="str">
        <f ca="1">IFERROR( INDIRECT("'"&amp;$A23&amp;"'!E"&amp;(27+COLUMN()-COLUMN($C$2))) /INDIRECT("'"&amp;$A23&amp;"'!D"&amp;(27+COLUMN()-COLUMN($C$2)))-1, "")</f>
        <v/>
      </c>
      <c r="D23" s="70" t="str">
        <f ca="1">IFERROR( INDIRECT("'"&amp;$A23&amp;"'!E"&amp;(27+COLUMN()-COLUMN($C$2))) /INDIRECT("'"&amp;$A23&amp;"'!D"&amp;(27+COLUMN()-COLUMN($C$2)))-1, "")</f>
        <v/>
      </c>
      <c r="E23" s="70" t="str">
        <f ca="1">IFERROR( INDIRECT("'"&amp;$A23&amp;"'!E"&amp;(27+COLUMN()-COLUMN($C$2))) /INDIRECT("'"&amp;$A23&amp;"'!D"&amp;(27+COLUMN()-COLUMN($C$2)))-1, "")</f>
        <v/>
      </c>
      <c r="F23" s="70" t="str">
        <f ca="1">IFERROR( INDIRECT("'"&amp;$A23&amp;"'!E"&amp;(27+COLUMN()-COLUMN($C$2))) /INDIRECT("'"&amp;$A23&amp;"'!D"&amp;(27+COLUMN()-COLUMN($C$2)))-1, "")</f>
        <v/>
      </c>
      <c r="G23" s="70" t="str">
        <f ca="1">IFERROR( INDIRECT("'"&amp;$A23&amp;"'!E"&amp;(27+COLUMN()-COLUMN($C$2))) /INDIRECT("'"&amp;$A23&amp;"'!D"&amp;(27+COLUMN()-COLUMN($C$2)))-1, "")</f>
        <v/>
      </c>
      <c r="H23" s="70" t="str">
        <f ca="1">IFERROR( INDIRECT("'"&amp;$A23&amp;"'!E"&amp;(27+COLUMN()-COLUMN($C$2))) /INDIRECT("'"&amp;$A23&amp;"'!D"&amp;(27+COLUMN()-COLUMN($C$2)))-1, "")</f>
        <v/>
      </c>
      <c r="I23" s="70" t="str">
        <f ca="1">IFERROR( INDIRECT("'"&amp;$A23&amp;"'!E"&amp;(27+COLUMN()-COLUMN($C$2))) /INDIRECT("'"&amp;$A23&amp;"'!D"&amp;(27+COLUMN()-COLUMN($C$2)))-1, "")</f>
        <v/>
      </c>
      <c r="J23" s="70" t="str">
        <f ca="1">IFERROR( INDIRECT("'"&amp;$A23&amp;"'!E"&amp;(27+COLUMN()-COLUMN($C$2))) /INDIRECT("'"&amp;$A23&amp;"'!D"&amp;(27+COLUMN()-COLUMN($C$2)))-1, "")</f>
        <v/>
      </c>
      <c r="K23" s="70" t="str">
        <f ca="1">IFERROR( INDIRECT("'"&amp;$A23&amp;"'!E"&amp;(27+COLUMN()-COLUMN($C$2))) /INDIRECT("'"&amp;$A23&amp;"'!D"&amp;(27+COLUMN()-COLUMN($C$2)))-1, "")</f>
        <v/>
      </c>
    </row>
    <row r="24" spans="1:11" x14ac:dyDescent="0.45">
      <c r="A24" t="s">
        <v>99</v>
      </c>
      <c r="B24">
        <v>63010067</v>
      </c>
      <c r="C24" s="70" t="str">
        <f ca="1">IFERROR( INDIRECT("'"&amp;$A24&amp;"'!E"&amp;(27+COLUMN()-COLUMN($C$2))) /INDIRECT("'"&amp;$A24&amp;"'!D"&amp;(27+COLUMN()-COLUMN($C$2)))-1, "")</f>
        <v/>
      </c>
      <c r="D24" s="70" t="str">
        <f ca="1">IFERROR( INDIRECT("'"&amp;$A24&amp;"'!E"&amp;(27+COLUMN()-COLUMN($C$2))) /INDIRECT("'"&amp;$A24&amp;"'!D"&amp;(27+COLUMN()-COLUMN($C$2)))-1, "")</f>
        <v/>
      </c>
      <c r="E24" s="70" t="str">
        <f ca="1">IFERROR( INDIRECT("'"&amp;$A24&amp;"'!E"&amp;(27+COLUMN()-COLUMN($C$2))) /INDIRECT("'"&amp;$A24&amp;"'!D"&amp;(27+COLUMN()-COLUMN($C$2)))-1, "")</f>
        <v/>
      </c>
      <c r="F24" s="70" t="str">
        <f ca="1">IFERROR( INDIRECT("'"&amp;$A24&amp;"'!E"&amp;(27+COLUMN()-COLUMN($C$2))) /INDIRECT("'"&amp;$A24&amp;"'!D"&amp;(27+COLUMN()-COLUMN($C$2)))-1, "")</f>
        <v/>
      </c>
      <c r="G24" s="70" t="str">
        <f ca="1">IFERROR( INDIRECT("'"&amp;$A24&amp;"'!E"&amp;(27+COLUMN()-COLUMN($C$2))) /INDIRECT("'"&amp;$A24&amp;"'!D"&amp;(27+COLUMN()-COLUMN($C$2)))-1, "")</f>
        <v/>
      </c>
      <c r="H24" s="70" t="str">
        <f ca="1">IFERROR( INDIRECT("'"&amp;$A24&amp;"'!E"&amp;(27+COLUMN()-COLUMN($C$2))) /INDIRECT("'"&amp;$A24&amp;"'!D"&amp;(27+COLUMN()-COLUMN($C$2)))-1, "")</f>
        <v/>
      </c>
      <c r="I24" s="70" t="str">
        <f ca="1">IFERROR( INDIRECT("'"&amp;$A24&amp;"'!E"&amp;(27+COLUMN()-COLUMN($C$2))) /INDIRECT("'"&amp;$A24&amp;"'!D"&amp;(27+COLUMN()-COLUMN($C$2)))-1, "")</f>
        <v/>
      </c>
      <c r="J24" s="70" t="str">
        <f ca="1">IFERROR( INDIRECT("'"&amp;$A24&amp;"'!E"&amp;(27+COLUMN()-COLUMN($C$2))) /INDIRECT("'"&amp;$A24&amp;"'!D"&amp;(27+COLUMN()-COLUMN($C$2)))-1, "")</f>
        <v/>
      </c>
      <c r="K24" s="70" t="str">
        <f ca="1">IFERROR( INDIRECT("'"&amp;$A24&amp;"'!E"&amp;(27+COLUMN()-COLUMN($C$2))) /INDIRECT("'"&amp;$A24&amp;"'!D"&amp;(27+COLUMN()-COLUMN($C$2)))-1, "")</f>
        <v/>
      </c>
    </row>
    <row r="25" spans="1:11" x14ac:dyDescent="0.45">
      <c r="A25" t="s">
        <v>100</v>
      </c>
      <c r="B25">
        <v>63010068</v>
      </c>
      <c r="C25" s="70" t="str">
        <f ca="1">IFERROR( INDIRECT("'"&amp;$A25&amp;"'!E"&amp;(27+COLUMN()-COLUMN($C$2))) /INDIRECT("'"&amp;$A25&amp;"'!D"&amp;(27+COLUMN()-COLUMN($C$2)))-1, "")</f>
        <v/>
      </c>
      <c r="D25" s="70" t="str">
        <f ca="1">IFERROR( INDIRECT("'"&amp;$A25&amp;"'!E"&amp;(27+COLUMN()-COLUMN($C$2))) /INDIRECT("'"&amp;$A25&amp;"'!D"&amp;(27+COLUMN()-COLUMN($C$2)))-1, "")</f>
        <v/>
      </c>
      <c r="E25" s="70" t="str">
        <f ca="1">IFERROR( INDIRECT("'"&amp;$A25&amp;"'!E"&amp;(27+COLUMN()-COLUMN($C$2))) /INDIRECT("'"&amp;$A25&amp;"'!D"&amp;(27+COLUMN()-COLUMN($C$2)))-1, "")</f>
        <v/>
      </c>
      <c r="F25" s="70" t="str">
        <f ca="1">IFERROR( INDIRECT("'"&amp;$A25&amp;"'!E"&amp;(27+COLUMN()-COLUMN($C$2))) /INDIRECT("'"&amp;$A25&amp;"'!D"&amp;(27+COLUMN()-COLUMN($C$2)))-1, "")</f>
        <v/>
      </c>
      <c r="G25" s="70" t="str">
        <f ca="1">IFERROR( INDIRECT("'"&amp;$A25&amp;"'!E"&amp;(27+COLUMN()-COLUMN($C$2))) /INDIRECT("'"&amp;$A25&amp;"'!D"&amp;(27+COLUMN()-COLUMN($C$2)))-1, "")</f>
        <v/>
      </c>
      <c r="H25" s="70" t="str">
        <f ca="1">IFERROR( INDIRECT("'"&amp;$A25&amp;"'!E"&amp;(27+COLUMN()-COLUMN($C$2))) /INDIRECT("'"&amp;$A25&amp;"'!D"&amp;(27+COLUMN()-COLUMN($C$2)))-1, "")</f>
        <v/>
      </c>
      <c r="I25" s="70" t="str">
        <f ca="1">IFERROR( INDIRECT("'"&amp;$A25&amp;"'!E"&amp;(27+COLUMN()-COLUMN($C$2))) /INDIRECT("'"&amp;$A25&amp;"'!D"&amp;(27+COLUMN()-COLUMN($C$2)))-1, "")</f>
        <v/>
      </c>
      <c r="J25" s="70" t="str">
        <f ca="1">IFERROR( INDIRECT("'"&amp;$A25&amp;"'!E"&amp;(27+COLUMN()-COLUMN($C$2))) /INDIRECT("'"&amp;$A25&amp;"'!D"&amp;(27+COLUMN()-COLUMN($C$2)))-1, "")</f>
        <v/>
      </c>
      <c r="K25" s="70" t="str">
        <f ca="1">IFERROR( INDIRECT("'"&amp;$A25&amp;"'!E"&amp;(27+COLUMN()-COLUMN($C$2))) /INDIRECT("'"&amp;$A25&amp;"'!D"&amp;(27+COLUMN()-COLUMN($C$2)))-1, "")</f>
        <v/>
      </c>
    </row>
    <row r="26" spans="1:11" x14ac:dyDescent="0.45">
      <c r="A26" t="s">
        <v>101</v>
      </c>
      <c r="B26">
        <v>63010069</v>
      </c>
      <c r="C26" s="70" t="str">
        <f ca="1">IFERROR( INDIRECT("'"&amp;$A26&amp;"'!E"&amp;(27+COLUMN()-COLUMN($C$2))) /INDIRECT("'"&amp;$A26&amp;"'!D"&amp;(27+COLUMN()-COLUMN($C$2)))-1, "")</f>
        <v/>
      </c>
      <c r="D26" s="70" t="str">
        <f ca="1">IFERROR( INDIRECT("'"&amp;$A26&amp;"'!E"&amp;(27+COLUMN()-COLUMN($C$2))) /INDIRECT("'"&amp;$A26&amp;"'!D"&amp;(27+COLUMN()-COLUMN($C$2)))-1, "")</f>
        <v/>
      </c>
      <c r="E26" s="70" t="str">
        <f ca="1">IFERROR( INDIRECT("'"&amp;$A26&amp;"'!E"&amp;(27+COLUMN()-COLUMN($C$2))) /INDIRECT("'"&amp;$A26&amp;"'!D"&amp;(27+COLUMN()-COLUMN($C$2)))-1, "")</f>
        <v/>
      </c>
      <c r="F26" s="70" t="str">
        <f ca="1">IFERROR( INDIRECT("'"&amp;$A26&amp;"'!E"&amp;(27+COLUMN()-COLUMN($C$2))) /INDIRECT("'"&amp;$A26&amp;"'!D"&amp;(27+COLUMN()-COLUMN($C$2)))-1, "")</f>
        <v/>
      </c>
      <c r="G26" s="70" t="str">
        <f ca="1">IFERROR( INDIRECT("'"&amp;$A26&amp;"'!E"&amp;(27+COLUMN()-COLUMN($C$2))) /INDIRECT("'"&amp;$A26&amp;"'!D"&amp;(27+COLUMN()-COLUMN($C$2)))-1, "")</f>
        <v/>
      </c>
      <c r="H26" s="70" t="str">
        <f ca="1">IFERROR( INDIRECT("'"&amp;$A26&amp;"'!E"&amp;(27+COLUMN()-COLUMN($C$2))) /INDIRECT("'"&amp;$A26&amp;"'!D"&amp;(27+COLUMN()-COLUMN($C$2)))-1, "")</f>
        <v/>
      </c>
      <c r="I26" s="70" t="str">
        <f ca="1">IFERROR( INDIRECT("'"&amp;$A26&amp;"'!E"&amp;(27+COLUMN()-COLUMN($C$2))) /INDIRECT("'"&amp;$A26&amp;"'!D"&amp;(27+COLUMN()-COLUMN($C$2)))-1, "")</f>
        <v/>
      </c>
      <c r="J26" s="70" t="str">
        <f ca="1">IFERROR( INDIRECT("'"&amp;$A26&amp;"'!E"&amp;(27+COLUMN()-COLUMN($C$2))) /INDIRECT("'"&amp;$A26&amp;"'!D"&amp;(27+COLUMN()-COLUMN($C$2)))-1, "")</f>
        <v/>
      </c>
      <c r="K26" s="70" t="str">
        <f ca="1">IFERROR( INDIRECT("'"&amp;$A26&amp;"'!E"&amp;(27+COLUMN()-COLUMN($C$2))) /INDIRECT("'"&amp;$A26&amp;"'!D"&amp;(27+COLUMN()-COLUMN($C$2)))-1, "")</f>
        <v/>
      </c>
    </row>
    <row r="27" spans="1:11" x14ac:dyDescent="0.45">
      <c r="A27" t="s">
        <v>102</v>
      </c>
      <c r="B27">
        <v>63010070</v>
      </c>
      <c r="C27" s="70" t="str">
        <f ca="1">IFERROR( INDIRECT("'"&amp;$A27&amp;"'!E"&amp;(27+COLUMN()-COLUMN($C$2))) /INDIRECT("'"&amp;$A27&amp;"'!D"&amp;(27+COLUMN()-COLUMN($C$2)))-1, "")</f>
        <v/>
      </c>
      <c r="D27" s="70" t="str">
        <f ca="1">IFERROR( INDIRECT("'"&amp;$A27&amp;"'!E"&amp;(27+COLUMN()-COLUMN($C$2))) /INDIRECT("'"&amp;$A27&amp;"'!D"&amp;(27+COLUMN()-COLUMN($C$2)))-1, "")</f>
        <v/>
      </c>
      <c r="E27" s="70" t="str">
        <f ca="1">IFERROR( INDIRECT("'"&amp;$A27&amp;"'!E"&amp;(27+COLUMN()-COLUMN($C$2))) /INDIRECT("'"&amp;$A27&amp;"'!D"&amp;(27+COLUMN()-COLUMN($C$2)))-1, "")</f>
        <v/>
      </c>
      <c r="F27" s="70" t="str">
        <f ca="1">IFERROR( INDIRECT("'"&amp;$A27&amp;"'!E"&amp;(27+COLUMN()-COLUMN($C$2))) /INDIRECT("'"&amp;$A27&amp;"'!D"&amp;(27+COLUMN()-COLUMN($C$2)))-1, "")</f>
        <v/>
      </c>
      <c r="G27" s="70" t="str">
        <f ca="1">IFERROR( INDIRECT("'"&amp;$A27&amp;"'!E"&amp;(27+COLUMN()-COLUMN($C$2))) /INDIRECT("'"&amp;$A27&amp;"'!D"&amp;(27+COLUMN()-COLUMN($C$2)))-1, "")</f>
        <v/>
      </c>
      <c r="H27" s="70" t="str">
        <f ca="1">IFERROR( INDIRECT("'"&amp;$A27&amp;"'!E"&amp;(27+COLUMN()-COLUMN($C$2))) /INDIRECT("'"&amp;$A27&amp;"'!D"&amp;(27+COLUMN()-COLUMN($C$2)))-1, "")</f>
        <v/>
      </c>
      <c r="I27" s="70" t="str">
        <f ca="1">IFERROR( INDIRECT("'"&amp;$A27&amp;"'!E"&amp;(27+COLUMN()-COLUMN($C$2))) /INDIRECT("'"&amp;$A27&amp;"'!D"&amp;(27+COLUMN()-COLUMN($C$2)))-1, "")</f>
        <v/>
      </c>
      <c r="J27" s="70" t="str">
        <f ca="1">IFERROR( INDIRECT("'"&amp;$A27&amp;"'!E"&amp;(27+COLUMN()-COLUMN($C$2))) /INDIRECT("'"&amp;$A27&amp;"'!D"&amp;(27+COLUMN()-COLUMN($C$2)))-1, "")</f>
        <v/>
      </c>
      <c r="K27" s="70" t="str">
        <f ca="1">IFERROR( INDIRECT("'"&amp;$A27&amp;"'!E"&amp;(27+COLUMN()-COLUMN($C$2))) /INDIRECT("'"&amp;$A27&amp;"'!D"&amp;(27+COLUMN()-COLUMN($C$2)))-1, "")</f>
        <v/>
      </c>
    </row>
    <row r="28" spans="1:11" x14ac:dyDescent="0.45">
      <c r="A28" t="s">
        <v>103</v>
      </c>
      <c r="B28">
        <v>63010071</v>
      </c>
      <c r="C28" s="70" t="str">
        <f ca="1">IFERROR( INDIRECT("'"&amp;$A28&amp;"'!E"&amp;(27+COLUMN()-COLUMN($C$2))) /INDIRECT("'"&amp;$A28&amp;"'!D"&amp;(27+COLUMN()-COLUMN($C$2)))-1, "")</f>
        <v/>
      </c>
      <c r="D28" s="70" t="str">
        <f ca="1">IFERROR( INDIRECT("'"&amp;$A28&amp;"'!E"&amp;(27+COLUMN()-COLUMN($C$2))) /INDIRECT("'"&amp;$A28&amp;"'!D"&amp;(27+COLUMN()-COLUMN($C$2)))-1, "")</f>
        <v/>
      </c>
      <c r="E28" s="70" t="str">
        <f ca="1">IFERROR( INDIRECT("'"&amp;$A28&amp;"'!E"&amp;(27+COLUMN()-COLUMN($C$2))) /INDIRECT("'"&amp;$A28&amp;"'!D"&amp;(27+COLUMN()-COLUMN($C$2)))-1, "")</f>
        <v/>
      </c>
      <c r="F28" s="70" t="str">
        <f ca="1">IFERROR( INDIRECT("'"&amp;$A28&amp;"'!E"&amp;(27+COLUMN()-COLUMN($C$2))) /INDIRECT("'"&amp;$A28&amp;"'!D"&amp;(27+COLUMN()-COLUMN($C$2)))-1, "")</f>
        <v/>
      </c>
      <c r="G28" s="70" t="str">
        <f ca="1">IFERROR( INDIRECT("'"&amp;$A28&amp;"'!E"&amp;(27+COLUMN()-COLUMN($C$2))) /INDIRECT("'"&amp;$A28&amp;"'!D"&amp;(27+COLUMN()-COLUMN($C$2)))-1, "")</f>
        <v/>
      </c>
      <c r="H28" s="70" t="str">
        <f ca="1">IFERROR( INDIRECT("'"&amp;$A28&amp;"'!E"&amp;(27+COLUMN()-COLUMN($C$2))) /INDIRECT("'"&amp;$A28&amp;"'!D"&amp;(27+COLUMN()-COLUMN($C$2)))-1, "")</f>
        <v/>
      </c>
      <c r="I28" s="70" t="str">
        <f ca="1">IFERROR( INDIRECT("'"&amp;$A28&amp;"'!E"&amp;(27+COLUMN()-COLUMN($C$2))) /INDIRECT("'"&amp;$A28&amp;"'!D"&amp;(27+COLUMN()-COLUMN($C$2)))-1, "")</f>
        <v/>
      </c>
      <c r="J28" s="70" t="str">
        <f ca="1">IFERROR( INDIRECT("'"&amp;$A28&amp;"'!E"&amp;(27+COLUMN()-COLUMN($C$2))) /INDIRECT("'"&amp;$A28&amp;"'!D"&amp;(27+COLUMN()-COLUMN($C$2)))-1, "")</f>
        <v/>
      </c>
      <c r="K28" s="70" t="str">
        <f ca="1">IFERROR( INDIRECT("'"&amp;$A28&amp;"'!E"&amp;(27+COLUMN()-COLUMN($C$2))) /INDIRECT("'"&amp;$A28&amp;"'!D"&amp;(27+COLUMN()-COLUMN($C$2)))-1, "")</f>
        <v/>
      </c>
    </row>
    <row r="29" spans="1:11" x14ac:dyDescent="0.45">
      <c r="A29" t="s">
        <v>104</v>
      </c>
      <c r="B29">
        <v>63010072</v>
      </c>
      <c r="C29" s="70" t="str">
        <f ca="1">IFERROR( INDIRECT("'"&amp;$A29&amp;"'!E"&amp;(27+COLUMN()-COLUMN($C$2))) /INDIRECT("'"&amp;$A29&amp;"'!D"&amp;(27+COLUMN()-COLUMN($C$2)))-1, "")</f>
        <v/>
      </c>
      <c r="D29" s="70" t="str">
        <f ca="1">IFERROR( INDIRECT("'"&amp;$A29&amp;"'!E"&amp;(27+COLUMN()-COLUMN($C$2))) /INDIRECT("'"&amp;$A29&amp;"'!D"&amp;(27+COLUMN()-COLUMN($C$2)))-1, "")</f>
        <v/>
      </c>
      <c r="E29" s="70" t="str">
        <f ca="1">IFERROR( INDIRECT("'"&amp;$A29&amp;"'!E"&amp;(27+COLUMN()-COLUMN($C$2))) /INDIRECT("'"&amp;$A29&amp;"'!D"&amp;(27+COLUMN()-COLUMN($C$2)))-1, "")</f>
        <v/>
      </c>
      <c r="F29" s="70" t="str">
        <f ca="1">IFERROR( INDIRECT("'"&amp;$A29&amp;"'!E"&amp;(27+COLUMN()-COLUMN($C$2))) /INDIRECT("'"&amp;$A29&amp;"'!D"&amp;(27+COLUMN()-COLUMN($C$2)))-1, "")</f>
        <v/>
      </c>
      <c r="G29" s="70" t="str">
        <f ca="1">IFERROR( INDIRECT("'"&amp;$A29&amp;"'!E"&amp;(27+COLUMN()-COLUMN($C$2))) /INDIRECT("'"&amp;$A29&amp;"'!D"&amp;(27+COLUMN()-COLUMN($C$2)))-1, "")</f>
        <v/>
      </c>
      <c r="H29" s="70" t="str">
        <f ca="1">IFERROR( INDIRECT("'"&amp;$A29&amp;"'!E"&amp;(27+COLUMN()-COLUMN($C$2))) /INDIRECT("'"&amp;$A29&amp;"'!D"&amp;(27+COLUMN()-COLUMN($C$2)))-1, "")</f>
        <v/>
      </c>
      <c r="I29" s="70" t="str">
        <f ca="1">IFERROR( INDIRECT("'"&amp;$A29&amp;"'!E"&amp;(27+COLUMN()-COLUMN($C$2))) /INDIRECT("'"&amp;$A29&amp;"'!D"&amp;(27+COLUMN()-COLUMN($C$2)))-1, "")</f>
        <v/>
      </c>
      <c r="J29" s="70" t="str">
        <f ca="1">IFERROR( INDIRECT("'"&amp;$A29&amp;"'!E"&amp;(27+COLUMN()-COLUMN($C$2))) /INDIRECT("'"&amp;$A29&amp;"'!D"&amp;(27+COLUMN()-COLUMN($C$2)))-1, "")</f>
        <v/>
      </c>
      <c r="K29" s="70" t="str">
        <f ca="1">IFERROR( INDIRECT("'"&amp;$A29&amp;"'!E"&amp;(27+COLUMN()-COLUMN($C$2))) /INDIRECT("'"&amp;$A29&amp;"'!D"&amp;(27+COLUMN()-COLUMN($C$2)))-1, "")</f>
        <v/>
      </c>
    </row>
    <row r="30" spans="1:11" x14ac:dyDescent="0.45">
      <c r="A30" t="s">
        <v>105</v>
      </c>
      <c r="B30">
        <v>63010073</v>
      </c>
      <c r="C30" s="70" t="str">
        <f ca="1">IFERROR( INDIRECT("'"&amp;$A30&amp;"'!E"&amp;(27+COLUMN()-COLUMN($C$2))) /INDIRECT("'"&amp;$A30&amp;"'!D"&amp;(27+COLUMN()-COLUMN($C$2)))-1, "")</f>
        <v/>
      </c>
      <c r="D30" s="70" t="str">
        <f ca="1">IFERROR( INDIRECT("'"&amp;$A30&amp;"'!E"&amp;(27+COLUMN()-COLUMN($C$2))) /INDIRECT("'"&amp;$A30&amp;"'!D"&amp;(27+COLUMN()-COLUMN($C$2)))-1, "")</f>
        <v/>
      </c>
      <c r="E30" s="70" t="str">
        <f ca="1">IFERROR( INDIRECT("'"&amp;$A30&amp;"'!E"&amp;(27+COLUMN()-COLUMN($C$2))) /INDIRECT("'"&amp;$A30&amp;"'!D"&amp;(27+COLUMN()-COLUMN($C$2)))-1, "")</f>
        <v/>
      </c>
      <c r="F30" s="70" t="str">
        <f ca="1">IFERROR( INDIRECT("'"&amp;$A30&amp;"'!E"&amp;(27+COLUMN()-COLUMN($C$2))) /INDIRECT("'"&amp;$A30&amp;"'!D"&amp;(27+COLUMN()-COLUMN($C$2)))-1, "")</f>
        <v/>
      </c>
      <c r="G30" s="70" t="str">
        <f ca="1">IFERROR( INDIRECT("'"&amp;$A30&amp;"'!E"&amp;(27+COLUMN()-COLUMN($C$2))) /INDIRECT("'"&amp;$A30&amp;"'!D"&amp;(27+COLUMN()-COLUMN($C$2)))-1, "")</f>
        <v/>
      </c>
      <c r="H30" s="70" t="str">
        <f ca="1">IFERROR( INDIRECT("'"&amp;$A30&amp;"'!E"&amp;(27+COLUMN()-COLUMN($C$2))) /INDIRECT("'"&amp;$A30&amp;"'!D"&amp;(27+COLUMN()-COLUMN($C$2)))-1, "")</f>
        <v/>
      </c>
      <c r="I30" s="70" t="str">
        <f ca="1">IFERROR( INDIRECT("'"&amp;$A30&amp;"'!E"&amp;(27+COLUMN()-COLUMN($C$2))) /INDIRECT("'"&amp;$A30&amp;"'!D"&amp;(27+COLUMN()-COLUMN($C$2)))-1, "")</f>
        <v/>
      </c>
      <c r="J30" s="70" t="str">
        <f ca="1">IFERROR( INDIRECT("'"&amp;$A30&amp;"'!E"&amp;(27+COLUMN()-COLUMN($C$2))) /INDIRECT("'"&amp;$A30&amp;"'!D"&amp;(27+COLUMN()-COLUMN($C$2)))-1, "")</f>
        <v/>
      </c>
      <c r="K30" s="70" t="str">
        <f ca="1">IFERROR( INDIRECT("'"&amp;$A30&amp;"'!E"&amp;(27+COLUMN()-COLUMN($C$2))) /INDIRECT("'"&amp;$A30&amp;"'!D"&amp;(27+COLUMN()-COLUMN($C$2)))-1, "")</f>
        <v/>
      </c>
    </row>
    <row r="31" spans="1:11" x14ac:dyDescent="0.45">
      <c r="A31" t="s">
        <v>106</v>
      </c>
      <c r="B31">
        <v>63010074</v>
      </c>
      <c r="C31" s="70" t="str">
        <f ca="1">IFERROR( INDIRECT("'"&amp;$A31&amp;"'!E"&amp;(27+COLUMN()-COLUMN($C$2))) /INDIRECT("'"&amp;$A31&amp;"'!D"&amp;(27+COLUMN()-COLUMN($C$2)))-1, "")</f>
        <v/>
      </c>
      <c r="D31" s="70" t="str">
        <f ca="1">IFERROR( INDIRECT("'"&amp;$A31&amp;"'!E"&amp;(27+COLUMN()-COLUMN($C$2))) /INDIRECT("'"&amp;$A31&amp;"'!D"&amp;(27+COLUMN()-COLUMN($C$2)))-1, "")</f>
        <v/>
      </c>
      <c r="E31" s="70" t="str">
        <f ca="1">IFERROR( INDIRECT("'"&amp;$A31&amp;"'!E"&amp;(27+COLUMN()-COLUMN($C$2))) /INDIRECT("'"&amp;$A31&amp;"'!D"&amp;(27+COLUMN()-COLUMN($C$2)))-1, "")</f>
        <v/>
      </c>
      <c r="F31" s="70" t="str">
        <f ca="1">IFERROR( INDIRECT("'"&amp;$A31&amp;"'!E"&amp;(27+COLUMN()-COLUMN($C$2))) /INDIRECT("'"&amp;$A31&amp;"'!D"&amp;(27+COLUMN()-COLUMN($C$2)))-1, "")</f>
        <v/>
      </c>
      <c r="G31" s="70" t="str">
        <f ca="1">IFERROR( INDIRECT("'"&amp;$A31&amp;"'!E"&amp;(27+COLUMN()-COLUMN($C$2))) /INDIRECT("'"&amp;$A31&amp;"'!D"&amp;(27+COLUMN()-COLUMN($C$2)))-1, "")</f>
        <v/>
      </c>
      <c r="H31" s="70" t="str">
        <f ca="1">IFERROR( INDIRECT("'"&amp;$A31&amp;"'!E"&amp;(27+COLUMN()-COLUMN($C$2))) /INDIRECT("'"&amp;$A31&amp;"'!D"&amp;(27+COLUMN()-COLUMN($C$2)))-1, "")</f>
        <v/>
      </c>
      <c r="I31" s="70" t="str">
        <f ca="1">IFERROR( INDIRECT("'"&amp;$A31&amp;"'!E"&amp;(27+COLUMN()-COLUMN($C$2))) /INDIRECT("'"&amp;$A31&amp;"'!D"&amp;(27+COLUMN()-COLUMN($C$2)))-1, "")</f>
        <v/>
      </c>
      <c r="J31" s="70" t="str">
        <f ca="1">IFERROR( INDIRECT("'"&amp;$A31&amp;"'!E"&amp;(27+COLUMN()-COLUMN($C$2))) /INDIRECT("'"&amp;$A31&amp;"'!D"&amp;(27+COLUMN()-COLUMN($C$2)))-1, "")</f>
        <v/>
      </c>
      <c r="K31" s="70" t="str">
        <f ca="1">IFERROR( INDIRECT("'"&amp;$A31&amp;"'!E"&amp;(27+COLUMN()-COLUMN($C$2))) /INDIRECT("'"&amp;$A31&amp;"'!D"&amp;(27+COLUMN()-COLUMN($C$2)))-1, "")</f>
        <v/>
      </c>
    </row>
    <row r="32" spans="1:11" x14ac:dyDescent="0.45">
      <c r="A32" t="s">
        <v>107</v>
      </c>
      <c r="B32">
        <v>63010075</v>
      </c>
      <c r="C32" s="70" t="str">
        <f ca="1">IFERROR( INDIRECT("'"&amp;$A32&amp;"'!E"&amp;(27+COLUMN()-COLUMN($C$2))) /INDIRECT("'"&amp;$A32&amp;"'!D"&amp;(27+COLUMN()-COLUMN($C$2)))-1, "")</f>
        <v/>
      </c>
      <c r="D32" s="70" t="str">
        <f ca="1">IFERROR( INDIRECT("'"&amp;$A32&amp;"'!E"&amp;(27+COLUMN()-COLUMN($C$2))) /INDIRECT("'"&amp;$A32&amp;"'!D"&amp;(27+COLUMN()-COLUMN($C$2)))-1, "")</f>
        <v/>
      </c>
      <c r="E32" s="70" t="str">
        <f ca="1">IFERROR( INDIRECT("'"&amp;$A32&amp;"'!E"&amp;(27+COLUMN()-COLUMN($C$2))) /INDIRECT("'"&amp;$A32&amp;"'!D"&amp;(27+COLUMN()-COLUMN($C$2)))-1, "")</f>
        <v/>
      </c>
      <c r="F32" s="70" t="str">
        <f ca="1">IFERROR( INDIRECT("'"&amp;$A32&amp;"'!E"&amp;(27+COLUMN()-COLUMN($C$2))) /INDIRECT("'"&amp;$A32&amp;"'!D"&amp;(27+COLUMN()-COLUMN($C$2)))-1, "")</f>
        <v/>
      </c>
      <c r="G32" s="70" t="str">
        <f ca="1">IFERROR( INDIRECT("'"&amp;$A32&amp;"'!E"&amp;(27+COLUMN()-COLUMN($C$2))) /INDIRECT("'"&amp;$A32&amp;"'!D"&amp;(27+COLUMN()-COLUMN($C$2)))-1, "")</f>
        <v/>
      </c>
      <c r="H32" s="70" t="str">
        <f ca="1">IFERROR( INDIRECT("'"&amp;$A32&amp;"'!E"&amp;(27+COLUMN()-COLUMN($C$2))) /INDIRECT("'"&amp;$A32&amp;"'!D"&amp;(27+COLUMN()-COLUMN($C$2)))-1, "")</f>
        <v/>
      </c>
      <c r="I32" s="70" t="str">
        <f ca="1">IFERROR( INDIRECT("'"&amp;$A32&amp;"'!E"&amp;(27+COLUMN()-COLUMN($C$2))) /INDIRECT("'"&amp;$A32&amp;"'!D"&amp;(27+COLUMN()-COLUMN($C$2)))-1, "")</f>
        <v/>
      </c>
      <c r="J32" s="70" t="str">
        <f ca="1">IFERROR( INDIRECT("'"&amp;$A32&amp;"'!E"&amp;(27+COLUMN()-COLUMN($C$2))) /INDIRECT("'"&amp;$A32&amp;"'!D"&amp;(27+COLUMN()-COLUMN($C$2)))-1, "")</f>
        <v/>
      </c>
      <c r="K32" s="70" t="str">
        <f ca="1">IFERROR( INDIRECT("'"&amp;$A32&amp;"'!E"&amp;(27+COLUMN()-COLUMN($C$2))) /INDIRECT("'"&amp;$A32&amp;"'!D"&amp;(27+COLUMN()-COLUMN($C$2)))-1, "")</f>
        <v/>
      </c>
    </row>
    <row r="33" spans="1:11" x14ac:dyDescent="0.45">
      <c r="A33" t="s">
        <v>108</v>
      </c>
      <c r="B33">
        <v>63010076</v>
      </c>
      <c r="C33" s="70" t="str">
        <f ca="1">IFERROR( INDIRECT("'"&amp;$A33&amp;"'!E"&amp;(27+COLUMN()-COLUMN($C$2))) /INDIRECT("'"&amp;$A33&amp;"'!D"&amp;(27+COLUMN()-COLUMN($C$2)))-1, "")</f>
        <v/>
      </c>
      <c r="D33" s="70" t="str">
        <f ca="1">IFERROR( INDIRECT("'"&amp;$A33&amp;"'!E"&amp;(27+COLUMN()-COLUMN($C$2))) /INDIRECT("'"&amp;$A33&amp;"'!D"&amp;(27+COLUMN()-COLUMN($C$2)))-1, "")</f>
        <v/>
      </c>
      <c r="E33" s="70" t="str">
        <f ca="1">IFERROR( INDIRECT("'"&amp;$A33&amp;"'!E"&amp;(27+COLUMN()-COLUMN($C$2))) /INDIRECT("'"&amp;$A33&amp;"'!D"&amp;(27+COLUMN()-COLUMN($C$2)))-1, "")</f>
        <v/>
      </c>
      <c r="F33" s="70" t="str">
        <f ca="1">IFERROR( INDIRECT("'"&amp;$A33&amp;"'!E"&amp;(27+COLUMN()-COLUMN($C$2))) /INDIRECT("'"&amp;$A33&amp;"'!D"&amp;(27+COLUMN()-COLUMN($C$2)))-1, "")</f>
        <v/>
      </c>
      <c r="G33" s="70" t="str">
        <f ca="1">IFERROR( INDIRECT("'"&amp;$A33&amp;"'!E"&amp;(27+COLUMN()-COLUMN($C$2))) /INDIRECT("'"&amp;$A33&amp;"'!D"&amp;(27+COLUMN()-COLUMN($C$2)))-1, "")</f>
        <v/>
      </c>
      <c r="H33" s="70" t="str">
        <f ca="1">IFERROR( INDIRECT("'"&amp;$A33&amp;"'!E"&amp;(27+COLUMN()-COLUMN($C$2))) /INDIRECT("'"&amp;$A33&amp;"'!D"&amp;(27+COLUMN()-COLUMN($C$2)))-1, "")</f>
        <v/>
      </c>
      <c r="I33" s="70" t="str">
        <f ca="1">IFERROR( INDIRECT("'"&amp;$A33&amp;"'!E"&amp;(27+COLUMN()-COLUMN($C$2))) /INDIRECT("'"&amp;$A33&amp;"'!D"&amp;(27+COLUMN()-COLUMN($C$2)))-1, "")</f>
        <v/>
      </c>
      <c r="J33" s="70" t="str">
        <f ca="1">IFERROR( INDIRECT("'"&amp;$A33&amp;"'!E"&amp;(27+COLUMN()-COLUMN($C$2))) /INDIRECT("'"&amp;$A33&amp;"'!D"&amp;(27+COLUMN()-COLUMN($C$2)))-1, "")</f>
        <v/>
      </c>
      <c r="K33" s="70" t="str">
        <f ca="1">IFERROR( INDIRECT("'"&amp;$A33&amp;"'!E"&amp;(27+COLUMN()-COLUMN($C$2))) /INDIRECT("'"&amp;$A33&amp;"'!D"&amp;(27+COLUMN()-COLUMN($C$2)))-1, "")</f>
        <v/>
      </c>
    </row>
    <row r="34" spans="1:11" x14ac:dyDescent="0.45">
      <c r="A34" t="s">
        <v>109</v>
      </c>
      <c r="B34">
        <v>63010077</v>
      </c>
      <c r="C34" s="70" t="str">
        <f ca="1">IFERROR( INDIRECT("'"&amp;$A34&amp;"'!E"&amp;(27+COLUMN()-COLUMN($C$2))) /INDIRECT("'"&amp;$A34&amp;"'!D"&amp;(27+COLUMN()-COLUMN($C$2)))-1, "")</f>
        <v/>
      </c>
      <c r="D34" s="70" t="str">
        <f ca="1">IFERROR( INDIRECT("'"&amp;$A34&amp;"'!E"&amp;(27+COLUMN()-COLUMN($C$2))) /INDIRECT("'"&amp;$A34&amp;"'!D"&amp;(27+COLUMN()-COLUMN($C$2)))-1, "")</f>
        <v/>
      </c>
      <c r="E34" s="70" t="str">
        <f ca="1">IFERROR( INDIRECT("'"&amp;$A34&amp;"'!E"&amp;(27+COLUMN()-COLUMN($C$2))) /INDIRECT("'"&amp;$A34&amp;"'!D"&amp;(27+COLUMN()-COLUMN($C$2)))-1, "")</f>
        <v/>
      </c>
      <c r="F34" s="70" t="str">
        <f ca="1">IFERROR( INDIRECT("'"&amp;$A34&amp;"'!E"&amp;(27+COLUMN()-COLUMN($C$2))) /INDIRECT("'"&amp;$A34&amp;"'!D"&amp;(27+COLUMN()-COLUMN($C$2)))-1, "")</f>
        <v/>
      </c>
      <c r="G34" s="70" t="str">
        <f ca="1">IFERROR( INDIRECT("'"&amp;$A34&amp;"'!E"&amp;(27+COLUMN()-COLUMN($C$2))) /INDIRECT("'"&amp;$A34&amp;"'!D"&amp;(27+COLUMN()-COLUMN($C$2)))-1, "")</f>
        <v/>
      </c>
      <c r="H34" s="70" t="str">
        <f ca="1">IFERROR( INDIRECT("'"&amp;$A34&amp;"'!E"&amp;(27+COLUMN()-COLUMN($C$2))) /INDIRECT("'"&amp;$A34&amp;"'!D"&amp;(27+COLUMN()-COLUMN($C$2)))-1, "")</f>
        <v/>
      </c>
      <c r="I34" s="70" t="str">
        <f ca="1">IFERROR( INDIRECT("'"&amp;$A34&amp;"'!E"&amp;(27+COLUMN()-COLUMN($C$2))) /INDIRECT("'"&amp;$A34&amp;"'!D"&amp;(27+COLUMN()-COLUMN($C$2)))-1, "")</f>
        <v/>
      </c>
      <c r="J34" s="70" t="str">
        <f ca="1">IFERROR( INDIRECT("'"&amp;$A34&amp;"'!E"&amp;(27+COLUMN()-COLUMN($C$2))) /INDIRECT("'"&amp;$A34&amp;"'!D"&amp;(27+COLUMN()-COLUMN($C$2)))-1, "")</f>
        <v/>
      </c>
      <c r="K34" s="70" t="str">
        <f ca="1">IFERROR( INDIRECT("'"&amp;$A34&amp;"'!E"&amp;(27+COLUMN()-COLUMN($C$2))) /INDIRECT("'"&amp;$A34&amp;"'!D"&amp;(27+COLUMN()-COLUMN($C$2)))-1, "")</f>
        <v/>
      </c>
    </row>
    <row r="35" spans="1:11" x14ac:dyDescent="0.45">
      <c r="A35" t="s">
        <v>110</v>
      </c>
      <c r="B35">
        <v>63010078</v>
      </c>
      <c r="C35" s="70" t="str">
        <f ca="1">IFERROR( INDIRECT("'"&amp;$A35&amp;"'!E"&amp;(27+COLUMN()-COLUMN($C$2))) /INDIRECT("'"&amp;$A35&amp;"'!D"&amp;(27+COLUMN()-COLUMN($C$2)))-1, "")</f>
        <v/>
      </c>
      <c r="D35" s="70" t="str">
        <f ca="1">IFERROR( INDIRECT("'"&amp;$A35&amp;"'!E"&amp;(27+COLUMN()-COLUMN($C$2))) /INDIRECT("'"&amp;$A35&amp;"'!D"&amp;(27+COLUMN()-COLUMN($C$2)))-1, "")</f>
        <v/>
      </c>
      <c r="E35" s="70" t="str">
        <f ca="1">IFERROR( INDIRECT("'"&amp;$A35&amp;"'!E"&amp;(27+COLUMN()-COLUMN($C$2))) /INDIRECT("'"&amp;$A35&amp;"'!D"&amp;(27+COLUMN()-COLUMN($C$2)))-1, "")</f>
        <v/>
      </c>
      <c r="F35" s="70" t="str">
        <f ca="1">IFERROR( INDIRECT("'"&amp;$A35&amp;"'!E"&amp;(27+COLUMN()-COLUMN($C$2))) /INDIRECT("'"&amp;$A35&amp;"'!D"&amp;(27+COLUMN()-COLUMN($C$2)))-1, "")</f>
        <v/>
      </c>
      <c r="G35" s="70" t="str">
        <f ca="1">IFERROR( INDIRECT("'"&amp;$A35&amp;"'!E"&amp;(27+COLUMN()-COLUMN($C$2))) /INDIRECT("'"&amp;$A35&amp;"'!D"&amp;(27+COLUMN()-COLUMN($C$2)))-1, "")</f>
        <v/>
      </c>
      <c r="H35" s="70" t="str">
        <f ca="1">IFERROR( INDIRECT("'"&amp;$A35&amp;"'!E"&amp;(27+COLUMN()-COLUMN($C$2))) /INDIRECT("'"&amp;$A35&amp;"'!D"&amp;(27+COLUMN()-COLUMN($C$2)))-1, "")</f>
        <v/>
      </c>
      <c r="I35" s="70" t="str">
        <f ca="1">IFERROR( INDIRECT("'"&amp;$A35&amp;"'!E"&amp;(27+COLUMN()-COLUMN($C$2))) /INDIRECT("'"&amp;$A35&amp;"'!D"&amp;(27+COLUMN()-COLUMN($C$2)))-1, "")</f>
        <v/>
      </c>
      <c r="J35" s="70" t="str">
        <f ca="1">IFERROR( INDIRECT("'"&amp;$A35&amp;"'!E"&amp;(27+COLUMN()-COLUMN($C$2))) /INDIRECT("'"&amp;$A35&amp;"'!D"&amp;(27+COLUMN()-COLUMN($C$2)))-1, "")</f>
        <v/>
      </c>
      <c r="K35" s="70" t="str">
        <f ca="1">IFERROR( INDIRECT("'"&amp;$A35&amp;"'!E"&amp;(27+COLUMN()-COLUMN($C$2))) /INDIRECT("'"&amp;$A35&amp;"'!D"&amp;(27+COLUMN()-COLUMN($C$2)))-1, "")</f>
        <v/>
      </c>
    </row>
    <row r="36" spans="1:11" x14ac:dyDescent="0.45">
      <c r="A36" t="s">
        <v>111</v>
      </c>
      <c r="B36">
        <v>63010079</v>
      </c>
      <c r="C36" s="70" t="str">
        <f ca="1">IFERROR( INDIRECT("'"&amp;$A36&amp;"'!E"&amp;(27+COLUMN()-COLUMN($C$2))) /INDIRECT("'"&amp;$A36&amp;"'!D"&amp;(27+COLUMN()-COLUMN($C$2)))-1, "")</f>
        <v/>
      </c>
      <c r="D36" s="70" t="str">
        <f ca="1">IFERROR( INDIRECT("'"&amp;$A36&amp;"'!E"&amp;(27+COLUMN()-COLUMN($C$2))) /INDIRECT("'"&amp;$A36&amp;"'!D"&amp;(27+COLUMN()-COLUMN($C$2)))-1, "")</f>
        <v/>
      </c>
      <c r="E36" s="70" t="str">
        <f ca="1">IFERROR( INDIRECT("'"&amp;$A36&amp;"'!E"&amp;(27+COLUMN()-COLUMN($C$2))) /INDIRECT("'"&amp;$A36&amp;"'!D"&amp;(27+COLUMN()-COLUMN($C$2)))-1, "")</f>
        <v/>
      </c>
      <c r="F36" s="70" t="str">
        <f ca="1">IFERROR( INDIRECT("'"&amp;$A36&amp;"'!E"&amp;(27+COLUMN()-COLUMN($C$2))) /INDIRECT("'"&amp;$A36&amp;"'!D"&amp;(27+COLUMN()-COLUMN($C$2)))-1, "")</f>
        <v/>
      </c>
      <c r="G36" s="70" t="str">
        <f ca="1">IFERROR( INDIRECT("'"&amp;$A36&amp;"'!E"&amp;(27+COLUMN()-COLUMN($C$2))) /INDIRECT("'"&amp;$A36&amp;"'!D"&amp;(27+COLUMN()-COLUMN($C$2)))-1, "")</f>
        <v/>
      </c>
      <c r="H36" s="70" t="str">
        <f ca="1">IFERROR( INDIRECT("'"&amp;$A36&amp;"'!E"&amp;(27+COLUMN()-COLUMN($C$2))) /INDIRECT("'"&amp;$A36&amp;"'!D"&amp;(27+COLUMN()-COLUMN($C$2)))-1, "")</f>
        <v/>
      </c>
      <c r="I36" s="70" t="str">
        <f ca="1">IFERROR( INDIRECT("'"&amp;$A36&amp;"'!E"&amp;(27+COLUMN()-COLUMN($C$2))) /INDIRECT("'"&amp;$A36&amp;"'!D"&amp;(27+COLUMN()-COLUMN($C$2)))-1, "")</f>
        <v/>
      </c>
      <c r="J36" s="70" t="str">
        <f ca="1">IFERROR( INDIRECT("'"&amp;$A36&amp;"'!E"&amp;(27+COLUMN()-COLUMN($C$2))) /INDIRECT("'"&amp;$A36&amp;"'!D"&amp;(27+COLUMN()-COLUMN($C$2)))-1, "")</f>
        <v/>
      </c>
      <c r="K36" s="70" t="str">
        <f ca="1">IFERROR( INDIRECT("'"&amp;$A36&amp;"'!E"&amp;(27+COLUMN()-COLUMN($C$2))) /INDIRECT("'"&amp;$A36&amp;"'!D"&amp;(27+COLUMN()-COLUMN($C$2)))-1, "")</f>
        <v/>
      </c>
    </row>
    <row r="37" spans="1:11" x14ac:dyDescent="0.45">
      <c r="A37" t="s">
        <v>112</v>
      </c>
      <c r="B37">
        <v>63010080</v>
      </c>
      <c r="C37" s="70" t="str">
        <f ca="1">IFERROR( INDIRECT("'"&amp;$A37&amp;"'!E"&amp;(27+COLUMN()-COLUMN($C$2))) /INDIRECT("'"&amp;$A37&amp;"'!D"&amp;(27+COLUMN()-COLUMN($C$2)))-1, "")</f>
        <v/>
      </c>
      <c r="D37" s="70" t="str">
        <f ca="1">IFERROR( INDIRECT("'"&amp;$A37&amp;"'!E"&amp;(27+COLUMN()-COLUMN($C$2))) /INDIRECT("'"&amp;$A37&amp;"'!D"&amp;(27+COLUMN()-COLUMN($C$2)))-1, "")</f>
        <v/>
      </c>
      <c r="E37" s="70" t="str">
        <f ca="1">IFERROR( INDIRECT("'"&amp;$A37&amp;"'!E"&amp;(27+COLUMN()-COLUMN($C$2))) /INDIRECT("'"&amp;$A37&amp;"'!D"&amp;(27+COLUMN()-COLUMN($C$2)))-1, "")</f>
        <v/>
      </c>
      <c r="F37" s="70" t="str">
        <f ca="1">IFERROR( INDIRECT("'"&amp;$A37&amp;"'!E"&amp;(27+COLUMN()-COLUMN($C$2))) /INDIRECT("'"&amp;$A37&amp;"'!D"&amp;(27+COLUMN()-COLUMN($C$2)))-1, "")</f>
        <v/>
      </c>
      <c r="G37" s="70" t="str">
        <f ca="1">IFERROR( INDIRECT("'"&amp;$A37&amp;"'!E"&amp;(27+COLUMN()-COLUMN($C$2))) /INDIRECT("'"&amp;$A37&amp;"'!D"&amp;(27+COLUMN()-COLUMN($C$2)))-1, "")</f>
        <v/>
      </c>
      <c r="H37" s="70" t="str">
        <f ca="1">IFERROR( INDIRECT("'"&amp;$A37&amp;"'!E"&amp;(27+COLUMN()-COLUMN($C$2))) /INDIRECT("'"&amp;$A37&amp;"'!D"&amp;(27+COLUMN()-COLUMN($C$2)))-1, "")</f>
        <v/>
      </c>
      <c r="I37" s="70" t="str">
        <f ca="1">IFERROR( INDIRECT("'"&amp;$A37&amp;"'!E"&amp;(27+COLUMN()-COLUMN($C$2))) /INDIRECT("'"&amp;$A37&amp;"'!D"&amp;(27+COLUMN()-COLUMN($C$2)))-1, "")</f>
        <v/>
      </c>
      <c r="J37" s="70" t="str">
        <f ca="1">IFERROR( INDIRECT("'"&amp;$A37&amp;"'!E"&amp;(27+COLUMN()-COLUMN($C$2))) /INDIRECT("'"&amp;$A37&amp;"'!D"&amp;(27+COLUMN()-COLUMN($C$2)))-1, "")</f>
        <v/>
      </c>
      <c r="K37" s="70" t="str">
        <f ca="1">IFERROR( INDIRECT("'"&amp;$A37&amp;"'!E"&amp;(27+COLUMN()-COLUMN($C$2))) /INDIRECT("'"&amp;$A37&amp;"'!D"&amp;(27+COLUMN()-COLUMN($C$2)))-1, "")</f>
        <v/>
      </c>
    </row>
    <row r="38" spans="1:11" x14ac:dyDescent="0.45">
      <c r="A38" t="s">
        <v>113</v>
      </c>
      <c r="B38">
        <v>63010081</v>
      </c>
      <c r="C38" s="70" t="str">
        <f ca="1">IFERROR( INDIRECT("'"&amp;$A38&amp;"'!E"&amp;(27+COLUMN()-COLUMN($C$2))) /INDIRECT("'"&amp;$A38&amp;"'!D"&amp;(27+COLUMN()-COLUMN($C$2)))-1, "")</f>
        <v/>
      </c>
      <c r="D38" s="70" t="str">
        <f ca="1">IFERROR( INDIRECT("'"&amp;$A38&amp;"'!E"&amp;(27+COLUMN()-COLUMN($C$2))) /INDIRECT("'"&amp;$A38&amp;"'!D"&amp;(27+COLUMN()-COLUMN($C$2)))-1, "")</f>
        <v/>
      </c>
      <c r="E38" s="70" t="str">
        <f ca="1">IFERROR( INDIRECT("'"&amp;$A38&amp;"'!E"&amp;(27+COLUMN()-COLUMN($C$2))) /INDIRECT("'"&amp;$A38&amp;"'!D"&amp;(27+COLUMN()-COLUMN($C$2)))-1, "")</f>
        <v/>
      </c>
      <c r="F38" s="70" t="str">
        <f ca="1">IFERROR( INDIRECT("'"&amp;$A38&amp;"'!E"&amp;(27+COLUMN()-COLUMN($C$2))) /INDIRECT("'"&amp;$A38&amp;"'!D"&amp;(27+COLUMN()-COLUMN($C$2)))-1, "")</f>
        <v/>
      </c>
      <c r="G38" s="70" t="str">
        <f ca="1">IFERROR( INDIRECT("'"&amp;$A38&amp;"'!E"&amp;(27+COLUMN()-COLUMN($C$2))) /INDIRECT("'"&amp;$A38&amp;"'!D"&amp;(27+COLUMN()-COLUMN($C$2)))-1, "")</f>
        <v/>
      </c>
      <c r="H38" s="70" t="str">
        <f ca="1">IFERROR( INDIRECT("'"&amp;$A38&amp;"'!E"&amp;(27+COLUMN()-COLUMN($C$2))) /INDIRECT("'"&amp;$A38&amp;"'!D"&amp;(27+COLUMN()-COLUMN($C$2)))-1, "")</f>
        <v/>
      </c>
      <c r="I38" s="70" t="str">
        <f ca="1">IFERROR( INDIRECT("'"&amp;$A38&amp;"'!E"&amp;(27+COLUMN()-COLUMN($C$2))) /INDIRECT("'"&amp;$A38&amp;"'!D"&amp;(27+COLUMN()-COLUMN($C$2)))-1, "")</f>
        <v/>
      </c>
      <c r="J38" s="70" t="str">
        <f ca="1">IFERROR( INDIRECT("'"&amp;$A38&amp;"'!E"&amp;(27+COLUMN()-COLUMN($C$2))) /INDIRECT("'"&amp;$A38&amp;"'!D"&amp;(27+COLUMN()-COLUMN($C$2)))-1, "")</f>
        <v/>
      </c>
      <c r="K38" s="70" t="str">
        <f ca="1">IFERROR( INDIRECT("'"&amp;$A38&amp;"'!E"&amp;(27+COLUMN()-COLUMN($C$2))) /INDIRECT("'"&amp;$A38&amp;"'!D"&amp;(27+COLUMN()-COLUMN($C$2)))-1, "")</f>
        <v/>
      </c>
    </row>
    <row r="39" spans="1:11" x14ac:dyDescent="0.45">
      <c r="A39" t="s">
        <v>114</v>
      </c>
      <c r="B39">
        <v>63010082</v>
      </c>
      <c r="C39" s="70" t="str">
        <f ca="1">IFERROR( INDIRECT("'"&amp;$A39&amp;"'!E"&amp;(27+COLUMN()-COLUMN($C$2))) /INDIRECT("'"&amp;$A39&amp;"'!D"&amp;(27+COLUMN()-COLUMN($C$2)))-1, "")</f>
        <v/>
      </c>
      <c r="D39" s="70" t="str">
        <f ca="1">IFERROR( INDIRECT("'"&amp;$A39&amp;"'!E"&amp;(27+COLUMN()-COLUMN($C$2))) /INDIRECT("'"&amp;$A39&amp;"'!D"&amp;(27+COLUMN()-COLUMN($C$2)))-1, "")</f>
        <v/>
      </c>
      <c r="E39" s="70" t="str">
        <f ca="1">IFERROR( INDIRECT("'"&amp;$A39&amp;"'!E"&amp;(27+COLUMN()-COLUMN($C$2))) /INDIRECT("'"&amp;$A39&amp;"'!D"&amp;(27+COLUMN()-COLUMN($C$2)))-1, "")</f>
        <v/>
      </c>
      <c r="F39" s="70" t="str">
        <f ca="1">IFERROR( INDIRECT("'"&amp;$A39&amp;"'!E"&amp;(27+COLUMN()-COLUMN($C$2))) /INDIRECT("'"&amp;$A39&amp;"'!D"&amp;(27+COLUMN()-COLUMN($C$2)))-1, "")</f>
        <v/>
      </c>
      <c r="G39" s="70" t="str">
        <f ca="1">IFERROR( INDIRECT("'"&amp;$A39&amp;"'!E"&amp;(27+COLUMN()-COLUMN($C$2))) /INDIRECT("'"&amp;$A39&amp;"'!D"&amp;(27+COLUMN()-COLUMN($C$2)))-1, "")</f>
        <v/>
      </c>
      <c r="H39" s="70" t="str">
        <f ca="1">IFERROR( INDIRECT("'"&amp;$A39&amp;"'!E"&amp;(27+COLUMN()-COLUMN($C$2))) /INDIRECT("'"&amp;$A39&amp;"'!D"&amp;(27+COLUMN()-COLUMN($C$2)))-1, "")</f>
        <v/>
      </c>
      <c r="I39" s="70" t="str">
        <f ca="1">IFERROR( INDIRECT("'"&amp;$A39&amp;"'!E"&amp;(27+COLUMN()-COLUMN($C$2))) /INDIRECT("'"&amp;$A39&amp;"'!D"&amp;(27+COLUMN()-COLUMN($C$2)))-1, "")</f>
        <v/>
      </c>
      <c r="J39" s="70" t="str">
        <f ca="1">IFERROR( INDIRECT("'"&amp;$A39&amp;"'!E"&amp;(27+COLUMN()-COLUMN($C$2))) /INDIRECT("'"&amp;$A39&amp;"'!D"&amp;(27+COLUMN()-COLUMN($C$2)))-1, "")</f>
        <v/>
      </c>
      <c r="K39" s="70" t="str">
        <f ca="1">IFERROR( INDIRECT("'"&amp;$A39&amp;"'!E"&amp;(27+COLUMN()-COLUMN($C$2))) /INDIRECT("'"&amp;$A39&amp;"'!D"&amp;(27+COLUMN()-COLUMN($C$2)))-1, "")</f>
        <v/>
      </c>
    </row>
  </sheetData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5B94-81F8-4659-9386-996CA5367312}">
  <dimension ref="B2:R53"/>
  <sheetViews>
    <sheetView showGridLines="0" zoomScale="90" zoomScaleNormal="90" workbookViewId="0">
      <selection activeCell="D34" sqref="D34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63010045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1072065/100</f>
        <v>10720.65</v>
      </c>
      <c r="F27" s="1"/>
      <c r="G27" s="4">
        <f>C27</f>
        <v>4</v>
      </c>
      <c r="H27" s="4">
        <f>D27</f>
        <v>10809.4</v>
      </c>
      <c r="I27" s="66">
        <v>92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463979/100</f>
        <v>4639.79</v>
      </c>
      <c r="F28" s="1"/>
      <c r="G28" s="4">
        <f t="shared" ref="G28:H35" si="0">C28</f>
        <v>6</v>
      </c>
      <c r="H28" s="4">
        <f t="shared" si="0"/>
        <v>4647.7</v>
      </c>
      <c r="I28" s="66">
        <v>212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106685/100</f>
        <v>1066.8499999999999</v>
      </c>
      <c r="F29" s="1"/>
      <c r="G29" s="4">
        <f t="shared" si="0"/>
        <v>10</v>
      </c>
      <c r="H29" s="4">
        <f t="shared" si="0"/>
        <v>1074.3</v>
      </c>
      <c r="I29" s="66">
        <v>578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36282/100</f>
        <v>362.82</v>
      </c>
      <c r="F30" s="1"/>
      <c r="G30" s="4">
        <f t="shared" si="0"/>
        <v>14</v>
      </c>
      <c r="H30" s="4">
        <f t="shared" si="0"/>
        <v>365.5</v>
      </c>
      <c r="I30" s="66">
        <v>1116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10974/100</f>
        <v>109.74</v>
      </c>
      <c r="F31" s="1"/>
      <c r="G31" s="4">
        <f t="shared" si="0"/>
        <v>21</v>
      </c>
      <c r="H31" s="4">
        <f t="shared" si="0"/>
        <v>109.8</v>
      </c>
      <c r="I31" s="66">
        <v>2204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5229/100</f>
        <v>52.29</v>
      </c>
      <c r="F32" s="1"/>
      <c r="G32" s="4">
        <f t="shared" si="0"/>
        <v>25</v>
      </c>
      <c r="H32" s="4">
        <f t="shared" si="0"/>
        <v>52.1</v>
      </c>
      <c r="I32" s="66">
        <v>3170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153/100</f>
        <v>1.53</v>
      </c>
      <c r="F33" s="1"/>
      <c r="G33" s="4">
        <f t="shared" si="0"/>
        <v>38</v>
      </c>
      <c r="H33" s="4" t="str">
        <f t="shared" si="0"/>
        <v>-</v>
      </c>
      <c r="I33" s="66">
        <v>9921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5/100</f>
        <v>0.05</v>
      </c>
      <c r="F34" s="1"/>
      <c r="G34" s="4">
        <f t="shared" si="0"/>
        <v>50</v>
      </c>
      <c r="H34" s="4" t="str">
        <f t="shared" si="0"/>
        <v>-</v>
      </c>
      <c r="I34" s="66">
        <v>1589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v>0</v>
      </c>
      <c r="F35" s="1"/>
      <c r="G35" s="4">
        <f t="shared" si="0"/>
        <v>70</v>
      </c>
      <c r="H35" s="4" t="str">
        <f t="shared" si="0"/>
        <v>-</v>
      </c>
      <c r="I35" s="66">
        <v>24883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E3631215-9895-4C5F-AF4E-27785E84C00A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94C2-9A5A-4CF7-AD1F-9A3DCF7CFBCB}">
  <dimension ref="B2:R53"/>
  <sheetViews>
    <sheetView showGridLines="0" zoomScale="90" zoomScaleNormal="90" workbookViewId="0">
      <selection activeCell="O19" sqref="O19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63010046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1095753/100</f>
        <v>10957.53</v>
      </c>
      <c r="F27" s="1"/>
      <c r="G27" s="4">
        <f>C27</f>
        <v>4</v>
      </c>
      <c r="H27" s="4">
        <f>D27</f>
        <v>10809.4</v>
      </c>
      <c r="I27" s="66">
        <v>90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463914/100</f>
        <v>4639.1400000000003</v>
      </c>
      <c r="F28" s="1"/>
      <c r="G28" s="4">
        <f t="shared" ref="G28:H35" si="0">C28</f>
        <v>6</v>
      </c>
      <c r="H28" s="4">
        <f t="shared" si="0"/>
        <v>4647.7</v>
      </c>
      <c r="I28" s="66">
        <v>218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107953/100</f>
        <v>1079.53</v>
      </c>
      <c r="F29" s="1"/>
      <c r="G29" s="4">
        <f t="shared" si="0"/>
        <v>10</v>
      </c>
      <c r="H29" s="4">
        <f t="shared" si="0"/>
        <v>1074.3</v>
      </c>
      <c r="I29" s="66">
        <v>600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35860/100</f>
        <v>358.6</v>
      </c>
      <c r="F30" s="1"/>
      <c r="G30" s="4">
        <f t="shared" si="0"/>
        <v>14</v>
      </c>
      <c r="H30" s="4">
        <f t="shared" si="0"/>
        <v>365.5</v>
      </c>
      <c r="I30" s="66">
        <v>1178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10524/100</f>
        <v>105.24</v>
      </c>
      <c r="F31" s="1"/>
      <c r="G31" s="4">
        <f t="shared" si="0"/>
        <v>21</v>
      </c>
      <c r="H31" s="4">
        <f t="shared" si="0"/>
        <v>109.8</v>
      </c>
      <c r="I31" s="66">
        <v>2406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4913/100</f>
        <v>49.13</v>
      </c>
      <c r="F32" s="1"/>
      <c r="G32" s="4">
        <f t="shared" si="0"/>
        <v>25</v>
      </c>
      <c r="H32" s="4">
        <f t="shared" si="0"/>
        <v>52.1</v>
      </c>
      <c r="I32" s="66">
        <v>3528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292/100</f>
        <v>2.92</v>
      </c>
      <c r="F33" s="1"/>
      <c r="G33" s="4">
        <f t="shared" si="0"/>
        <v>38</v>
      </c>
      <c r="H33" s="4" t="str">
        <f t="shared" si="0"/>
        <v>-</v>
      </c>
      <c r="I33" s="66">
        <v>9952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71/100</f>
        <v>0.71</v>
      </c>
      <c r="F34" s="1"/>
      <c r="G34" s="4">
        <f t="shared" si="0"/>
        <v>50</v>
      </c>
      <c r="H34" s="4" t="str">
        <f t="shared" si="0"/>
        <v>-</v>
      </c>
      <c r="I34" s="66">
        <v>16091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11/100</f>
        <v>0.11</v>
      </c>
      <c r="F35" s="1"/>
      <c r="G35" s="4">
        <f t="shared" si="0"/>
        <v>70</v>
      </c>
      <c r="H35" s="4" t="str">
        <f t="shared" si="0"/>
        <v>-</v>
      </c>
      <c r="I35" s="66">
        <v>24765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55CC8DF3-4F2F-4E3C-987D-10C9AAC660A3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DE42-1FDF-4143-AEE8-2DEFD63E3147}">
  <dimension ref="B2:R53"/>
  <sheetViews>
    <sheetView showGridLines="0" zoomScale="90" zoomScaleNormal="90" workbookViewId="0">
      <selection activeCell="O33" sqref="O33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46184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63010047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75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  <c r="M25" s="26"/>
      <c r="N25" s="26"/>
      <c r="O25" s="26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5822.6</v>
      </c>
      <c r="E27" s="10">
        <f>564137/100</f>
        <v>5641.37</v>
      </c>
      <c r="F27" s="1"/>
      <c r="G27" s="4">
        <f>C27</f>
        <v>4</v>
      </c>
      <c r="H27" s="4">
        <f>D27</f>
        <v>5822.6</v>
      </c>
      <c r="I27" s="66">
        <v>84</v>
      </c>
      <c r="J27" s="67"/>
      <c r="K27" s="19"/>
    </row>
    <row r="28" spans="2:18" x14ac:dyDescent="0.45">
      <c r="B28" s="18"/>
      <c r="C28" s="4">
        <v>6</v>
      </c>
      <c r="D28" s="4">
        <v>2422.5</v>
      </c>
      <c r="E28" s="10">
        <f>233524/100</f>
        <v>2335.2399999999998</v>
      </c>
      <c r="F28" s="1"/>
      <c r="G28" s="4">
        <f t="shared" ref="G28:H35" si="0">C28</f>
        <v>6</v>
      </c>
      <c r="H28" s="4">
        <f t="shared" si="0"/>
        <v>2422.5</v>
      </c>
      <c r="I28" s="66">
        <v>194</v>
      </c>
      <c r="J28" s="67"/>
      <c r="K28" s="19"/>
      <c r="M28" s="26"/>
      <c r="N28" s="26"/>
      <c r="O28" s="26"/>
    </row>
    <row r="29" spans="2:18" x14ac:dyDescent="0.45">
      <c r="B29" s="18"/>
      <c r="C29" s="4">
        <v>10</v>
      </c>
      <c r="D29" s="4">
        <v>543.79999999999995</v>
      </c>
      <c r="E29" s="10">
        <f>51730/100</f>
        <v>517.29999999999995</v>
      </c>
      <c r="F29" s="1"/>
      <c r="G29" s="4">
        <f t="shared" si="0"/>
        <v>10</v>
      </c>
      <c r="H29" s="4">
        <f t="shared" si="0"/>
        <v>543.79999999999995</v>
      </c>
      <c r="I29" s="66">
        <v>544</v>
      </c>
      <c r="J29" s="67"/>
      <c r="K29" s="19"/>
    </row>
    <row r="30" spans="2:18" x14ac:dyDescent="0.45">
      <c r="B30" s="18"/>
      <c r="C30" s="4">
        <v>14</v>
      </c>
      <c r="D30" s="4">
        <v>182.5</v>
      </c>
      <c r="E30" s="10">
        <f>17526/100</f>
        <v>175.26</v>
      </c>
      <c r="F30" s="1"/>
      <c r="G30" s="4">
        <f t="shared" si="0"/>
        <v>14</v>
      </c>
      <c r="H30" s="4">
        <f t="shared" si="0"/>
        <v>182.5</v>
      </c>
      <c r="I30" s="66">
        <v>1102</v>
      </c>
      <c r="J30" s="67"/>
      <c r="K30" s="19"/>
    </row>
    <row r="31" spans="2:18" x14ac:dyDescent="0.45">
      <c r="B31" s="18"/>
      <c r="C31" s="4">
        <v>21</v>
      </c>
      <c r="D31" s="4">
        <v>51.7</v>
      </c>
      <c r="E31" s="10">
        <f>5242/100</f>
        <v>52.42</v>
      </c>
      <c r="F31" s="1"/>
      <c r="G31" s="4">
        <f t="shared" si="0"/>
        <v>21</v>
      </c>
      <c r="H31" s="4">
        <f t="shared" si="0"/>
        <v>51.7</v>
      </c>
      <c r="I31" s="66">
        <v>2350</v>
      </c>
      <c r="J31" s="67"/>
      <c r="K31" s="19"/>
    </row>
    <row r="32" spans="2:18" x14ac:dyDescent="0.45">
      <c r="B32" s="18"/>
      <c r="C32" s="4">
        <v>25</v>
      </c>
      <c r="D32" s="4">
        <v>22.8</v>
      </c>
      <c r="E32" s="10">
        <f>2362/100</f>
        <v>23.62</v>
      </c>
      <c r="F32" s="1"/>
      <c r="G32" s="4">
        <f t="shared" si="0"/>
        <v>25</v>
      </c>
      <c r="H32" s="4">
        <f t="shared" si="0"/>
        <v>22.8</v>
      </c>
      <c r="I32" s="66">
        <v>3700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213/100</f>
        <v>2.13</v>
      </c>
      <c r="F33" s="1"/>
      <c r="G33" s="4">
        <f t="shared" si="0"/>
        <v>38</v>
      </c>
      <c r="H33" s="4" t="str">
        <f t="shared" si="0"/>
        <v>-</v>
      </c>
      <c r="I33" s="66">
        <v>10245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50/100</f>
        <v>0.5</v>
      </c>
      <c r="F34" s="1"/>
      <c r="G34" s="4">
        <f t="shared" si="0"/>
        <v>50</v>
      </c>
      <c r="H34" s="4" t="str">
        <f t="shared" si="0"/>
        <v>-</v>
      </c>
      <c r="I34" s="66">
        <v>15924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11/100</f>
        <v>0.11</v>
      </c>
      <c r="F35" s="1"/>
      <c r="G35" s="4">
        <f t="shared" si="0"/>
        <v>70</v>
      </c>
      <c r="H35" s="4" t="str">
        <f t="shared" si="0"/>
        <v>-</v>
      </c>
      <c r="I35" s="66">
        <v>24995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40C03598-730C-411D-9BA2-FDCA2785D6BB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2775-216F-444E-946C-0C5DE56093B0}">
  <dimension ref="B2:R53"/>
  <sheetViews>
    <sheetView showGridLines="0" zoomScale="90" zoomScaleNormal="90" workbookViewId="0">
      <selection activeCell="P14" sqref="P14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63010048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1084234/100</f>
        <v>10842.34</v>
      </c>
      <c r="F27" s="1"/>
      <c r="G27" s="4">
        <f>C27</f>
        <v>4</v>
      </c>
      <c r="H27" s="4">
        <f>D27</f>
        <v>10809.4</v>
      </c>
      <c r="I27" s="66">
        <v>80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465319/100</f>
        <v>4653.1899999999996</v>
      </c>
      <c r="F28" s="1"/>
      <c r="G28" s="4">
        <f t="shared" ref="G28:H35" si="0">C28</f>
        <v>6</v>
      </c>
      <c r="H28" s="4">
        <f t="shared" si="0"/>
        <v>4647.7</v>
      </c>
      <c r="I28" s="66">
        <v>184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108256/100</f>
        <v>1082.56</v>
      </c>
      <c r="F29" s="1"/>
      <c r="G29" s="4">
        <f t="shared" si="0"/>
        <v>10</v>
      </c>
      <c r="H29" s="4">
        <f t="shared" si="0"/>
        <v>1074.3</v>
      </c>
      <c r="I29" s="66">
        <v>514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37308/100</f>
        <v>373.08</v>
      </c>
      <c r="F30" s="1"/>
      <c r="G30" s="4">
        <f t="shared" si="0"/>
        <v>14</v>
      </c>
      <c r="H30" s="4">
        <f t="shared" si="0"/>
        <v>365.5</v>
      </c>
      <c r="I30" s="66">
        <v>1006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11293/100</f>
        <v>112.93</v>
      </c>
      <c r="F31" s="1"/>
      <c r="G31" s="4">
        <f t="shared" si="0"/>
        <v>21</v>
      </c>
      <c r="H31" s="4">
        <f t="shared" si="0"/>
        <v>109.8</v>
      </c>
      <c r="I31" s="66">
        <v>2032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5214/100</f>
        <v>52.14</v>
      </c>
      <c r="F32" s="1"/>
      <c r="G32" s="4">
        <f t="shared" si="0"/>
        <v>25</v>
      </c>
      <c r="H32" s="4">
        <f t="shared" si="0"/>
        <v>52.1</v>
      </c>
      <c r="I32" s="66">
        <v>2962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140/100</f>
        <v>1.4</v>
      </c>
      <c r="F33" s="1"/>
      <c r="G33" s="4">
        <f t="shared" si="0"/>
        <v>38</v>
      </c>
      <c r="H33" s="4" t="str">
        <f t="shared" si="0"/>
        <v>-</v>
      </c>
      <c r="I33" s="66">
        <v>10165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35/100</f>
        <v>0.35</v>
      </c>
      <c r="F34" s="1"/>
      <c r="G34" s="4">
        <f t="shared" si="0"/>
        <v>50</v>
      </c>
      <c r="H34" s="4" t="str">
        <f t="shared" si="0"/>
        <v>-</v>
      </c>
      <c r="I34" s="66">
        <v>16205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5/100</f>
        <v>0.05</v>
      </c>
      <c r="F35" s="1"/>
      <c r="G35" s="4">
        <f t="shared" si="0"/>
        <v>70</v>
      </c>
      <c r="H35" s="4" t="str">
        <f t="shared" si="0"/>
        <v>-</v>
      </c>
      <c r="I35" s="66">
        <v>24750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E3726FE0-52EE-471C-BED5-9ED1DA948DDC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8987-6600-469E-83D2-8E0D01577823}">
  <dimension ref="B2:R53"/>
  <sheetViews>
    <sheetView showGridLines="0" zoomScale="90" zoomScaleNormal="90" workbookViewId="0">
      <selection activeCell="E29" sqref="E29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46184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63010049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75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  <c r="M25" s="26"/>
      <c r="N25" s="26"/>
      <c r="O25" s="26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5822.6</v>
      </c>
      <c r="E27" s="10">
        <f>575120/100</f>
        <v>5751.2</v>
      </c>
      <c r="F27" s="1"/>
      <c r="G27" s="4">
        <f>C27</f>
        <v>4</v>
      </c>
      <c r="H27" s="4">
        <f>D27</f>
        <v>5822.6</v>
      </c>
      <c r="I27" s="66">
        <v>80</v>
      </c>
      <c r="J27" s="67"/>
      <c r="K27" s="19"/>
    </row>
    <row r="28" spans="2:18" x14ac:dyDescent="0.45">
      <c r="B28" s="18"/>
      <c r="C28" s="4">
        <v>6</v>
      </c>
      <c r="D28" s="4">
        <v>2422.5</v>
      </c>
      <c r="E28" s="10">
        <f>240372/100</f>
        <v>2403.7199999999998</v>
      </c>
      <c r="F28" s="1"/>
      <c r="G28" s="4">
        <f t="shared" ref="G28:H35" si="0">C28</f>
        <v>6</v>
      </c>
      <c r="H28" s="4">
        <f t="shared" si="0"/>
        <v>2422.5</v>
      </c>
      <c r="I28" s="66">
        <v>190</v>
      </c>
      <c r="J28" s="67"/>
      <c r="K28" s="19"/>
      <c r="M28" s="26"/>
      <c r="N28" s="26"/>
      <c r="O28" s="26"/>
    </row>
    <row r="29" spans="2:18" x14ac:dyDescent="0.45">
      <c r="B29" s="18"/>
      <c r="C29" s="4">
        <v>10</v>
      </c>
      <c r="D29" s="4">
        <v>543.79999999999995</v>
      </c>
      <c r="E29" s="10">
        <f>53477/100</f>
        <v>534.77</v>
      </c>
      <c r="F29" s="1"/>
      <c r="G29" s="4">
        <f t="shared" si="0"/>
        <v>10</v>
      </c>
      <c r="H29" s="4">
        <f t="shared" si="0"/>
        <v>543.79999999999995</v>
      </c>
      <c r="I29" s="66">
        <v>542</v>
      </c>
      <c r="J29" s="67"/>
      <c r="K29" s="19"/>
    </row>
    <row r="30" spans="2:18" x14ac:dyDescent="0.45">
      <c r="B30" s="18"/>
      <c r="C30" s="4">
        <v>14</v>
      </c>
      <c r="D30" s="4">
        <v>182.5</v>
      </c>
      <c r="E30" s="10">
        <f>17226/100</f>
        <v>172.26</v>
      </c>
      <c r="F30" s="1"/>
      <c r="G30" s="4">
        <f t="shared" si="0"/>
        <v>14</v>
      </c>
      <c r="H30" s="4">
        <f t="shared" si="0"/>
        <v>182.5</v>
      </c>
      <c r="I30" s="66">
        <v>1084</v>
      </c>
      <c r="J30" s="67"/>
      <c r="K30" s="19"/>
    </row>
    <row r="31" spans="2:18" x14ac:dyDescent="0.45">
      <c r="B31" s="18"/>
      <c r="C31" s="4">
        <v>21</v>
      </c>
      <c r="D31" s="4">
        <v>51.7</v>
      </c>
      <c r="E31" s="10">
        <f>4766/100</f>
        <v>47.66</v>
      </c>
      <c r="F31" s="1"/>
      <c r="G31" s="4">
        <f t="shared" si="0"/>
        <v>21</v>
      </c>
      <c r="H31" s="4">
        <f t="shared" si="0"/>
        <v>51.7</v>
      </c>
      <c r="I31" s="66">
        <v>2606</v>
      </c>
      <c r="J31" s="67"/>
      <c r="K31" s="19"/>
    </row>
    <row r="32" spans="2:18" x14ac:dyDescent="0.45">
      <c r="B32" s="18"/>
      <c r="C32" s="4">
        <v>25</v>
      </c>
      <c r="D32" s="4">
        <v>22.8</v>
      </c>
      <c r="E32" s="10">
        <f>1968/100</f>
        <v>19.68</v>
      </c>
      <c r="F32" s="1"/>
      <c r="G32" s="4">
        <f t="shared" si="0"/>
        <v>25</v>
      </c>
      <c r="H32" s="4">
        <f t="shared" si="0"/>
        <v>22.8</v>
      </c>
      <c r="I32" s="66">
        <v>3570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124/100</f>
        <v>1.24</v>
      </c>
      <c r="F33" s="1"/>
      <c r="G33" s="4">
        <f t="shared" si="0"/>
        <v>38</v>
      </c>
      <c r="H33" s="4" t="str">
        <f t="shared" si="0"/>
        <v>-</v>
      </c>
      <c r="I33" s="66">
        <v>9907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34/100</f>
        <v>0.34</v>
      </c>
      <c r="F34" s="1"/>
      <c r="G34" s="4">
        <f t="shared" si="0"/>
        <v>50</v>
      </c>
      <c r="H34" s="4" t="str">
        <f t="shared" si="0"/>
        <v>-</v>
      </c>
      <c r="I34" s="66">
        <v>16076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0/100</f>
        <v>0</v>
      </c>
      <c r="F35" s="1"/>
      <c r="G35" s="4">
        <f t="shared" si="0"/>
        <v>70</v>
      </c>
      <c r="H35" s="4" t="str">
        <f t="shared" si="0"/>
        <v>-</v>
      </c>
      <c r="I35" s="66">
        <v>24844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CA68D52E-E6B0-48B5-90A2-1B6E27B500A6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ECF7-A56E-4FC4-888A-33EDBC77E2AA}">
  <dimension ref="B2:R53"/>
  <sheetViews>
    <sheetView showGridLines="0" zoomScale="90" zoomScaleNormal="90" workbookViewId="0">
      <selection activeCell="P34" sqref="P34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46184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63010050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75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5822.6</v>
      </c>
      <c r="E27" s="10">
        <f>580080/100</f>
        <v>5800.8</v>
      </c>
      <c r="F27" s="1"/>
      <c r="G27" s="4">
        <f>C27</f>
        <v>4</v>
      </c>
      <c r="H27" s="4">
        <f>D27</f>
        <v>5822.6</v>
      </c>
      <c r="I27" s="66">
        <v>88</v>
      </c>
      <c r="J27" s="67"/>
      <c r="K27" s="19"/>
    </row>
    <row r="28" spans="2:18" x14ac:dyDescent="0.45">
      <c r="B28" s="18"/>
      <c r="C28" s="4">
        <v>6</v>
      </c>
      <c r="D28" s="4">
        <v>2422.5</v>
      </c>
      <c r="E28" s="10">
        <f>247742/100</f>
        <v>2477.42</v>
      </c>
      <c r="F28" s="1"/>
      <c r="G28" s="4">
        <f t="shared" ref="G28:H35" si="0">C28</f>
        <v>6</v>
      </c>
      <c r="H28" s="4">
        <f t="shared" si="0"/>
        <v>2422.5</v>
      </c>
      <c r="I28" s="66">
        <v>198</v>
      </c>
      <c r="J28" s="67"/>
      <c r="K28" s="19"/>
    </row>
    <row r="29" spans="2:18" x14ac:dyDescent="0.45">
      <c r="B29" s="18"/>
      <c r="C29" s="4">
        <v>10</v>
      </c>
      <c r="D29" s="4">
        <v>543.79999999999995</v>
      </c>
      <c r="E29" s="10">
        <f>57630/100</f>
        <v>576.29999999999995</v>
      </c>
      <c r="F29" s="1"/>
      <c r="G29" s="4">
        <f t="shared" si="0"/>
        <v>10</v>
      </c>
      <c r="H29" s="4">
        <f t="shared" si="0"/>
        <v>543.79999999999995</v>
      </c>
      <c r="I29" s="66">
        <v>534</v>
      </c>
      <c r="J29" s="67"/>
      <c r="K29" s="19"/>
      <c r="O29" s="26"/>
      <c r="P29" s="26"/>
      <c r="Q29" s="26"/>
    </row>
    <row r="30" spans="2:18" x14ac:dyDescent="0.45">
      <c r="B30" s="18"/>
      <c r="C30" s="4">
        <v>14</v>
      </c>
      <c r="D30" s="4">
        <v>182.5</v>
      </c>
      <c r="E30" s="10">
        <f>20111/100</f>
        <v>201.11</v>
      </c>
      <c r="F30" s="1"/>
      <c r="G30" s="4">
        <f t="shared" si="0"/>
        <v>14</v>
      </c>
      <c r="H30" s="4">
        <f t="shared" si="0"/>
        <v>182.5</v>
      </c>
      <c r="I30" s="66">
        <v>1022</v>
      </c>
      <c r="J30" s="67"/>
      <c r="K30" s="19"/>
    </row>
    <row r="31" spans="2:18" x14ac:dyDescent="0.45">
      <c r="B31" s="18"/>
      <c r="C31" s="4">
        <v>21</v>
      </c>
      <c r="D31" s="4">
        <v>51.7</v>
      </c>
      <c r="E31" s="10">
        <f>6461/100</f>
        <v>64.61</v>
      </c>
      <c r="F31" s="1"/>
      <c r="G31" s="4">
        <f t="shared" si="0"/>
        <v>21</v>
      </c>
      <c r="H31" s="4">
        <f t="shared" si="0"/>
        <v>51.7</v>
      </c>
      <c r="I31" s="66">
        <v>2070</v>
      </c>
      <c r="J31" s="67"/>
      <c r="K31" s="19"/>
    </row>
    <row r="32" spans="2:18" x14ac:dyDescent="0.45">
      <c r="B32" s="18"/>
      <c r="C32" s="4">
        <v>25</v>
      </c>
      <c r="D32" s="4">
        <v>22.8</v>
      </c>
      <c r="E32" s="10">
        <f>3057/100</f>
        <v>30.57</v>
      </c>
      <c r="F32" s="1"/>
      <c r="G32" s="4">
        <f t="shared" si="0"/>
        <v>25</v>
      </c>
      <c r="H32" s="4">
        <f t="shared" si="0"/>
        <v>22.8</v>
      </c>
      <c r="I32" s="66">
        <v>3086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159/100</f>
        <v>1.59</v>
      </c>
      <c r="F33" s="1"/>
      <c r="G33" s="4">
        <f t="shared" si="0"/>
        <v>38</v>
      </c>
      <c r="H33" s="4" t="str">
        <f t="shared" si="0"/>
        <v>-</v>
      </c>
      <c r="I33" s="66">
        <v>10132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51/100</f>
        <v>0.51</v>
      </c>
      <c r="F34" s="1"/>
      <c r="G34" s="4">
        <f t="shared" si="0"/>
        <v>50</v>
      </c>
      <c r="H34" s="4" t="str">
        <f t="shared" si="0"/>
        <v>-</v>
      </c>
      <c r="I34" s="66">
        <v>15873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0/100</f>
        <v>0</v>
      </c>
      <c r="F35" s="1"/>
      <c r="G35" s="4">
        <f t="shared" si="0"/>
        <v>70</v>
      </c>
      <c r="H35" s="4" t="str">
        <f t="shared" si="0"/>
        <v>-</v>
      </c>
      <c r="I35" s="66">
        <v>25054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8D4B8719-1410-4F78-BFDB-7D9480403E2D}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3070-DCF4-4990-B164-EDB2DA915277}">
  <dimension ref="B2:R53"/>
  <sheetViews>
    <sheetView showGridLines="0" zoomScale="90" zoomScaleNormal="90" workbookViewId="0">
      <selection activeCell="L18" sqref="L18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63010051</v>
      </c>
      <c r="F13" s="5"/>
      <c r="G13" s="50" t="s">
        <v>39</v>
      </c>
      <c r="H13" s="51"/>
      <c r="I13" s="54" t="s">
        <v>40</v>
      </c>
      <c r="J13" s="55"/>
      <c r="K13" s="19"/>
    </row>
    <row r="14" spans="2:18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x14ac:dyDescent="0.45">
      <c r="B18" s="18"/>
      <c r="C18" s="61" t="s">
        <v>53</v>
      </c>
      <c r="D18" s="61"/>
      <c r="E18" s="21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1080432/100</f>
        <v>10804.32</v>
      </c>
      <c r="F27" s="1"/>
      <c r="G27" s="4">
        <f>C27</f>
        <v>4</v>
      </c>
      <c r="H27" s="4">
        <f>D27</f>
        <v>10809.4</v>
      </c>
      <c r="I27" s="66">
        <v>92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464413/100</f>
        <v>4644.13</v>
      </c>
      <c r="F28" s="1"/>
      <c r="G28" s="4">
        <f t="shared" ref="G28:H35" si="0">C28</f>
        <v>6</v>
      </c>
      <c r="H28" s="4">
        <f t="shared" si="0"/>
        <v>4647.7</v>
      </c>
      <c r="I28" s="66">
        <v>212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108641/100</f>
        <v>1086.4100000000001</v>
      </c>
      <c r="F29" s="1"/>
      <c r="G29" s="4">
        <f t="shared" si="0"/>
        <v>10</v>
      </c>
      <c r="H29" s="4">
        <f t="shared" si="0"/>
        <v>1074.3</v>
      </c>
      <c r="I29" s="66">
        <v>578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37354/100</f>
        <v>373.54</v>
      </c>
      <c r="F30" s="1"/>
      <c r="G30" s="4">
        <f t="shared" si="0"/>
        <v>14</v>
      </c>
      <c r="H30" s="4">
        <f t="shared" si="0"/>
        <v>365.5</v>
      </c>
      <c r="I30" s="66">
        <v>1110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10130/100</f>
        <v>101.3</v>
      </c>
      <c r="F31" s="1"/>
      <c r="G31" s="4">
        <f t="shared" si="0"/>
        <v>21</v>
      </c>
      <c r="H31" s="4">
        <f t="shared" si="0"/>
        <v>109.8</v>
      </c>
      <c r="I31" s="66">
        <v>2210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5439/100</f>
        <v>54.39</v>
      </c>
      <c r="F32" s="1"/>
      <c r="G32" s="4">
        <f t="shared" si="0"/>
        <v>25</v>
      </c>
      <c r="H32" s="4">
        <f t="shared" si="0"/>
        <v>52.1</v>
      </c>
      <c r="I32" s="66">
        <v>3204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v>5.4</v>
      </c>
      <c r="F33" s="1"/>
      <c r="G33" s="4">
        <f t="shared" si="0"/>
        <v>38</v>
      </c>
      <c r="H33" s="4" t="str">
        <f t="shared" si="0"/>
        <v>-</v>
      </c>
      <c r="I33" s="66">
        <v>10011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v>0.83</v>
      </c>
      <c r="F34" s="1"/>
      <c r="G34" s="4">
        <f t="shared" si="0"/>
        <v>50</v>
      </c>
      <c r="H34" s="4" t="str">
        <f t="shared" si="0"/>
        <v>-</v>
      </c>
      <c r="I34" s="66">
        <v>16174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v>0.23</v>
      </c>
      <c r="F35" s="1"/>
      <c r="G35" s="4">
        <f t="shared" si="0"/>
        <v>70</v>
      </c>
      <c r="H35" s="4" t="str">
        <f t="shared" si="0"/>
        <v>-</v>
      </c>
      <c r="I35" s="66">
        <v>24822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Q19:R19"/>
    <mergeCell ref="C48:J52"/>
    <mergeCell ref="Q20:R20"/>
    <mergeCell ref="Q21:R21"/>
    <mergeCell ref="Q22:R22"/>
    <mergeCell ref="Q23:R23"/>
    <mergeCell ref="Q24:R24"/>
    <mergeCell ref="I28:J28"/>
    <mergeCell ref="D22:E22"/>
    <mergeCell ref="H22:I22"/>
    <mergeCell ref="I45:J45"/>
    <mergeCell ref="I46:J46"/>
    <mergeCell ref="I35:J35"/>
    <mergeCell ref="I36:J36"/>
    <mergeCell ref="I37:J37"/>
    <mergeCell ref="I38:J38"/>
    <mergeCell ref="I15:J15"/>
    <mergeCell ref="Q15:R15"/>
    <mergeCell ref="Q16:R16"/>
    <mergeCell ref="Q17:R17"/>
    <mergeCell ref="Q18:R18"/>
    <mergeCell ref="I12:J12"/>
    <mergeCell ref="G13:H13"/>
    <mergeCell ref="I13:J13"/>
    <mergeCell ref="G14:H14"/>
    <mergeCell ref="I14:J14"/>
    <mergeCell ref="C17:D17"/>
    <mergeCell ref="G17:H17"/>
    <mergeCell ref="C18:D18"/>
    <mergeCell ref="G18:H18"/>
    <mergeCell ref="C12:C15"/>
    <mergeCell ref="G12:H12"/>
    <mergeCell ref="G15:H15"/>
    <mergeCell ref="C10:J11"/>
    <mergeCell ref="I41:J41"/>
    <mergeCell ref="I42:J42"/>
    <mergeCell ref="I43:J43"/>
    <mergeCell ref="C24:E24"/>
    <mergeCell ref="G24:J24"/>
    <mergeCell ref="I25:J25"/>
    <mergeCell ref="I26:J26"/>
    <mergeCell ref="I27:J27"/>
    <mergeCell ref="C19:J19"/>
    <mergeCell ref="D20:E20"/>
    <mergeCell ref="H20:I20"/>
    <mergeCell ref="D21:E21"/>
    <mergeCell ref="H21:I21"/>
    <mergeCell ref="C16:D16"/>
    <mergeCell ref="G16:H16"/>
    <mergeCell ref="I44:J44"/>
    <mergeCell ref="I29:J29"/>
    <mergeCell ref="I30:J30"/>
    <mergeCell ref="I31:J31"/>
    <mergeCell ref="I32:J32"/>
    <mergeCell ref="I33:J33"/>
    <mergeCell ref="I34:J34"/>
    <mergeCell ref="I40:J40"/>
    <mergeCell ref="I39:J39"/>
  </mergeCells>
  <hyperlinks>
    <hyperlink ref="C8" r:id="rId1" xr:uid="{2963E97B-5672-4496-A473-A7438605A047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E0F3-DF98-484B-8ABC-CC87A75E5B2A}">
  <dimension ref="B2:R53"/>
  <sheetViews>
    <sheetView showGridLines="0" zoomScale="90" zoomScaleNormal="90" workbookViewId="0">
      <selection activeCell="E32" sqref="E32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46184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63010052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75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5822.6</v>
      </c>
      <c r="E27" s="10">
        <f>581699/100</f>
        <v>5816.99</v>
      </c>
      <c r="F27" s="1"/>
      <c r="G27" s="4">
        <f>C27</f>
        <v>4</v>
      </c>
      <c r="H27" s="4">
        <f>D27</f>
        <v>5822.6</v>
      </c>
      <c r="I27" s="66">
        <v>70</v>
      </c>
      <c r="J27" s="67"/>
      <c r="K27" s="19"/>
    </row>
    <row r="28" spans="2:18" x14ac:dyDescent="0.45">
      <c r="B28" s="18"/>
      <c r="C28" s="4">
        <v>6</v>
      </c>
      <c r="D28" s="4">
        <v>2422.5</v>
      </c>
      <c r="E28" s="10">
        <f>246254/100</f>
        <v>2462.54</v>
      </c>
      <c r="F28" s="1"/>
      <c r="G28" s="4">
        <f t="shared" ref="G28:H35" si="0">C28</f>
        <v>6</v>
      </c>
      <c r="H28" s="4">
        <f t="shared" si="0"/>
        <v>2422.5</v>
      </c>
      <c r="I28" s="66">
        <v>176</v>
      </c>
      <c r="J28" s="67"/>
      <c r="K28" s="19"/>
    </row>
    <row r="29" spans="2:18" x14ac:dyDescent="0.45">
      <c r="B29" s="18"/>
      <c r="C29" s="4">
        <v>10</v>
      </c>
      <c r="D29" s="4">
        <v>543.79999999999995</v>
      </c>
      <c r="E29" s="10">
        <f>55816/100</f>
        <v>558.16</v>
      </c>
      <c r="F29" s="1"/>
      <c r="G29" s="4">
        <f t="shared" si="0"/>
        <v>10</v>
      </c>
      <c r="H29" s="4">
        <f t="shared" si="0"/>
        <v>543.79999999999995</v>
      </c>
      <c r="I29" s="66">
        <v>538</v>
      </c>
      <c r="J29" s="67"/>
      <c r="K29" s="19"/>
    </row>
    <row r="30" spans="2:18" x14ac:dyDescent="0.45">
      <c r="B30" s="18"/>
      <c r="C30" s="4">
        <v>14</v>
      </c>
      <c r="D30" s="4">
        <v>182.5</v>
      </c>
      <c r="E30" s="10">
        <f>18361/100</f>
        <v>183.61</v>
      </c>
      <c r="F30" s="1"/>
      <c r="G30" s="4">
        <f t="shared" si="0"/>
        <v>14</v>
      </c>
      <c r="H30" s="4">
        <f t="shared" si="0"/>
        <v>182.5</v>
      </c>
      <c r="I30" s="66">
        <v>1074</v>
      </c>
      <c r="J30" s="67"/>
      <c r="K30" s="19"/>
    </row>
    <row r="31" spans="2:18" x14ac:dyDescent="0.45">
      <c r="B31" s="18"/>
      <c r="C31" s="4">
        <v>21</v>
      </c>
      <c r="D31" s="4">
        <v>51.7</v>
      </c>
      <c r="E31" s="10">
        <f>4886/100</f>
        <v>48.86</v>
      </c>
      <c r="F31" s="1"/>
      <c r="G31" s="4">
        <f t="shared" si="0"/>
        <v>21</v>
      </c>
      <c r="H31" s="4">
        <f t="shared" si="0"/>
        <v>51.7</v>
      </c>
      <c r="I31" s="66">
        <v>2394</v>
      </c>
      <c r="J31" s="67"/>
      <c r="K31" s="19"/>
    </row>
    <row r="32" spans="2:18" x14ac:dyDescent="0.45">
      <c r="B32" s="18"/>
      <c r="C32" s="4">
        <v>25</v>
      </c>
      <c r="D32" s="4">
        <v>22.8</v>
      </c>
      <c r="E32" s="10">
        <f>2297/100</f>
        <v>22.97</v>
      </c>
      <c r="F32" s="1"/>
      <c r="G32" s="4">
        <f t="shared" si="0"/>
        <v>25</v>
      </c>
      <c r="H32" s="4">
        <f t="shared" si="0"/>
        <v>22.8</v>
      </c>
      <c r="I32" s="66">
        <v>3666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178/100</f>
        <v>1.78</v>
      </c>
      <c r="F33" s="1"/>
      <c r="G33" s="4">
        <f t="shared" si="0"/>
        <v>38</v>
      </c>
      <c r="H33" s="4" t="str">
        <f t="shared" si="0"/>
        <v>-</v>
      </c>
      <c r="I33" s="66">
        <v>10201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44/100</f>
        <v>0.44</v>
      </c>
      <c r="F34" s="1"/>
      <c r="G34" s="4">
        <f t="shared" si="0"/>
        <v>50</v>
      </c>
      <c r="H34" s="4" t="str">
        <f t="shared" si="0"/>
        <v>-</v>
      </c>
      <c r="I34" s="66">
        <v>16053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11/100</f>
        <v>0.11</v>
      </c>
      <c r="F35" s="1"/>
      <c r="G35" s="4">
        <f t="shared" si="0"/>
        <v>70</v>
      </c>
      <c r="H35" s="4" t="str">
        <f t="shared" si="0"/>
        <v>-</v>
      </c>
      <c r="I35" s="66">
        <v>25029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CD3B457A-C32D-4CDD-8F2C-6213D52D7484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20A7-A769-4C6F-8EE8-692D4985C3B8}">
  <dimension ref="B2:R53"/>
  <sheetViews>
    <sheetView showGridLines="0" zoomScale="90" zoomScaleNormal="90" workbookViewId="0">
      <selection activeCell="R14" sqref="R14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63010053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1047957/100</f>
        <v>10479.57</v>
      </c>
      <c r="F27" s="1"/>
      <c r="G27" s="4">
        <f>C27</f>
        <v>4</v>
      </c>
      <c r="H27" s="4">
        <f>D27</f>
        <v>10809.4</v>
      </c>
      <c r="I27" s="66">
        <v>88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452696/100</f>
        <v>4526.96</v>
      </c>
      <c r="F28" s="1"/>
      <c r="G28" s="4">
        <f t="shared" ref="G28:H35" si="0">C28</f>
        <v>6</v>
      </c>
      <c r="H28" s="4">
        <f t="shared" si="0"/>
        <v>4647.7</v>
      </c>
      <c r="I28" s="66">
        <v>198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103307/100</f>
        <v>1033.07</v>
      </c>
      <c r="F29" s="1"/>
      <c r="G29" s="4">
        <f t="shared" si="0"/>
        <v>10</v>
      </c>
      <c r="H29" s="4">
        <f t="shared" si="0"/>
        <v>1074.3</v>
      </c>
      <c r="I29" s="66">
        <v>546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35294/100</f>
        <v>352.94</v>
      </c>
      <c r="F30" s="1"/>
      <c r="G30" s="4">
        <f t="shared" si="0"/>
        <v>14</v>
      </c>
      <c r="H30" s="4">
        <f t="shared" si="0"/>
        <v>365.5</v>
      </c>
      <c r="I30" s="66">
        <v>1060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10125/100</f>
        <v>101.25</v>
      </c>
      <c r="F31" s="1"/>
      <c r="G31" s="4">
        <f t="shared" si="0"/>
        <v>21</v>
      </c>
      <c r="H31" s="4">
        <f t="shared" si="0"/>
        <v>109.8</v>
      </c>
      <c r="I31" s="66">
        <v>2192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4785/100</f>
        <v>47.85</v>
      </c>
      <c r="F32" s="1"/>
      <c r="G32" s="4">
        <f t="shared" si="0"/>
        <v>25</v>
      </c>
      <c r="H32" s="4">
        <f t="shared" si="0"/>
        <v>52.1</v>
      </c>
      <c r="I32" s="66">
        <v>3290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251/100</f>
        <v>2.5099999999999998</v>
      </c>
      <c r="F33" s="1"/>
      <c r="G33" s="4">
        <f t="shared" si="0"/>
        <v>38</v>
      </c>
      <c r="H33" s="4" t="str">
        <f t="shared" si="0"/>
        <v>-</v>
      </c>
      <c r="I33" s="66">
        <v>10037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54/100</f>
        <v>0.54</v>
      </c>
      <c r="F34" s="1"/>
      <c r="G34" s="4">
        <f t="shared" si="0"/>
        <v>50</v>
      </c>
      <c r="H34" s="4" t="str">
        <f t="shared" si="0"/>
        <v>-</v>
      </c>
      <c r="I34" s="66">
        <v>16014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13/100</f>
        <v>0.13</v>
      </c>
      <c r="F35" s="1"/>
      <c r="G35" s="4">
        <f t="shared" si="0"/>
        <v>70</v>
      </c>
      <c r="H35" s="4" t="str">
        <f t="shared" si="0"/>
        <v>-</v>
      </c>
      <c r="I35" s="66">
        <v>25093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687088CD-F0C8-4C5C-A6A1-CABF74E81B5B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C774-F73D-4C84-BDD8-FB03FB18CDB8}">
  <dimension ref="B2:R53"/>
  <sheetViews>
    <sheetView showGridLines="0" zoomScale="90" zoomScaleNormal="90" workbookViewId="0">
      <selection activeCell="E30" sqref="E30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46184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63010054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75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5822.6</v>
      </c>
      <c r="E27" s="10">
        <f>576773/100</f>
        <v>5767.73</v>
      </c>
      <c r="F27" s="1"/>
      <c r="G27" s="4">
        <f>C27</f>
        <v>4</v>
      </c>
      <c r="H27" s="4">
        <f>D27</f>
        <v>5822.6</v>
      </c>
      <c r="I27" s="66">
        <v>86</v>
      </c>
      <c r="J27" s="67"/>
      <c r="K27" s="19"/>
    </row>
    <row r="28" spans="2:18" x14ac:dyDescent="0.45">
      <c r="B28" s="18"/>
      <c r="C28" s="4">
        <v>6</v>
      </c>
      <c r="D28" s="4">
        <v>2422.5</v>
      </c>
      <c r="E28" s="10">
        <f>241361/100</f>
        <v>2413.61</v>
      </c>
      <c r="F28" s="1"/>
      <c r="G28" s="4">
        <f t="shared" ref="G28:H35" si="0">C28</f>
        <v>6</v>
      </c>
      <c r="H28" s="4">
        <f t="shared" si="0"/>
        <v>2422.5</v>
      </c>
      <c r="I28" s="66">
        <v>204</v>
      </c>
      <c r="J28" s="67"/>
      <c r="K28" s="19"/>
    </row>
    <row r="29" spans="2:18" x14ac:dyDescent="0.45">
      <c r="B29" s="18"/>
      <c r="C29" s="4">
        <v>10</v>
      </c>
      <c r="D29" s="4">
        <v>543.79999999999995</v>
      </c>
      <c r="E29" s="10">
        <f>54256/100</f>
        <v>542.55999999999995</v>
      </c>
      <c r="F29" s="1"/>
      <c r="G29" s="4">
        <f t="shared" si="0"/>
        <v>10</v>
      </c>
      <c r="H29" s="4">
        <f t="shared" si="0"/>
        <v>543.79999999999995</v>
      </c>
      <c r="I29" s="66">
        <v>572</v>
      </c>
      <c r="J29" s="67"/>
      <c r="K29" s="19"/>
    </row>
    <row r="30" spans="2:18" x14ac:dyDescent="0.45">
      <c r="B30" s="18"/>
      <c r="C30" s="4">
        <v>14</v>
      </c>
      <c r="D30" s="4">
        <v>182.5</v>
      </c>
      <c r="E30" s="10">
        <f>18343/100</f>
        <v>183.43</v>
      </c>
      <c r="F30" s="1"/>
      <c r="G30" s="4">
        <f t="shared" si="0"/>
        <v>14</v>
      </c>
      <c r="H30" s="4">
        <f t="shared" si="0"/>
        <v>182.5</v>
      </c>
      <c r="I30" s="66">
        <v>1108</v>
      </c>
      <c r="J30" s="67"/>
      <c r="K30" s="19"/>
    </row>
    <row r="31" spans="2:18" x14ac:dyDescent="0.45">
      <c r="B31" s="18"/>
      <c r="C31" s="4">
        <v>21</v>
      </c>
      <c r="D31" s="4">
        <v>51.7</v>
      </c>
      <c r="E31" s="10">
        <f>5165/100</f>
        <v>51.65</v>
      </c>
      <c r="F31" s="1"/>
      <c r="G31" s="4">
        <f t="shared" si="0"/>
        <v>21</v>
      </c>
      <c r="H31" s="4">
        <f t="shared" si="0"/>
        <v>51.7</v>
      </c>
      <c r="I31" s="66">
        <v>2382</v>
      </c>
      <c r="J31" s="67"/>
      <c r="K31" s="19"/>
    </row>
    <row r="32" spans="2:18" x14ac:dyDescent="0.45">
      <c r="B32" s="18"/>
      <c r="C32" s="4">
        <v>25</v>
      </c>
      <c r="D32" s="4">
        <v>22.8</v>
      </c>
      <c r="E32" s="10">
        <f>2195/100</f>
        <v>21.95</v>
      </c>
      <c r="F32" s="1"/>
      <c r="G32" s="4">
        <f t="shared" si="0"/>
        <v>25</v>
      </c>
      <c r="H32" s="4">
        <f t="shared" si="0"/>
        <v>22.8</v>
      </c>
      <c r="I32" s="66">
        <v>3608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196/100</f>
        <v>1.96</v>
      </c>
      <c r="F33" s="1"/>
      <c r="G33" s="4">
        <f t="shared" si="0"/>
        <v>38</v>
      </c>
      <c r="H33" s="4" t="str">
        <f t="shared" si="0"/>
        <v>-</v>
      </c>
      <c r="I33" s="66">
        <v>10029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11/100</f>
        <v>0.11</v>
      </c>
      <c r="F34" s="1"/>
      <c r="G34" s="4">
        <f t="shared" si="0"/>
        <v>50</v>
      </c>
      <c r="H34" s="4" t="str">
        <f t="shared" si="0"/>
        <v>-</v>
      </c>
      <c r="I34" s="66">
        <v>16221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0/100</f>
        <v>0</v>
      </c>
      <c r="F35" s="1"/>
      <c r="G35" s="4">
        <f t="shared" si="0"/>
        <v>70</v>
      </c>
      <c r="H35" s="4" t="str">
        <f t="shared" si="0"/>
        <v>-</v>
      </c>
      <c r="I35" s="66">
        <v>24748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993972F6-6CD3-4D96-ABAE-C625103B5E96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8B60-A5A0-4939-BF0C-646DF74FD312}">
  <dimension ref="B2:R53"/>
  <sheetViews>
    <sheetView showGridLines="0" zoomScale="90" zoomScaleNormal="90" workbookViewId="0">
      <selection activeCell="P18" sqref="P18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63010055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1098065/100</f>
        <v>10980.65</v>
      </c>
      <c r="F27" s="1"/>
      <c r="G27" s="4">
        <f>C27</f>
        <v>4</v>
      </c>
      <c r="H27" s="4">
        <f>D27</f>
        <v>10809.4</v>
      </c>
      <c r="I27" s="66">
        <v>82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468172/100</f>
        <v>4681.72</v>
      </c>
      <c r="F28" s="1"/>
      <c r="G28" s="4">
        <f t="shared" ref="G28:H35" si="0">C28</f>
        <v>6</v>
      </c>
      <c r="H28" s="4">
        <f t="shared" si="0"/>
        <v>4647.7</v>
      </c>
      <c r="I28" s="66">
        <v>190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107450/100</f>
        <v>1074.5</v>
      </c>
      <c r="F29" s="1"/>
      <c r="G29" s="4">
        <f t="shared" si="0"/>
        <v>10</v>
      </c>
      <c r="H29" s="4">
        <f t="shared" si="0"/>
        <v>1074.3</v>
      </c>
      <c r="I29" s="66">
        <v>530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36852/100</f>
        <v>368.52</v>
      </c>
      <c r="F30" s="1"/>
      <c r="G30" s="4">
        <f t="shared" si="0"/>
        <v>14</v>
      </c>
      <c r="H30" s="4">
        <f t="shared" si="0"/>
        <v>365.5</v>
      </c>
      <c r="I30" s="66">
        <v>1030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11173/100</f>
        <v>111.73</v>
      </c>
      <c r="F31" s="1"/>
      <c r="G31" s="4">
        <f t="shared" si="0"/>
        <v>21</v>
      </c>
      <c r="H31" s="4">
        <f t="shared" si="0"/>
        <v>109.8</v>
      </c>
      <c r="I31" s="66">
        <v>2076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5463/100</f>
        <v>54.63</v>
      </c>
      <c r="F32" s="1"/>
      <c r="G32" s="4">
        <f t="shared" si="0"/>
        <v>25</v>
      </c>
      <c r="H32" s="4">
        <f t="shared" si="0"/>
        <v>52.1</v>
      </c>
      <c r="I32" s="66">
        <v>3036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195/100</f>
        <v>1.95</v>
      </c>
      <c r="F33" s="1"/>
      <c r="G33" s="4">
        <f t="shared" si="0"/>
        <v>38</v>
      </c>
      <c r="H33" s="4" t="str">
        <f t="shared" si="0"/>
        <v>-</v>
      </c>
      <c r="I33" s="66">
        <v>10144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37/100</f>
        <v>0.37</v>
      </c>
      <c r="F34" s="1"/>
      <c r="G34" s="4">
        <f t="shared" si="0"/>
        <v>50</v>
      </c>
      <c r="H34" s="4" t="str">
        <f t="shared" si="0"/>
        <v>-</v>
      </c>
      <c r="I34" s="66">
        <v>15958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4/100</f>
        <v>0.04</v>
      </c>
      <c r="F35" s="1"/>
      <c r="G35" s="4">
        <f t="shared" si="0"/>
        <v>70</v>
      </c>
      <c r="H35" s="4" t="str">
        <f t="shared" si="0"/>
        <v>-</v>
      </c>
      <c r="I35" s="66">
        <v>25096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38E30292-27B8-4DC5-B328-49F4E2C2C905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7E5D-9F14-41BC-A703-7AB87E0AC15F}">
  <dimension ref="B2:T53"/>
  <sheetViews>
    <sheetView showGridLines="0" zoomScale="90" zoomScaleNormal="90" workbookViewId="0">
      <selection activeCell="P44" sqref="P44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46184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63010056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75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20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20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20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20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20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20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20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20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20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20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20" x14ac:dyDescent="0.45">
      <c r="B27" s="18"/>
      <c r="C27" s="4">
        <v>4</v>
      </c>
      <c r="D27" s="4">
        <v>5822.6</v>
      </c>
      <c r="E27" s="10">
        <f>588203/100</f>
        <v>5882.03</v>
      </c>
      <c r="F27" s="1"/>
      <c r="G27" s="4">
        <f>C27</f>
        <v>4</v>
      </c>
      <c r="H27" s="4">
        <f>D27</f>
        <v>5822.6</v>
      </c>
      <c r="I27" s="66">
        <v>82</v>
      </c>
      <c r="J27" s="67"/>
      <c r="K27" s="19"/>
    </row>
    <row r="28" spans="2:20" x14ac:dyDescent="0.45">
      <c r="B28" s="18"/>
      <c r="C28" s="4">
        <v>6</v>
      </c>
      <c r="D28" s="4">
        <v>2422.5</v>
      </c>
      <c r="E28" s="10">
        <f>241359/100</f>
        <v>2413.59</v>
      </c>
      <c r="F28" s="1"/>
      <c r="G28" s="4">
        <f t="shared" ref="G28:H35" si="0">C28</f>
        <v>6</v>
      </c>
      <c r="H28" s="4">
        <f t="shared" si="0"/>
        <v>2422.5</v>
      </c>
      <c r="I28" s="66">
        <v>194</v>
      </c>
      <c r="J28" s="67"/>
      <c r="K28" s="19"/>
    </row>
    <row r="29" spans="2:20" x14ac:dyDescent="0.45">
      <c r="B29" s="18"/>
      <c r="C29" s="4">
        <v>10</v>
      </c>
      <c r="D29" s="4">
        <v>543.79999999999995</v>
      </c>
      <c r="E29" s="10">
        <f>54502/100</f>
        <v>545.02</v>
      </c>
      <c r="F29" s="1"/>
      <c r="G29" s="4">
        <f t="shared" si="0"/>
        <v>10</v>
      </c>
      <c r="H29" s="4">
        <f t="shared" si="0"/>
        <v>543.79999999999995</v>
      </c>
      <c r="I29" s="66">
        <v>552</v>
      </c>
      <c r="J29" s="67"/>
      <c r="K29" s="19"/>
    </row>
    <row r="30" spans="2:20" x14ac:dyDescent="0.45">
      <c r="B30" s="18"/>
      <c r="C30" s="4">
        <v>14</v>
      </c>
      <c r="D30" s="4">
        <v>182.5</v>
      </c>
      <c r="E30" s="10">
        <f>18240/100</f>
        <v>182.4</v>
      </c>
      <c r="F30" s="1"/>
      <c r="G30" s="4">
        <f t="shared" si="0"/>
        <v>14</v>
      </c>
      <c r="H30" s="4">
        <f t="shared" si="0"/>
        <v>182.5</v>
      </c>
      <c r="I30" s="66">
        <v>1132</v>
      </c>
      <c r="J30" s="67"/>
      <c r="K30" s="19"/>
      <c r="O30" s="28"/>
      <c r="P30" s="28"/>
      <c r="Q30" s="28"/>
      <c r="R30" s="28"/>
      <c r="S30" s="28"/>
      <c r="T30" s="28"/>
    </row>
    <row r="31" spans="2:20" x14ac:dyDescent="0.45">
      <c r="B31" s="18"/>
      <c r="C31" s="4">
        <v>21</v>
      </c>
      <c r="D31" s="4">
        <v>51.7</v>
      </c>
      <c r="E31" s="10">
        <f>5174/100</f>
        <v>51.74</v>
      </c>
      <c r="F31" s="1"/>
      <c r="G31" s="4">
        <f t="shared" si="0"/>
        <v>21</v>
      </c>
      <c r="H31" s="4">
        <f t="shared" si="0"/>
        <v>51.7</v>
      </c>
      <c r="I31" s="66">
        <v>2460</v>
      </c>
      <c r="J31" s="67"/>
      <c r="K31" s="19"/>
      <c r="O31" s="26"/>
      <c r="P31" s="26"/>
      <c r="Q31" s="26"/>
    </row>
    <row r="32" spans="2:20" x14ac:dyDescent="0.45">
      <c r="B32" s="18"/>
      <c r="C32" s="4">
        <v>25</v>
      </c>
      <c r="D32" s="4">
        <v>22.8</v>
      </c>
      <c r="E32" s="10">
        <f>2277/100</f>
        <v>22.77</v>
      </c>
      <c r="F32" s="1"/>
      <c r="G32" s="4">
        <f t="shared" si="0"/>
        <v>25</v>
      </c>
      <c r="H32" s="4">
        <f t="shared" si="0"/>
        <v>22.8</v>
      </c>
      <c r="I32" s="66">
        <v>3678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213/100</f>
        <v>2.13</v>
      </c>
      <c r="F33" s="1"/>
      <c r="G33" s="4">
        <f t="shared" si="0"/>
        <v>38</v>
      </c>
      <c r="H33" s="4" t="str">
        <f t="shared" si="0"/>
        <v>-</v>
      </c>
      <c r="I33" s="66">
        <v>9988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22/100</f>
        <v>0.22</v>
      </c>
      <c r="F34" s="1"/>
      <c r="G34" s="4">
        <f t="shared" si="0"/>
        <v>50</v>
      </c>
      <c r="H34" s="4" t="str">
        <f t="shared" si="0"/>
        <v>-</v>
      </c>
      <c r="I34" s="66">
        <v>16167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0/100</f>
        <v>0</v>
      </c>
      <c r="F35" s="1"/>
      <c r="G35" s="4">
        <f t="shared" si="0"/>
        <v>70</v>
      </c>
      <c r="H35" s="4" t="str">
        <f t="shared" si="0"/>
        <v>-</v>
      </c>
      <c r="I35" s="66">
        <v>24783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A2B22378-C269-4F52-B555-D29D46F254A6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4A3D-1805-485A-8FBB-1E5600003240}">
  <dimension ref="B2:R53"/>
  <sheetViews>
    <sheetView showGridLines="0" zoomScale="90" zoomScaleNormal="90" workbookViewId="0">
      <selection activeCell="P25" sqref="P25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11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63010057</v>
      </c>
      <c r="F13" s="11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11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11"/>
      <c r="G15" s="56" t="s">
        <v>45</v>
      </c>
      <c r="H15" s="57"/>
      <c r="I15" s="54" t="s">
        <v>76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11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11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11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2"/>
      <c r="D23" s="12"/>
      <c r="E23" s="12"/>
      <c r="F23" s="12"/>
      <c r="G23" s="12"/>
      <c r="H23" s="12"/>
      <c r="I23" s="12"/>
      <c r="J23" s="12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2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2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2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5822.6</v>
      </c>
      <c r="E27" s="10">
        <f>583527/100</f>
        <v>5835.27</v>
      </c>
      <c r="F27" s="12"/>
      <c r="G27" s="4">
        <f t="shared" ref="G27:H35" si="0">C27</f>
        <v>4</v>
      </c>
      <c r="H27" s="4">
        <f t="shared" si="0"/>
        <v>5822.6</v>
      </c>
      <c r="I27" s="66">
        <v>74</v>
      </c>
      <c r="J27" s="67"/>
      <c r="K27" s="19"/>
    </row>
    <row r="28" spans="2:18" x14ac:dyDescent="0.45">
      <c r="B28" s="18"/>
      <c r="C28" s="4">
        <v>6</v>
      </c>
      <c r="D28" s="4">
        <v>2422.5</v>
      </c>
      <c r="E28" s="10">
        <f>244923/100</f>
        <v>2449.23</v>
      </c>
      <c r="F28" s="12"/>
      <c r="G28" s="4">
        <f t="shared" si="0"/>
        <v>6</v>
      </c>
      <c r="H28" s="4">
        <f t="shared" si="0"/>
        <v>2422.5</v>
      </c>
      <c r="I28" s="66">
        <v>184</v>
      </c>
      <c r="J28" s="67"/>
      <c r="K28" s="19"/>
    </row>
    <row r="29" spans="2:18" x14ac:dyDescent="0.45">
      <c r="B29" s="18"/>
      <c r="C29" s="4">
        <v>10</v>
      </c>
      <c r="D29" s="4">
        <v>543.79999999999995</v>
      </c>
      <c r="E29" s="10">
        <f>52850/100</f>
        <v>528.5</v>
      </c>
      <c r="F29" s="12"/>
      <c r="G29" s="4">
        <f t="shared" si="0"/>
        <v>10</v>
      </c>
      <c r="H29" s="4">
        <f t="shared" si="0"/>
        <v>543.79999999999995</v>
      </c>
      <c r="I29" s="66">
        <v>599</v>
      </c>
      <c r="J29" s="67"/>
      <c r="K29" s="19"/>
    </row>
    <row r="30" spans="2:18" x14ac:dyDescent="0.45">
      <c r="B30" s="18"/>
      <c r="C30" s="4">
        <v>14</v>
      </c>
      <c r="D30" s="4">
        <v>182.5</v>
      </c>
      <c r="E30" s="10">
        <f>18403/100</f>
        <v>184.03</v>
      </c>
      <c r="F30" s="12"/>
      <c r="G30" s="4">
        <f t="shared" si="0"/>
        <v>14</v>
      </c>
      <c r="H30" s="4">
        <f t="shared" si="0"/>
        <v>182.5</v>
      </c>
      <c r="I30" s="66">
        <v>1020</v>
      </c>
      <c r="J30" s="67"/>
      <c r="K30" s="19"/>
    </row>
    <row r="31" spans="2:18" x14ac:dyDescent="0.45">
      <c r="B31" s="18"/>
      <c r="C31" s="4">
        <v>21</v>
      </c>
      <c r="D31" s="4">
        <v>51.7</v>
      </c>
      <c r="E31" s="10">
        <f>5520/100</f>
        <v>55.2</v>
      </c>
      <c r="F31" s="12"/>
      <c r="G31" s="4">
        <f t="shared" si="0"/>
        <v>21</v>
      </c>
      <c r="H31" s="4">
        <f t="shared" si="0"/>
        <v>51.7</v>
      </c>
      <c r="I31" s="66">
        <v>2080</v>
      </c>
      <c r="J31" s="67"/>
      <c r="K31" s="19"/>
    </row>
    <row r="32" spans="2:18" x14ac:dyDescent="0.45">
      <c r="B32" s="18"/>
      <c r="C32" s="4">
        <v>25</v>
      </c>
      <c r="D32" s="4">
        <v>22.8</v>
      </c>
      <c r="E32" s="10">
        <f>2422/100</f>
        <v>24.22</v>
      </c>
      <c r="F32" s="12"/>
      <c r="G32" s="4">
        <f t="shared" si="0"/>
        <v>25</v>
      </c>
      <c r="H32" s="4">
        <f t="shared" si="0"/>
        <v>22.8</v>
      </c>
      <c r="I32" s="66">
        <v>2938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176/100</f>
        <v>1.76</v>
      </c>
      <c r="F33" s="12"/>
      <c r="G33" s="4">
        <f t="shared" si="0"/>
        <v>38</v>
      </c>
      <c r="H33" s="4" t="str">
        <f t="shared" si="0"/>
        <v>-</v>
      </c>
      <c r="I33" s="66">
        <v>10084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51/100</f>
        <v>0.51</v>
      </c>
      <c r="F34" s="12"/>
      <c r="G34" s="4">
        <f t="shared" si="0"/>
        <v>50</v>
      </c>
      <c r="H34" s="4" t="str">
        <f t="shared" si="0"/>
        <v>-</v>
      </c>
      <c r="I34" s="66">
        <v>16139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11/100</f>
        <v>0.11</v>
      </c>
      <c r="F35" s="12"/>
      <c r="G35" s="4">
        <f t="shared" si="0"/>
        <v>70</v>
      </c>
      <c r="H35" s="4" t="str">
        <f t="shared" si="0"/>
        <v>-</v>
      </c>
      <c r="I35" s="66">
        <v>25112</v>
      </c>
      <c r="J35" s="67"/>
      <c r="K35" s="19"/>
    </row>
    <row r="36" spans="2:11" x14ac:dyDescent="0.45">
      <c r="B36" s="18"/>
      <c r="C36" s="4"/>
      <c r="D36" s="4"/>
      <c r="E36" s="4"/>
      <c r="F36" s="12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A04604C8-62F9-42E1-AFB4-C493BA3EBA4B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1218-C1AF-4800-BAF7-813FE10A3365}">
  <dimension ref="B2:R53"/>
  <sheetViews>
    <sheetView showGridLines="0" zoomScale="90" zoomScaleNormal="90" workbookViewId="0">
      <selection activeCell="P20" sqref="P20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63010058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1067280/100</f>
        <v>10672.8</v>
      </c>
      <c r="F27" s="1"/>
      <c r="G27" s="4">
        <f>C27</f>
        <v>4</v>
      </c>
      <c r="H27" s="4">
        <f>D27</f>
        <v>10809.4</v>
      </c>
      <c r="I27" s="66">
        <v>96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452414/100</f>
        <v>4524.1400000000003</v>
      </c>
      <c r="F28" s="1"/>
      <c r="G28" s="4">
        <f t="shared" ref="G28:H35" si="0">C28</f>
        <v>6</v>
      </c>
      <c r="H28" s="4">
        <f t="shared" si="0"/>
        <v>4647.7</v>
      </c>
      <c r="I28" s="66">
        <v>234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107290/100</f>
        <v>1072.9000000000001</v>
      </c>
      <c r="F29" s="1"/>
      <c r="G29" s="4">
        <f t="shared" si="0"/>
        <v>10</v>
      </c>
      <c r="H29" s="4">
        <f t="shared" si="0"/>
        <v>1074.3</v>
      </c>
      <c r="I29" s="66">
        <v>644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34817/100</f>
        <v>348.17</v>
      </c>
      <c r="F30" s="1"/>
      <c r="G30" s="4">
        <f t="shared" si="0"/>
        <v>14</v>
      </c>
      <c r="H30" s="4">
        <f t="shared" si="0"/>
        <v>365.5</v>
      </c>
      <c r="I30" s="66">
        <v>1252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10344/100</f>
        <v>103.44</v>
      </c>
      <c r="F31" s="1"/>
      <c r="G31" s="4">
        <f t="shared" si="0"/>
        <v>21</v>
      </c>
      <c r="H31" s="4">
        <f t="shared" si="0"/>
        <v>109.8</v>
      </c>
      <c r="I31" s="66">
        <v>2520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4626/100</f>
        <v>46.26</v>
      </c>
      <c r="F32" s="1"/>
      <c r="G32" s="4">
        <f t="shared" si="0"/>
        <v>25</v>
      </c>
      <c r="H32" s="4">
        <f t="shared" si="0"/>
        <v>52.1</v>
      </c>
      <c r="I32" s="66">
        <v>3710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438/100</f>
        <v>4.38</v>
      </c>
      <c r="F33" s="1"/>
      <c r="G33" s="4">
        <f t="shared" si="0"/>
        <v>38</v>
      </c>
      <c r="H33" s="4" t="str">
        <f t="shared" si="0"/>
        <v>-</v>
      </c>
      <c r="I33" s="66">
        <v>10198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85/100</f>
        <v>0.85</v>
      </c>
      <c r="F34" s="1"/>
      <c r="G34" s="4">
        <f t="shared" si="0"/>
        <v>50</v>
      </c>
      <c r="H34" s="4" t="str">
        <f t="shared" si="0"/>
        <v>-</v>
      </c>
      <c r="I34" s="66">
        <v>15876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4/100</f>
        <v>0.04</v>
      </c>
      <c r="F35" s="1"/>
      <c r="G35" s="4">
        <f t="shared" si="0"/>
        <v>70</v>
      </c>
      <c r="H35" s="4" t="str">
        <f t="shared" si="0"/>
        <v>-</v>
      </c>
      <c r="I35" s="66">
        <v>25071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9FCA1975-0742-4029-8F11-615AF967EE9C}"/>
  </hyperlink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2231-BFB6-4614-8B95-4750A7DCA60B}">
  <dimension ref="B2:R53"/>
  <sheetViews>
    <sheetView showGridLines="0" zoomScale="90" zoomScaleNormal="90" workbookViewId="0">
      <selection activeCell="O21" sqref="O21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11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63010059</v>
      </c>
      <c r="F13" s="11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11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11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11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11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11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2"/>
      <c r="D23" s="12"/>
      <c r="E23" s="12"/>
      <c r="F23" s="12"/>
      <c r="G23" s="12"/>
      <c r="H23" s="12"/>
      <c r="I23" s="12"/>
      <c r="J23" s="12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2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2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2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1067797/100</f>
        <v>10677.97</v>
      </c>
      <c r="F27" s="12"/>
      <c r="G27" s="4">
        <f t="shared" ref="G27:H35" si="0">C27</f>
        <v>4</v>
      </c>
      <c r="H27" s="4">
        <f t="shared" si="0"/>
        <v>10809.4</v>
      </c>
      <c r="I27" s="66">
        <v>90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465672/100</f>
        <v>4656.72</v>
      </c>
      <c r="F28" s="12"/>
      <c r="G28" s="4">
        <f t="shared" si="0"/>
        <v>6</v>
      </c>
      <c r="H28" s="4">
        <f t="shared" si="0"/>
        <v>4647.7</v>
      </c>
      <c r="I28" s="66">
        <v>204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109250/100</f>
        <v>1092.5</v>
      </c>
      <c r="F29" s="12"/>
      <c r="G29" s="4">
        <f t="shared" si="0"/>
        <v>10</v>
      </c>
      <c r="H29" s="4">
        <f t="shared" si="0"/>
        <v>1074.3</v>
      </c>
      <c r="I29" s="66">
        <v>552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37641/100</f>
        <v>376.41</v>
      </c>
      <c r="F30" s="12"/>
      <c r="G30" s="4">
        <f t="shared" si="0"/>
        <v>14</v>
      </c>
      <c r="H30" s="4">
        <f t="shared" si="0"/>
        <v>365.5</v>
      </c>
      <c r="I30" s="66">
        <v>1064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12062/100</f>
        <v>120.62</v>
      </c>
      <c r="F31" s="12"/>
      <c r="G31" s="4">
        <f t="shared" si="0"/>
        <v>21</v>
      </c>
      <c r="H31" s="4">
        <f t="shared" si="0"/>
        <v>109.8</v>
      </c>
      <c r="I31" s="66">
        <v>2092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5929/100</f>
        <v>59.29</v>
      </c>
      <c r="F32" s="12"/>
      <c r="G32" s="4">
        <f t="shared" si="0"/>
        <v>25</v>
      </c>
      <c r="H32" s="4">
        <f t="shared" si="0"/>
        <v>52.1</v>
      </c>
      <c r="I32" s="66">
        <v>3036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280/100</f>
        <v>2.8</v>
      </c>
      <c r="F33" s="12"/>
      <c r="G33" s="4">
        <f t="shared" si="0"/>
        <v>38</v>
      </c>
      <c r="H33" s="4" t="str">
        <f t="shared" si="0"/>
        <v>-</v>
      </c>
      <c r="I33" s="66">
        <v>9879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59/100</f>
        <v>0.59</v>
      </c>
      <c r="F34" s="12"/>
      <c r="G34" s="4">
        <f t="shared" si="0"/>
        <v>50</v>
      </c>
      <c r="H34" s="4" t="str">
        <f t="shared" si="0"/>
        <v>-</v>
      </c>
      <c r="I34" s="66">
        <v>16188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5/100</f>
        <v>0.05</v>
      </c>
      <c r="F35" s="12"/>
      <c r="G35" s="4">
        <f t="shared" si="0"/>
        <v>70</v>
      </c>
      <c r="H35" s="4" t="str">
        <f t="shared" si="0"/>
        <v>-</v>
      </c>
      <c r="I35" s="66">
        <v>24977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50BAC35E-4E54-4CE5-9ED4-177D7C245821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6073-9146-46BB-A530-675584E8EE9E}">
  <dimension ref="B2:R53"/>
  <sheetViews>
    <sheetView showGridLines="0" zoomScale="90" zoomScaleNormal="90" workbookViewId="0">
      <selection activeCell="M28" sqref="M28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11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63010060</v>
      </c>
      <c r="F13" s="11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11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11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11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11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11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2"/>
      <c r="D23" s="12"/>
      <c r="E23" s="12"/>
      <c r="F23" s="12"/>
      <c r="G23" s="12"/>
      <c r="H23" s="12"/>
      <c r="I23" s="12"/>
      <c r="J23" s="12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2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2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2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1073037/100</f>
        <v>10730.37</v>
      </c>
      <c r="F27" s="12"/>
      <c r="G27" s="4">
        <f t="shared" ref="G27:H35" si="0">C27</f>
        <v>4</v>
      </c>
      <c r="H27" s="4">
        <f t="shared" si="0"/>
        <v>10809.4</v>
      </c>
      <c r="I27" s="66">
        <v>68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463405/100</f>
        <v>4634.05</v>
      </c>
      <c r="F28" s="12"/>
      <c r="G28" s="4">
        <f t="shared" si="0"/>
        <v>6</v>
      </c>
      <c r="H28" s="4">
        <f t="shared" si="0"/>
        <v>4647.7</v>
      </c>
      <c r="I28" s="66">
        <v>152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107139/100</f>
        <v>1071.3900000000001</v>
      </c>
      <c r="F29" s="12"/>
      <c r="G29" s="4">
        <f t="shared" si="0"/>
        <v>10</v>
      </c>
      <c r="H29" s="4">
        <f t="shared" si="0"/>
        <v>1074.3</v>
      </c>
      <c r="I29" s="66">
        <v>428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36590/100</f>
        <v>365.9</v>
      </c>
      <c r="F30" s="12"/>
      <c r="G30" s="4">
        <f t="shared" si="0"/>
        <v>14</v>
      </c>
      <c r="H30" s="4">
        <f t="shared" si="0"/>
        <v>365.5</v>
      </c>
      <c r="I30" s="66">
        <v>876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10984/100</f>
        <v>109.84</v>
      </c>
      <c r="F31" s="12"/>
      <c r="G31" s="4">
        <f t="shared" si="0"/>
        <v>21</v>
      </c>
      <c r="H31" s="4">
        <f t="shared" si="0"/>
        <v>109.8</v>
      </c>
      <c r="I31" s="66">
        <v>1886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5215/100</f>
        <v>52.15</v>
      </c>
      <c r="F32" s="12"/>
      <c r="G32" s="4">
        <f t="shared" si="0"/>
        <v>25</v>
      </c>
      <c r="H32" s="4">
        <f t="shared" si="0"/>
        <v>52.1</v>
      </c>
      <c r="I32" s="66">
        <v>2856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245/100</f>
        <v>2.4500000000000002</v>
      </c>
      <c r="F33" s="12"/>
      <c r="G33" s="4">
        <f t="shared" si="0"/>
        <v>38</v>
      </c>
      <c r="H33" s="4" t="str">
        <f t="shared" si="0"/>
        <v>-</v>
      </c>
      <c r="I33" s="66">
        <v>10256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28/100</f>
        <v>0.28000000000000003</v>
      </c>
      <c r="F34" s="12"/>
      <c r="G34" s="4">
        <f t="shared" si="0"/>
        <v>50</v>
      </c>
      <c r="H34" s="4" t="str">
        <f t="shared" si="0"/>
        <v>-</v>
      </c>
      <c r="I34" s="66">
        <v>15907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5/100</f>
        <v>0.05</v>
      </c>
      <c r="F35" s="12"/>
      <c r="G35" s="4">
        <f t="shared" si="0"/>
        <v>70</v>
      </c>
      <c r="H35" s="4" t="str">
        <f t="shared" si="0"/>
        <v>-</v>
      </c>
      <c r="I35" s="66">
        <v>24810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FFB54970-F1F7-44BF-9D92-15AF60530EAB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CC66-5C87-42D6-A793-D1C65A7AB72E}">
  <dimension ref="B2:R53"/>
  <sheetViews>
    <sheetView showGridLines="0" zoomScale="90" zoomScaleNormal="90" workbookViewId="0">
      <selection activeCell="E36" sqref="E36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46184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63010061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75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5822.6</v>
      </c>
      <c r="E27" s="10">
        <f>568042/100</f>
        <v>5680.42</v>
      </c>
      <c r="F27" s="1"/>
      <c r="G27" s="4">
        <f>C27</f>
        <v>4</v>
      </c>
      <c r="H27" s="4">
        <f>D27</f>
        <v>5822.6</v>
      </c>
      <c r="I27" s="66">
        <v>90</v>
      </c>
      <c r="J27" s="67"/>
      <c r="K27" s="19"/>
    </row>
    <row r="28" spans="2:18" x14ac:dyDescent="0.45">
      <c r="B28" s="18"/>
      <c r="C28" s="4">
        <v>6</v>
      </c>
      <c r="D28" s="4">
        <v>2422.5</v>
      </c>
      <c r="E28" s="10">
        <f>233547/100</f>
        <v>2335.4699999999998</v>
      </c>
      <c r="F28" s="1"/>
      <c r="G28" s="4">
        <f t="shared" ref="G28:H35" si="0">C28</f>
        <v>6</v>
      </c>
      <c r="H28" s="4">
        <f t="shared" si="0"/>
        <v>2422.5</v>
      </c>
      <c r="I28" s="66">
        <v>206</v>
      </c>
      <c r="J28" s="67"/>
      <c r="K28" s="19"/>
      <c r="M28" s="26"/>
      <c r="N28" s="26"/>
      <c r="O28" s="26"/>
    </row>
    <row r="29" spans="2:18" x14ac:dyDescent="0.45">
      <c r="B29" s="18"/>
      <c r="C29" s="4">
        <v>10</v>
      </c>
      <c r="D29" s="4">
        <v>543.79999999999995</v>
      </c>
      <c r="E29" s="10">
        <f>54256/100</f>
        <v>542.55999999999995</v>
      </c>
      <c r="F29" s="1"/>
      <c r="G29" s="4">
        <f t="shared" si="0"/>
        <v>10</v>
      </c>
      <c r="H29" s="4">
        <f t="shared" si="0"/>
        <v>543.79999999999995</v>
      </c>
      <c r="I29" s="66">
        <v>566</v>
      </c>
      <c r="J29" s="67"/>
      <c r="K29" s="19"/>
    </row>
    <row r="30" spans="2:18" x14ac:dyDescent="0.45">
      <c r="B30" s="18"/>
      <c r="C30" s="4">
        <v>14</v>
      </c>
      <c r="D30" s="4">
        <v>182.5</v>
      </c>
      <c r="E30" s="10">
        <f>19116/100</f>
        <v>191.16</v>
      </c>
      <c r="F30" s="1"/>
      <c r="G30" s="4">
        <f t="shared" si="0"/>
        <v>14</v>
      </c>
      <c r="H30" s="4">
        <f t="shared" si="0"/>
        <v>182.5</v>
      </c>
      <c r="I30" s="66">
        <v>1106</v>
      </c>
      <c r="J30" s="67"/>
      <c r="K30" s="19"/>
    </row>
    <row r="31" spans="2:18" x14ac:dyDescent="0.45">
      <c r="B31" s="18"/>
      <c r="C31" s="4">
        <v>21</v>
      </c>
      <c r="D31" s="4">
        <v>51.7</v>
      </c>
      <c r="E31" s="10">
        <f>5478/100</f>
        <v>54.78</v>
      </c>
      <c r="F31" s="1"/>
      <c r="G31" s="4">
        <f t="shared" si="0"/>
        <v>21</v>
      </c>
      <c r="H31" s="4">
        <f t="shared" si="0"/>
        <v>51.7</v>
      </c>
      <c r="I31" s="66">
        <v>2376</v>
      </c>
      <c r="J31" s="67"/>
      <c r="K31" s="19"/>
    </row>
    <row r="32" spans="2:18" x14ac:dyDescent="0.45">
      <c r="B32" s="18"/>
      <c r="C32" s="4">
        <v>25</v>
      </c>
      <c r="D32" s="4">
        <v>22.8</v>
      </c>
      <c r="E32" s="10">
        <f>2206/100</f>
        <v>22.06</v>
      </c>
      <c r="F32" s="1"/>
      <c r="G32" s="4">
        <f t="shared" si="0"/>
        <v>25</v>
      </c>
      <c r="H32" s="4">
        <f t="shared" si="0"/>
        <v>22.8</v>
      </c>
      <c r="I32" s="66">
        <v>3696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146/100</f>
        <v>1.46</v>
      </c>
      <c r="F33" s="1"/>
      <c r="G33" s="4">
        <f t="shared" si="0"/>
        <v>38</v>
      </c>
      <c r="H33" s="4" t="str">
        <f t="shared" si="0"/>
        <v>-</v>
      </c>
      <c r="I33" s="66">
        <v>10177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33/100</f>
        <v>0.33</v>
      </c>
      <c r="F34" s="1"/>
      <c r="G34" s="4">
        <f t="shared" si="0"/>
        <v>50</v>
      </c>
      <c r="H34" s="4" t="str">
        <f t="shared" si="0"/>
        <v>-</v>
      </c>
      <c r="I34" s="66">
        <v>15895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5/100</f>
        <v>0.05</v>
      </c>
      <c r="F35" s="1"/>
      <c r="G35" s="4">
        <f t="shared" si="0"/>
        <v>70</v>
      </c>
      <c r="H35" s="4" t="str">
        <f t="shared" si="0"/>
        <v>-</v>
      </c>
      <c r="I35" s="66">
        <v>25088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06AB4F8B-8888-4B73-BEDE-54D17322A1C4}"/>
  </hyperlinks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156E-DEE7-4B6B-9DE5-BB30BB7E31C2}">
  <dimension ref="B2:R53"/>
  <sheetViews>
    <sheetView showGridLines="0" zoomScale="90" zoomScaleNormal="90" workbookViewId="0">
      <selection activeCell="R38" sqref="R38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11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63010062</v>
      </c>
      <c r="F13" s="11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11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11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11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11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11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2"/>
      <c r="D23" s="12"/>
      <c r="E23" s="12"/>
      <c r="F23" s="12"/>
      <c r="G23" s="12"/>
      <c r="H23" s="12"/>
      <c r="I23" s="12"/>
      <c r="J23" s="12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2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2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2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1026589/100</f>
        <v>10265.89</v>
      </c>
      <c r="F27" s="12"/>
      <c r="G27" s="4">
        <f t="shared" ref="G27:H35" si="0">C27</f>
        <v>4</v>
      </c>
      <c r="H27" s="4">
        <f t="shared" si="0"/>
        <v>10809.4</v>
      </c>
      <c r="I27" s="66">
        <v>92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439066/100</f>
        <v>4390.66</v>
      </c>
      <c r="F28" s="12"/>
      <c r="G28" s="4">
        <f t="shared" si="0"/>
        <v>6</v>
      </c>
      <c r="H28" s="4">
        <f t="shared" si="0"/>
        <v>4647.7</v>
      </c>
      <c r="I28" s="66">
        <v>206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100360/100</f>
        <v>1003.6</v>
      </c>
      <c r="F29" s="12"/>
      <c r="G29" s="4">
        <f t="shared" si="0"/>
        <v>10</v>
      </c>
      <c r="H29" s="4">
        <f t="shared" si="0"/>
        <v>1074.3</v>
      </c>
      <c r="I29" s="66">
        <v>562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34463/100</f>
        <v>344.63</v>
      </c>
      <c r="F30" s="12"/>
      <c r="G30" s="4">
        <f t="shared" si="0"/>
        <v>14</v>
      </c>
      <c r="H30" s="4">
        <f t="shared" si="0"/>
        <v>365.5</v>
      </c>
      <c r="I30" s="66">
        <v>1092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10400/100</f>
        <v>104</v>
      </c>
      <c r="F31" s="12"/>
      <c r="G31" s="4">
        <f t="shared" si="0"/>
        <v>21</v>
      </c>
      <c r="H31" s="4">
        <f t="shared" si="0"/>
        <v>109.8</v>
      </c>
      <c r="I31" s="66">
        <v>2204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5071/100</f>
        <v>50.71</v>
      </c>
      <c r="F32" s="12"/>
      <c r="G32" s="4">
        <f t="shared" si="0"/>
        <v>25</v>
      </c>
      <c r="H32" s="4">
        <f t="shared" si="0"/>
        <v>52.1</v>
      </c>
      <c r="I32" s="66">
        <v>3178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291/100</f>
        <v>2.91</v>
      </c>
      <c r="F33" s="12"/>
      <c r="G33" s="4">
        <f t="shared" si="0"/>
        <v>38</v>
      </c>
      <c r="H33" s="4" t="str">
        <f t="shared" si="0"/>
        <v>-</v>
      </c>
      <c r="I33" s="66">
        <v>10118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52/100</f>
        <v>0.52</v>
      </c>
      <c r="F34" s="12"/>
      <c r="G34" s="4">
        <f t="shared" si="0"/>
        <v>50</v>
      </c>
      <c r="H34" s="4" t="str">
        <f t="shared" si="0"/>
        <v>-</v>
      </c>
      <c r="I34" s="66">
        <v>15862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5/100</f>
        <v>0.05</v>
      </c>
      <c r="F35" s="12"/>
      <c r="G35" s="4">
        <f t="shared" si="0"/>
        <v>70</v>
      </c>
      <c r="H35" s="4" t="str">
        <f t="shared" si="0"/>
        <v>-</v>
      </c>
      <c r="I35" s="66">
        <v>24791</v>
      </c>
      <c r="J35" s="67"/>
      <c r="K35" s="19"/>
    </row>
    <row r="36" spans="2:11" x14ac:dyDescent="0.45">
      <c r="B36" s="18"/>
      <c r="C36" s="4"/>
      <c r="D36" s="4"/>
      <c r="E36" s="4"/>
      <c r="F36" s="12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E671B790-A1B2-4B22-B58C-31952B29C112}"/>
  </hyperlinks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2336-29C2-4857-8421-8615DF4C1B4E}">
  <dimension ref="B2:R53"/>
  <sheetViews>
    <sheetView showGridLines="0" zoomScale="90" zoomScaleNormal="90" workbookViewId="0">
      <selection activeCell="P18" sqref="P18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5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63010063</v>
      </c>
      <c r="F13" s="5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5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5"/>
      <c r="G15" s="56" t="s">
        <v>45</v>
      </c>
      <c r="H15" s="57"/>
      <c r="I15" s="54" t="s">
        <v>46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5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5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5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"/>
      <c r="D23" s="1"/>
      <c r="E23" s="1"/>
      <c r="F23" s="1"/>
      <c r="G23" s="1"/>
      <c r="H23" s="1"/>
      <c r="I23" s="1"/>
      <c r="J23" s="1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10809.4</v>
      </c>
      <c r="E27" s="10">
        <f>1081379/100</f>
        <v>10813.79</v>
      </c>
      <c r="F27" s="1"/>
      <c r="G27" s="4">
        <f>C27</f>
        <v>4</v>
      </c>
      <c r="H27" s="4">
        <f>D27</f>
        <v>10809.4</v>
      </c>
      <c r="I27" s="66">
        <v>86</v>
      </c>
      <c r="J27" s="67"/>
      <c r="K27" s="19"/>
    </row>
    <row r="28" spans="2:18" x14ac:dyDescent="0.45">
      <c r="B28" s="18"/>
      <c r="C28" s="4">
        <v>6</v>
      </c>
      <c r="D28" s="4">
        <v>4647.7</v>
      </c>
      <c r="E28" s="10">
        <f>467448/100</f>
        <v>4674.4799999999996</v>
      </c>
      <c r="F28" s="1"/>
      <c r="G28" s="4">
        <f t="shared" ref="G28:H35" si="0">C28</f>
        <v>6</v>
      </c>
      <c r="H28" s="4">
        <f t="shared" si="0"/>
        <v>4647.7</v>
      </c>
      <c r="I28" s="66">
        <v>196</v>
      </c>
      <c r="J28" s="67"/>
      <c r="K28" s="19"/>
    </row>
    <row r="29" spans="2:18" x14ac:dyDescent="0.45">
      <c r="B29" s="18"/>
      <c r="C29" s="4">
        <v>10</v>
      </c>
      <c r="D29" s="4">
        <v>1074.3</v>
      </c>
      <c r="E29" s="10">
        <f>107530/100</f>
        <v>1075.3</v>
      </c>
      <c r="F29" s="1"/>
      <c r="G29" s="4">
        <f t="shared" si="0"/>
        <v>10</v>
      </c>
      <c r="H29" s="4">
        <f t="shared" si="0"/>
        <v>1074.3</v>
      </c>
      <c r="I29" s="66">
        <v>546</v>
      </c>
      <c r="J29" s="67"/>
      <c r="K29" s="19"/>
    </row>
    <row r="30" spans="2:18" x14ac:dyDescent="0.45">
      <c r="B30" s="18"/>
      <c r="C30" s="4">
        <v>14</v>
      </c>
      <c r="D30" s="4">
        <v>365.5</v>
      </c>
      <c r="E30" s="10">
        <f>36531/100</f>
        <v>365.31</v>
      </c>
      <c r="F30" s="1"/>
      <c r="G30" s="4">
        <f t="shared" si="0"/>
        <v>14</v>
      </c>
      <c r="H30" s="4">
        <f t="shared" si="0"/>
        <v>365.5</v>
      </c>
      <c r="I30" s="66">
        <v>1076</v>
      </c>
      <c r="J30" s="67"/>
      <c r="K30" s="19"/>
    </row>
    <row r="31" spans="2:18" x14ac:dyDescent="0.45">
      <c r="B31" s="18"/>
      <c r="C31" s="4">
        <v>21</v>
      </c>
      <c r="D31" s="4">
        <v>109.8</v>
      </c>
      <c r="E31" s="10">
        <f>10988/100</f>
        <v>109.88</v>
      </c>
      <c r="F31" s="1"/>
      <c r="G31" s="4">
        <f t="shared" si="0"/>
        <v>21</v>
      </c>
      <c r="H31" s="4">
        <f t="shared" si="0"/>
        <v>109.8</v>
      </c>
      <c r="I31" s="66">
        <v>2230</v>
      </c>
      <c r="J31" s="67"/>
      <c r="K31" s="19"/>
    </row>
    <row r="32" spans="2:18" x14ac:dyDescent="0.45">
      <c r="B32" s="18"/>
      <c r="C32" s="4">
        <v>25</v>
      </c>
      <c r="D32" s="4">
        <v>52.1</v>
      </c>
      <c r="E32" s="10">
        <f>5210/100</f>
        <v>52.1</v>
      </c>
      <c r="F32" s="1"/>
      <c r="G32" s="4">
        <f t="shared" si="0"/>
        <v>25</v>
      </c>
      <c r="H32" s="4">
        <f t="shared" si="0"/>
        <v>52.1</v>
      </c>
      <c r="I32" s="66">
        <v>3408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397/100</f>
        <v>3.97</v>
      </c>
      <c r="F33" s="1"/>
      <c r="G33" s="4">
        <f t="shared" si="0"/>
        <v>38</v>
      </c>
      <c r="H33" s="4" t="str">
        <f t="shared" si="0"/>
        <v>-</v>
      </c>
      <c r="I33" s="66">
        <v>10233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146/100</f>
        <v>1.46</v>
      </c>
      <c r="F34" s="1"/>
      <c r="G34" s="4">
        <f t="shared" si="0"/>
        <v>50</v>
      </c>
      <c r="H34" s="4" t="str">
        <f t="shared" si="0"/>
        <v>-</v>
      </c>
      <c r="I34" s="66">
        <v>16112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40/100</f>
        <v>0.4</v>
      </c>
      <c r="F35" s="1"/>
      <c r="G35" s="4">
        <f t="shared" si="0"/>
        <v>70</v>
      </c>
      <c r="H35" s="4" t="str">
        <f t="shared" si="0"/>
        <v>-</v>
      </c>
      <c r="I35" s="66">
        <v>25018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E369759E-DCB2-4927-ADEA-2C541AD11132}"/>
  </hyperlinks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7150-87E7-4E2C-A7CF-E640C6748375}">
  <dimension ref="B2:R53"/>
  <sheetViews>
    <sheetView showGridLines="0" zoomScale="90" zoomScaleNormal="90" workbookViewId="0">
      <selection activeCell="L25" sqref="L25"/>
    </sheetView>
  </sheetViews>
  <sheetFormatPr defaultRowHeight="14.25" x14ac:dyDescent="0.45"/>
  <cols>
    <col min="1" max="1" width="3.73046875" customWidth="1"/>
    <col min="2" max="2" width="3.1328125" customWidth="1"/>
    <col min="3" max="3" width="10" customWidth="1"/>
    <col min="4" max="4" width="16.73046875" customWidth="1"/>
    <col min="5" max="5" width="25.73046875" customWidth="1"/>
    <col min="6" max="6" width="4" customWidth="1"/>
    <col min="7" max="7" width="10" customWidth="1"/>
    <col min="8" max="8" width="25.73046875" customWidth="1"/>
    <col min="9" max="9" width="10.1328125" customWidth="1"/>
    <col min="10" max="10" width="10.86328125" customWidth="1"/>
    <col min="11" max="11" width="3.1328125" customWidth="1"/>
  </cols>
  <sheetData>
    <row r="2" spans="2:18" x14ac:dyDescent="0.4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8" x14ac:dyDescent="0.45">
      <c r="B3" s="18"/>
      <c r="C3" t="s">
        <v>27</v>
      </c>
      <c r="K3" s="19"/>
    </row>
    <row r="4" spans="2:18" x14ac:dyDescent="0.45">
      <c r="B4" s="18"/>
      <c r="C4" t="s">
        <v>28</v>
      </c>
      <c r="K4" s="19"/>
    </row>
    <row r="5" spans="2:18" x14ac:dyDescent="0.45">
      <c r="B5" s="18"/>
      <c r="C5" t="s">
        <v>29</v>
      </c>
      <c r="K5" s="19"/>
    </row>
    <row r="6" spans="2:18" x14ac:dyDescent="0.45">
      <c r="B6" s="18"/>
      <c r="C6" t="s">
        <v>30</v>
      </c>
      <c r="K6" s="19"/>
    </row>
    <row r="7" spans="2:18" x14ac:dyDescent="0.45">
      <c r="B7" s="18"/>
      <c r="C7" t="s">
        <v>31</v>
      </c>
      <c r="K7" s="19"/>
    </row>
    <row r="8" spans="2:18" x14ac:dyDescent="0.45">
      <c r="B8" s="18"/>
      <c r="C8" s="20" t="s">
        <v>32</v>
      </c>
      <c r="K8" s="19"/>
    </row>
    <row r="9" spans="2:18" x14ac:dyDescent="0.45">
      <c r="B9" s="18"/>
      <c r="K9" s="19"/>
    </row>
    <row r="10" spans="2:18" ht="18.399999999999999" customHeight="1" x14ac:dyDescent="0.45">
      <c r="B10" s="18"/>
      <c r="C10" s="43" t="s">
        <v>33</v>
      </c>
      <c r="D10" s="44"/>
      <c r="E10" s="44"/>
      <c r="F10" s="44"/>
      <c r="G10" s="44"/>
      <c r="H10" s="44"/>
      <c r="I10" s="44"/>
      <c r="J10" s="45"/>
      <c r="K10" s="19"/>
    </row>
    <row r="11" spans="2:18" ht="14.65" customHeight="1" x14ac:dyDescent="0.45">
      <c r="B11" s="18"/>
      <c r="C11" s="46"/>
      <c r="D11" s="47"/>
      <c r="E11" s="47"/>
      <c r="F11" s="47"/>
      <c r="G11" s="47"/>
      <c r="H11" s="47"/>
      <c r="I11" s="47"/>
      <c r="J11" s="48"/>
      <c r="K11" s="19"/>
    </row>
    <row r="12" spans="2:18" ht="14.65" customHeight="1" x14ac:dyDescent="0.45">
      <c r="B12" s="18"/>
      <c r="C12" s="49" t="s">
        <v>34</v>
      </c>
      <c r="D12" s="3" t="s">
        <v>35</v>
      </c>
      <c r="E12" s="4" t="s">
        <v>36</v>
      </c>
      <c r="F12" s="11"/>
      <c r="G12" s="50" t="s">
        <v>37</v>
      </c>
      <c r="H12" s="51"/>
      <c r="I12" s="52">
        <v>46183</v>
      </c>
      <c r="J12" s="53"/>
      <c r="K12" s="19"/>
    </row>
    <row r="13" spans="2:18" x14ac:dyDescent="0.45">
      <c r="B13" s="18"/>
      <c r="C13" s="49"/>
      <c r="D13" s="3" t="s">
        <v>38</v>
      </c>
      <c r="E13" s="4">
        <v>63010064</v>
      </c>
      <c r="F13" s="11"/>
      <c r="G13" s="50" t="s">
        <v>39</v>
      </c>
      <c r="H13" s="51"/>
      <c r="I13" s="54" t="s">
        <v>40</v>
      </c>
      <c r="J13" s="55"/>
      <c r="K13" s="19"/>
    </row>
    <row r="14" spans="2:18" ht="14.65" customHeight="1" x14ac:dyDescent="0.45">
      <c r="B14" s="18"/>
      <c r="C14" s="49"/>
      <c r="D14" s="3" t="s">
        <v>35</v>
      </c>
      <c r="E14" s="4" t="s">
        <v>41</v>
      </c>
      <c r="F14" s="11"/>
      <c r="G14" s="56" t="s">
        <v>42</v>
      </c>
      <c r="H14" s="57"/>
      <c r="I14" s="54" t="s">
        <v>43</v>
      </c>
      <c r="J14" s="55"/>
      <c r="K14" s="19"/>
    </row>
    <row r="15" spans="2:18" ht="14.65" customHeight="1" x14ac:dyDescent="0.45">
      <c r="B15" s="18"/>
      <c r="C15" s="49"/>
      <c r="D15" s="3" t="s">
        <v>38</v>
      </c>
      <c r="E15" s="4" t="s">
        <v>44</v>
      </c>
      <c r="F15" s="11"/>
      <c r="G15" s="56" t="s">
        <v>45</v>
      </c>
      <c r="H15" s="57"/>
      <c r="I15" s="54" t="s">
        <v>76</v>
      </c>
      <c r="J15" s="55"/>
      <c r="K15" s="19"/>
      <c r="P15" s="13"/>
      <c r="Q15" s="60"/>
      <c r="R15" s="60"/>
    </row>
    <row r="16" spans="2:18" ht="15.4" customHeight="1" x14ac:dyDescent="0.45">
      <c r="B16" s="18"/>
      <c r="C16" s="61" t="s">
        <v>47</v>
      </c>
      <c r="D16" s="61"/>
      <c r="E16" s="4">
        <v>54</v>
      </c>
      <c r="F16" s="11"/>
      <c r="G16" s="56" t="s">
        <v>48</v>
      </c>
      <c r="H16" s="57"/>
      <c r="I16" s="6">
        <v>30000</v>
      </c>
      <c r="J16" s="3" t="s">
        <v>49</v>
      </c>
      <c r="K16" s="19"/>
      <c r="P16" s="14"/>
      <c r="Q16" s="59"/>
      <c r="R16" s="59"/>
    </row>
    <row r="17" spans="2:18" ht="14.65" customHeight="1" x14ac:dyDescent="0.45">
      <c r="B17" s="18"/>
      <c r="C17" s="61" t="s">
        <v>50</v>
      </c>
      <c r="D17" s="61"/>
      <c r="E17" s="4">
        <v>40</v>
      </c>
      <c r="F17" s="11"/>
      <c r="G17" s="50" t="s">
        <v>51</v>
      </c>
      <c r="H17" s="51"/>
      <c r="I17" s="6">
        <v>30</v>
      </c>
      <c r="J17" s="3" t="s">
        <v>52</v>
      </c>
      <c r="K17" s="19"/>
      <c r="P17" s="14"/>
      <c r="Q17" s="59"/>
      <c r="R17" s="59"/>
    </row>
    <row r="18" spans="2:18" ht="14.65" customHeight="1" x14ac:dyDescent="0.45">
      <c r="B18" s="18"/>
      <c r="C18" s="61" t="s">
        <v>53</v>
      </c>
      <c r="D18" s="61"/>
      <c r="E18" s="7">
        <v>1.2E-2</v>
      </c>
      <c r="F18" s="11"/>
      <c r="G18" s="50" t="s">
        <v>54</v>
      </c>
      <c r="H18" s="51"/>
      <c r="I18" s="6">
        <v>30</v>
      </c>
      <c r="J18" s="3" t="s">
        <v>52</v>
      </c>
      <c r="K18" s="19"/>
      <c r="P18" s="14"/>
      <c r="Q18" s="59"/>
      <c r="R18" s="59"/>
    </row>
    <row r="19" spans="2:18" ht="14.65" customHeight="1" x14ac:dyDescent="0.45">
      <c r="B19" s="18"/>
      <c r="C19" s="62" t="s">
        <v>55</v>
      </c>
      <c r="D19" s="62"/>
      <c r="E19" s="62"/>
      <c r="F19" s="62"/>
      <c r="G19" s="62"/>
      <c r="H19" s="62"/>
      <c r="I19" s="62"/>
      <c r="J19" s="62"/>
      <c r="K19" s="19"/>
      <c r="P19" s="14"/>
      <c r="Q19" s="59"/>
      <c r="R19" s="59"/>
    </row>
    <row r="20" spans="2:18" x14ac:dyDescent="0.45">
      <c r="B20" s="18"/>
      <c r="C20" s="2" t="s">
        <v>56</v>
      </c>
      <c r="D20" s="58">
        <v>0.5</v>
      </c>
      <c r="E20" s="58"/>
      <c r="F20" s="2" t="s">
        <v>57</v>
      </c>
      <c r="G20" s="2" t="s">
        <v>58</v>
      </c>
      <c r="H20" s="58">
        <v>2.7</v>
      </c>
      <c r="I20" s="58"/>
      <c r="J20" s="2" t="s">
        <v>59</v>
      </c>
      <c r="K20" s="19"/>
      <c r="P20" s="14"/>
      <c r="Q20" s="59"/>
      <c r="R20" s="59"/>
    </row>
    <row r="21" spans="2:18" x14ac:dyDescent="0.45">
      <c r="B21" s="18"/>
      <c r="C21" s="2" t="s">
        <v>60</v>
      </c>
      <c r="D21" s="58">
        <v>0.6</v>
      </c>
      <c r="E21" s="58"/>
      <c r="F21" s="2" t="s">
        <v>57</v>
      </c>
      <c r="G21" s="2" t="s">
        <v>61</v>
      </c>
      <c r="H21" s="58">
        <v>8.3000000000000007</v>
      </c>
      <c r="I21" s="58"/>
      <c r="J21" s="2" t="s">
        <v>59</v>
      </c>
      <c r="K21" s="19"/>
      <c r="P21" s="14"/>
      <c r="Q21" s="59"/>
      <c r="R21" s="59"/>
    </row>
    <row r="22" spans="2:18" x14ac:dyDescent="0.45">
      <c r="B22" s="18"/>
      <c r="C22" s="2" t="s">
        <v>62</v>
      </c>
      <c r="D22" s="58">
        <v>10.199999999999999</v>
      </c>
      <c r="E22" s="58"/>
      <c r="F22" s="2" t="s">
        <v>57</v>
      </c>
      <c r="G22" s="2" t="s">
        <v>63</v>
      </c>
      <c r="H22" s="58">
        <v>8.3000000000000007</v>
      </c>
      <c r="I22" s="58"/>
      <c r="J22" s="2" t="s">
        <v>59</v>
      </c>
      <c r="K22" s="19"/>
      <c r="P22" s="14"/>
      <c r="Q22" s="59"/>
      <c r="R22" s="59"/>
    </row>
    <row r="23" spans="2:18" ht="14.1" customHeight="1" x14ac:dyDescent="0.45">
      <c r="B23" s="18"/>
      <c r="C23" s="12"/>
      <c r="D23" s="12"/>
      <c r="E23" s="12"/>
      <c r="F23" s="12"/>
      <c r="G23" s="12"/>
      <c r="H23" s="12"/>
      <c r="I23" s="12"/>
      <c r="J23" s="12"/>
      <c r="K23" s="19"/>
      <c r="P23" s="14"/>
      <c r="Q23" s="59"/>
      <c r="R23" s="59"/>
    </row>
    <row r="24" spans="2:18" ht="14.65" customHeight="1" x14ac:dyDescent="0.45">
      <c r="B24" s="18"/>
      <c r="C24" s="64" t="s">
        <v>64</v>
      </c>
      <c r="D24" s="64"/>
      <c r="E24" s="64"/>
      <c r="F24" s="12"/>
      <c r="G24" s="64" t="s">
        <v>65</v>
      </c>
      <c r="H24" s="64"/>
      <c r="I24" s="64"/>
      <c r="J24" s="64"/>
      <c r="K24" s="19"/>
      <c r="P24" s="14"/>
      <c r="Q24" s="59"/>
      <c r="R24" s="59"/>
    </row>
    <row r="25" spans="2:18" ht="28.5" x14ac:dyDescent="0.45">
      <c r="B25" s="18"/>
      <c r="C25" s="8" t="s">
        <v>66</v>
      </c>
      <c r="D25" s="8" t="s">
        <v>67</v>
      </c>
      <c r="E25" s="8" t="s">
        <v>68</v>
      </c>
      <c r="F25" s="12"/>
      <c r="G25" s="8" t="s">
        <v>66</v>
      </c>
      <c r="H25" s="8" t="s">
        <v>69</v>
      </c>
      <c r="I25" s="64" t="s">
        <v>70</v>
      </c>
      <c r="J25" s="64"/>
      <c r="K25" s="19"/>
    </row>
    <row r="26" spans="2:18" x14ac:dyDescent="0.45">
      <c r="B26" s="18"/>
      <c r="C26" s="9" t="s">
        <v>71</v>
      </c>
      <c r="D26" s="9" t="s">
        <v>72</v>
      </c>
      <c r="E26" s="9" t="s">
        <v>72</v>
      </c>
      <c r="F26" s="12"/>
      <c r="G26" s="9" t="s">
        <v>71</v>
      </c>
      <c r="H26" s="9" t="s">
        <v>72</v>
      </c>
      <c r="I26" s="63" t="s">
        <v>73</v>
      </c>
      <c r="J26" s="63"/>
      <c r="K26" s="19"/>
    </row>
    <row r="27" spans="2:18" x14ac:dyDescent="0.45">
      <c r="B27" s="18"/>
      <c r="C27" s="4">
        <v>4</v>
      </c>
      <c r="D27" s="4">
        <v>5822.6</v>
      </c>
      <c r="E27" s="10">
        <f>587439/100</f>
        <v>5874.39</v>
      </c>
      <c r="F27" s="12"/>
      <c r="G27" s="4">
        <f t="shared" ref="G27:H35" si="0">C27</f>
        <v>4</v>
      </c>
      <c r="H27" s="4">
        <f t="shared" si="0"/>
        <v>5822.6</v>
      </c>
      <c r="I27" s="66">
        <v>84</v>
      </c>
      <c r="J27" s="67"/>
      <c r="K27" s="19"/>
    </row>
    <row r="28" spans="2:18" x14ac:dyDescent="0.45">
      <c r="B28" s="18"/>
      <c r="C28" s="4">
        <v>6</v>
      </c>
      <c r="D28" s="4">
        <v>2422.5</v>
      </c>
      <c r="E28" s="10">
        <f>248984/100</f>
        <v>2489.84</v>
      </c>
      <c r="F28" s="12"/>
      <c r="G28" s="4">
        <f t="shared" si="0"/>
        <v>6</v>
      </c>
      <c r="H28" s="4">
        <f t="shared" si="0"/>
        <v>2422.5</v>
      </c>
      <c r="I28" s="66">
        <v>198</v>
      </c>
      <c r="J28" s="67"/>
      <c r="K28" s="19"/>
    </row>
    <row r="29" spans="2:18" x14ac:dyDescent="0.45">
      <c r="B29" s="18"/>
      <c r="C29" s="4">
        <v>10</v>
      </c>
      <c r="D29" s="4">
        <v>543.79999999999995</v>
      </c>
      <c r="E29" s="10">
        <f>55040/100</f>
        <v>550.4</v>
      </c>
      <c r="F29" s="12"/>
      <c r="G29" s="4">
        <f t="shared" si="0"/>
        <v>10</v>
      </c>
      <c r="H29" s="4">
        <f t="shared" si="0"/>
        <v>543.79999999999995</v>
      </c>
      <c r="I29" s="66">
        <v>562</v>
      </c>
      <c r="J29" s="67"/>
      <c r="K29" s="19"/>
    </row>
    <row r="30" spans="2:18" x14ac:dyDescent="0.45">
      <c r="B30" s="18"/>
      <c r="C30" s="4">
        <v>14</v>
      </c>
      <c r="D30" s="4">
        <v>182.5</v>
      </c>
      <c r="E30" s="10">
        <f>18220/100</f>
        <v>182.2</v>
      </c>
      <c r="F30" s="12"/>
      <c r="G30" s="4">
        <f t="shared" si="0"/>
        <v>14</v>
      </c>
      <c r="H30" s="4">
        <f t="shared" si="0"/>
        <v>182.5</v>
      </c>
      <c r="I30" s="66">
        <v>1126</v>
      </c>
      <c r="J30" s="67"/>
      <c r="K30" s="19"/>
    </row>
    <row r="31" spans="2:18" x14ac:dyDescent="0.45">
      <c r="B31" s="18"/>
      <c r="C31" s="4">
        <v>21</v>
      </c>
      <c r="D31" s="4">
        <v>51.7</v>
      </c>
      <c r="E31" s="10">
        <f>5552/100</f>
        <v>55.52</v>
      </c>
      <c r="F31" s="12"/>
      <c r="G31" s="4">
        <f t="shared" si="0"/>
        <v>21</v>
      </c>
      <c r="H31" s="4">
        <f t="shared" si="0"/>
        <v>51.7</v>
      </c>
      <c r="I31" s="66">
        <v>2374</v>
      </c>
      <c r="J31" s="67"/>
      <c r="K31" s="19"/>
    </row>
    <row r="32" spans="2:18" x14ac:dyDescent="0.45">
      <c r="B32" s="18"/>
      <c r="C32" s="4">
        <v>25</v>
      </c>
      <c r="D32" s="4">
        <v>22.8</v>
      </c>
      <c r="E32" s="10">
        <f>2417/100</f>
        <v>24.17</v>
      </c>
      <c r="F32" s="12"/>
      <c r="G32" s="4">
        <f t="shared" si="0"/>
        <v>25</v>
      </c>
      <c r="H32" s="4">
        <f t="shared" si="0"/>
        <v>22.8</v>
      </c>
      <c r="I32" s="66">
        <v>3670</v>
      </c>
      <c r="J32" s="67"/>
      <c r="K32" s="19"/>
    </row>
    <row r="33" spans="2:11" x14ac:dyDescent="0.45">
      <c r="B33" s="18"/>
      <c r="C33" s="4">
        <v>38</v>
      </c>
      <c r="D33" s="4" t="s">
        <v>5</v>
      </c>
      <c r="E33" s="10">
        <f>197/100</f>
        <v>1.97</v>
      </c>
      <c r="F33" s="12"/>
      <c r="G33" s="4">
        <f t="shared" si="0"/>
        <v>38</v>
      </c>
      <c r="H33" s="4" t="str">
        <f t="shared" si="0"/>
        <v>-</v>
      </c>
      <c r="I33" s="66">
        <v>9944</v>
      </c>
      <c r="J33" s="67"/>
      <c r="K33" s="19"/>
    </row>
    <row r="34" spans="2:11" x14ac:dyDescent="0.45">
      <c r="B34" s="18"/>
      <c r="C34" s="4">
        <v>50</v>
      </c>
      <c r="D34" s="4" t="s">
        <v>5</v>
      </c>
      <c r="E34" s="10">
        <f>67/100</f>
        <v>0.67</v>
      </c>
      <c r="F34" s="12"/>
      <c r="G34" s="4">
        <f t="shared" si="0"/>
        <v>50</v>
      </c>
      <c r="H34" s="4" t="str">
        <f t="shared" si="0"/>
        <v>-</v>
      </c>
      <c r="I34" s="66">
        <v>15971</v>
      </c>
      <c r="J34" s="67"/>
      <c r="K34" s="19"/>
    </row>
    <row r="35" spans="2:11" x14ac:dyDescent="0.45">
      <c r="B35" s="18"/>
      <c r="C35" s="4">
        <v>70</v>
      </c>
      <c r="D35" s="4" t="s">
        <v>5</v>
      </c>
      <c r="E35" s="10">
        <f>22/100</f>
        <v>0.22</v>
      </c>
      <c r="F35" s="12"/>
      <c r="G35" s="4">
        <f t="shared" si="0"/>
        <v>70</v>
      </c>
      <c r="H35" s="4" t="str">
        <f t="shared" si="0"/>
        <v>-</v>
      </c>
      <c r="I35" s="66">
        <v>24856</v>
      </c>
      <c r="J35" s="67"/>
      <c r="K35" s="19"/>
    </row>
    <row r="36" spans="2:11" x14ac:dyDescent="0.45">
      <c r="B36" s="18"/>
      <c r="C36" s="4"/>
      <c r="D36" s="4"/>
      <c r="E36" s="4"/>
      <c r="F36" s="1"/>
      <c r="G36" s="4"/>
      <c r="H36" s="4"/>
      <c r="I36" s="65"/>
      <c r="J36" s="65"/>
      <c r="K36" s="19"/>
    </row>
    <row r="37" spans="2:11" x14ac:dyDescent="0.45">
      <c r="B37" s="18"/>
      <c r="C37" s="4"/>
      <c r="D37" s="4"/>
      <c r="E37" s="4"/>
      <c r="F37" s="1"/>
      <c r="G37" s="4"/>
      <c r="H37" s="4"/>
      <c r="I37" s="65"/>
      <c r="J37" s="65"/>
      <c r="K37" s="19"/>
    </row>
    <row r="38" spans="2:11" x14ac:dyDescent="0.45">
      <c r="B38" s="18"/>
      <c r="C38" s="4"/>
      <c r="D38" s="4"/>
      <c r="E38" s="4"/>
      <c r="F38" s="1"/>
      <c r="G38" s="4"/>
      <c r="H38" s="4"/>
      <c r="I38" s="65"/>
      <c r="J38" s="65"/>
      <c r="K38" s="19"/>
    </row>
    <row r="39" spans="2:11" x14ac:dyDescent="0.45">
      <c r="B39" s="18"/>
      <c r="C39" s="4"/>
      <c r="D39" s="4"/>
      <c r="E39" s="4"/>
      <c r="F39" s="1"/>
      <c r="G39" s="4"/>
      <c r="H39" s="4"/>
      <c r="I39" s="65"/>
      <c r="J39" s="65"/>
      <c r="K39" s="19"/>
    </row>
    <row r="40" spans="2:11" x14ac:dyDescent="0.45">
      <c r="B40" s="18"/>
      <c r="C40" s="4"/>
      <c r="D40" s="4"/>
      <c r="E40" s="4"/>
      <c r="F40" s="1"/>
      <c r="G40" s="4"/>
      <c r="H40" s="4"/>
      <c r="I40" s="65"/>
      <c r="J40" s="65"/>
      <c r="K40" s="19"/>
    </row>
    <row r="41" spans="2:11" x14ac:dyDescent="0.45">
      <c r="B41" s="18"/>
      <c r="C41" s="4"/>
      <c r="D41" s="4"/>
      <c r="E41" s="4"/>
      <c r="F41" s="1"/>
      <c r="G41" s="4"/>
      <c r="H41" s="4"/>
      <c r="I41" s="65"/>
      <c r="J41" s="65"/>
      <c r="K41" s="19"/>
    </row>
    <row r="42" spans="2:11" x14ac:dyDescent="0.45">
      <c r="B42" s="18"/>
      <c r="C42" s="4"/>
      <c r="D42" s="4"/>
      <c r="E42" s="4"/>
      <c r="F42" s="1"/>
      <c r="G42" s="4"/>
      <c r="H42" s="4"/>
      <c r="I42" s="65"/>
      <c r="J42" s="65"/>
      <c r="K42" s="19"/>
    </row>
    <row r="43" spans="2:11" x14ac:dyDescent="0.45">
      <c r="B43" s="18"/>
      <c r="C43" s="4"/>
      <c r="D43" s="4"/>
      <c r="E43" s="4"/>
      <c r="F43" s="1"/>
      <c r="G43" s="4"/>
      <c r="H43" s="4"/>
      <c r="I43" s="65"/>
      <c r="J43" s="65"/>
      <c r="K43" s="19"/>
    </row>
    <row r="44" spans="2:11" x14ac:dyDescent="0.45">
      <c r="B44" s="18"/>
      <c r="C44" s="4"/>
      <c r="D44" s="4"/>
      <c r="E44" s="4"/>
      <c r="F44" s="1"/>
      <c r="G44" s="4"/>
      <c r="H44" s="4"/>
      <c r="I44" s="65"/>
      <c r="J44" s="65"/>
      <c r="K44" s="19"/>
    </row>
    <row r="45" spans="2:11" x14ac:dyDescent="0.45">
      <c r="B45" s="18"/>
      <c r="C45" s="4"/>
      <c r="D45" s="4"/>
      <c r="E45" s="4"/>
      <c r="F45" s="1"/>
      <c r="G45" s="4"/>
      <c r="H45" s="4"/>
      <c r="I45" s="65"/>
      <c r="J45" s="65"/>
      <c r="K45" s="19"/>
    </row>
    <row r="46" spans="2:11" x14ac:dyDescent="0.45">
      <c r="B46" s="18"/>
      <c r="C46" s="4"/>
      <c r="D46" s="4"/>
      <c r="E46" s="4"/>
      <c r="F46" s="1"/>
      <c r="G46" s="4"/>
      <c r="H46" s="4"/>
      <c r="I46" s="65"/>
      <c r="J46" s="65"/>
      <c r="K46" s="19"/>
    </row>
    <row r="47" spans="2:11" x14ac:dyDescent="0.45">
      <c r="B47" s="18"/>
      <c r="K47" s="19"/>
    </row>
    <row r="48" spans="2:11" ht="14.65" customHeight="1" x14ac:dyDescent="0.45">
      <c r="B48" s="18"/>
      <c r="C48" s="68" t="s">
        <v>74</v>
      </c>
      <c r="D48" s="69"/>
      <c r="E48" s="69"/>
      <c r="F48" s="69"/>
      <c r="G48" s="69"/>
      <c r="H48" s="69"/>
      <c r="I48" s="69"/>
      <c r="J48" s="69"/>
      <c r="K48" s="19"/>
    </row>
    <row r="49" spans="2:11" x14ac:dyDescent="0.45">
      <c r="B49" s="18"/>
      <c r="C49" s="69"/>
      <c r="D49" s="69"/>
      <c r="E49" s="69"/>
      <c r="F49" s="69"/>
      <c r="G49" s="69"/>
      <c r="H49" s="69"/>
      <c r="I49" s="69"/>
      <c r="J49" s="69"/>
      <c r="K49" s="19"/>
    </row>
    <row r="50" spans="2:11" x14ac:dyDescent="0.45">
      <c r="B50" s="18"/>
      <c r="C50" s="69"/>
      <c r="D50" s="69"/>
      <c r="E50" s="69"/>
      <c r="F50" s="69"/>
      <c r="G50" s="69"/>
      <c r="H50" s="69"/>
      <c r="I50" s="69"/>
      <c r="J50" s="69"/>
      <c r="K50" s="19"/>
    </row>
    <row r="51" spans="2:11" x14ac:dyDescent="0.45">
      <c r="B51" s="18"/>
      <c r="C51" s="69"/>
      <c r="D51" s="69"/>
      <c r="E51" s="69"/>
      <c r="F51" s="69"/>
      <c r="G51" s="69"/>
      <c r="H51" s="69"/>
      <c r="I51" s="69"/>
      <c r="J51" s="69"/>
      <c r="K51" s="19"/>
    </row>
    <row r="52" spans="2:11" x14ac:dyDescent="0.45">
      <c r="B52" s="18"/>
      <c r="C52" s="69"/>
      <c r="D52" s="69"/>
      <c r="E52" s="69"/>
      <c r="F52" s="69"/>
      <c r="G52" s="69"/>
      <c r="H52" s="69"/>
      <c r="I52" s="69"/>
      <c r="J52" s="69"/>
      <c r="K52" s="19"/>
    </row>
    <row r="53" spans="2:11" x14ac:dyDescent="0.45">
      <c r="B53" s="22"/>
      <c r="C53" s="23"/>
      <c r="D53" s="23"/>
      <c r="E53" s="23"/>
      <c r="F53" s="23"/>
      <c r="G53" s="23"/>
      <c r="H53" s="23"/>
      <c r="I53" s="23"/>
      <c r="J53" s="23"/>
      <c r="K53" s="24"/>
    </row>
  </sheetData>
  <mergeCells count="58">
    <mergeCell ref="I45:J45"/>
    <mergeCell ref="I46:J46"/>
    <mergeCell ref="C48:J52"/>
    <mergeCell ref="I39:J39"/>
    <mergeCell ref="I40:J40"/>
    <mergeCell ref="I41:J41"/>
    <mergeCell ref="I42:J42"/>
    <mergeCell ref="I43:J43"/>
    <mergeCell ref="I44:J44"/>
    <mergeCell ref="I38:J38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26:J26"/>
    <mergeCell ref="D21:E21"/>
    <mergeCell ref="H21:I21"/>
    <mergeCell ref="Q21:R21"/>
    <mergeCell ref="D22:E22"/>
    <mergeCell ref="H22:I22"/>
    <mergeCell ref="Q22:R22"/>
    <mergeCell ref="Q23:R23"/>
    <mergeCell ref="C24:E24"/>
    <mergeCell ref="G24:J24"/>
    <mergeCell ref="Q24:R24"/>
    <mergeCell ref="I25:J25"/>
    <mergeCell ref="D20:E20"/>
    <mergeCell ref="H20:I20"/>
    <mergeCell ref="Q20:R20"/>
    <mergeCell ref="Q15:R15"/>
    <mergeCell ref="C16:D16"/>
    <mergeCell ref="G16:H16"/>
    <mergeCell ref="Q16:R16"/>
    <mergeCell ref="C17:D17"/>
    <mergeCell ref="G17:H17"/>
    <mergeCell ref="Q17:R17"/>
    <mergeCell ref="C18:D18"/>
    <mergeCell ref="G18:H18"/>
    <mergeCell ref="Q18:R18"/>
    <mergeCell ref="C19:J19"/>
    <mergeCell ref="Q19:R19"/>
    <mergeCell ref="C10:J11"/>
    <mergeCell ref="C12:C15"/>
    <mergeCell ref="G12:H12"/>
    <mergeCell ref="I12:J12"/>
    <mergeCell ref="G13:H13"/>
    <mergeCell ref="I13:J13"/>
    <mergeCell ref="G14:H14"/>
    <mergeCell ref="I14:J14"/>
    <mergeCell ref="G15:H15"/>
    <mergeCell ref="I15:J15"/>
  </mergeCells>
  <hyperlinks>
    <hyperlink ref="C8" r:id="rId1" xr:uid="{B7F910D3-2C74-4CE4-8F48-C74D2312CD9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BS110 Cal'd Thresholds</vt:lpstr>
      <vt:lpstr>Sheet1</vt:lpstr>
      <vt:lpstr>Serial Number 63010045</vt:lpstr>
      <vt:lpstr>Serial Number 63010046</vt:lpstr>
      <vt:lpstr>Serial Number 63010047</vt:lpstr>
      <vt:lpstr>Serial Number 63010048</vt:lpstr>
      <vt:lpstr>Serial Number 63010049</vt:lpstr>
      <vt:lpstr>Serial Number 63010050</vt:lpstr>
      <vt:lpstr>Serial Number 63010051</vt:lpstr>
      <vt:lpstr>Serial Number 63010052</vt:lpstr>
      <vt:lpstr>Serial Number 63010053</vt:lpstr>
      <vt:lpstr>Serial Number 63010054</vt:lpstr>
      <vt:lpstr>Serial Number 63010055</vt:lpstr>
      <vt:lpstr>Serial Number 63010056</vt:lpstr>
      <vt:lpstr>Serial Number 63010057</vt:lpstr>
      <vt:lpstr>Serial Number 63010058</vt:lpstr>
      <vt:lpstr>Serial Number 63010059</vt:lpstr>
      <vt:lpstr>Serial Number 63010060</vt:lpstr>
      <vt:lpstr>Serial Number 63010061</vt:lpstr>
      <vt:lpstr>Serial Number 63010062</vt:lpstr>
      <vt:lpstr>Serial Number 63010063</vt:lpstr>
      <vt:lpstr>Serial Number 63010064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 Perks</dc:creator>
  <cp:keywords/>
  <dc:description/>
  <cp:lastModifiedBy>John Devereux</cp:lastModifiedBy>
  <cp:revision/>
  <dcterms:created xsi:type="dcterms:W3CDTF">2026-06-10T17:31:51Z</dcterms:created>
  <dcterms:modified xsi:type="dcterms:W3CDTF">2026-06-19T08:33:18Z</dcterms:modified>
  <cp:category/>
  <cp:contentStatus/>
</cp:coreProperties>
</file>