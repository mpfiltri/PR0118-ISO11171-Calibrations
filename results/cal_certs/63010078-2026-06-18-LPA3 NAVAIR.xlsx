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224B2E5E-8A67-4E95-B3A1-97018DDA223D}"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<sst xmlns="http://schemas.openxmlformats.org/spreadsheetml/2006/main" count="12122" uniqueCount="1049">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</sst>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82</c:v>
                </c:pt>
                <c:pt idx="1">
                  <c:v>198</c:v>
                </c:pt>
                <c:pt idx="2">
                  <c:v>1080</c:v>
                </c:pt>
                <c:pt idx="3">
                  <c:v>2220</c:v>
                </c:pt>
                <c:pt idx="4">
                  <c:v>3204</c:v>
                </c:pt>
                <c:pt idx="5">
                  <c:v>10296</c:v>
                </c:pt>
                <c:pt idx="6">
                  <c:v>16082</c:v>
                </c:pt>
                <c:pt idx="7">
                  <c:v>25407</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1062517</c:v>
                </c:pt>
                <c:pt idx="1">
                  <c:v>459007</c:v>
                </c:pt>
                <c:pt idx="2">
                  <c:v>107018</c:v>
                </c:pt>
                <c:pt idx="3">
                  <c:v>35999</c:v>
                </c:pt>
                <c:pt idx="4">
                  <c:v>10547</c:v>
                </c:pt>
                <c:pt idx="5">
                  <c:v>5119</c:v>
                </c:pt>
                <c:pt idx="6">
                  <c:v>593</c:v>
                </c:pt>
                <c:pt idx="7">
                  <c:v>126</c:v>
                </c:pt>
                <c:pt idx="8">
                  <c:v>37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1062517</c:v>
                </c:pt>
                <c:pt idx="1">
                  <c:v>459007</c:v>
                </c:pt>
                <c:pt idx="2">
                  <c:v>107018</c:v>
                </c:pt>
                <c:pt idx="3">
                  <c:v>35999</c:v>
                </c:pt>
                <c:pt idx="4">
                  <c:v>10547</c:v>
                </c:pt>
                <c:pt idx="5">
                  <c:v>5119</c:v>
                </c:pt>
                <c:pt idx="6">
                  <c:v>593</c:v>
                </c:pt>
                <c:pt idx="7">
                  <c:v>126</c:v>
                </c:pt>
                <c:pt idx="8">
                  <c:v>37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1062517</c:v>
                </c:pt>
                <c:pt idx="1">
                  <c:v>459007</c:v>
                </c:pt>
                <c:pt idx="2">
                  <c:v>107018</c:v>
                </c:pt>
                <c:pt idx="3">
                  <c:v>35999</c:v>
                </c:pt>
                <c:pt idx="4">
                  <c:v>10547</c:v>
                </c:pt>
                <c:pt idx="5">
                  <c:v>5119</c:v>
                </c:pt>
                <c:pt idx="6">
                  <c:v>593</c:v>
                </c:pt>
                <c:pt idx="7">
                  <c:v>126</c:v>
                </c:pt>
                <c:pt idx="8">
                  <c:v>37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1062517</c:v>
                </c:pt>
                <c:pt idx="1">
                  <c:v>459007</c:v>
                </c:pt>
                <c:pt idx="2">
                  <c:v>107018</c:v>
                </c:pt>
                <c:pt idx="3">
                  <c:v>35999</c:v>
                </c:pt>
                <c:pt idx="4">
                  <c:v>10547</c:v>
                </c:pt>
                <c:pt idx="5">
                  <c:v>5119</c:v>
                </c:pt>
                <c:pt idx="6">
                  <c:v>593</c:v>
                </c:pt>
                <c:pt idx="7">
                  <c:v>126</c:v>
                </c:pt>
                <c:pt idx="8">
                  <c:v>37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1062517</c:v>
                </c:pt>
                <c:pt idx="1">
                  <c:v>459007</c:v>
                </c:pt>
                <c:pt idx="2">
                  <c:v>107018</c:v>
                </c:pt>
                <c:pt idx="3">
                  <c:v>35999</c:v>
                </c:pt>
                <c:pt idx="4">
                  <c:v>10547</c:v>
                </c:pt>
                <c:pt idx="5">
                  <c:v>5119</c:v>
                </c:pt>
                <c:pt idx="6">
                  <c:v>593</c:v>
                </c:pt>
                <c:pt idx="7">
                  <c:v>126</c:v>
                </c:pt>
                <c:pt idx="8">
                  <c:v>37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1062517</c:v>
                </c:pt>
                <c:pt idx="1">
                  <c:v>459007</c:v>
                </c:pt>
                <c:pt idx="2">
                  <c:v>107018</c:v>
                </c:pt>
                <c:pt idx="3">
                  <c:v>35999</c:v>
                </c:pt>
                <c:pt idx="4">
                  <c:v>10547</c:v>
                </c:pt>
                <c:pt idx="5">
                  <c:v>5119</c:v>
                </c:pt>
                <c:pt idx="6">
                  <c:v>593</c:v>
                </c:pt>
                <c:pt idx="7">
                  <c:v>126</c:v>
                </c:pt>
                <c:pt idx="8">
                  <c:v>37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1062517</c:v>
                </c:pt>
                <c:pt idx="1">
                  <c:v>459007</c:v>
                </c:pt>
                <c:pt idx="2">
                  <c:v>107018</c:v>
                </c:pt>
                <c:pt idx="3">
                  <c:v>35999</c:v>
                </c:pt>
                <c:pt idx="4">
                  <c:v>10547</c:v>
                </c:pt>
                <c:pt idx="5">
                  <c:v>5119</c:v>
                </c:pt>
                <c:pt idx="6">
                  <c:v>593</c:v>
                </c:pt>
                <c:pt idx="7">
                  <c:v>126</c:v>
                </c:pt>
                <c:pt idx="8">
                  <c:v>37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1062517</c:v>
                </c:pt>
                <c:pt idx="1">
                  <c:v>459007</c:v>
                </c:pt>
                <c:pt idx="2">
                  <c:v>107018</c:v>
                </c:pt>
                <c:pt idx="3">
                  <c:v>35999</c:v>
                </c:pt>
                <c:pt idx="4">
                  <c:v>10547</c:v>
                </c:pt>
                <c:pt idx="5">
                  <c:v>5119</c:v>
                </c:pt>
                <c:pt idx="6">
                  <c:v>593</c:v>
                </c:pt>
                <c:pt idx="7">
                  <c:v>126</c:v>
                </c:pt>
                <c:pt idx="8">
                  <c:v>37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63010078</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82</v>
      </c>
      <c r="H8" s="99"/>
      <c r="I8" s="99"/>
    </row>
    <row r="9" spans="1:9" x14ac:dyDescent="0.2">
      <c r="A9" s="642" t="s">
        <v>31</v>
      </c>
      <c r="B9" s="642">
        <v>198</v>
      </c>
      <c r="H9" s="99"/>
      <c r="I9" s="99"/>
    </row>
    <row r="10" spans="1:9" x14ac:dyDescent="0.2">
      <c r="A10" s="642" t="s">
        <v>32</v>
      </c>
      <c r="B10" s="642">
        <v>1080</v>
      </c>
      <c r="H10" s="99"/>
      <c r="I10" s="99"/>
    </row>
    <row r="11" spans="1:9" x14ac:dyDescent="0.2">
      <c r="A11" s="642" t="s">
        <v>33</v>
      </c>
      <c r="B11" s="642">
        <v>2220</v>
      </c>
      <c r="H11" s="99"/>
      <c r="I11" s="99"/>
    </row>
    <row r="12" spans="1:9" x14ac:dyDescent="0.2">
      <c r="A12" s="642" t="s">
        <v>34</v>
      </c>
      <c r="B12" s="642">
        <v>3204</v>
      </c>
      <c r="H12" s="99"/>
      <c r="I12" s="99"/>
    </row>
    <row r="13" spans="1:9" x14ac:dyDescent="0.2">
      <c r="A13" s="642" t="s">
        <v>35</v>
      </c>
      <c r="B13" s="642">
        <v>10296</v>
      </c>
      <c r="H13" s="99"/>
      <c r="I13" s="99"/>
    </row>
    <row r="14" spans="1:9" x14ac:dyDescent="0.2">
      <c r="A14" s="642" t="s">
        <v>36</v>
      </c>
      <c r="B14" s="642">
        <v>16082</v>
      </c>
      <c r="H14" s="99"/>
      <c r="I14" s="99"/>
    </row>
    <row r="15" spans="1:9" x14ac:dyDescent="0.2">
      <c r="A15" s="642" t="s">
        <v>37</v>
      </c>
      <c r="B15" s="642">
        <v>25407</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12425</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7</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82</v>
      </c>
      <c r="H52" s="99"/>
      <c r="I52" s="99"/>
    </row>
    <row r="53" spans="1:9" x14ac:dyDescent="0.2">
      <c r="A53" s="642" t="s">
        <v>75</v>
      </c>
      <c r="B53" s="642">
        <v>132</v>
      </c>
      <c r="H53" s="99"/>
      <c r="I53" s="99"/>
    </row>
    <row r="54" spans="1:9" x14ac:dyDescent="0.2">
      <c r="A54" s="642" t="s">
        <v>76</v>
      </c>
      <c r="B54" s="642">
        <v>198</v>
      </c>
      <c r="H54" s="99"/>
      <c r="I54" s="99"/>
    </row>
    <row r="55" spans="1:9" x14ac:dyDescent="0.2">
      <c r="A55" s="642" t="s">
        <v>77</v>
      </c>
      <c r="B55" s="642">
        <v>266</v>
      </c>
      <c r="H55" s="99"/>
      <c r="I55" s="99"/>
    </row>
    <row r="56" spans="1:9" x14ac:dyDescent="0.2">
      <c r="A56" s="642" t="s">
        <v>78</v>
      </c>
      <c r="B56" s="642">
        <v>350</v>
      </c>
      <c r="H56" s="99"/>
      <c r="I56" s="99"/>
    </row>
    <row r="57" spans="1:9" x14ac:dyDescent="0.2">
      <c r="A57" s="642" t="s">
        <v>79</v>
      </c>
      <c r="B57" s="642">
        <v>448</v>
      </c>
      <c r="H57" s="99"/>
      <c r="I57" s="99"/>
    </row>
    <row r="58" spans="1:9" x14ac:dyDescent="0.2">
      <c r="A58" s="642" t="s">
        <v>80</v>
      </c>
      <c r="B58" s="642">
        <v>556</v>
      </c>
      <c r="H58" s="99"/>
    </row>
    <row r="59" spans="1:9" x14ac:dyDescent="0.2">
      <c r="A59" s="642" t="s">
        <v>81</v>
      </c>
      <c r="B59" s="642">
        <v>674</v>
      </c>
      <c r="H59" s="99"/>
      <c r="I59" s="99"/>
    </row>
    <row r="60" spans="1:9" x14ac:dyDescent="0.2">
      <c r="A60" s="642" t="s">
        <v>82</v>
      </c>
      <c r="B60" s="642">
        <v>804</v>
      </c>
      <c r="H60" s="99"/>
      <c r="I60" s="99"/>
    </row>
    <row r="61" spans="1:9" x14ac:dyDescent="0.2">
      <c r="A61" s="642" t="s">
        <v>83</v>
      </c>
      <c r="B61" s="642">
        <v>942</v>
      </c>
      <c r="H61" s="99"/>
      <c r="I61" s="99"/>
    </row>
    <row r="62" spans="1:9" x14ac:dyDescent="0.2">
      <c r="A62" s="642" t="s">
        <v>84</v>
      </c>
      <c r="B62" s="642">
        <v>1080</v>
      </c>
      <c r="H62" s="99"/>
      <c r="I62" s="99"/>
    </row>
    <row r="63" spans="1:9" x14ac:dyDescent="0.2">
      <c r="A63" s="642" t="s">
        <v>85</v>
      </c>
      <c r="B63" s="642">
        <v>1228</v>
      </c>
      <c r="H63" s="99"/>
      <c r="I63" s="99"/>
    </row>
    <row r="64" spans="1:9" x14ac:dyDescent="0.2">
      <c r="A64" s="642" t="s">
        <v>86</v>
      </c>
      <c r="B64" s="642">
        <v>1370</v>
      </c>
      <c r="H64" s="99"/>
      <c r="I64" s="99"/>
    </row>
    <row r="65" spans="1:9" x14ac:dyDescent="0.2">
      <c r="A65" s="642" t="s">
        <v>87</v>
      </c>
      <c r="B65" s="642">
        <v>1522</v>
      </c>
      <c r="H65" s="99"/>
      <c r="I65" s="99"/>
    </row>
    <row r="66" spans="1:9" x14ac:dyDescent="0.2">
      <c r="A66" s="642" t="s">
        <v>88</v>
      </c>
      <c r="B66" s="642">
        <v>1668</v>
      </c>
      <c r="H66" s="99"/>
      <c r="I66" s="99"/>
    </row>
    <row r="67" spans="1:9" x14ac:dyDescent="0.2">
      <c r="A67" s="642" t="s">
        <v>89</v>
      </c>
      <c r="B67" s="642">
        <v>1824</v>
      </c>
      <c r="H67" s="99"/>
      <c r="I67" s="99"/>
    </row>
    <row r="68" spans="1:9" x14ac:dyDescent="0.2">
      <c r="A68" s="642" t="s">
        <v>90</v>
      </c>
      <c r="B68" s="642">
        <v>1990</v>
      </c>
      <c r="H68" s="99"/>
      <c r="I68" s="99"/>
    </row>
    <row r="69" spans="1:9" x14ac:dyDescent="0.2">
      <c r="A69" s="642" t="s">
        <v>91</v>
      </c>
      <c r="B69" s="642">
        <v>2220</v>
      </c>
      <c r="H69" s="99"/>
      <c r="I69" s="99"/>
    </row>
    <row r="70" spans="1:9" x14ac:dyDescent="0.2">
      <c r="A70" s="642" t="s">
        <v>92</v>
      </c>
      <c r="B70" s="642">
        <v>2450</v>
      </c>
      <c r="H70" s="99"/>
      <c r="I70" s="99"/>
    </row>
    <row r="71" spans="1:9" x14ac:dyDescent="0.2">
      <c r="A71" s="642" t="s">
        <v>93</v>
      </c>
      <c r="B71" s="642">
        <v>2680</v>
      </c>
      <c r="H71" s="99"/>
      <c r="I71" s="99"/>
    </row>
    <row r="72" spans="1:9" x14ac:dyDescent="0.2">
      <c r="A72" s="642" t="s">
        <v>94</v>
      </c>
      <c r="B72" s="642">
        <v>2920</v>
      </c>
      <c r="H72" s="99"/>
      <c r="I72" s="99"/>
    </row>
    <row r="73" spans="1:9" x14ac:dyDescent="0.2">
      <c r="A73" s="642" t="s">
        <v>95</v>
      </c>
      <c r="B73" s="642">
        <v>3204</v>
      </c>
      <c r="H73" s="99"/>
      <c r="I73" s="99"/>
    </row>
    <row r="74" spans="1:9" x14ac:dyDescent="0.2">
      <c r="A74" s="642" t="s">
        <v>96</v>
      </c>
      <c r="B74" s="642">
        <v>3538</v>
      </c>
      <c r="H74" s="99"/>
      <c r="I74" s="99"/>
    </row>
    <row r="75" spans="1:9" x14ac:dyDescent="0.2">
      <c r="A75" s="642" t="s">
        <v>97</v>
      </c>
      <c r="B75" s="642">
        <v>3822</v>
      </c>
      <c r="H75" s="99"/>
    </row>
    <row r="76" spans="1:9" x14ac:dyDescent="0.2">
      <c r="A76" s="642" t="s">
        <v>98</v>
      </c>
      <c r="B76" s="642">
        <v>4134</v>
      </c>
      <c r="H76" s="99"/>
      <c r="I76" s="99"/>
    </row>
    <row r="77" spans="1:9" x14ac:dyDescent="0.2">
      <c r="A77" s="642" t="s">
        <v>99</v>
      </c>
      <c r="B77" s="642">
        <v>4412</v>
      </c>
      <c r="H77" s="99"/>
    </row>
    <row r="78" spans="1:9" x14ac:dyDescent="0.2">
      <c r="A78" s="642" t="s">
        <v>100</v>
      </c>
      <c r="B78" s="642">
        <v>4780</v>
      </c>
      <c r="H78" s="99"/>
      <c r="I78" s="99"/>
    </row>
    <row r="79" spans="1:9" x14ac:dyDescent="0.2">
      <c r="A79" s="642" t="s">
        <v>101</v>
      </c>
      <c r="B79" s="642">
        <v>10296</v>
      </c>
      <c r="H79" s="99"/>
      <c r="I79" s="99"/>
    </row>
    <row r="80" spans="1:9" x14ac:dyDescent="0.2">
      <c r="A80" s="642" t="s">
        <v>102</v>
      </c>
      <c r="B80" s="642">
        <v>16082</v>
      </c>
      <c r="H80" s="99"/>
      <c r="I80" s="99"/>
    </row>
    <row r="81" spans="1:9" x14ac:dyDescent="0.2">
      <c r="A81" s="642" t="s">
        <v>103</v>
      </c>
      <c r="B81" s="642">
        <v>25407</v>
      </c>
      <c r="H81" s="99"/>
      <c r="I81" s="99"/>
    </row>
    <row r="82" spans="1:9" x14ac:dyDescent="0.2">
      <c r="A82" s="642" t="s">
        <v>104</v>
      </c>
      <c r="B82" s="642">
        <v>18808</v>
      </c>
      <c r="H82" s="99"/>
      <c r="I82" s="99"/>
    </row>
    <row r="83" spans="1:9" x14ac:dyDescent="0.2">
      <c r="A83" s="642" t="s">
        <v>105</v>
      </c>
      <c r="B83" s="642">
        <v>18808</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1062517</v>
      </c>
      <c r="H117" s="99"/>
      <c r="I117" s="99"/>
    </row>
    <row r="118" spans="1:9" x14ac:dyDescent="0.2">
      <c r="A118" s="642" t="s">
        <v>140</v>
      </c>
      <c r="B118" s="642">
        <v>459007</v>
      </c>
      <c r="H118" s="99"/>
      <c r="I118" s="99"/>
    </row>
    <row r="119" spans="1:9" x14ac:dyDescent="0.2">
      <c r="A119" s="642" t="s">
        <v>141</v>
      </c>
      <c r="B119" s="642">
        <v>35999</v>
      </c>
      <c r="H119" s="99"/>
      <c r="I119" s="99"/>
    </row>
    <row r="120" spans="1:9" x14ac:dyDescent="0.2">
      <c r="A120" s="642" t="s">
        <v>142</v>
      </c>
      <c r="B120" s="642">
        <v>10547</v>
      </c>
      <c r="H120" s="99"/>
      <c r="I120" s="99"/>
    </row>
    <row r="121" spans="1:9" x14ac:dyDescent="0.2">
      <c r="A121" s="642" t="s">
        <v>143</v>
      </c>
      <c r="B121" s="642">
        <v>5119</v>
      </c>
      <c r="H121" s="99"/>
      <c r="I121" s="99"/>
    </row>
    <row r="122" spans="1:9" x14ac:dyDescent="0.2">
      <c r="A122" s="642" t="s">
        <v>144</v>
      </c>
      <c r="B122" s="642">
        <v>593</v>
      </c>
      <c r="H122" s="99"/>
      <c r="I122" s="99"/>
    </row>
    <row r="123" spans="1:9" x14ac:dyDescent="0.2">
      <c r="A123" s="642" t="s">
        <v>145</v>
      </c>
      <c r="B123" s="642">
        <v>126</v>
      </c>
      <c r="H123" s="99"/>
      <c r="I123" s="99"/>
    </row>
    <row r="124" spans="1:9" x14ac:dyDescent="0.2">
      <c r="A124" s="642" t="s">
        <v>146</v>
      </c>
      <c r="B124" s="642">
        <v>37</v>
      </c>
      <c r="H124" s="99"/>
      <c r="I124" s="99"/>
    </row>
    <row r="125" spans="1:9" x14ac:dyDescent="0.2">
      <c r="A125" s="642" t="s">
        <v>147</v>
      </c>
      <c r="B125" s="642">
        <v>1062517</v>
      </c>
      <c r="H125" s="99"/>
      <c r="I125" s="99"/>
    </row>
    <row r="126" spans="1:9" x14ac:dyDescent="0.2">
      <c r="A126" s="642" t="s">
        <v>148</v>
      </c>
      <c r="B126" s="642">
        <v>459007</v>
      </c>
      <c r="H126" s="99"/>
      <c r="I126" s="99"/>
    </row>
    <row r="127" spans="1:9" x14ac:dyDescent="0.2">
      <c r="A127" s="642" t="s">
        <v>149</v>
      </c>
      <c r="B127" s="642">
        <v>35999</v>
      </c>
      <c r="H127" s="99"/>
      <c r="I127" s="99"/>
    </row>
    <row r="128" spans="1:9" x14ac:dyDescent="0.2">
      <c r="A128" s="642" t="s">
        <v>150</v>
      </c>
      <c r="B128" s="642">
        <v>10547</v>
      </c>
      <c r="H128" s="99"/>
      <c r="I128" s="99"/>
    </row>
    <row r="129" spans="1:9" x14ac:dyDescent="0.2">
      <c r="A129" s="642" t="s">
        <v>151</v>
      </c>
      <c r="B129" s="642">
        <v>5119</v>
      </c>
      <c r="H129" s="99"/>
      <c r="I129" s="99"/>
    </row>
    <row r="130" spans="1:9" x14ac:dyDescent="0.2">
      <c r="A130" s="642" t="s">
        <v>152</v>
      </c>
      <c r="B130" s="642">
        <v>593</v>
      </c>
      <c r="H130" s="99"/>
      <c r="I130" s="100"/>
    </row>
    <row r="131" spans="1:9" x14ac:dyDescent="0.2">
      <c r="A131" s="642" t="s">
        <v>153</v>
      </c>
      <c r="B131" s="642">
        <v>126</v>
      </c>
      <c r="H131" s="99"/>
      <c r="I131" s="99"/>
    </row>
    <row r="132" spans="1:9" x14ac:dyDescent="0.2">
      <c r="A132" s="642" t="s">
        <v>154</v>
      </c>
      <c r="B132" s="642">
        <v>37</v>
      </c>
      <c r="H132" s="99"/>
      <c r="I132" s="99"/>
    </row>
    <row r="133" spans="1:9" x14ac:dyDescent="0.2">
      <c r="A133" s="642" t="s">
        <v>155</v>
      </c>
      <c r="B133" s="642">
        <v>1062517</v>
      </c>
      <c r="H133" s="99"/>
      <c r="I133" s="99"/>
    </row>
    <row r="134" spans="1:9" x14ac:dyDescent="0.2">
      <c r="A134" s="642" t="s">
        <v>156</v>
      </c>
      <c r="B134" s="642">
        <v>459007</v>
      </c>
      <c r="H134" s="99"/>
      <c r="I134" s="99"/>
    </row>
    <row r="135" spans="1:9" x14ac:dyDescent="0.2">
      <c r="A135" s="642" t="s">
        <v>157</v>
      </c>
      <c r="B135" s="642">
        <v>35999</v>
      </c>
      <c r="H135" s="99"/>
      <c r="I135" s="99"/>
    </row>
    <row r="136" spans="1:9" x14ac:dyDescent="0.2">
      <c r="A136" s="642" t="s">
        <v>158</v>
      </c>
      <c r="B136" s="642">
        <v>10547</v>
      </c>
      <c r="H136" s="99"/>
      <c r="I136" s="99"/>
    </row>
    <row r="137" spans="1:9" x14ac:dyDescent="0.2">
      <c r="A137" s="642" t="s">
        <v>159</v>
      </c>
      <c r="B137" s="642">
        <v>5119</v>
      </c>
      <c r="H137" s="99"/>
      <c r="I137" s="99"/>
    </row>
    <row r="138" spans="1:9" x14ac:dyDescent="0.2">
      <c r="A138" s="642" t="s">
        <v>160</v>
      </c>
      <c r="B138" s="642">
        <v>593</v>
      </c>
      <c r="H138" s="99"/>
      <c r="I138" s="99"/>
    </row>
    <row r="139" spans="1:9" x14ac:dyDescent="0.2">
      <c r="A139" s="642" t="s">
        <v>161</v>
      </c>
      <c r="B139" s="642">
        <v>126</v>
      </c>
      <c r="H139" s="99"/>
      <c r="I139" s="99"/>
    </row>
    <row r="140" spans="1:9" x14ac:dyDescent="0.2">
      <c r="A140" s="642" t="s">
        <v>162</v>
      </c>
      <c r="B140" s="642">
        <v>37</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10625.2</v>
      </c>
    </row>
    <row r="150" spans="1:2" x14ac:dyDescent="0.2">
      <c r="A150" s="642" t="s">
        <v>172</v>
      </c>
      <c r="B150" s="642">
        <v>6972.2</v>
      </c>
    </row>
    <row r="151" spans="1:2" x14ac:dyDescent="0.2">
      <c r="A151" s="642" t="s">
        <v>173</v>
      </c>
      <c r="B151" s="642">
        <v>4590.07</v>
      </c>
    </row>
    <row r="152" spans="1:2" x14ac:dyDescent="0.2">
      <c r="A152" s="642" t="s">
        <v>174</v>
      </c>
      <c r="B152" s="642">
        <v>3230.39</v>
      </c>
    </row>
    <row r="153" spans="1:2" x14ac:dyDescent="0.2">
      <c r="A153" s="642" t="s">
        <v>175</v>
      </c>
      <c r="B153" s="642">
        <v>2195.4299999999998</v>
      </c>
    </row>
    <row r="154" spans="1:2" x14ac:dyDescent="0.2">
      <c r="A154" s="642" t="s">
        <v>176</v>
      </c>
      <c r="B154" s="642">
        <v>1513.5</v>
      </c>
    </row>
    <row r="155" spans="1:2" x14ac:dyDescent="0.2">
      <c r="A155" s="642" t="s">
        <v>177</v>
      </c>
      <c r="B155" s="642">
        <v>1070.18</v>
      </c>
    </row>
    <row r="156" spans="1:2" x14ac:dyDescent="0.2">
      <c r="A156" s="642" t="s">
        <v>178</v>
      </c>
      <c r="B156" s="642">
        <v>781.08799999999997</v>
      </c>
    </row>
    <row r="157" spans="1:2" x14ac:dyDescent="0.2">
      <c r="A157" s="642" t="s">
        <v>179</v>
      </c>
      <c r="B157" s="642">
        <v>582.33600000000001</v>
      </c>
    </row>
    <row r="158" spans="1:2" x14ac:dyDescent="0.2">
      <c r="A158" s="642" t="s">
        <v>180</v>
      </c>
      <c r="B158" s="642">
        <v>448.32499999999999</v>
      </c>
    </row>
    <row r="159" spans="1:2" x14ac:dyDescent="0.2">
      <c r="A159" s="642" t="s">
        <v>181</v>
      </c>
      <c r="B159" s="642">
        <v>359.99599999999998</v>
      </c>
    </row>
    <row r="160" spans="1:2" x14ac:dyDescent="0.2">
      <c r="A160" s="642" t="s">
        <v>182</v>
      </c>
      <c r="B160" s="642">
        <v>290.07</v>
      </c>
    </row>
    <row r="161" spans="1:2" x14ac:dyDescent="0.2">
      <c r="A161" s="642" t="s">
        <v>183</v>
      </c>
      <c r="B161" s="642">
        <v>243.64099999999999</v>
      </c>
    </row>
    <row r="162" spans="1:2" x14ac:dyDescent="0.2">
      <c r="A162" s="642" t="s">
        <v>184</v>
      </c>
      <c r="B162" s="642">
        <v>202.72200000000001</v>
      </c>
    </row>
    <row r="163" spans="1:2" x14ac:dyDescent="0.2">
      <c r="A163" s="642" t="s">
        <v>185</v>
      </c>
      <c r="B163" s="642">
        <v>172.78100000000001</v>
      </c>
    </row>
    <row r="164" spans="1:2" x14ac:dyDescent="0.2">
      <c r="A164" s="642" t="s">
        <v>186</v>
      </c>
      <c r="B164" s="642">
        <v>149.98699999999999</v>
      </c>
    </row>
    <row r="165" spans="1:2" x14ac:dyDescent="0.2">
      <c r="A165" s="642" t="s">
        <v>187</v>
      </c>
      <c r="B165" s="642">
        <v>129.52699999999999</v>
      </c>
    </row>
    <row r="166" spans="1:2" x14ac:dyDescent="0.2">
      <c r="A166" s="642" t="s">
        <v>188</v>
      </c>
      <c r="B166" s="642">
        <v>105.47199999999999</v>
      </c>
    </row>
    <row r="167" spans="1:2" x14ac:dyDescent="0.2">
      <c r="A167" s="642" t="s">
        <v>189</v>
      </c>
      <c r="B167" s="642">
        <v>87.908600000000007</v>
      </c>
    </row>
    <row r="168" spans="1:2" x14ac:dyDescent="0.2">
      <c r="A168" s="642" t="s">
        <v>190</v>
      </c>
      <c r="B168" s="642">
        <v>74.316000000000003</v>
      </c>
    </row>
    <row r="169" spans="1:2" x14ac:dyDescent="0.2">
      <c r="A169" s="642" t="s">
        <v>191</v>
      </c>
      <c r="B169" s="642">
        <v>61.797600000000003</v>
      </c>
    </row>
    <row r="170" spans="1:2" x14ac:dyDescent="0.2">
      <c r="A170" s="642" t="s">
        <v>192</v>
      </c>
      <c r="B170" s="642">
        <v>51.194400000000002</v>
      </c>
    </row>
    <row r="171" spans="1:2" x14ac:dyDescent="0.2">
      <c r="A171" s="642" t="s">
        <v>193</v>
      </c>
      <c r="B171" s="642">
        <v>40.777999999999999</v>
      </c>
    </row>
    <row r="172" spans="1:2" x14ac:dyDescent="0.2">
      <c r="A172" s="642" t="s">
        <v>194</v>
      </c>
      <c r="B172" s="642">
        <v>33.864899999999999</v>
      </c>
    </row>
    <row r="173" spans="1:2" x14ac:dyDescent="0.2">
      <c r="A173" s="642" t="s">
        <v>195</v>
      </c>
      <c r="B173" s="642">
        <v>29.287299999999998</v>
      </c>
    </row>
    <row r="174" spans="1:2" x14ac:dyDescent="0.2">
      <c r="A174" s="642" t="s">
        <v>196</v>
      </c>
      <c r="B174" s="642">
        <v>24.943300000000001</v>
      </c>
    </row>
    <row r="175" spans="1:2" x14ac:dyDescent="0.2">
      <c r="A175" s="642" t="s">
        <v>197</v>
      </c>
      <c r="B175" s="642">
        <v>20.505800000000001</v>
      </c>
    </row>
    <row r="176" spans="1:2" x14ac:dyDescent="0.2">
      <c r="A176" s="642" t="s">
        <v>198</v>
      </c>
      <c r="B176" s="642">
        <v>5.9321999999999999</v>
      </c>
    </row>
    <row r="177" spans="1:2" x14ac:dyDescent="0.2">
      <c r="A177" s="642" t="s">
        <v>199</v>
      </c>
      <c r="B177" s="642">
        <v>1.26118</v>
      </c>
    </row>
    <row r="178" spans="1:2" x14ac:dyDescent="0.2">
      <c r="A178" s="642" t="s">
        <v>200</v>
      </c>
      <c r="B178" s="642">
        <v>0.37368200000000001</v>
      </c>
    </row>
    <row r="179" spans="1:2" x14ac:dyDescent="0.2">
      <c r="A179" s="642" t="s">
        <v>201</v>
      </c>
      <c r="B179" s="642">
        <v>0.37368200000000001</v>
      </c>
    </row>
    <row r="180" spans="1:2" x14ac:dyDescent="0.2">
      <c r="A180" s="642" t="s">
        <v>202</v>
      </c>
      <c r="B180" s="642">
        <v>0.37368200000000001</v>
      </c>
    </row>
    <row r="181" spans="1:2" x14ac:dyDescent="0.2">
      <c r="A181" s="642" t="s">
        <v>203</v>
      </c>
      <c r="B181" s="642">
        <v>10625.2</v>
      </c>
    </row>
    <row r="182" spans="1:2" x14ac:dyDescent="0.2">
      <c r="A182" s="642" t="s">
        <v>204</v>
      </c>
      <c r="B182" s="642">
        <v>6972.2</v>
      </c>
    </row>
    <row r="183" spans="1:2" x14ac:dyDescent="0.2">
      <c r="A183" s="642" t="s">
        <v>205</v>
      </c>
      <c r="B183" s="642">
        <v>4590.07</v>
      </c>
    </row>
    <row r="184" spans="1:2" x14ac:dyDescent="0.2">
      <c r="A184" s="642" t="s">
        <v>206</v>
      </c>
      <c r="B184" s="642">
        <v>3230.39</v>
      </c>
    </row>
    <row r="185" spans="1:2" x14ac:dyDescent="0.2">
      <c r="A185" s="642" t="s">
        <v>207</v>
      </c>
      <c r="B185" s="642">
        <v>2195.4299999999998</v>
      </c>
    </row>
    <row r="186" spans="1:2" x14ac:dyDescent="0.2">
      <c r="A186" s="642" t="s">
        <v>208</v>
      </c>
      <c r="B186" s="642">
        <v>1513.5</v>
      </c>
    </row>
    <row r="187" spans="1:2" x14ac:dyDescent="0.2">
      <c r="A187" s="642" t="s">
        <v>209</v>
      </c>
      <c r="B187" s="642">
        <v>1070.18</v>
      </c>
    </row>
    <row r="188" spans="1:2" x14ac:dyDescent="0.2">
      <c r="A188" s="642" t="s">
        <v>210</v>
      </c>
      <c r="B188" s="642">
        <v>781.08799999999997</v>
      </c>
    </row>
    <row r="189" spans="1:2" x14ac:dyDescent="0.2">
      <c r="A189" s="642" t="s">
        <v>211</v>
      </c>
      <c r="B189" s="642">
        <v>582.33600000000001</v>
      </c>
    </row>
    <row r="190" spans="1:2" x14ac:dyDescent="0.2">
      <c r="A190" s="642" t="s">
        <v>212</v>
      </c>
      <c r="B190" s="642">
        <v>448.32499999999999</v>
      </c>
    </row>
    <row r="191" spans="1:2" x14ac:dyDescent="0.2">
      <c r="A191" s="642" t="s">
        <v>213</v>
      </c>
      <c r="B191" s="642">
        <v>359.99599999999998</v>
      </c>
    </row>
    <row r="192" spans="1:2" x14ac:dyDescent="0.2">
      <c r="A192" s="642" t="s">
        <v>214</v>
      </c>
      <c r="B192" s="642">
        <v>290.07</v>
      </c>
    </row>
    <row r="193" spans="1:2" x14ac:dyDescent="0.2">
      <c r="A193" s="642" t="s">
        <v>215</v>
      </c>
      <c r="B193" s="642">
        <v>243.64099999999999</v>
      </c>
    </row>
    <row r="194" spans="1:2" x14ac:dyDescent="0.2">
      <c r="A194" s="642" t="s">
        <v>216</v>
      </c>
      <c r="B194" s="642">
        <v>202.72200000000001</v>
      </c>
    </row>
    <row r="195" spans="1:2" x14ac:dyDescent="0.2">
      <c r="A195" s="642" t="s">
        <v>217</v>
      </c>
      <c r="B195" s="642">
        <v>172.78100000000001</v>
      </c>
    </row>
    <row r="196" spans="1:2" x14ac:dyDescent="0.2">
      <c r="A196" s="642" t="s">
        <v>218</v>
      </c>
      <c r="B196" s="642">
        <v>149.98699999999999</v>
      </c>
    </row>
    <row r="197" spans="1:2" x14ac:dyDescent="0.2">
      <c r="A197" s="642" t="s">
        <v>219</v>
      </c>
      <c r="B197" s="642">
        <v>129.52699999999999</v>
      </c>
    </row>
    <row r="198" spans="1:2" x14ac:dyDescent="0.2">
      <c r="A198" s="642" t="s">
        <v>220</v>
      </c>
      <c r="B198" s="642">
        <v>105.47199999999999</v>
      </c>
    </row>
    <row r="199" spans="1:2" x14ac:dyDescent="0.2">
      <c r="A199" s="642" t="s">
        <v>221</v>
      </c>
      <c r="B199" s="642">
        <v>87.908600000000007</v>
      </c>
    </row>
    <row r="200" spans="1:2" x14ac:dyDescent="0.2">
      <c r="A200" s="642" t="s">
        <v>222</v>
      </c>
      <c r="B200" s="642">
        <v>74.316000000000003</v>
      </c>
    </row>
    <row r="201" spans="1:2" x14ac:dyDescent="0.2">
      <c r="A201" s="642" t="s">
        <v>223</v>
      </c>
      <c r="B201" s="642">
        <v>61.797600000000003</v>
      </c>
    </row>
    <row r="202" spans="1:2" x14ac:dyDescent="0.2">
      <c r="A202" s="642" t="s">
        <v>224</v>
      </c>
      <c r="B202" s="642">
        <v>51.194400000000002</v>
      </c>
    </row>
    <row r="203" spans="1:2" x14ac:dyDescent="0.2">
      <c r="A203" s="642" t="s">
        <v>225</v>
      </c>
      <c r="B203" s="642">
        <v>40.777999999999999</v>
      </c>
    </row>
    <row r="204" spans="1:2" x14ac:dyDescent="0.2">
      <c r="A204" s="642" t="s">
        <v>226</v>
      </c>
      <c r="B204" s="642">
        <v>33.864899999999999</v>
      </c>
    </row>
    <row r="205" spans="1:2" x14ac:dyDescent="0.2">
      <c r="A205" s="642" t="s">
        <v>227</v>
      </c>
      <c r="B205" s="642">
        <v>29.287299999999998</v>
      </c>
    </row>
    <row r="206" spans="1:2" x14ac:dyDescent="0.2">
      <c r="A206" s="642" t="s">
        <v>228</v>
      </c>
      <c r="B206" s="642">
        <v>24.943300000000001</v>
      </c>
    </row>
    <row r="207" spans="1:2" x14ac:dyDescent="0.2">
      <c r="A207" s="642" t="s">
        <v>229</v>
      </c>
      <c r="B207" s="642">
        <v>20.505800000000001</v>
      </c>
    </row>
    <row r="208" spans="1:2" x14ac:dyDescent="0.2">
      <c r="A208" s="642" t="s">
        <v>230</v>
      </c>
      <c r="B208" s="642">
        <v>5.9321999999999999</v>
      </c>
    </row>
    <row r="209" spans="1:2" x14ac:dyDescent="0.2">
      <c r="A209" s="642" t="s">
        <v>231</v>
      </c>
      <c r="B209" s="642">
        <v>1.26118</v>
      </c>
    </row>
    <row r="210" spans="1:2" x14ac:dyDescent="0.2">
      <c r="A210" s="642" t="s">
        <v>232</v>
      </c>
      <c r="B210" s="642">
        <v>0.37368200000000001</v>
      </c>
    </row>
    <row r="211" spans="1:2" x14ac:dyDescent="0.2">
      <c r="A211" s="642" t="s">
        <v>233</v>
      </c>
      <c r="B211" s="642">
        <v>0.37368200000000001</v>
      </c>
    </row>
    <row r="212" spans="1:2" x14ac:dyDescent="0.2">
      <c r="A212" s="642" t="s">
        <v>234</v>
      </c>
      <c r="B212" s="642">
        <v>0.37368200000000001</v>
      </c>
    </row>
    <row r="213" spans="1:2" x14ac:dyDescent="0.2">
      <c r="A213" s="642" t="s">
        <v>235</v>
      </c>
      <c r="B213" s="642">
        <v>10625.2</v>
      </c>
    </row>
    <row r="214" spans="1:2" x14ac:dyDescent="0.2">
      <c r="A214" s="642" t="s">
        <v>236</v>
      </c>
      <c r="B214" s="642">
        <v>6972.2</v>
      </c>
    </row>
    <row r="215" spans="1:2" x14ac:dyDescent="0.2">
      <c r="A215" s="642" t="s">
        <v>237</v>
      </c>
      <c r="B215" s="642">
        <v>4590.07</v>
      </c>
    </row>
    <row r="216" spans="1:2" x14ac:dyDescent="0.2">
      <c r="A216" s="642" t="s">
        <v>238</v>
      </c>
      <c r="B216" s="642">
        <v>3230.39</v>
      </c>
    </row>
    <row r="217" spans="1:2" x14ac:dyDescent="0.2">
      <c r="A217" s="642" t="s">
        <v>239</v>
      </c>
      <c r="B217" s="642">
        <v>2195.4299999999998</v>
      </c>
    </row>
    <row r="218" spans="1:2" x14ac:dyDescent="0.2">
      <c r="A218" s="642" t="s">
        <v>240</v>
      </c>
      <c r="B218" s="642">
        <v>1513.5</v>
      </c>
    </row>
    <row r="219" spans="1:2" x14ac:dyDescent="0.2">
      <c r="A219" s="642" t="s">
        <v>241</v>
      </c>
      <c r="B219" s="642">
        <v>1070.18</v>
      </c>
    </row>
    <row r="220" spans="1:2" x14ac:dyDescent="0.2">
      <c r="A220" s="642" t="s">
        <v>242</v>
      </c>
      <c r="B220" s="642">
        <v>781.08799999999997</v>
      </c>
    </row>
    <row r="221" spans="1:2" x14ac:dyDescent="0.2">
      <c r="A221" s="642" t="s">
        <v>243</v>
      </c>
      <c r="B221" s="642">
        <v>582.33600000000001</v>
      </c>
    </row>
    <row r="222" spans="1:2" x14ac:dyDescent="0.2">
      <c r="A222" s="642" t="s">
        <v>244</v>
      </c>
      <c r="B222" s="642">
        <v>448.32499999999999</v>
      </c>
    </row>
    <row r="223" spans="1:2" x14ac:dyDescent="0.2">
      <c r="A223" s="642" t="s">
        <v>245</v>
      </c>
      <c r="B223" s="642">
        <v>359.99599999999998</v>
      </c>
    </row>
    <row r="224" spans="1:2" x14ac:dyDescent="0.2">
      <c r="A224" s="642" t="s">
        <v>246</v>
      </c>
      <c r="B224" s="642">
        <v>290.07</v>
      </c>
    </row>
    <row r="225" spans="1:2" x14ac:dyDescent="0.2">
      <c r="A225" s="642" t="s">
        <v>247</v>
      </c>
      <c r="B225" s="642">
        <v>243.64099999999999</v>
      </c>
    </row>
    <row r="226" spans="1:2" x14ac:dyDescent="0.2">
      <c r="A226" s="642" t="s">
        <v>248</v>
      </c>
      <c r="B226" s="642">
        <v>202.72200000000001</v>
      </c>
    </row>
    <row r="227" spans="1:2" x14ac:dyDescent="0.2">
      <c r="A227" s="642" t="s">
        <v>249</v>
      </c>
      <c r="B227" s="642">
        <v>172.78100000000001</v>
      </c>
    </row>
    <row r="228" spans="1:2" x14ac:dyDescent="0.2">
      <c r="A228" s="642" t="s">
        <v>250</v>
      </c>
      <c r="B228" s="642">
        <v>149.98699999999999</v>
      </c>
    </row>
    <row r="229" spans="1:2" x14ac:dyDescent="0.2">
      <c r="A229" s="642" t="s">
        <v>251</v>
      </c>
      <c r="B229" s="642">
        <v>129.52699999999999</v>
      </c>
    </row>
    <row r="230" spans="1:2" x14ac:dyDescent="0.2">
      <c r="A230" s="642" t="s">
        <v>252</v>
      </c>
      <c r="B230" s="642">
        <v>105.47199999999999</v>
      </c>
    </row>
    <row r="231" spans="1:2" x14ac:dyDescent="0.2">
      <c r="A231" s="642" t="s">
        <v>253</v>
      </c>
      <c r="B231" s="642">
        <v>87.908600000000007</v>
      </c>
    </row>
    <row r="232" spans="1:2" x14ac:dyDescent="0.2">
      <c r="A232" s="642" t="s">
        <v>254</v>
      </c>
      <c r="B232" s="642">
        <v>74.316000000000003</v>
      </c>
    </row>
    <row r="233" spans="1:2" x14ac:dyDescent="0.2">
      <c r="A233" s="642" t="s">
        <v>255</v>
      </c>
      <c r="B233" s="642">
        <v>61.797600000000003</v>
      </c>
    </row>
    <row r="234" spans="1:2" x14ac:dyDescent="0.2">
      <c r="A234" s="642" t="s">
        <v>256</v>
      </c>
      <c r="B234" s="642">
        <v>51.194400000000002</v>
      </c>
    </row>
    <row r="235" spans="1:2" x14ac:dyDescent="0.2">
      <c r="A235" s="642" t="s">
        <v>257</v>
      </c>
      <c r="B235" s="642">
        <v>40.777999999999999</v>
      </c>
    </row>
    <row r="236" spans="1:2" x14ac:dyDescent="0.2">
      <c r="A236" s="642" t="s">
        <v>258</v>
      </c>
      <c r="B236" s="642">
        <v>33.864899999999999</v>
      </c>
    </row>
    <row r="237" spans="1:2" x14ac:dyDescent="0.2">
      <c r="A237" s="642" t="s">
        <v>259</v>
      </c>
      <c r="B237" s="642">
        <v>29.287299999999998</v>
      </c>
    </row>
    <row r="238" spans="1:2" x14ac:dyDescent="0.2">
      <c r="A238" s="642" t="s">
        <v>260</v>
      </c>
      <c r="B238" s="642">
        <v>24.943300000000001</v>
      </c>
    </row>
    <row r="239" spans="1:2" x14ac:dyDescent="0.2">
      <c r="A239" s="642" t="s">
        <v>261</v>
      </c>
      <c r="B239" s="642">
        <v>20.505800000000001</v>
      </c>
    </row>
    <row r="240" spans="1:2" x14ac:dyDescent="0.2">
      <c r="A240" s="642" t="s">
        <v>262</v>
      </c>
      <c r="B240" s="642">
        <v>5.9321999999999999</v>
      </c>
    </row>
    <row r="241" spans="1:2" x14ac:dyDescent="0.2">
      <c r="A241" s="642" t="s">
        <v>263</v>
      </c>
      <c r="B241" s="642">
        <v>1.26118</v>
      </c>
    </row>
    <row r="242" spans="1:2" x14ac:dyDescent="0.2">
      <c r="A242" s="642" t="s">
        <v>264</v>
      </c>
      <c r="B242" s="642">
        <v>0.37368200000000001</v>
      </c>
    </row>
    <row r="243" spans="1:2" x14ac:dyDescent="0.2">
      <c r="A243" s="642" t="s">
        <v>265</v>
      </c>
      <c r="B243" s="642">
        <v>0.37368200000000001</v>
      </c>
    </row>
    <row r="244" spans="1:2" x14ac:dyDescent="0.2">
      <c r="A244" s="642" t="s">
        <v>266</v>
      </c>
      <c r="B244" s="642">
        <v>0.37368200000000001</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26</v>
      </c>
    </row>
    <row r="279" spans="1:2" x14ac:dyDescent="0.2">
      <c r="A279" s="642" t="s">
        <v>301</v>
      </c>
      <c r="B279" s="642">
        <v>298</v>
      </c>
    </row>
    <row r="280" spans="1:2" x14ac:dyDescent="0.2">
      <c r="A280" s="642" t="s">
        <v>302</v>
      </c>
      <c r="B280" s="642">
        <v>12436</v>
      </c>
    </row>
    <row r="281" spans="1:2" x14ac:dyDescent="0.2">
      <c r="A281" s="643" t="s">
        <v>303</v>
      </c>
      <c r="B281" s="642">
        <v>35</v>
      </c>
    </row>
    <row r="282" spans="1:2" x14ac:dyDescent="0.2">
      <c r="A282" s="642" t="s">
        <v>304</v>
      </c>
      <c r="B282" s="642"/>
    </row>
    <row r="283" spans="1:2" x14ac:dyDescent="0.2">
      <c r="A283" s="643" t="s">
        <v>305</v>
      </c>
      <c r="B283" s="642">
        <v>46191.5</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82</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198</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1080</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2220</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3204</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10296</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16082</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25407</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82</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198</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1080</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2220</v>
      </c>
      <c r="H164" s="532"/>
    </row>
    <row r="165" spans="1:18" x14ac:dyDescent="0.2">
      <c r="A165" s="144" t="b">
        <v>0</v>
      </c>
      <c r="B165" s="134">
        <f t="shared" si="3"/>
        <v>167</v>
      </c>
      <c r="C165" s="150" t="s">
        <v>674</v>
      </c>
      <c r="D165" s="317"/>
      <c r="E165" s="135">
        <v>5</v>
      </c>
      <c r="F165" s="135">
        <v>25</v>
      </c>
      <c r="G165" s="531">
        <f>'Auto-Calibration record'!F65</f>
        <v>3204</v>
      </c>
      <c r="H165" s="532"/>
    </row>
    <row r="166" spans="1:18" x14ac:dyDescent="0.2">
      <c r="A166" s="144" t="b">
        <v>0</v>
      </c>
      <c r="B166" s="134">
        <f t="shared" si="3"/>
        <v>168</v>
      </c>
      <c r="C166" s="150" t="s">
        <v>675</v>
      </c>
      <c r="D166" s="349"/>
      <c r="E166" s="135">
        <v>6</v>
      </c>
      <c r="F166" s="135">
        <v>38</v>
      </c>
      <c r="G166" s="531">
        <f>'Auto-Calibration record'!G65</f>
        <v>10296</v>
      </c>
      <c r="H166" s="532"/>
    </row>
    <row r="167" spans="1:18" x14ac:dyDescent="0.2">
      <c r="A167" s="144" t="b">
        <v>0</v>
      </c>
      <c r="B167" s="134">
        <f t="shared" si="3"/>
        <v>169</v>
      </c>
      <c r="C167" s="184" t="s">
        <v>676</v>
      </c>
      <c r="D167" s="349"/>
      <c r="E167" s="135">
        <v>7</v>
      </c>
      <c r="F167" s="135">
        <v>50</v>
      </c>
      <c r="G167" s="531">
        <f>'Auto-Calibration record'!H65</f>
        <v>16082</v>
      </c>
      <c r="H167" s="532"/>
    </row>
    <row r="168" spans="1:18" x14ac:dyDescent="0.2">
      <c r="A168" s="144" t="b">
        <v>0</v>
      </c>
      <c r="B168" s="134">
        <f t="shared" si="3"/>
        <v>170</v>
      </c>
      <c r="C168" s="150" t="s">
        <v>677</v>
      </c>
      <c r="D168" s="349"/>
      <c r="E168" s="135">
        <v>8</v>
      </c>
      <c r="F168" s="135">
        <v>70</v>
      </c>
      <c r="G168" s="531">
        <f>'Auto-Calibration record'!I65</f>
        <v>25407</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63010078</v>
      </c>
      <c r="K30" s="105">
        <f>AUTO!B5</f>
        <v>1024</v>
      </c>
      <c r="L30" s="105">
        <f>AUTO!B6</f>
        <v>0</v>
      </c>
      <c r="M30" s="196" t="str">
        <f>AUTO!B7</f>
        <v>LPA3 NAVAIR</v>
      </c>
      <c r="N30" s="195">
        <f>AUTO!B8</f>
        <v>82</v>
      </c>
      <c r="O30" s="195">
        <f>AUTO!B9</f>
        <v>198</v>
      </c>
      <c r="P30" s="195">
        <f>AUTO!B10</f>
        <v>1080</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26</v>
      </c>
      <c r="C7" s="394" t="s">
        <v>836</v>
      </c>
      <c r="D7" s="395" t="s">
        <v>837</v>
      </c>
      <c r="E7" s="394"/>
      <c r="F7" s="118"/>
      <c r="G7" s="118"/>
      <c r="H7" s="118"/>
      <c r="I7" s="118"/>
      <c r="J7" s="118"/>
      <c r="K7" s="118"/>
      <c r="L7" s="118"/>
      <c r="M7" s="118"/>
    </row>
    <row r="8" spans="2:13" x14ac:dyDescent="0.2">
      <c r="B8" s="391">
        <f>VLOOKUP("pump_current_emptying",AUTO!$A$1:$B$1051,2,FALSE)</f>
        <v>298</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35</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12436</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46191.5</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82</v>
      </c>
      <c r="C65" s="407">
        <f>VLOOKUP("threshold1",AUTO!$A$1:$B$1051,2,FALSE)</f>
        <v>198</v>
      </c>
      <c r="D65" s="407">
        <f>VLOOKUP("threshold2",AUTO!$A$1:$B$1051,2,FALSE)</f>
        <v>1080</v>
      </c>
      <c r="E65" s="407">
        <f>VLOOKUP("threshold3",AUTO!$A$1:$B$1051,2,FALSE)</f>
        <v>2220</v>
      </c>
      <c r="F65" s="407">
        <f>VLOOKUP("threshold4",AUTO!$A$1:$B$1051,2,FALSE)</f>
        <v>3204</v>
      </c>
      <c r="G65" s="407">
        <f>VLOOKUP("threshold5",AUTO!$A$1:$B$1051,2,FALSE)</f>
        <v>10296</v>
      </c>
      <c r="H65" s="407">
        <f>VLOOKUP("threshold6",AUTO!$A$1:$B$1051,2,FALSE)</f>
        <v>16082</v>
      </c>
      <c r="I65" s="407">
        <f>VLOOKUP("threshold7",AUTO!$A$1:$B$1051,2,FALSE)</f>
        <v>25407</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1062517</v>
      </c>
      <c r="D68" s="379">
        <f>(C68-B68)/B68</f>
        <v>5.8475490845750419E-3</v>
      </c>
      <c r="E68" s="391"/>
      <c r="F68" s="379"/>
      <c r="G68" s="391"/>
      <c r="H68" s="379"/>
      <c r="I68" s="412">
        <f>(C68)</f>
        <v>1062517</v>
      </c>
      <c r="J68" s="379">
        <f>(I68-$B68)/$B68</f>
        <v>5.8475490845750419E-3</v>
      </c>
    </row>
    <row r="69" spans="1:10" ht="18" customHeight="1" x14ac:dyDescent="0.2">
      <c r="A69" s="410">
        <v>6</v>
      </c>
      <c r="B69" s="411">
        <f>VLOOKUP("reference_count_1",AUTO!$A$1:$B$1051,2,FALSE)</f>
        <v>459350</v>
      </c>
      <c r="C69" s="391">
        <f>VLOOKUP("verification_count_1_1",AUTO!$A$1:$B$1051,2,FALSE)</f>
        <v>459007</v>
      </c>
      <c r="D69" s="379">
        <f t="shared" ref="D69:D76" si="0">(C69-B69)/B69</f>
        <v>-7.4670730379884621E-4</v>
      </c>
      <c r="E69" s="391"/>
      <c r="F69" s="379"/>
      <c r="G69" s="391"/>
      <c r="H69" s="379"/>
      <c r="I69" s="412">
        <f t="shared" ref="I69:I76" si="1">(C69)</f>
        <v>459007</v>
      </c>
      <c r="J69" s="379">
        <f t="shared" ref="J69:J76" si="2">(I69-$B69)/$B69</f>
        <v>-7.4670730379884621E-4</v>
      </c>
    </row>
    <row r="70" spans="1:10" ht="18" customHeight="1" x14ac:dyDescent="0.2">
      <c r="A70" s="410">
        <v>10</v>
      </c>
      <c r="B70" s="411">
        <f>VLOOKUP("reference_count32_6",AUTO!$A$1:$B$1051,2,FALSE)*100</f>
        <v>106950</v>
      </c>
      <c r="C70" s="413">
        <f>VLOOKUP("verification_count32_1_6",AUTO!$A$1:$B$1051,2,FALSE)*100</f>
        <v>107018</v>
      </c>
      <c r="D70" s="379">
        <f t="shared" si="0"/>
        <v>6.3581112669471712E-4</v>
      </c>
      <c r="E70" s="413"/>
      <c r="F70" s="379"/>
      <c r="G70" s="413"/>
      <c r="H70" s="379"/>
      <c r="I70" s="412">
        <f t="shared" si="1"/>
        <v>107018</v>
      </c>
      <c r="J70" s="379">
        <f t="shared" si="2"/>
        <v>6.3581112669471712E-4</v>
      </c>
    </row>
    <row r="71" spans="1:10" ht="18" customHeight="1" x14ac:dyDescent="0.2">
      <c r="A71" s="410">
        <v>14</v>
      </c>
      <c r="B71" s="411">
        <f>VLOOKUP("reference_count_2",AUTO!$A$1:$B$1051,2,FALSE)</f>
        <v>36410</v>
      </c>
      <c r="C71" s="391">
        <f>VLOOKUP("verification_count_1_2",AUTO!$A$1:$B$1051,2,FALSE)</f>
        <v>35999</v>
      </c>
      <c r="D71" s="379">
        <f t="shared" si="0"/>
        <v>-1.1288107662730019E-2</v>
      </c>
      <c r="E71" s="391"/>
      <c r="F71" s="379"/>
      <c r="G71" s="391"/>
      <c r="H71" s="379"/>
      <c r="I71" s="412">
        <f t="shared" si="1"/>
        <v>35999</v>
      </c>
      <c r="J71" s="379">
        <f t="shared" si="2"/>
        <v>-1.1288107662730019E-2</v>
      </c>
    </row>
    <row r="72" spans="1:10" ht="18" customHeight="1" x14ac:dyDescent="0.2">
      <c r="A72" s="410">
        <v>21</v>
      </c>
      <c r="B72" s="411">
        <f>VLOOKUP("reference_count_3",AUTO!$A$1:$B$1051,2,FALSE)</f>
        <v>10940</v>
      </c>
      <c r="C72" s="391">
        <f>VLOOKUP("verification_count_1_3",AUTO!$A$1:$B$1051,2,FALSE)</f>
        <v>10547</v>
      </c>
      <c r="D72" s="379">
        <f t="shared" si="0"/>
        <v>-3.5923217550274222E-2</v>
      </c>
      <c r="E72" s="391"/>
      <c r="F72" s="379"/>
      <c r="G72" s="391"/>
      <c r="H72" s="379"/>
      <c r="I72" s="412">
        <f t="shared" si="1"/>
        <v>10547</v>
      </c>
      <c r="J72" s="379">
        <f t="shared" si="2"/>
        <v>-3.5923217550274222E-2</v>
      </c>
    </row>
    <row r="73" spans="1:10" ht="18" customHeight="1" x14ac:dyDescent="0.2">
      <c r="A73" s="410">
        <v>25</v>
      </c>
      <c r="B73" s="411">
        <f>VLOOKUP("reference_count_4",AUTO!$A$1:$B$1051,2,FALSE)</f>
        <v>5210</v>
      </c>
      <c r="C73" s="391">
        <f>VLOOKUP("verification_count_1_4",AUTO!$A$1:$B$1051,2,FALSE)</f>
        <v>5119</v>
      </c>
      <c r="D73" s="379">
        <f t="shared" si="0"/>
        <v>-1.7466410748560462E-2</v>
      </c>
      <c r="E73" s="391"/>
      <c r="F73" s="379"/>
      <c r="G73" s="391"/>
      <c r="H73" s="379"/>
      <c r="I73" s="412">
        <f t="shared" si="1"/>
        <v>5119</v>
      </c>
      <c r="J73" s="379">
        <f t="shared" si="2"/>
        <v>-1.7466410748560462E-2</v>
      </c>
    </row>
    <row r="74" spans="1:10" ht="18" customHeight="1" x14ac:dyDescent="0.2">
      <c r="A74" s="410">
        <v>38</v>
      </c>
      <c r="B74" s="411">
        <f>VLOOKUP("reference_count_5",AUTO!$A$1:$B$1051,2,FALSE)</f>
        <v>611.721</v>
      </c>
      <c r="C74" s="391">
        <f>VLOOKUP("verification_count_1_5",AUTO!$A$1:$B$1051,2,FALSE)</f>
        <v>593</v>
      </c>
      <c r="D74" s="379">
        <f t="shared" si="0"/>
        <v>-3.0603821022982706E-2</v>
      </c>
      <c r="E74" s="391"/>
      <c r="F74" s="379"/>
      <c r="G74" s="391"/>
      <c r="H74" s="379"/>
      <c r="I74" s="412">
        <f t="shared" si="1"/>
        <v>593</v>
      </c>
      <c r="J74" s="379">
        <f t="shared" si="2"/>
        <v>-3.0603821022982706E-2</v>
      </c>
    </row>
    <row r="75" spans="1:10" ht="18" customHeight="1" x14ac:dyDescent="0.2">
      <c r="A75" s="410">
        <v>50</v>
      </c>
      <c r="B75" s="411">
        <f>VLOOKUP("reference_count_6",AUTO!$A$1:$B$1051,2,FALSE)</f>
        <v>145.303</v>
      </c>
      <c r="C75" s="391">
        <f>VLOOKUP("verification_count_1_6",AUTO!$A$1:$B$1051,2,FALSE)</f>
        <v>126</v>
      </c>
      <c r="D75" s="379">
        <f t="shared" si="0"/>
        <v>-0.13284653448311459</v>
      </c>
      <c r="E75" s="391"/>
      <c r="F75" s="379"/>
      <c r="G75" s="391"/>
      <c r="H75" s="379"/>
      <c r="I75" s="412">
        <f t="shared" si="1"/>
        <v>126</v>
      </c>
      <c r="J75" s="379">
        <f t="shared" si="2"/>
        <v>-0.13284653448311459</v>
      </c>
    </row>
    <row r="76" spans="1:10" ht="18" customHeight="1" x14ac:dyDescent="0.2">
      <c r="A76" s="410">
        <v>70</v>
      </c>
      <c r="B76" s="411">
        <f>VLOOKUP("reference_count_7",AUTO!$A$1:$B$1051,2,FALSE)</f>
        <v>24.939</v>
      </c>
      <c r="C76" s="391">
        <f>VLOOKUP("verification_count_1_7",AUTO!$A$1:$B$1051,2,FALSE)</f>
        <v>37</v>
      </c>
      <c r="D76" s="379">
        <f t="shared" si="0"/>
        <v>0.48362003288022776</v>
      </c>
      <c r="E76" s="391"/>
      <c r="F76" s="379"/>
      <c r="G76" s="391"/>
      <c r="H76" s="379"/>
      <c r="I76" s="412">
        <f t="shared" si="1"/>
        <v>37</v>
      </c>
      <c r="J76" s="379">
        <f t="shared" si="2"/>
        <v>0.48362003288022776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596"/>
      <c r="J28" s="425">
        <f>'Auto-Calibration record'!I68</f>
        <v>1062517</v>
      </c>
      <c r="K28" s="425">
        <f t="shared" ref="K28:K33" si="0">J28-H28</f>
        <v>6177</v>
      </c>
      <c r="L28" s="383">
        <f t="shared" ref="L28:L33" si="1">K28/H28</f>
        <v>5.8475490845750419E-3</v>
      </c>
    </row>
    <row r="29" spans="2:15" s="77" customFormat="1" ht="25.9" customHeight="1" x14ac:dyDescent="0.2">
      <c r="D29" s="585" t="s">
        <v>909</v>
      </c>
      <c r="E29" s="585"/>
      <c r="F29" s="600">
        <f>'Auto-Calibration record'!C65</f>
        <v>198</v>
      </c>
      <c r="G29" s="600"/>
      <c r="H29" s="596">
        <f>'Auto-Calibration record'!B69</f>
        <v>459350</v>
      </c>
      <c r="I29" s="596"/>
      <c r="J29" s="425">
        <f>'Auto-Calibration record'!I69</f>
        <v>459007</v>
      </c>
      <c r="K29" s="425">
        <f t="shared" si="0"/>
        <v>-343</v>
      </c>
      <c r="L29" s="383">
        <f t="shared" si="1"/>
        <v>-7.4670730379884621E-4</v>
      </c>
    </row>
    <row r="30" spans="2:15" s="77" customFormat="1" ht="25.9" customHeight="1" x14ac:dyDescent="0.2">
      <c r="D30" s="585" t="s">
        <v>910</v>
      </c>
      <c r="E30" s="585"/>
      <c r="F30" s="600">
        <f>'Auto-Calibration record'!D65</f>
        <v>1080</v>
      </c>
      <c r="G30" s="600"/>
      <c r="H30" s="596">
        <f>'Auto-Calibration record'!B71</f>
        <v>36410</v>
      </c>
      <c r="I30" s="596"/>
      <c r="J30" s="425">
        <f>'Auto-Calibration record'!I71</f>
        <v>35999</v>
      </c>
      <c r="K30" s="425">
        <f t="shared" si="0"/>
        <v>-411</v>
      </c>
      <c r="L30" s="383">
        <f t="shared" si="1"/>
        <v>-1.1288107662730019E-2</v>
      </c>
    </row>
    <row r="31" spans="2:15" s="77" customFormat="1" ht="25.9" customHeight="1" x14ac:dyDescent="0.2">
      <c r="D31" s="585" t="s">
        <v>911</v>
      </c>
      <c r="E31" s="585"/>
      <c r="F31" s="600">
        <f>'Auto-Calibration record'!E65</f>
        <v>2220</v>
      </c>
      <c r="G31" s="600"/>
      <c r="H31" s="596">
        <f>'Auto-Calibration record'!B72</f>
        <v>10940</v>
      </c>
      <c r="I31" s="596"/>
      <c r="J31" s="425">
        <f>'Auto-Calibration record'!I72</f>
        <v>10547</v>
      </c>
      <c r="K31" s="425">
        <f t="shared" si="0"/>
        <v>-393</v>
      </c>
      <c r="L31" s="383">
        <f t="shared" si="1"/>
        <v>-3.5923217550274222E-2</v>
      </c>
    </row>
    <row r="32" spans="2:15" s="77" customFormat="1" ht="25.9" customHeight="1" x14ac:dyDescent="0.2">
      <c r="D32" s="585" t="s">
        <v>912</v>
      </c>
      <c r="E32" s="585"/>
      <c r="F32" s="600">
        <f>'Auto-Calibration record'!F65</f>
        <v>3204</v>
      </c>
      <c r="G32" s="600"/>
      <c r="H32" s="596">
        <f>'Auto-Calibration record'!B73</f>
        <v>5210</v>
      </c>
      <c r="I32" s="596"/>
      <c r="J32" s="425">
        <f>'Auto-Calibration record'!I73</f>
        <v>5119</v>
      </c>
      <c r="K32" s="425">
        <f t="shared" si="0"/>
        <v>-91</v>
      </c>
      <c r="L32" s="383">
        <f t="shared" si="1"/>
        <v>-1.7466410748560462E-2</v>
      </c>
    </row>
    <row r="33" spans="2:12" s="77" customFormat="1" ht="25.9" customHeight="1" x14ac:dyDescent="0.2">
      <c r="D33" s="585" t="s">
        <v>913</v>
      </c>
      <c r="E33" s="585"/>
      <c r="F33" s="600">
        <f>'Auto-Calibration record'!G65</f>
        <v>10296</v>
      </c>
      <c r="G33" s="600"/>
      <c r="H33" s="596">
        <f>'Auto-Calibration record'!B74</f>
        <v>611.721</v>
      </c>
      <c r="I33" s="596"/>
      <c r="J33" s="425">
        <f>'Auto-Calibration record'!I74</f>
        <v>593</v>
      </c>
      <c r="K33" s="425">
        <f t="shared" si="0"/>
        <v>-18.721000000000004</v>
      </c>
      <c r="L33" s="383">
        <f t="shared" si="1"/>
        <v>-3.0603821022982706E-2</v>
      </c>
    </row>
    <row r="34" spans="2:12" s="77" customFormat="1" ht="25.9" customHeight="1" x14ac:dyDescent="0.2">
      <c r="D34" s="585" t="s">
        <v>914</v>
      </c>
      <c r="E34" s="585"/>
      <c r="F34" s="600">
        <f>'Auto-Calibration record'!H65</f>
        <v>16082</v>
      </c>
      <c r="G34" s="600"/>
      <c r="H34" s="596">
        <f>'Auto-Calibration record'!B75</f>
        <v>145.303</v>
      </c>
      <c r="I34" s="596"/>
      <c r="J34" s="425">
        <f>'Auto-Calibration record'!I75</f>
        <v>126</v>
      </c>
      <c r="K34" s="425" t="s">
        <v>321</v>
      </c>
      <c r="L34" s="426" t="s">
        <v>321</v>
      </c>
    </row>
    <row r="35" spans="2:12" s="72" customFormat="1" ht="25.9" customHeight="1" x14ac:dyDescent="0.25">
      <c r="D35" s="585" t="s">
        <v>915</v>
      </c>
      <c r="E35" s="585"/>
      <c r="F35" s="601">
        <f>'Auto-Calibration record'!I65</f>
        <v>25407</v>
      </c>
      <c r="G35" s="601"/>
      <c r="H35" s="596">
        <f>'Auto-Calibration record'!B76</f>
        <v>24.939</v>
      </c>
      <c r="I35" s="596"/>
      <c r="J35" s="427">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35</v>
      </c>
      <c r="E40" s="596">
        <f>F28-D40</f>
        <v>47</v>
      </c>
      <c r="F40" s="596"/>
      <c r="G40" s="610">
        <f>F28/D40</f>
        <v>2.342857142857143</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46191.5</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35</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82</v>
      </c>
      <c r="D57" s="614">
        <f>'Auto-Calibration record'!B68</f>
        <v>1056340</v>
      </c>
      <c r="E57" s="615"/>
      <c r="F57" s="435">
        <f>'Auto-Calibration record'!I68</f>
        <v>1062517</v>
      </c>
      <c r="G57" s="434">
        <f t="shared" ref="G57:G62" si="0">F57-D57</f>
        <v>6177</v>
      </c>
      <c r="H57" s="93">
        <f t="shared" ref="H57:H62" si="1">G57/D57</f>
        <v>5.8475490845750419E-3</v>
      </c>
      <c r="I57" s="59"/>
    </row>
    <row r="58" spans="1:10" s="37" customFormat="1" x14ac:dyDescent="0.2">
      <c r="A58" s="2"/>
      <c r="B58" s="92">
        <v>6</v>
      </c>
      <c r="C58" s="434">
        <f>'Auto-Calibration record'!C65</f>
        <v>198</v>
      </c>
      <c r="D58" s="614">
        <f>'Auto-Calibration record'!B69</f>
        <v>459350</v>
      </c>
      <c r="E58" s="615"/>
      <c r="F58" s="435">
        <f>'Auto-Calibration record'!I69</f>
        <v>459007</v>
      </c>
      <c r="G58" s="434">
        <f t="shared" si="0"/>
        <v>-343</v>
      </c>
      <c r="H58" s="93">
        <f t="shared" si="1"/>
        <v>-7.4670730379884621E-4</v>
      </c>
      <c r="I58" s="59"/>
    </row>
    <row r="59" spans="1:10" x14ac:dyDescent="0.2">
      <c r="B59" s="92">
        <v>14</v>
      </c>
      <c r="C59" s="434">
        <f>'Auto-Calibration record'!D65</f>
        <v>1080</v>
      </c>
      <c r="D59" s="614">
        <f>'Auto-Calibration record'!B71</f>
        <v>36410</v>
      </c>
      <c r="E59" s="615"/>
      <c r="F59" s="435">
        <f>'Auto-Calibration record'!I71</f>
        <v>35999</v>
      </c>
      <c r="G59" s="434">
        <f t="shared" si="0"/>
        <v>-411</v>
      </c>
      <c r="H59" s="93">
        <f t="shared" si="1"/>
        <v>-1.1288107662730019E-2</v>
      </c>
      <c r="I59" s="59"/>
    </row>
    <row r="60" spans="1:10" x14ac:dyDescent="0.2">
      <c r="A60" s="37"/>
      <c r="B60" s="92">
        <v>21</v>
      </c>
      <c r="C60" s="434">
        <f>'Auto-Calibration record'!E65</f>
        <v>2220</v>
      </c>
      <c r="D60" s="614">
        <f>'Auto-Calibration record'!B72</f>
        <v>10940</v>
      </c>
      <c r="E60" s="615"/>
      <c r="F60" s="435">
        <f>'Auto-Calibration record'!I72</f>
        <v>10547</v>
      </c>
      <c r="G60" s="434">
        <f t="shared" si="0"/>
        <v>-393</v>
      </c>
      <c r="H60" s="93">
        <f t="shared" si="1"/>
        <v>-3.5923217550274222E-2</v>
      </c>
      <c r="I60" s="59"/>
    </row>
    <row r="61" spans="1:10" x14ac:dyDescent="0.2">
      <c r="B61" s="92">
        <v>25</v>
      </c>
      <c r="C61" s="434">
        <f>'Auto-Calibration record'!F65</f>
        <v>3204</v>
      </c>
      <c r="D61" s="614">
        <f>'Auto-Calibration record'!B73</f>
        <v>5210</v>
      </c>
      <c r="E61" s="615"/>
      <c r="F61" s="435">
        <f>'Auto-Calibration record'!I73</f>
        <v>5119</v>
      </c>
      <c r="G61" s="434">
        <f t="shared" si="0"/>
        <v>-91</v>
      </c>
      <c r="H61" s="93">
        <f t="shared" si="1"/>
        <v>-1.7466410748560462E-2</v>
      </c>
      <c r="I61" s="59"/>
    </row>
    <row r="62" spans="1:10" x14ac:dyDescent="0.2">
      <c r="A62" s="2"/>
      <c r="B62" s="92">
        <v>38</v>
      </c>
      <c r="C62" s="434">
        <f>'Auto-Calibration record'!G65</f>
        <v>10296</v>
      </c>
      <c r="D62" s="614">
        <f>'Auto-Calibration record'!B74</f>
        <v>611.721</v>
      </c>
      <c r="E62" s="615"/>
      <c r="F62" s="435">
        <f>'Auto-Calibration record'!I74</f>
        <v>593</v>
      </c>
      <c r="G62" s="434">
        <f t="shared" si="0"/>
        <v>-18.721000000000004</v>
      </c>
      <c r="H62" s="93">
        <f t="shared" si="1"/>
        <v>-3.0603821022982706E-2</v>
      </c>
      <c r="I62" s="59"/>
    </row>
    <row r="63" spans="1:10" x14ac:dyDescent="0.2">
      <c r="B63" s="92" t="s">
        <v>979</v>
      </c>
      <c r="C63" s="434">
        <f>'Auto-Calibration record'!H65</f>
        <v>16082</v>
      </c>
      <c r="D63" s="614">
        <f>'Auto-Calibration record'!B75</f>
        <v>145.303</v>
      </c>
      <c r="E63" s="615"/>
      <c r="F63" s="435">
        <f>'Auto-Calibration record'!I75</f>
        <v>126</v>
      </c>
      <c r="G63" s="436" t="s">
        <v>321</v>
      </c>
      <c r="H63" s="254" t="s">
        <v>321</v>
      </c>
      <c r="I63" s="59"/>
    </row>
    <row r="64" spans="1:10" ht="13.5" thickBot="1" x14ac:dyDescent="0.25">
      <c r="A64" s="37"/>
      <c r="B64" s="94" t="s">
        <v>980</v>
      </c>
      <c r="C64" s="95">
        <f>'Auto-Calibration record'!I65</f>
        <v>25407</v>
      </c>
      <c r="D64" s="614">
        <f>'Auto-Calibration record'!B76</f>
        <v>24.939</v>
      </c>
      <c r="E64" s="615"/>
      <c r="F64" s="102">
        <f>'Auto-Calibration record'!I76</f>
        <v>37</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46191.5</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82</v>
      </c>
      <c r="G34" s="600"/>
      <c r="H34" s="596">
        <f>'Auto-Calibration record'!B68</f>
        <v>1056340</v>
      </c>
      <c r="I34" s="626"/>
      <c r="J34" s="442">
        <f>'Auto-Calibration record'!I68</f>
        <v>1062517</v>
      </c>
      <c r="K34" s="425">
        <f t="shared" ref="K34:K39" si="0">J34-H34</f>
        <v>6177</v>
      </c>
      <c r="L34" s="443">
        <f t="shared" ref="L34:L39" si="1">K34/H34</f>
        <v>5.8475490845750419E-3</v>
      </c>
    </row>
    <row r="35" spans="2:12" s="77" customFormat="1" ht="25.9" customHeight="1" x14ac:dyDescent="0.2">
      <c r="D35" s="585" t="s">
        <v>909</v>
      </c>
      <c r="E35" s="585"/>
      <c r="F35" s="600">
        <f>'Auto-Calibration record'!C65</f>
        <v>198</v>
      </c>
      <c r="G35" s="600"/>
      <c r="H35" s="596">
        <f>'Auto-Calibration record'!B69</f>
        <v>459350</v>
      </c>
      <c r="I35" s="626"/>
      <c r="J35" s="442">
        <f>'Auto-Calibration record'!I69</f>
        <v>459007</v>
      </c>
      <c r="K35" s="425">
        <f t="shared" si="0"/>
        <v>-343</v>
      </c>
      <c r="L35" s="443">
        <f t="shared" si="1"/>
        <v>-7.4670730379884621E-4</v>
      </c>
    </row>
    <row r="36" spans="2:12" s="77" customFormat="1" ht="25.9" customHeight="1" x14ac:dyDescent="0.2">
      <c r="D36" s="585" t="s">
        <v>910</v>
      </c>
      <c r="E36" s="585"/>
      <c r="F36" s="600">
        <f>'Auto-Calibration record'!D65</f>
        <v>1080</v>
      </c>
      <c r="G36" s="600"/>
      <c r="H36" s="596">
        <f>'Auto-Calibration record'!B71</f>
        <v>36410</v>
      </c>
      <c r="I36" s="626"/>
      <c r="J36" s="442">
        <f>'Auto-Calibration record'!I71</f>
        <v>35999</v>
      </c>
      <c r="K36" s="425">
        <f t="shared" si="0"/>
        <v>-411</v>
      </c>
      <c r="L36" s="443">
        <f t="shared" si="1"/>
        <v>-1.1288107662730019E-2</v>
      </c>
    </row>
    <row r="37" spans="2:12" s="77" customFormat="1" ht="25.9" customHeight="1" x14ac:dyDescent="0.2">
      <c r="D37" s="585" t="s">
        <v>911</v>
      </c>
      <c r="E37" s="585"/>
      <c r="F37" s="600">
        <f>'Auto-Calibration record'!E65</f>
        <v>2220</v>
      </c>
      <c r="G37" s="600"/>
      <c r="H37" s="596">
        <f>'Auto-Calibration record'!B72</f>
        <v>10940</v>
      </c>
      <c r="I37" s="626"/>
      <c r="J37" s="442">
        <f>'Auto-Calibration record'!I72</f>
        <v>10547</v>
      </c>
      <c r="K37" s="425">
        <f t="shared" si="0"/>
        <v>-393</v>
      </c>
      <c r="L37" s="443">
        <f t="shared" si="1"/>
        <v>-3.5923217550274222E-2</v>
      </c>
    </row>
    <row r="38" spans="2:12" s="77" customFormat="1" ht="25.9" customHeight="1" x14ac:dyDescent="0.2">
      <c r="D38" s="585" t="s">
        <v>912</v>
      </c>
      <c r="E38" s="585"/>
      <c r="F38" s="600">
        <f>'Auto-Calibration record'!F65</f>
        <v>3204</v>
      </c>
      <c r="G38" s="600"/>
      <c r="H38" s="596">
        <f>'Auto-Calibration record'!B73</f>
        <v>5210</v>
      </c>
      <c r="I38" s="626"/>
      <c r="J38" s="442">
        <f>'Auto-Calibration record'!I73</f>
        <v>5119</v>
      </c>
      <c r="K38" s="425">
        <f t="shared" si="0"/>
        <v>-91</v>
      </c>
      <c r="L38" s="443">
        <f t="shared" si="1"/>
        <v>-1.7466410748560462E-2</v>
      </c>
    </row>
    <row r="39" spans="2:12" s="77" customFormat="1" ht="25.9" customHeight="1" x14ac:dyDescent="0.2">
      <c r="D39" s="585" t="s">
        <v>913</v>
      </c>
      <c r="E39" s="585"/>
      <c r="F39" s="600">
        <f>'Auto-Calibration record'!G65</f>
        <v>10296</v>
      </c>
      <c r="G39" s="600"/>
      <c r="H39" s="596">
        <f>'Auto-Calibration record'!B74</f>
        <v>611.721</v>
      </c>
      <c r="I39" s="626"/>
      <c r="J39" s="442">
        <f>'Auto-Calibration record'!I74</f>
        <v>593</v>
      </c>
      <c r="K39" s="425">
        <f t="shared" si="0"/>
        <v>-18.721000000000004</v>
      </c>
      <c r="L39" s="443">
        <f t="shared" si="1"/>
        <v>-3.0603821022982706E-2</v>
      </c>
    </row>
    <row r="40" spans="2:12" s="77" customFormat="1" ht="25.9" customHeight="1" x14ac:dyDescent="0.2">
      <c r="D40" s="585" t="s">
        <v>914</v>
      </c>
      <c r="E40" s="585"/>
      <c r="F40" s="600">
        <f>'Auto-Calibration record'!H65</f>
        <v>16082</v>
      </c>
      <c r="G40" s="600"/>
      <c r="H40" s="596">
        <f>'Auto-Calibration record'!B75</f>
        <v>145.303</v>
      </c>
      <c r="I40" s="626"/>
      <c r="J40" s="442">
        <f>'Auto-Calibration record'!I75</f>
        <v>126</v>
      </c>
      <c r="K40" s="425" t="s">
        <v>321</v>
      </c>
      <c r="L40" s="426" t="s">
        <v>321</v>
      </c>
    </row>
    <row r="41" spans="2:12" s="72" customFormat="1" ht="25.9" customHeight="1" x14ac:dyDescent="0.25">
      <c r="D41" s="585" t="s">
        <v>915</v>
      </c>
      <c r="E41" s="585"/>
      <c r="F41" s="601">
        <f>'Auto-Calibration record'!I65</f>
        <v>25407</v>
      </c>
      <c r="G41" s="601"/>
      <c r="H41" s="596">
        <f>'Auto-Calibration record'!B76</f>
        <v>24.939</v>
      </c>
      <c r="I41" s="626"/>
      <c r="J41" s="442">
        <f>'Auto-Calibration record'!I76</f>
        <v>37</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82</v>
      </c>
      <c r="F46" s="596"/>
      <c r="G46" s="610" t="e">
        <f>F34/D46</f>
        <v>#DIV/0!</v>
      </c>
      <c r="H46" s="610"/>
      <c r="I46" s="81"/>
      <c r="J46" s="428">
        <f>'Auto-Calibration record'!B11</f>
        <v>35</v>
      </c>
      <c r="K46" s="425">
        <f>F35-J46</f>
        <v>163</v>
      </c>
      <c r="L46" s="429">
        <f>F35/J46</f>
        <v>5.6571428571428575</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'Auto-Calibration record'!I68</f>
        <v>1062517</v>
      </c>
      <c r="K28" s="425">
        <f t="shared" ref="K28:K33" si="0">J28-H28</f>
        <v>6177</v>
      </c>
      <c r="L28" s="443">
        <f t="shared" ref="L28:L33" si="1">K28/H28</f>
        <v>5.8475490845750419E-3</v>
      </c>
    </row>
    <row r="29" spans="2:15" s="77" customFormat="1" ht="25.9" customHeight="1" x14ac:dyDescent="0.2">
      <c r="D29" s="585" t="s">
        <v>909</v>
      </c>
      <c r="E29" s="585"/>
      <c r="F29" s="600">
        <f>'Auto-Calibration record'!C65</f>
        <v>198</v>
      </c>
      <c r="G29" s="600"/>
      <c r="H29" s="596">
        <f>'Auto-Calibration record'!B69</f>
        <v>459350</v>
      </c>
      <c r="I29" s="626"/>
      <c r="J29" s="442">
        <f>'Auto-Calibration record'!I69</f>
        <v>459007</v>
      </c>
      <c r="K29" s="425">
        <f t="shared" si="0"/>
        <v>-343</v>
      </c>
      <c r="L29" s="443">
        <f t="shared" si="1"/>
        <v>-7.4670730379884621E-4</v>
      </c>
    </row>
    <row r="30" spans="2:15" s="77" customFormat="1" ht="25.9" customHeight="1" x14ac:dyDescent="0.2">
      <c r="D30" s="585" t="s">
        <v>910</v>
      </c>
      <c r="E30" s="585"/>
      <c r="F30" s="600">
        <f>'Auto-Calibration record'!D65</f>
        <v>1080</v>
      </c>
      <c r="G30" s="600"/>
      <c r="H30" s="596">
        <f>'Auto-Calibration record'!B71</f>
        <v>36410</v>
      </c>
      <c r="I30" s="626"/>
      <c r="J30" s="442">
        <f>'Auto-Calibration record'!I71</f>
        <v>35999</v>
      </c>
      <c r="K30" s="425">
        <f t="shared" si="0"/>
        <v>-411</v>
      </c>
      <c r="L30" s="443">
        <f t="shared" si="1"/>
        <v>-1.1288107662730019E-2</v>
      </c>
    </row>
    <row r="31" spans="2:15" s="77" customFormat="1" ht="25.9" customHeight="1" x14ac:dyDescent="0.2">
      <c r="D31" s="585" t="s">
        <v>911</v>
      </c>
      <c r="E31" s="585"/>
      <c r="F31" s="600">
        <f>'Auto-Calibration record'!E65</f>
        <v>2220</v>
      </c>
      <c r="G31" s="600"/>
      <c r="H31" s="596">
        <f>'Auto-Calibration record'!B72</f>
        <v>10940</v>
      </c>
      <c r="I31" s="626"/>
      <c r="J31" s="442">
        <f>'Auto-Calibration record'!I72</f>
        <v>10547</v>
      </c>
      <c r="K31" s="425">
        <f t="shared" si="0"/>
        <v>-393</v>
      </c>
      <c r="L31" s="443">
        <f t="shared" si="1"/>
        <v>-3.5923217550274222E-2</v>
      </c>
    </row>
    <row r="32" spans="2:15" s="77" customFormat="1" ht="25.9" customHeight="1" x14ac:dyDescent="0.2">
      <c r="D32" s="585" t="s">
        <v>912</v>
      </c>
      <c r="E32" s="585"/>
      <c r="F32" s="600">
        <f>'Auto-Calibration record'!F65</f>
        <v>3204</v>
      </c>
      <c r="G32" s="600"/>
      <c r="H32" s="596">
        <f>'Auto-Calibration record'!B73</f>
        <v>5210</v>
      </c>
      <c r="I32" s="626"/>
      <c r="J32" s="442">
        <f>'Auto-Calibration record'!I73</f>
        <v>5119</v>
      </c>
      <c r="K32" s="425">
        <f t="shared" si="0"/>
        <v>-91</v>
      </c>
      <c r="L32" s="443">
        <f t="shared" si="1"/>
        <v>-1.7466410748560462E-2</v>
      </c>
    </row>
    <row r="33" spans="2:14" s="77" customFormat="1" ht="25.9" customHeight="1" x14ac:dyDescent="0.2">
      <c r="D33" s="585" t="s">
        <v>913</v>
      </c>
      <c r="E33" s="585"/>
      <c r="F33" s="600">
        <f>'Auto-Calibration record'!G65</f>
        <v>10296</v>
      </c>
      <c r="G33" s="600"/>
      <c r="H33" s="596">
        <f>'Auto-Calibration record'!B74</f>
        <v>611.721</v>
      </c>
      <c r="I33" s="626"/>
      <c r="J33" s="442">
        <f>'Auto-Calibration record'!I74</f>
        <v>593</v>
      </c>
      <c r="K33" s="425">
        <f t="shared" si="0"/>
        <v>-18.721000000000004</v>
      </c>
      <c r="L33" s="443">
        <f t="shared" si="1"/>
        <v>-3.0603821022982706E-2</v>
      </c>
    </row>
    <row r="34" spans="2:14" s="77" customFormat="1" ht="25.9" customHeight="1" x14ac:dyDescent="0.2">
      <c r="D34" s="585" t="s">
        <v>914</v>
      </c>
      <c r="E34" s="585"/>
      <c r="F34" s="600">
        <f>'Auto-Calibration record'!H65</f>
        <v>16082</v>
      </c>
      <c r="G34" s="600"/>
      <c r="H34" s="596">
        <f>'Auto-Calibration record'!B75</f>
        <v>145.303</v>
      </c>
      <c r="I34" s="626"/>
      <c r="J34" s="442">
        <f>'Auto-Calibration record'!I75</f>
        <v>126</v>
      </c>
      <c r="K34" s="425" t="s">
        <v>321</v>
      </c>
      <c r="L34" s="426" t="s">
        <v>321</v>
      </c>
    </row>
    <row r="35" spans="2:14" s="72" customFormat="1" ht="25.9" customHeight="1" x14ac:dyDescent="0.25">
      <c r="D35" s="585" t="s">
        <v>915</v>
      </c>
      <c r="E35" s="585"/>
      <c r="F35" s="601">
        <f>'Auto-Calibration record'!I65</f>
        <v>25407</v>
      </c>
      <c r="G35" s="601"/>
      <c r="H35" s="596">
        <f>'Auto-Calibration record'!B76</f>
        <v>24.939</v>
      </c>
      <c r="I35" s="626"/>
      <c r="J35" s="442">
        <f>'Auto-Calibration record'!I76</f>
        <v>37</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82</v>
      </c>
      <c r="F40" s="596"/>
      <c r="G40" s="610" t="e">
        <f>F28/D40</f>
        <v>#DIV/0!</v>
      </c>
      <c r="H40" s="610"/>
      <c r="I40" s="81"/>
      <c r="J40" s="428">
        <f>'Auto-Calibration record'!B11</f>
        <v>35</v>
      </c>
      <c r="K40" s="425">
        <f>F29-J40</f>
        <v>163</v>
      </c>
      <c r="L40" s="429">
        <f>F29/J40</f>
        <v>5.6571428571428575</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'Auto-Calibration record'!I68</f>
        <v>1062517</v>
      </c>
      <c r="K28" s="425">
        <f t="shared" ref="K28:K33" si="0">J28-H28</f>
        <v>6177</v>
      </c>
      <c r="L28" s="443">
        <f t="shared" ref="L28:L33" si="1">K28/H28</f>
        <v>5.8475490845750419E-3</v>
      </c>
    </row>
    <row r="29" spans="2:15" s="77" customFormat="1" ht="25.9" customHeight="1" x14ac:dyDescent="0.2">
      <c r="D29" s="585" t="s">
        <v>909</v>
      </c>
      <c r="E29" s="585"/>
      <c r="F29" s="600">
        <f>'Auto-Calibration record'!C65</f>
        <v>198</v>
      </c>
      <c r="G29" s="600"/>
      <c r="H29" s="596">
        <f>'Auto-Calibration record'!B69</f>
        <v>459350</v>
      </c>
      <c r="I29" s="626"/>
      <c r="J29" s="442">
        <f>'Auto-Calibration record'!I69</f>
        <v>459007</v>
      </c>
      <c r="K29" s="425">
        <f t="shared" si="0"/>
        <v>-343</v>
      </c>
      <c r="L29" s="443">
        <f t="shared" si="1"/>
        <v>-7.4670730379884621E-4</v>
      </c>
    </row>
    <row r="30" spans="2:15" s="77" customFormat="1" ht="25.9" customHeight="1" x14ac:dyDescent="0.2">
      <c r="D30" s="585" t="s">
        <v>910</v>
      </c>
      <c r="E30" s="585"/>
      <c r="F30" s="600">
        <f>'Auto-Calibration record'!D65</f>
        <v>1080</v>
      </c>
      <c r="G30" s="600"/>
      <c r="H30" s="596">
        <f>'Auto-Calibration record'!B71</f>
        <v>36410</v>
      </c>
      <c r="I30" s="626"/>
      <c r="J30" s="442">
        <f>'Auto-Calibration record'!I71</f>
        <v>35999</v>
      </c>
      <c r="K30" s="425">
        <f t="shared" si="0"/>
        <v>-411</v>
      </c>
      <c r="L30" s="443">
        <f t="shared" si="1"/>
        <v>-1.1288107662730019E-2</v>
      </c>
    </row>
    <row r="31" spans="2:15" s="77" customFormat="1" ht="25.9" customHeight="1" x14ac:dyDescent="0.2">
      <c r="D31" s="585" t="s">
        <v>911</v>
      </c>
      <c r="E31" s="585"/>
      <c r="F31" s="600">
        <f>'Auto-Calibration record'!E65</f>
        <v>2220</v>
      </c>
      <c r="G31" s="600"/>
      <c r="H31" s="596">
        <f>'Auto-Calibration record'!B72</f>
        <v>10940</v>
      </c>
      <c r="I31" s="626"/>
      <c r="J31" s="442">
        <f>'Auto-Calibration record'!I72</f>
        <v>10547</v>
      </c>
      <c r="K31" s="425">
        <f t="shared" si="0"/>
        <v>-393</v>
      </c>
      <c r="L31" s="443">
        <f t="shared" si="1"/>
        <v>-3.5923217550274222E-2</v>
      </c>
    </row>
    <row r="32" spans="2:15" s="77" customFormat="1" ht="25.9" customHeight="1" x14ac:dyDescent="0.2">
      <c r="D32" s="585" t="s">
        <v>912</v>
      </c>
      <c r="E32" s="585"/>
      <c r="F32" s="600">
        <f>'Auto-Calibration record'!F65</f>
        <v>3204</v>
      </c>
      <c r="G32" s="600"/>
      <c r="H32" s="596">
        <f>'Auto-Calibration record'!B73</f>
        <v>5210</v>
      </c>
      <c r="I32" s="626"/>
      <c r="J32" s="442">
        <f>'Auto-Calibration record'!I73</f>
        <v>5119</v>
      </c>
      <c r="K32" s="425">
        <f t="shared" si="0"/>
        <v>-91</v>
      </c>
      <c r="L32" s="443">
        <f t="shared" si="1"/>
        <v>-1.7466410748560462E-2</v>
      </c>
    </row>
    <row r="33" spans="2:12" s="77" customFormat="1" ht="25.9" customHeight="1" x14ac:dyDescent="0.2">
      <c r="D33" s="585" t="s">
        <v>913</v>
      </c>
      <c r="E33" s="585"/>
      <c r="F33" s="600">
        <f>'Auto-Calibration record'!G65</f>
        <v>10296</v>
      </c>
      <c r="G33" s="600"/>
      <c r="H33" s="596">
        <f>'Auto-Calibration record'!B74</f>
        <v>611.721</v>
      </c>
      <c r="I33" s="626"/>
      <c r="J33" s="442">
        <f>'Auto-Calibration record'!I74</f>
        <v>593</v>
      </c>
      <c r="K33" s="425">
        <f t="shared" si="0"/>
        <v>-18.721000000000004</v>
      </c>
      <c r="L33" s="443">
        <f t="shared" si="1"/>
        <v>-3.0603821022982706E-2</v>
      </c>
    </row>
    <row r="34" spans="2:12" s="77" customFormat="1" ht="25.9" customHeight="1" x14ac:dyDescent="0.2">
      <c r="D34" s="585" t="s">
        <v>914</v>
      </c>
      <c r="E34" s="585"/>
      <c r="F34" s="600">
        <f>'Auto-Calibration record'!H65</f>
        <v>16082</v>
      </c>
      <c r="G34" s="600"/>
      <c r="H34" s="596">
        <f>'Auto-Calibration record'!B75</f>
        <v>145.303</v>
      </c>
      <c r="I34" s="626"/>
      <c r="J34" s="442">
        <f>'Auto-Calibration record'!I75</f>
        <v>126</v>
      </c>
      <c r="K34" s="425" t="s">
        <v>321</v>
      </c>
      <c r="L34" s="426" t="s">
        <v>321</v>
      </c>
    </row>
    <row r="35" spans="2:12" s="72" customFormat="1" ht="25.9" customHeight="1" x14ac:dyDescent="0.25">
      <c r="D35" s="585" t="s">
        <v>915</v>
      </c>
      <c r="E35" s="585"/>
      <c r="F35" s="601">
        <f>'Auto-Calibration record'!I65</f>
        <v>25407</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82</v>
      </c>
      <c r="F40" s="596"/>
      <c r="G40" s="610" t="e">
        <f>F28/D40</f>
        <v>#DIV/0!</v>
      </c>
      <c r="H40" s="610"/>
      <c r="I40" s="81"/>
      <c r="J40" s="428">
        <f>'Auto-Calibration record'!B11</f>
        <v>35</v>
      </c>
      <c r="K40" s="425">
        <f>F29-J40</f>
        <v>163</v>
      </c>
      <c r="L40" s="429">
        <f>F29/J40</f>
        <v>5.6571428571428575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'Auto-Calibration record'!I68</f>
        <v>1062517</v>
      </c>
      <c r="K28" s="425">
        <f t="shared" ref="K28:K33" si="0">J28-H28</f>
        <v>6177</v>
      </c>
      <c r="L28" s="443">
        <f t="shared" ref="L28:L33" si="1">K28/H28</f>
        <v>5.8475490845750419E-3</v>
      </c>
    </row>
    <row r="29" spans="2:15" s="77" customFormat="1" ht="25.9" customHeight="1" x14ac:dyDescent="0.2">
      <c r="D29" s="585" t="s">
        <v>909</v>
      </c>
      <c r="E29" s="585"/>
      <c r="F29" s="600">
        <f>'Auto-Calibration record'!C65</f>
        <v>198</v>
      </c>
      <c r="G29" s="600"/>
      <c r="H29" s="596">
        <f>'Auto-Calibration record'!B69</f>
        <v>459350</v>
      </c>
      <c r="I29" s="626"/>
      <c r="J29" s="442">
        <f>'Auto-Calibration record'!I69</f>
        <v>459007</v>
      </c>
      <c r="K29" s="425">
        <f t="shared" si="0"/>
        <v>-343</v>
      </c>
      <c r="L29" s="443">
        <f t="shared" si="1"/>
        <v>-7.4670730379884621E-4</v>
      </c>
    </row>
    <row r="30" spans="2:15" s="77" customFormat="1" ht="25.9" customHeight="1" x14ac:dyDescent="0.2">
      <c r="D30" s="585" t="s">
        <v>910</v>
      </c>
      <c r="E30" s="585"/>
      <c r="F30" s="600">
        <f>'Auto-Calibration record'!D65</f>
        <v>1080</v>
      </c>
      <c r="G30" s="600"/>
      <c r="H30" s="596">
        <f>'Auto-Calibration record'!B71</f>
        <v>36410</v>
      </c>
      <c r="I30" s="626"/>
      <c r="J30" s="442">
        <f>'Auto-Calibration record'!I71</f>
        <v>35999</v>
      </c>
      <c r="K30" s="425">
        <f t="shared" si="0"/>
        <v>-411</v>
      </c>
      <c r="L30" s="443">
        <f t="shared" si="1"/>
        <v>-1.1288107662730019E-2</v>
      </c>
    </row>
    <row r="31" spans="2:15" s="77" customFormat="1" ht="25.9" customHeight="1" x14ac:dyDescent="0.2">
      <c r="D31" s="585" t="s">
        <v>911</v>
      </c>
      <c r="E31" s="585"/>
      <c r="F31" s="600">
        <f>'Auto-Calibration record'!E65</f>
        <v>2220</v>
      </c>
      <c r="G31" s="600"/>
      <c r="H31" s="596">
        <f>'Auto-Calibration record'!B72</f>
        <v>10940</v>
      </c>
      <c r="I31" s="626"/>
      <c r="J31" s="442">
        <f>'Auto-Calibration record'!I72</f>
        <v>10547</v>
      </c>
      <c r="K31" s="425">
        <f t="shared" si="0"/>
        <v>-393</v>
      </c>
      <c r="L31" s="443">
        <f t="shared" si="1"/>
        <v>-3.5923217550274222E-2</v>
      </c>
    </row>
    <row r="32" spans="2:15" s="77" customFormat="1" ht="25.9" customHeight="1" x14ac:dyDescent="0.2">
      <c r="D32" s="585" t="s">
        <v>912</v>
      </c>
      <c r="E32" s="585"/>
      <c r="F32" s="600">
        <f>'Auto-Calibration record'!F65</f>
        <v>3204</v>
      </c>
      <c r="G32" s="600"/>
      <c r="H32" s="596">
        <f>'Auto-Calibration record'!B73</f>
        <v>5210</v>
      </c>
      <c r="I32" s="626"/>
      <c r="J32" s="442">
        <f>'Auto-Calibration record'!I73</f>
        <v>5119</v>
      </c>
      <c r="K32" s="425">
        <f t="shared" si="0"/>
        <v>-91</v>
      </c>
      <c r="L32" s="443">
        <f t="shared" si="1"/>
        <v>-1.7466410748560462E-2</v>
      </c>
    </row>
    <row r="33" spans="2:12" s="77" customFormat="1" ht="25.9" customHeight="1" x14ac:dyDescent="0.2">
      <c r="D33" s="585" t="s">
        <v>913</v>
      </c>
      <c r="E33" s="585"/>
      <c r="F33" s="600">
        <f>'Auto-Calibration record'!G65</f>
        <v>10296</v>
      </c>
      <c r="G33" s="600"/>
      <c r="H33" s="596">
        <f>'Auto-Calibration record'!B74</f>
        <v>611.721</v>
      </c>
      <c r="I33" s="626"/>
      <c r="J33" s="442">
        <f>'Auto-Calibration record'!I74</f>
        <v>593</v>
      </c>
      <c r="K33" s="425">
        <f t="shared" si="0"/>
        <v>-18.721000000000004</v>
      </c>
      <c r="L33" s="443">
        <f t="shared" si="1"/>
        <v>-3.0603821022982706E-2</v>
      </c>
    </row>
    <row r="34" spans="2:12" s="77" customFormat="1" ht="25.9" customHeight="1" x14ac:dyDescent="0.2">
      <c r="D34" s="585" t="s">
        <v>914</v>
      </c>
      <c r="E34" s="585"/>
      <c r="F34" s="600">
        <f>'Auto-Calibration record'!H65</f>
        <v>16082</v>
      </c>
      <c r="G34" s="600"/>
      <c r="H34" s="596">
        <f>'Auto-Calibration record'!B75</f>
        <v>145.303</v>
      </c>
      <c r="I34" s="626"/>
      <c r="J34" s="442">
        <f>'Auto-Calibration record'!I75</f>
        <v>126</v>
      </c>
      <c r="K34" s="425" t="s">
        <v>321</v>
      </c>
      <c r="L34" s="426" t="s">
        <v>321</v>
      </c>
    </row>
    <row r="35" spans="2:12" s="72" customFormat="1" ht="25.9" customHeight="1" x14ac:dyDescent="0.25">
      <c r="D35" s="585" t="s">
        <v>915</v>
      </c>
      <c r="E35" s="585"/>
      <c r="F35" s="601">
        <f>'Auto-Calibration record'!I65</f>
        <v>25407</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82</v>
      </c>
      <c r="F40" s="596"/>
      <c r="G40" s="610" t="e">
        <f>F28/D40</f>
        <v>#DIV/0!</v>
      </c>
      <c r="H40" s="610"/>
      <c r="I40" s="81"/>
      <c r="J40" s="428">
        <f>'Auto-Calibration record'!B11</f>
        <v>35</v>
      </c>
      <c r="K40" s="425">
        <f>F29-J40</f>
        <v>163</v>
      </c>
      <c r="L40" s="429">
        <f>F29/J40</f>
        <v>5.6571428571428575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'MP Calibration Certificate'!J28</f>
        <v>1062517</v>
      </c>
      <c r="K28" s="425">
        <f t="shared" ref="K28:K33" si="0">J28-H28</f>
        <v>6177</v>
      </c>
      <c r="L28" s="443">
        <f t="shared" ref="L28:L33" si="1">K28/H28</f>
        <v>5.8475490845750419E-3</v>
      </c>
    </row>
    <row r="29" spans="2:15" s="77" customFormat="1" ht="25.9" customHeight="1" x14ac:dyDescent="0.2">
      <c r="D29" s="585" t="s">
        <v>909</v>
      </c>
      <c r="E29" s="585"/>
      <c r="F29" s="600">
        <f>'Auto-Calibration record'!C65</f>
        <v>198</v>
      </c>
      <c r="G29" s="600"/>
      <c r="H29" s="596">
        <f>'Auto-Calibration record'!B69</f>
        <v>459350</v>
      </c>
      <c r="I29" s="626"/>
      <c r="J29" s="442">
        <f>'MP Calibration Certificate'!J29</f>
        <v>459007</v>
      </c>
      <c r="K29" s="425">
        <f t="shared" si="0"/>
        <v>-343</v>
      </c>
      <c r="L29" s="443">
        <f t="shared" si="1"/>
        <v>-7.4670730379884621E-4</v>
      </c>
    </row>
    <row r="30" spans="2:15" s="77" customFormat="1" ht="25.9" customHeight="1" x14ac:dyDescent="0.2">
      <c r="D30" s="585" t="s">
        <v>910</v>
      </c>
      <c r="E30" s="585"/>
      <c r="F30" s="600">
        <f>'Auto-Calibration record'!D65</f>
        <v>1080</v>
      </c>
      <c r="G30" s="600"/>
      <c r="H30" s="596">
        <f>'Auto-Calibration record'!B71</f>
        <v>36410</v>
      </c>
      <c r="I30" s="626"/>
      <c r="J30" s="442">
        <f>'MP Calibration Certificate'!J30</f>
        <v>35999</v>
      </c>
      <c r="K30" s="425">
        <f t="shared" si="0"/>
        <v>-411</v>
      </c>
      <c r="L30" s="443">
        <f t="shared" si="1"/>
        <v>-1.1288107662730019E-2</v>
      </c>
    </row>
    <row r="31" spans="2:15" s="77" customFormat="1" ht="25.9" customHeight="1" x14ac:dyDescent="0.2">
      <c r="D31" s="585" t="s">
        <v>911</v>
      </c>
      <c r="E31" s="585"/>
      <c r="F31" s="600">
        <f>'Auto-Calibration record'!E65</f>
        <v>2220</v>
      </c>
      <c r="G31" s="600"/>
      <c r="H31" s="596">
        <f>'Auto-Calibration record'!B72</f>
        <v>10940</v>
      </c>
      <c r="I31" s="626"/>
      <c r="J31" s="442">
        <f>'MP Calibration Certificate'!J31</f>
        <v>10547</v>
      </c>
      <c r="K31" s="425">
        <f t="shared" si="0"/>
        <v>-393</v>
      </c>
      <c r="L31" s="443">
        <f t="shared" si="1"/>
        <v>-3.5923217550274222E-2</v>
      </c>
    </row>
    <row r="32" spans="2:15" s="77" customFormat="1" ht="25.9" customHeight="1" x14ac:dyDescent="0.2">
      <c r="D32" s="585" t="s">
        <v>912</v>
      </c>
      <c r="E32" s="585"/>
      <c r="F32" s="600">
        <f>'Auto-Calibration record'!F65</f>
        <v>3204</v>
      </c>
      <c r="G32" s="600"/>
      <c r="H32" s="596">
        <f>'Auto-Calibration record'!B73</f>
        <v>5210</v>
      </c>
      <c r="I32" s="626"/>
      <c r="J32" s="442">
        <f>'MP Calibration Certificate'!J32</f>
        <v>5119</v>
      </c>
      <c r="K32" s="425">
        <f t="shared" si="0"/>
        <v>-91</v>
      </c>
      <c r="L32" s="443">
        <f t="shared" si="1"/>
        <v>-1.7466410748560462E-2</v>
      </c>
    </row>
    <row r="33" spans="2:12" s="77" customFormat="1" ht="25.9" customHeight="1" x14ac:dyDescent="0.2">
      <c r="D33" s="585" t="s">
        <v>913</v>
      </c>
      <c r="E33" s="585"/>
      <c r="F33" s="600">
        <f>'Auto-Calibration record'!G65</f>
        <v>10296</v>
      </c>
      <c r="G33" s="600"/>
      <c r="H33" s="596">
        <f>'Auto-Calibration record'!B74</f>
        <v>611.721</v>
      </c>
      <c r="I33" s="626"/>
      <c r="J33" s="442">
        <f>'MP Calibration Certificate'!J33</f>
        <v>593</v>
      </c>
      <c r="K33" s="425">
        <f t="shared" si="0"/>
        <v>-18.721000000000004</v>
      </c>
      <c r="L33" s="443">
        <f t="shared" si="1"/>
        <v>-3.0603821022982706E-2</v>
      </c>
    </row>
    <row r="34" spans="2:12" s="77" customFormat="1" ht="25.9" customHeight="1" x14ac:dyDescent="0.2">
      <c r="D34" s="585" t="s">
        <v>914</v>
      </c>
      <c r="E34" s="585"/>
      <c r="F34" s="600">
        <f>'Auto-Calibration record'!H65</f>
        <v>16082</v>
      </c>
      <c r="G34" s="600"/>
      <c r="H34" s="596">
        <f>'Auto-Calibration record'!B75</f>
        <v>145.303</v>
      </c>
      <c r="I34" s="626"/>
      <c r="J34" s="442">
        <f>'MP Calibration Certificate'!J34</f>
        <v>126</v>
      </c>
      <c r="K34" s="425" t="s">
        <v>321</v>
      </c>
      <c r="L34" s="426" t="s">
        <v>321</v>
      </c>
    </row>
    <row r="35" spans="2:12" s="72" customFormat="1" ht="25.9" customHeight="1" x14ac:dyDescent="0.25">
      <c r="D35" s="585" t="s">
        <v>915</v>
      </c>
      <c r="E35" s="585"/>
      <c r="F35" s="601">
        <f>'Auto-Calibration record'!I65</f>
        <v>25407</v>
      </c>
      <c r="G35" s="601"/>
      <c r="H35" s="596">
        <f>'Auto-Calibration record'!B76</f>
        <v>24.939</v>
      </c>
      <c r="I35" s="626"/>
      <c r="J35" s="442">
        <f>'MP Calibration Certificate'!J35</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82</v>
      </c>
      <c r="F40" s="596"/>
      <c r="G40" s="610" t="e">
        <f>F28/D40</f>
        <v>#DIV/0!</v>
      </c>
      <c r="H40" s="610"/>
      <c r="I40" s="81"/>
      <c r="J40" s="428">
        <f>'Auto-Calibration record'!B11</f>
        <v>35</v>
      </c>
      <c r="K40" s="425">
        <f>F29-J40</f>
        <v>163</v>
      </c>
      <c r="L40" s="429">
        <f>F29/J40</f>
        <v>5.6571428571428575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626"/>
      <c r="J28" s="442">
        <f>'Auto-Calibration record'!I68</f>
        <v>1062517</v>
      </c>
      <c r="K28" s="425">
        <f t="shared" ref="K28:K33" si="0">J28-H28</f>
        <v>6177</v>
      </c>
      <c r="L28" s="443">
        <f t="shared" ref="L28:L33" si="1">K28/H28</f>
        <v>5.8475490845750419E-3</v>
      </c>
    </row>
    <row r="29" spans="2:15" s="77" customFormat="1" ht="25.9" customHeight="1" x14ac:dyDescent="0.2">
      <c r="D29" s="585" t="s">
        <v>909</v>
      </c>
      <c r="E29" s="585"/>
      <c r="F29" s="600">
        <f>'Auto-Calibration record'!C65</f>
        <v>198</v>
      </c>
      <c r="G29" s="600"/>
      <c r="H29" s="596">
        <f>'Auto-Calibration record'!B69</f>
        <v>459350</v>
      </c>
      <c r="I29" s="626"/>
      <c r="J29" s="442">
        <f>'Auto-Calibration record'!I69</f>
        <v>459007</v>
      </c>
      <c r="K29" s="425">
        <f t="shared" si="0"/>
        <v>-343</v>
      </c>
      <c r="L29" s="443">
        <f t="shared" si="1"/>
        <v>-7.4670730379884621E-4</v>
      </c>
    </row>
    <row r="30" spans="2:15" s="77" customFormat="1" ht="25.9" customHeight="1" x14ac:dyDescent="0.2">
      <c r="D30" s="585" t="s">
        <v>910</v>
      </c>
      <c r="E30" s="585"/>
      <c r="F30" s="600">
        <f>'Auto-Calibration record'!D65</f>
        <v>1080</v>
      </c>
      <c r="G30" s="600"/>
      <c r="H30" s="596">
        <f>'Auto-Calibration record'!B71</f>
        <v>36410</v>
      </c>
      <c r="I30" s="626"/>
      <c r="J30" s="442">
        <f>'Auto-Calibration record'!I71</f>
        <v>35999</v>
      </c>
      <c r="K30" s="425">
        <f t="shared" si="0"/>
        <v>-411</v>
      </c>
      <c r="L30" s="443">
        <f t="shared" si="1"/>
        <v>-1.1288107662730019E-2</v>
      </c>
    </row>
    <row r="31" spans="2:15" s="77" customFormat="1" ht="25.9" customHeight="1" x14ac:dyDescent="0.2">
      <c r="D31" s="585" t="s">
        <v>911</v>
      </c>
      <c r="E31" s="585"/>
      <c r="F31" s="600">
        <f>'Auto-Calibration record'!E65</f>
        <v>2220</v>
      </c>
      <c r="G31" s="600"/>
      <c r="H31" s="596">
        <f>'Auto-Calibration record'!B72</f>
        <v>10940</v>
      </c>
      <c r="I31" s="626"/>
      <c r="J31" s="442">
        <f>'Auto-Calibration record'!I72</f>
        <v>10547</v>
      </c>
      <c r="K31" s="425">
        <f t="shared" si="0"/>
        <v>-393</v>
      </c>
      <c r="L31" s="443">
        <f t="shared" si="1"/>
        <v>-3.5923217550274222E-2</v>
      </c>
    </row>
    <row r="32" spans="2:15" s="77" customFormat="1" ht="25.9" customHeight="1" x14ac:dyDescent="0.2">
      <c r="D32" s="585" t="s">
        <v>912</v>
      </c>
      <c r="E32" s="585"/>
      <c r="F32" s="600">
        <f>'Auto-Calibration record'!F65</f>
        <v>3204</v>
      </c>
      <c r="G32" s="600"/>
      <c r="H32" s="596">
        <f>'Auto-Calibration record'!B73</f>
        <v>5210</v>
      </c>
      <c r="I32" s="626"/>
      <c r="J32" s="442">
        <f>'Auto-Calibration record'!I73</f>
        <v>5119</v>
      </c>
      <c r="K32" s="425">
        <f t="shared" si="0"/>
        <v>-91</v>
      </c>
      <c r="L32" s="443">
        <f t="shared" si="1"/>
        <v>-1.7466410748560462E-2</v>
      </c>
    </row>
    <row r="33" spans="2:12" s="77" customFormat="1" ht="25.9" customHeight="1" x14ac:dyDescent="0.2">
      <c r="D33" s="585" t="s">
        <v>913</v>
      </c>
      <c r="E33" s="585"/>
      <c r="F33" s="600">
        <f>'Auto-Calibration record'!G65</f>
        <v>10296</v>
      </c>
      <c r="G33" s="600"/>
      <c r="H33" s="596">
        <f>'Auto-Calibration record'!B74</f>
        <v>611.721</v>
      </c>
      <c r="I33" s="626"/>
      <c r="J33" s="442">
        <f>'Auto-Calibration record'!I74</f>
        <v>593</v>
      </c>
      <c r="K33" s="425">
        <f t="shared" si="0"/>
        <v>-18.721000000000004</v>
      </c>
      <c r="L33" s="443">
        <f t="shared" si="1"/>
        <v>-3.0603821022982706E-2</v>
      </c>
    </row>
    <row r="34" spans="2:12" s="77" customFormat="1" ht="25.9" customHeight="1" x14ac:dyDescent="0.2">
      <c r="D34" s="585" t="s">
        <v>914</v>
      </c>
      <c r="E34" s="585"/>
      <c r="F34" s="600">
        <f>'Auto-Calibration record'!H65</f>
        <v>16082</v>
      </c>
      <c r="G34" s="600"/>
      <c r="H34" s="596">
        <f>'Auto-Calibration record'!B75</f>
        <v>145.303</v>
      </c>
      <c r="I34" s="626"/>
      <c r="J34" s="442">
        <f>'Auto-Calibration record'!I75</f>
        <v>126</v>
      </c>
      <c r="K34" s="425" t="s">
        <v>321</v>
      </c>
      <c r="L34" s="426" t="s">
        <v>321</v>
      </c>
    </row>
    <row r="35" spans="2:12" s="72" customFormat="1" ht="25.9" customHeight="1" x14ac:dyDescent="0.25">
      <c r="D35" s="585" t="s">
        <v>915</v>
      </c>
      <c r="E35" s="585"/>
      <c r="F35" s="601">
        <f>'Auto-Calibration record'!I65</f>
        <v>25407</v>
      </c>
      <c r="G35" s="601"/>
      <c r="H35" s="596">
        <f>'Auto-Calibration record'!B76</f>
        <v>24.939</v>
      </c>
      <c r="I35" s="626"/>
      <c r="J35" s="442">
        <f>'Auto-Calibration record'!I76</f>
        <v>37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82</v>
      </c>
      <c r="F40" s="626"/>
      <c r="G40" s="639" t="e">
        <f>F28/D40</f>
        <v>#DIV/0!</v>
      </c>
      <c r="H40" s="639"/>
      <c r="I40" s="81"/>
      <c r="J40" s="428">
        <f>'Auto-Calibration record'!B11</f>
        <v>35</v>
      </c>
      <c r="K40" s="441">
        <f>F29-J40</f>
        <v>163</v>
      </c>
      <c r="L40" s="445">
        <f>F29/J40</f>
        <v>5.6571428571428575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82</v>
      </c>
      <c r="G28" s="600"/>
      <c r="H28" s="596">
        <f>'Auto-Calibration record'!B68</f>
        <v>1056340</v>
      </c>
      <c r="I28" s="596"/>
      <c r="J28" s="425">
        <f>'Auto-Calibration record'!I68</f>
        <v>1062517</v>
      </c>
      <c r="K28" s="425">
        <f t="shared" ref="K28:K35" si="0">J28-H28</f>
        <v>6177</v>
      </c>
      <c r="L28" s="383">
        <f t="shared" ref="L28:L35" si="1">K28/H28</f>
        <v>5.8475490845750419E-3</v>
      </c>
    </row>
    <row r="29" spans="2:15" s="77" customFormat="1" ht="25.9" customHeight="1" x14ac:dyDescent="0.2">
      <c r="D29" s="585" t="s">
        <v>909</v>
      </c>
      <c r="E29" s="585"/>
      <c r="F29" s="600">
        <f>'Auto-Calibration record'!C65</f>
        <v>198</v>
      </c>
      <c r="G29" s="600"/>
      <c r="H29" s="596">
        <f>'Auto-Calibration record'!B69</f>
        <v>459350</v>
      </c>
      <c r="I29" s="596"/>
      <c r="J29" s="425">
        <f>'Auto-Calibration record'!I69</f>
        <v>459007</v>
      </c>
      <c r="K29" s="425">
        <f t="shared" si="0"/>
        <v>-343</v>
      </c>
      <c r="L29" s="383">
        <f t="shared" si="1"/>
        <v>-7.4670730379884621E-4</v>
      </c>
    </row>
    <row r="30" spans="2:15" s="77" customFormat="1" ht="25.9" customHeight="1" x14ac:dyDescent="0.2">
      <c r="D30" s="585" t="s">
        <v>910</v>
      </c>
      <c r="E30" s="585"/>
      <c r="F30" s="600">
        <f>'Auto-Calibration record'!D65</f>
        <v>1080</v>
      </c>
      <c r="G30" s="600"/>
      <c r="H30" s="596">
        <f>'Auto-Calibration record'!B71</f>
        <v>36410</v>
      </c>
      <c r="I30" s="596"/>
      <c r="J30" s="425">
        <f>'Auto-Calibration record'!I71</f>
        <v>35999</v>
      </c>
      <c r="K30" s="425">
        <f t="shared" si="0"/>
        <v>-411</v>
      </c>
      <c r="L30" s="383">
        <f t="shared" si="1"/>
        <v>-1.1288107662730019E-2</v>
      </c>
    </row>
    <row r="31" spans="2:15" s="77" customFormat="1" ht="25.9" customHeight="1" x14ac:dyDescent="0.2">
      <c r="D31" s="585" t="s">
        <v>911</v>
      </c>
      <c r="E31" s="585"/>
      <c r="F31" s="600">
        <f>'Auto-Calibration record'!E65</f>
        <v>2220</v>
      </c>
      <c r="G31" s="600"/>
      <c r="H31" s="596">
        <f>'Auto-Calibration record'!B72</f>
        <v>10940</v>
      </c>
      <c r="I31" s="596"/>
      <c r="J31" s="425">
        <f>'Auto-Calibration record'!I72</f>
        <v>10547</v>
      </c>
      <c r="K31" s="425">
        <f t="shared" si="0"/>
        <v>-393</v>
      </c>
      <c r="L31" s="383">
        <f t="shared" si="1"/>
        <v>-3.5923217550274222E-2</v>
      </c>
    </row>
    <row r="32" spans="2:15" s="77" customFormat="1" ht="25.9" customHeight="1" x14ac:dyDescent="0.2">
      <c r="D32" s="585" t="s">
        <v>912</v>
      </c>
      <c r="E32" s="585"/>
      <c r="F32" s="600">
        <f>'Auto-Calibration record'!F65</f>
        <v>3204</v>
      </c>
      <c r="G32" s="600"/>
      <c r="H32" s="596">
        <f>'Auto-Calibration record'!B73</f>
        <v>5210</v>
      </c>
      <c r="I32" s="596"/>
      <c r="J32" s="425">
        <f>'Auto-Calibration record'!I73</f>
        <v>5119</v>
      </c>
      <c r="K32" s="425">
        <f t="shared" si="0"/>
        <v>-91</v>
      </c>
      <c r="L32" s="383">
        <f t="shared" si="1"/>
        <v>-1.7466410748560462E-2</v>
      </c>
    </row>
    <row r="33" spans="2:12" s="77" customFormat="1" ht="25.9" customHeight="1" x14ac:dyDescent="0.2">
      <c r="D33" s="585" t="s">
        <v>913</v>
      </c>
      <c r="E33" s="585"/>
      <c r="F33" s="600">
        <f>'Auto-Calibration record'!G65</f>
        <v>10296</v>
      </c>
      <c r="G33" s="600"/>
      <c r="H33" s="596">
        <f>'Auto-Calibration record'!B74</f>
        <v>611.721</v>
      </c>
      <c r="I33" s="596"/>
      <c r="J33" s="425">
        <f>'Auto-Calibration record'!I74</f>
        <v>593</v>
      </c>
      <c r="K33" s="425">
        <f t="shared" si="0"/>
        <v>-18.721000000000004</v>
      </c>
      <c r="L33" s="383">
        <f t="shared" si="1"/>
        <v>-3.0603821022982706E-2</v>
      </c>
    </row>
    <row r="34" spans="2:12" s="77" customFormat="1" ht="25.9" customHeight="1" x14ac:dyDescent="0.2">
      <c r="D34" s="585" t="s">
        <v>1006</v>
      </c>
      <c r="E34" s="585"/>
      <c r="F34" s="600">
        <f>'Auto-Calibration record'!H65</f>
        <v>16082</v>
      </c>
      <c r="G34" s="600"/>
      <c r="H34" s="596">
        <f>'Auto-Calibration record'!B75</f>
        <v>145.303</v>
      </c>
      <c r="I34" s="596"/>
      <c r="J34" s="425">
        <f>'Auto-Calibration record'!I75</f>
        <v>126</v>
      </c>
      <c r="K34" s="425">
        <f t="shared" si="0"/>
        <v>-19.302999999999997</v>
      </c>
      <c r="L34" s="383">
        <f t="shared" si="1"/>
        <v>-0.13284653448311459</v>
      </c>
    </row>
    <row r="35" spans="2:12" s="72" customFormat="1" ht="25.9" customHeight="1" x14ac:dyDescent="0.25">
      <c r="D35" s="585" t="s">
        <v>1007</v>
      </c>
      <c r="E35" s="585"/>
      <c r="F35" s="601">
        <f>'Auto-Calibration record'!I65</f>
        <v>25407</v>
      </c>
      <c r="G35" s="601"/>
      <c r="H35" s="596">
        <f>'Auto-Calibration record'!B76</f>
        <v>24.939</v>
      </c>
      <c r="I35" s="596"/>
      <c r="J35" s="427">
        <f>'Auto-Calibration record'!I76</f>
        <v>37</v>
      </c>
      <c r="K35" s="425">
        <f t="shared" si="0"/>
        <v>12.061</v>
      </c>
      <c r="L35" s="383">
        <f t="shared" si="1"/>
        <v>0.48362003288022776</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35</v>
      </c>
      <c r="E40" s="596">
        <f>F28-D40</f>
        <v>47</v>
      </c>
      <c r="F40" s="596"/>
      <c r="G40" s="610">
        <f>F28/D40</f>
        <v>2.342857142857143</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46191.5</v>
      </c>
    </row>
    <row r="4" spans="1:8" ht="19.5" customHeight="1" x14ac:dyDescent="0.25">
      <c r="A4" s="479"/>
      <c r="B4" s="447" t="s">
        <v>543</v>
      </c>
      <c r="C4" s="448">
        <f>VLOOKUP("serial_number",AUTO!$A$1:$B$1051,2,FALSE)</f>
        <v>63010078</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63010078</v>
      </c>
      <c r="D6" s="449"/>
      <c r="E6" s="452" t="s">
        <v>1015</v>
      </c>
      <c r="F6" s="450"/>
      <c r="G6" s="450"/>
      <c r="H6" s="450" t="s">
        <v>1016</v>
      </c>
    </row>
    <row r="7" spans="1:8" ht="19.5" customHeight="1" x14ac:dyDescent="0.25">
      <c r="A7" s="467" t="s">
        <v>1017</v>
      </c>
      <c r="B7" s="467"/>
      <c r="C7" s="448">
        <f>VLOOKUP("no_noise_threshold",AUTO!$A$1:$B$1051,2,FALSE)</f>
        <v>35</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1062517</v>
      </c>
      <c r="E19" s="448">
        <f>VLOOKUP("threshold32_0_sz",AUTO!$A$1:$B$1051,2,FALSE)</f>
        <v>4</v>
      </c>
      <c r="F19" s="448">
        <f>VLOOKUP("reference_count_0",AUTO!$A$1:$B$1051,2,FALSE)</f>
        <v>1056340</v>
      </c>
      <c r="G19" s="460">
        <f>VLOOKUP("threshold32_0_value",AUTO!$A$1:$B$1051,2,FALSE)</f>
        <v>82</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459007</v>
      </c>
      <c r="E20" s="448">
        <f>VLOOKUP("threshold32_2_sz",AUTO!$A$1:$B$1051,2,FALSE)</f>
        <v>6</v>
      </c>
      <c r="F20" s="448">
        <f>VLOOKUP("reference_count_1",AUTO!$A$1:$B$1051,2,FALSE)</f>
        <v>459350</v>
      </c>
      <c r="G20" s="460">
        <f>VLOOKUP("threshold32_2_value",AUTO!$A$1:$B$1051,2,FALSE)</f>
        <v>198</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107018</v>
      </c>
      <c r="E21" s="448">
        <f>VLOOKUP("threshold32_6_sz",AUTO!$A$1:$B$1051,2,FALSE)</f>
        <v>10</v>
      </c>
      <c r="F21" s="448">
        <f>VLOOKUP("reference_count32_6",AUTO!$A$1:$B$1051,2,FALSE)*100</f>
        <v>106950</v>
      </c>
      <c r="G21" s="460">
        <f>VLOOKUP("threshold32_6_value",AUTO!$A$1:$B$1051,2,FALSE)</f>
        <v>556</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35999</v>
      </c>
      <c r="E22" s="448">
        <f>VLOOKUP("threshold32_10_sz",AUTO!$A$1:$B$1051,2,FALSE)</f>
        <v>14</v>
      </c>
      <c r="F22" s="448">
        <f>VLOOKUP("reference_count_2",AUTO!$A$1:$B$1051,2,FALSE)</f>
        <v>36410</v>
      </c>
      <c r="G22" s="460">
        <f>VLOOKUP("threshold32_10_value",AUTO!$A$1:$B$1051,2,FALSE)</f>
        <v>1080</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10547</v>
      </c>
      <c r="E23" s="448">
        <f>VLOOKUP("threshold32_17_sz",AUTO!$A$1:$B$1051,2,FALSE)</f>
        <v>21</v>
      </c>
      <c r="F23" s="448">
        <f>VLOOKUP("reference_count_3",AUTO!$A$1:$B$1051,2,FALSE)</f>
        <v>10940</v>
      </c>
      <c r="G23" s="460">
        <f>VLOOKUP("threshold32_17_value",AUTO!$A$1:$B$1051,2,FALSE)</f>
        <v>2220</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5119</v>
      </c>
      <c r="E24" s="448">
        <f>VLOOKUP("threshold32_21_sz",AUTO!$A$1:$B$1051,2,FALSE)</f>
        <v>25</v>
      </c>
      <c r="F24" s="448">
        <f>VLOOKUP("reference_count_4",AUTO!$A$1:$B$1051,2,FALSE)</f>
        <v>5210</v>
      </c>
      <c r="G24" s="460">
        <f>VLOOKUP("threshold32_21_value",AUTO!$A$1:$B$1051,2,FALSE)</f>
        <v>3204</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593</v>
      </c>
      <c r="E25" s="448">
        <f>VLOOKUP("threshold32_27_sz",AUTO!$A$1:$B$1051,2,FALSE)</f>
        <v>38</v>
      </c>
      <c r="F25" s="448">
        <f>VLOOKUP("reference_count_5",AUTO!$A$1:$B$1051,2,FALSE)</f>
        <v>611.721</v>
      </c>
      <c r="G25" s="460">
        <f>VLOOKUP("threshold32_27_value",AUTO!$A$1:$B$1051,2,FALSE)</f>
        <v>10296</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126</v>
      </c>
      <c r="E26" s="448">
        <f>VLOOKUP("threshold32_28_sz",AUTO!$A$1:$B$1051,2,FALSE)</f>
        <v>50</v>
      </c>
      <c r="F26" s="448">
        <f>VLOOKUP("reference_count_6",AUTO!$A$1:$B$1051,2,FALSE)</f>
        <v>145.303</v>
      </c>
      <c r="G26" s="460">
        <f>VLOOKUP("threshold32_28_value",AUTO!$A$1:$B$1051,2,FALSE)</f>
        <v>16082</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37</v>
      </c>
      <c r="E27" s="448">
        <f>VLOOKUP("threshold32_29_sz",AUTO!$A$1:$B$1051,2,FALSE)</f>
        <v>70</v>
      </c>
      <c r="F27" s="448">
        <f>VLOOKUP("reference_count_7",AUTO!$A$1:$B$1051,2,FALSE)</f>
        <v>24.939</v>
      </c>
      <c r="G27" s="460">
        <f>VLOOKUP("threshold32_29_value",AUTO!$A$1:$B$1051,2,FALSE)</f>
        <v>25407</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63010078</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63010078</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35</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82</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198</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556</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1080</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2220</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3204</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10296</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16082</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25407</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2026-06-18T11:40:25Z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