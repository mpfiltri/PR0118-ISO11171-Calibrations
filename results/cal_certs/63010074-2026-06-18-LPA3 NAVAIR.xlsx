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7A7585EF-5BDD-453D-891B-4C7622219640}" xr6:coauthVersionLast="47" xr6:coauthVersionMax="47" xr10:uidLastSave="{00000000-0000-0000-0000-000000000000}"/>
  <bookViews>
    <workbookView xWindow="-120" yWindow="-120" windowWidth="29040" windowHeight="15840"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C28" i="112"/>
  <c r="G28" i="112" s="1"/>
  <c r="C27" i="112"/>
  <c r="G27" i="112" s="1"/>
  <c r="E18" i="112"/>
  <c r="E17" i="112"/>
  <c r="E16" i="112"/>
  <c r="E15" i="112"/>
  <c r="E14" i="112"/>
  <c r="E13" i="112"/>
  <c r="E12" i="112"/>
  <c r="H35" i="112"/>
  <c r="E35" i="112"/>
  <c r="H34" i="112"/>
  <c r="E34" i="112"/>
  <c r="H33" i="112"/>
  <c r="E33" i="112"/>
  <c r="E32" i="112"/>
  <c r="E31" i="112"/>
  <c r="E30" i="112"/>
  <c r="G29"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H19" i="86"/>
  <c r="O19" i="108" s="1"/>
  <c r="H16" i="86"/>
  <c r="O18" i="108" s="1"/>
  <c r="B11" i="86"/>
  <c r="D40" i="85" s="1"/>
  <c r="B5" i="86"/>
  <c r="B12" i="86"/>
  <c r="D5" i="103" l="1"/>
  <c r="D18" i="108"/>
  <c r="D70" i="86"/>
  <c r="D40" i="108"/>
  <c r="G40" i="108" s="1"/>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<sst xmlns="http://schemas.openxmlformats.org/spreadsheetml/2006/main" count="12121" uniqueCount="1049">
  <si>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</si>
  <si>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</si>
  <si>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</si>
  <si>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</si>
  <si>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</si>
  <si>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</si>
  <si>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</si>
  <si>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</si>
  <si>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</si>
  <si>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</si>
  <si>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</si>
  <si>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</si>
  <si>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</si>
  <si>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</si>
  <si>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</si>
  <si>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</si>
  <si>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</si>
  <si>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</si>
  <si>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</si>
  <si>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</si>
  <si>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</si>
  <si>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</si>
  <si>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</si>
  <si>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</si>
  <si>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</si>
  <si>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</si>
  <si>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</si>
  <si>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</si>
  <si>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</si>
  <si>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</si>
  <si>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</si>
  <si>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</si>
  <si>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</si>
  <si>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</si>
  <si>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</si>
  <si>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</si>
  <si>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</si>
  <si>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</si>
  <si>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</si>
  <si>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</si>
  <si>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</si>
  <si>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</si>
  <si>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</si>
  <si>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</si>
  <si>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</si>
  <si>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</si>
  <si>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</si>
  <si>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</si>
  <si>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</si>
  <si>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</si>
  <si>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</si>
  <si>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</si>
  <si>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</si>
  <si>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</si>
  <si>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</si>
  <si>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</si>
  <si>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</si>
  <si>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</si>
  <si>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</si>
  <si>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</si>
  <si>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</si>
  <si>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</si>
  <si>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</si>
  <si>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</si>
  <si>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</si>
  <si>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</si>
  <si>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</si>
  <si>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</si>
  <si>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</si>
  <si>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</si>
  <si>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</si>
  <si>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</si>
  <si>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</si>
  <si>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</si>
  <si>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</si>
  <si>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</si>
  <si>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</si>
  <si>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</si>
  <si>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</si>
  <si>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</si>
  <si>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</si>
  <si>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</si>
  <si>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</si>
  <si>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</si>
  <si>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</si>
  <si>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</si>
  <si>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</si>
  <si>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</si>
  <si>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</si>
  <si>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</si>
  <si>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</si>
  <si>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</si>
  <si>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</si>
  <si>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</si>
  <si>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</si>
  <si>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</si>
  <si>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</si>
  <si>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</si>
  <si>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</si>
  <si>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</si>
  <si>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</si>
  <si>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</si>
  <si>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</si>
  <si>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</si>
  <si>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</si>
  <si>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</si>
  <si>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</si>
  <si>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</si>
  <si>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</si>
  <si>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</si>
  <si>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</si>
  <si>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</si>
  <si>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</si>
  <si>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</si>
  <si>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</si>
  <si>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</si>
  <si>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</si>
  <si>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</si>
  <si>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</si>
  <si>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</si>
  <si>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</si>
  <si>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</si>
  <si>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</si>
  <si>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</si>
  <si>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</si>
  <si>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</si>
  <si>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</si>
  <si>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</si>
  <si>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</si>
  <si>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</si>
  <si>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</si>
  <si>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</si>
  <si>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</si>
  <si>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</si>
  <si>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</si>
  <si>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</si>
  <si>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</si>
  <si>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</si>
  <si>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</si>
  <si>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</si>
  <si>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</si>
  <si>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</si>
  <si>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</si>
  <si>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</si>
  <si>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</si>
  <si>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</si>
  <si>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</si>
  <si>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</si>
  <si>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</si>
  <si>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</si>
  <si>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</si>
  <si>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</si>
  <si>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</si>
  <si>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</si>
  <si>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</si>
  <si>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</si>
  <si>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</si>
  <si>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</si>
  <si>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</si>
  <si>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</si>
  <si>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</si>
  <si>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</si>
  <si>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</si>
  <si>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</si>
  <si>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</si>
  <si>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</si>
  <si>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</si>
  <si>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</si>
  <si>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</si>
  <si>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</si>
  <si>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</si>
  <si>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</si>
  <si>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</si>
  <si>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</si>
  <si>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</si>
  <si>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</si>
  <si>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</si>
  <si>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</si>
  <si>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</si>
  <si>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</si>
  <si>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</si>
  <si>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</si>
  <si>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</si>
  <si>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</si>
  <si>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</si>
  <si>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</si>
  <si>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</si>
  <si>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</si>
  <si>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</si>
  <si>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</si>
  <si>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</si>
  <si>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</si>
  <si>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</si>
  <si>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</si>
  <si>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</si>
  <si>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</si>
  <si>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</si>
  <si>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</si>
  <si>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</si>
  <si>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</si>
  <si>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</si>
  <si>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</si>
  <si>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</si>
  <si>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</si>
  <si>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</si>
  <si>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</si>
  <si>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</si>
  <si>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</si>
  <si>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</si>
  <si>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</si>
  <si>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</si>
  <si>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</si>
  <si>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</si>
  <si>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</si>
  <si>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</si>
  <si>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</si>
  <si>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</si>
  <si>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</si>
  <si>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</si>
  <si>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</si>
  <si>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</si>
  <si>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</si>
  <si>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</si>
  <si>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</si>
  <si>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</si>
  <si>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</si>
  <si>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</si>
  <si>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</si>
  <si>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</si>
  <si>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</si>
  <si>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</si>
  <si>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</si>
  <si>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</si>
  <si>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</si>
  <si>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</si>
  <si>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</si>
  <si>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</si>
  <si>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</si>
  <si>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</si>
  <si>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</si>
  <si>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</si>
  <si>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</si>
  <si>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</si>
  <si>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</si>
  <si>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</si>
  <si>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</si>
  <si>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</si>
  <si>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</si>
  <si>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</si>
  <si>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</si>
  <si>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</si>
  <si>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</si>
  <si>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</si>
  <si>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</si>
  <si>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</si>
  <si>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</si>
  <si>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</si>
  <si>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</si>
  <si>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</si>
  <si>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</si>
  <si>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</si>
  <si>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</si>
  <si>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</si>
  <si>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</si>
  <si>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</si>
  <si>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</si>
  <si>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</si>
  <si>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</si>
  <si>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</si>
  <si>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</si>
  <si>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</si>
  <si>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</si>
  <si>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</si>
  <si>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</si>
  <si>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</si>
  <si>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</si>
  <si>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</si>
  <si>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</si>
  <si>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</si>
  <si>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</si>
  <si>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</si>
  <si>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</si>
  <si>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</si>
  <si>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</si>
  <si>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</si>
  <si>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</si>
  <si>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</si>
  <si>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</si>
  <si>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</si>
  <si>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</si>
  <si>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</si>
  <si>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</si>
  <si>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</si>
  <si>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</si>
  <si>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</si>
  <si>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</si>
  <si>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</si>
  <si>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</si>
  <si>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</si>
  <si>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</si>
  <si>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</si>
  <si>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</si>
  <si>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</si>
  <si>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</si>
  <si>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</si>
  <si>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</si>
  <si>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</si>
  <si>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</si>
  <si>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</si>
  <si>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</si>
  <si>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</si>
  <si>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</si>
  <si>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</si>
  <si>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</si>
  <si>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</si>
  <si>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</si>
  <si>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</si>
  <si>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</si>
  <si>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</si>
  <si>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</si>
  <si>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</si>
  <si>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</si>
  <si>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</si>
  <si>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</si>
  <si>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</si>
  <si>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</si>
  <si>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</si>
  <si>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</si>
  <si>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</si>
  <si>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</si>
  <si>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</si>
  <si>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</si>
  <si>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</si>
  <si>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</si>
  <si>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</si>
  <si>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</si>
  <si>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</si>
  <si>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</si>
  <si>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</si>
  <si>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</si>
  <si>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</si>
  <si>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</si>
  <si>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</si>
  <si>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</si>
  <si>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</si>
  <si>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</si>
  <si>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</si>
  <si>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</si>
  <si>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</si>
  <si>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</si>
  <si>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</si>
  <si>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</si>
  <si>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</si>
  <si>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</si>
  <si>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</si>
  <si>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</si>
  <si>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</si>
  <si>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</si>
  <si>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</si>
  <si>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</si>
  <si>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</si>
  <si>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</si>
  <si>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</si>
  <si>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</si>
  <si>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</si>
  <si>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</si>
  <si>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</si>
  <si>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</si>
  <si>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</si>
  <si>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</si>
  <si>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</si>
  <si>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</si>
  <si>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</si>
  <si>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</si>
  <si>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</si>
  <si>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</si>
  <si>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</si>
  <si>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</si>
  <si>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</si>
  <si>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</si>
  <si>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</si>
  <si>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</si>
  <si>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</si>
  <si>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</si>
  <si>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</si>
  <si>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</si>
  <si>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</si>
  <si>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</si>
  <si>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</si>
  <si>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</si>
  <si>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</si>
  <si>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</si>
  <si>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</si>
  <si>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</si>
  <si>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</si>
  <si>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</si>
  <si>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</si>
  <si>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</si>
  <si>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</si>
  <si>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</si>
  <si>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</si>
  <si>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</si>
  <si>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</si>
  <si>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</si>
  <si>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</si>
  <si>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</si>
  <si>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</si>
  <si>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</si>
  <si>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</si>
  <si>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</si>
  <si>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</si>
  <si>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</si>
  <si>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</si>
  <si>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</si>
  <si>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</si>
  <si>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</si>
  <si>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</si>
  <si>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</si>
  <si>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</si>
  <si>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</si>
  <si>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</si>
  <si>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</si>
  <si>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</si>
  <si>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</si>
  <si>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</si>
  <si>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</si>
  <si>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</si>
  <si>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</si>
  <si>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</si>
  <si>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</si>
  <si>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</si>
  <si>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</si>
  <si>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</si>
  <si>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</si>
  <si>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</si>
  <si>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</si>
  <si>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</si>
  <si>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</si>
  <si>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</si>
  <si>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</si>
  <si>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</si>
  <si>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</si>
  <si>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</si>
  <si>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</si>
  <si>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</si>
  <si>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</si>
  <si>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</si>
  <si>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</si>
  <si>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</si>
  <si>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</si>
  <si>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</si>
  <si>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</si>
  <si>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</si>
  <si>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</si>
  <si>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</si>
  <si>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</si>
  <si>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</si>
  <si>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</si>
  <si>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</si>
  <si>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</si>
  <si>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</si>
  <si>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</si>
  <si>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</si>
  <si>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</si>
  <si>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</si>
  <si>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</si>
  <si>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</si>
  <si>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</si>
  <si>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</si>
  <si>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</si>
  <si>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</si>
  <si>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</si>
  <si>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</si>
  <si>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</si>
  <si>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</si>
  <si>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</si>
  <si>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</si>
  <si>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</si>
  <si>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</si>
  <si>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</si>
  <si>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</si>
  <si>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</si>
  <si>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</si>
  <si>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</si>
  <si>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</si>
  <si>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</si>
  <si>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</si>
  <si>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</si>
  <si>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</si>
  <si>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</si>
  <si>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</si>
  <si>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</si>
  <si>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</si>
  <si>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</si>
  <si>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</si>
  <si>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</si>
  <si>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</si>
  <si>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</si>
  <si>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</si>
  <si>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</si>
  <si>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</si>
  <si>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</si>
  <si>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</si>
  <si>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</si>
  <si>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</si>
  <si>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</si>
  <si>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</si>
  <si>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</si>
  <si>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</si>
  <si>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</si>
  <si>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</si>
  <si>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</si>
  <si>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</si>
  <si>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</si>
  <si>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</si>
  <si>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</si>
  <si>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</si>
  <si>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</si>
  <si>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</si>
  <si>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</si>
  <si>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</si>
  <si>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</si>
  <si>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</si>
  <si>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</si>
  <si>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</si>
  <si>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</si>
  <si>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</si>
  <si>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</si>
  <si>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</si>
  <si>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</si>
  <si>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</si>
  <si>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</si>
  <si>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</si>
  <si>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</si>
  <si>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</si>
  <si>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</si>
  <si>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</si>
  <si>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</si>
  <si>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</si>
  <si>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</si>
  <si>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</si>
  <si>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</si>
  <si>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</si>
  <si>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</si>
  <si>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</si>
  <si>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</si>
  <si>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</si>
  <si>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</si>
  <si>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</si>
  <si>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</si>
  <si>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</si>
  <si>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</si>
  <si>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</si>
  <si>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</si>
  <si>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</si>
  <si>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</si>
  <si>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</si>
  <si>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</si>
  <si>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</si>
  <si>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</si>
  <si>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</si>
  <si>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</si>
  <si>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</si>
  <si>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</si>
  <si>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</si>
  <si>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</si>
  <si>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</si>
  <si>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</si>
  <si>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</si>
  <si>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</si>
  <si>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</si>
  <si>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</si>
  <si>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</si>
  <si>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</si>
  <si>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</si>
  <si>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</si>
  <si>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</si>
  <si>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</si>
  <si>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</si>
  <si>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</si>
  <si>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</si>
  <si>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</si>
  <si>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</si>
  <si>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</si>
  <si>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</si>
  <si>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</si>
  <si>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</si>
  <si>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</si>
  <si>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</si>
  <si>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</si>
  <si>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</si>
  <si>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</si>
  <si>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</si>
  <si>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</si>
  <si>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</si>
  <si>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</si>
  <si>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</si>
  <si>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</si>
  <si>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</si>
  <si>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</si>
  <si>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</si>
  <si>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</si>
  <si>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</si>
  <si>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</si>
  <si>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</si>
  <si>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</si>
  <si>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</si>
  <si>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</si>
  <si>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</si>
  <si>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</si>
  <si>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</si>
  <si>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</si>
  <si>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</si>
  <si>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</si>
  <si>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</si>
  <si>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</si>
  <si>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</si>
  <si>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</si>
  <si>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</si>
  <si>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</si>
  <si>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</si>
  <si>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</si>
  <si>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</si>
  <si>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</si>
  <si>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</si>
  <si>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</si>
  <si>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</si>
  <si>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</si>
  <si>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</si>
  <si>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</si>
  <si>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</si>
  <si>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</si>
  <si>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</si>
  <si>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</si>
  <si>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</si>
  <si>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</si>
  <si>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</si>
  <si>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</si>
  <si>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</si>
  <si>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</si>
  <si>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</si>
  <si>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</si>
  <si>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</si>
  <si>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</si>
  <si>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</si>
  <si>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</si>
  <si>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</si>
  <si>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</si>
  <si>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</si>
  <si>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</si>
  <si>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</si>
  <si>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</si>
  <si>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</si>
  <si>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</si>
  <si>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</si>
  <si>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</si>
  <si>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</si>
  <si>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</si>
  <si>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</si>
  <si>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</si>
  <si>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</si>
  <si>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</si>
  <si>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</si>
  <si>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</si>
  <si>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</si>
  <si>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</si>
  <si>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</si>
  <si>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</si>
  <si>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</si>
  <si>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</si>
  <si>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</si>
  <si>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</si>
  <si>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</si>
  <si>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</si>
  <si>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</si>
  <si>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</si>
  <si>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</si>
  <si>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</si>
  <si>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</si>
  <si>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</si>
  <si>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</si>
  <si>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</si>
  <si>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</si>
  <si>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</si>
  <si>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</si>
  <si>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</si>
  <si>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</si>
  <si>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</si>
  <si>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</si>
  <si>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</si>
  <si>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</si>
  <si>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</si>
  <si>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</si>
  <si>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</si>
  <si>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</si>
  <si>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</si>
  <si>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</si>
  <si>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</si>
  <si>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</si>
  <si>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</si>
  <si>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</si>
  <si>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</si>
  <si>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</si>
  <si>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</si>
  <si>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</si>
  <si>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</si>
  <si>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</si>
  <si>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</si>
  <si>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</si>
  <si>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</si>
  <si>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</si>
  <si>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</si>
  <si>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</si>
  <si>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</si>
  <si>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</si>
  <si>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</si>
  <si>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</si>
  <si>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</si>
  <si>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</si>
  <si>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</si>
  <si>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</si>
  <si>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</si>
  <si>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</si>
  <si>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</si>
  <si>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</si>
  <si>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</si>
  <si>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</si>
  <si>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</si>
  <si>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</si>
  <si>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</si>
  <si>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</si>
  <si>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</si>
  <si>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</si>
  <si>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</si>
  <si>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</si>
  <si>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</si>
  <si>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</si>
  <si>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</si>
  <si>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</si>
  <si>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</si>
  <si>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</si>
  <si>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</si>
  <si>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</si>
  <si>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</si>
  <si>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</si>
  <si>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</si>
  <si>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</si>
  <si>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</si>
  <si>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</si>
  <si>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</si>
  <si>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</si>
  <si>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</si>
  <si>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</si>
  <si>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</si>
  <si>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</si>
  <si>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</si>
  <si>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</si>
  <si>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</si>
  <si>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</si>
  <si>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</si>
  <si>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</si>
  <si>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</si>
  <si>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</si>
  <si>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</si>
  <si>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</si>
  <si>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</si>
  <si>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</si>
  <si>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</si>
  <si>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</si>
  <si>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</si>
  <si>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</si>
  <si>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</si>
  <si>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</si>
  <si>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</si>
  <si>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</si>
  <si>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</si>
  <si>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</si>
  <si>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</si>
  <si>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</si>
  <si>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</si>
  <si>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</si>
  <si>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</si>
  <si>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</si>
  <si>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</si>
  <si>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</si>
  <si>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</si>
  <si>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</si>
  <si>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</si>
  <si>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</si>
  <si>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</si>
  <si>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</si>
  <si>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</si>
  <si>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</si>
  <si>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</si>
  <si>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</si>
  <si>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</si>
  <si>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</si>
  <si>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</si>
  <si>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</si>
  <si>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</si>
  <si>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</si>
  <si>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</si>
  <si>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</si>
  <si>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</si>
  <si>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</si>
  <si>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</si>
  <si>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</si>
  <si>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</si>
  <si>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</si>
  <si>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</si>
  <si>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</si>
  <si>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</si>
  <si>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</si>
  <si>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</si>
  <si>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</si>
  <si>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</si>
  <si>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</si>
  <si>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</si>
  <si>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</si>
  <si>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</si>
  <si>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</si>
  <si>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</si>
  <si>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</si>
  <si>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</si>
  <si>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</si>
  <si>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</si>
  <si>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</si>
  <si>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</si>
  <si>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</si>
  <si>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</si>
  <si>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</si>
  <si>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</si>
  <si>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</si>
  <si>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</si>
  <si>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</si>
  <si>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</si>
  <si>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</si>
  <si>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</si>
  <si>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</si>
  <si>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</si>
  <si>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</si>
  <si>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</si>
  <si>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</si>
  <si>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</si>
  <si>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</si>
  <si>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</si>
  <si>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</si>
  <si>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</si>
  <si>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</si>
  <si>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</si>
  <si>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</si>
  <si>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</si>
  <si>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</si>
  <si>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</si>
  <si>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</si>
  <si>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</si>
  <si>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</si>
  <si>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</si>
  <si>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</si>
  <si>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</si>
  <si>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</si>
  <si>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</si>
  <si>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</si>
  <si>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</si>
  <si>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</si>
  <si>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</si>
  <si>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</si>
  <si>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</si>
  <si>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</si>
  <si>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</si>
  <si>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</si>
  <si>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</si>
  <si>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</si>
  <si>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</si>
  <si>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</si>
  <si>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</si>
  <si>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</si>
  <si>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</si>
  <si>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</si>
  <si>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</si>
  <si>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</si>
  <si>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</si>
  <si>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</si>
  <si>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</si>
  <si>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</si>
  <si>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</si>
  <si>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</si>
  <si>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</si>
  <si>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</si>
  <si>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</si>
  <si>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</si>
  <si>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</si>
  <si>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</si>
  <si>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</si>
  <si>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</si>
  <si>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</si>
  <si>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</si>
  <si>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</si>
  <si>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</si>
  <si>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</si>
  <si>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</si>
  <si>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</si>
  <si>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</si>
  <si>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</si>
  <si>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</si>
  <si>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</si>
  <si>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</si>
  <si>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</si>
  <si>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</si>
  <si>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</si>
  <si>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</si>
  <si>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</si>
  <si>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</si>
  <si>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</si>
  <si>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</si>
  <si>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</si>
  <si>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</si>
  <si>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</si>
  <si>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</si>
  <si>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</si>
  <si>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</si>
  <si>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</si>
  <si>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</si>
  <si>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</si>
  <si>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</si>
  <si>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</si>
  <si>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</si>
  <si>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</si>
  <si>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</si>
  <si>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</si>
  <si>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</si>
  <si>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</si>
  <si>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</si>
  <si>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</si>
  <si>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</si>
  <si>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</si>
  <si>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</si>
  <si>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</si>
  <si>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</si>
  <si>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</si>
  <si>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</si>
  <si>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</si>
  <si>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</si>
  <si>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</si>
  <si>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</si>
  <si>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</si>
  <si>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</si>
  <si>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</si>
  <si>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</si>
  <si>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</si>
  <si>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</si>
  <si>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</si>
  <si>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</si>
  <si>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</si>
  <si>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</si>
  <si>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</si>
  <si>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</si>
  <si>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</si>
  <si>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</si>
  <si>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</si>
  <si>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</si>
  <si>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</si>
  <si>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</si>
  <si>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</si>
  <si>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</si>
  <si>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</si>
  <si>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</si>
  <si>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</si>
  <si>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</si>
  <si>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</si>
  <si>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</si>
  <si>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</si>
  <si>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</si>
  <si>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</si>
  <si>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</si>
  <si>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</si>
  <si>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</si>
  <si>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</si>
  <si>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</si>
  <si>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</si>
  <si>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</si>
  <si>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</si>
  <si>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</si>
  <si>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</si>
  <si>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</si>
  <si>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</si>
  <si>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</si>
  <si>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</si>
  <si>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</si>
  <si>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</si>
  <si>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</si>
  <si>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</si>
  <si>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</si>
  <si>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</si>
  <si>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</si>
  <si>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</si>
  <si>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</si>
  <si>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</si>
  <si>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</si>
  <si>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</si>
  <si>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</si>
  <si>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</si>
  <si>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</si>
  <si>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</si>
  <si>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</si>
  <si>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</si>
  <si>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</si>
  <si>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</si>
  <si>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</si>
  <si>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</si>
  <si>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</si>
  <si>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</si>
  <si>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</si>
  <si>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</si>
  <si>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</si>
  <si>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</si>
  <si>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</si>
  <si>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</si>
  <si>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</si>
  <si>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</si>
  <si>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</si>
  <si>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</si>
  <si>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</si>
  <si>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</si>
  <si>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</si>
  <si>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</si>
  <si>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</si>
  <si>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</si>
  <si>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</si>
  <si>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</si>
  <si>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</si>
  <si>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</si>
  <si>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</si>
  <si>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</si>
  <si>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</si>
  <si>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</si>
  <si>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</si>
  <si>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</si>
  <si>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</si>
  <si>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</si>
  <si>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</si>
  <si>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</si>
  <si>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</si>
  <si>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</si>
  <si>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</si>
  <si>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</si>
  <si>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</si>
  <si>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</si>
  <si>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 xml:space="preserve">LPA3 NAVAIR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</si>
</sst>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2">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112</c:v>
                </c:pt>
                <c:pt idx="1">
                  <c:v>176</c:v>
                </c:pt>
                <c:pt idx="2">
                  <c:v>714</c:v>
                </c:pt>
                <c:pt idx="3">
                  <c:v>1314</c:v>
                </c:pt>
                <c:pt idx="4">
                  <c:v>1794</c:v>
                </c:pt>
                <c:pt idx="5">
                  <c:v>4348</c:v>
                </c:pt>
                <c:pt idx="6">
                  <c:v>6298</c:v>
                </c:pt>
                <c:pt idx="7">
                  <c:v>14290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abSelected="1" topLeftCell="A262" workbookViewId="0">
      <selection activeCell="H286" sqref="H286"/>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t="s">
        <v>22</v>
      </c>
      <c r="B1" t="s">
        <v>23</v>
      </c>
      <c r="H1" s="99"/>
    </row>
    <row r="2" spans="1:9" x14ac:dyDescent="0.2">
      <c r="A2" t="s">
        <v>24</v>
      </c>
      <c r="H2" s="99"/>
      <c r="I2" s="99"/>
    </row>
    <row r="3" spans="1:9" x14ac:dyDescent="0.2">
      <c r="A3" t="s">
        <v>25</v>
      </c>
      <c r="B3" t="s">
        <v>23</v>
      </c>
      <c r="H3" s="99"/>
      <c r="I3" s="99"/>
    </row>
    <row r="4" spans="1:9" x14ac:dyDescent="0.2">
      <c r="A4" s="105" t="s">
        <v>26</v>
      </c>
      <c r="B4">
        <v>63010074</v>
      </c>
      <c r="H4" s="99"/>
    </row>
    <row r="5" spans="1:9" x14ac:dyDescent="0.2">
      <c r="A5" t="s">
        <v>27</v>
      </c>
      <c r="B5">
        <v>9264</v>
      </c>
      <c r="H5" s="99"/>
      <c r="I5" s="99"/>
    </row>
    <row r="6" spans="1:9" x14ac:dyDescent="0.2">
      <c r="A6" t="s">
        <v>28</v>
      </c>
      <c r="B6">
        <v>0</v>
      </c>
      <c r="H6" s="99"/>
      <c r="I6" s="99"/>
    </row>
    <row r="7" spans="1:9" x14ac:dyDescent="0.2">
      <c r="A7" t="s">
        <v>29</v>
      </c>
      <c r="B7" t="s">
        <v>1048</v>
      </c>
      <c r="H7" s="99"/>
      <c r="I7" s="99"/>
    </row>
    <row r="8" spans="1:9" x14ac:dyDescent="0.2">
      <c r="A8" t="s">
        <v>30</v>
      </c>
      <c r="B8">
        <v>112</v>
      </c>
      <c r="H8" s="99"/>
      <c r="I8" s="99"/>
    </row>
    <row r="9" spans="1:9" x14ac:dyDescent="0.2">
      <c r="A9" t="s">
        <v>31</v>
      </c>
      <c r="B9">
        <v>176</v>
      </c>
      <c r="H9" s="99"/>
      <c r="I9" s="99"/>
    </row>
    <row r="10" spans="1:9" x14ac:dyDescent="0.2">
      <c r="A10" t="s">
        <v>32</v>
      </c>
      <c r="B10">
        <v>714</v>
      </c>
      <c r="H10" s="99"/>
      <c r="I10" s="99"/>
    </row>
    <row r="11" spans="1:9" x14ac:dyDescent="0.2">
      <c r="A11" t="s">
        <v>33</v>
      </c>
      <c r="B11">
        <v>1314</v>
      </c>
      <c r="H11" s="99"/>
      <c r="I11" s="99"/>
    </row>
    <row r="12" spans="1:9" x14ac:dyDescent="0.2">
      <c r="A12" t="s">
        <v>34</v>
      </c>
      <c r="B12">
        <v>1794</v>
      </c>
      <c r="H12" s="99"/>
      <c r="I12" s="99"/>
    </row>
    <row r="13" spans="1:9" x14ac:dyDescent="0.2">
      <c r="A13" t="s">
        <v>35</v>
      </c>
      <c r="B13">
        <v>4348</v>
      </c>
      <c r="H13" s="99"/>
      <c r="I13" s="99"/>
    </row>
    <row r="14" spans="1:9" x14ac:dyDescent="0.2">
      <c r="A14" t="s">
        <v>36</v>
      </c>
      <c r="B14">
        <v>6298</v>
      </c>
      <c r="H14" s="99"/>
      <c r="I14" s="99"/>
    </row>
    <row r="15" spans="1:9" x14ac:dyDescent="0.2">
      <c r="A15" t="s">
        <v>37</v>
      </c>
      <c r="B15">
        <v>14290</v>
      </c>
      <c r="H15" s="99"/>
      <c r="I15" s="99"/>
    </row>
    <row r="16" spans="1:9" x14ac:dyDescent="0.2">
      <c r="A16" t="s">
        <v>38</v>
      </c>
      <c r="B16">
        <v>60</v>
      </c>
      <c r="H16" s="99"/>
      <c r="I16" s="99"/>
    </row>
    <row r="17" spans="1:9" x14ac:dyDescent="0.2">
      <c r="A17" t="s">
        <v>39</v>
      </c>
      <c r="B17">
        <v>300</v>
      </c>
      <c r="H17" s="99"/>
      <c r="I17" s="99"/>
    </row>
    <row r="18" spans="1:9" x14ac:dyDescent="0.2">
      <c r="A18" t="s">
        <v>40</v>
      </c>
      <c r="B18">
        <v>750</v>
      </c>
      <c r="H18" s="99"/>
      <c r="I18" s="99"/>
    </row>
    <row r="19" spans="1:9" x14ac:dyDescent="0.2">
      <c r="A19" t="s">
        <v>41</v>
      </c>
      <c r="B19">
        <v>200</v>
      </c>
      <c r="H19" s="99"/>
      <c r="I19" s="99"/>
    </row>
    <row r="20" spans="1:9" x14ac:dyDescent="0.2">
      <c r="A20" t="s">
        <v>42</v>
      </c>
      <c r="B20">
        <v>500</v>
      </c>
      <c r="H20" s="99"/>
      <c r="I20" s="99"/>
    </row>
    <row r="21" spans="1:9" x14ac:dyDescent="0.2">
      <c r="A21" t="s">
        <v>43</v>
      </c>
      <c r="B21">
        <v>10000</v>
      </c>
      <c r="H21" s="99"/>
      <c r="I21" s="99"/>
    </row>
    <row r="22" spans="1:9" x14ac:dyDescent="0.2">
      <c r="A22" t="s">
        <v>44</v>
      </c>
      <c r="B22">
        <v>100</v>
      </c>
      <c r="H22" s="99"/>
      <c r="I22" s="99"/>
    </row>
    <row r="23" spans="1:9" x14ac:dyDescent="0.2">
      <c r="A23" t="s">
        <v>45</v>
      </c>
      <c r="B23">
        <v>50</v>
      </c>
      <c r="H23" s="99"/>
      <c r="I23" s="99"/>
    </row>
    <row r="24" spans="1:9" x14ac:dyDescent="0.2">
      <c r="A24" t="s">
        <v>46</v>
      </c>
      <c r="B24">
        <v>1778000828</v>
      </c>
      <c r="H24" s="99"/>
      <c r="I24" s="99"/>
    </row>
    <row r="25" spans="1:9" x14ac:dyDescent="0.2">
      <c r="A25" t="s">
        <v>47</v>
      </c>
      <c r="B25">
        <v>1809536828</v>
      </c>
      <c r="H25" s="99"/>
      <c r="I25" s="99"/>
    </row>
    <row r="26" spans="1:9" x14ac:dyDescent="0.2">
      <c r="A26" t="s">
        <v>48</v>
      </c>
      <c r="B26">
        <v>1</v>
      </c>
      <c r="H26" s="99"/>
      <c r="I26" s="99"/>
    </row>
    <row r="27" spans="1:9" x14ac:dyDescent="0.2">
      <c r="A27" t="s">
        <v>49</v>
      </c>
      <c r="B27">
        <v>128</v>
      </c>
      <c r="H27" s="99"/>
      <c r="I27" s="99"/>
    </row>
    <row r="28" spans="1:9" x14ac:dyDescent="0.2">
      <c r="A28" t="s">
        <v>50</v>
      </c>
      <c r="B28">
        <v>0</v>
      </c>
      <c r="H28" s="99"/>
      <c r="I28" s="99"/>
    </row>
    <row r="29" spans="1:9" x14ac:dyDescent="0.2">
      <c r="A29" t="s">
        <v>51</v>
      </c>
      <c r="B29">
        <v>29</v>
      </c>
      <c r="H29" s="99"/>
      <c r="I29" s="99"/>
    </row>
    <row r="30" spans="1:9" x14ac:dyDescent="0.2">
      <c r="A30" t="s">
        <v>52</v>
      </c>
      <c r="B30">
        <v>0</v>
      </c>
      <c r="H30" s="99"/>
      <c r="I30" s="99"/>
    </row>
    <row r="31" spans="1:9" x14ac:dyDescent="0.2">
      <c r="A31" t="s">
        <v>53</v>
      </c>
      <c r="B31">
        <v>2147483648</v>
      </c>
      <c r="H31" s="99"/>
      <c r="I31" s="99"/>
    </row>
    <row r="32" spans="1:9" x14ac:dyDescent="0.2">
      <c r="A32" t="s">
        <v>54</v>
      </c>
      <c r="B32">
        <v>0</v>
      </c>
      <c r="H32" s="99"/>
      <c r="I32" s="99"/>
    </row>
    <row r="33" spans="1:9" x14ac:dyDescent="0.2">
      <c r="A33" t="s">
        <v>55</v>
      </c>
      <c r="B33">
        <v>0</v>
      </c>
      <c r="H33" s="99"/>
      <c r="I33" s="99"/>
    </row>
    <row r="34" spans="1:9" x14ac:dyDescent="0.2">
      <c r="A34" t="s">
        <v>56</v>
      </c>
      <c r="B34">
        <v>3</v>
      </c>
      <c r="H34" s="99"/>
      <c r="I34" s="99"/>
    </row>
    <row r="35" spans="1:9" x14ac:dyDescent="0.2">
      <c r="A35" t="s">
        <v>57</v>
      </c>
      <c r="B35">
        <v>30</v>
      </c>
      <c r="H35" s="99"/>
      <c r="I35" s="99"/>
    </row>
    <row r="36" spans="1:9" x14ac:dyDescent="0.2">
      <c r="A36" t="s">
        <v>58</v>
      </c>
      <c r="B36">
        <v>0</v>
      </c>
      <c r="H36" s="99"/>
      <c r="I36" s="99"/>
    </row>
    <row r="37" spans="1:9" x14ac:dyDescent="0.2">
      <c r="A37" t="s">
        <v>59</v>
      </c>
      <c r="B37">
        <v>1</v>
      </c>
      <c r="H37" s="99"/>
      <c r="I37" s="99"/>
    </row>
    <row r="38" spans="1:9" x14ac:dyDescent="0.2">
      <c r="A38" t="s">
        <v>60</v>
      </c>
      <c r="B38">
        <v>30</v>
      </c>
      <c r="H38" s="99"/>
      <c r="I38" s="99"/>
    </row>
    <row r="39" spans="1:9" x14ac:dyDescent="0.2">
      <c r="A39" t="s">
        <v>61</v>
      </c>
      <c r="B39">
        <v>150</v>
      </c>
      <c r="H39" s="99"/>
      <c r="I39" s="99"/>
    </row>
    <row r="40" spans="1:9" x14ac:dyDescent="0.2">
      <c r="A40" t="s">
        <v>62</v>
      </c>
      <c r="B40">
        <v>40</v>
      </c>
      <c r="H40" s="99"/>
      <c r="I40" s="99"/>
    </row>
    <row r="41" spans="1:9" x14ac:dyDescent="0.2">
      <c r="A41" t="s">
        <v>63</v>
      </c>
      <c r="B41">
        <v>20</v>
      </c>
      <c r="H41" s="99"/>
      <c r="I41" s="99"/>
    </row>
    <row r="42" spans="1:9" x14ac:dyDescent="0.2">
      <c r="A42" t="s">
        <v>64</v>
      </c>
      <c r="B42">
        <v>30</v>
      </c>
      <c r="H42" s="99"/>
      <c r="I42" s="99"/>
    </row>
    <row r="43" spans="1:9" x14ac:dyDescent="0.2">
      <c r="A43" t="s">
        <v>65</v>
      </c>
      <c r="B43">
        <v>90</v>
      </c>
      <c r="H43" s="99"/>
      <c r="I43" s="99"/>
    </row>
    <row r="44" spans="1:9" x14ac:dyDescent="0.2">
      <c r="A44" t="s">
        <v>66</v>
      </c>
      <c r="B44">
        <v>50</v>
      </c>
      <c r="H44" s="99"/>
      <c r="I44" s="99"/>
    </row>
    <row r="45" spans="1:9" x14ac:dyDescent="0.2">
      <c r="A45" t="s">
        <v>67</v>
      </c>
      <c r="B45">
        <v>50</v>
      </c>
      <c r="H45" s="99"/>
      <c r="I45" s="99"/>
    </row>
    <row r="46" spans="1:9" x14ac:dyDescent="0.2">
      <c r="A46" t="s">
        <v>68</v>
      </c>
      <c r="B46">
        <v>50</v>
      </c>
      <c r="H46" s="99"/>
      <c r="I46" s="99"/>
    </row>
    <row r="47" spans="1:9" x14ac:dyDescent="0.2">
      <c r="A47" t="s">
        <v>69</v>
      </c>
      <c r="B47">
        <v>40</v>
      </c>
      <c r="H47" s="99"/>
      <c r="I47" s="99"/>
    </row>
    <row r="48" spans="1:9" x14ac:dyDescent="0.2">
      <c r="A48" t="s">
        <v>70</v>
      </c>
      <c r="B48">
        <v>20</v>
      </c>
      <c r="H48" s="99"/>
      <c r="I48" s="99"/>
    </row>
    <row r="49" spans="1:9" x14ac:dyDescent="0.2">
      <c r="A49" t="s">
        <v>71</v>
      </c>
      <c r="B49">
        <v>40</v>
      </c>
      <c r="H49" s="99"/>
      <c r="I49" s="99"/>
    </row>
    <row r="50" spans="1:9" x14ac:dyDescent="0.2">
      <c r="A50" t="s">
        <v>72</v>
      </c>
      <c r="B50">
        <v>20</v>
      </c>
      <c r="H50" s="99"/>
      <c r="I50" s="99"/>
    </row>
    <row r="51" spans="1:9" x14ac:dyDescent="0.2">
      <c r="A51" t="s">
        <v>73</v>
      </c>
      <c r="B51">
        <v>0</v>
      </c>
      <c r="H51" s="99"/>
      <c r="I51" s="99"/>
    </row>
    <row r="52" spans="1:9" x14ac:dyDescent="0.2">
      <c r="A52" s="105" t="s">
        <v>74</v>
      </c>
      <c r="B52">
        <v>112</v>
      </c>
      <c r="H52" s="99"/>
      <c r="I52" s="99"/>
    </row>
    <row r="53" spans="1:9" x14ac:dyDescent="0.2">
      <c r="A53" t="s">
        <v>75</v>
      </c>
      <c r="B53">
        <v>142</v>
      </c>
      <c r="H53" s="99"/>
      <c r="I53" s="99"/>
    </row>
    <row r="54" spans="1:9" x14ac:dyDescent="0.2">
      <c r="A54" t="s">
        <v>76</v>
      </c>
      <c r="B54">
        <v>176</v>
      </c>
      <c r="H54" s="99"/>
      <c r="I54" s="99"/>
    </row>
    <row r="55" spans="1:9" x14ac:dyDescent="0.2">
      <c r="A55" t="s">
        <v>77</v>
      </c>
      <c r="B55">
        <v>214</v>
      </c>
      <c r="H55" s="99"/>
      <c r="I55" s="99"/>
    </row>
    <row r="56" spans="1:9" x14ac:dyDescent="0.2">
      <c r="A56" t="s">
        <v>78</v>
      </c>
      <c r="B56">
        <v>264</v>
      </c>
      <c r="H56" s="99"/>
      <c r="I56" s="99"/>
    </row>
    <row r="57" spans="1:9" x14ac:dyDescent="0.2">
      <c r="A57" t="s">
        <v>79</v>
      </c>
      <c r="B57">
        <v>326</v>
      </c>
      <c r="H57" s="99"/>
      <c r="I57" s="99"/>
    </row>
    <row r="58" spans="1:9" x14ac:dyDescent="0.2">
      <c r="A58" t="s">
        <v>80</v>
      </c>
      <c r="B58">
        <v>394</v>
      </c>
      <c r="H58" s="99"/>
    </row>
    <row r="59" spans="1:9" x14ac:dyDescent="0.2">
      <c r="A59" t="s">
        <v>81</v>
      </c>
      <c r="B59">
        <v>472</v>
      </c>
      <c r="H59" s="99"/>
      <c r="I59" s="99"/>
    </row>
    <row r="60" spans="1:9" x14ac:dyDescent="0.2">
      <c r="A60" t="s">
        <v>82</v>
      </c>
      <c r="B60">
        <v>554</v>
      </c>
      <c r="H60" s="99"/>
      <c r="I60" s="99"/>
    </row>
    <row r="61" spans="1:9" x14ac:dyDescent="0.2">
      <c r="A61" t="s">
        <v>83</v>
      </c>
      <c r="B61">
        <v>634</v>
      </c>
      <c r="H61" s="99"/>
      <c r="I61" s="99"/>
    </row>
    <row r="62" spans="1:9" x14ac:dyDescent="0.2">
      <c r="A62" t="s">
        <v>84</v>
      </c>
      <c r="B62">
        <v>714</v>
      </c>
      <c r="H62" s="99"/>
      <c r="I62" s="99"/>
    </row>
    <row r="63" spans="1:9" x14ac:dyDescent="0.2">
      <c r="A63" t="s">
        <v>85</v>
      </c>
      <c r="B63">
        <v>800</v>
      </c>
      <c r="H63" s="99"/>
      <c r="I63" s="99"/>
    </row>
    <row r="64" spans="1:9" x14ac:dyDescent="0.2">
      <c r="A64" t="s">
        <v>86</v>
      </c>
      <c r="B64">
        <v>876</v>
      </c>
      <c r="H64" s="99"/>
      <c r="I64" s="99"/>
    </row>
    <row r="65" spans="1:9" x14ac:dyDescent="0.2">
      <c r="A65" t="s">
        <v>87</v>
      </c>
      <c r="B65">
        <v>956</v>
      </c>
      <c r="H65" s="99"/>
      <c r="I65" s="99"/>
    </row>
    <row r="66" spans="1:9" x14ac:dyDescent="0.2">
      <c r="A66" t="s">
        <v>88</v>
      </c>
      <c r="B66">
        <v>1032</v>
      </c>
      <c r="H66" s="99"/>
      <c r="I66" s="99"/>
    </row>
    <row r="67" spans="1:9" x14ac:dyDescent="0.2">
      <c r="A67" t="s">
        <v>89</v>
      </c>
      <c r="B67">
        <v>1110</v>
      </c>
      <c r="H67" s="99"/>
      <c r="I67" s="99"/>
    </row>
    <row r="68" spans="1:9" x14ac:dyDescent="0.2">
      <c r="A68" t="s">
        <v>90</v>
      </c>
      <c r="B68">
        <v>1204</v>
      </c>
      <c r="H68" s="99"/>
      <c r="I68" s="99"/>
    </row>
    <row r="69" spans="1:9" x14ac:dyDescent="0.2">
      <c r="A69" t="s">
        <v>91</v>
      </c>
      <c r="B69">
        <v>1314</v>
      </c>
      <c r="H69" s="99"/>
      <c r="I69" s="99"/>
    </row>
    <row r="70" spans="1:9" x14ac:dyDescent="0.2">
      <c r="A70" t="s">
        <v>92</v>
      </c>
      <c r="B70">
        <v>1432</v>
      </c>
      <c r="H70" s="99"/>
      <c r="I70" s="99"/>
    </row>
    <row r="71" spans="1:9" x14ac:dyDescent="0.2">
      <c r="A71" t="s">
        <v>93</v>
      </c>
      <c r="B71">
        <v>1548</v>
      </c>
      <c r="H71" s="99"/>
      <c r="I71" s="99"/>
    </row>
    <row r="72" spans="1:9" x14ac:dyDescent="0.2">
      <c r="A72" t="s">
        <v>94</v>
      </c>
      <c r="B72">
        <v>1672</v>
      </c>
      <c r="H72" s="99"/>
      <c r="I72" s="99"/>
    </row>
    <row r="73" spans="1:9" x14ac:dyDescent="0.2">
      <c r="A73" t="s">
        <v>95</v>
      </c>
      <c r="B73">
        <v>1794</v>
      </c>
      <c r="H73" s="99"/>
      <c r="I73" s="99"/>
    </row>
    <row r="74" spans="1:9" x14ac:dyDescent="0.2">
      <c r="A74" t="s">
        <v>96</v>
      </c>
      <c r="B74">
        <v>1942</v>
      </c>
      <c r="H74" s="99"/>
      <c r="I74" s="99"/>
    </row>
    <row r="75" spans="1:9" x14ac:dyDescent="0.2">
      <c r="A75" t="s">
        <v>97</v>
      </c>
      <c r="B75">
        <v>2120</v>
      </c>
      <c r="H75" s="99"/>
    </row>
    <row r="76" spans="1:9" x14ac:dyDescent="0.2">
      <c r="A76" t="s">
        <v>98</v>
      </c>
      <c r="B76">
        <v>2276</v>
      </c>
      <c r="H76" s="99"/>
      <c r="I76" s="99"/>
    </row>
    <row r="77" spans="1:9" x14ac:dyDescent="0.2">
      <c r="A77" t="s">
        <v>99</v>
      </c>
      <c r="B77">
        <v>2432</v>
      </c>
      <c r="H77" s="99"/>
    </row>
    <row r="78" spans="1:9" x14ac:dyDescent="0.2">
      <c r="A78" t="s">
        <v>100</v>
      </c>
      <c r="B78">
        <v>2598</v>
      </c>
      <c r="H78" s="99"/>
      <c r="I78" s="99"/>
    </row>
    <row r="79" spans="1:9" x14ac:dyDescent="0.2">
      <c r="A79" t="s">
        <v>101</v>
      </c>
      <c r="B79">
        <v>4348</v>
      </c>
      <c r="H79" s="99"/>
      <c r="I79" s="99"/>
    </row>
    <row r="80" spans="1:9" x14ac:dyDescent="0.2">
      <c r="A80" t="s">
        <v>102</v>
      </c>
      <c r="B80">
        <v>6298</v>
      </c>
      <c r="H80" s="99"/>
      <c r="I80" s="99"/>
    </row>
    <row r="81" spans="1:9" x14ac:dyDescent="0.2">
      <c r="A81" t="s">
        <v>103</v>
      </c>
      <c r="B81">
        <v>14290</v>
      </c>
      <c r="H81" s="99"/>
      <c r="I81" s="99"/>
    </row>
    <row r="82" spans="1:9" x14ac:dyDescent="0.2">
      <c r="A82" t="s">
        <v>104</v>
      </c>
      <c r="B82">
        <v>14290</v>
      </c>
      <c r="H82" s="99"/>
      <c r="I82" s="99"/>
    </row>
    <row r="83" spans="1:9" x14ac:dyDescent="0.2">
      <c r="A83" t="s">
        <v>105</v>
      </c>
      <c r="B83">
        <v>14290</v>
      </c>
      <c r="H83" s="99"/>
      <c r="I83" s="99"/>
    </row>
    <row r="84" spans="1:9" x14ac:dyDescent="0.2">
      <c r="A84" t="s">
        <v>106</v>
      </c>
      <c r="B84">
        <v>4</v>
      </c>
      <c r="H84" s="99"/>
    </row>
    <row r="85" spans="1:9" x14ac:dyDescent="0.2">
      <c r="A85" t="s">
        <v>107</v>
      </c>
      <c r="B85">
        <v>5</v>
      </c>
      <c r="H85" s="99"/>
      <c r="I85" s="99"/>
    </row>
    <row r="86" spans="1:9" x14ac:dyDescent="0.2">
      <c r="A86" t="s">
        <v>108</v>
      </c>
      <c r="B86">
        <v>6</v>
      </c>
      <c r="H86" s="99"/>
      <c r="I86" s="99"/>
    </row>
    <row r="87" spans="1:9" x14ac:dyDescent="0.2">
      <c r="A87" t="s">
        <v>109</v>
      </c>
      <c r="B87">
        <v>7</v>
      </c>
      <c r="H87" s="99"/>
    </row>
    <row r="88" spans="1:9" x14ac:dyDescent="0.2">
      <c r="A88" t="s">
        <v>110</v>
      </c>
      <c r="B88">
        <v>8</v>
      </c>
      <c r="H88" s="99"/>
      <c r="I88" s="99"/>
    </row>
    <row r="89" spans="1:9" x14ac:dyDescent="0.2">
      <c r="A89" t="s">
        <v>111</v>
      </c>
      <c r="B89">
        <v>9</v>
      </c>
      <c r="H89" s="99"/>
      <c r="I89" s="99"/>
    </row>
    <row r="90" spans="1:9" x14ac:dyDescent="0.2">
      <c r="A90" t="s">
        <v>112</v>
      </c>
      <c r="B90">
        <v>10</v>
      </c>
      <c r="H90" s="99"/>
      <c r="I90" s="99"/>
    </row>
    <row r="91" spans="1:9" x14ac:dyDescent="0.2">
      <c r="A91" t="s">
        <v>113</v>
      </c>
      <c r="B91">
        <v>11</v>
      </c>
      <c r="H91" s="99"/>
      <c r="I91" s="99"/>
    </row>
    <row r="92" spans="1:9" x14ac:dyDescent="0.2">
      <c r="A92" t="s">
        <v>114</v>
      </c>
      <c r="B92">
        <v>12</v>
      </c>
      <c r="H92" s="99"/>
      <c r="I92" s="99"/>
    </row>
    <row r="93" spans="1:9" x14ac:dyDescent="0.2">
      <c r="A93" t="s">
        <v>115</v>
      </c>
      <c r="B93">
        <v>13</v>
      </c>
      <c r="H93" s="99"/>
      <c r="I93" s="99"/>
    </row>
    <row r="94" spans="1:9" x14ac:dyDescent="0.2">
      <c r="A94" t="s">
        <v>116</v>
      </c>
      <c r="B94">
        <v>14</v>
      </c>
      <c r="H94" s="99"/>
      <c r="I94" s="99"/>
    </row>
    <row r="95" spans="1:9" x14ac:dyDescent="0.2">
      <c r="A95" t="s">
        <v>117</v>
      </c>
      <c r="B95">
        <v>15</v>
      </c>
      <c r="H95" s="99"/>
      <c r="I95" s="99"/>
    </row>
    <row r="96" spans="1:9" x14ac:dyDescent="0.2">
      <c r="A96" t="s">
        <v>118</v>
      </c>
      <c r="B96">
        <v>16</v>
      </c>
      <c r="H96" s="99"/>
      <c r="I96" s="99"/>
    </row>
    <row r="97" spans="1:9" x14ac:dyDescent="0.2">
      <c r="A97" t="s">
        <v>119</v>
      </c>
      <c r="B97">
        <v>17</v>
      </c>
      <c r="H97" s="99"/>
      <c r="I97" s="99"/>
    </row>
    <row r="98" spans="1:9" x14ac:dyDescent="0.2">
      <c r="A98" t="s">
        <v>120</v>
      </c>
      <c r="B98">
        <v>18</v>
      </c>
      <c r="H98" s="99"/>
      <c r="I98" s="99"/>
    </row>
    <row r="99" spans="1:9" x14ac:dyDescent="0.2">
      <c r="A99" t="s">
        <v>121</v>
      </c>
      <c r="B99">
        <v>19</v>
      </c>
      <c r="H99" s="99"/>
      <c r="I99" s="99"/>
    </row>
    <row r="100" spans="1:9" x14ac:dyDescent="0.2">
      <c r="A100" t="s">
        <v>122</v>
      </c>
      <c r="B100">
        <v>20</v>
      </c>
      <c r="H100" s="99"/>
      <c r="I100" s="99"/>
    </row>
    <row r="101" spans="1:9" x14ac:dyDescent="0.2">
      <c r="A101" t="s">
        <v>123</v>
      </c>
      <c r="B101">
        <v>21</v>
      </c>
      <c r="H101" s="99"/>
      <c r="I101" s="99"/>
    </row>
    <row r="102" spans="1:9" x14ac:dyDescent="0.2">
      <c r="A102" t="s">
        <v>124</v>
      </c>
      <c r="B102">
        <v>22</v>
      </c>
      <c r="H102" s="99"/>
      <c r="I102" s="99"/>
    </row>
    <row r="103" spans="1:9" x14ac:dyDescent="0.2">
      <c r="A103" t="s">
        <v>125</v>
      </c>
      <c r="B103">
        <v>23</v>
      </c>
      <c r="H103" s="99"/>
      <c r="I103" s="99"/>
    </row>
    <row r="104" spans="1:9" x14ac:dyDescent="0.2">
      <c r="A104" t="s">
        <v>126</v>
      </c>
      <c r="B104">
        <v>24</v>
      </c>
      <c r="H104" s="99"/>
      <c r="I104" s="99"/>
    </row>
    <row r="105" spans="1:9" x14ac:dyDescent="0.2">
      <c r="A105" t="s">
        <v>127</v>
      </c>
      <c r="B105">
        <v>25</v>
      </c>
      <c r="H105" s="99"/>
      <c r="I105" s="99"/>
    </row>
    <row r="106" spans="1:9" x14ac:dyDescent="0.2">
      <c r="A106" t="s">
        <v>128</v>
      </c>
      <c r="B106">
        <v>26</v>
      </c>
      <c r="H106" s="99"/>
      <c r="I106" s="99"/>
    </row>
    <row r="107" spans="1:9" x14ac:dyDescent="0.2">
      <c r="A107" t="s">
        <v>129</v>
      </c>
      <c r="B107">
        <v>27</v>
      </c>
      <c r="H107" s="99"/>
      <c r="I107" s="99"/>
    </row>
    <row r="108" spans="1:9" x14ac:dyDescent="0.2">
      <c r="A108" t="s">
        <v>130</v>
      </c>
      <c r="B108">
        <v>28</v>
      </c>
      <c r="H108" s="99"/>
      <c r="I108" s="99"/>
    </row>
    <row r="109" spans="1:9" x14ac:dyDescent="0.2">
      <c r="A109" t="s">
        <v>131</v>
      </c>
      <c r="B109">
        <v>29</v>
      </c>
      <c r="H109" s="99"/>
      <c r="I109" s="99"/>
    </row>
    <row r="110" spans="1:9" x14ac:dyDescent="0.2">
      <c r="A110" t="s">
        <v>132</v>
      </c>
      <c r="B110">
        <v>30</v>
      </c>
      <c r="H110" s="99"/>
      <c r="I110" s="99"/>
    </row>
    <row r="111" spans="1:9" x14ac:dyDescent="0.2">
      <c r="A111" t="s">
        <v>133</v>
      </c>
      <c r="B111">
        <v>38</v>
      </c>
      <c r="H111" s="99"/>
      <c r="I111" s="99"/>
    </row>
    <row r="112" spans="1:9" x14ac:dyDescent="0.2">
      <c r="A112" t="s">
        <v>134</v>
      </c>
      <c r="B112">
        <v>50</v>
      </c>
      <c r="H112" s="99"/>
      <c r="I112" s="99"/>
    </row>
    <row r="113" spans="1:9" x14ac:dyDescent="0.2">
      <c r="A113" t="s">
        <v>135</v>
      </c>
      <c r="B113">
        <v>70</v>
      </c>
      <c r="H113" s="99"/>
      <c r="I113" s="99"/>
    </row>
    <row r="114" spans="1:9" x14ac:dyDescent="0.2">
      <c r="A114" t="s">
        <v>136</v>
      </c>
      <c r="B114">
        <v>70</v>
      </c>
      <c r="H114" s="99"/>
      <c r="I114" s="99"/>
    </row>
    <row r="115" spans="1:9" x14ac:dyDescent="0.2">
      <c r="A115" t="s">
        <v>137</v>
      </c>
      <c r="B115">
        <v>70</v>
      </c>
      <c r="H115" s="99"/>
      <c r="I115" s="99"/>
    </row>
    <row r="116" spans="1:9" x14ac:dyDescent="0.2">
      <c r="A116" t="s">
        <v>138</v>
      </c>
      <c r="H116" s="99"/>
      <c r="I116" s="99"/>
    </row>
    <row r="117" spans="1:9" x14ac:dyDescent="0.2">
      <c r="A117" t="s">
        <v>139</v>
      </c>
      <c r="B117">
        <v>1047870</v>
      </c>
      <c r="H117" s="99"/>
      <c r="I117" s="99"/>
    </row>
    <row r="118" spans="1:9" x14ac:dyDescent="0.2">
      <c r="A118" t="s">
        <v>140</v>
      </c>
      <c r="B118">
        <v>431351</v>
      </c>
      <c r="H118" s="99"/>
      <c r="I118" s="99"/>
    </row>
    <row r="119" spans="1:9" x14ac:dyDescent="0.2">
      <c r="A119" t="s">
        <v>141</v>
      </c>
      <c r="B119">
        <v>32014</v>
      </c>
      <c r="H119" s="99"/>
      <c r="I119" s="99"/>
    </row>
    <row r="120" spans="1:9" x14ac:dyDescent="0.2">
      <c r="A120" t="s">
        <v>142</v>
      </c>
      <c r="B120">
        <v>9858</v>
      </c>
      <c r="H120" s="99"/>
      <c r="I120" s="99"/>
    </row>
    <row r="121" spans="1:9" x14ac:dyDescent="0.2">
      <c r="A121" t="s">
        <v>143</v>
      </c>
      <c r="B121">
        <v>5300</v>
      </c>
      <c r="H121" s="99"/>
      <c r="I121" s="99"/>
    </row>
    <row r="122" spans="1:9" x14ac:dyDescent="0.2">
      <c r="A122" t="s">
        <v>144</v>
      </c>
      <c r="B122">
        <v>1181</v>
      </c>
      <c r="H122" s="99"/>
      <c r="I122" s="99"/>
    </row>
    <row r="123" spans="1:9" x14ac:dyDescent="0.2">
      <c r="A123" t="s">
        <v>145</v>
      </c>
      <c r="B123">
        <v>637</v>
      </c>
      <c r="H123" s="99"/>
      <c r="I123" s="99"/>
    </row>
    <row r="124" spans="1:9" x14ac:dyDescent="0.2">
      <c r="A124" t="s">
        <v>146</v>
      </c>
      <c r="B124">
        <v>139</v>
      </c>
      <c r="H124" s="99"/>
      <c r="I124" s="99"/>
    </row>
    <row r="125" spans="1:9" x14ac:dyDescent="0.2">
      <c r="A125" t="s">
        <v>147</v>
      </c>
      <c r="B125">
        <v>1047870</v>
      </c>
      <c r="H125" s="99"/>
      <c r="I125" s="99"/>
    </row>
    <row r="126" spans="1:9" x14ac:dyDescent="0.2">
      <c r="A126" t="s">
        <v>148</v>
      </c>
      <c r="B126">
        <v>431351</v>
      </c>
      <c r="H126" s="99"/>
      <c r="I126" s="99"/>
    </row>
    <row r="127" spans="1:9" x14ac:dyDescent="0.2">
      <c r="A127" t="s">
        <v>149</v>
      </c>
      <c r="B127">
        <v>32014</v>
      </c>
      <c r="H127" s="99"/>
      <c r="I127" s="99"/>
    </row>
    <row r="128" spans="1:9" x14ac:dyDescent="0.2">
      <c r="A128" t="s">
        <v>150</v>
      </c>
      <c r="B128">
        <v>9858</v>
      </c>
      <c r="H128" s="99"/>
      <c r="I128" s="99"/>
    </row>
    <row r="129" spans="1:9" x14ac:dyDescent="0.2">
      <c r="A129" t="s">
        <v>151</v>
      </c>
      <c r="B129">
        <v>5300</v>
      </c>
      <c r="H129" s="99"/>
      <c r="I129" s="99"/>
    </row>
    <row r="130" spans="1:9" x14ac:dyDescent="0.2">
      <c r="A130" t="s">
        <v>152</v>
      </c>
      <c r="B130">
        <v>1181</v>
      </c>
      <c r="H130" s="99"/>
      <c r="I130" s="100"/>
    </row>
    <row r="131" spans="1:9" x14ac:dyDescent="0.2">
      <c r="A131" t="s">
        <v>153</v>
      </c>
      <c r="B131">
        <v>637</v>
      </c>
      <c r="H131" s="99"/>
      <c r="I131" s="99"/>
    </row>
    <row r="132" spans="1:9" x14ac:dyDescent="0.2">
      <c r="A132" t="s">
        <v>154</v>
      </c>
      <c r="B132">
        <v>139</v>
      </c>
      <c r="H132" s="99"/>
      <c r="I132" s="99"/>
    </row>
    <row r="133" spans="1:9" x14ac:dyDescent="0.2">
      <c r="A133" t="s">
        <v>155</v>
      </c>
      <c r="B133">
        <v>1047870</v>
      </c>
      <c r="H133" s="99"/>
      <c r="I133" s="99"/>
    </row>
    <row r="134" spans="1:9" x14ac:dyDescent="0.2">
      <c r="A134" t="s">
        <v>156</v>
      </c>
      <c r="B134">
        <v>431351</v>
      </c>
      <c r="H134" s="99"/>
      <c r="I134" s="99"/>
    </row>
    <row r="135" spans="1:9" x14ac:dyDescent="0.2">
      <c r="A135" t="s">
        <v>157</v>
      </c>
      <c r="B135">
        <v>32014</v>
      </c>
      <c r="H135" s="99"/>
      <c r="I135" s="99"/>
    </row>
    <row r="136" spans="1:9" x14ac:dyDescent="0.2">
      <c r="A136" t="s">
        <v>158</v>
      </c>
      <c r="B136">
        <v>9858</v>
      </c>
      <c r="H136" s="99"/>
      <c r="I136" s="99"/>
    </row>
    <row r="137" spans="1:9" x14ac:dyDescent="0.2">
      <c r="A137" t="s">
        <v>159</v>
      </c>
      <c r="B137">
        <v>5300</v>
      </c>
      <c r="H137" s="99"/>
      <c r="I137" s="99"/>
    </row>
    <row r="138" spans="1:9" x14ac:dyDescent="0.2">
      <c r="A138" t="s">
        <v>160</v>
      </c>
      <c r="B138">
        <v>1181</v>
      </c>
      <c r="H138" s="99"/>
      <c r="I138" s="99"/>
    </row>
    <row r="139" spans="1:9" x14ac:dyDescent="0.2">
      <c r="A139" t="s">
        <v>161</v>
      </c>
      <c r="B139">
        <v>637</v>
      </c>
      <c r="H139" s="99"/>
      <c r="I139" s="99"/>
    </row>
    <row r="140" spans="1:9" x14ac:dyDescent="0.2">
      <c r="A140" t="s">
        <v>162</v>
      </c>
      <c r="B140">
        <v>139</v>
      </c>
      <c r="H140" s="99"/>
      <c r="I140" s="99"/>
    </row>
    <row r="141" spans="1:9" x14ac:dyDescent="0.2">
      <c r="A141" t="s">
        <v>163</v>
      </c>
      <c r="B141">
        <v>1037710</v>
      </c>
      <c r="H141" s="99"/>
      <c r="I141" s="99"/>
    </row>
    <row r="142" spans="1:9" x14ac:dyDescent="0.2">
      <c r="A142" t="s">
        <v>164</v>
      </c>
      <c r="B142">
        <v>432580</v>
      </c>
      <c r="H142" s="99"/>
      <c r="I142" s="99"/>
    </row>
    <row r="143" spans="1:9" x14ac:dyDescent="0.2">
      <c r="A143" t="s">
        <v>165</v>
      </c>
      <c r="B143">
        <v>31970</v>
      </c>
      <c r="H143" s="99"/>
      <c r="I143" s="99"/>
    </row>
    <row r="144" spans="1:9" x14ac:dyDescent="0.2">
      <c r="A144" t="s">
        <v>166</v>
      </c>
      <c r="B144">
        <v>9870</v>
      </c>
      <c r="H144" s="99"/>
      <c r="I144" s="101"/>
    </row>
    <row r="145" spans="1:2" x14ac:dyDescent="0.2">
      <c r="A145" t="s">
        <v>167</v>
      </c>
      <c r="B145">
        <v>5300</v>
      </c>
    </row>
    <row r="146" spans="1:2" x14ac:dyDescent="0.2">
      <c r="A146" t="s">
        <v>168</v>
      </c>
      <c r="B146">
        <v>1180</v>
      </c>
    </row>
    <row r="147" spans="1:2" x14ac:dyDescent="0.2">
      <c r="A147" t="s">
        <v>169</v>
      </c>
      <c r="B147">
        <v>640</v>
      </c>
    </row>
    <row r="148" spans="1:2" x14ac:dyDescent="0.2">
      <c r="A148" t="s">
        <v>170</v>
      </c>
      <c r="B148">
        <v>140</v>
      </c>
    </row>
    <row r="149" spans="1:2" x14ac:dyDescent="0.2">
      <c r="A149" s="105" t="s">
        <v>171</v>
      </c>
      <c r="B149">
        <v>10478.700000000001</v>
      </c>
    </row>
    <row r="150" spans="1:2" x14ac:dyDescent="0.2">
      <c r="A150" t="s">
        <v>172</v>
      </c>
      <c r="B150">
        <v>6497.56</v>
      </c>
    </row>
    <row r="151" spans="1:2" x14ac:dyDescent="0.2">
      <c r="A151" t="s">
        <v>173</v>
      </c>
      <c r="B151">
        <v>4313.5200000000004</v>
      </c>
    </row>
    <row r="152" spans="1:2" x14ac:dyDescent="0.2">
      <c r="A152" t="s">
        <v>174</v>
      </c>
      <c r="B152">
        <v>2992.66</v>
      </c>
    </row>
    <row r="153" spans="1:2" x14ac:dyDescent="0.2">
      <c r="A153" t="s">
        <v>175</v>
      </c>
      <c r="B153">
        <v>2029.03</v>
      </c>
    </row>
    <row r="154" spans="1:2" x14ac:dyDescent="0.2">
      <c r="A154" t="s">
        <v>176</v>
      </c>
      <c r="B154">
        <v>1375.07</v>
      </c>
    </row>
    <row r="155" spans="1:2" x14ac:dyDescent="0.2">
      <c r="A155" t="s">
        <v>177</v>
      </c>
      <c r="B155">
        <v>969.48099999999999</v>
      </c>
    </row>
    <row r="156" spans="1:2" x14ac:dyDescent="0.2">
      <c r="A156" t="s">
        <v>178</v>
      </c>
      <c r="B156">
        <v>694.05</v>
      </c>
    </row>
    <row r="157" spans="1:2" x14ac:dyDescent="0.2">
      <c r="A157" t="s">
        <v>179</v>
      </c>
      <c r="B157">
        <v>515.35400000000004</v>
      </c>
    </row>
    <row r="158" spans="1:2" x14ac:dyDescent="0.2">
      <c r="A158" t="s">
        <v>180</v>
      </c>
      <c r="B158">
        <v>400.43099999999998</v>
      </c>
    </row>
    <row r="159" spans="1:2" x14ac:dyDescent="0.2">
      <c r="A159" t="s">
        <v>181</v>
      </c>
      <c r="B159">
        <v>320.14800000000002</v>
      </c>
    </row>
    <row r="160" spans="1:2" x14ac:dyDescent="0.2">
      <c r="A160" t="s">
        <v>182</v>
      </c>
      <c r="B160">
        <v>258.11099999999999</v>
      </c>
    </row>
    <row r="161" spans="1:2" x14ac:dyDescent="0.2">
      <c r="A161" t="s">
        <v>183</v>
      </c>
      <c r="B161">
        <v>216.98500000000001</v>
      </c>
    </row>
    <row r="162" spans="1:2" x14ac:dyDescent="0.2">
      <c r="A162" t="s">
        <v>184</v>
      </c>
      <c r="B162">
        <v>183.505</v>
      </c>
    </row>
    <row r="163" spans="1:2" x14ac:dyDescent="0.2">
      <c r="A163" t="s">
        <v>185</v>
      </c>
      <c r="B163">
        <v>158.13399999999999</v>
      </c>
    </row>
    <row r="164" spans="1:2" x14ac:dyDescent="0.2">
      <c r="A164" t="s">
        <v>186</v>
      </c>
      <c r="B164">
        <v>137.28100000000001</v>
      </c>
    </row>
    <row r="165" spans="1:2" x14ac:dyDescent="0.2">
      <c r="A165" t="s">
        <v>187</v>
      </c>
      <c r="B165">
        <v>117.123</v>
      </c>
    </row>
    <row r="166" spans="1:2" x14ac:dyDescent="0.2">
      <c r="A166" t="s">
        <v>188</v>
      </c>
      <c r="B166">
        <v>98.587299999999999</v>
      </c>
    </row>
    <row r="167" spans="1:2" x14ac:dyDescent="0.2">
      <c r="A167" t="s">
        <v>189</v>
      </c>
      <c r="B167">
        <v>83.179500000000004</v>
      </c>
    </row>
    <row r="168" spans="1:2" x14ac:dyDescent="0.2">
      <c r="A168" t="s">
        <v>190</v>
      </c>
      <c r="B168">
        <v>71.189099999999996</v>
      </c>
    </row>
    <row r="169" spans="1:2" x14ac:dyDescent="0.2">
      <c r="A169" t="s">
        <v>191</v>
      </c>
      <c r="B169">
        <v>61.052300000000002</v>
      </c>
    </row>
    <row r="170" spans="1:2" x14ac:dyDescent="0.2">
      <c r="A170" t="s">
        <v>192</v>
      </c>
      <c r="B170">
        <v>53.000799999999998</v>
      </c>
    </row>
    <row r="171" spans="1:2" x14ac:dyDescent="0.2">
      <c r="A171" t="s">
        <v>193</v>
      </c>
      <c r="B171">
        <v>45.296900000000001</v>
      </c>
    </row>
    <row r="172" spans="1:2" x14ac:dyDescent="0.2">
      <c r="A172" t="s">
        <v>194</v>
      </c>
      <c r="B172">
        <v>38.172199999999997</v>
      </c>
    </row>
    <row r="173" spans="1:2" x14ac:dyDescent="0.2">
      <c r="A173" t="s">
        <v>195</v>
      </c>
      <c r="B173">
        <v>33.1907</v>
      </c>
    </row>
    <row r="174" spans="1:2" x14ac:dyDescent="0.2">
      <c r="A174" t="s">
        <v>196</v>
      </c>
      <c r="B174">
        <v>29.599399999999999</v>
      </c>
    </row>
    <row r="175" spans="1:2" x14ac:dyDescent="0.2">
      <c r="A175" t="s">
        <v>197</v>
      </c>
      <c r="B175">
        <v>26.065999999999999</v>
      </c>
    </row>
    <row r="176" spans="1:2" x14ac:dyDescent="0.2">
      <c r="A176" t="s">
        <v>198</v>
      </c>
      <c r="B176">
        <v>11.816599999999999</v>
      </c>
    </row>
    <row r="177" spans="1:2" x14ac:dyDescent="0.2">
      <c r="A177" t="s">
        <v>199</v>
      </c>
      <c r="B177">
        <v>6.3716900000000001</v>
      </c>
    </row>
    <row r="178" spans="1:2" x14ac:dyDescent="0.2">
      <c r="A178" t="s">
        <v>200</v>
      </c>
      <c r="B178">
        <v>1.39019</v>
      </c>
    </row>
    <row r="179" spans="1:2" x14ac:dyDescent="0.2">
      <c r="A179" t="s">
        <v>201</v>
      </c>
      <c r="B179">
        <v>1.39019</v>
      </c>
    </row>
    <row r="180" spans="1:2" x14ac:dyDescent="0.2">
      <c r="A180" t="s">
        <v>202</v>
      </c>
      <c r="B180">
        <v>1.39019</v>
      </c>
    </row>
    <row r="181" spans="1:2" x14ac:dyDescent="0.2">
      <c r="A181" t="s">
        <v>203</v>
      </c>
      <c r="B181">
        <v>10478.700000000001</v>
      </c>
    </row>
    <row r="182" spans="1:2" x14ac:dyDescent="0.2">
      <c r="A182" t="s">
        <v>204</v>
      </c>
      <c r="B182">
        <v>6497.56</v>
      </c>
    </row>
    <row r="183" spans="1:2" x14ac:dyDescent="0.2">
      <c r="A183" t="s">
        <v>205</v>
      </c>
      <c r="B183">
        <v>4313.5200000000004</v>
      </c>
    </row>
    <row r="184" spans="1:2" x14ac:dyDescent="0.2">
      <c r="A184" t="s">
        <v>206</v>
      </c>
      <c r="B184">
        <v>2992.66</v>
      </c>
    </row>
    <row r="185" spans="1:2" x14ac:dyDescent="0.2">
      <c r="A185" t="s">
        <v>207</v>
      </c>
      <c r="B185">
        <v>2029.03</v>
      </c>
    </row>
    <row r="186" spans="1:2" x14ac:dyDescent="0.2">
      <c r="A186" t="s">
        <v>208</v>
      </c>
      <c r="B186">
        <v>1375.07</v>
      </c>
    </row>
    <row r="187" spans="1:2" x14ac:dyDescent="0.2">
      <c r="A187" t="s">
        <v>209</v>
      </c>
      <c r="B187">
        <v>969.48099999999999</v>
      </c>
    </row>
    <row r="188" spans="1:2" x14ac:dyDescent="0.2">
      <c r="A188" t="s">
        <v>210</v>
      </c>
      <c r="B188">
        <v>694.05</v>
      </c>
    </row>
    <row r="189" spans="1:2" x14ac:dyDescent="0.2">
      <c r="A189" t="s">
        <v>211</v>
      </c>
      <c r="B189">
        <v>515.35400000000004</v>
      </c>
    </row>
    <row r="190" spans="1:2" x14ac:dyDescent="0.2">
      <c r="A190" t="s">
        <v>212</v>
      </c>
      <c r="B190">
        <v>400.43099999999998</v>
      </c>
    </row>
    <row r="191" spans="1:2" x14ac:dyDescent="0.2">
      <c r="A191" t="s">
        <v>213</v>
      </c>
      <c r="B191">
        <v>320.14800000000002</v>
      </c>
    </row>
    <row r="192" spans="1:2" x14ac:dyDescent="0.2">
      <c r="A192" t="s">
        <v>214</v>
      </c>
      <c r="B192">
        <v>258.11099999999999</v>
      </c>
    </row>
    <row r="193" spans="1:2" x14ac:dyDescent="0.2">
      <c r="A193" t="s">
        <v>215</v>
      </c>
      <c r="B193">
        <v>216.98500000000001</v>
      </c>
    </row>
    <row r="194" spans="1:2" x14ac:dyDescent="0.2">
      <c r="A194" t="s">
        <v>216</v>
      </c>
      <c r="B194">
        <v>183.505</v>
      </c>
    </row>
    <row r="195" spans="1:2" x14ac:dyDescent="0.2">
      <c r="A195" t="s">
        <v>217</v>
      </c>
      <c r="B195">
        <v>158.13399999999999</v>
      </c>
    </row>
    <row r="196" spans="1:2" x14ac:dyDescent="0.2">
      <c r="A196" t="s">
        <v>218</v>
      </c>
      <c r="B196">
        <v>137.28100000000001</v>
      </c>
    </row>
    <row r="197" spans="1:2" x14ac:dyDescent="0.2">
      <c r="A197" t="s">
        <v>219</v>
      </c>
      <c r="B197">
        <v>117.123</v>
      </c>
    </row>
    <row r="198" spans="1:2" x14ac:dyDescent="0.2">
      <c r="A198" t="s">
        <v>220</v>
      </c>
      <c r="B198">
        <v>98.587299999999999</v>
      </c>
    </row>
    <row r="199" spans="1:2" x14ac:dyDescent="0.2">
      <c r="A199" t="s">
        <v>221</v>
      </c>
      <c r="B199">
        <v>83.179500000000004</v>
      </c>
    </row>
    <row r="200" spans="1:2" x14ac:dyDescent="0.2">
      <c r="A200" t="s">
        <v>222</v>
      </c>
      <c r="B200">
        <v>71.189099999999996</v>
      </c>
    </row>
    <row r="201" spans="1:2" x14ac:dyDescent="0.2">
      <c r="A201" t="s">
        <v>223</v>
      </c>
      <c r="B201">
        <v>61.052300000000002</v>
      </c>
    </row>
    <row r="202" spans="1:2" x14ac:dyDescent="0.2">
      <c r="A202" t="s">
        <v>224</v>
      </c>
      <c r="B202">
        <v>53.000799999999998</v>
      </c>
    </row>
    <row r="203" spans="1:2" x14ac:dyDescent="0.2">
      <c r="A203" t="s">
        <v>225</v>
      </c>
      <c r="B203">
        <v>45.296900000000001</v>
      </c>
    </row>
    <row r="204" spans="1:2" x14ac:dyDescent="0.2">
      <c r="A204" t="s">
        <v>226</v>
      </c>
      <c r="B204">
        <v>38.172199999999997</v>
      </c>
    </row>
    <row r="205" spans="1:2" x14ac:dyDescent="0.2">
      <c r="A205" t="s">
        <v>227</v>
      </c>
      <c r="B205">
        <v>33.1907</v>
      </c>
    </row>
    <row r="206" spans="1:2" x14ac:dyDescent="0.2">
      <c r="A206" t="s">
        <v>228</v>
      </c>
      <c r="B206">
        <v>29.599399999999999</v>
      </c>
    </row>
    <row r="207" spans="1:2" x14ac:dyDescent="0.2">
      <c r="A207" t="s">
        <v>229</v>
      </c>
      <c r="B207">
        <v>26.065999999999999</v>
      </c>
    </row>
    <row r="208" spans="1:2" x14ac:dyDescent="0.2">
      <c r="A208" t="s">
        <v>230</v>
      </c>
      <c r="B208">
        <v>11.816599999999999</v>
      </c>
    </row>
    <row r="209" spans="1:2" x14ac:dyDescent="0.2">
      <c r="A209" t="s">
        <v>231</v>
      </c>
      <c r="B209">
        <v>6.3716900000000001</v>
      </c>
    </row>
    <row r="210" spans="1:2" x14ac:dyDescent="0.2">
      <c r="A210" t="s">
        <v>232</v>
      </c>
      <c r="B210">
        <v>1.39019</v>
      </c>
    </row>
    <row r="211" spans="1:2" x14ac:dyDescent="0.2">
      <c r="A211" t="s">
        <v>233</v>
      </c>
      <c r="B211">
        <v>1.39019</v>
      </c>
    </row>
    <row r="212" spans="1:2" x14ac:dyDescent="0.2">
      <c r="A212" t="s">
        <v>234</v>
      </c>
      <c r="B212">
        <v>1.39019</v>
      </c>
    </row>
    <row r="213" spans="1:2" x14ac:dyDescent="0.2">
      <c r="A213" t="s">
        <v>235</v>
      </c>
      <c r="B213">
        <v>10478.700000000001</v>
      </c>
    </row>
    <row r="214" spans="1:2" x14ac:dyDescent="0.2">
      <c r="A214" t="s">
        <v>236</v>
      </c>
      <c r="B214">
        <v>6497.56</v>
      </c>
    </row>
    <row r="215" spans="1:2" x14ac:dyDescent="0.2">
      <c r="A215" t="s">
        <v>237</v>
      </c>
      <c r="B215">
        <v>4313.5200000000004</v>
      </c>
    </row>
    <row r="216" spans="1:2" x14ac:dyDescent="0.2">
      <c r="A216" t="s">
        <v>238</v>
      </c>
      <c r="B216">
        <v>2992.66</v>
      </c>
    </row>
    <row r="217" spans="1:2" x14ac:dyDescent="0.2">
      <c r="A217" t="s">
        <v>239</v>
      </c>
      <c r="B217">
        <v>2029.03</v>
      </c>
    </row>
    <row r="218" spans="1:2" x14ac:dyDescent="0.2">
      <c r="A218" t="s">
        <v>240</v>
      </c>
      <c r="B218">
        <v>1375.07</v>
      </c>
    </row>
    <row r="219" spans="1:2" x14ac:dyDescent="0.2">
      <c r="A219" t="s">
        <v>241</v>
      </c>
      <c r="B219">
        <v>969.48099999999999</v>
      </c>
    </row>
    <row r="220" spans="1:2" x14ac:dyDescent="0.2">
      <c r="A220" t="s">
        <v>242</v>
      </c>
      <c r="B220">
        <v>694.05</v>
      </c>
    </row>
    <row r="221" spans="1:2" x14ac:dyDescent="0.2">
      <c r="A221" t="s">
        <v>243</v>
      </c>
      <c r="B221">
        <v>515.35400000000004</v>
      </c>
    </row>
    <row r="222" spans="1:2" x14ac:dyDescent="0.2">
      <c r="A222" t="s">
        <v>244</v>
      </c>
      <c r="B222">
        <v>400.43099999999998</v>
      </c>
    </row>
    <row r="223" spans="1:2" x14ac:dyDescent="0.2">
      <c r="A223" t="s">
        <v>245</v>
      </c>
      <c r="B223">
        <v>320.14800000000002</v>
      </c>
    </row>
    <row r="224" spans="1:2" x14ac:dyDescent="0.2">
      <c r="A224" t="s">
        <v>246</v>
      </c>
      <c r="B224">
        <v>258.11099999999999</v>
      </c>
    </row>
    <row r="225" spans="1:2" x14ac:dyDescent="0.2">
      <c r="A225" t="s">
        <v>247</v>
      </c>
      <c r="B225">
        <v>216.98500000000001</v>
      </c>
    </row>
    <row r="226" spans="1:2" x14ac:dyDescent="0.2">
      <c r="A226" t="s">
        <v>248</v>
      </c>
      <c r="B226">
        <v>183.505</v>
      </c>
    </row>
    <row r="227" spans="1:2" x14ac:dyDescent="0.2">
      <c r="A227" t="s">
        <v>249</v>
      </c>
      <c r="B227">
        <v>158.13399999999999</v>
      </c>
    </row>
    <row r="228" spans="1:2" x14ac:dyDescent="0.2">
      <c r="A228" t="s">
        <v>250</v>
      </c>
      <c r="B228">
        <v>137.28100000000001</v>
      </c>
    </row>
    <row r="229" spans="1:2" x14ac:dyDescent="0.2">
      <c r="A229" t="s">
        <v>251</v>
      </c>
      <c r="B229">
        <v>117.123</v>
      </c>
    </row>
    <row r="230" spans="1:2" x14ac:dyDescent="0.2">
      <c r="A230" t="s">
        <v>252</v>
      </c>
      <c r="B230">
        <v>98.587299999999999</v>
      </c>
    </row>
    <row r="231" spans="1:2" x14ac:dyDescent="0.2">
      <c r="A231" t="s">
        <v>253</v>
      </c>
      <c r="B231">
        <v>83.179500000000004</v>
      </c>
    </row>
    <row r="232" spans="1:2" x14ac:dyDescent="0.2">
      <c r="A232" t="s">
        <v>254</v>
      </c>
      <c r="B232">
        <v>71.189099999999996</v>
      </c>
    </row>
    <row r="233" spans="1:2" x14ac:dyDescent="0.2">
      <c r="A233" t="s">
        <v>255</v>
      </c>
      <c r="B233">
        <v>61.052300000000002</v>
      </c>
    </row>
    <row r="234" spans="1:2" x14ac:dyDescent="0.2">
      <c r="A234" t="s">
        <v>256</v>
      </c>
      <c r="B234">
        <v>53.000799999999998</v>
      </c>
    </row>
    <row r="235" spans="1:2" x14ac:dyDescent="0.2">
      <c r="A235" t="s">
        <v>257</v>
      </c>
      <c r="B235">
        <v>45.296900000000001</v>
      </c>
    </row>
    <row r="236" spans="1:2" x14ac:dyDescent="0.2">
      <c r="A236" t="s">
        <v>258</v>
      </c>
      <c r="B236">
        <v>38.172199999999997</v>
      </c>
    </row>
    <row r="237" spans="1:2" x14ac:dyDescent="0.2">
      <c r="A237" t="s">
        <v>259</v>
      </c>
      <c r="B237">
        <v>33.1907</v>
      </c>
    </row>
    <row r="238" spans="1:2" x14ac:dyDescent="0.2">
      <c r="A238" t="s">
        <v>260</v>
      </c>
      <c r="B238">
        <v>29.599399999999999</v>
      </c>
    </row>
    <row r="239" spans="1:2" x14ac:dyDescent="0.2">
      <c r="A239" t="s">
        <v>261</v>
      </c>
      <c r="B239">
        <v>26.065999999999999</v>
      </c>
    </row>
    <row r="240" spans="1:2" x14ac:dyDescent="0.2">
      <c r="A240" t="s">
        <v>262</v>
      </c>
      <c r="B240">
        <v>11.816599999999999</v>
      </c>
    </row>
    <row r="241" spans="1:2" x14ac:dyDescent="0.2">
      <c r="A241" t="s">
        <v>263</v>
      </c>
      <c r="B241">
        <v>6.3716900000000001</v>
      </c>
    </row>
    <row r="242" spans="1:2" x14ac:dyDescent="0.2">
      <c r="A242" t="s">
        <v>264</v>
      </c>
      <c r="B242">
        <v>1.39019</v>
      </c>
    </row>
    <row r="243" spans="1:2" x14ac:dyDescent="0.2">
      <c r="A243" t="s">
        <v>265</v>
      </c>
      <c r="B243">
        <v>1.39019</v>
      </c>
    </row>
    <row r="244" spans="1:2" x14ac:dyDescent="0.2">
      <c r="A244" t="s">
        <v>266</v>
      </c>
      <c r="B244">
        <v>1.39019</v>
      </c>
    </row>
    <row r="245" spans="1:2" x14ac:dyDescent="0.2">
      <c r="A245" t="s">
        <v>267</v>
      </c>
      <c r="B245">
        <v>10377.1</v>
      </c>
    </row>
    <row r="246" spans="1:2" x14ac:dyDescent="0.2">
      <c r="A246" t="s">
        <v>268</v>
      </c>
      <c r="B246">
        <v>6566.9</v>
      </c>
    </row>
    <row r="247" spans="1:2" x14ac:dyDescent="0.2">
      <c r="A247" t="s">
        <v>269</v>
      </c>
      <c r="B247">
        <v>4325.8</v>
      </c>
    </row>
    <row r="248" spans="1:2" x14ac:dyDescent="0.2">
      <c r="A248" t="s">
        <v>270</v>
      </c>
      <c r="B248">
        <v>2991.8</v>
      </c>
    </row>
    <row r="249" spans="1:2" x14ac:dyDescent="0.2">
      <c r="A249" t="s">
        <v>271</v>
      </c>
      <c r="B249">
        <v>2027.8</v>
      </c>
    </row>
    <row r="250" spans="1:2" x14ac:dyDescent="0.2">
      <c r="A250" t="s">
        <v>272</v>
      </c>
      <c r="B250">
        <v>1382.2</v>
      </c>
    </row>
    <row r="251" spans="1:2" x14ac:dyDescent="0.2">
      <c r="A251" t="s">
        <v>273</v>
      </c>
      <c r="B251">
        <v>972.4</v>
      </c>
    </row>
    <row r="252" spans="1:2" x14ac:dyDescent="0.2">
      <c r="A252" t="s">
        <v>274</v>
      </c>
      <c r="B252">
        <v>696.8</v>
      </c>
    </row>
    <row r="253" spans="1:2" x14ac:dyDescent="0.2">
      <c r="A253" t="s">
        <v>275</v>
      </c>
      <c r="B253">
        <v>516.29999999999995</v>
      </c>
    </row>
    <row r="254" spans="1:2" x14ac:dyDescent="0.2">
      <c r="A254" t="s">
        <v>276</v>
      </c>
      <c r="B254">
        <v>400.1</v>
      </c>
    </row>
    <row r="255" spans="1:2" x14ac:dyDescent="0.2">
      <c r="A255" t="s">
        <v>277</v>
      </c>
      <c r="B255">
        <v>319.7</v>
      </c>
    </row>
    <row r="256" spans="1:2" x14ac:dyDescent="0.2">
      <c r="A256" t="s">
        <v>278</v>
      </c>
      <c r="B256">
        <v>258.3</v>
      </c>
    </row>
    <row r="257" spans="1:2" x14ac:dyDescent="0.2">
      <c r="A257" t="s">
        <v>279</v>
      </c>
      <c r="B257">
        <v>217.1</v>
      </c>
    </row>
    <row r="258" spans="1:2" x14ac:dyDescent="0.2">
      <c r="A258" t="s">
        <v>280</v>
      </c>
      <c r="B258">
        <v>183.1</v>
      </c>
    </row>
    <row r="259" spans="1:2" x14ac:dyDescent="0.2">
      <c r="A259" t="s">
        <v>281</v>
      </c>
      <c r="B259">
        <v>158</v>
      </c>
    </row>
    <row r="260" spans="1:2" x14ac:dyDescent="0.2">
      <c r="A260" t="s">
        <v>282</v>
      </c>
      <c r="B260">
        <v>137.5</v>
      </c>
    </row>
    <row r="261" spans="1:2" x14ac:dyDescent="0.2">
      <c r="A261" t="s">
        <v>283</v>
      </c>
      <c r="B261">
        <v>117.2</v>
      </c>
    </row>
    <row r="262" spans="1:2" x14ac:dyDescent="0.2">
      <c r="A262" t="s">
        <v>284</v>
      </c>
      <c r="B262">
        <v>98.7</v>
      </c>
    </row>
    <row r="263" spans="1:2" x14ac:dyDescent="0.2">
      <c r="A263" t="s">
        <v>285</v>
      </c>
      <c r="B263">
        <v>83.1</v>
      </c>
    </row>
    <row r="264" spans="1:2" x14ac:dyDescent="0.2">
      <c r="A264" t="s">
        <v>286</v>
      </c>
      <c r="B264">
        <v>71.099999999999994</v>
      </c>
    </row>
    <row r="265" spans="1:2" x14ac:dyDescent="0.2">
      <c r="A265" t="s">
        <v>287</v>
      </c>
      <c r="B265">
        <v>61.1</v>
      </c>
    </row>
    <row r="266" spans="1:2" x14ac:dyDescent="0.2">
      <c r="A266" t="s">
        <v>288</v>
      </c>
      <c r="B266">
        <v>53</v>
      </c>
    </row>
    <row r="267" spans="1:2" x14ac:dyDescent="0.2">
      <c r="A267" t="s">
        <v>289</v>
      </c>
      <c r="B267">
        <v>45.3</v>
      </c>
    </row>
    <row r="268" spans="1:2" x14ac:dyDescent="0.2">
      <c r="A268" t="s">
        <v>290</v>
      </c>
      <c r="B268">
        <v>38.200000000000003</v>
      </c>
    </row>
    <row r="269" spans="1:2" x14ac:dyDescent="0.2">
      <c r="A269" t="s">
        <v>291</v>
      </c>
      <c r="B269">
        <v>33.200000000000003</v>
      </c>
    </row>
    <row r="270" spans="1:2" x14ac:dyDescent="0.2">
      <c r="A270" t="s">
        <v>292</v>
      </c>
      <c r="B270">
        <v>29.6</v>
      </c>
    </row>
    <row r="271" spans="1:2" x14ac:dyDescent="0.2">
      <c r="A271" t="s">
        <v>293</v>
      </c>
      <c r="B271">
        <v>26.1</v>
      </c>
    </row>
    <row r="272" spans="1:2" x14ac:dyDescent="0.2">
      <c r="A272" t="s">
        <v>294</v>
      </c>
      <c r="B272">
        <v>11.8</v>
      </c>
    </row>
    <row r="273" spans="1:2" x14ac:dyDescent="0.2">
      <c r="A273" t="s">
        <v>295</v>
      </c>
      <c r="B273">
        <v>6.4</v>
      </c>
    </row>
    <row r="274" spans="1:2" x14ac:dyDescent="0.2">
      <c r="A274" t="s">
        <v>296</v>
      </c>
      <c r="B274">
        <v>1.4</v>
      </c>
    </row>
    <row r="275" spans="1:2" x14ac:dyDescent="0.2">
      <c r="A275" t="s">
        <v>297</v>
      </c>
      <c r="B275">
        <v>1.4</v>
      </c>
    </row>
    <row r="276" spans="1:2" x14ac:dyDescent="0.2">
      <c r="A276" t="s">
        <v>298</v>
      </c>
      <c r="B276">
        <v>1.4</v>
      </c>
    </row>
    <row r="277" spans="1:2" x14ac:dyDescent="0.2">
      <c r="A277" t="s">
        <v>299</v>
      </c>
    </row>
    <row r="278" spans="1:2" x14ac:dyDescent="0.2">
      <c r="A278" t="s">
        <v>300</v>
      </c>
      <c r="B278">
        <v>345</v>
      </c>
    </row>
    <row r="279" spans="1:2" x14ac:dyDescent="0.2">
      <c r="A279" t="s">
        <v>301</v>
      </c>
      <c r="B279">
        <v>345</v>
      </c>
    </row>
    <row r="280" spans="1:2" x14ac:dyDescent="0.2">
      <c r="A280" t="s">
        <v>302</v>
      </c>
      <c r="B280">
        <v>10000</v>
      </c>
    </row>
    <row r="281" spans="1:2" x14ac:dyDescent="0.2">
      <c r="A281" s="105" t="s">
        <v>303</v>
      </c>
      <c r="B281">
        <v>54</v>
      </c>
    </row>
    <row r="282" spans="1:2" x14ac:dyDescent="0.2">
      <c r="A282" t="s">
        <v>304</v>
      </c>
    </row>
    <row r="283" spans="1:2" x14ac:dyDescent="0.2">
      <c r="A283" s="105" t="s">
        <v>305</v>
      </c>
      <c r="B283">
        <v>46147.7</v>
      </c>
    </row>
    <row r="284" spans="1:2" x14ac:dyDescent="0.2">
      <c r="A284" t="s">
        <v>306</v>
      </c>
      <c r="B284">
        <v>63010074</v>
      </c>
    </row>
    <row r="285" spans="1:2" x14ac:dyDescent="0.2">
      <c r="A285" t="s">
        <v>307</v>
      </c>
    </row>
    <row r="286" spans="1:2" x14ac:dyDescent="0.2">
      <c r="A286" t="s">
        <v>308</v>
      </c>
      <c r="B286">
        <v>0</v>
      </c>
    </row>
    <row r="287" spans="1:2" x14ac:dyDescent="0.2">
      <c r="A287" t="s">
        <v>309</v>
      </c>
      <c r="B287">
        <v>0</v>
      </c>
    </row>
    <row r="288" spans="1:2" x14ac:dyDescent="0.2">
      <c r="A288" t="s">
        <v>310</v>
      </c>
      <c r="B288">
        <v>16</v>
      </c>
    </row>
    <row r="289" spans="1:2" x14ac:dyDescent="0.2">
      <c r="A289" t="s">
        <v>311</v>
      </c>
      <c r="B289">
        <v>0</v>
      </c>
    </row>
    <row r="290" spans="1:2" x14ac:dyDescent="0.2">
      <c r="A290" t="s">
        <v>312</v>
      </c>
      <c r="B290">
        <v>0</v>
      </c>
    </row>
    <row r="291" spans="1:2" x14ac:dyDescent="0.2">
      <c r="A291" t="s">
        <v>313</v>
      </c>
      <c r="B291">
        <v>0</v>
      </c>
    </row>
    <row r="292" spans="1:2" x14ac:dyDescent="0.2">
      <c r="A292" t="s">
        <v>314</v>
      </c>
      <c r="B292">
        <v>0</v>
      </c>
    </row>
    <row r="293" spans="1:2" x14ac:dyDescent="0.2">
      <c r="A293" t="s">
        <v>315</v>
      </c>
      <c r="B293">
        <v>16</v>
      </c>
    </row>
    <row r="294" spans="1:2" x14ac:dyDescent="0.2">
      <c r="A294" t="s">
        <v>316</v>
      </c>
      <c r="B294">
        <v>-1</v>
      </c>
    </row>
    <row r="295" spans="1:2" x14ac:dyDescent="0.2">
      <c r="A295" t="s">
        <v>317</v>
      </c>
      <c r="B295">
        <v>0</v>
      </c>
    </row>
    <row r="296" spans="1:2" x14ac:dyDescent="0.2">
      <c r="A296" t="s">
        <v>318</v>
      </c>
      <c r="B296">
        <v>304</v>
      </c>
    </row>
    <row r="297" spans="1:2" x14ac:dyDescent="0.2">
      <c r="A297" t="s">
        <v>319</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63010074</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63010074</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112</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176</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714</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63010074</v>
      </c>
      <c r="F119" s="319">
        <f t="shared" si="5"/>
        <v>4</v>
      </c>
      <c r="G119" s="320">
        <v>21</v>
      </c>
      <c r="H119" s="321">
        <f>'Auto-Calibration record'!$E$65</f>
        <v>1314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1794</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4348</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6298</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14290</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63010074</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63010074</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63010074</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112</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176</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714</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1314</v>
      </c>
      <c r="H164" s="532"/>
    </row>
    <row r="165" spans="1:18" x14ac:dyDescent="0.2">
      <c r="A165" s="144" t="b">
        <v>0</v>
      </c>
      <c r="B165" s="134">
        <f t="shared" si="3"/>
        <v>167</v>
      </c>
      <c r="C165" s="150" t="s">
        <v>674</v>
      </c>
      <c r="D165" s="317"/>
      <c r="E165" s="135">
        <v>5</v>
      </c>
      <c r="F165" s="135">
        <v>25</v>
      </c>
      <c r="G165" s="531">
        <f>'Auto-Calibration record'!F65</f>
        <v>1794</v>
      </c>
      <c r="H165" s="532"/>
    </row>
    <row r="166" spans="1:18" x14ac:dyDescent="0.2">
      <c r="A166" s="144" t="b">
        <v>0</v>
      </c>
      <c r="B166" s="134">
        <f t="shared" si="3"/>
        <v>168</v>
      </c>
      <c r="C166" s="150" t="s">
        <v>675</v>
      </c>
      <c r="D166" s="349"/>
      <c r="E166" s="135">
        <v>6</v>
      </c>
      <c r="F166" s="135">
        <v>38</v>
      </c>
      <c r="G166" s="531">
        <f>'Auto-Calibration record'!G65</f>
        <v>4348</v>
      </c>
      <c r="H166" s="532"/>
    </row>
    <row r="167" spans="1:18" x14ac:dyDescent="0.2">
      <c r="A167" s="144" t="b">
        <v>0</v>
      </c>
      <c r="B167" s="134">
        <f t="shared" si="3"/>
        <v>169</v>
      </c>
      <c r="C167" s="184" t="s">
        <v>676</v>
      </c>
      <c r="D167" s="349"/>
      <c r="E167" s="135">
        <v>7</v>
      </c>
      <c r="F167" s="135">
        <v>50</v>
      </c>
      <c r="G167" s="531">
        <f>'Auto-Calibration record'!H65</f>
        <v>6298</v>
      </c>
      <c r="H167" s="532"/>
    </row>
    <row r="168" spans="1:18" x14ac:dyDescent="0.2">
      <c r="A168" s="144" t="b">
        <v>0</v>
      </c>
      <c r="B168" s="134">
        <f t="shared" si="3"/>
        <v>170</v>
      </c>
      <c r="C168" s="150" t="s">
        <v>677</v>
      </c>
      <c r="D168" s="349"/>
      <c r="E168" s="135">
        <v>8</v>
      </c>
      <c r="F168" s="135">
        <v>70</v>
      </c>
      <c r="G168" s="531">
        <f>'Auto-Calibration record'!I65</f>
        <v>14290</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63010074</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63010074</v>
      </c>
      <c r="K30" s="105">
        <f>AUTO!B5</f>
        <v>9264</v>
      </c>
      <c r="L30" s="105">
        <f>AUTO!B6</f>
        <v>0</v>
      </c>
      <c r="M30" s="196" t="str">
        <f>AUTO!B7</f>
        <v xml:space="preserve">LPA3 NAVAIR </v>
      </c>
      <c r="N30" s="195">
        <f>AUTO!B8</f>
        <v>112</v>
      </c>
      <c r="O30" s="195">
        <f>AUTO!B9</f>
        <v>176</v>
      </c>
      <c r="P30" s="195">
        <f>AUTO!B10</f>
        <v>714</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345</v>
      </c>
      <c r="C7" s="394" t="s">
        <v>836</v>
      </c>
      <c r="D7" s="395" t="s">
        <v>837</v>
      </c>
      <c r="E7" s="394"/>
      <c r="F7" s="118"/>
      <c r="G7" s="118"/>
      <c r="H7" s="118"/>
      <c r="I7" s="118"/>
      <c r="J7" s="118"/>
      <c r="K7" s="118"/>
      <c r="L7" s="118"/>
      <c r="M7" s="118"/>
    </row>
    <row r="8" spans="2:13" x14ac:dyDescent="0.2">
      <c r="B8" s="391">
        <f>VLOOKUP("pump_current_emptying",AUTO!$A$1:$B$1051,2,FALSE)</f>
        <v>345</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54</v>
      </c>
      <c r="C11" s="398" t="s">
        <v>321</v>
      </c>
      <c r="D11" s="399" t="s">
        <v>844</v>
      </c>
      <c r="E11" s="400"/>
      <c r="F11" s="118"/>
      <c r="G11" s="118"/>
      <c r="H11" s="118"/>
      <c r="I11" s="118"/>
      <c r="J11" s="118"/>
      <c r="K11" s="118"/>
      <c r="L11" s="115" t="s">
        <v>845</v>
      </c>
      <c r="M11" s="118"/>
    </row>
    <row r="12" spans="2:13" x14ac:dyDescent="0.2">
      <c r="B12" s="391">
        <f>VLOOKUP("sample_volume_ml",AUTO!$A$1:$B$1051,2,FALSE)</f>
        <v>40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10000</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63010074</v>
      </c>
      <c r="I15" s="569"/>
      <c r="J15" s="570"/>
      <c r="K15" s="118"/>
      <c r="L15" s="118"/>
      <c r="M15" s="118"/>
    </row>
    <row r="16" spans="2:13" x14ac:dyDescent="0.2">
      <c r="B16" s="117"/>
      <c r="C16" s="113"/>
      <c r="D16" s="235"/>
      <c r="E16" s="236"/>
      <c r="F16" s="118"/>
      <c r="G16" s="403" t="s">
        <v>538</v>
      </c>
      <c r="H16" s="565">
        <f>VLOOKUP("date_",AUTO!$A$1:$B$1051,2,FALSE)</f>
        <v>46147.7</v>
      </c>
      <c r="I16" s="566"/>
      <c r="J16" s="567"/>
      <c r="K16" s="118"/>
      <c r="L16" s="118"/>
      <c r="M16" s="118"/>
    </row>
    <row r="17" spans="2:10" x14ac:dyDescent="0.2">
      <c r="B17" s="391"/>
      <c r="C17" s="398"/>
      <c r="D17" s="399"/>
      <c r="E17" s="400"/>
      <c r="F17" s="118"/>
      <c r="G17" s="403" t="s">
        <v>852</v>
      </c>
      <c r="H17" s="568" t="str">
        <f>H15&amp;" "&amp;TEXT(H16,"ddmmyy")</f>
        <v>63010074 050526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f>VLOOKUP("rig_param_identifier",AUTO!$A$1:$B$1051,2,FALSE)</f>
        <v>304</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112</v>
      </c>
      <c r="C65" s="407">
        <f>VLOOKUP("threshold1",AUTO!$A$1:$B$1051,2,FALSE)</f>
        <v>176</v>
      </c>
      <c r="D65" s="407">
        <f>VLOOKUP("threshold2",AUTO!$A$1:$B$1051,2,FALSE)</f>
        <v>714</v>
      </c>
      <c r="E65" s="407">
        <f>VLOOKUP("threshold3",AUTO!$A$1:$B$1051,2,FALSE)</f>
        <v>1314</v>
      </c>
      <c r="F65" s="407">
        <f>VLOOKUP("threshold4",AUTO!$A$1:$B$1051,2,FALSE)</f>
        <v>1794</v>
      </c>
      <c r="G65" s="407">
        <f>VLOOKUP("threshold5",AUTO!$A$1:$B$1051,2,FALSE)</f>
        <v>4348</v>
      </c>
      <c r="H65" s="407">
        <f>VLOOKUP("threshold6",AUTO!$A$1:$B$1051,2,FALSE)</f>
        <v>6298</v>
      </c>
      <c r="I65" s="407">
        <f>VLOOKUP("threshold7",AUTO!$A$1:$B$1051,2,FALSE)</f>
        <v>14290</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1037710</v>
      </c>
      <c r="C68" s="391">
        <f>VLOOKUP("verification_count_1_0",AUTO!$A$1:$B$1051,2,FALSE)</f>
        <v>1047870</v>
      </c>
      <c r="D68" s="379">
        <f>(C68-B68)/B68</f>
        <v>9.7907893342070521E-3</v>
      </c>
      <c r="E68" s="391"/>
      <c r="F68" s="379"/>
      <c r="G68" s="391"/>
      <c r="H68" s="379"/>
      <c r="I68" s="412">
        <f>(C68)</f>
        <v>1047870</v>
      </c>
      <c r="J68" s="379">
        <f>(I68-$B68)/$B68</f>
        <v>9.7907893342070521E-3</v>
      </c>
    </row>
    <row r="69" spans="1:10" ht="18" customHeight="1" x14ac:dyDescent="0.2">
      <c r="A69" s="410">
        <v>6</v>
      </c>
      <c r="B69" s="411">
        <f>VLOOKUP("reference_count_1",AUTO!$A$1:$B$1051,2,FALSE)</f>
        <v>432580</v>
      </c>
      <c r="C69" s="391">
        <f>VLOOKUP("verification_count_1_1",AUTO!$A$1:$B$1051,2,FALSE)</f>
        <v>431351</v>
      </c>
      <c r="D69" s="379">
        <f t="shared" ref="D69:D76" si="0">(C69-B69)/B69</f>
        <v>-2.8410929770215916E-3</v>
      </c>
      <c r="E69" s="391"/>
      <c r="F69" s="379"/>
      <c r="G69" s="391"/>
      <c r="H69" s="379"/>
      <c r="I69" s="412">
        <f t="shared" ref="I69:I76" si="1">(C69)</f>
        <v>431351</v>
      </c>
      <c r="J69" s="379">
        <f t="shared" ref="J69:J76" si="2">(I69-$B69)/$B69</f>
        <v>-2.8410929770215916E-3</v>
      </c>
    </row>
    <row r="70" spans="1:10" ht="18" customHeight="1" x14ac:dyDescent="0.2">
      <c r="A70" s="410">
        <v>10</v>
      </c>
      <c r="B70" s="411">
        <f>VLOOKUP("reference_count32_6",AUTO!$A$1:$B$1051,2,FALSE)*100</f>
        <v>97240</v>
      </c>
      <c r="C70" s="413">
        <f>VLOOKUP("verification_count32_1_6",AUTO!$A$1:$B$1051,2,FALSE)*100</f>
        <v>96948.1</v>
      </c>
      <c r="D70" s="379">
        <f t="shared" si="0"/>
        <v>-3.0018510900863245E-3</v>
      </c>
      <c r="E70" s="413"/>
      <c r="F70" s="379"/>
      <c r="G70" s="413"/>
      <c r="H70" s="379"/>
      <c r="I70" s="412">
        <f t="shared" si="1"/>
        <v>96948.1</v>
      </c>
      <c r="J70" s="379">
        <f t="shared" si="2"/>
        <v>-3.0018510900863245E-3</v>
      </c>
    </row>
    <row r="71" spans="1:10" ht="18" customHeight="1" x14ac:dyDescent="0.2">
      <c r="A71" s="410">
        <v>14</v>
      </c>
      <c r="B71" s="411">
        <f>VLOOKUP("reference_count_2",AUTO!$A$1:$B$1051,2,FALSE)</f>
        <v>31970</v>
      </c>
      <c r="C71" s="391">
        <f>VLOOKUP("verification_count_1_2",AUTO!$A$1:$B$1051,2,FALSE)</f>
        <v>32014</v>
      </c>
      <c r="D71" s="379">
        <f t="shared" si="0"/>
        <v>1.3762902721301219E-3</v>
      </c>
      <c r="E71" s="391"/>
      <c r="F71" s="379"/>
      <c r="G71" s="391"/>
      <c r="H71" s="379"/>
      <c r="I71" s="412">
        <f t="shared" si="1"/>
        <v>32014</v>
      </c>
      <c r="J71" s="379">
        <f t="shared" si="2"/>
        <v>1.3762902721301219E-3</v>
      </c>
    </row>
    <row r="72" spans="1:10" ht="18" customHeight="1" x14ac:dyDescent="0.2">
      <c r="A72" s="410">
        <v>21</v>
      </c>
      <c r="B72" s="411">
        <f>VLOOKUP("reference_count_3",AUTO!$A$1:$B$1051,2,FALSE)</f>
        <v>9870</v>
      </c>
      <c r="C72" s="391">
        <f>VLOOKUP("verification_count_1_3",AUTO!$A$1:$B$1051,2,FALSE)</f>
        <v>9858</v>
      </c>
      <c r="D72" s="379">
        <f t="shared" si="0"/>
        <v>-1.2158054711246201E-3</v>
      </c>
      <c r="E72" s="391"/>
      <c r="F72" s="379"/>
      <c r="G72" s="391"/>
      <c r="H72" s="379"/>
      <c r="I72" s="412">
        <f t="shared" si="1"/>
        <v>9858</v>
      </c>
      <c r="J72" s="379">
        <f t="shared" si="2"/>
        <v>-1.2158054711246201E-3</v>
      </c>
    </row>
    <row r="73" spans="1:10" ht="18" customHeight="1" x14ac:dyDescent="0.2">
      <c r="A73" s="410">
        <v>25</v>
      </c>
      <c r="B73" s="411">
        <f>VLOOKUP("reference_count_4",AUTO!$A$1:$B$1051,2,FALSE)</f>
        <v>5300</v>
      </c>
      <c r="C73" s="391">
        <f>VLOOKUP("verification_count_1_4",AUTO!$A$1:$B$1051,2,FALSE)</f>
        <v>5300</v>
      </c>
      <c r="D73" s="379">
        <f t="shared" si="0"/>
        <v>0</v>
      </c>
      <c r="E73" s="391"/>
      <c r="F73" s="379"/>
      <c r="G73" s="391"/>
      <c r="H73" s="379"/>
      <c r="I73" s="412">
        <f t="shared" si="1"/>
        <v>5300</v>
      </c>
      <c r="J73" s="379">
        <f t="shared" si="2"/>
        <v>0</v>
      </c>
    </row>
    <row r="74" spans="1:10" ht="18" customHeight="1" x14ac:dyDescent="0.2">
      <c r="A74" s="410">
        <v>38</v>
      </c>
      <c r="B74" s="411">
        <f>VLOOKUP("reference_count_5",AUTO!$A$1:$B$1051,2,FALSE)</f>
        <v>1180</v>
      </c>
      <c r="C74" s="391">
        <f>VLOOKUP("verification_count_1_5",AUTO!$A$1:$B$1051,2,FALSE)</f>
        <v>1181</v>
      </c>
      <c r="D74" s="379">
        <f t="shared" si="0"/>
        <v>8.4745762711864404E-4</v>
      </c>
      <c r="E74" s="391"/>
      <c r="F74" s="379"/>
      <c r="G74" s="391"/>
      <c r="H74" s="379"/>
      <c r="I74" s="412">
        <f t="shared" si="1"/>
        <v>1181</v>
      </c>
      <c r="J74" s="379">
        <f t="shared" si="2"/>
        <v>8.4745762711864404E-4</v>
      </c>
    </row>
    <row r="75" spans="1:10" ht="18" customHeight="1" x14ac:dyDescent="0.2">
      <c r="A75" s="410">
        <v>50</v>
      </c>
      <c r="B75" s="411">
        <f>VLOOKUP("reference_count_6",AUTO!$A$1:$B$1051,2,FALSE)</f>
        <v>640</v>
      </c>
      <c r="C75" s="391">
        <f>VLOOKUP("verification_count_1_6",AUTO!$A$1:$B$1051,2,FALSE)</f>
        <v>637</v>
      </c>
      <c r="D75" s="379">
        <f t="shared" si="0"/>
        <v>-4.6874999999999998E-3</v>
      </c>
      <c r="E75" s="391"/>
      <c r="F75" s="379"/>
      <c r="G75" s="391"/>
      <c r="H75" s="379"/>
      <c r="I75" s="412">
        <f t="shared" si="1"/>
        <v>637</v>
      </c>
      <c r="J75" s="379">
        <f t="shared" si="2"/>
        <v>-4.6874999999999998E-3</v>
      </c>
    </row>
    <row r="76" spans="1:10" ht="18" customHeight="1" x14ac:dyDescent="0.2">
      <c r="A76" s="410">
        <v>70</v>
      </c>
      <c r="B76" s="411">
        <f>VLOOKUP("reference_count_7",AUTO!$A$1:$B$1051,2,FALSE)</f>
        <v>140</v>
      </c>
      <c r="C76" s="391">
        <f>VLOOKUP("verification_count_1_7",AUTO!$A$1:$B$1051,2,FALSE)</f>
        <v>139</v>
      </c>
      <c r="D76" s="379">
        <f t="shared" si="0"/>
        <v>-7.1428571428571426E-3</v>
      </c>
      <c r="E76" s="391"/>
      <c r="F76" s="379"/>
      <c r="G76" s="391"/>
      <c r="H76" s="379"/>
      <c r="I76" s="412">
        <f t="shared" si="1"/>
        <v>139</v>
      </c>
      <c r="J76" s="379">
        <f t="shared" si="2"/>
        <v>-7.1428571428571426E-3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topLeftCell="A4" zoomScale="55" zoomScaleNormal="40" zoomScaleSheetLayoutView="55" zoomScalePageLayoutView="40" workbookViewId="0">
      <selection activeCell="K40" sqref="D40:K44"/>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63010074</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22">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596"/>
      <c r="J28" s="425">
        <f>'Auto-Calibration record'!I68</f>
        <v>1047870</v>
      </c>
      <c r="K28" s="425">
        <f t="shared" ref="K28:K33" si="0">J28-H28</f>
        <v>10160</v>
      </c>
      <c r="L28" s="383">
        <f t="shared" ref="L28:L33" si="1">K28/H28</f>
        <v>9.7907893342070521E-3</v>
      </c>
    </row>
    <row r="29" spans="2:15" s="77" customFormat="1" ht="25.9" customHeight="1" x14ac:dyDescent="0.2">
      <c r="D29" s="585" t="s">
        <v>909</v>
      </c>
      <c r="E29" s="585"/>
      <c r="F29" s="600">
        <f>'Auto-Calibration record'!C65</f>
        <v>176</v>
      </c>
      <c r="G29" s="600"/>
      <c r="H29" s="596">
        <f>'Auto-Calibration record'!B69</f>
        <v>432580</v>
      </c>
      <c r="I29" s="596"/>
      <c r="J29" s="425">
        <f>'Auto-Calibration record'!I69</f>
        <v>431351</v>
      </c>
      <c r="K29" s="425">
        <f t="shared" si="0"/>
        <v>-1229</v>
      </c>
      <c r="L29" s="383">
        <f t="shared" si="1"/>
        <v>-2.8410929770215916E-3</v>
      </c>
    </row>
    <row r="30" spans="2:15" s="77" customFormat="1" ht="25.9" customHeight="1" x14ac:dyDescent="0.2">
      <c r="D30" s="585" t="s">
        <v>910</v>
      </c>
      <c r="E30" s="585"/>
      <c r="F30" s="600">
        <f>'Auto-Calibration record'!D65</f>
        <v>714</v>
      </c>
      <c r="G30" s="600"/>
      <c r="H30" s="596">
        <f>'Auto-Calibration record'!B71</f>
        <v>31970</v>
      </c>
      <c r="I30" s="596"/>
      <c r="J30" s="425">
        <f>'Auto-Calibration record'!I71</f>
        <v>32014</v>
      </c>
      <c r="K30" s="425">
        <f t="shared" si="0"/>
        <v>44</v>
      </c>
      <c r="L30" s="383">
        <f t="shared" si="1"/>
        <v>1.3762902721301219E-3</v>
      </c>
    </row>
    <row r="31" spans="2:15" s="77" customFormat="1" ht="25.9" customHeight="1" x14ac:dyDescent="0.2">
      <c r="D31" s="585" t="s">
        <v>911</v>
      </c>
      <c r="E31" s="585"/>
      <c r="F31" s="600">
        <f>'Auto-Calibration record'!E65</f>
        <v>1314</v>
      </c>
      <c r="G31" s="600"/>
      <c r="H31" s="596">
        <f>'Auto-Calibration record'!B72</f>
        <v>9870</v>
      </c>
      <c r="I31" s="596"/>
      <c r="J31" s="425">
        <f>'Auto-Calibration record'!I72</f>
        <v>9858</v>
      </c>
      <c r="K31" s="425">
        <f t="shared" si="0"/>
        <v>-12</v>
      </c>
      <c r="L31" s="383">
        <f t="shared" si="1"/>
        <v>-1.2158054711246201E-3</v>
      </c>
    </row>
    <row r="32" spans="2:15" s="77" customFormat="1" ht="25.9" customHeight="1" x14ac:dyDescent="0.2">
      <c r="D32" s="585" t="s">
        <v>912</v>
      </c>
      <c r="E32" s="585"/>
      <c r="F32" s="600">
        <f>'Auto-Calibration record'!F65</f>
        <v>1794</v>
      </c>
      <c r="G32" s="600"/>
      <c r="H32" s="596">
        <f>'Auto-Calibration record'!B73</f>
        <v>5300</v>
      </c>
      <c r="I32" s="596"/>
      <c r="J32" s="425">
        <f>'Auto-Calibration record'!I73</f>
        <v>5300</v>
      </c>
      <c r="K32" s="425">
        <f t="shared" si="0"/>
        <v>0</v>
      </c>
      <c r="L32" s="383">
        <f t="shared" si="1"/>
        <v>0</v>
      </c>
    </row>
    <row r="33" spans="2:12" s="77" customFormat="1" ht="25.9" customHeight="1" x14ac:dyDescent="0.2">
      <c r="D33" s="585" t="s">
        <v>913</v>
      </c>
      <c r="E33" s="585"/>
      <c r="F33" s="600">
        <f>'Auto-Calibration record'!G65</f>
        <v>4348</v>
      </c>
      <c r="G33" s="600"/>
      <c r="H33" s="596">
        <f>'Auto-Calibration record'!B74</f>
        <v>1180</v>
      </c>
      <c r="I33" s="596"/>
      <c r="J33" s="425">
        <f>'Auto-Calibration record'!I74</f>
        <v>1181</v>
      </c>
      <c r="K33" s="425">
        <f t="shared" si="0"/>
        <v>1</v>
      </c>
      <c r="L33" s="383">
        <f t="shared" si="1"/>
        <v>8.4745762711864404E-4</v>
      </c>
    </row>
    <row r="34" spans="2:12" s="77" customFormat="1" ht="25.9" customHeight="1" x14ac:dyDescent="0.2">
      <c r="D34" s="585" t="s">
        <v>914</v>
      </c>
      <c r="E34" s="585"/>
      <c r="F34" s="600">
        <f>'Auto-Calibration record'!H65</f>
        <v>6298</v>
      </c>
      <c r="G34" s="600"/>
      <c r="H34" s="596">
        <f>'Auto-Calibration record'!B75</f>
        <v>640</v>
      </c>
      <c r="I34" s="596"/>
      <c r="J34" s="425">
        <f>'Auto-Calibration record'!I75</f>
        <v>637</v>
      </c>
      <c r="K34" s="425" t="s">
        <v>321</v>
      </c>
      <c r="L34" s="426" t="s">
        <v>321</v>
      </c>
    </row>
    <row r="35" spans="2:12" s="72" customFormat="1" ht="25.9" customHeight="1" x14ac:dyDescent="0.25">
      <c r="D35" s="585" t="s">
        <v>915</v>
      </c>
      <c r="E35" s="585"/>
      <c r="F35" s="601">
        <f>'Auto-Calibration record'!I65</f>
        <v>14290</v>
      </c>
      <c r="G35" s="601"/>
      <c r="H35" s="596">
        <f>'Auto-Calibration record'!B76</f>
        <v>140</v>
      </c>
      <c r="I35" s="596"/>
      <c r="J35" s="427">
        <f>'Auto-Calibration record'!I76</f>
        <v>139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54</v>
      </c>
      <c r="E40" s="596">
        <f>F28-D40</f>
        <v>58</v>
      </c>
      <c r="F40" s="596"/>
      <c r="G40" s="610">
        <f>F28/D40</f>
        <v>2.074074074074074</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062810074</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062810074</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46147.7</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062810074</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54</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112</v>
      </c>
      <c r="D57" s="614">
        <f>'Auto-Calibration record'!B68</f>
        <v>1037710</v>
      </c>
      <c r="E57" s="615"/>
      <c r="F57" s="435">
        <f>'Auto-Calibration record'!I68</f>
        <v>1047870</v>
      </c>
      <c r="G57" s="434">
        <f t="shared" ref="G57:G62" si="0">F57-D57</f>
        <v>10160</v>
      </c>
      <c r="H57" s="93">
        <f t="shared" ref="H57:H62" si="1">G57/D57</f>
        <v>9.7907893342070521E-3</v>
      </c>
      <c r="I57" s="59"/>
    </row>
    <row r="58" spans="1:10" s="37" customFormat="1" x14ac:dyDescent="0.2">
      <c r="A58" s="2"/>
      <c r="B58" s="92">
        <v>6</v>
      </c>
      <c r="C58" s="434">
        <f>'Auto-Calibration record'!C65</f>
        <v>176</v>
      </c>
      <c r="D58" s="614">
        <f>'Auto-Calibration record'!B69</f>
        <v>432580</v>
      </c>
      <c r="E58" s="615"/>
      <c r="F58" s="435">
        <f>'Auto-Calibration record'!I69</f>
        <v>431351</v>
      </c>
      <c r="G58" s="434">
        <f t="shared" si="0"/>
        <v>-1229</v>
      </c>
      <c r="H58" s="93">
        <f t="shared" si="1"/>
        <v>-2.8410929770215916E-3</v>
      </c>
      <c r="I58" s="59"/>
    </row>
    <row r="59" spans="1:10" x14ac:dyDescent="0.2">
      <c r="B59" s="92">
        <v>14</v>
      </c>
      <c r="C59" s="434">
        <f>'Auto-Calibration record'!D65</f>
        <v>714</v>
      </c>
      <c r="D59" s="614">
        <f>'Auto-Calibration record'!B71</f>
        <v>31970</v>
      </c>
      <c r="E59" s="615"/>
      <c r="F59" s="435">
        <f>'Auto-Calibration record'!I71</f>
        <v>32014</v>
      </c>
      <c r="G59" s="434">
        <f t="shared" si="0"/>
        <v>44</v>
      </c>
      <c r="H59" s="93">
        <f t="shared" si="1"/>
        <v>1.3762902721301219E-3</v>
      </c>
      <c r="I59" s="59"/>
    </row>
    <row r="60" spans="1:10" x14ac:dyDescent="0.2">
      <c r="A60" s="37"/>
      <c r="B60" s="92">
        <v>21</v>
      </c>
      <c r="C60" s="434">
        <f>'Auto-Calibration record'!E65</f>
        <v>1314</v>
      </c>
      <c r="D60" s="614">
        <f>'Auto-Calibration record'!B72</f>
        <v>9870</v>
      </c>
      <c r="E60" s="615"/>
      <c r="F60" s="435">
        <f>'Auto-Calibration record'!I72</f>
        <v>9858</v>
      </c>
      <c r="G60" s="434">
        <f t="shared" si="0"/>
        <v>-12</v>
      </c>
      <c r="H60" s="93">
        <f t="shared" si="1"/>
        <v>-1.2158054711246201E-3</v>
      </c>
      <c r="I60" s="59"/>
    </row>
    <row r="61" spans="1:10" x14ac:dyDescent="0.2">
      <c r="B61" s="92">
        <v>25</v>
      </c>
      <c r="C61" s="434">
        <f>'Auto-Calibration record'!F65</f>
        <v>1794</v>
      </c>
      <c r="D61" s="614">
        <f>'Auto-Calibration record'!B73</f>
        <v>5300</v>
      </c>
      <c r="E61" s="615"/>
      <c r="F61" s="435">
        <f>'Auto-Calibration record'!I73</f>
        <v>5300</v>
      </c>
      <c r="G61" s="434">
        <f t="shared" si="0"/>
        <v>0</v>
      </c>
      <c r="H61" s="93">
        <f t="shared" si="1"/>
        <v>0</v>
      </c>
      <c r="I61" s="59"/>
    </row>
    <row r="62" spans="1:10" x14ac:dyDescent="0.2">
      <c r="A62" s="2"/>
      <c r="B62" s="92">
        <v>38</v>
      </c>
      <c r="C62" s="434">
        <f>'Auto-Calibration record'!G65</f>
        <v>4348</v>
      </c>
      <c r="D62" s="614">
        <f>'Auto-Calibration record'!B74</f>
        <v>1180</v>
      </c>
      <c r="E62" s="615"/>
      <c r="F62" s="435">
        <f>'Auto-Calibration record'!I74</f>
        <v>1181</v>
      </c>
      <c r="G62" s="434">
        <f t="shared" si="0"/>
        <v>1</v>
      </c>
      <c r="H62" s="93">
        <f t="shared" si="1"/>
        <v>8.4745762711864404E-4</v>
      </c>
      <c r="I62" s="59"/>
    </row>
    <row r="63" spans="1:10" x14ac:dyDescent="0.2">
      <c r="B63" s="92" t="s">
        <v>979</v>
      </c>
      <c r="C63" s="434">
        <f>'Auto-Calibration record'!H65</f>
        <v>6298</v>
      </c>
      <c r="D63" s="614">
        <f>'Auto-Calibration record'!B75</f>
        <v>640</v>
      </c>
      <c r="E63" s="615"/>
      <c r="F63" s="435">
        <f>'Auto-Calibration record'!I75</f>
        <v>637</v>
      </c>
      <c r="G63" s="436" t="s">
        <v>321</v>
      </c>
      <c r="H63" s="254" t="s">
        <v>321</v>
      </c>
      <c r="I63" s="59"/>
    </row>
    <row r="64" spans="1:10" ht="13.5" thickBot="1" x14ac:dyDescent="0.25">
      <c r="A64" s="37"/>
      <c r="B64" s="94" t="s">
        <v>980</v>
      </c>
      <c r="C64" s="95">
        <f>'Auto-Calibration record'!I65</f>
        <v>14290</v>
      </c>
      <c r="D64" s="614">
        <f>'Auto-Calibration record'!B76</f>
        <v>140</v>
      </c>
      <c r="E64" s="615"/>
      <c r="F64" s="102">
        <f>'Auto-Calibration record'!I76</f>
        <v>139</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46147.7</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38">
        <f>'Auto-Calibration record'!H19</f>
        <v>304</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112</v>
      </c>
      <c r="G34" s="600"/>
      <c r="H34" s="596">
        <f>'Auto-Calibration record'!B68</f>
        <v>1037710</v>
      </c>
      <c r="I34" s="626"/>
      <c r="J34" s="442">
        <f>'Auto-Calibration record'!I68</f>
        <v>1047870</v>
      </c>
      <c r="K34" s="425">
        <f t="shared" ref="K34:K39" si="0">J34-H34</f>
        <v>10160</v>
      </c>
      <c r="L34" s="443">
        <f t="shared" ref="L34:L39" si="1">K34/H34</f>
        <v>9.7907893342070521E-3</v>
      </c>
    </row>
    <row r="35" spans="2:12" s="77" customFormat="1" ht="25.9" customHeight="1" x14ac:dyDescent="0.2">
      <c r="D35" s="585" t="s">
        <v>909</v>
      </c>
      <c r="E35" s="585"/>
      <c r="F35" s="600">
        <f>'Auto-Calibration record'!C65</f>
        <v>176</v>
      </c>
      <c r="G35" s="600"/>
      <c r="H35" s="596">
        <f>'Auto-Calibration record'!B69</f>
        <v>432580</v>
      </c>
      <c r="I35" s="626"/>
      <c r="J35" s="442">
        <f>'Auto-Calibration record'!I69</f>
        <v>431351</v>
      </c>
      <c r="K35" s="425">
        <f t="shared" si="0"/>
        <v>-1229</v>
      </c>
      <c r="L35" s="443">
        <f t="shared" si="1"/>
        <v>-2.8410929770215916E-3</v>
      </c>
    </row>
    <row r="36" spans="2:12" s="77" customFormat="1" ht="25.9" customHeight="1" x14ac:dyDescent="0.2">
      <c r="D36" s="585" t="s">
        <v>910</v>
      </c>
      <c r="E36" s="585"/>
      <c r="F36" s="600">
        <f>'Auto-Calibration record'!D65</f>
        <v>714</v>
      </c>
      <c r="G36" s="600"/>
      <c r="H36" s="596">
        <f>'Auto-Calibration record'!B71</f>
        <v>31970</v>
      </c>
      <c r="I36" s="626"/>
      <c r="J36" s="442">
        <f>'Auto-Calibration record'!I71</f>
        <v>32014</v>
      </c>
      <c r="K36" s="425">
        <f t="shared" si="0"/>
        <v>44</v>
      </c>
      <c r="L36" s="443">
        <f t="shared" si="1"/>
        <v>1.3762902721301219E-3</v>
      </c>
    </row>
    <row r="37" spans="2:12" s="77" customFormat="1" ht="25.9" customHeight="1" x14ac:dyDescent="0.2">
      <c r="D37" s="585" t="s">
        <v>911</v>
      </c>
      <c r="E37" s="585"/>
      <c r="F37" s="600">
        <f>'Auto-Calibration record'!E65</f>
        <v>1314</v>
      </c>
      <c r="G37" s="600"/>
      <c r="H37" s="596">
        <f>'Auto-Calibration record'!B72</f>
        <v>9870</v>
      </c>
      <c r="I37" s="626"/>
      <c r="J37" s="442">
        <f>'Auto-Calibration record'!I72</f>
        <v>9858</v>
      </c>
      <c r="K37" s="425">
        <f t="shared" si="0"/>
        <v>-12</v>
      </c>
      <c r="L37" s="443">
        <f t="shared" si="1"/>
        <v>-1.2158054711246201E-3</v>
      </c>
    </row>
    <row r="38" spans="2:12" s="77" customFormat="1" ht="25.9" customHeight="1" x14ac:dyDescent="0.2">
      <c r="D38" s="585" t="s">
        <v>912</v>
      </c>
      <c r="E38" s="585"/>
      <c r="F38" s="600">
        <f>'Auto-Calibration record'!F65</f>
        <v>1794</v>
      </c>
      <c r="G38" s="600"/>
      <c r="H38" s="596">
        <f>'Auto-Calibration record'!B73</f>
        <v>5300</v>
      </c>
      <c r="I38" s="626"/>
      <c r="J38" s="442">
        <f>'Auto-Calibration record'!I73</f>
        <v>5300</v>
      </c>
      <c r="K38" s="425">
        <f t="shared" si="0"/>
        <v>0</v>
      </c>
      <c r="L38" s="443">
        <f t="shared" si="1"/>
        <v>0</v>
      </c>
    </row>
    <row r="39" spans="2:12" s="77" customFormat="1" ht="25.9" customHeight="1" x14ac:dyDescent="0.2">
      <c r="D39" s="585" t="s">
        <v>913</v>
      </c>
      <c r="E39" s="585"/>
      <c r="F39" s="600">
        <f>'Auto-Calibration record'!G65</f>
        <v>4348</v>
      </c>
      <c r="G39" s="600"/>
      <c r="H39" s="596">
        <f>'Auto-Calibration record'!B74</f>
        <v>1180</v>
      </c>
      <c r="I39" s="626"/>
      <c r="J39" s="442">
        <f>'Auto-Calibration record'!I74</f>
        <v>1181</v>
      </c>
      <c r="K39" s="425">
        <f t="shared" si="0"/>
        <v>1</v>
      </c>
      <c r="L39" s="443">
        <f t="shared" si="1"/>
        <v>8.4745762711864404E-4</v>
      </c>
    </row>
    <row r="40" spans="2:12" s="77" customFormat="1" ht="25.9" customHeight="1" x14ac:dyDescent="0.2">
      <c r="D40" s="585" t="s">
        <v>914</v>
      </c>
      <c r="E40" s="585"/>
      <c r="F40" s="600">
        <f>'Auto-Calibration record'!H65</f>
        <v>6298</v>
      </c>
      <c r="G40" s="600"/>
      <c r="H40" s="596">
        <f>'Auto-Calibration record'!B75</f>
        <v>640</v>
      </c>
      <c r="I40" s="626"/>
      <c r="J40" s="442">
        <f>'Auto-Calibration record'!I75</f>
        <v>637</v>
      </c>
      <c r="K40" s="425" t="s">
        <v>321</v>
      </c>
      <c r="L40" s="426" t="s">
        <v>321</v>
      </c>
    </row>
    <row r="41" spans="2:12" s="72" customFormat="1" ht="25.9" customHeight="1" x14ac:dyDescent="0.25">
      <c r="D41" s="585" t="s">
        <v>915</v>
      </c>
      <c r="E41" s="585"/>
      <c r="F41" s="601">
        <f>'Auto-Calibration record'!I65</f>
        <v>14290</v>
      </c>
      <c r="G41" s="601"/>
      <c r="H41" s="596">
        <f>'Auto-Calibration record'!B76</f>
        <v>140</v>
      </c>
      <c r="I41" s="626"/>
      <c r="J41" s="442">
        <f>'Auto-Calibration record'!I76</f>
        <v>139</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112</v>
      </c>
      <c r="F46" s="596"/>
      <c r="G46" s="610" t="e">
        <f>F34/D46</f>
        <v>#DIV/0!</v>
      </c>
      <c r="H46" s="610"/>
      <c r="I46" s="81"/>
      <c r="J46" s="428">
        <f>'Auto-Calibration record'!B11</f>
        <v>54</v>
      </c>
      <c r="K46" s="425">
        <f>F35-J46</f>
        <v>122</v>
      </c>
      <c r="L46" s="429">
        <f>F35/J46</f>
        <v>3.2592592592592591</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44">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626"/>
      <c r="J28" s="442">
        <f>'Auto-Calibration record'!I68</f>
        <v>1047870</v>
      </c>
      <c r="K28" s="425">
        <f t="shared" ref="K28:K33" si="0">J28-H28</f>
        <v>10160</v>
      </c>
      <c r="L28" s="443">
        <f t="shared" ref="L28:L33" si="1">K28/H28</f>
        <v>9.7907893342070521E-3</v>
      </c>
    </row>
    <row r="29" spans="2:15" s="77" customFormat="1" ht="25.9" customHeight="1" x14ac:dyDescent="0.2">
      <c r="D29" s="585" t="s">
        <v>909</v>
      </c>
      <c r="E29" s="585"/>
      <c r="F29" s="600">
        <f>'Auto-Calibration record'!C65</f>
        <v>176</v>
      </c>
      <c r="G29" s="600"/>
      <c r="H29" s="596">
        <f>'Auto-Calibration record'!B69</f>
        <v>432580</v>
      </c>
      <c r="I29" s="626"/>
      <c r="J29" s="442">
        <f>'Auto-Calibration record'!I69</f>
        <v>431351</v>
      </c>
      <c r="K29" s="425">
        <f t="shared" si="0"/>
        <v>-1229</v>
      </c>
      <c r="L29" s="443">
        <f t="shared" si="1"/>
        <v>-2.8410929770215916E-3</v>
      </c>
    </row>
    <row r="30" spans="2:15" s="77" customFormat="1" ht="25.9" customHeight="1" x14ac:dyDescent="0.2">
      <c r="D30" s="585" t="s">
        <v>910</v>
      </c>
      <c r="E30" s="585"/>
      <c r="F30" s="600">
        <f>'Auto-Calibration record'!D65</f>
        <v>714</v>
      </c>
      <c r="G30" s="600"/>
      <c r="H30" s="596">
        <f>'Auto-Calibration record'!B71</f>
        <v>31970</v>
      </c>
      <c r="I30" s="626"/>
      <c r="J30" s="442">
        <f>'Auto-Calibration record'!I71</f>
        <v>32014</v>
      </c>
      <c r="K30" s="425">
        <f t="shared" si="0"/>
        <v>44</v>
      </c>
      <c r="L30" s="443">
        <f t="shared" si="1"/>
        <v>1.3762902721301219E-3</v>
      </c>
    </row>
    <row r="31" spans="2:15" s="77" customFormat="1" ht="25.9" customHeight="1" x14ac:dyDescent="0.2">
      <c r="D31" s="585" t="s">
        <v>911</v>
      </c>
      <c r="E31" s="585"/>
      <c r="F31" s="600">
        <f>'Auto-Calibration record'!E65</f>
        <v>1314</v>
      </c>
      <c r="G31" s="600"/>
      <c r="H31" s="596">
        <f>'Auto-Calibration record'!B72</f>
        <v>9870</v>
      </c>
      <c r="I31" s="626"/>
      <c r="J31" s="442">
        <f>'Auto-Calibration record'!I72</f>
        <v>9858</v>
      </c>
      <c r="K31" s="425">
        <f t="shared" si="0"/>
        <v>-12</v>
      </c>
      <c r="L31" s="443">
        <f t="shared" si="1"/>
        <v>-1.2158054711246201E-3</v>
      </c>
    </row>
    <row r="32" spans="2:15" s="77" customFormat="1" ht="25.9" customHeight="1" x14ac:dyDescent="0.2">
      <c r="D32" s="585" t="s">
        <v>912</v>
      </c>
      <c r="E32" s="585"/>
      <c r="F32" s="600">
        <f>'Auto-Calibration record'!F65</f>
        <v>1794</v>
      </c>
      <c r="G32" s="600"/>
      <c r="H32" s="596">
        <f>'Auto-Calibration record'!B73</f>
        <v>5300</v>
      </c>
      <c r="I32" s="626"/>
      <c r="J32" s="442">
        <f>'Auto-Calibration record'!I73</f>
        <v>5300</v>
      </c>
      <c r="K32" s="425">
        <f t="shared" si="0"/>
        <v>0</v>
      </c>
      <c r="L32" s="443">
        <f t="shared" si="1"/>
        <v>0</v>
      </c>
    </row>
    <row r="33" spans="2:14" s="77" customFormat="1" ht="25.9" customHeight="1" x14ac:dyDescent="0.2">
      <c r="D33" s="585" t="s">
        <v>913</v>
      </c>
      <c r="E33" s="585"/>
      <c r="F33" s="600">
        <f>'Auto-Calibration record'!G65</f>
        <v>4348</v>
      </c>
      <c r="G33" s="600"/>
      <c r="H33" s="596">
        <f>'Auto-Calibration record'!B74</f>
        <v>1180</v>
      </c>
      <c r="I33" s="626"/>
      <c r="J33" s="442">
        <f>'Auto-Calibration record'!I74</f>
        <v>1181</v>
      </c>
      <c r="K33" s="425">
        <f t="shared" si="0"/>
        <v>1</v>
      </c>
      <c r="L33" s="443">
        <f t="shared" si="1"/>
        <v>8.4745762711864404E-4</v>
      </c>
    </row>
    <row r="34" spans="2:14" s="77" customFormat="1" ht="25.9" customHeight="1" x14ac:dyDescent="0.2">
      <c r="D34" s="585" t="s">
        <v>914</v>
      </c>
      <c r="E34" s="585"/>
      <c r="F34" s="600">
        <f>'Auto-Calibration record'!H65</f>
        <v>6298</v>
      </c>
      <c r="G34" s="600"/>
      <c r="H34" s="596">
        <f>'Auto-Calibration record'!B75</f>
        <v>640</v>
      </c>
      <c r="I34" s="626"/>
      <c r="J34" s="442">
        <f>'Auto-Calibration record'!I75</f>
        <v>637</v>
      </c>
      <c r="K34" s="425" t="s">
        <v>321</v>
      </c>
      <c r="L34" s="426" t="s">
        <v>321</v>
      </c>
    </row>
    <row r="35" spans="2:14" s="72" customFormat="1" ht="25.9" customHeight="1" x14ac:dyDescent="0.25">
      <c r="D35" s="585" t="s">
        <v>915</v>
      </c>
      <c r="E35" s="585"/>
      <c r="F35" s="601">
        <f>'Auto-Calibration record'!I65</f>
        <v>14290</v>
      </c>
      <c r="G35" s="601"/>
      <c r="H35" s="596">
        <f>'Auto-Calibration record'!B76</f>
        <v>140</v>
      </c>
      <c r="I35" s="626"/>
      <c r="J35" s="442">
        <f>'Auto-Calibration record'!I76</f>
        <v>139</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112</v>
      </c>
      <c r="F40" s="596"/>
      <c r="G40" s="610" t="e">
        <f>F28/D40</f>
        <v>#DIV/0!</v>
      </c>
      <c r="H40" s="610"/>
      <c r="I40" s="81"/>
      <c r="J40" s="428">
        <f>'Auto-Calibration record'!B11</f>
        <v>54</v>
      </c>
      <c r="K40" s="425">
        <f>F29-J40</f>
        <v>122</v>
      </c>
      <c r="L40" s="429">
        <f>F29/J40</f>
        <v>3.2592592592592591</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44">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626"/>
      <c r="J28" s="442">
        <f>'Auto-Calibration record'!I68</f>
        <v>1047870</v>
      </c>
      <c r="K28" s="425">
        <f t="shared" ref="K28:K33" si="0">J28-H28</f>
        <v>10160</v>
      </c>
      <c r="L28" s="443">
        <f t="shared" ref="L28:L33" si="1">K28/H28</f>
        <v>9.7907893342070521E-3</v>
      </c>
    </row>
    <row r="29" spans="2:15" s="77" customFormat="1" ht="25.9" customHeight="1" x14ac:dyDescent="0.2">
      <c r="D29" s="585" t="s">
        <v>909</v>
      </c>
      <c r="E29" s="585"/>
      <c r="F29" s="600">
        <f>'Auto-Calibration record'!C65</f>
        <v>176</v>
      </c>
      <c r="G29" s="600"/>
      <c r="H29" s="596">
        <f>'Auto-Calibration record'!B69</f>
        <v>432580</v>
      </c>
      <c r="I29" s="626"/>
      <c r="J29" s="442">
        <f>'Auto-Calibration record'!I69</f>
        <v>431351</v>
      </c>
      <c r="K29" s="425">
        <f t="shared" si="0"/>
        <v>-1229</v>
      </c>
      <c r="L29" s="443">
        <f t="shared" si="1"/>
        <v>-2.8410929770215916E-3</v>
      </c>
    </row>
    <row r="30" spans="2:15" s="77" customFormat="1" ht="25.9" customHeight="1" x14ac:dyDescent="0.2">
      <c r="D30" s="585" t="s">
        <v>910</v>
      </c>
      <c r="E30" s="585"/>
      <c r="F30" s="600">
        <f>'Auto-Calibration record'!D65</f>
        <v>714</v>
      </c>
      <c r="G30" s="600"/>
      <c r="H30" s="596">
        <f>'Auto-Calibration record'!B71</f>
        <v>31970</v>
      </c>
      <c r="I30" s="626"/>
      <c r="J30" s="442">
        <f>'Auto-Calibration record'!I71</f>
        <v>32014</v>
      </c>
      <c r="K30" s="425">
        <f t="shared" si="0"/>
        <v>44</v>
      </c>
      <c r="L30" s="443">
        <f t="shared" si="1"/>
        <v>1.3762902721301219E-3</v>
      </c>
    </row>
    <row r="31" spans="2:15" s="77" customFormat="1" ht="25.9" customHeight="1" x14ac:dyDescent="0.2">
      <c r="D31" s="585" t="s">
        <v>911</v>
      </c>
      <c r="E31" s="585"/>
      <c r="F31" s="600">
        <f>'Auto-Calibration record'!E65</f>
        <v>1314</v>
      </c>
      <c r="G31" s="600"/>
      <c r="H31" s="596">
        <f>'Auto-Calibration record'!B72</f>
        <v>9870</v>
      </c>
      <c r="I31" s="626"/>
      <c r="J31" s="442">
        <f>'Auto-Calibration record'!I72</f>
        <v>9858</v>
      </c>
      <c r="K31" s="425">
        <f t="shared" si="0"/>
        <v>-12</v>
      </c>
      <c r="L31" s="443">
        <f t="shared" si="1"/>
        <v>-1.2158054711246201E-3</v>
      </c>
    </row>
    <row r="32" spans="2:15" s="77" customFormat="1" ht="25.9" customHeight="1" x14ac:dyDescent="0.2">
      <c r="D32" s="585" t="s">
        <v>912</v>
      </c>
      <c r="E32" s="585"/>
      <c r="F32" s="600">
        <f>'Auto-Calibration record'!F65</f>
        <v>1794</v>
      </c>
      <c r="G32" s="600"/>
      <c r="H32" s="596">
        <f>'Auto-Calibration record'!B73</f>
        <v>5300</v>
      </c>
      <c r="I32" s="626"/>
      <c r="J32" s="442">
        <f>'Auto-Calibration record'!I73</f>
        <v>5300</v>
      </c>
      <c r="K32" s="425">
        <f t="shared" si="0"/>
        <v>0</v>
      </c>
      <c r="L32" s="443">
        <f t="shared" si="1"/>
        <v>0</v>
      </c>
    </row>
    <row r="33" spans="2:12" s="77" customFormat="1" ht="25.9" customHeight="1" x14ac:dyDescent="0.2">
      <c r="D33" s="585" t="s">
        <v>913</v>
      </c>
      <c r="E33" s="585"/>
      <c r="F33" s="600">
        <f>'Auto-Calibration record'!G65</f>
        <v>4348</v>
      </c>
      <c r="G33" s="600"/>
      <c r="H33" s="596">
        <f>'Auto-Calibration record'!B74</f>
        <v>1180</v>
      </c>
      <c r="I33" s="626"/>
      <c r="J33" s="442">
        <f>'Auto-Calibration record'!I74</f>
        <v>1181</v>
      </c>
      <c r="K33" s="425">
        <f t="shared" si="0"/>
        <v>1</v>
      </c>
      <c r="L33" s="443">
        <f t="shared" si="1"/>
        <v>8.4745762711864404E-4</v>
      </c>
    </row>
    <row r="34" spans="2:12" s="77" customFormat="1" ht="25.9" customHeight="1" x14ac:dyDescent="0.2">
      <c r="D34" s="585" t="s">
        <v>914</v>
      </c>
      <c r="E34" s="585"/>
      <c r="F34" s="600">
        <f>'Auto-Calibration record'!H65</f>
        <v>6298</v>
      </c>
      <c r="G34" s="600"/>
      <c r="H34" s="596">
        <f>'Auto-Calibration record'!B75</f>
        <v>640</v>
      </c>
      <c r="I34" s="626"/>
      <c r="J34" s="442">
        <f>'Auto-Calibration record'!I75</f>
        <v>637</v>
      </c>
      <c r="K34" s="425" t="s">
        <v>321</v>
      </c>
      <c r="L34" s="426" t="s">
        <v>321</v>
      </c>
    </row>
    <row r="35" spans="2:12" s="72" customFormat="1" ht="25.9" customHeight="1" x14ac:dyDescent="0.25">
      <c r="D35" s="585" t="s">
        <v>915</v>
      </c>
      <c r="E35" s="585"/>
      <c r="F35" s="601">
        <f>'Auto-Calibration record'!I65</f>
        <v>14290</v>
      </c>
      <c r="G35" s="601"/>
      <c r="H35" s="596">
        <f>'Auto-Calibration record'!B76</f>
        <v>140</v>
      </c>
      <c r="I35" s="626"/>
      <c r="J35" s="442">
        <f>'Auto-Calibration record'!I76</f>
        <v>139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112</v>
      </c>
      <c r="F40" s="596"/>
      <c r="G40" s="610" t="e">
        <f>F28/D40</f>
        <v>#DIV/0!</v>
      </c>
      <c r="H40" s="610"/>
      <c r="I40" s="81"/>
      <c r="J40" s="428">
        <f>'Auto-Calibration record'!B11</f>
        <v>54</v>
      </c>
      <c r="K40" s="425">
        <f>F29-J40</f>
        <v>122</v>
      </c>
      <c r="L40" s="429">
        <f>F29/J40</f>
        <v>3.2592592592592591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44">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626"/>
      <c r="J28" s="442">
        <f>'Auto-Calibration record'!I68</f>
        <v>1047870</v>
      </c>
      <c r="K28" s="425">
        <f t="shared" ref="K28:K33" si="0">J28-H28</f>
        <v>10160</v>
      </c>
      <c r="L28" s="443">
        <f t="shared" ref="L28:L33" si="1">K28/H28</f>
        <v>9.7907893342070521E-3</v>
      </c>
    </row>
    <row r="29" spans="2:15" s="77" customFormat="1" ht="25.9" customHeight="1" x14ac:dyDescent="0.2">
      <c r="D29" s="585" t="s">
        <v>909</v>
      </c>
      <c r="E29" s="585"/>
      <c r="F29" s="600">
        <f>'Auto-Calibration record'!C65</f>
        <v>176</v>
      </c>
      <c r="G29" s="600"/>
      <c r="H29" s="596">
        <f>'Auto-Calibration record'!B69</f>
        <v>432580</v>
      </c>
      <c r="I29" s="626"/>
      <c r="J29" s="442">
        <f>'Auto-Calibration record'!I69</f>
        <v>431351</v>
      </c>
      <c r="K29" s="425">
        <f t="shared" si="0"/>
        <v>-1229</v>
      </c>
      <c r="L29" s="443">
        <f t="shared" si="1"/>
        <v>-2.8410929770215916E-3</v>
      </c>
    </row>
    <row r="30" spans="2:15" s="77" customFormat="1" ht="25.9" customHeight="1" x14ac:dyDescent="0.2">
      <c r="D30" s="585" t="s">
        <v>910</v>
      </c>
      <c r="E30" s="585"/>
      <c r="F30" s="600">
        <f>'Auto-Calibration record'!D65</f>
        <v>714</v>
      </c>
      <c r="G30" s="600"/>
      <c r="H30" s="596">
        <f>'Auto-Calibration record'!B71</f>
        <v>31970</v>
      </c>
      <c r="I30" s="626"/>
      <c r="J30" s="442">
        <f>'Auto-Calibration record'!I71</f>
        <v>32014</v>
      </c>
      <c r="K30" s="425">
        <f t="shared" si="0"/>
        <v>44</v>
      </c>
      <c r="L30" s="443">
        <f t="shared" si="1"/>
        <v>1.3762902721301219E-3</v>
      </c>
    </row>
    <row r="31" spans="2:15" s="77" customFormat="1" ht="25.9" customHeight="1" x14ac:dyDescent="0.2">
      <c r="D31" s="585" t="s">
        <v>911</v>
      </c>
      <c r="E31" s="585"/>
      <c r="F31" s="600">
        <f>'Auto-Calibration record'!E65</f>
        <v>1314</v>
      </c>
      <c r="G31" s="600"/>
      <c r="H31" s="596">
        <f>'Auto-Calibration record'!B72</f>
        <v>9870</v>
      </c>
      <c r="I31" s="626"/>
      <c r="J31" s="442">
        <f>'Auto-Calibration record'!I72</f>
        <v>9858</v>
      </c>
      <c r="K31" s="425">
        <f t="shared" si="0"/>
        <v>-12</v>
      </c>
      <c r="L31" s="443">
        <f t="shared" si="1"/>
        <v>-1.2158054711246201E-3</v>
      </c>
    </row>
    <row r="32" spans="2:15" s="77" customFormat="1" ht="25.9" customHeight="1" x14ac:dyDescent="0.2">
      <c r="D32" s="585" t="s">
        <v>912</v>
      </c>
      <c r="E32" s="585"/>
      <c r="F32" s="600">
        <f>'Auto-Calibration record'!F65</f>
        <v>1794</v>
      </c>
      <c r="G32" s="600"/>
      <c r="H32" s="596">
        <f>'Auto-Calibration record'!B73</f>
        <v>5300</v>
      </c>
      <c r="I32" s="626"/>
      <c r="J32" s="442">
        <f>'Auto-Calibration record'!I73</f>
        <v>5300</v>
      </c>
      <c r="K32" s="425">
        <f t="shared" si="0"/>
        <v>0</v>
      </c>
      <c r="L32" s="443">
        <f t="shared" si="1"/>
        <v>0</v>
      </c>
    </row>
    <row r="33" spans="2:12" s="77" customFormat="1" ht="25.9" customHeight="1" x14ac:dyDescent="0.2">
      <c r="D33" s="585" t="s">
        <v>913</v>
      </c>
      <c r="E33" s="585"/>
      <c r="F33" s="600">
        <f>'Auto-Calibration record'!G65</f>
        <v>4348</v>
      </c>
      <c r="G33" s="600"/>
      <c r="H33" s="596">
        <f>'Auto-Calibration record'!B74</f>
        <v>1180</v>
      </c>
      <c r="I33" s="626"/>
      <c r="J33" s="442">
        <f>'Auto-Calibration record'!I74</f>
        <v>1181</v>
      </c>
      <c r="K33" s="425">
        <f t="shared" si="0"/>
        <v>1</v>
      </c>
      <c r="L33" s="443">
        <f t="shared" si="1"/>
        <v>8.4745762711864404E-4</v>
      </c>
    </row>
    <row r="34" spans="2:12" s="77" customFormat="1" ht="25.9" customHeight="1" x14ac:dyDescent="0.2">
      <c r="D34" s="585" t="s">
        <v>914</v>
      </c>
      <c r="E34" s="585"/>
      <c r="F34" s="600">
        <f>'Auto-Calibration record'!H65</f>
        <v>6298</v>
      </c>
      <c r="G34" s="600"/>
      <c r="H34" s="596">
        <f>'Auto-Calibration record'!B75</f>
        <v>640</v>
      </c>
      <c r="I34" s="626"/>
      <c r="J34" s="442">
        <f>'Auto-Calibration record'!I75</f>
        <v>637</v>
      </c>
      <c r="K34" s="425" t="s">
        <v>321</v>
      </c>
      <c r="L34" s="426" t="s">
        <v>321</v>
      </c>
    </row>
    <row r="35" spans="2:12" s="72" customFormat="1" ht="25.9" customHeight="1" x14ac:dyDescent="0.25">
      <c r="D35" s="585" t="s">
        <v>915</v>
      </c>
      <c r="E35" s="585"/>
      <c r="F35" s="601">
        <f>'Auto-Calibration record'!I65</f>
        <v>14290</v>
      </c>
      <c r="G35" s="601"/>
      <c r="H35" s="596">
        <f>'Auto-Calibration record'!B76</f>
        <v>140</v>
      </c>
      <c r="I35" s="626"/>
      <c r="J35" s="442">
        <f>'Auto-Calibration record'!I76</f>
        <v>139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112</v>
      </c>
      <c r="F40" s="596"/>
      <c r="G40" s="610" t="e">
        <f>F28/D40</f>
        <v>#DIV/0!</v>
      </c>
      <c r="H40" s="610"/>
      <c r="I40" s="81"/>
      <c r="J40" s="428">
        <f>'Auto-Calibration record'!B11</f>
        <v>54</v>
      </c>
      <c r="K40" s="425">
        <f>F29-J40</f>
        <v>122</v>
      </c>
      <c r="L40" s="429">
        <f>F29/J40</f>
        <v>3.2592592592592591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44">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626"/>
      <c r="J28" s="442">
        <f>'MP Calibration Certificate'!J28</f>
        <v>1047870</v>
      </c>
      <c r="K28" s="425">
        <f t="shared" ref="K28:K33" si="0">J28-H28</f>
        <v>10160</v>
      </c>
      <c r="L28" s="443">
        <f t="shared" ref="L28:L33" si="1">K28/H28</f>
        <v>9.7907893342070521E-3</v>
      </c>
    </row>
    <row r="29" spans="2:15" s="77" customFormat="1" ht="25.9" customHeight="1" x14ac:dyDescent="0.2">
      <c r="D29" s="585" t="s">
        <v>909</v>
      </c>
      <c r="E29" s="585"/>
      <c r="F29" s="600">
        <f>'Auto-Calibration record'!C65</f>
        <v>176</v>
      </c>
      <c r="G29" s="600"/>
      <c r="H29" s="596">
        <f>'Auto-Calibration record'!B69</f>
        <v>432580</v>
      </c>
      <c r="I29" s="626"/>
      <c r="J29" s="442">
        <f>'MP Calibration Certificate'!J29</f>
        <v>431351</v>
      </c>
      <c r="K29" s="425">
        <f t="shared" si="0"/>
        <v>-1229</v>
      </c>
      <c r="L29" s="443">
        <f t="shared" si="1"/>
        <v>-2.8410929770215916E-3</v>
      </c>
    </row>
    <row r="30" spans="2:15" s="77" customFormat="1" ht="25.9" customHeight="1" x14ac:dyDescent="0.2">
      <c r="D30" s="585" t="s">
        <v>910</v>
      </c>
      <c r="E30" s="585"/>
      <c r="F30" s="600">
        <f>'Auto-Calibration record'!D65</f>
        <v>714</v>
      </c>
      <c r="G30" s="600"/>
      <c r="H30" s="596">
        <f>'Auto-Calibration record'!B71</f>
        <v>31970</v>
      </c>
      <c r="I30" s="626"/>
      <c r="J30" s="442">
        <f>'MP Calibration Certificate'!J30</f>
        <v>32014</v>
      </c>
      <c r="K30" s="425">
        <f t="shared" si="0"/>
        <v>44</v>
      </c>
      <c r="L30" s="443">
        <f t="shared" si="1"/>
        <v>1.3762902721301219E-3</v>
      </c>
    </row>
    <row r="31" spans="2:15" s="77" customFormat="1" ht="25.9" customHeight="1" x14ac:dyDescent="0.2">
      <c r="D31" s="585" t="s">
        <v>911</v>
      </c>
      <c r="E31" s="585"/>
      <c r="F31" s="600">
        <f>'Auto-Calibration record'!E65</f>
        <v>1314</v>
      </c>
      <c r="G31" s="600"/>
      <c r="H31" s="596">
        <f>'Auto-Calibration record'!B72</f>
        <v>9870</v>
      </c>
      <c r="I31" s="626"/>
      <c r="J31" s="442">
        <f>'MP Calibration Certificate'!J31</f>
        <v>9858</v>
      </c>
      <c r="K31" s="425">
        <f t="shared" si="0"/>
        <v>-12</v>
      </c>
      <c r="L31" s="443">
        <f t="shared" si="1"/>
        <v>-1.2158054711246201E-3</v>
      </c>
    </row>
    <row r="32" spans="2:15" s="77" customFormat="1" ht="25.9" customHeight="1" x14ac:dyDescent="0.2">
      <c r="D32" s="585" t="s">
        <v>912</v>
      </c>
      <c r="E32" s="585"/>
      <c r="F32" s="600">
        <f>'Auto-Calibration record'!F65</f>
        <v>1794</v>
      </c>
      <c r="G32" s="600"/>
      <c r="H32" s="596">
        <f>'Auto-Calibration record'!B73</f>
        <v>5300</v>
      </c>
      <c r="I32" s="626"/>
      <c r="J32" s="442">
        <f>'MP Calibration Certificate'!J32</f>
        <v>5300</v>
      </c>
      <c r="K32" s="425">
        <f t="shared" si="0"/>
        <v>0</v>
      </c>
      <c r="L32" s="443">
        <f t="shared" si="1"/>
        <v>0</v>
      </c>
    </row>
    <row r="33" spans="2:12" s="77" customFormat="1" ht="25.9" customHeight="1" x14ac:dyDescent="0.2">
      <c r="D33" s="585" t="s">
        <v>913</v>
      </c>
      <c r="E33" s="585"/>
      <c r="F33" s="600">
        <f>'Auto-Calibration record'!G65</f>
        <v>4348</v>
      </c>
      <c r="G33" s="600"/>
      <c r="H33" s="596">
        <f>'Auto-Calibration record'!B74</f>
        <v>1180</v>
      </c>
      <c r="I33" s="626"/>
      <c r="J33" s="442">
        <f>'MP Calibration Certificate'!J33</f>
        <v>1181</v>
      </c>
      <c r="K33" s="425">
        <f t="shared" si="0"/>
        <v>1</v>
      </c>
      <c r="L33" s="443">
        <f t="shared" si="1"/>
        <v>8.4745762711864404E-4</v>
      </c>
    </row>
    <row r="34" spans="2:12" s="77" customFormat="1" ht="25.9" customHeight="1" x14ac:dyDescent="0.2">
      <c r="D34" s="585" t="s">
        <v>914</v>
      </c>
      <c r="E34" s="585"/>
      <c r="F34" s="600">
        <f>'Auto-Calibration record'!H65</f>
        <v>6298</v>
      </c>
      <c r="G34" s="600"/>
      <c r="H34" s="596">
        <f>'Auto-Calibration record'!B75</f>
        <v>640</v>
      </c>
      <c r="I34" s="626"/>
      <c r="J34" s="442">
        <f>'MP Calibration Certificate'!J34</f>
        <v>637</v>
      </c>
      <c r="K34" s="425" t="s">
        <v>321</v>
      </c>
      <c r="L34" s="426" t="s">
        <v>321</v>
      </c>
    </row>
    <row r="35" spans="2:12" s="72" customFormat="1" ht="25.9" customHeight="1" x14ac:dyDescent="0.25">
      <c r="D35" s="585" t="s">
        <v>915</v>
      </c>
      <c r="E35" s="585"/>
      <c r="F35" s="601">
        <f>'Auto-Calibration record'!I65</f>
        <v>14290</v>
      </c>
      <c r="G35" s="601"/>
      <c r="H35" s="596">
        <f>'Auto-Calibration record'!B76</f>
        <v>140</v>
      </c>
      <c r="I35" s="626"/>
      <c r="J35" s="442">
        <f>'MP Calibration Certificate'!J35</f>
        <v>139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112</v>
      </c>
      <c r="F40" s="596"/>
      <c r="G40" s="610" t="e">
        <f>F28/D40</f>
        <v>#DIV/0!</v>
      </c>
      <c r="H40" s="610"/>
      <c r="I40" s="81"/>
      <c r="J40" s="428">
        <f>'Auto-Calibration record'!B11</f>
        <v>54</v>
      </c>
      <c r="K40" s="425">
        <f>F29-J40</f>
        <v>122</v>
      </c>
      <c r="L40" s="429">
        <f>F29/J40</f>
        <v>3.2592592592592591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44">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626"/>
      <c r="J28" s="442">
        <f>'Auto-Calibration record'!I68</f>
        <v>1047870</v>
      </c>
      <c r="K28" s="425">
        <f t="shared" ref="K28:K33" si="0">J28-H28</f>
        <v>10160</v>
      </c>
      <c r="L28" s="443">
        <f t="shared" ref="L28:L33" si="1">K28/H28</f>
        <v>9.7907893342070521E-3</v>
      </c>
    </row>
    <row r="29" spans="2:15" s="77" customFormat="1" ht="25.9" customHeight="1" x14ac:dyDescent="0.2">
      <c r="D29" s="585" t="s">
        <v>909</v>
      </c>
      <c r="E29" s="585"/>
      <c r="F29" s="600">
        <f>'Auto-Calibration record'!C65</f>
        <v>176</v>
      </c>
      <c r="G29" s="600"/>
      <c r="H29" s="596">
        <f>'Auto-Calibration record'!B69</f>
        <v>432580</v>
      </c>
      <c r="I29" s="626"/>
      <c r="J29" s="442">
        <f>'Auto-Calibration record'!I69</f>
        <v>431351</v>
      </c>
      <c r="K29" s="425">
        <f t="shared" si="0"/>
        <v>-1229</v>
      </c>
      <c r="L29" s="443">
        <f t="shared" si="1"/>
        <v>-2.8410929770215916E-3</v>
      </c>
    </row>
    <row r="30" spans="2:15" s="77" customFormat="1" ht="25.9" customHeight="1" x14ac:dyDescent="0.2">
      <c r="D30" s="585" t="s">
        <v>910</v>
      </c>
      <c r="E30" s="585"/>
      <c r="F30" s="600">
        <f>'Auto-Calibration record'!D65</f>
        <v>714</v>
      </c>
      <c r="G30" s="600"/>
      <c r="H30" s="596">
        <f>'Auto-Calibration record'!B71</f>
        <v>31970</v>
      </c>
      <c r="I30" s="626"/>
      <c r="J30" s="442">
        <f>'Auto-Calibration record'!I71</f>
        <v>32014</v>
      </c>
      <c r="K30" s="425">
        <f t="shared" si="0"/>
        <v>44</v>
      </c>
      <c r="L30" s="443">
        <f t="shared" si="1"/>
        <v>1.3762902721301219E-3</v>
      </c>
    </row>
    <row r="31" spans="2:15" s="77" customFormat="1" ht="25.9" customHeight="1" x14ac:dyDescent="0.2">
      <c r="D31" s="585" t="s">
        <v>911</v>
      </c>
      <c r="E31" s="585"/>
      <c r="F31" s="600">
        <f>'Auto-Calibration record'!E65</f>
        <v>1314</v>
      </c>
      <c r="G31" s="600"/>
      <c r="H31" s="596">
        <f>'Auto-Calibration record'!B72</f>
        <v>9870</v>
      </c>
      <c r="I31" s="626"/>
      <c r="J31" s="442">
        <f>'Auto-Calibration record'!I72</f>
        <v>9858</v>
      </c>
      <c r="K31" s="425">
        <f t="shared" si="0"/>
        <v>-12</v>
      </c>
      <c r="L31" s="443">
        <f t="shared" si="1"/>
        <v>-1.2158054711246201E-3</v>
      </c>
    </row>
    <row r="32" spans="2:15" s="77" customFormat="1" ht="25.9" customHeight="1" x14ac:dyDescent="0.2">
      <c r="D32" s="585" t="s">
        <v>912</v>
      </c>
      <c r="E32" s="585"/>
      <c r="F32" s="600">
        <f>'Auto-Calibration record'!F65</f>
        <v>1794</v>
      </c>
      <c r="G32" s="600"/>
      <c r="H32" s="596">
        <f>'Auto-Calibration record'!B73</f>
        <v>5300</v>
      </c>
      <c r="I32" s="626"/>
      <c r="J32" s="442">
        <f>'Auto-Calibration record'!I73</f>
        <v>5300</v>
      </c>
      <c r="K32" s="425">
        <f t="shared" si="0"/>
        <v>0</v>
      </c>
      <c r="L32" s="443">
        <f t="shared" si="1"/>
        <v>0</v>
      </c>
    </row>
    <row r="33" spans="2:12" s="77" customFormat="1" ht="25.9" customHeight="1" x14ac:dyDescent="0.2">
      <c r="D33" s="585" t="s">
        <v>913</v>
      </c>
      <c r="E33" s="585"/>
      <c r="F33" s="600">
        <f>'Auto-Calibration record'!G65</f>
        <v>4348</v>
      </c>
      <c r="G33" s="600"/>
      <c r="H33" s="596">
        <f>'Auto-Calibration record'!B74</f>
        <v>1180</v>
      </c>
      <c r="I33" s="626"/>
      <c r="J33" s="442">
        <f>'Auto-Calibration record'!I74</f>
        <v>1181</v>
      </c>
      <c r="K33" s="425">
        <f t="shared" si="0"/>
        <v>1</v>
      </c>
      <c r="L33" s="443">
        <f t="shared" si="1"/>
        <v>8.4745762711864404E-4</v>
      </c>
    </row>
    <row r="34" spans="2:12" s="77" customFormat="1" ht="25.9" customHeight="1" x14ac:dyDescent="0.2">
      <c r="D34" s="585" t="s">
        <v>914</v>
      </c>
      <c r="E34" s="585"/>
      <c r="F34" s="600">
        <f>'Auto-Calibration record'!H65</f>
        <v>6298</v>
      </c>
      <c r="G34" s="600"/>
      <c r="H34" s="596">
        <f>'Auto-Calibration record'!B75</f>
        <v>640</v>
      </c>
      <c r="I34" s="626"/>
      <c r="J34" s="442">
        <f>'Auto-Calibration record'!I75</f>
        <v>637</v>
      </c>
      <c r="K34" s="425" t="s">
        <v>321</v>
      </c>
      <c r="L34" s="426" t="s">
        <v>321</v>
      </c>
    </row>
    <row r="35" spans="2:12" s="72" customFormat="1" ht="25.9" customHeight="1" x14ac:dyDescent="0.25">
      <c r="D35" s="585" t="s">
        <v>915</v>
      </c>
      <c r="E35" s="585"/>
      <c r="F35" s="601">
        <f>'Auto-Calibration record'!I65</f>
        <v>14290</v>
      </c>
      <c r="G35" s="601"/>
      <c r="H35" s="596">
        <f>'Auto-Calibration record'!B76</f>
        <v>140</v>
      </c>
      <c r="I35" s="626"/>
      <c r="J35" s="442">
        <f>'Auto-Calibration record'!I76</f>
        <v>139</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112</v>
      </c>
      <c r="F40" s="626"/>
      <c r="G40" s="639" t="e">
        <f>F28/D40</f>
        <v>#DIV/0!</v>
      </c>
      <c r="H40" s="639"/>
      <c r="I40" s="81"/>
      <c r="J40" s="428">
        <f>'Auto-Calibration record'!B11</f>
        <v>54</v>
      </c>
      <c r="K40" s="441">
        <f>F29-J40</f>
        <v>122</v>
      </c>
      <c r="L40" s="445">
        <f>F29/J40</f>
        <v>3.2592592592592591</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8" sqref="D18:F1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63010074</v>
      </c>
      <c r="E18" s="608"/>
      <c r="F18" s="609"/>
      <c r="K18" s="380" t="s">
        <v>892</v>
      </c>
      <c r="L18" s="381"/>
      <c r="M18" s="381"/>
      <c r="N18" s="382"/>
      <c r="O18" s="421">
        <f>'Auto-Calibration record'!H16</f>
        <v>46147.7</v>
      </c>
    </row>
    <row r="19" spans="2:15" ht="25.9" customHeight="1" x14ac:dyDescent="0.25">
      <c r="B19" s="414" t="s">
        <v>893</v>
      </c>
      <c r="C19" s="420"/>
      <c r="D19" s="607" t="str">
        <f>'Auto-Calibration record'!H17</f>
        <v>63010074 050526</v>
      </c>
      <c r="E19" s="608"/>
      <c r="F19" s="609"/>
      <c r="K19" s="416" t="s">
        <v>894</v>
      </c>
      <c r="L19" s="417"/>
      <c r="M19" s="417"/>
      <c r="N19" s="418"/>
      <c r="O19" s="422">
        <f>'Auto-Calibration record'!H19</f>
        <v>304</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112</v>
      </c>
      <c r="G28" s="600"/>
      <c r="H28" s="596">
        <f>'Auto-Calibration record'!B68</f>
        <v>1037710</v>
      </c>
      <c r="I28" s="596"/>
      <c r="J28" s="425">
        <f>'Auto-Calibration record'!I68</f>
        <v>1047870</v>
      </c>
      <c r="K28" s="425">
        <f t="shared" ref="K28:K35" si="0">J28-H28</f>
        <v>10160</v>
      </c>
      <c r="L28" s="383">
        <f t="shared" ref="L28:L35" si="1">K28/H28</f>
        <v>9.7907893342070521E-3</v>
      </c>
    </row>
    <row r="29" spans="2:15" s="77" customFormat="1" ht="25.9" customHeight="1" x14ac:dyDescent="0.2">
      <c r="D29" s="585" t="s">
        <v>909</v>
      </c>
      <c r="E29" s="585"/>
      <c r="F29" s="600">
        <f>'Auto-Calibration record'!C65</f>
        <v>176</v>
      </c>
      <c r="G29" s="600"/>
      <c r="H29" s="596">
        <f>'Auto-Calibration record'!B69</f>
        <v>432580</v>
      </c>
      <c r="I29" s="596"/>
      <c r="J29" s="425">
        <f>'Auto-Calibration record'!I69</f>
        <v>431351</v>
      </c>
      <c r="K29" s="425">
        <f t="shared" si="0"/>
        <v>-1229</v>
      </c>
      <c r="L29" s="383">
        <f t="shared" si="1"/>
        <v>-2.8410929770215916E-3</v>
      </c>
    </row>
    <row r="30" spans="2:15" s="77" customFormat="1" ht="25.9" customHeight="1" x14ac:dyDescent="0.2">
      <c r="D30" s="585" t="s">
        <v>910</v>
      </c>
      <c r="E30" s="585"/>
      <c r="F30" s="600">
        <f>'Auto-Calibration record'!D65</f>
        <v>714</v>
      </c>
      <c r="G30" s="600"/>
      <c r="H30" s="596">
        <f>'Auto-Calibration record'!B71</f>
        <v>31970</v>
      </c>
      <c r="I30" s="596"/>
      <c r="J30" s="425">
        <f>'Auto-Calibration record'!I71</f>
        <v>32014</v>
      </c>
      <c r="K30" s="425">
        <f t="shared" si="0"/>
        <v>44</v>
      </c>
      <c r="L30" s="383">
        <f t="shared" si="1"/>
        <v>1.3762902721301219E-3</v>
      </c>
    </row>
    <row r="31" spans="2:15" s="77" customFormat="1" ht="25.9" customHeight="1" x14ac:dyDescent="0.2">
      <c r="D31" s="585" t="s">
        <v>911</v>
      </c>
      <c r="E31" s="585"/>
      <c r="F31" s="600">
        <f>'Auto-Calibration record'!E65</f>
        <v>1314</v>
      </c>
      <c r="G31" s="600"/>
      <c r="H31" s="596">
        <f>'Auto-Calibration record'!B72</f>
        <v>9870</v>
      </c>
      <c r="I31" s="596"/>
      <c r="J31" s="425">
        <f>'Auto-Calibration record'!I72</f>
        <v>9858</v>
      </c>
      <c r="K31" s="425">
        <f t="shared" si="0"/>
        <v>-12</v>
      </c>
      <c r="L31" s="383">
        <f t="shared" si="1"/>
        <v>-1.2158054711246201E-3</v>
      </c>
    </row>
    <row r="32" spans="2:15" s="77" customFormat="1" ht="25.9" customHeight="1" x14ac:dyDescent="0.2">
      <c r="D32" s="585" t="s">
        <v>912</v>
      </c>
      <c r="E32" s="585"/>
      <c r="F32" s="600">
        <f>'Auto-Calibration record'!F65</f>
        <v>1794</v>
      </c>
      <c r="G32" s="600"/>
      <c r="H32" s="596">
        <f>'Auto-Calibration record'!B73</f>
        <v>5300</v>
      </c>
      <c r="I32" s="596"/>
      <c r="J32" s="425">
        <f>'Auto-Calibration record'!I73</f>
        <v>5300</v>
      </c>
      <c r="K32" s="425">
        <f t="shared" si="0"/>
        <v>0</v>
      </c>
      <c r="L32" s="383">
        <f t="shared" si="1"/>
        <v>0</v>
      </c>
    </row>
    <row r="33" spans="2:12" s="77" customFormat="1" ht="25.9" customHeight="1" x14ac:dyDescent="0.2">
      <c r="D33" s="585" t="s">
        <v>913</v>
      </c>
      <c r="E33" s="585"/>
      <c r="F33" s="600">
        <f>'Auto-Calibration record'!G65</f>
        <v>4348</v>
      </c>
      <c r="G33" s="600"/>
      <c r="H33" s="596">
        <f>'Auto-Calibration record'!B74</f>
        <v>1180</v>
      </c>
      <c r="I33" s="596"/>
      <c r="J33" s="425">
        <f>'Auto-Calibration record'!I74</f>
        <v>1181</v>
      </c>
      <c r="K33" s="425">
        <f t="shared" si="0"/>
        <v>1</v>
      </c>
      <c r="L33" s="383">
        <f t="shared" si="1"/>
        <v>8.4745762711864404E-4</v>
      </c>
    </row>
    <row r="34" spans="2:12" s="77" customFormat="1" ht="25.9" customHeight="1" x14ac:dyDescent="0.2">
      <c r="D34" s="585" t="s">
        <v>1006</v>
      </c>
      <c r="E34" s="585"/>
      <c r="F34" s="600">
        <f>'Auto-Calibration record'!H65</f>
        <v>6298</v>
      </c>
      <c r="G34" s="600"/>
      <c r="H34" s="596">
        <f>'Auto-Calibration record'!B75</f>
        <v>640</v>
      </c>
      <c r="I34" s="596"/>
      <c r="J34" s="425">
        <f>'Auto-Calibration record'!I75</f>
        <v>637</v>
      </c>
      <c r="K34" s="425">
        <f t="shared" si="0"/>
        <v>-3</v>
      </c>
      <c r="L34" s="383">
        <f t="shared" si="1"/>
        <v>-4.6874999999999998E-3</v>
      </c>
    </row>
    <row r="35" spans="2:12" s="72" customFormat="1" ht="25.9" customHeight="1" x14ac:dyDescent="0.25">
      <c r="D35" s="585" t="s">
        <v>1007</v>
      </c>
      <c r="E35" s="585"/>
      <c r="F35" s="601">
        <f>'Auto-Calibration record'!I65</f>
        <v>14290</v>
      </c>
      <c r="G35" s="601"/>
      <c r="H35" s="596">
        <f>'Auto-Calibration record'!B76</f>
        <v>140</v>
      </c>
      <c r="I35" s="596"/>
      <c r="J35" s="427">
        <f>'Auto-Calibration record'!I76</f>
        <v>139</v>
      </c>
      <c r="K35" s="425">
        <f t="shared" si="0"/>
        <v>-1</v>
      </c>
      <c r="L35" s="383">
        <f t="shared" si="1"/>
        <v>-7.1428571428571426E-3</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54</v>
      </c>
      <c r="E40" s="596">
        <f>F28-D40</f>
        <v>58</v>
      </c>
      <c r="F40" s="596"/>
      <c r="G40" s="610">
        <f>F28/D40</f>
        <v>2.074074074074074</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46147.7</v>
      </c>
    </row>
    <row r="4" spans="1:8" ht="19.5" customHeight="1" x14ac:dyDescent="0.25">
      <c r="A4" s="479"/>
      <c r="B4" s="447" t="s">
        <v>543</v>
      </c>
      <c r="C4" s="448">
        <f>VLOOKUP("serial_number",AUTO!$A$1:$B$1051,2,FALSE)</f>
        <v>63010074</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63010074</v>
      </c>
      <c r="D6" s="449"/>
      <c r="E6" s="452" t="s">
        <v>1015</v>
      </c>
      <c r="F6" s="450"/>
      <c r="G6" s="450"/>
      <c r="H6" s="450" t="s">
        <v>1016</v>
      </c>
    </row>
    <row r="7" spans="1:8" ht="19.5" customHeight="1" x14ac:dyDescent="0.25">
      <c r="A7" s="467" t="s">
        <v>1017</v>
      </c>
      <c r="B7" s="467"/>
      <c r="C7" s="448">
        <f>VLOOKUP("no_noise_threshold",AUTO!$A$1:$B$1051,2,FALSE)</f>
        <v>54</v>
      </c>
      <c r="D7" s="449"/>
      <c r="E7" s="452" t="s">
        <v>1018</v>
      </c>
      <c r="F7" s="450"/>
      <c r="G7" s="450">
        <v>20000</v>
      </c>
      <c r="H7" s="447" t="s">
        <v>1019</v>
      </c>
    </row>
    <row r="8" spans="1:8" ht="19.5" customHeight="1" x14ac:dyDescent="0.25">
      <c r="A8" s="467" t="s">
        <v>1020</v>
      </c>
      <c r="B8" s="467"/>
      <c r="C8" s="448">
        <f>VLOOKUP("sample_volume_ml",AUTO!$A$1:$B$1051,2,FALSE)</f>
        <v>40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1037710</v>
      </c>
      <c r="C19" s="455">
        <f>'Auto-Calibration record'!$I$68</f>
        <v>1047870</v>
      </c>
      <c r="E19" s="448">
        <f>VLOOKUP("threshold32_0_sz",AUTO!$A$1:$B$1051,2,FALSE)</f>
        <v>4</v>
      </c>
      <c r="F19" s="448">
        <f>VLOOKUP("reference_count_0",AUTO!$A$1:$B$1051,2,FALSE)</f>
        <v>1037710</v>
      </c>
      <c r="G19" s="460">
        <f>VLOOKUP("threshold32_0_value",AUTO!$A$1:$B$1051,2,FALSE)</f>
        <v>112</v>
      </c>
      <c r="H19" s="461">
        <f>VLOOKUP("threshold32_0_sz",AUTO!$A$1:$B$1051,2,FALSE)</f>
        <v>4</v>
      </c>
    </row>
    <row r="20" spans="1:8" ht="18" customHeight="1" x14ac:dyDescent="0.25">
      <c r="A20" s="448">
        <f>VLOOKUP("threshold32_2_sz",AUTO!$A$1:$B$1051,2,FALSE)</f>
        <v>6</v>
      </c>
      <c r="B20" s="448">
        <f>VLOOKUP("reference_count_1",AUTO!$A$1:$B$1051,2,FALSE)</f>
        <v>432580</v>
      </c>
      <c r="C20" s="455">
        <f>'Auto-Calibration record'!$I$69</f>
        <v>431351</v>
      </c>
      <c r="E20" s="448">
        <f>VLOOKUP("threshold32_2_sz",AUTO!$A$1:$B$1051,2,FALSE)</f>
        <v>6</v>
      </c>
      <c r="F20" s="448">
        <f>VLOOKUP("reference_count_1",AUTO!$A$1:$B$1051,2,FALSE)</f>
        <v>432580</v>
      </c>
      <c r="G20" s="460">
        <f>VLOOKUP("threshold32_2_value",AUTO!$A$1:$B$1051,2,FALSE)</f>
        <v>176</v>
      </c>
      <c r="H20" s="461">
        <f>VLOOKUP("threshold32_2_sz",AUTO!$A$1:$B$1051,2,FALSE)</f>
        <v>6</v>
      </c>
    </row>
    <row r="21" spans="1:8" ht="18" customHeight="1" x14ac:dyDescent="0.25">
      <c r="A21" s="448">
        <f>VLOOKUP("threshold32_6_sz",AUTO!$A$1:$B$1051,2,FALSE)</f>
        <v>10</v>
      </c>
      <c r="B21" s="448">
        <f>VLOOKUP("reference_count32_6",AUTO!$A$1:$B$1051,2,FALSE)*100</f>
        <v>97240</v>
      </c>
      <c r="C21" s="455">
        <f>'Auto-Calibration record'!$I$70</f>
        <v>96948.1</v>
      </c>
      <c r="E21" s="448">
        <f>VLOOKUP("threshold32_6_sz",AUTO!$A$1:$B$1051,2,FALSE)</f>
        <v>10</v>
      </c>
      <c r="F21" s="448">
        <f>VLOOKUP("reference_count32_6",AUTO!$A$1:$B$1051,2,FALSE)*100</f>
        <v>97240</v>
      </c>
      <c r="G21" s="460">
        <f>VLOOKUP("threshold32_6_value",AUTO!$A$1:$B$1051,2,FALSE)</f>
        <v>394</v>
      </c>
      <c r="H21" s="461">
        <f>VLOOKUP("threshold32_6_sz",AUTO!$A$1:$B$1051,2,FALSE)</f>
        <v>10</v>
      </c>
    </row>
    <row r="22" spans="1:8" ht="18" customHeight="1" x14ac:dyDescent="0.25">
      <c r="A22" s="448">
        <f>VLOOKUP("threshold32_10_sz",AUTO!$A$1:$B$1051,2,FALSE)</f>
        <v>14</v>
      </c>
      <c r="B22" s="448">
        <f>VLOOKUP("reference_count_2",AUTO!$A$1:$B$1051,2,FALSE)</f>
        <v>31970</v>
      </c>
      <c r="C22" s="455">
        <f>'Auto-Calibration record'!$I$71</f>
        <v>32014</v>
      </c>
      <c r="E22" s="448">
        <f>VLOOKUP("threshold32_10_sz",AUTO!$A$1:$B$1051,2,FALSE)</f>
        <v>14</v>
      </c>
      <c r="F22" s="448">
        <f>VLOOKUP("reference_count_2",AUTO!$A$1:$B$1051,2,FALSE)</f>
        <v>31970</v>
      </c>
      <c r="G22" s="460">
        <f>VLOOKUP("threshold32_10_value",AUTO!$A$1:$B$1051,2,FALSE)</f>
        <v>714</v>
      </c>
      <c r="H22" s="461">
        <f>VLOOKUP("threshold32_10_sz",AUTO!$A$1:$B$1051,2,FALSE)</f>
        <v>14</v>
      </c>
    </row>
    <row r="23" spans="1:8" ht="18" customHeight="1" x14ac:dyDescent="0.25">
      <c r="A23" s="448">
        <f>VLOOKUP("threshold32_17_sz",AUTO!$A$1:$B$1051,2,FALSE)</f>
        <v>21</v>
      </c>
      <c r="B23" s="448">
        <f>VLOOKUP("reference_count_3",AUTO!$A$1:$B$1051,2,FALSE)</f>
        <v>9870</v>
      </c>
      <c r="C23" s="455">
        <f>'Auto-Calibration record'!$I$72</f>
        <v>9858</v>
      </c>
      <c r="E23" s="448">
        <f>VLOOKUP("threshold32_17_sz",AUTO!$A$1:$B$1051,2,FALSE)</f>
        <v>21</v>
      </c>
      <c r="F23" s="448">
        <f>VLOOKUP("reference_count_3",AUTO!$A$1:$B$1051,2,FALSE)</f>
        <v>9870</v>
      </c>
      <c r="G23" s="460">
        <f>VLOOKUP("threshold32_17_value",AUTO!$A$1:$B$1051,2,FALSE)</f>
        <v>1314</v>
      </c>
      <c r="H23" s="461">
        <f>VLOOKUP("threshold32_17_sz",AUTO!$A$1:$B$1051,2,FALSE)</f>
        <v>21</v>
      </c>
    </row>
    <row r="24" spans="1:8" ht="18" customHeight="1" x14ac:dyDescent="0.25">
      <c r="A24" s="448">
        <f>VLOOKUP("threshold32_21_sz",AUTO!$A$1:$B$1051,2,FALSE)</f>
        <v>25</v>
      </c>
      <c r="B24" s="448">
        <f>VLOOKUP("reference_count_4",AUTO!$A$1:$B$1051,2,FALSE)</f>
        <v>5300</v>
      </c>
      <c r="C24" s="455">
        <f>'Auto-Calibration record'!$I$73</f>
        <v>5300</v>
      </c>
      <c r="E24" s="448">
        <f>VLOOKUP("threshold32_21_sz",AUTO!$A$1:$B$1051,2,FALSE)</f>
        <v>25</v>
      </c>
      <c r="F24" s="448">
        <f>VLOOKUP("reference_count_4",AUTO!$A$1:$B$1051,2,FALSE)</f>
        <v>5300</v>
      </c>
      <c r="G24" s="460">
        <f>VLOOKUP("threshold32_21_value",AUTO!$A$1:$B$1051,2,FALSE)</f>
        <v>1794</v>
      </c>
      <c r="H24" s="461">
        <f>VLOOKUP("threshold32_21_sz",AUTO!$A$1:$B$1051,2,FALSE)</f>
        <v>25</v>
      </c>
    </row>
    <row r="25" spans="1:8" ht="18" customHeight="1" x14ac:dyDescent="0.25">
      <c r="A25" s="448">
        <f>VLOOKUP("threshold32_27_sz",AUTO!$A$1:$B$1051,2,FALSE)</f>
        <v>38</v>
      </c>
      <c r="B25" s="448">
        <f>VLOOKUP("reference_count_5",AUTO!$A$1:$B$1051,2,FALSE)</f>
        <v>1180</v>
      </c>
      <c r="C25" s="455">
        <f>'Auto-Calibration record'!$I$74</f>
        <v>1181</v>
      </c>
      <c r="E25" s="448">
        <f>VLOOKUP("threshold32_27_sz",AUTO!$A$1:$B$1051,2,FALSE)</f>
        <v>38</v>
      </c>
      <c r="F25" s="448">
        <f>VLOOKUP("reference_count_5",AUTO!$A$1:$B$1051,2,FALSE)</f>
        <v>1180</v>
      </c>
      <c r="G25" s="460">
        <f>VLOOKUP("threshold32_27_value",AUTO!$A$1:$B$1051,2,FALSE)</f>
        <v>4348</v>
      </c>
      <c r="H25" s="461">
        <f>VLOOKUP("threshold32_27_sz",AUTO!$A$1:$B$1051,2,FALSE)</f>
        <v>38</v>
      </c>
    </row>
    <row r="26" spans="1:8" ht="18" customHeight="1" x14ac:dyDescent="0.25">
      <c r="A26" s="448">
        <f>VLOOKUP("threshold32_28_sz",AUTO!$A$1:$B$1051,2,FALSE)</f>
        <v>50</v>
      </c>
      <c r="B26" s="448">
        <f>VLOOKUP("reference_count_6",AUTO!$A$1:$B$1051,2,FALSE)</f>
        <v>640</v>
      </c>
      <c r="C26" s="455">
        <f>'Auto-Calibration record'!$I$75</f>
        <v>637</v>
      </c>
      <c r="E26" s="448">
        <f>VLOOKUP("threshold32_28_sz",AUTO!$A$1:$B$1051,2,FALSE)</f>
        <v>50</v>
      </c>
      <c r="F26" s="448">
        <f>VLOOKUP("reference_count_6",AUTO!$A$1:$B$1051,2,FALSE)</f>
        <v>640</v>
      </c>
      <c r="G26" s="460">
        <f>VLOOKUP("threshold32_28_value",AUTO!$A$1:$B$1051,2,FALSE)</f>
        <v>6298</v>
      </c>
      <c r="H26" s="461">
        <f>VLOOKUP("threshold32_28_sz",AUTO!$A$1:$B$1051,2,FALSE)</f>
        <v>50</v>
      </c>
    </row>
    <row r="27" spans="1:8" ht="18" customHeight="1" x14ac:dyDescent="0.25">
      <c r="A27" s="448">
        <f>VLOOKUP("threshold32_29_sz",AUTO!$A$1:$B$1051,2,FALSE)</f>
        <v>70</v>
      </c>
      <c r="B27" s="448">
        <f>VLOOKUP("reference_count_7",AUTO!$A$1:$B$1051,2,FALSE)</f>
        <v>140</v>
      </c>
      <c r="C27" s="455">
        <f>'Auto-Calibration record'!$I$76</f>
        <v>139</v>
      </c>
      <c r="E27" s="448">
        <f>VLOOKUP("threshold32_29_sz",AUTO!$A$1:$B$1051,2,FALSE)</f>
        <v>70</v>
      </c>
      <c r="F27" s="448">
        <f>VLOOKUP("reference_count_7",AUTO!$A$1:$B$1051,2,FALSE)</f>
        <v>140</v>
      </c>
      <c r="G27" s="460">
        <f>VLOOKUP("threshold32_29_value",AUTO!$A$1:$B$1051,2,FALSE)</f>
        <v>14290</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63010074</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63010074</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54</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40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10377.1</v>
      </c>
      <c r="E27" s="456">
        <f>1095753/100</f>
        <v>10957.53</v>
      </c>
      <c r="F27" s="257"/>
      <c r="G27" s="448">
        <f>C27</f>
        <v>4</v>
      </c>
      <c r="H27" s="448">
        <f>D27</f>
        <v>10377.1</v>
      </c>
      <c r="I27" s="460">
        <f>VLOOKUP("threshold32_0_value",AUTO!$A$1:$B$1051,2,FALSE)</f>
        <v>112</v>
      </c>
      <c r="J27" s="461">
        <f>VLOOKUP("threshold32_0_sz",AUTO!$A$1:$B$1051,2,FALSE)</f>
        <v>4</v>
      </c>
      <c r="K27" s="264"/>
    </row>
    <row r="28" spans="2:18" x14ac:dyDescent="0.25">
      <c r="B28" s="263"/>
      <c r="C28" s="448">
        <f>VLOOKUP("threshold32_2_sz",AUTO!$A$1:$B$1051,2,FALSE)</f>
        <v>6</v>
      </c>
      <c r="D28" s="448">
        <f>VLOOKUP("reference_count_1",AUTO!$A$1:$B$1051,2,FALSE)/100</f>
        <v>4325.8</v>
      </c>
      <c r="E28" s="456">
        <f>463914/100</f>
        <v>4639.1400000000003</v>
      </c>
      <c r="F28" s="257"/>
      <c r="G28" s="448">
        <f t="shared" ref="G28:H35" si="0">C28</f>
        <v>6</v>
      </c>
      <c r="H28" s="448">
        <f t="shared" si="0"/>
        <v>4325.8</v>
      </c>
      <c r="I28" s="460">
        <f>VLOOKUP("threshold32_2_value",AUTO!$A$1:$B$1051,2,FALSE)</f>
        <v>176</v>
      </c>
      <c r="J28" s="461">
        <f>VLOOKUP("threshold32_2_sz",AUTO!$A$1:$B$1051,2,FALSE)</f>
        <v>6</v>
      </c>
      <c r="K28" s="264"/>
    </row>
    <row r="29" spans="2:18" x14ac:dyDescent="0.25">
      <c r="B29" s="263"/>
      <c r="C29" s="448">
        <f>VLOOKUP("threshold32_6_sz",AUTO!$A$1:$B$1051,2,FALSE)</f>
        <v>10</v>
      </c>
      <c r="D29" s="448">
        <f>VLOOKUP("reference_count32_6",AUTO!$A$1:$B$1051,2,FALSE)</f>
        <v>972.4</v>
      </c>
      <c r="E29" s="456">
        <f>107953/100</f>
        <v>1079.53</v>
      </c>
      <c r="F29" s="257"/>
      <c r="G29" s="448">
        <f t="shared" si="0"/>
        <v>10</v>
      </c>
      <c r="H29" s="448">
        <f t="shared" si="0"/>
        <v>972.4</v>
      </c>
      <c r="I29" s="460">
        <f>VLOOKUP("threshold32_6_value",AUTO!$A$1:$B$1051,2,FALSE)</f>
        <v>394</v>
      </c>
      <c r="J29" s="461">
        <f>VLOOKUP("threshold32_6_sz",AUTO!$A$1:$B$1051,2,FALSE)</f>
        <v>10</v>
      </c>
      <c r="K29" s="264"/>
    </row>
    <row r="30" spans="2:18" x14ac:dyDescent="0.25">
      <c r="B30" s="263"/>
      <c r="C30" s="448">
        <f>VLOOKUP("threshold32_10_sz",AUTO!$A$1:$B$1051,2,FALSE)</f>
        <v>14</v>
      </c>
      <c r="D30" s="448">
        <f>VLOOKUP("reference_count_2",AUTO!$A$1:$B$1051,2,FALSE)/100</f>
        <v>319.7</v>
      </c>
      <c r="E30" s="456">
        <f>35860/100</f>
        <v>358.6</v>
      </c>
      <c r="F30" s="257"/>
      <c r="G30" s="448">
        <f t="shared" si="0"/>
        <v>14</v>
      </c>
      <c r="H30" s="448">
        <f t="shared" si="0"/>
        <v>319.7</v>
      </c>
      <c r="I30" s="460">
        <f>VLOOKUP("threshold32_10_value",AUTO!$A$1:$B$1051,2,FALSE)</f>
        <v>714</v>
      </c>
      <c r="J30" s="461">
        <f>VLOOKUP("threshold32_10_sz",AUTO!$A$1:$B$1051,2,FALSE)</f>
        <v>14</v>
      </c>
      <c r="K30" s="264"/>
    </row>
    <row r="31" spans="2:18" x14ac:dyDescent="0.25">
      <c r="B31" s="263"/>
      <c r="C31" s="448">
        <f>VLOOKUP("threshold32_17_sz",AUTO!$A$1:$B$1051,2,FALSE)</f>
        <v>21</v>
      </c>
      <c r="D31" s="448">
        <f>VLOOKUP("reference_count_3",AUTO!$A$1:$B$1051,2,FALSE)/100</f>
        <v>98.7</v>
      </c>
      <c r="E31" s="456">
        <f>10524/100</f>
        <v>105.24</v>
      </c>
      <c r="F31" s="257"/>
      <c r="G31" s="448">
        <f t="shared" si="0"/>
        <v>21</v>
      </c>
      <c r="H31" s="448">
        <f t="shared" si="0"/>
        <v>98.7</v>
      </c>
      <c r="I31" s="460">
        <f>VLOOKUP("threshold32_17_value",AUTO!$A$1:$B$1051,2,FALSE)</f>
        <v>1314</v>
      </c>
      <c r="J31" s="461">
        <f>VLOOKUP("threshold32_17_sz",AUTO!$A$1:$B$1051,2,FALSE)</f>
        <v>21</v>
      </c>
      <c r="K31" s="264"/>
    </row>
    <row r="32" spans="2:18" x14ac:dyDescent="0.25">
      <c r="B32" s="263"/>
      <c r="C32" s="448">
        <f>VLOOKUP("threshold32_21_sz",AUTO!$A$1:$B$1051,2,FALSE)</f>
        <v>25</v>
      </c>
      <c r="D32" s="448">
        <f>VLOOKUP("reference_count_4",AUTO!$A$1:$B$1051,2,FALSE)/100</f>
        <v>53</v>
      </c>
      <c r="E32" s="456">
        <f>4913/100</f>
        <v>49.13</v>
      </c>
      <c r="F32" s="257"/>
      <c r="G32" s="448">
        <f t="shared" si="0"/>
        <v>25</v>
      </c>
      <c r="H32" s="448">
        <f t="shared" si="0"/>
        <v>53</v>
      </c>
      <c r="I32" s="460">
        <f>VLOOKUP("threshold32_21_value",AUTO!$A$1:$B$1051,2,FALSE)</f>
        <v>1794</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4348</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6298</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14290</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cp:lastPrinted>2026-06-18T08:59:42Z</cp:lastPrinted>
  <dcterms:created xsi:type="dcterms:W3CDTF">2002-07-09T10:21:12Z</dcterms:created>
  <dcterms:modified xsi:type="dcterms:W3CDTF">2026-06-18T09:13:11Z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