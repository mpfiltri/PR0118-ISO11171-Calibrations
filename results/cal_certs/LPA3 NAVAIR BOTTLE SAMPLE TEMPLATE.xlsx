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8125146F-1FCC-4528-AC85-B29B85503B66}" xr6:coauthVersionLast="47" xr6:coauthVersionMax="47" xr10:uidLastSave="{00000000-0000-0000-0000-000000000000}"/>
  <bookViews>
    <workbookView xWindow="-98" yWindow="-98" windowWidth="28996" windowHeight="17745" firstSheet="3" activeTab="20"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 name="D2" sheetId="112" r:id="rId21"/>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5" i="112" l="1"/>
  <c r="I35" i="112"/>
  <c r="J34" i="112"/>
  <c r="I34" i="112"/>
  <c r="J33" i="112"/>
  <c r="I33" i="112"/>
  <c r="J32" i="112"/>
  <c r="I32" i="112"/>
  <c r="J31" i="112"/>
  <c r="I31" i="112"/>
  <c r="J30" i="112"/>
  <c r="I30" i="112"/>
  <c r="J29" i="112"/>
  <c r="I29" i="112"/>
  <c r="J28" i="112"/>
  <c r="I28" i="112"/>
  <c r="J27" i="112"/>
  <c r="I27" i="112"/>
  <c r="D31" i="112"/>
  <c r="H31" i="112" s="1"/>
  <c r="D32" i="112"/>
  <c r="H32" i="112" s="1"/>
  <c r="D30" i="112"/>
  <c r="H30" i="112" s="1"/>
  <c r="D28" i="112"/>
  <c r="H28" i="112" s="1"/>
  <c r="D27" i="112"/>
  <c r="H27" i="112" s="1"/>
  <c r="D29" i="112"/>
  <c r="H29" i="112" s="1"/>
  <c r="C35" i="112"/>
  <c r="G35" i="112" s="1"/>
  <c r="C34" i="112"/>
  <c r="G34" i="112" s="1"/>
  <c r="C33" i="112"/>
  <c r="G33" i="112" s="1"/>
  <c r="C32" i="112"/>
  <c r="G32" i="112" s="1"/>
  <c r="C31" i="112"/>
  <c r="G31" i="112" s="1"/>
  <c r="C30" i="112"/>
  <c r="G30" i="112" s="1"/>
  <c r="C29" i="112"/>
  <c r="C28" i="112"/>
  <c r="G28" i="112" s="1"/>
  <c r="C27" i="112"/>
  <c r="G27" i="112" s="1"/>
  <c r="E18" i="112"/>
  <c r="E17" i="112"/>
  <c r="E16" i="112"/>
  <c r="E15" i="112"/>
  <c r="E14" i="112"/>
  <c r="E13" i="112"/>
  <c r="E12" i="112"/>
  <c r="H35" i="112"/>
  <c r="E35" i="112"/>
  <c r="H34" i="112"/>
  <c r="E34" i="112"/>
  <c r="H33" i="112"/>
  <c r="E33" i="112"/>
  <c r="E32" i="112"/>
  <c r="E31" i="112"/>
  <c r="E30" i="112"/>
  <c r="G29" i="112"/>
  <c r="E29" i="112"/>
  <c r="E28" i="112"/>
  <c r="E27" i="112"/>
  <c r="I76" i="86"/>
  <c r="I75" i="86"/>
  <c r="I74" i="86"/>
  <c r="I73" i="86"/>
  <c r="I72" i="86"/>
  <c r="I71" i="86"/>
  <c r="I70" i="86"/>
  <c r="I69" i="86"/>
  <c r="I68" i="86"/>
  <c r="C68" i="86"/>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C70" i="86"/>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C75" i="86"/>
  <c r="C74" i="86"/>
  <c r="C73" i="86"/>
  <c r="C72" i="86"/>
  <c r="C71" i="86"/>
  <c r="C69" i="86"/>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J70" i="86" l="1"/>
  <c r="C21" i="111"/>
  <c r="E40" i="108"/>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1" i="108" l="1"/>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<sst xmlns="http://schemas.openxmlformats.org/spreadsheetml/2006/main" count="12121" uniqueCount="1049">
  <si>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</si>
  <si>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</si>
  <si>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</si>
  <si>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</si>
  <si>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</si>
  <si>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</si>
  <si>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</si>
  <si>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</si>
  <si>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</si>
  <si>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</si>
  <si>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</si>
  <si>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</si>
  <si>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</si>
  <si>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</si>
  <si>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</si>
  <si>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</si>
  <si>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</si>
  <si>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</si>
  <si>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</si>
  <si>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</si>
  <si>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</si>
  <si>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</si>
  <si>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</si>
  <si>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</si>
  <si>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</si>
  <si>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</si>
  <si>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</si>
  <si>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</si>
  <si>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</si>
  <si>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</si>
  <si>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</si>
  <si>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</si>
  <si>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</si>
  <si>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</si>
  <si>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</si>
  <si>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</si>
  <si>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</si>
  <si>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</si>
  <si>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</si>
  <si>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</si>
  <si>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</si>
  <si>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</si>
  <si>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</si>
  <si>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</si>
  <si>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</si>
  <si>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</si>
  <si>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</si>
  <si>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</si>
  <si>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</si>
  <si>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</si>
  <si>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</si>
  <si>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</si>
  <si>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</si>
  <si>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</si>
  <si>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</si>
  <si>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</si>
  <si>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</si>
  <si>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</si>
  <si>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</si>
  <si>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</si>
  <si>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</si>
  <si>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</si>
  <si>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</si>
  <si>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</si>
  <si>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</si>
  <si>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</si>
  <si>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</si>
  <si>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</si>
  <si>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</si>
  <si>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</si>
  <si>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</si>
  <si>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</si>
  <si>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</si>
  <si>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</si>
  <si>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</si>
  <si>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</si>
  <si>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</si>
  <si>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</si>
  <si>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</si>
  <si>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</si>
  <si>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</si>
  <si>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</si>
  <si>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</si>
  <si>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</si>
  <si>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</si>
  <si>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</si>
  <si>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</si>
  <si>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</si>
  <si>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</si>
  <si>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</si>
  <si>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</si>
  <si>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</si>
  <si>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</si>
  <si>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</si>
  <si>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</si>
  <si>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</si>
  <si>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</si>
  <si>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</si>
  <si>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</si>
  <si>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</si>
  <si>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</si>
  <si>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</si>
  <si>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</si>
  <si>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</si>
  <si>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</si>
  <si>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</si>
  <si>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</si>
  <si>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</si>
  <si>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</si>
  <si>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</si>
  <si>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</si>
  <si>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</si>
  <si>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</si>
  <si>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</si>
  <si>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</si>
  <si>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</si>
  <si>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</si>
  <si>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</si>
  <si>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</si>
  <si>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</si>
  <si>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</si>
  <si>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</si>
  <si>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</si>
  <si>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</si>
  <si>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</si>
  <si>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</si>
  <si>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</si>
  <si>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</si>
  <si>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</si>
  <si>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</si>
  <si>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</si>
  <si>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</si>
  <si>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</si>
  <si>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</si>
  <si>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</si>
  <si>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</si>
  <si>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</si>
  <si>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</si>
  <si>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</si>
  <si>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</si>
  <si>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</si>
  <si>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</si>
  <si>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</si>
  <si>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</si>
  <si>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</si>
  <si>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</si>
  <si>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</si>
  <si>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</si>
  <si>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</si>
  <si>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</si>
  <si>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</si>
  <si>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</si>
  <si>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</si>
  <si>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</si>
  <si>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</si>
  <si>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</si>
  <si>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</si>
  <si>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</si>
  <si>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</si>
  <si>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</si>
  <si>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</si>
  <si>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</si>
  <si>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</si>
  <si>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</si>
  <si>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</si>
  <si>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</si>
  <si>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</si>
  <si>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</si>
  <si>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</si>
  <si>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</si>
  <si>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</si>
  <si>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</si>
  <si>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</si>
  <si>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</si>
  <si>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</si>
  <si>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</si>
  <si>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</si>
  <si>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</si>
  <si>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</si>
  <si>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</si>
  <si>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</si>
  <si>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</si>
  <si>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</si>
  <si>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</si>
  <si>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</si>
  <si>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</si>
  <si>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</si>
  <si>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</si>
  <si>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</si>
  <si>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</si>
  <si>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</si>
  <si>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</si>
  <si>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</si>
  <si>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</si>
  <si>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</si>
  <si>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</si>
  <si>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</si>
  <si>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</si>
  <si>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</si>
  <si>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</si>
  <si>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</si>
  <si>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</si>
  <si>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</si>
  <si>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</si>
  <si>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</si>
  <si>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</si>
  <si>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</si>
  <si>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</si>
  <si>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</si>
  <si>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</si>
  <si>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</si>
  <si>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</si>
  <si>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</si>
  <si>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</si>
  <si>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</si>
  <si>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</si>
  <si>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</si>
  <si>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</si>
  <si>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</si>
  <si>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</si>
  <si>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</si>
  <si>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</si>
  <si>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</si>
  <si>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</si>
  <si>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</si>
  <si>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</si>
  <si>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</si>
  <si>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</si>
  <si>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</si>
  <si>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</si>
  <si>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</si>
  <si>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</si>
  <si>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</si>
  <si>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</si>
  <si>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</si>
  <si>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</si>
  <si>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</si>
  <si>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</si>
  <si>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</si>
  <si>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</si>
  <si>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</si>
  <si>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</si>
  <si>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</si>
  <si>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</si>
  <si>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</si>
  <si>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</si>
  <si>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</si>
  <si>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</si>
  <si>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</si>
  <si>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</si>
  <si>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</si>
  <si>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</si>
  <si>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</si>
  <si>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</si>
  <si>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</si>
  <si>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</si>
  <si>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</si>
  <si>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</si>
  <si>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</si>
  <si>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</si>
  <si>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</si>
  <si>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</si>
  <si>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</si>
  <si>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</si>
  <si>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</si>
  <si>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</si>
  <si>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</si>
  <si>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</si>
  <si>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</si>
  <si>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</si>
  <si>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</si>
  <si>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</si>
  <si>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</si>
  <si>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</si>
  <si>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</si>
  <si>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</si>
  <si>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</si>
  <si>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</si>
  <si>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</si>
  <si>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</si>
  <si>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</si>
  <si>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</si>
  <si>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</si>
  <si>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</si>
  <si>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</si>
  <si>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</si>
  <si>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</si>
  <si>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</si>
  <si>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</si>
  <si>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</si>
  <si>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</si>
  <si>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</si>
  <si>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</si>
  <si>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</si>
  <si>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</si>
  <si>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</si>
  <si>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</si>
  <si>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</si>
  <si>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</si>
  <si>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</si>
  <si>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</si>
  <si>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</si>
  <si>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</si>
  <si>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</si>
  <si>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</si>
  <si>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</si>
  <si>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</si>
  <si>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</si>
  <si>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</si>
  <si>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</si>
  <si>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</si>
  <si>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</si>
  <si>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</si>
  <si>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</si>
  <si>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</si>
  <si>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</si>
  <si>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</si>
  <si>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</si>
  <si>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</si>
  <si>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</si>
  <si>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</si>
  <si>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</si>
  <si>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</si>
  <si>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</si>
  <si>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</si>
  <si>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</si>
  <si>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</si>
  <si>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</si>
  <si>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</si>
  <si>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</si>
  <si>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</si>
  <si>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</si>
  <si>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</si>
  <si>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</si>
  <si>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</si>
  <si>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</si>
  <si>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</si>
  <si>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</si>
  <si>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</si>
  <si>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</si>
  <si>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</si>
  <si>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</si>
  <si>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</si>
  <si>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</si>
  <si>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</si>
  <si>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</si>
  <si>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</si>
  <si>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</si>
  <si>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</si>
  <si>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</si>
  <si>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</si>
  <si>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</si>
  <si>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</si>
  <si>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</si>
  <si>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</si>
  <si>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</si>
  <si>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</si>
  <si>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</si>
  <si>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</si>
  <si>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</si>
  <si>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</si>
  <si>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</si>
  <si>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</si>
  <si>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</si>
  <si>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</si>
  <si>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</si>
  <si>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</si>
  <si>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</si>
  <si>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</si>
  <si>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</si>
  <si>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</si>
  <si>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</si>
  <si>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</si>
  <si>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</si>
  <si>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</si>
  <si>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</si>
  <si>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</si>
  <si>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</si>
  <si>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</si>
  <si>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</si>
  <si>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</si>
  <si>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</si>
  <si>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</si>
  <si>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</si>
  <si>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</si>
  <si>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</si>
  <si>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</si>
  <si>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</si>
  <si>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</si>
  <si>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</si>
  <si>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</si>
  <si>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</si>
  <si>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</si>
  <si>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</si>
  <si>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</si>
  <si>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</si>
  <si>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</si>
  <si>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</si>
  <si>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</si>
  <si>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</si>
  <si>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</si>
  <si>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</si>
  <si>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</si>
  <si>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</si>
  <si>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</si>
  <si>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</si>
  <si>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</si>
  <si>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</si>
  <si>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</si>
  <si>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</si>
  <si>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</si>
  <si>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</si>
  <si>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</si>
  <si>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</si>
  <si>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</si>
  <si>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</si>
  <si>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</si>
  <si>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</si>
  <si>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</si>
  <si>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</si>
  <si>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</si>
  <si>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</si>
  <si>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</si>
  <si>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</si>
  <si>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</si>
  <si>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</si>
  <si>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</si>
  <si>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</si>
  <si>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</si>
  <si>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</si>
  <si>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</si>
  <si>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</si>
  <si>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</si>
  <si>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</si>
  <si>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</si>
  <si>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</si>
  <si>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</si>
  <si>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</si>
  <si>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</si>
  <si>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</si>
  <si>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</si>
  <si>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</si>
  <si>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</si>
  <si>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</si>
  <si>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</si>
  <si>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</si>
  <si>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</si>
  <si>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</si>
  <si>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</si>
  <si>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</si>
  <si>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</si>
  <si>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</si>
  <si>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</si>
  <si>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</si>
  <si>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</si>
  <si>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</si>
  <si>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</si>
  <si>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</si>
  <si>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</si>
  <si>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</si>
  <si>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</si>
  <si>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</si>
  <si>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</si>
  <si>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</si>
  <si>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</si>
  <si>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</si>
  <si>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</si>
  <si>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</si>
  <si>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</si>
  <si>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</si>
  <si>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</si>
  <si>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</si>
  <si>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</si>
  <si>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</si>
  <si>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</si>
  <si>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</si>
  <si>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</si>
  <si>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</si>
  <si>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</si>
  <si>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</si>
  <si>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</si>
  <si>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</si>
  <si>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</si>
  <si>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</si>
  <si>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</si>
  <si>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</si>
  <si>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</si>
  <si>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</si>
  <si>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</si>
  <si>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</si>
  <si>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</si>
  <si>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</si>
  <si>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</si>
  <si>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</si>
  <si>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</si>
  <si>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</si>
  <si>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</si>
  <si>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</si>
  <si>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</si>
  <si>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</si>
  <si>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</si>
  <si>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</si>
  <si>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</si>
  <si>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</si>
  <si>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</si>
  <si>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</si>
  <si>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</si>
  <si>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</si>
  <si>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</si>
  <si>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</si>
  <si>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</si>
  <si>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</si>
  <si>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</si>
  <si>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</si>
  <si>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</si>
  <si>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</si>
  <si>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</si>
  <si>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</si>
  <si>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</si>
  <si>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</si>
  <si>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</si>
  <si>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</si>
  <si>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</si>
  <si>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</si>
  <si>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</si>
  <si>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</si>
  <si>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</si>
  <si>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</si>
  <si>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</si>
  <si>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</si>
  <si>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</si>
  <si>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</si>
  <si>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</si>
  <si>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</si>
  <si>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</si>
  <si>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</si>
  <si>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</si>
  <si>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</si>
  <si>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</si>
  <si>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</si>
  <si>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</si>
  <si>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</si>
  <si>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</si>
  <si>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</si>
  <si>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</si>
  <si>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</si>
  <si>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</si>
  <si>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</si>
  <si>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</si>
  <si>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</si>
  <si>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</si>
  <si>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</si>
  <si>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</si>
  <si>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</si>
  <si>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</si>
  <si>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</si>
  <si>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</si>
  <si>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</si>
  <si>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</si>
  <si>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</si>
  <si>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</si>
  <si>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</si>
  <si>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</si>
  <si>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</si>
  <si>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</si>
  <si>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</si>
  <si>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</si>
  <si>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</si>
  <si>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</si>
  <si>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</si>
  <si>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</si>
  <si>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</si>
  <si>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</si>
  <si>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</si>
  <si>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</si>
  <si>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</si>
  <si>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</si>
  <si>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</si>
  <si>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</si>
  <si>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</si>
  <si>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</si>
  <si>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</si>
  <si>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</si>
  <si>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</si>
  <si>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</si>
  <si>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</si>
  <si>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</si>
  <si>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</si>
  <si>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</si>
  <si>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</si>
  <si>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</si>
  <si>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</si>
  <si>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</si>
  <si>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</si>
  <si>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</si>
  <si>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</si>
  <si>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</si>
  <si>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</si>
  <si>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</si>
  <si>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</si>
  <si>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</si>
  <si>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</si>
  <si>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</si>
  <si>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</si>
  <si>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</si>
  <si>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</si>
  <si>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</si>
  <si>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</si>
  <si>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</si>
  <si>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</si>
  <si>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</si>
  <si>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</si>
  <si>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</si>
  <si>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</si>
  <si>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</si>
  <si>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</si>
  <si>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</si>
  <si>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</si>
  <si>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</si>
  <si>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</si>
  <si>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</si>
  <si>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</si>
  <si>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</si>
  <si>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</si>
  <si>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</si>
  <si>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</si>
  <si>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</si>
  <si>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</si>
  <si>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</si>
  <si>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</si>
  <si>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</si>
  <si>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</si>
  <si>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</si>
  <si>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</si>
  <si>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</si>
  <si>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</si>
  <si>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</si>
  <si>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</si>
  <si>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</si>
  <si>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</si>
  <si>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</si>
  <si>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</si>
  <si>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</si>
  <si>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</si>
  <si>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</si>
  <si>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</si>
  <si>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</si>
  <si>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</si>
  <si>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</si>
  <si>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</si>
  <si>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</si>
  <si>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</si>
  <si>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</si>
  <si>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</si>
  <si>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</si>
  <si>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</si>
  <si>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</si>
  <si>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</si>
  <si>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</si>
  <si>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</si>
  <si>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</si>
  <si>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</si>
  <si>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</si>
  <si>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</si>
  <si>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</si>
  <si>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</si>
  <si>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</si>
  <si>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</si>
  <si>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</si>
  <si>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</si>
  <si>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</si>
  <si>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</si>
  <si>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</si>
  <si>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</si>
  <si>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</si>
  <si>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</si>
  <si>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</si>
  <si>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</si>
  <si>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</si>
  <si>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</si>
  <si>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</si>
  <si>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</si>
  <si>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</si>
  <si>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</si>
  <si>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</si>
  <si>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</si>
  <si>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</si>
  <si>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</si>
  <si>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</si>
  <si>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</si>
  <si>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</si>
  <si>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</si>
  <si>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</si>
  <si>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</si>
  <si>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</si>
  <si>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</si>
  <si>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</si>
  <si>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</si>
  <si>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</si>
  <si>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</si>
  <si>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</si>
  <si>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</si>
  <si>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</si>
  <si>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</si>
  <si>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</si>
  <si>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</si>
  <si>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</si>
  <si>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</si>
  <si>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</si>
  <si>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</si>
  <si>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</si>
  <si>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LPA3 NAVAIR #12345671 CALIBRATE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</si>
  <si>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</si>
  <si>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</si>
  <si>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</si>
  <si>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</si>
  <si>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</si>
  <si>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</si>
  <si>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</si>
  <si>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</si>
  <si>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</si>
  <si>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</si>
  <si>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</si>
  <si>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</si>
  <si>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</si>
  <si>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</si>
  <si>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</si>
  <si>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</si>
  <si>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</si>
  <si>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</si>
  <si>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</si>
  <si>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</si>
  <si>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</si>
  <si>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</si>
  <si>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</si>
  <si>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</si>
  <si>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</si>
  <si>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</si>
  <si>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</si>
  <si>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</si>
  <si>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</si>
  <si>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</si>
  <si>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</si>
  <si>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</si>
  <si>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</si>
  <si>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</si>
  <si>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</si>
  <si>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</si>
  <si>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</si>
  <si>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</si>
  <si>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</si>
  <si>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</si>
  <si>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</si>
  <si>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</si>
  <si>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</si>
  <si>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</si>
  <si>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</si>
  <si>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</si>
  <si>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</si>
  <si>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</si>
  <si>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</si>
  <si>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</si>
  <si>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</si>
  <si>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</si>
  <si>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</si>
  <si>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</si>
  <si>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</si>
  <si>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</si>
  <si>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</si>
  <si>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</si>
  <si>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</si>
  <si>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</si>
  <si>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</si>
  <si>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</si>
  <si>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</si>
  <si>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</si>
  <si>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</si>
  <si>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</si>
  <si>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</si>
  <si>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</si>
  <si>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</si>
  <si>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</si>
  <si>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</si>
  <si>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</si>
  <si>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</si>
  <si>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</si>
  <si>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</si>
  <si>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</si>
  <si>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</si>
  <si>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</si>
  <si>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</si>
  <si>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</si>
  <si>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</si>
  <si>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</si>
  <si>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</si>
  <si>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</si>
  <si>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</si>
  <si>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</si>
  <si>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</si>
  <si>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</si>
  <si>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</si>
  <si>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</si>
  <si>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</si>
  <si>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</si>
  <si>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</si>
  <si>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</si>
  <si>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</si>
  <si>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</si>
  <si>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</si>
  <si>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</si>
  <si>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</si>
  <si>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</si>
  <si>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</si>
  <si>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</si>
  <si>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</si>
  <si>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</si>
  <si>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</si>
  <si>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</si>
  <si>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</si>
  <si>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</si>
  <si>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</si>
  <si>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</si>
  <si>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</si>
  <si>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</si>
  <si>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</si>
  <si>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</si>
  <si>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</si>
  <si>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</si>
  <si>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</si>
  <si>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</si>
  <si>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</si>
  <si>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</si>
  <si>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</si>
  <si>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</si>
  <si>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</si>
  <si>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</si>
  <si>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</si>
  <si>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</si>
  <si>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</si>
  <si>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</si>
  <si>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</si>
  <si>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</si>
  <si>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</si>
  <si>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</si>
  <si>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</si>
  <si>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</si>
  <si>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</si>
  <si>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</si>
  <si>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</si>
  <si>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</si>
  <si>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</si>
  <si>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</si>
  <si>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</si>
  <si>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</si>
  <si>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</si>
  <si>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</si>
  <si>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</si>
  <si>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</si>
  <si>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</si>
  <si>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</si>
  <si>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</si>
  <si>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</si>
  <si>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</si>
  <si>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</si>
  <si>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</si>
  <si>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</si>
  <si>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</si>
  <si>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</si>
  <si>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</si>
  <si>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</si>
  <si>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</si>
  <si>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</si>
  <si>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</si>
  <si>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</si>
  <si>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</si>
  <si>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</si>
  <si>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</si>
  <si>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</si>
  <si>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</si>
  <si>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</si>
  <si>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</si>
  <si>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</si>
  <si>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</si>
  <si>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</si>
  <si>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</si>
  <si>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</si>
  <si>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</si>
  <si>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</si>
  <si>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</si>
  <si>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</si>
  <si>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</si>
  <si>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</si>
  <si>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</si>
  <si>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</si>
  <si>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</si>
  <si>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</si>
  <si>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</si>
  <si>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</si>
  <si>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</si>
  <si>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</si>
  <si>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</si>
  <si>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</si>
  <si>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</si>
  <si>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</si>
  <si>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</si>
  <si>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</si>
  <si>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</si>
  <si>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</si>
  <si>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</si>
  <si>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</si>
  <si>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</si>
  <si>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</si>
  <si>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</si>
  <si>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</si>
  <si>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</si>
  <si>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</si>
  <si>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</si>
  <si>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</si>
  <si>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</si>
  <si>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</si>
  <si>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</si>
  <si>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</si>
  <si>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</si>
  <si>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</si>
  <si>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</si>
  <si>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</si>
  <si>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</si>
  <si>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</si>
  <si>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</si>
  <si>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</si>
  <si>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</si>
  <si>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</si>
  <si>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</si>
  <si>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</si>
  <si>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</si>
  <si>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</si>
  <si>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</si>
  <si>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</si>
  <si>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</si>
  <si>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</si>
  <si>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</si>
  <si>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</si>
  <si>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</si>
  <si>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</si>
  <si>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</si>
  <si>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</si>
  <si>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</si>
  <si>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</si>
  <si>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</si>
  <si>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</si>
  <si>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</si>
  <si>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</si>
  <si>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</si>
  <si>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</si>
  <si>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</si>
  <si>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</si>
  <si>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</si>
  <si>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</si>
  <si>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</si>
  <si>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</si>
  <si>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</si>
  <si>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</si>
  <si>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</si>
  <si>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</si>
  <si>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</si>
  <si>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</si>
  <si>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</si>
  <si>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</si>
  <si>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</si>
  <si>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</si>
  <si>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</si>
  <si>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</si>
  <si>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</si>
  <si>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</si>
  <si>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</si>
  <si>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</si>
  <si>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</si>
  <si>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</si>
  <si>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</si>
  <si>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</si>
  <si>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</si>
  <si>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</si>
  <si>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</si>
  <si>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</si>
  <si>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</si>
  <si>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</si>
  <si>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</si>
  <si>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</si>
  <si>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</si>
  <si>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</si>
  <si>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</si>
  <si>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</si>
  <si>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</si>
  <si>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</si>
  <si>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</si>
  <si>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</si>
  <si>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</si>
  <si>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</si>
  <si>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</si>
  <si>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</si>
  <si>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</si>
  <si>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</si>
  <si>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</si>
  <si>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</si>
  <si>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</si>
  <si>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</si>
  <si>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</si>
  <si>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</si>
  <si>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</si>
  <si>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</si>
  <si>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</si>
  <si>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</si>
  <si>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</si>
  <si>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</si>
  <si>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</si>
  <si>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</si>
  <si>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</si>
  <si>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</si>
  <si>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</si>
  <si>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</si>
  <si>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</si>
  <si>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</si>
  <si>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</si>
  <si>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</si>
  <si>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</si>
  <si>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</si>
  <si>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</si>
  <si>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</si>
  <si>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</si>
  <si>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</si>
  <si>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</si>
  <si>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</si>
  <si>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</si>
  <si>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</si>
  <si>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</si>
  <si>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</si>
  <si>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</si>
  <si>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</si>
  <si>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</si>
  <si>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</si>
  <si>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</si>
  <si>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</si>
  <si>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</si>
  <si>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</si>
  <si>
    <t>Keep House, Conference Way, Vale Park</t>
  </si>
  <si>
    <t>www.mpfiltri.com</t>
  </si>
  <si>
    <t>KAP</t>
  </si>
  <si>
    <t>S250602008 (35D)</t>
  </si>
  <si>
    <t xml:space="preserve">Method of calibration and traceability: 
This device was calibrated using PartiStan 2806 Secondary reference fluid, Sizes and particle concentrations determined on a primary calibrated instrument using NIST SRM 2806d. 
Particle sizes 38, 50, 70 microns calibrated using NIST traceable glass spheres in accordance with clause 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</si>
</sst>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8" x14ac:knownFonts="1">
    <font>
      <sz val="10"/>
      <name val="Arial"/>
    </font>
    <font>
      <sz val="11"/>
      <color theme="1"/>
      <name val="Calibri"/>
      <family val="2"/>
      <scheme val="minor"/>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u/>
      <sz val="11"/>
      <color theme="10"/>
      <name val="Calibri"/>
      <family val="2"/>
      <scheme val="minor"/>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42">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6" fillId="0" borderId="0" applyNumberFormat="0" applyFill="0" applyBorder="0" applyAlignment="0" applyProtection="0">
      <alignment vertical="top"/>
      <protection locked="0"/>
    </xf>
    <xf numFmtId="0" fontId="2" fillId="0" borderId="0"/>
    <xf numFmtId="0" fontId="48" fillId="0" borderId="0" applyNumberFormat="0" applyFill="0" applyBorder="0" applyAlignment="0" applyProtection="0"/>
    <xf numFmtId="44" fontId="58" fillId="0" borderId="0" applyFont="0" applyFill="0" applyBorder="0" applyAlignment="0" applyProtection="0"/>
    <xf numFmtId="9" fontId="62" fillId="0" borderId="0" applyFont="0" applyFill="0" applyBorder="0" applyAlignment="0" applyProtection="0"/>
    <xf numFmtId="0" fontId="63" fillId="0" borderId="0"/>
    <xf numFmtId="44" fontId="2" fillId="0" borderId="0" applyFont="0" applyFill="0" applyBorder="0" applyAlignment="0" applyProtection="0"/>
    <xf numFmtId="0" fontId="1" fillId="0" borderId="0"/>
    <xf numFmtId="0" fontId="67" fillId="0" borderId="0" applyNumberFormat="0" applyFill="0" applyBorder="0" applyAlignment="0" applyProtection="0"/>
    <xf numFmtId="9" fontId="1" fillId="0" borderId="0" applyFont="0" applyFill="0" applyBorder="0" applyAlignment="0" applyProtection="0"/>
  </cellStyleXfs>
  <cellXfs count="652">
    <xf numFmtId="0" fontId="0" fillId="0" borderId="0" xfId="0"/>
    <xf numFmtId="0" fontId="0" fillId="2" borderId="0" xfId="0" applyFill="1"/>
    <xf numFmtId="0" fontId="0" fillId="2" borderId="0" xfId="0" applyFill="1" applyAlignment="1">
      <alignment horizontal="center" vertical="center" wrapText="1"/>
    </xf>
    <xf numFmtId="0" fontId="3"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4"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7" fillId="2" borderId="8" xfId="0" applyFont="1" applyFill="1" applyBorder="1" applyAlignment="1">
      <alignment horizontal="center"/>
    </xf>
    <xf numFmtId="0" fontId="17" fillId="2" borderId="4" xfId="0" applyFont="1" applyFill="1" applyBorder="1" applyAlignment="1">
      <alignment horizontal="center"/>
    </xf>
    <xf numFmtId="0" fontId="17" fillId="2" borderId="5" xfId="0" applyFont="1" applyFill="1" applyBorder="1" applyAlignment="1">
      <alignment horizontal="center"/>
    </xf>
    <xf numFmtId="164" fontId="17" fillId="3" borderId="14" xfId="0" applyNumberFormat="1" applyFont="1" applyFill="1" applyBorder="1" applyAlignment="1">
      <alignment horizontal="center"/>
    </xf>
    <xf numFmtId="164" fontId="17" fillId="3" borderId="0" xfId="0" applyNumberFormat="1" applyFont="1" applyFill="1" applyAlignment="1">
      <alignment horizontal="center"/>
    </xf>
    <xf numFmtId="164" fontId="17" fillId="3" borderId="3" xfId="0" applyNumberFormat="1" applyFont="1" applyFill="1" applyBorder="1" applyAlignment="1">
      <alignment horizontal="center"/>
    </xf>
    <xf numFmtId="0" fontId="16" fillId="4" borderId="9" xfId="0" applyFont="1" applyFill="1" applyBorder="1" applyAlignment="1">
      <alignment horizontal="center"/>
    </xf>
    <xf numFmtId="0" fontId="16" fillId="4" borderId="10" xfId="0" applyFont="1" applyFill="1" applyBorder="1" applyAlignment="1">
      <alignment horizontal="center"/>
    </xf>
    <xf numFmtId="0" fontId="18" fillId="4" borderId="10" xfId="0" applyFont="1" applyFill="1" applyBorder="1" applyAlignment="1">
      <alignment horizontal="center"/>
    </xf>
    <xf numFmtId="0" fontId="18" fillId="4" borderId="11" xfId="0" applyFont="1" applyFill="1" applyBorder="1" applyAlignment="1">
      <alignment horizontal="center"/>
    </xf>
    <xf numFmtId="2" fontId="16" fillId="4" borderId="14" xfId="0" applyNumberFormat="1" applyFont="1" applyFill="1" applyBorder="1" applyAlignment="1">
      <alignment horizontal="center"/>
    </xf>
    <xf numFmtId="2" fontId="16" fillId="4" borderId="0" xfId="0" applyNumberFormat="1" applyFont="1" applyFill="1" applyAlignment="1">
      <alignment horizontal="center"/>
    </xf>
    <xf numFmtId="2" fontId="18" fillId="4" borderId="0" xfId="0" applyNumberFormat="1" applyFont="1" applyFill="1" applyAlignment="1">
      <alignment horizontal="center"/>
    </xf>
    <xf numFmtId="2" fontId="18" fillId="4" borderId="3" xfId="0" applyNumberFormat="1" applyFont="1" applyFill="1" applyBorder="1" applyAlignment="1">
      <alignment horizontal="center"/>
    </xf>
    <xf numFmtId="2" fontId="3" fillId="3" borderId="0" xfId="0" applyNumberFormat="1" applyFont="1" applyFill="1" applyAlignment="1">
      <alignment horizontal="center"/>
    </xf>
    <xf numFmtId="2" fontId="3" fillId="3" borderId="3" xfId="0" applyNumberFormat="1" applyFont="1" applyFill="1" applyBorder="1" applyAlignment="1">
      <alignment horizontal="center"/>
    </xf>
    <xf numFmtId="0" fontId="3" fillId="4" borderId="10" xfId="0" applyFont="1" applyFill="1" applyBorder="1" applyAlignment="1">
      <alignment horizontal="center"/>
    </xf>
    <xf numFmtId="0" fontId="0" fillId="4" borderId="0" xfId="0" applyFill="1" applyAlignment="1">
      <alignment horizontal="center"/>
    </xf>
    <xf numFmtId="0" fontId="3" fillId="4" borderId="11" xfId="0" applyFont="1" applyFill="1" applyBorder="1" applyAlignment="1">
      <alignment horizontal="center"/>
    </xf>
    <xf numFmtId="0" fontId="0" fillId="4" borderId="3" xfId="0" applyFill="1" applyBorder="1" applyAlignment="1">
      <alignment horizontal="center"/>
    </xf>
    <xf numFmtId="0" fontId="4"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3" fillId="2" borderId="0" xfId="0" applyFont="1" applyFill="1" applyAlignment="1">
      <alignment horizontal="left" vertical="center"/>
    </xf>
    <xf numFmtId="0" fontId="21" fillId="2" borderId="0" xfId="1" applyFont="1" applyFill="1" applyAlignment="1" applyProtection="1"/>
    <xf numFmtId="0" fontId="36" fillId="2" borderId="2" xfId="0" applyFont="1" applyFill="1" applyBorder="1" applyAlignment="1" applyProtection="1">
      <alignment horizontal="center" vertical="center"/>
      <protection locked="0"/>
    </xf>
    <xf numFmtId="167" fontId="36" fillId="2" borderId="2" xfId="0" applyNumberFormat="1" applyFont="1" applyFill="1" applyBorder="1" applyAlignment="1">
      <alignment horizontal="center" vertical="center"/>
    </xf>
    <xf numFmtId="2" fontId="36" fillId="2" borderId="2" xfId="0" applyNumberFormat="1" applyFont="1" applyFill="1" applyBorder="1" applyAlignment="1" applyProtection="1">
      <alignment horizontal="center" vertical="center"/>
      <protection locked="0"/>
    </xf>
    <xf numFmtId="0" fontId="37" fillId="2" borderId="0" xfId="0" applyFont="1" applyFill="1" applyAlignment="1">
      <alignment horizontal="left" vertical="center"/>
    </xf>
    <xf numFmtId="2" fontId="36"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9" fillId="2" borderId="0" xfId="0" applyFont="1" applyFill="1" applyAlignment="1">
      <alignment horizontal="left"/>
    </xf>
    <xf numFmtId="0" fontId="9" fillId="2" borderId="0" xfId="0" applyFont="1" applyFill="1"/>
    <xf numFmtId="0" fontId="10" fillId="2" borderId="0" xfId="0" applyFont="1" applyFill="1"/>
    <xf numFmtId="0" fontId="0" fillId="2" borderId="3" xfId="0" applyFill="1" applyBorder="1"/>
    <xf numFmtId="0" fontId="29" fillId="2" borderId="17" xfId="0" applyFont="1" applyFill="1" applyBorder="1" applyAlignment="1">
      <alignment horizontal="left"/>
    </xf>
    <xf numFmtId="0" fontId="31" fillId="2" borderId="17" xfId="0" applyFont="1" applyFill="1" applyBorder="1" applyAlignment="1">
      <alignment horizontal="left"/>
    </xf>
    <xf numFmtId="0" fontId="0" fillId="0" borderId="0" xfId="0" applyAlignment="1">
      <alignment horizontal="left"/>
    </xf>
    <xf numFmtId="0" fontId="8" fillId="0" borderId="0" xfId="0" applyFont="1" applyAlignment="1">
      <alignment horizontal="left" vertical="center"/>
    </xf>
    <xf numFmtId="0" fontId="7" fillId="0" borderId="0" xfId="0" applyFont="1" applyAlignment="1">
      <alignment horizontal="left" vertical="center"/>
    </xf>
    <xf numFmtId="0" fontId="12" fillId="2" borderId="17" xfId="0" applyFont="1" applyFill="1" applyBorder="1" applyAlignment="1">
      <alignment horizontal="center"/>
    </xf>
    <xf numFmtId="0" fontId="12" fillId="2" borderId="17" xfId="0" applyFont="1" applyFill="1" applyBorder="1" applyAlignment="1">
      <alignment horizontal="left" vertical="center"/>
    </xf>
    <xf numFmtId="0" fontId="0" fillId="2" borderId="33" xfId="0" applyFill="1" applyBorder="1" applyAlignment="1">
      <alignment vertical="center"/>
    </xf>
    <xf numFmtId="0" fontId="5" fillId="2" borderId="0" xfId="0" applyFont="1" applyFill="1" applyAlignment="1">
      <alignment vertical="center"/>
    </xf>
    <xf numFmtId="0" fontId="7" fillId="2" borderId="33" xfId="0" applyFont="1" applyFill="1" applyBorder="1" applyAlignment="1">
      <alignment vertical="center"/>
    </xf>
    <xf numFmtId="0" fontId="11"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30"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7"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7" fillId="2" borderId="34" xfId="0" applyFont="1" applyFill="1" applyBorder="1" applyAlignment="1">
      <alignment horizontal="left" vertical="center"/>
    </xf>
    <xf numFmtId="0" fontId="20" fillId="2" borderId="0" xfId="0" applyFont="1" applyFill="1"/>
    <xf numFmtId="0" fontId="8" fillId="2" borderId="0" xfId="0" applyFont="1" applyFill="1"/>
    <xf numFmtId="0" fontId="9" fillId="2" borderId="0" xfId="0" applyFont="1" applyFill="1" applyAlignment="1">
      <alignment horizontal="center"/>
    </xf>
    <xf numFmtId="0" fontId="10" fillId="5" borderId="0" xfId="0" applyFont="1" applyFill="1" applyAlignment="1">
      <alignment horizontal="center" vertical="center" wrapText="1"/>
    </xf>
    <xf numFmtId="0" fontId="10" fillId="5" borderId="0" xfId="0" applyFont="1" applyFill="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wrapText="1"/>
    </xf>
    <xf numFmtId="0" fontId="10" fillId="2" borderId="0" xfId="0" applyFont="1" applyFill="1" applyAlignment="1">
      <alignment vertical="center" wrapText="1"/>
    </xf>
    <xf numFmtId="0" fontId="10" fillId="2" borderId="6" xfId="0" applyFont="1" applyFill="1" applyBorder="1" applyAlignment="1">
      <alignment vertical="center"/>
    </xf>
    <xf numFmtId="0" fontId="12" fillId="2" borderId="23" xfId="0" applyFont="1" applyFill="1" applyBorder="1"/>
    <xf numFmtId="0" fontId="12" fillId="2" borderId="7" xfId="0" applyFont="1" applyFill="1" applyBorder="1"/>
    <xf numFmtId="0" fontId="10" fillId="2" borderId="9" xfId="0" applyFont="1" applyFill="1" applyBorder="1" applyAlignment="1">
      <alignment vertical="center"/>
    </xf>
    <xf numFmtId="0" fontId="12" fillId="2" borderId="14" xfId="0" applyFont="1" applyFill="1" applyBorder="1"/>
    <xf numFmtId="0" fontId="12" fillId="2" borderId="8" xfId="0" applyFont="1" applyFill="1" applyBorder="1"/>
    <xf numFmtId="0" fontId="10" fillId="2" borderId="0" xfId="0" applyFont="1" applyFill="1" applyAlignment="1">
      <alignment vertical="center"/>
    </xf>
    <xf numFmtId="0" fontId="12" fillId="2" borderId="0" xfId="0" applyFont="1" applyFill="1"/>
    <xf numFmtId="0" fontId="14" fillId="2" borderId="0" xfId="0" applyFont="1" applyFill="1"/>
    <xf numFmtId="0" fontId="7" fillId="0" borderId="0" xfId="0" applyFont="1" applyAlignment="1">
      <alignment horizontal="center"/>
    </xf>
    <xf numFmtId="0" fontId="3" fillId="2" borderId="0" xfId="0" applyFont="1" applyFill="1"/>
    <xf numFmtId="0" fontId="8" fillId="2" borderId="0" xfId="0" applyFont="1" applyFill="1" applyAlignment="1">
      <alignment horizontal="center" vertical="center" wrapText="1"/>
    </xf>
    <xf numFmtId="0" fontId="10" fillId="2" borderId="2" xfId="0" applyFont="1" applyFill="1" applyBorder="1" applyAlignment="1">
      <alignment horizontal="center" vertical="center" wrapText="1"/>
    </xf>
    <xf numFmtId="0" fontId="12" fillId="2" borderId="0" xfId="0" applyFont="1" applyFill="1" applyAlignment="1">
      <alignment horizontal="center" vertical="center" wrapText="1"/>
    </xf>
    <xf numFmtId="0" fontId="25" fillId="2" borderId="2" xfId="0" applyFont="1" applyFill="1" applyBorder="1" applyAlignment="1">
      <alignment horizontal="center" vertical="center" wrapText="1"/>
    </xf>
    <xf numFmtId="0" fontId="24" fillId="0" borderId="2" xfId="0" applyFont="1" applyBorder="1" applyAlignment="1">
      <alignment horizontal="center" vertical="center" wrapText="1"/>
    </xf>
    <xf numFmtId="10" fontId="24" fillId="2" borderId="2" xfId="0" applyNumberFormat="1" applyFont="1" applyFill="1" applyBorder="1" applyAlignment="1">
      <alignment horizontal="center" vertical="center" wrapText="1"/>
    </xf>
    <xf numFmtId="10" fontId="24" fillId="0" borderId="2" xfId="0" applyNumberFormat="1" applyFont="1" applyBorder="1" applyAlignment="1">
      <alignment horizontal="center" vertical="center" wrapText="1"/>
    </xf>
    <xf numFmtId="0" fontId="27" fillId="2" borderId="0" xfId="0" applyFont="1" applyFill="1"/>
    <xf numFmtId="0" fontId="26" fillId="2" borderId="0" xfId="0" applyFont="1" applyFill="1"/>
    <xf numFmtId="0" fontId="4" fillId="2" borderId="0" xfId="0" applyFont="1" applyFill="1"/>
    <xf numFmtId="0" fontId="26" fillId="2" borderId="0" xfId="0" applyFont="1" applyFill="1" applyAlignment="1">
      <alignment horizontal="center" vertical="center" wrapText="1"/>
    </xf>
    <xf numFmtId="164" fontId="24" fillId="2" borderId="2" xfId="0" applyNumberFormat="1" applyFont="1" applyFill="1" applyBorder="1" applyAlignment="1">
      <alignment horizontal="center" vertical="center" wrapText="1"/>
    </xf>
    <xf numFmtId="0" fontId="4" fillId="2" borderId="17" xfId="0" applyFont="1" applyFill="1" applyBorder="1"/>
    <xf numFmtId="0" fontId="0" fillId="2" borderId="17" xfId="0" applyFill="1" applyBorder="1"/>
    <xf numFmtId="0" fontId="14" fillId="2" borderId="6" xfId="0" applyFont="1" applyFill="1" applyBorder="1" applyAlignment="1">
      <alignment vertical="center"/>
    </xf>
    <xf numFmtId="0" fontId="8" fillId="2" borderId="7" xfId="0" applyFont="1" applyFill="1" applyBorder="1"/>
    <xf numFmtId="0" fontId="14" fillId="2" borderId="2" xfId="0" applyFont="1" applyFill="1" applyBorder="1" applyAlignment="1">
      <alignment vertical="center"/>
    </xf>
    <xf numFmtId="0" fontId="8" fillId="2" borderId="0" xfId="0" applyFont="1" applyFill="1" applyAlignment="1">
      <alignment horizontal="center" vertical="center"/>
    </xf>
    <xf numFmtId="0" fontId="11" fillId="2" borderId="0" xfId="0" applyFont="1" applyFill="1" applyAlignment="1">
      <alignment horizontal="right"/>
    </xf>
    <xf numFmtId="0" fontId="11" fillId="2" borderId="0" xfId="0" applyFont="1" applyFill="1" applyAlignment="1">
      <alignment horizontal="center"/>
    </xf>
    <xf numFmtId="1" fontId="36" fillId="2" borderId="0" xfId="0" applyNumberFormat="1" applyFont="1" applyFill="1" applyAlignment="1">
      <alignment horizontal="right" vertical="center"/>
    </xf>
    <xf numFmtId="166" fontId="36" fillId="2" borderId="0" xfId="0" applyNumberFormat="1" applyFont="1" applyFill="1" applyAlignment="1">
      <alignment horizontal="left" vertical="center"/>
    </xf>
    <xf numFmtId="2" fontId="36" fillId="2" borderId="0" xfId="0" applyNumberFormat="1" applyFont="1" applyFill="1" applyAlignment="1">
      <alignment horizontal="center" vertical="center"/>
    </xf>
    <xf numFmtId="0" fontId="24" fillId="2" borderId="2" xfId="0" applyFont="1" applyFill="1" applyBorder="1" applyAlignment="1">
      <alignment horizontal="center" vertical="center" wrapText="1"/>
    </xf>
    <xf numFmtId="0" fontId="14" fillId="2" borderId="2" xfId="0" applyFont="1" applyFill="1" applyBorder="1" applyAlignment="1">
      <alignment horizontal="center" vertical="center"/>
    </xf>
    <xf numFmtId="0" fontId="10" fillId="2" borderId="2" xfId="0" applyFont="1" applyFill="1" applyBorder="1" applyAlignment="1">
      <alignment vertical="center"/>
    </xf>
    <xf numFmtId="0" fontId="0" fillId="2" borderId="6" xfId="0" applyFill="1" applyBorder="1"/>
    <xf numFmtId="1" fontId="12" fillId="2" borderId="0" xfId="0" applyNumberFormat="1" applyFont="1" applyFill="1" applyAlignment="1">
      <alignment horizontal="center" vertical="center"/>
    </xf>
    <xf numFmtId="0" fontId="38" fillId="0" borderId="2" xfId="0" applyFont="1" applyBorder="1" applyAlignment="1">
      <alignment vertical="center" wrapText="1"/>
    </xf>
    <xf numFmtId="0" fontId="38" fillId="0" borderId="2" xfId="0" applyFont="1" applyBorder="1" applyAlignment="1" applyProtection="1">
      <alignment vertical="center" wrapText="1"/>
      <protection locked="0"/>
    </xf>
    <xf numFmtId="0" fontId="33" fillId="0" borderId="0" xfId="0" applyFont="1"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vertical="center"/>
    </xf>
    <xf numFmtId="0" fontId="3" fillId="8" borderId="2" xfId="0" applyFont="1" applyFill="1" applyBorder="1" applyAlignment="1">
      <alignment horizontal="center" vertical="center"/>
    </xf>
    <xf numFmtId="0" fontId="30" fillId="2" borderId="24" xfId="0" applyFont="1" applyFill="1" applyBorder="1" applyAlignment="1">
      <alignment horizontal="center"/>
    </xf>
    <xf numFmtId="0" fontId="30" fillId="2" borderId="9" xfId="0" applyFont="1" applyFill="1" applyBorder="1" applyAlignment="1">
      <alignment horizontal="center"/>
    </xf>
    <xf numFmtId="0" fontId="30" fillId="2" borderId="25" xfId="0" applyFont="1" applyFill="1" applyBorder="1" applyAlignment="1">
      <alignment horizontal="center"/>
    </xf>
    <xf numFmtId="0" fontId="30" fillId="2" borderId="8" xfId="0" applyFont="1" applyFill="1" applyBorder="1" applyAlignment="1">
      <alignment horizontal="center"/>
    </xf>
    <xf numFmtId="0" fontId="30"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4" fillId="2" borderId="2" xfId="0" applyNumberFormat="1" applyFont="1" applyFill="1" applyBorder="1" applyAlignment="1">
      <alignment horizontal="center" vertical="center" wrapText="1"/>
    </xf>
    <xf numFmtId="2" fontId="0" fillId="2" borderId="0" xfId="0" applyNumberFormat="1" applyFill="1"/>
    <xf numFmtId="0" fontId="12"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4" fillId="5" borderId="32" xfId="0" applyNumberFormat="1" applyFont="1" applyFill="1" applyBorder="1" applyAlignment="1">
      <alignment horizontal="center" vertical="center" wrapText="1"/>
    </xf>
    <xf numFmtId="11" fontId="0" fillId="0" borderId="0" xfId="0" applyNumberFormat="1"/>
    <xf numFmtId="1" fontId="24" fillId="0" borderId="2" xfId="0" applyNumberFormat="1" applyFont="1" applyBorder="1" applyAlignment="1" applyProtection="1">
      <alignment horizontal="center" vertical="center" wrapText="1"/>
      <protection locked="0"/>
    </xf>
    <xf numFmtId="1" fontId="24" fillId="0" borderId="2" xfId="0" applyNumberFormat="1" applyFont="1" applyBorder="1" applyAlignment="1">
      <alignment horizontal="center" vertical="center" wrapText="1"/>
    </xf>
    <xf numFmtId="1" fontId="2" fillId="6" borderId="2" xfId="0" applyNumberFormat="1" applyFont="1" applyFill="1" applyBorder="1" applyAlignment="1" applyProtection="1">
      <alignment horizontal="center" vertical="center"/>
      <protection locked="0"/>
    </xf>
    <xf numFmtId="1" fontId="2" fillId="6" borderId="30" xfId="0" applyNumberFormat="1" applyFont="1" applyFill="1" applyBorder="1" applyAlignment="1" applyProtection="1">
      <alignment horizontal="center" vertical="center"/>
      <protection locked="0"/>
    </xf>
    <xf numFmtId="1" fontId="36" fillId="2" borderId="2" xfId="0" applyNumberFormat="1" applyFont="1" applyFill="1" applyBorder="1" applyAlignment="1" applyProtection="1">
      <alignment horizontal="center" vertical="center"/>
      <protection locked="0"/>
    </xf>
    <xf numFmtId="1" fontId="34" fillId="0" borderId="2" xfId="0" applyNumberFormat="1" applyFont="1" applyBorder="1" applyAlignment="1">
      <alignment horizontal="center" vertical="center" wrapText="1"/>
    </xf>
    <xf numFmtId="49" fontId="2" fillId="0" borderId="0" xfId="0" applyNumberFormat="1" applyFont="1" applyAlignment="1">
      <alignment horizontal="right" vertical="center"/>
    </xf>
    <xf numFmtId="49" fontId="2" fillId="2" borderId="34" xfId="0" applyNumberFormat="1" applyFont="1" applyFill="1" applyBorder="1" applyAlignment="1">
      <alignment horizontal="right" vertical="center"/>
    </xf>
    <xf numFmtId="0" fontId="2" fillId="0" borderId="0" xfId="0" applyFont="1"/>
    <xf numFmtId="0" fontId="10" fillId="6" borderId="0" xfId="0" applyFont="1" applyFill="1" applyAlignment="1">
      <alignment horizontal="center" vertical="center" wrapText="1"/>
    </xf>
    <xf numFmtId="0" fontId="25" fillId="6" borderId="0" xfId="0" applyFont="1" applyFill="1" applyAlignment="1">
      <alignment horizontal="center" vertical="center" wrapText="1"/>
    </xf>
    <xf numFmtId="0" fontId="24" fillId="6" borderId="0" xfId="0" applyFont="1" applyFill="1" applyAlignment="1">
      <alignment horizontal="center" vertical="center" wrapText="1"/>
    </xf>
    <xf numFmtId="1" fontId="24" fillId="6" borderId="0" xfId="0" applyNumberFormat="1" applyFont="1" applyFill="1" applyAlignment="1">
      <alignment horizontal="center" vertical="center" wrapText="1"/>
    </xf>
    <xf numFmtId="2" fontId="24" fillId="6" borderId="0" xfId="0" applyNumberFormat="1" applyFont="1" applyFill="1" applyAlignment="1">
      <alignment horizontal="center" vertical="center" wrapText="1"/>
    </xf>
    <xf numFmtId="0" fontId="3" fillId="2" borderId="0" xfId="0" applyFont="1" applyFill="1" applyAlignment="1" applyProtection="1">
      <alignment vertical="center"/>
      <protection locked="0"/>
    </xf>
    <xf numFmtId="165" fontId="3" fillId="2" borderId="0" xfId="0" applyNumberFormat="1" applyFont="1" applyFill="1" applyAlignment="1" applyProtection="1">
      <alignment vertical="center"/>
      <protection locked="0"/>
    </xf>
    <xf numFmtId="0" fontId="3" fillId="2" borderId="3" xfId="0" applyFont="1" applyFill="1" applyBorder="1" applyAlignment="1">
      <alignment horizontal="center" vertical="center"/>
    </xf>
    <xf numFmtId="0" fontId="3" fillId="2" borderId="0" xfId="0" applyFont="1" applyFill="1" applyAlignment="1">
      <alignment vertical="center"/>
    </xf>
    <xf numFmtId="0" fontId="2" fillId="2" borderId="16" xfId="0" applyFont="1" applyFill="1" applyBorder="1" applyAlignment="1">
      <alignment horizontal="center" vertical="center"/>
    </xf>
    <xf numFmtId="0" fontId="2" fillId="2" borderId="16" xfId="0" applyFont="1" applyFill="1" applyBorder="1" applyAlignment="1">
      <alignment horizontal="left" vertical="center"/>
    </xf>
    <xf numFmtId="0" fontId="2" fillId="2" borderId="0" xfId="0" applyFont="1" applyFill="1" applyAlignment="1">
      <alignment horizontal="right" vertical="center"/>
    </xf>
    <xf numFmtId="0" fontId="3" fillId="6" borderId="3" xfId="0" applyFont="1" applyFill="1" applyBorder="1" applyAlignment="1">
      <alignment horizontal="center" vertical="center"/>
    </xf>
    <xf numFmtId="0" fontId="2" fillId="2" borderId="15" xfId="0" applyFont="1" applyFill="1" applyBorder="1" applyAlignment="1">
      <alignment horizontal="left" vertical="center"/>
    </xf>
    <xf numFmtId="0" fontId="3" fillId="2" borderId="2" xfId="0" applyFont="1" applyFill="1" applyBorder="1" applyAlignment="1">
      <alignment horizontal="left" vertical="center"/>
    </xf>
    <xf numFmtId="0" fontId="3" fillId="6" borderId="3" xfId="0" applyFont="1" applyFill="1" applyBorder="1" applyAlignment="1" applyProtection="1">
      <alignment horizontal="center" vertical="center"/>
      <protection locked="0"/>
    </xf>
    <xf numFmtId="0" fontId="2" fillId="2" borderId="0" xfId="0" applyFont="1" applyFill="1" applyAlignment="1">
      <alignment vertical="center"/>
    </xf>
    <xf numFmtId="0" fontId="2" fillId="2" borderId="2" xfId="0" applyFont="1" applyFill="1" applyBorder="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pplyProtection="1">
      <alignment horizontal="center" vertical="center"/>
      <protection locked="0"/>
    </xf>
    <xf numFmtId="2" fontId="3" fillId="0" borderId="0" xfId="0" applyNumberFormat="1" applyFont="1" applyAlignment="1">
      <alignment vertical="center"/>
    </xf>
    <xf numFmtId="1" fontId="3" fillId="0" borderId="0" xfId="0" applyNumberFormat="1" applyFont="1" applyAlignment="1">
      <alignment vertical="center"/>
    </xf>
    <xf numFmtId="1" fontId="5" fillId="0" borderId="0" xfId="0" applyNumberFormat="1" applyFont="1" applyAlignment="1">
      <alignment vertical="center"/>
    </xf>
    <xf numFmtId="1" fontId="39" fillId="0" borderId="0" xfId="0" applyNumberFormat="1" applyFont="1" applyAlignment="1">
      <alignment horizontal="center" vertical="center"/>
    </xf>
    <xf numFmtId="0" fontId="3" fillId="6" borderId="0" xfId="0" applyFont="1" applyFill="1" applyAlignment="1">
      <alignment vertical="center"/>
    </xf>
    <xf numFmtId="0" fontId="5" fillId="6" borderId="0" xfId="0" applyFont="1" applyFill="1" applyAlignment="1">
      <alignment vertical="center"/>
    </xf>
    <xf numFmtId="2" fontId="19" fillId="6" borderId="0" xfId="0" applyNumberFormat="1" applyFont="1" applyFill="1" applyAlignment="1">
      <alignment vertical="center"/>
    </xf>
    <xf numFmtId="0" fontId="37" fillId="2" borderId="0" xfId="0" applyFont="1" applyFill="1" applyAlignment="1">
      <alignment vertical="center"/>
    </xf>
    <xf numFmtId="1" fontId="37" fillId="8" borderId="2" xfId="0" applyNumberFormat="1" applyFont="1" applyFill="1" applyBorder="1" applyAlignment="1">
      <alignment horizontal="center" vertical="center"/>
    </xf>
    <xf numFmtId="0" fontId="0" fillId="0" borderId="2" xfId="0" applyBorder="1"/>
    <xf numFmtId="0" fontId="3" fillId="0" borderId="0" xfId="2" applyFont="1" applyAlignment="1">
      <alignment vertical="center"/>
    </xf>
    <xf numFmtId="0" fontId="3" fillId="0" borderId="0" xfId="2" applyFont="1" applyAlignment="1">
      <alignment horizontal="left" vertical="center"/>
    </xf>
    <xf numFmtId="0" fontId="3" fillId="0" borderId="0" xfId="2" applyFont="1" applyAlignment="1">
      <alignment horizontal="center" vertical="center"/>
    </xf>
    <xf numFmtId="0" fontId="3" fillId="0" borderId="0" xfId="0" applyFont="1" applyAlignment="1">
      <alignment horizontal="left" vertical="center"/>
    </xf>
    <xf numFmtId="14" fontId="0" fillId="0" borderId="2" xfId="0" applyNumberFormat="1" applyBorder="1"/>
    <xf numFmtId="0" fontId="43" fillId="6" borderId="0" xfId="0" applyFont="1" applyFill="1" applyAlignment="1">
      <alignment horizontal="center" vertical="center"/>
    </xf>
    <xf numFmtId="0" fontId="44" fillId="0" borderId="0" xfId="0" applyFont="1" applyAlignment="1">
      <alignment horizontal="center" vertical="center"/>
    </xf>
    <xf numFmtId="0" fontId="43" fillId="6" borderId="0" xfId="0" applyFont="1" applyFill="1" applyAlignment="1">
      <alignment horizontal="left" vertical="center"/>
    </xf>
    <xf numFmtId="0" fontId="44" fillId="6" borderId="2" xfId="0" applyFont="1" applyFill="1" applyBorder="1" applyAlignment="1">
      <alignment horizontal="center" vertical="center"/>
    </xf>
    <xf numFmtId="0" fontId="44" fillId="10" borderId="2" xfId="0" quotePrefix="1" applyFont="1" applyFill="1" applyBorder="1" applyAlignment="1" applyProtection="1">
      <alignment horizontal="center" vertical="center"/>
      <protection locked="0"/>
    </xf>
    <xf numFmtId="0" fontId="44" fillId="10" borderId="2" xfId="0" applyFont="1" applyFill="1" applyBorder="1" applyAlignment="1" applyProtection="1">
      <alignment vertical="center"/>
      <protection locked="0"/>
    </xf>
    <xf numFmtId="0" fontId="44" fillId="6" borderId="0" xfId="0" applyFont="1" applyFill="1" applyAlignment="1">
      <alignment horizontal="left" vertical="center"/>
    </xf>
    <xf numFmtId="173" fontId="44" fillId="10" borderId="2" xfId="0" applyNumberFormat="1" applyFont="1" applyFill="1" applyBorder="1" applyAlignment="1" applyProtection="1">
      <alignment horizontal="center" vertical="center"/>
      <protection locked="0"/>
    </xf>
    <xf numFmtId="0" fontId="44" fillId="0" borderId="0" xfId="0" applyFont="1" applyAlignment="1">
      <alignment horizontal="left" vertical="center"/>
    </xf>
    <xf numFmtId="0" fontId="44" fillId="10" borderId="2" xfId="0" applyFont="1" applyFill="1" applyBorder="1" applyAlignment="1" applyProtection="1">
      <alignment horizontal="center" vertical="center"/>
      <protection locked="0"/>
    </xf>
    <xf numFmtId="0" fontId="44" fillId="0" borderId="0" xfId="0" applyFont="1" applyAlignment="1">
      <alignment vertical="center"/>
    </xf>
    <xf numFmtId="0" fontId="42" fillId="0" borderId="0" xfId="0" applyFont="1" applyAlignment="1">
      <alignment vertical="center"/>
    </xf>
    <xf numFmtId="173" fontId="44"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6" fillId="0" borderId="0" xfId="0" applyFont="1" applyAlignment="1">
      <alignment horizontal="center" vertical="center"/>
    </xf>
    <xf numFmtId="0" fontId="2" fillId="0" borderId="0" xfId="0" applyFont="1" applyAlignment="1">
      <alignment horizontal="center" vertical="center"/>
    </xf>
    <xf numFmtId="0" fontId="44" fillId="0" borderId="0" xfId="0" applyFont="1" applyAlignment="1" applyProtection="1">
      <alignment horizontal="center" vertical="center"/>
      <protection locked="0"/>
    </xf>
    <xf numFmtId="0" fontId="44" fillId="6" borderId="0" xfId="0" applyFont="1" applyFill="1" applyAlignment="1">
      <alignment vertical="center"/>
    </xf>
    <xf numFmtId="0" fontId="44" fillId="6" borderId="2" xfId="0" applyFont="1" applyFill="1" applyBorder="1" applyAlignment="1">
      <alignment horizontal="right" vertical="center"/>
    </xf>
    <xf numFmtId="0" fontId="44" fillId="0" borderId="0" xfId="0" quotePrefix="1" applyFont="1" applyAlignment="1">
      <alignment horizontal="center" vertical="center"/>
    </xf>
    <xf numFmtId="0" fontId="45" fillId="6" borderId="0" xfId="0" applyFont="1" applyFill="1" applyAlignment="1">
      <alignment horizontal="center" vertical="center"/>
    </xf>
    <xf numFmtId="1" fontId="44" fillId="6" borderId="2" xfId="0" applyNumberFormat="1" applyFont="1" applyFill="1" applyBorder="1" applyAlignment="1">
      <alignment horizontal="center" vertical="center"/>
    </xf>
    <xf numFmtId="14" fontId="44" fillId="6" borderId="2" xfId="0" applyNumberFormat="1" applyFont="1" applyFill="1" applyBorder="1" applyAlignment="1">
      <alignment horizontal="center" vertical="center"/>
    </xf>
    <xf numFmtId="0" fontId="47" fillId="6" borderId="0" xfId="0" applyFont="1" applyFill="1" applyAlignment="1">
      <alignment horizontal="center" vertical="center"/>
    </xf>
    <xf numFmtId="0" fontId="44" fillId="6" borderId="0" xfId="0" applyFont="1" applyFill="1" applyAlignment="1" applyProtection="1">
      <alignment horizontal="center" vertical="center"/>
      <protection locked="0"/>
    </xf>
    <xf numFmtId="0" fontId="43" fillId="0" borderId="0" xfId="0" applyFont="1" applyAlignment="1">
      <alignment vertical="center"/>
    </xf>
    <xf numFmtId="174" fontId="44" fillId="10" borderId="2" xfId="0" applyNumberFormat="1" applyFont="1" applyFill="1" applyBorder="1" applyAlignment="1" applyProtection="1">
      <alignment horizontal="center" vertical="center"/>
      <protection locked="0"/>
    </xf>
    <xf numFmtId="174" fontId="44" fillId="6" borderId="0" xfId="0" applyNumberFormat="1" applyFont="1" applyFill="1" applyAlignment="1">
      <alignment vertical="center"/>
    </xf>
    <xf numFmtId="0" fontId="43" fillId="6" borderId="0" xfId="0" applyFont="1" applyFill="1" applyAlignment="1">
      <alignment vertical="center"/>
    </xf>
    <xf numFmtId="0" fontId="43" fillId="10" borderId="0" xfId="0" applyFont="1" applyFill="1" applyAlignment="1" applyProtection="1">
      <alignment horizontal="left" vertical="center"/>
      <protection locked="0"/>
    </xf>
    <xf numFmtId="0" fontId="43" fillId="6" borderId="2" xfId="0" applyFont="1" applyFill="1" applyBorder="1" applyAlignment="1">
      <alignment vertical="center"/>
    </xf>
    <xf numFmtId="0" fontId="43" fillId="6" borderId="13" xfId="0" applyFont="1" applyFill="1" applyBorder="1" applyAlignment="1">
      <alignment vertical="center"/>
    </xf>
    <xf numFmtId="0" fontId="43" fillId="6" borderId="13" xfId="0" applyFont="1" applyFill="1" applyBorder="1" applyAlignment="1">
      <alignment horizontal="left" vertical="center"/>
    </xf>
    <xf numFmtId="164" fontId="44" fillId="0" borderId="0" xfId="0" applyNumberFormat="1" applyFont="1" applyAlignment="1" applyProtection="1">
      <alignment horizontal="center" vertical="center"/>
      <protection locked="0"/>
    </xf>
    <xf numFmtId="164" fontId="44" fillId="10" borderId="2" xfId="0" applyNumberFormat="1" applyFont="1" applyFill="1" applyBorder="1" applyAlignment="1" applyProtection="1">
      <alignment horizontal="center" vertical="center"/>
      <protection locked="0"/>
    </xf>
    <xf numFmtId="0" fontId="44" fillId="6" borderId="0" xfId="0" applyFont="1" applyFill="1" applyAlignment="1">
      <alignment horizontal="center" vertical="center"/>
    </xf>
    <xf numFmtId="0" fontId="44" fillId="10" borderId="13" xfId="0" applyFont="1" applyFill="1" applyBorder="1" applyAlignment="1" applyProtection="1">
      <alignment horizontal="center" vertical="center"/>
      <protection locked="0"/>
    </xf>
    <xf numFmtId="0" fontId="43" fillId="6" borderId="2" xfId="0" applyFont="1" applyFill="1" applyBorder="1" applyAlignment="1">
      <alignment horizontal="left" vertical="center"/>
    </xf>
    <xf numFmtId="0" fontId="43" fillId="10" borderId="0" xfId="0" applyFont="1" applyFill="1" applyAlignment="1" applyProtection="1">
      <alignment horizontal="right" vertical="center"/>
      <protection locked="0"/>
    </xf>
    <xf numFmtId="0" fontId="43" fillId="10" borderId="0" xfId="0" applyFont="1" applyFill="1" applyAlignment="1" applyProtection="1">
      <alignment vertical="center"/>
      <protection locked="0"/>
    </xf>
    <xf numFmtId="0" fontId="43" fillId="0" borderId="2" xfId="0" applyFont="1" applyBorder="1" applyAlignment="1">
      <alignment horizontal="left" vertical="center"/>
    </xf>
    <xf numFmtId="0" fontId="43" fillId="10" borderId="0" xfId="0" applyFont="1" applyFill="1" applyAlignment="1">
      <alignment horizontal="right" vertical="center"/>
    </xf>
    <xf numFmtId="0" fontId="43" fillId="10" borderId="0" xfId="0" applyFont="1" applyFill="1" applyAlignment="1">
      <alignment horizontal="left" vertical="center"/>
    </xf>
    <xf numFmtId="0" fontId="43" fillId="0" borderId="0" xfId="0" applyFont="1" applyAlignment="1">
      <alignment horizontal="left" vertical="center"/>
    </xf>
    <xf numFmtId="0" fontId="44" fillId="0" borderId="0" xfId="0" applyFont="1" applyAlignment="1" applyProtection="1">
      <alignment vertical="center"/>
      <protection locked="0"/>
    </xf>
    <xf numFmtId="0" fontId="43" fillId="0" borderId="2" xfId="0" applyFont="1" applyBorder="1" applyAlignment="1">
      <alignment vertical="center"/>
    </xf>
    <xf numFmtId="0" fontId="43" fillId="0" borderId="0" xfId="2" applyFont="1" applyAlignment="1">
      <alignment vertical="center"/>
    </xf>
    <xf numFmtId="0" fontId="50" fillId="0" borderId="0" xfId="2" applyFont="1" applyAlignment="1">
      <alignment vertical="center"/>
    </xf>
    <xf numFmtId="0" fontId="41" fillId="0" borderId="0" xfId="2" applyFont="1" applyAlignment="1">
      <alignment horizontal="center" vertical="center"/>
    </xf>
    <xf numFmtId="0" fontId="41" fillId="10" borderId="2" xfId="2" applyFont="1" applyFill="1" applyBorder="1" applyAlignment="1" applyProtection="1">
      <alignment horizontal="center" vertical="center"/>
      <protection locked="0"/>
    </xf>
    <xf numFmtId="0" fontId="51" fillId="10" borderId="2" xfId="2" applyFont="1" applyFill="1" applyBorder="1" applyAlignment="1" applyProtection="1">
      <alignment horizontal="center" vertical="center"/>
      <protection locked="0"/>
    </xf>
    <xf numFmtId="0" fontId="43" fillId="6" borderId="0" xfId="0" applyFont="1" applyFill="1" applyAlignment="1" applyProtection="1">
      <alignment horizontal="left" vertical="center"/>
      <protection locked="0"/>
    </xf>
    <xf numFmtId="173" fontId="44" fillId="6" borderId="0" xfId="0" applyNumberFormat="1" applyFont="1" applyFill="1" applyAlignment="1">
      <alignment vertical="center"/>
    </xf>
    <xf numFmtId="0" fontId="53" fillId="10" borderId="0" xfId="0" applyFont="1" applyFill="1" applyAlignment="1" applyProtection="1">
      <alignment vertical="center"/>
      <protection locked="0"/>
    </xf>
    <xf numFmtId="0" fontId="50" fillId="10" borderId="2" xfId="2" applyFont="1" applyFill="1" applyBorder="1" applyAlignment="1">
      <alignment vertical="center"/>
    </xf>
    <xf numFmtId="0" fontId="41" fillId="10" borderId="12" xfId="2" applyFont="1" applyFill="1" applyBorder="1" applyAlignment="1" applyProtection="1">
      <alignment horizontal="center" vertical="center"/>
      <protection locked="0"/>
    </xf>
    <xf numFmtId="0" fontId="51" fillId="10" borderId="13" xfId="2"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3" fillId="6" borderId="2" xfId="3" applyFont="1" applyFill="1" applyBorder="1" applyAlignment="1" applyProtection="1">
      <alignment vertical="center"/>
    </xf>
    <xf numFmtId="0" fontId="47" fillId="10" borderId="0" xfId="0" applyFont="1" applyFill="1" applyAlignment="1" applyProtection="1">
      <alignment horizontal="left" vertical="center"/>
      <protection locked="0"/>
    </xf>
    <xf numFmtId="0" fontId="47" fillId="6" borderId="0" xfId="0" applyFont="1" applyFill="1" applyAlignment="1">
      <alignment vertical="center"/>
    </xf>
    <xf numFmtId="0" fontId="45" fillId="6" borderId="0" xfId="0" applyFont="1" applyFill="1" applyAlignment="1">
      <alignment vertical="center"/>
    </xf>
    <xf numFmtId="0" fontId="43" fillId="10" borderId="2" xfId="0" applyFont="1" applyFill="1" applyBorder="1" applyAlignment="1" applyProtection="1">
      <alignment vertical="center"/>
      <protection locked="0"/>
    </xf>
    <xf numFmtId="0" fontId="46" fillId="0" borderId="0" xfId="0" applyFont="1" applyAlignment="1">
      <alignment vertical="center"/>
    </xf>
    <xf numFmtId="0" fontId="43" fillId="10" borderId="2" xfId="0" applyFont="1" applyFill="1" applyBorder="1" applyAlignment="1">
      <alignment vertical="center"/>
    </xf>
    <xf numFmtId="0" fontId="44" fillId="0" borderId="0" xfId="2" applyFont="1" applyAlignment="1">
      <alignment vertical="center"/>
    </xf>
    <xf numFmtId="0" fontId="47" fillId="12" borderId="0" xfId="0" applyFont="1" applyFill="1" applyAlignment="1">
      <alignment horizontal="center" vertical="center"/>
    </xf>
    <xf numFmtId="0" fontId="43" fillId="10" borderId="2" xfId="0" applyFont="1" applyFill="1" applyBorder="1" applyAlignment="1" applyProtection="1">
      <alignment horizontal="left" vertical="center"/>
      <protection locked="0"/>
    </xf>
    <xf numFmtId="0" fontId="51" fillId="0" borderId="0" xfId="2" applyFont="1" applyAlignment="1">
      <alignment vertical="center"/>
    </xf>
    <xf numFmtId="0" fontId="51" fillId="0" borderId="0" xfId="2" applyFont="1" applyAlignment="1">
      <alignment horizontal="center" vertical="center"/>
    </xf>
    <xf numFmtId="0" fontId="43" fillId="10" borderId="2" xfId="0" applyFont="1" applyFill="1" applyBorder="1" applyAlignment="1">
      <alignment horizontal="left" vertical="center"/>
    </xf>
    <xf numFmtId="0" fontId="43" fillId="10" borderId="2" xfId="0" applyFont="1" applyFill="1" applyBorder="1" applyAlignment="1" applyProtection="1">
      <alignment horizontal="center" vertical="center"/>
      <protection locked="0"/>
    </xf>
    <xf numFmtId="0" fontId="44" fillId="10" borderId="2" xfId="0" applyFont="1" applyFill="1" applyBorder="1" applyAlignment="1" applyProtection="1">
      <alignment horizontal="left" vertical="center"/>
      <protection locked="0"/>
    </xf>
    <xf numFmtId="0" fontId="43" fillId="0" borderId="0" xfId="2" applyFont="1" applyAlignment="1">
      <alignment horizontal="center" vertical="center"/>
    </xf>
    <xf numFmtId="0" fontId="41" fillId="0" borderId="2" xfId="2" applyFont="1" applyBorder="1" applyAlignment="1">
      <alignment horizontal="center" vertical="center"/>
    </xf>
    <xf numFmtId="0" fontId="44" fillId="0" borderId="0" xfId="2" applyFont="1" applyAlignment="1">
      <alignment horizontal="center" vertical="center"/>
    </xf>
    <xf numFmtId="0" fontId="43" fillId="0" borderId="0" xfId="0" applyFont="1" applyAlignment="1">
      <alignment horizontal="center" vertical="center"/>
    </xf>
    <xf numFmtId="0" fontId="41" fillId="0" borderId="6" xfId="2" applyFont="1" applyBorder="1" applyAlignment="1">
      <alignment horizontal="center" vertical="center"/>
    </xf>
    <xf numFmtId="0" fontId="41" fillId="0" borderId="23" xfId="2" applyFont="1" applyBorder="1" applyAlignment="1">
      <alignment horizontal="center" vertical="center"/>
    </xf>
    <xf numFmtId="0" fontId="41" fillId="0" borderId="7" xfId="2" applyFont="1" applyBorder="1" applyAlignment="1">
      <alignment horizontal="center" vertical="center"/>
    </xf>
    <xf numFmtId="175" fontId="41" fillId="0" borderId="6" xfId="2" applyNumberFormat="1" applyFont="1" applyBorder="1" applyAlignment="1">
      <alignment horizontal="center" vertical="center"/>
    </xf>
    <xf numFmtId="175" fontId="41" fillId="0" borderId="23" xfId="2" applyNumberFormat="1" applyFont="1" applyBorder="1" applyAlignment="1">
      <alignment horizontal="center" vertical="center"/>
    </xf>
    <xf numFmtId="175" fontId="41" fillId="0" borderId="7" xfId="2" applyNumberFormat="1" applyFont="1" applyBorder="1" applyAlignment="1">
      <alignment horizontal="center" vertical="center"/>
    </xf>
    <xf numFmtId="164" fontId="41" fillId="0" borderId="6" xfId="2" applyNumberFormat="1" applyFont="1" applyBorder="1" applyAlignment="1">
      <alignment horizontal="center" vertical="center"/>
    </xf>
    <xf numFmtId="164" fontId="41" fillId="0" borderId="23" xfId="2" applyNumberFormat="1" applyFont="1" applyBorder="1" applyAlignment="1">
      <alignment horizontal="center" vertical="center"/>
    </xf>
    <xf numFmtId="164" fontId="41" fillId="0" borderId="7" xfId="2" applyNumberFormat="1" applyFont="1" applyBorder="1" applyAlignment="1">
      <alignment horizontal="center" vertical="center"/>
    </xf>
    <xf numFmtId="0" fontId="43" fillId="13" borderId="6" xfId="0" applyFont="1" applyFill="1" applyBorder="1" applyAlignment="1" applyProtection="1">
      <alignment horizontal="left" vertical="center"/>
      <protection locked="0"/>
    </xf>
    <xf numFmtId="0" fontId="43" fillId="10" borderId="6" xfId="0" applyFont="1" applyFill="1" applyBorder="1" applyAlignment="1" applyProtection="1">
      <alignment horizontal="left" vertical="center"/>
      <protection locked="0"/>
    </xf>
    <xf numFmtId="1" fontId="44" fillId="0" borderId="0" xfId="0" applyNumberFormat="1" applyFont="1" applyAlignment="1">
      <alignment horizontal="center" vertical="center"/>
    </xf>
    <xf numFmtId="1" fontId="43" fillId="0" borderId="0" xfId="0" applyNumberFormat="1" applyFont="1" applyAlignment="1">
      <alignment horizontal="center" vertical="center"/>
    </xf>
    <xf numFmtId="0" fontId="44" fillId="10" borderId="2" xfId="0" applyFont="1" applyFill="1" applyBorder="1" applyAlignment="1">
      <alignment horizontal="left" vertical="center"/>
    </xf>
    <xf numFmtId="0" fontId="43" fillId="0" borderId="2" xfId="0" applyFont="1" applyBorder="1" applyAlignment="1" applyProtection="1">
      <alignment horizontal="left" vertical="center"/>
      <protection locked="0"/>
    </xf>
    <xf numFmtId="0" fontId="41" fillId="0" borderId="23" xfId="2" applyFont="1" applyBorder="1" applyAlignment="1">
      <alignment horizontal="left" vertical="center"/>
    </xf>
    <xf numFmtId="0" fontId="41" fillId="0" borderId="6" xfId="2" applyFont="1" applyBorder="1" applyAlignment="1">
      <alignment horizontal="left" vertical="center"/>
    </xf>
    <xf numFmtId="0" fontId="41" fillId="0" borderId="7" xfId="2" applyFont="1" applyBorder="1" applyAlignment="1">
      <alignment horizontal="left" vertical="center"/>
    </xf>
    <xf numFmtId="0" fontId="43" fillId="0" borderId="0" xfId="0" applyFont="1" applyAlignment="1" applyProtection="1">
      <alignment horizontal="left" vertical="center"/>
      <protection locked="0"/>
    </xf>
    <xf numFmtId="0" fontId="3" fillId="0" borderId="0" xfId="0" applyFont="1"/>
    <xf numFmtId="0" fontId="44" fillId="0" borderId="2" xfId="0" applyFont="1" applyBorder="1" applyAlignment="1">
      <alignment horizontal="right" vertical="center"/>
    </xf>
    <xf numFmtId="176" fontId="44" fillId="0" borderId="2" xfId="0" applyNumberFormat="1" applyFont="1" applyBorder="1" applyAlignment="1">
      <alignment vertical="center"/>
    </xf>
    <xf numFmtId="14" fontId="44" fillId="10" borderId="2" xfId="0" applyNumberFormat="1" applyFont="1" applyFill="1" applyBorder="1" applyAlignment="1" applyProtection="1">
      <alignment horizontal="center" vertical="center"/>
      <protection locked="0"/>
    </xf>
    <xf numFmtId="0" fontId="3" fillId="0" borderId="3" xfId="0" applyFont="1" applyBorder="1" applyAlignment="1">
      <alignment horizontal="center" vertical="center"/>
    </xf>
    <xf numFmtId="0" fontId="20" fillId="0" borderId="0" xfId="0" applyFont="1"/>
    <xf numFmtId="0" fontId="20" fillId="0" borderId="0" xfId="2" applyFont="1" applyAlignment="1">
      <alignment vertical="center"/>
    </xf>
    <xf numFmtId="0" fontId="2" fillId="0" borderId="3" xfId="0" applyFont="1" applyBorder="1"/>
    <xf numFmtId="0" fontId="2" fillId="0" borderId="0" xfId="0" applyFont="1" applyAlignment="1">
      <alignment horizontal="left" vertical="center"/>
    </xf>
    <xf numFmtId="0" fontId="51" fillId="0" borderId="0" xfId="2" applyFont="1" applyAlignment="1">
      <alignment horizontal="left" vertical="center"/>
    </xf>
    <xf numFmtId="0" fontId="2" fillId="0" borderId="0" xfId="2" applyAlignment="1">
      <alignment horizontal="center" vertical="center"/>
    </xf>
    <xf numFmtId="0" fontId="2" fillId="0" borderId="0" xfId="2" applyAlignment="1">
      <alignment vertical="center"/>
    </xf>
    <xf numFmtId="0" fontId="2" fillId="0" borderId="11" xfId="0" quotePrefix="1" applyFont="1" applyBorder="1"/>
    <xf numFmtId="0" fontId="2" fillId="0" borderId="10" xfId="0" applyFont="1" applyBorder="1"/>
    <xf numFmtId="0" fontId="2" fillId="0" borderId="6" xfId="0" quotePrefix="1" applyFont="1" applyBorder="1"/>
    <xf numFmtId="0" fontId="2" fillId="0" borderId="6" xfId="0" applyFont="1" applyBorder="1"/>
    <xf numFmtId="0" fontId="2" fillId="0" borderId="9" xfId="0" quotePrefix="1" applyFont="1" applyBorder="1"/>
    <xf numFmtId="0" fontId="2" fillId="0" borderId="14" xfId="0" applyFont="1" applyBorder="1"/>
    <xf numFmtId="2" fontId="2" fillId="0" borderId="0" xfId="2" applyNumberFormat="1" applyAlignment="1">
      <alignment horizontal="center" vertical="center"/>
    </xf>
    <xf numFmtId="0" fontId="2" fillId="0" borderId="0" xfId="2" applyAlignment="1">
      <alignment horizontal="left" vertical="center"/>
    </xf>
    <xf numFmtId="0" fontId="2" fillId="0" borderId="25" xfId="0" quotePrefix="1" applyFont="1" applyBorder="1"/>
    <xf numFmtId="0" fontId="2" fillId="0" borderId="2" xfId="0" quotePrefix="1" applyFont="1" applyBorder="1"/>
    <xf numFmtId="14" fontId="2" fillId="0" borderId="2" xfId="0" applyNumberFormat="1" applyFont="1" applyBorder="1" applyProtection="1">
      <protection locked="0"/>
    </xf>
    <xf numFmtId="14" fontId="2" fillId="0" borderId="2" xfId="0" applyNumberFormat="1" applyFont="1" applyBorder="1"/>
    <xf numFmtId="0" fontId="2" fillId="0" borderId="23" xfId="0" applyFont="1" applyBorder="1"/>
    <xf numFmtId="0" fontId="2" fillId="0" borderId="23" xfId="0" quotePrefix="1" applyFont="1" applyBorder="1"/>
    <xf numFmtId="0" fontId="2" fillId="0" borderId="2" xfId="0" applyFont="1" applyBorder="1"/>
    <xf numFmtId="167" fontId="2"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3" fillId="0" borderId="2" xfId="0" applyNumberFormat="1" applyFont="1" applyBorder="1" applyAlignment="1">
      <alignment horizontal="center" vertical="center"/>
    </xf>
    <xf numFmtId="0" fontId="2" fillId="0" borderId="2" xfId="0" applyFont="1" applyBorder="1" applyProtection="1">
      <protection locked="0"/>
    </xf>
    <xf numFmtId="49" fontId="2" fillId="0" borderId="2" xfId="0" applyNumberFormat="1" applyFont="1" applyBorder="1" applyProtection="1">
      <protection locked="0"/>
    </xf>
    <xf numFmtId="0" fontId="2" fillId="0" borderId="25" xfId="0" applyFont="1" applyBorder="1" applyProtection="1">
      <protection locked="0"/>
    </xf>
    <xf numFmtId="49" fontId="0" fillId="0" borderId="0" xfId="0" applyNumberFormat="1" applyAlignment="1">
      <alignment vertical="center"/>
    </xf>
    <xf numFmtId="0" fontId="44" fillId="0" borderId="2" xfId="0" quotePrefix="1" applyFont="1" applyBorder="1" applyAlignment="1">
      <alignment horizontal="center" vertical="center"/>
    </xf>
    <xf numFmtId="0" fontId="44" fillId="0" borderId="2" xfId="0" applyFont="1" applyBorder="1" applyAlignment="1">
      <alignment horizontal="center" vertical="center"/>
    </xf>
    <xf numFmtId="14" fontId="44" fillId="6" borderId="2" xfId="0" applyNumberFormat="1" applyFont="1" applyFill="1" applyBorder="1" applyAlignment="1">
      <alignment vertical="center"/>
    </xf>
    <xf numFmtId="0" fontId="3" fillId="10" borderId="0" xfId="0" applyFont="1" applyFill="1" applyAlignment="1" applyProtection="1">
      <alignment vertical="center"/>
      <protection locked="0"/>
    </xf>
    <xf numFmtId="1" fontId="43" fillId="10" borderId="2" xfId="0" applyNumberFormat="1" applyFont="1" applyFill="1" applyBorder="1" applyAlignment="1" applyProtection="1">
      <alignment horizontal="left" vertical="center"/>
      <protection locked="0"/>
    </xf>
    <xf numFmtId="14" fontId="43" fillId="10" borderId="2" xfId="0" applyNumberFormat="1" applyFont="1" applyFill="1" applyBorder="1" applyAlignment="1" applyProtection="1">
      <alignment horizontal="left" vertical="center"/>
      <protection locked="0"/>
    </xf>
    <xf numFmtId="49" fontId="43" fillId="10" borderId="2" xfId="0" applyNumberFormat="1" applyFont="1" applyFill="1" applyBorder="1" applyAlignment="1" applyProtection="1">
      <alignment horizontal="left" vertical="center"/>
      <protection locked="0"/>
    </xf>
    <xf numFmtId="0" fontId="14" fillId="0" borderId="0" xfId="0" applyFont="1"/>
    <xf numFmtId="0" fontId="0" fillId="0" borderId="0" xfId="0" applyAlignment="1">
      <alignment vertical="center"/>
    </xf>
    <xf numFmtId="0" fontId="0" fillId="6" borderId="0" xfId="0" applyFill="1" applyAlignment="1">
      <alignment vertical="center"/>
    </xf>
    <xf numFmtId="0" fontId="44" fillId="6" borderId="2" xfId="0" quotePrefix="1" applyFont="1" applyFill="1" applyBorder="1" applyAlignment="1">
      <alignment horizontal="center" vertical="center"/>
    </xf>
    <xf numFmtId="0" fontId="45" fillId="6" borderId="0" xfId="0" applyFont="1" applyFill="1" applyAlignment="1">
      <alignment horizontal="left" vertical="center"/>
    </xf>
    <xf numFmtId="49" fontId="44" fillId="0" borderId="0" xfId="0" applyNumberFormat="1" applyFont="1" applyAlignment="1">
      <alignment vertical="center"/>
    </xf>
    <xf numFmtId="0" fontId="46" fillId="6" borderId="0" xfId="0" applyFont="1" applyFill="1" applyAlignment="1">
      <alignment horizontal="center" vertical="center"/>
    </xf>
    <xf numFmtId="0" fontId="41" fillId="0" borderId="0" xfId="2" applyFont="1" applyAlignment="1">
      <alignment vertical="center"/>
    </xf>
    <xf numFmtId="0" fontId="44" fillId="0" borderId="10" xfId="0" applyFont="1" applyBorder="1" applyAlignment="1">
      <alignment horizontal="left" vertical="center"/>
    </xf>
    <xf numFmtId="0" fontId="2" fillId="0" borderId="0" xfId="0" applyFont="1" applyAlignment="1">
      <alignment vertical="center"/>
    </xf>
    <xf numFmtId="173" fontId="49" fillId="6" borderId="0" xfId="0" applyNumberFormat="1" applyFont="1" applyFill="1" applyAlignment="1">
      <alignment horizontal="center" vertical="center"/>
    </xf>
    <xf numFmtId="0" fontId="43" fillId="6" borderId="2" xfId="0" applyFont="1" applyFill="1" applyBorder="1" applyAlignment="1">
      <alignment horizontal="center" vertical="center"/>
    </xf>
    <xf numFmtId="0" fontId="46" fillId="0" borderId="2" xfId="0" applyFont="1" applyBorder="1" applyAlignment="1">
      <alignment horizontal="left" vertical="center"/>
    </xf>
    <xf numFmtId="1" fontId="43" fillId="10" borderId="2" xfId="0" applyNumberFormat="1" applyFont="1" applyFill="1" applyBorder="1" applyAlignment="1">
      <alignment horizontal="center" vertical="center"/>
    </xf>
    <xf numFmtId="1" fontId="47" fillId="6" borderId="0" xfId="0" applyNumberFormat="1" applyFont="1" applyFill="1" applyAlignment="1">
      <alignment horizontal="center" vertical="center"/>
    </xf>
    <xf numFmtId="0" fontId="42" fillId="0" borderId="0" xfId="0" applyFont="1" applyAlignment="1">
      <alignment horizontal="center" vertical="center"/>
    </xf>
    <xf numFmtId="0" fontId="43" fillId="0" borderId="23" xfId="0" applyFont="1" applyBorder="1" applyAlignment="1">
      <alignment vertical="center"/>
    </xf>
    <xf numFmtId="0" fontId="44" fillId="0" borderId="2" xfId="0" applyFont="1" applyBorder="1" applyAlignment="1">
      <alignment vertical="center"/>
    </xf>
    <xf numFmtId="0" fontId="43" fillId="6" borderId="14" xfId="0" applyFont="1" applyFill="1" applyBorder="1" applyAlignment="1">
      <alignment horizontal="left" vertical="center"/>
    </xf>
    <xf numFmtId="0" fontId="0" fillId="0" borderId="0" xfId="0" applyAlignment="1">
      <alignment horizontal="center" vertical="center"/>
    </xf>
    <xf numFmtId="0" fontId="54" fillId="0" borderId="0" xfId="0" applyFont="1"/>
    <xf numFmtId="0" fontId="2" fillId="0" borderId="2" xfId="0" applyFont="1" applyBorder="1" applyAlignment="1">
      <alignment horizontal="center" vertical="center"/>
    </xf>
    <xf numFmtId="14" fontId="0" fillId="0" borderId="0" xfId="0" applyNumberFormat="1"/>
    <xf numFmtId="0" fontId="41" fillId="0" borderId="0" xfId="2" applyFont="1" applyAlignment="1" applyProtection="1">
      <alignment vertical="center"/>
      <protection locked="0"/>
    </xf>
    <xf numFmtId="14" fontId="2"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3"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2" fillId="10" borderId="2" xfId="0" applyFont="1" applyFill="1" applyBorder="1" applyAlignment="1" applyProtection="1">
      <alignment horizontal="center" vertical="center"/>
      <protection locked="0"/>
    </xf>
    <xf numFmtId="0" fontId="2"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3" fillId="10" borderId="2" xfId="0" applyNumberFormat="1" applyFont="1" applyFill="1" applyBorder="1" applyAlignment="1" applyProtection="1">
      <alignment vertical="center"/>
      <protection locked="0"/>
    </xf>
    <xf numFmtId="177" fontId="43" fillId="10" borderId="2" xfId="0" applyNumberFormat="1" applyFont="1" applyFill="1" applyBorder="1" applyAlignment="1" applyProtection="1">
      <alignment horizontal="left" vertical="center"/>
      <protection locked="0"/>
    </xf>
    <xf numFmtId="177" fontId="43" fillId="10" borderId="2" xfId="4" applyNumberFormat="1" applyFont="1" applyFill="1" applyBorder="1" applyAlignment="1" applyProtection="1">
      <alignment horizontal="left" vertical="center"/>
      <protection locked="0"/>
    </xf>
    <xf numFmtId="49" fontId="43" fillId="10" borderId="2" xfId="4" applyNumberFormat="1" applyFont="1" applyFill="1" applyBorder="1" applyAlignment="1" applyProtection="1">
      <alignment horizontal="left" vertical="center"/>
      <protection locked="0"/>
    </xf>
    <xf numFmtId="0" fontId="43" fillId="10" borderId="25" xfId="0" applyFont="1" applyFill="1" applyBorder="1" applyAlignment="1" applyProtection="1">
      <alignment horizontal="left" vertical="center"/>
      <protection locked="0"/>
    </xf>
    <xf numFmtId="0" fontId="59" fillId="6" borderId="2" xfId="0" applyFont="1" applyFill="1" applyBorder="1" applyAlignment="1">
      <alignment horizontal="center" vertical="center"/>
    </xf>
    <xf numFmtId="0" fontId="36" fillId="2" borderId="2" xfId="0" applyFont="1" applyFill="1" applyBorder="1" applyAlignment="1">
      <alignment horizontal="center" vertical="center"/>
    </xf>
    <xf numFmtId="10" fontId="35" fillId="5" borderId="32" xfId="0" applyNumberFormat="1" applyFont="1" applyFill="1" applyBorder="1" applyAlignment="1">
      <alignment horizontal="center" vertical="center" wrapText="1"/>
    </xf>
    <xf numFmtId="1" fontId="24" fillId="0" borderId="2" xfId="0" applyNumberFormat="1" applyFont="1" applyBorder="1" applyAlignment="1">
      <alignment horizontal="center" vertical="center"/>
    </xf>
    <xf numFmtId="0" fontId="8" fillId="0" borderId="0" xfId="0" applyFont="1"/>
    <xf numFmtId="0" fontId="31" fillId="0" borderId="0" xfId="0" applyFont="1"/>
    <xf numFmtId="0" fontId="60" fillId="0" borderId="0" xfId="0" applyFont="1"/>
    <xf numFmtId="14" fontId="8" fillId="0" borderId="0" xfId="0" applyNumberFormat="1" applyFont="1"/>
    <xf numFmtId="0" fontId="61" fillId="2" borderId="0" xfId="0" applyFont="1" applyFill="1"/>
    <xf numFmtId="0" fontId="44" fillId="10" borderId="2" xfId="0" applyFont="1" applyFill="1" applyBorder="1" applyAlignment="1">
      <alignment horizontal="center" vertical="center"/>
    </xf>
    <xf numFmtId="0" fontId="3" fillId="14" borderId="0" xfId="0" applyFont="1" applyFill="1" applyAlignment="1">
      <alignment vertical="center"/>
    </xf>
    <xf numFmtId="0" fontId="2" fillId="0" borderId="0" xfId="0" applyFont="1" applyAlignment="1">
      <alignment horizontal="left"/>
    </xf>
    <xf numFmtId="0" fontId="2" fillId="2" borderId="3" xfId="0" applyFont="1" applyFill="1" applyBorder="1" applyAlignment="1">
      <alignment vertical="center"/>
    </xf>
    <xf numFmtId="0" fontId="2" fillId="0" borderId="15" xfId="0" applyFont="1" applyBorder="1" applyAlignment="1">
      <alignment horizontal="center" vertical="center"/>
    </xf>
    <xf numFmtId="0" fontId="2" fillId="6" borderId="16" xfId="0" applyFont="1" applyFill="1" applyBorder="1" applyAlignment="1">
      <alignment horizontal="center" vertical="center"/>
    </xf>
    <xf numFmtId="0" fontId="2" fillId="6" borderId="16" xfId="0" applyFont="1" applyFill="1" applyBorder="1" applyAlignment="1">
      <alignment horizontal="left" vertical="center"/>
    </xf>
    <xf numFmtId="0" fontId="2" fillId="8" borderId="2" xfId="0" applyFont="1" applyFill="1" applyBorder="1" applyAlignment="1">
      <alignment vertical="center"/>
    </xf>
    <xf numFmtId="0" fontId="2" fillId="6" borderId="0" xfId="0" quotePrefix="1" applyFont="1" applyFill="1" applyAlignment="1">
      <alignment vertical="center"/>
    </xf>
    <xf numFmtId="0" fontId="2" fillId="0" borderId="0" xfId="0" applyFont="1" applyAlignment="1" applyProtection="1">
      <alignment horizontal="center" vertical="center"/>
      <protection locked="0"/>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3" xfId="0" applyFont="1" applyFill="1" applyBorder="1" applyAlignment="1">
      <alignment horizontal="left" vertical="center"/>
    </xf>
    <xf numFmtId="0" fontId="2" fillId="2" borderId="3" xfId="0" applyFont="1" applyFill="1" applyBorder="1" applyAlignment="1">
      <alignment horizontal="center" vertical="center"/>
    </xf>
    <xf numFmtId="0" fontId="2" fillId="6" borderId="2" xfId="0" applyFont="1" applyFill="1" applyBorder="1" applyAlignment="1">
      <alignment vertical="center"/>
    </xf>
    <xf numFmtId="0" fontId="2" fillId="2" borderId="0" xfId="0" quotePrefix="1" applyFont="1" applyFill="1" applyAlignment="1">
      <alignment vertical="center"/>
    </xf>
    <xf numFmtId="0" fontId="2" fillId="2" borderId="15" xfId="0" quotePrefix="1" applyFont="1" applyFill="1" applyBorder="1" applyAlignment="1">
      <alignment horizontal="center" vertical="center"/>
    </xf>
    <xf numFmtId="0" fontId="2" fillId="2" borderId="15" xfId="0" applyFont="1" applyFill="1" applyBorder="1" applyAlignment="1">
      <alignment horizontal="center" vertical="center"/>
    </xf>
    <xf numFmtId="0" fontId="2" fillId="7" borderId="2" xfId="0" applyFont="1" applyFill="1" applyBorder="1" applyAlignment="1">
      <alignment vertical="center"/>
    </xf>
    <xf numFmtId="0" fontId="2" fillId="2" borderId="16" xfId="0" quotePrefix="1" applyFont="1" applyFill="1" applyBorder="1" applyAlignment="1">
      <alignment horizontal="center" vertical="center"/>
    </xf>
    <xf numFmtId="1" fontId="2" fillId="2" borderId="0" xfId="0" applyNumberFormat="1" applyFont="1" applyFill="1" applyAlignment="1">
      <alignment horizontal="center" vertical="center"/>
    </xf>
    <xf numFmtId="0" fontId="2" fillId="6" borderId="0" xfId="0" applyFont="1" applyFill="1" applyAlignment="1" applyProtection="1">
      <alignment horizontal="center" vertical="center"/>
      <protection locked="0"/>
    </xf>
    <xf numFmtId="2" fontId="2" fillId="0" borderId="0" xfId="0" applyNumberFormat="1" applyFont="1" applyAlignment="1">
      <alignment horizontal="center" vertical="center"/>
    </xf>
    <xf numFmtId="2" fontId="2" fillId="0" borderId="0" xfId="0" applyNumberFormat="1" applyFont="1" applyAlignment="1">
      <alignment vertical="center"/>
    </xf>
    <xf numFmtId="1" fontId="2" fillId="0" borderId="0" xfId="0" applyNumberFormat="1" applyFont="1" applyAlignment="1">
      <alignment horizontal="center" vertical="center"/>
    </xf>
    <xf numFmtId="0" fontId="2" fillId="6" borderId="0" xfId="0" applyFont="1" applyFill="1" applyAlignment="1">
      <alignment vertical="center"/>
    </xf>
    <xf numFmtId="0" fontId="2" fillId="6" borderId="2" xfId="0" applyFont="1" applyFill="1" applyBorder="1" applyAlignment="1">
      <alignment horizontal="center" vertical="center"/>
    </xf>
    <xf numFmtId="0" fontId="2" fillId="2" borderId="0" xfId="0" applyFont="1" applyFill="1" applyAlignment="1" applyProtection="1">
      <alignment vertical="center"/>
      <protection locked="0"/>
    </xf>
    <xf numFmtId="1" fontId="2" fillId="2" borderId="0" xfId="0" applyNumberFormat="1" applyFont="1" applyFill="1" applyAlignment="1" applyProtection="1">
      <alignment vertical="center"/>
      <protection locked="0"/>
    </xf>
    <xf numFmtId="0" fontId="2" fillId="2" borderId="0" xfId="0" applyFont="1" applyFill="1"/>
    <xf numFmtId="0" fontId="2" fillId="2" borderId="0" xfId="0" applyFont="1" applyFill="1" applyAlignment="1">
      <alignment horizontal="left"/>
    </xf>
    <xf numFmtId="166" fontId="2" fillId="2" borderId="0" xfId="0" applyNumberFormat="1" applyFont="1" applyFill="1" applyAlignment="1">
      <alignment horizontal="center" vertical="center"/>
    </xf>
    <xf numFmtId="170" fontId="2" fillId="2" borderId="0" xfId="0" applyNumberFormat="1" applyFont="1" applyFill="1" applyAlignment="1">
      <alignment horizontal="left" vertical="center"/>
    </xf>
    <xf numFmtId="0" fontId="2" fillId="0" borderId="0" xfId="0" applyFont="1" applyAlignment="1">
      <alignment vertical="center" wrapText="1"/>
    </xf>
    <xf numFmtId="0" fontId="2" fillId="0" borderId="0" xfId="0" applyFont="1" applyAlignment="1">
      <alignment wrapText="1"/>
    </xf>
    <xf numFmtId="0" fontId="2" fillId="2" borderId="34" xfId="0" applyFont="1" applyFill="1" applyBorder="1" applyAlignment="1">
      <alignment horizontal="left" vertical="center"/>
    </xf>
    <xf numFmtId="0" fontId="2" fillId="2" borderId="33" xfId="0" applyFont="1" applyFill="1" applyBorder="1" applyAlignment="1">
      <alignment vertical="center"/>
    </xf>
    <xf numFmtId="1" fontId="2" fillId="2" borderId="2" xfId="0" applyNumberFormat="1" applyFont="1" applyFill="1" applyBorder="1" applyAlignment="1">
      <alignment horizontal="center" vertical="center"/>
    </xf>
    <xf numFmtId="10" fontId="2" fillId="2" borderId="28" xfId="0" applyNumberFormat="1" applyFont="1" applyFill="1" applyBorder="1" applyAlignment="1">
      <alignment horizontal="center" vertical="center"/>
    </xf>
    <xf numFmtId="1" fontId="2" fillId="2" borderId="30" xfId="0" applyNumberFormat="1" applyFont="1" applyFill="1" applyBorder="1" applyAlignment="1">
      <alignment horizontal="center" vertical="center"/>
    </xf>
    <xf numFmtId="10" fontId="2" fillId="2" borderId="31" xfId="0" applyNumberFormat="1" applyFont="1" applyFill="1" applyBorder="1" applyAlignment="1">
      <alignment horizontal="center" vertical="center"/>
    </xf>
    <xf numFmtId="2" fontId="2" fillId="0" borderId="15" xfId="0" applyNumberFormat="1" applyFont="1" applyBorder="1" applyAlignment="1">
      <alignment horizontal="center" vertical="center"/>
    </xf>
    <xf numFmtId="179" fontId="36" fillId="2" borderId="2" xfId="0" applyNumberFormat="1" applyFont="1" applyFill="1" applyBorder="1" applyAlignment="1">
      <alignment horizontal="center" vertical="center"/>
    </xf>
    <xf numFmtId="1" fontId="44" fillId="0" borderId="2" xfId="0" applyNumberFormat="1" applyFont="1" applyBorder="1" applyAlignment="1">
      <alignment horizontal="right" vertical="center"/>
    </xf>
    <xf numFmtId="1" fontId="2" fillId="0" borderId="15" xfId="0" applyNumberFormat="1" applyFont="1" applyBorder="1" applyAlignment="1">
      <alignment horizontal="center" vertical="center"/>
    </xf>
    <xf numFmtId="0" fontId="63" fillId="0" borderId="0" xfId="6"/>
    <xf numFmtId="0" fontId="63" fillId="0" borderId="2" xfId="6" applyBorder="1"/>
    <xf numFmtId="0" fontId="65" fillId="0" borderId="2" xfId="6" applyFont="1" applyBorder="1" applyAlignment="1">
      <alignment horizontal="center" vertical="center" wrapText="1"/>
    </xf>
    <xf numFmtId="0" fontId="65" fillId="0" borderId="2" xfId="6" applyFont="1" applyBorder="1" applyAlignment="1">
      <alignment horizontal="left" vertical="center" wrapText="1"/>
    </xf>
    <xf numFmtId="0" fontId="65" fillId="15" borderId="2" xfId="6" applyFont="1" applyFill="1" applyBorder="1" applyAlignment="1">
      <alignment horizontal="left" vertical="center" wrapText="1"/>
    </xf>
    <xf numFmtId="0" fontId="65" fillId="15" borderId="2" xfId="6" applyFont="1" applyFill="1" applyBorder="1" applyAlignment="1">
      <alignment vertical="center" wrapText="1"/>
    </xf>
    <xf numFmtId="0" fontId="65" fillId="0" borderId="2" xfId="6" applyFont="1" applyBorder="1" applyAlignment="1">
      <alignment horizontal="left" vertical="center"/>
    </xf>
    <xf numFmtId="0" fontId="59" fillId="16" borderId="2" xfId="6" applyFont="1" applyFill="1" applyBorder="1" applyAlignment="1">
      <alignment horizontal="center" vertical="center" wrapText="1"/>
    </xf>
    <xf numFmtId="0" fontId="66" fillId="0" borderId="2" xfId="6" applyFont="1" applyBorder="1" applyAlignment="1">
      <alignment horizontal="center" vertical="center" wrapText="1"/>
    </xf>
    <xf numFmtId="171" fontId="2" fillId="0" borderId="0" xfId="5" applyNumberFormat="1" applyFont="1"/>
    <xf numFmtId="14" fontId="65" fillId="15" borderId="2" xfId="6" applyNumberFormat="1" applyFont="1" applyFill="1" applyBorder="1" applyAlignment="1">
      <alignment horizontal="left" vertical="center" wrapText="1"/>
    </xf>
    <xf numFmtId="1" fontId="65" fillId="15" borderId="2" xfId="6" applyNumberFormat="1" applyFont="1" applyFill="1" applyBorder="1" applyAlignment="1">
      <alignment horizontal="left" vertical="center" wrapText="1"/>
    </xf>
    <xf numFmtId="0" fontId="49" fillId="12" borderId="0" xfId="0" applyFont="1" applyFill="1" applyAlignment="1">
      <alignment horizontal="center" vertical="center"/>
    </xf>
    <xf numFmtId="0" fontId="44" fillId="0" borderId="10" xfId="0" applyFont="1" applyBorder="1" applyAlignment="1">
      <alignment vertical="center"/>
    </xf>
    <xf numFmtId="0" fontId="0" fillId="0" borderId="0" xfId="0" applyAlignment="1">
      <alignment vertical="center"/>
    </xf>
    <xf numFmtId="0" fontId="43" fillId="0" borderId="0" xfId="0" applyFont="1" applyAlignment="1">
      <alignment horizontal="left" vertical="center"/>
    </xf>
    <xf numFmtId="173" fontId="52" fillId="6" borderId="0" xfId="0" applyNumberFormat="1" applyFont="1" applyFill="1" applyAlignment="1">
      <alignment horizontal="center" vertical="center"/>
    </xf>
    <xf numFmtId="0" fontId="47" fillId="12" borderId="0" xfId="0" applyFont="1" applyFill="1" applyAlignment="1">
      <alignment horizontal="center" vertical="center"/>
    </xf>
    <xf numFmtId="0" fontId="47" fillId="12" borderId="4" xfId="0" applyFont="1" applyFill="1" applyBorder="1" applyAlignment="1">
      <alignment horizontal="center" vertical="center"/>
    </xf>
    <xf numFmtId="0" fontId="44" fillId="0" borderId="0" xfId="0" applyFont="1" applyAlignment="1">
      <alignment horizontal="center" vertical="center"/>
    </xf>
    <xf numFmtId="0" fontId="44" fillId="11" borderId="0" xfId="0" applyFont="1" applyFill="1" applyAlignment="1">
      <alignment horizontal="center" vertical="center"/>
    </xf>
    <xf numFmtId="173" fontId="49" fillId="6" borderId="0" xfId="0" applyNumberFormat="1" applyFont="1" applyFill="1" applyAlignment="1">
      <alignment horizontal="center" vertical="center"/>
    </xf>
    <xf numFmtId="0" fontId="45" fillId="6" borderId="0" xfId="0" applyFont="1" applyFill="1" applyAlignment="1">
      <alignment horizontal="center" vertical="center"/>
    </xf>
    <xf numFmtId="0" fontId="43" fillId="6" borderId="10" xfId="0" applyFont="1" applyFill="1" applyBorder="1" applyAlignment="1">
      <alignment vertical="center"/>
    </xf>
    <xf numFmtId="174" fontId="44" fillId="6" borderId="0" xfId="0" applyNumberFormat="1" applyFont="1" applyFill="1" applyAlignment="1">
      <alignment horizontal="center" vertical="center"/>
    </xf>
    <xf numFmtId="0" fontId="2" fillId="10" borderId="6" xfId="0" applyFont="1" applyFill="1" applyBorder="1" applyAlignment="1" applyProtection="1">
      <alignment horizontal="center"/>
      <protection locked="0"/>
    </xf>
    <xf numFmtId="0" fontId="2" fillId="10" borderId="23" xfId="0" applyFont="1" applyFill="1" applyBorder="1" applyAlignment="1" applyProtection="1">
      <alignment horizontal="center"/>
      <protection locked="0"/>
    </xf>
    <xf numFmtId="0" fontId="2" fillId="10" borderId="7" xfId="0" applyFont="1" applyFill="1" applyBorder="1" applyAlignment="1" applyProtection="1">
      <alignment horizontal="center"/>
      <protection locked="0"/>
    </xf>
    <xf numFmtId="0" fontId="44" fillId="0" borderId="10" xfId="0" applyFont="1" applyBorder="1" applyAlignment="1">
      <alignment horizontal="left" vertical="center"/>
    </xf>
    <xf numFmtId="0" fontId="44" fillId="0" borderId="0" xfId="0" applyFont="1" applyAlignment="1">
      <alignment horizontal="left" vertical="center"/>
    </xf>
    <xf numFmtId="0" fontId="43" fillId="6" borderId="10" xfId="0" applyFont="1" applyFill="1" applyBorder="1" applyAlignment="1">
      <alignment horizontal="center" vertical="center"/>
    </xf>
    <xf numFmtId="0" fontId="43" fillId="6" borderId="0" xfId="0" applyFont="1" applyFill="1" applyAlignment="1">
      <alignment horizontal="center" vertical="center"/>
    </xf>
    <xf numFmtId="0" fontId="44" fillId="6" borderId="10" xfId="0" applyFont="1" applyFill="1" applyBorder="1" applyAlignment="1">
      <alignment horizontal="left" vertical="center"/>
    </xf>
    <xf numFmtId="0" fontId="44" fillId="6" borderId="0" xfId="0" applyFont="1" applyFill="1" applyAlignment="1">
      <alignment horizontal="left" vertical="center"/>
    </xf>
    <xf numFmtId="0" fontId="44" fillId="11" borderId="10" xfId="0" applyFont="1" applyFill="1" applyBorder="1" applyAlignment="1">
      <alignment horizontal="left" vertical="center"/>
    </xf>
    <xf numFmtId="0" fontId="44" fillId="11" borderId="0" xfId="0" applyFont="1" applyFill="1" applyAlignment="1">
      <alignment horizontal="left" vertical="center"/>
    </xf>
    <xf numFmtId="0" fontId="44" fillId="0" borderId="11" xfId="0" applyFont="1" applyBorder="1" applyAlignment="1">
      <alignment horizontal="left" vertical="center"/>
    </xf>
    <xf numFmtId="0" fontId="44" fillId="0" borderId="3" xfId="0" applyFont="1" applyBorder="1" applyAlignment="1">
      <alignment horizontal="left" vertical="center"/>
    </xf>
    <xf numFmtId="0" fontId="44" fillId="6" borderId="0" xfId="0" applyFont="1" applyFill="1" applyAlignment="1">
      <alignment horizontal="center" vertical="center"/>
    </xf>
    <xf numFmtId="0" fontId="3" fillId="0" borderId="0" xfId="0" applyFont="1"/>
    <xf numFmtId="0" fontId="0" fillId="0" borderId="0" xfId="0"/>
    <xf numFmtId="0" fontId="44" fillId="10" borderId="10" xfId="0" applyFont="1" applyFill="1" applyBorder="1" applyAlignment="1" applyProtection="1">
      <alignment horizontal="center" vertical="center"/>
      <protection locked="0"/>
    </xf>
    <xf numFmtId="0" fontId="44" fillId="10" borderId="0" xfId="0" applyFont="1" applyFill="1" applyAlignment="1" applyProtection="1">
      <alignment horizontal="center" vertical="center"/>
      <protection locked="0"/>
    </xf>
    <xf numFmtId="0" fontId="2" fillId="10" borderId="2" xfId="0" applyFont="1" applyFill="1" applyBorder="1" applyAlignment="1" applyProtection="1">
      <alignment horizontal="center" wrapText="1"/>
      <protection locked="0"/>
    </xf>
    <xf numFmtId="0" fontId="2" fillId="10" borderId="2" xfId="0" applyFont="1" applyFill="1" applyBorder="1" applyAlignment="1" applyProtection="1">
      <alignment horizontal="center"/>
      <protection locked="0"/>
    </xf>
    <xf numFmtId="0" fontId="55" fillId="12" borderId="0" xfId="0" applyFont="1" applyFill="1" applyAlignment="1">
      <alignment horizontal="center" vertical="center"/>
    </xf>
    <xf numFmtId="0" fontId="47" fillId="6" borderId="0" xfId="0" applyFont="1" applyFill="1" applyAlignment="1">
      <alignment horizontal="center" vertical="center"/>
    </xf>
    <xf numFmtId="173" fontId="44" fillId="10" borderId="0" xfId="0" applyNumberFormat="1" applyFont="1" applyFill="1" applyAlignment="1">
      <alignment horizontal="center" vertical="center"/>
    </xf>
    <xf numFmtId="0" fontId="2" fillId="0" borderId="0" xfId="0" applyFont="1"/>
    <xf numFmtId="0" fontId="41" fillId="0" borderId="6" xfId="2" applyFont="1" applyBorder="1" applyAlignment="1">
      <alignment horizontal="center" vertical="center"/>
    </xf>
    <xf numFmtId="0" fontId="41" fillId="0" borderId="23" xfId="2" applyFont="1" applyBorder="1" applyAlignment="1">
      <alignment horizontal="center" vertical="center"/>
    </xf>
    <xf numFmtId="0" fontId="41" fillId="0" borderId="7" xfId="2" applyFont="1" applyBorder="1" applyAlignment="1">
      <alignment horizontal="center" vertical="center"/>
    </xf>
    <xf numFmtId="175" fontId="41" fillId="0" borderId="6" xfId="2" applyNumberFormat="1" applyFont="1" applyBorder="1" applyAlignment="1">
      <alignment horizontal="center" vertical="center"/>
    </xf>
    <xf numFmtId="175" fontId="41" fillId="0" borderId="23" xfId="2" applyNumberFormat="1" applyFont="1" applyBorder="1" applyAlignment="1">
      <alignment horizontal="center" vertical="center"/>
    </xf>
    <xf numFmtId="175" fontId="41" fillId="0" borderId="7" xfId="2" applyNumberFormat="1" applyFont="1" applyBorder="1" applyAlignment="1">
      <alignment horizontal="center" vertical="center"/>
    </xf>
    <xf numFmtId="0" fontId="43" fillId="10" borderId="2" xfId="0" applyFont="1" applyFill="1" applyBorder="1" applyAlignment="1" applyProtection="1">
      <alignment horizontal="left" vertical="center"/>
      <protection locked="0"/>
    </xf>
    <xf numFmtId="0" fontId="41" fillId="0" borderId="6" xfId="2" applyFont="1" applyBorder="1" applyAlignment="1">
      <alignment horizontal="left" vertical="center"/>
    </xf>
    <xf numFmtId="0" fontId="0" fillId="0" borderId="23" xfId="0" applyBorder="1" applyAlignment="1">
      <alignment horizontal="left" vertical="center"/>
    </xf>
    <xf numFmtId="0" fontId="41" fillId="0" borderId="0" xfId="2" applyFont="1" applyAlignment="1">
      <alignment horizontal="center" vertical="center"/>
    </xf>
    <xf numFmtId="1" fontId="43" fillId="10" borderId="2" xfId="0" applyNumberFormat="1" applyFont="1" applyFill="1" applyBorder="1" applyAlignment="1">
      <alignment horizontal="center" vertical="center"/>
    </xf>
    <xf numFmtId="0" fontId="43" fillId="10" borderId="2" xfId="0" applyFont="1" applyFill="1" applyBorder="1" applyAlignment="1">
      <alignment horizontal="center" vertical="center"/>
    </xf>
    <xf numFmtId="0" fontId="44" fillId="10" borderId="2" xfId="0" applyFont="1" applyFill="1" applyBorder="1" applyAlignment="1" applyProtection="1">
      <alignment horizontal="center" vertical="center"/>
      <protection locked="0"/>
    </xf>
    <xf numFmtId="0" fontId="44" fillId="10" borderId="7" xfId="0" applyFont="1" applyFill="1" applyBorder="1" applyAlignment="1" applyProtection="1">
      <alignment horizontal="center" vertical="center"/>
      <protection locked="0"/>
    </xf>
    <xf numFmtId="0" fontId="44" fillId="6" borderId="10" xfId="0" applyFont="1" applyFill="1" applyBorder="1" applyAlignment="1">
      <alignment horizontal="center" vertical="center"/>
    </xf>
    <xf numFmtId="173" fontId="44" fillId="10" borderId="0" xfId="0" applyNumberFormat="1" applyFont="1" applyFill="1" applyAlignment="1" applyProtection="1">
      <alignment horizontal="center" vertical="center"/>
      <protection locked="0"/>
    </xf>
    <xf numFmtId="164" fontId="44" fillId="6" borderId="0" xfId="0" applyNumberFormat="1" applyFont="1" applyFill="1" applyAlignment="1">
      <alignment horizontal="center" vertical="center"/>
    </xf>
    <xf numFmtId="0" fontId="8" fillId="0" borderId="0" xfId="2" applyFont="1" applyAlignment="1">
      <alignment vertical="center" wrapText="1"/>
    </xf>
    <xf numFmtId="0" fontId="8" fillId="0" borderId="4" xfId="2" applyFont="1" applyBorder="1" applyAlignment="1">
      <alignment vertical="center" wrapText="1"/>
    </xf>
    <xf numFmtId="0" fontId="44" fillId="6" borderId="2" xfId="0" applyFont="1" applyFill="1" applyBorder="1" applyAlignment="1">
      <alignment horizontal="left" vertical="center"/>
    </xf>
    <xf numFmtId="0" fontId="44" fillId="6" borderId="2" xfId="0" applyFont="1" applyFill="1" applyBorder="1" applyAlignment="1">
      <alignment horizontal="center" vertical="center"/>
    </xf>
    <xf numFmtId="0" fontId="2" fillId="0" borderId="2" xfId="0" quotePrefix="1" applyFont="1" applyBorder="1"/>
    <xf numFmtId="0" fontId="2" fillId="0" borderId="2" xfId="0" applyFont="1" applyBorder="1"/>
    <xf numFmtId="14" fontId="2" fillId="0" borderId="2" xfId="0" applyNumberFormat="1" applyFont="1" applyBorder="1" applyProtection="1">
      <protection locked="0"/>
    </xf>
    <xf numFmtId="0" fontId="2" fillId="0" borderId="2" xfId="0" applyFont="1" applyBorder="1" applyProtection="1">
      <protection locked="0"/>
    </xf>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2" fillId="0" borderId="0" xfId="0" applyFont="1" applyAlignment="1">
      <alignment horizontal="left"/>
    </xf>
    <xf numFmtId="0" fontId="2" fillId="0" borderId="4" xfId="0" applyFont="1" applyBorder="1"/>
    <xf numFmtId="0" fontId="2" fillId="11" borderId="10" xfId="0" applyFont="1" applyFill="1" applyBorder="1"/>
    <xf numFmtId="0" fontId="2" fillId="11" borderId="0" xfId="0" applyFont="1" applyFill="1"/>
    <xf numFmtId="0" fontId="2" fillId="0" borderId="13" xfId="0" applyFont="1" applyBorder="1" applyAlignment="1">
      <alignment horizontal="left" vertical="center"/>
    </xf>
    <xf numFmtId="1" fontId="2" fillId="0" borderId="2" xfId="0" applyNumberFormat="1" applyFont="1" applyBorder="1" applyAlignment="1">
      <alignment horizontal="left" vertical="center"/>
    </xf>
    <xf numFmtId="0" fontId="2" fillId="0" borderId="2" xfId="0" applyFont="1" applyBorder="1" applyAlignment="1">
      <alignment horizontal="left" vertical="center"/>
    </xf>
    <xf numFmtId="0" fontId="2" fillId="7" borderId="2" xfId="0" quotePrefix="1" applyFont="1" applyFill="1" applyBorder="1" applyProtection="1">
      <protection locked="0"/>
    </xf>
    <xf numFmtId="0" fontId="2" fillId="7" borderId="2" xfId="0" applyFont="1" applyFill="1" applyBorder="1" applyProtection="1">
      <protection locked="0"/>
    </xf>
    <xf numFmtId="14" fontId="2" fillId="2" borderId="2" xfId="0" applyNumberFormat="1" applyFont="1" applyFill="1" applyBorder="1" applyAlignment="1">
      <alignment horizontal="left" vertical="center" wrapText="1"/>
    </xf>
    <xf numFmtId="0" fontId="2" fillId="8" borderId="25"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13" xfId="0" applyFont="1" applyFill="1" applyBorder="1" applyAlignment="1">
      <alignment horizontal="center" vertical="center"/>
    </xf>
    <xf numFmtId="0" fontId="15" fillId="2" borderId="0" xfId="0" applyFont="1" applyFill="1" applyAlignment="1">
      <alignment horizontal="center" vertical="center" wrapText="1"/>
    </xf>
    <xf numFmtId="172" fontId="2" fillId="0" borderId="6" xfId="0" applyNumberFormat="1" applyFont="1" applyBorder="1" applyAlignment="1">
      <alignment horizontal="center" vertical="center"/>
    </xf>
    <xf numFmtId="172" fontId="2" fillId="0" borderId="23" xfId="0" applyNumberFormat="1" applyFont="1" applyBorder="1" applyAlignment="1">
      <alignment horizontal="center" vertical="center"/>
    </xf>
    <xf numFmtId="172" fontId="2" fillId="0" borderId="7" xfId="0" applyNumberFormat="1" applyFont="1" applyBorder="1" applyAlignment="1">
      <alignment horizontal="center" vertical="center"/>
    </xf>
    <xf numFmtId="170" fontId="2" fillId="0" borderId="6" xfId="0" applyNumberFormat="1" applyFont="1" applyBorder="1" applyAlignment="1">
      <alignment horizontal="center" vertical="center"/>
    </xf>
    <xf numFmtId="170" fontId="2" fillId="0" borderId="23" xfId="0" applyNumberFormat="1" applyFont="1" applyBorder="1" applyAlignment="1">
      <alignment horizontal="center" vertical="center"/>
    </xf>
    <xf numFmtId="170" fontId="2" fillId="0" borderId="7" xfId="0" applyNumberFormat="1" applyFont="1" applyBorder="1" applyAlignment="1">
      <alignment horizontal="center" vertical="center"/>
    </xf>
    <xf numFmtId="178" fontId="2" fillId="0" borderId="6" xfId="0" applyNumberFormat="1" applyFont="1" applyBorder="1" applyAlignment="1">
      <alignment horizontal="center" vertical="center"/>
    </xf>
    <xf numFmtId="178" fontId="2" fillId="0" borderId="23" xfId="0" applyNumberFormat="1" applyFont="1" applyBorder="1" applyAlignment="1">
      <alignment horizontal="center" vertical="center"/>
    </xf>
    <xf numFmtId="178" fontId="2" fillId="0" borderId="7" xfId="0" applyNumberFormat="1" applyFont="1" applyBorder="1" applyAlignment="1">
      <alignment horizontal="center" vertical="center"/>
    </xf>
    <xf numFmtId="0" fontId="2" fillId="6" borderId="6" xfId="0" applyFont="1" applyFill="1" applyBorder="1" applyAlignment="1">
      <alignment horizontal="center" vertical="center"/>
    </xf>
    <xf numFmtId="0" fontId="2" fillId="6" borderId="23" xfId="0" applyFont="1" applyFill="1" applyBorder="1" applyAlignment="1">
      <alignment horizontal="center" vertical="center"/>
    </xf>
    <xf numFmtId="0" fontId="2" fillId="6" borderId="7" xfId="0" applyFont="1" applyFill="1" applyBorder="1" applyAlignment="1">
      <alignment horizontal="center" vertical="center"/>
    </xf>
    <xf numFmtId="0" fontId="2" fillId="0" borderId="6" xfId="0" applyFont="1" applyBorder="1" applyAlignment="1">
      <alignment horizontal="center" vertical="center"/>
    </xf>
    <xf numFmtId="0" fontId="2" fillId="0" borderId="23" xfId="0" applyFont="1" applyBorder="1" applyAlignment="1">
      <alignment horizontal="center" vertical="center"/>
    </xf>
    <xf numFmtId="1" fontId="24" fillId="0" borderId="2" xfId="0" applyNumberFormat="1" applyFont="1" applyBorder="1" applyAlignment="1">
      <alignment horizontal="center" vertical="center" wrapText="1"/>
    </xf>
    <xf numFmtId="0" fontId="60" fillId="0" borderId="0" xfId="0" applyFont="1" applyAlignment="1">
      <alignment horizontal="left" vertical="center"/>
    </xf>
    <xf numFmtId="0" fontId="36" fillId="2" borderId="25" xfId="0" applyFont="1" applyFill="1" applyBorder="1" applyAlignment="1">
      <alignment horizontal="center"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center" vertical="center" wrapText="1"/>
    </xf>
    <xf numFmtId="1" fontId="24" fillId="2" borderId="2" xfId="0" applyNumberFormat="1" applyFont="1" applyFill="1" applyBorder="1" applyAlignment="1">
      <alignment horizontal="center" vertical="center" wrapText="1"/>
    </xf>
    <xf numFmtId="1" fontId="36" fillId="2" borderId="6" xfId="0" applyNumberFormat="1" applyFont="1" applyFill="1" applyBorder="1" applyAlignment="1">
      <alignment horizontal="center" vertical="center"/>
    </xf>
    <xf numFmtId="1" fontId="36" fillId="2" borderId="23" xfId="0" applyNumberFormat="1" applyFont="1" applyFill="1" applyBorder="1" applyAlignment="1">
      <alignment horizontal="center" vertical="center"/>
    </xf>
    <xf numFmtId="1" fontId="36" fillId="2" borderId="7" xfId="0" applyNumberFormat="1" applyFont="1" applyFill="1" applyBorder="1" applyAlignment="1">
      <alignment horizontal="center" vertical="center"/>
    </xf>
    <xf numFmtId="2" fontId="24" fillId="2" borderId="2" xfId="0" applyNumberFormat="1" applyFont="1" applyFill="1" applyBorder="1" applyAlignment="1">
      <alignment horizontal="center" vertical="center" wrapText="1"/>
    </xf>
    <xf numFmtId="0" fontId="12" fillId="2" borderId="6" xfId="0" applyFont="1" applyFill="1" applyBorder="1" applyAlignment="1">
      <alignment horizontal="center" vertical="center"/>
    </xf>
    <xf numFmtId="0" fontId="12" fillId="2" borderId="23" xfId="0" applyFont="1" applyFill="1" applyBorder="1" applyAlignment="1">
      <alignment horizontal="center" vertical="center"/>
    </xf>
    <xf numFmtId="0" fontId="12" fillId="2" borderId="7" xfId="0" applyFont="1" applyFill="1" applyBorder="1" applyAlignment="1">
      <alignment horizontal="center" vertical="center"/>
    </xf>
    <xf numFmtId="1" fontId="24" fillId="2" borderId="2" xfId="0" applyNumberFormat="1" applyFont="1" applyFill="1" applyBorder="1" applyAlignment="1">
      <alignment horizontal="center" vertical="center"/>
    </xf>
    <xf numFmtId="0" fontId="8" fillId="2" borderId="6" xfId="0" applyFont="1" applyFill="1" applyBorder="1" applyAlignment="1">
      <alignment horizontal="center" vertical="center"/>
    </xf>
    <xf numFmtId="0" fontId="8" fillId="2" borderId="23" xfId="0" applyFont="1" applyFill="1" applyBorder="1" applyAlignment="1">
      <alignment horizontal="center" vertical="center"/>
    </xf>
    <xf numFmtId="0" fontId="8" fillId="2" borderId="7" xfId="0" applyFont="1" applyFill="1" applyBorder="1" applyAlignment="1">
      <alignment horizontal="center" vertical="center"/>
    </xf>
    <xf numFmtId="0" fontId="23" fillId="0" borderId="2" xfId="0" applyFont="1" applyBorder="1" applyAlignment="1">
      <alignment horizontal="center" vertical="center" wrapText="1"/>
    </xf>
    <xf numFmtId="0" fontId="28" fillId="2" borderId="0" xfId="0" applyFont="1" applyFill="1" applyAlignment="1">
      <alignment horizontal="center"/>
    </xf>
    <xf numFmtId="49" fontId="8" fillId="0" borderId="6" xfId="0" applyNumberFormat="1" applyFont="1" applyBorder="1" applyAlignment="1">
      <alignment horizontal="center" vertical="center" wrapText="1"/>
    </xf>
    <xf numFmtId="49" fontId="8" fillId="0" borderId="23"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0" fontId="22" fillId="2" borderId="9" xfId="0" applyFont="1" applyFill="1" applyBorder="1" applyAlignment="1">
      <alignment horizontal="center" vertical="center"/>
    </xf>
    <xf numFmtId="0" fontId="22" fillId="2" borderId="14" xfId="0" applyFont="1" applyFill="1" applyBorder="1" applyAlignment="1">
      <alignment horizontal="center" vertical="center"/>
    </xf>
    <xf numFmtId="0" fontId="22" fillId="2" borderId="8"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0" xfId="0" applyFont="1" applyFill="1" applyAlignment="1">
      <alignment horizontal="center" vertical="center"/>
    </xf>
    <xf numFmtId="0" fontId="22" fillId="2" borderId="4" xfId="0" applyFont="1" applyFill="1" applyBorder="1" applyAlignment="1">
      <alignment horizontal="center" vertical="center"/>
    </xf>
    <xf numFmtId="0" fontId="22" fillId="2" borderId="11" xfId="0" applyFont="1" applyFill="1" applyBorder="1" applyAlignment="1">
      <alignment horizontal="center" vertical="center"/>
    </xf>
    <xf numFmtId="0" fontId="22" fillId="2" borderId="3" xfId="0" applyFont="1" applyFill="1" applyBorder="1" applyAlignment="1">
      <alignment horizontal="center" vertical="center"/>
    </xf>
    <xf numFmtId="0" fontId="22" fillId="2" borderId="5" xfId="0" applyFont="1" applyFill="1" applyBorder="1" applyAlignment="1">
      <alignment horizontal="center" vertical="center"/>
    </xf>
    <xf numFmtId="0" fontId="10" fillId="5" borderId="0" xfId="0" applyFont="1" applyFill="1" applyAlignment="1">
      <alignment horizontal="center" vertical="center" wrapText="1"/>
    </xf>
    <xf numFmtId="0" fontId="2" fillId="0" borderId="0" xfId="0" applyFont="1" applyAlignment="1">
      <alignment horizontal="center" vertical="center" wrapText="1"/>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30" fillId="2" borderId="25" xfId="0" applyFont="1" applyFill="1" applyBorder="1" applyAlignment="1">
      <alignment horizontal="center"/>
    </xf>
    <xf numFmtId="0" fontId="38" fillId="9" borderId="2" xfId="0" applyFont="1" applyFill="1" applyBorder="1" applyAlignment="1">
      <alignment horizontal="center" vertical="center" wrapText="1"/>
    </xf>
    <xf numFmtId="0" fontId="24" fillId="0" borderId="2" xfId="0" applyFont="1" applyBorder="1" applyAlignment="1">
      <alignment horizontal="center" vertical="center" wrapText="1"/>
    </xf>
    <xf numFmtId="49" fontId="8" fillId="0" borderId="6" xfId="0" applyNumberFormat="1" applyFont="1" applyBorder="1" applyAlignment="1" applyProtection="1">
      <alignment horizontal="center" vertical="center" wrapText="1"/>
      <protection locked="0"/>
    </xf>
    <xf numFmtId="49" fontId="8" fillId="0" borderId="23" xfId="0" applyNumberFormat="1" applyFont="1" applyBorder="1" applyAlignment="1" applyProtection="1">
      <alignment horizontal="center" vertical="center" wrapText="1"/>
      <protection locked="0"/>
    </xf>
    <xf numFmtId="49" fontId="8" fillId="0" borderId="7" xfId="0" applyNumberFormat="1" applyFont="1" applyBorder="1" applyAlignment="1" applyProtection="1">
      <alignment horizontal="center" vertical="center" wrapText="1"/>
      <protection locked="0"/>
    </xf>
    <xf numFmtId="0" fontId="38" fillId="9" borderId="2" xfId="0" applyFont="1" applyFill="1" applyBorder="1" applyAlignment="1" applyProtection="1">
      <alignment horizontal="center" vertical="center" wrapText="1"/>
      <protection locked="0"/>
    </xf>
    <xf numFmtId="0" fontId="40" fillId="0" borderId="9" xfId="0" applyFont="1" applyBorder="1" applyAlignment="1">
      <alignment horizontal="left" vertical="center" readingOrder="1"/>
    </xf>
    <xf numFmtId="0" fontId="40" fillId="0" borderId="14" xfId="0" applyFont="1" applyBorder="1" applyAlignment="1">
      <alignment horizontal="left" vertical="center" readingOrder="1"/>
    </xf>
    <xf numFmtId="0" fontId="40" fillId="0" borderId="8" xfId="0" applyFont="1" applyBorder="1" applyAlignment="1">
      <alignment horizontal="left" vertical="center" readingOrder="1"/>
    </xf>
    <xf numFmtId="0" fontId="40" fillId="0" borderId="10" xfId="0" applyFont="1" applyBorder="1" applyAlignment="1">
      <alignment horizontal="left" vertical="center" readingOrder="1"/>
    </xf>
    <xf numFmtId="0" fontId="40" fillId="0" borderId="0" xfId="0" applyFont="1" applyAlignment="1">
      <alignment horizontal="left" vertical="center" readingOrder="1"/>
    </xf>
    <xf numFmtId="0" fontId="40" fillId="0" borderId="4" xfId="0" applyFont="1" applyBorder="1" applyAlignment="1">
      <alignment horizontal="left" vertical="center" readingOrder="1"/>
    </xf>
    <xf numFmtId="0" fontId="40" fillId="0" borderId="11" xfId="0" applyFont="1" applyBorder="1" applyAlignment="1">
      <alignment horizontal="left" vertical="center" readingOrder="1"/>
    </xf>
    <xf numFmtId="0" fontId="40" fillId="0" borderId="3" xfId="0" applyFont="1" applyBorder="1" applyAlignment="1">
      <alignment horizontal="left" vertical="center" readingOrder="1"/>
    </xf>
    <xf numFmtId="0" fontId="40" fillId="0" borderId="5" xfId="0" applyFont="1" applyBorder="1" applyAlignment="1">
      <alignment horizontal="left" vertical="center" readingOrder="1"/>
    </xf>
    <xf numFmtId="164" fontId="24" fillId="2" borderId="2" xfId="0" applyNumberFormat="1" applyFont="1" applyFill="1" applyBorder="1" applyAlignment="1">
      <alignment horizontal="center" vertical="center" wrapText="1"/>
    </xf>
    <xf numFmtId="0" fontId="65" fillId="15" borderId="2" xfId="6" applyFont="1" applyFill="1" applyBorder="1" applyAlignment="1">
      <alignment horizontal="left" vertical="center" wrapText="1"/>
    </xf>
    <xf numFmtId="0" fontId="65" fillId="15" borderId="6" xfId="6" applyFont="1" applyFill="1" applyBorder="1" applyAlignment="1">
      <alignment horizontal="left" vertical="center" wrapText="1"/>
    </xf>
    <xf numFmtId="0" fontId="65" fillId="15" borderId="7" xfId="6" applyFont="1" applyFill="1" applyBorder="1" applyAlignment="1">
      <alignment horizontal="left" vertical="center" wrapText="1"/>
    </xf>
    <xf numFmtId="0" fontId="59" fillId="16" borderId="2" xfId="6" applyFont="1" applyFill="1" applyBorder="1" applyAlignment="1">
      <alignment horizontal="center" vertical="center" wrapText="1"/>
    </xf>
    <xf numFmtId="0" fontId="66" fillId="0" borderId="2" xfId="6" applyFont="1" applyBorder="1" applyAlignment="1">
      <alignment horizontal="center" vertical="center" wrapText="1"/>
    </xf>
    <xf numFmtId="0" fontId="65" fillId="15" borderId="36" xfId="0" applyFont="1" applyFill="1" applyBorder="1" applyAlignment="1">
      <alignment horizontal="left" vertical="center" wrapText="1"/>
    </xf>
    <xf numFmtId="0" fontId="59" fillId="16" borderId="2" xfId="6" applyFont="1" applyFill="1" applyBorder="1" applyAlignment="1">
      <alignment horizontal="left" vertical="center" wrapText="1"/>
    </xf>
    <xf numFmtId="0" fontId="64" fillId="0" borderId="0" xfId="6" applyFont="1" applyAlignment="1">
      <alignment horizontal="center" vertical="center" wrapText="1"/>
    </xf>
    <xf numFmtId="0" fontId="65" fillId="0" borderId="2" xfId="6" applyFont="1" applyBorder="1" applyAlignment="1">
      <alignment horizontal="center" vertical="center" wrapText="1"/>
    </xf>
    <xf numFmtId="0" fontId="65" fillId="0" borderId="2" xfId="6" applyFont="1" applyBorder="1" applyAlignment="1">
      <alignment horizontal="left" vertical="center" wrapText="1"/>
    </xf>
    <xf numFmtId="0" fontId="1" fillId="0" borderId="37" xfId="8" applyBorder="1"/>
    <xf numFmtId="0" fontId="1" fillId="0" borderId="38" xfId="8" applyBorder="1"/>
    <xf numFmtId="0" fontId="1" fillId="0" borderId="39" xfId="8" applyBorder="1"/>
    <xf numFmtId="0" fontId="1" fillId="0" borderId="0" xfId="8"/>
    <xf numFmtId="0" fontId="1" fillId="0" borderId="10" xfId="8" applyBorder="1"/>
    <xf numFmtId="0" fontId="1" fillId="0" borderId="4" xfId="8" applyBorder="1"/>
    <xf numFmtId="0" fontId="67" fillId="0" borderId="0" xfId="9" applyBorder="1"/>
    <xf numFmtId="0" fontId="64" fillId="0" borderId="37" xfId="6" applyFont="1" applyBorder="1" applyAlignment="1">
      <alignment horizontal="center" vertical="center" wrapText="1"/>
    </xf>
    <xf numFmtId="0" fontId="64" fillId="0" borderId="38" xfId="6" applyFont="1" applyBorder="1" applyAlignment="1">
      <alignment horizontal="center" vertical="center" wrapText="1"/>
    </xf>
    <xf numFmtId="0" fontId="64" fillId="0" borderId="39" xfId="6" applyFont="1" applyBorder="1" applyAlignment="1">
      <alignment horizontal="center" vertical="center" wrapText="1"/>
    </xf>
    <xf numFmtId="0" fontId="64" fillId="0" borderId="11" xfId="6" applyFont="1" applyBorder="1" applyAlignment="1">
      <alignment horizontal="center" vertical="center" wrapText="1"/>
    </xf>
    <xf numFmtId="0" fontId="64" fillId="0" borderId="3" xfId="6" applyFont="1" applyBorder="1" applyAlignment="1">
      <alignment horizontal="center" vertical="center" wrapText="1"/>
    </xf>
    <xf numFmtId="0" fontId="64" fillId="0" borderId="5" xfId="6" applyFont="1" applyBorder="1" applyAlignment="1">
      <alignment horizontal="center" vertical="center" wrapText="1"/>
    </xf>
    <xf numFmtId="0" fontId="65" fillId="0" borderId="36" xfId="6" applyFont="1" applyBorder="1" applyAlignment="1">
      <alignment horizontal="center" vertical="center" wrapText="1"/>
    </xf>
    <xf numFmtId="0" fontId="65" fillId="0" borderId="36" xfId="6" applyFont="1" applyBorder="1" applyAlignment="1">
      <alignment horizontal="left" vertical="center" wrapText="1"/>
    </xf>
    <xf numFmtId="0" fontId="65" fillId="15" borderId="36" xfId="6" applyFont="1" applyFill="1" applyBorder="1" applyAlignment="1">
      <alignment horizontal="left" vertical="center" wrapText="1"/>
    </xf>
    <xf numFmtId="0" fontId="63" fillId="0" borderId="36" xfId="6" applyBorder="1"/>
    <xf numFmtId="0" fontId="65" fillId="0" borderId="40" xfId="6" applyFont="1" applyBorder="1" applyAlignment="1">
      <alignment horizontal="left" vertical="center" wrapText="1"/>
    </xf>
    <xf numFmtId="0" fontId="65" fillId="0" borderId="41" xfId="6" applyFont="1" applyBorder="1" applyAlignment="1">
      <alignment horizontal="left" vertical="center" wrapText="1"/>
    </xf>
    <xf numFmtId="14" fontId="65" fillId="15" borderId="40" xfId="6" applyNumberFormat="1" applyFont="1" applyFill="1" applyBorder="1" applyAlignment="1">
      <alignment horizontal="center" vertical="center" wrapText="1"/>
    </xf>
    <xf numFmtId="14" fontId="65" fillId="15" borderId="41" xfId="6" applyNumberFormat="1" applyFont="1" applyFill="1" applyBorder="1" applyAlignment="1">
      <alignment horizontal="center" vertical="center" wrapText="1"/>
    </xf>
    <xf numFmtId="0" fontId="65" fillId="15" borderId="40" xfId="6" applyFont="1" applyFill="1" applyBorder="1" applyAlignment="1">
      <alignment horizontal="center" vertical="center" wrapText="1"/>
    </xf>
    <xf numFmtId="0" fontId="65" fillId="15" borderId="41" xfId="6" applyFont="1" applyFill="1" applyBorder="1" applyAlignment="1">
      <alignment horizontal="center" vertical="center" wrapText="1"/>
    </xf>
    <xf numFmtId="0" fontId="65" fillId="0" borderId="40" xfId="6" applyFont="1" applyBorder="1" applyAlignment="1">
      <alignment horizontal="left" vertical="center"/>
    </xf>
    <xf numFmtId="0" fontId="65" fillId="0" borderId="41" xfId="6" applyFont="1" applyBorder="1" applyAlignment="1">
      <alignment horizontal="left" vertical="center"/>
    </xf>
    <xf numFmtId="0" fontId="66" fillId="0" borderId="0" xfId="6" applyFont="1" applyAlignment="1">
      <alignment horizontal="center" vertical="center" wrapText="1"/>
    </xf>
    <xf numFmtId="0" fontId="66" fillId="0" borderId="0" xfId="6" applyFont="1" applyAlignment="1">
      <alignment horizontal="center" vertical="center" wrapText="1"/>
    </xf>
    <xf numFmtId="0" fontId="65" fillId="0" borderId="36" xfId="6" applyFont="1" applyBorder="1" applyAlignment="1">
      <alignment horizontal="left" vertical="center" wrapText="1"/>
    </xf>
    <xf numFmtId="0" fontId="65" fillId="15" borderId="36" xfId="6" applyFont="1" applyFill="1" applyBorder="1" applyAlignment="1">
      <alignment vertical="center" wrapText="1"/>
    </xf>
    <xf numFmtId="2" fontId="65" fillId="0" borderId="0" xfId="6" applyNumberFormat="1" applyFont="1" applyAlignment="1">
      <alignment horizontal="left" vertical="center" wrapText="1"/>
    </xf>
    <xf numFmtId="0" fontId="65" fillId="0" borderId="0" xfId="6" applyFont="1" applyAlignment="1">
      <alignment horizontal="left" vertical="center" wrapText="1"/>
    </xf>
    <xf numFmtId="0" fontId="59" fillId="16" borderId="36" xfId="6" applyFont="1" applyFill="1" applyBorder="1" applyAlignment="1">
      <alignment horizontal="left" vertical="center" wrapText="1"/>
    </xf>
    <xf numFmtId="0" fontId="65" fillId="0" borderId="36" xfId="6" applyFont="1" applyBorder="1" applyAlignment="1">
      <alignment horizontal="center" vertical="center" wrapText="1"/>
    </xf>
    <xf numFmtId="0" fontId="65" fillId="15" borderId="36" xfId="8" applyFont="1" applyFill="1" applyBorder="1" applyAlignment="1">
      <alignment horizontal="left" vertical="center" wrapText="1"/>
    </xf>
    <xf numFmtId="0" fontId="59" fillId="16" borderId="36" xfId="6" applyFont="1" applyFill="1" applyBorder="1" applyAlignment="1">
      <alignment horizontal="center" vertical="center" wrapText="1"/>
    </xf>
    <xf numFmtId="0" fontId="59" fillId="16" borderId="36" xfId="6" applyFont="1" applyFill="1" applyBorder="1" applyAlignment="1">
      <alignment horizontal="center" vertical="center" wrapText="1"/>
    </xf>
    <xf numFmtId="0" fontId="66" fillId="0" borderId="36" xfId="6" applyFont="1" applyBorder="1" applyAlignment="1">
      <alignment horizontal="center" vertical="center" wrapText="1"/>
    </xf>
    <xf numFmtId="0" fontId="66" fillId="0" borderId="36" xfId="6" applyFont="1" applyBorder="1" applyAlignment="1">
      <alignment horizontal="center" vertical="center" wrapText="1"/>
    </xf>
    <xf numFmtId="2" fontId="65" fillId="15" borderId="36" xfId="6" applyNumberFormat="1" applyFont="1" applyFill="1" applyBorder="1" applyAlignment="1">
      <alignment horizontal="left" vertical="center" wrapText="1"/>
    </xf>
    <xf numFmtId="0" fontId="65" fillId="15" borderId="36" xfId="6" applyFont="1" applyFill="1" applyBorder="1" applyAlignment="1">
      <alignment horizontal="left" vertical="center" wrapText="1"/>
    </xf>
    <xf numFmtId="0" fontId="1" fillId="0" borderId="36" xfId="8" applyBorder="1" applyAlignment="1">
      <alignment horizontal="center" vertical="center" wrapText="1"/>
    </xf>
    <xf numFmtId="0" fontId="1" fillId="0" borderId="36" xfId="8" applyBorder="1" applyAlignment="1">
      <alignment horizontal="center" vertical="center"/>
    </xf>
    <xf numFmtId="0" fontId="1" fillId="0" borderId="11" xfId="8" applyBorder="1"/>
    <xf numFmtId="0" fontId="1" fillId="0" borderId="3" xfId="8" applyBorder="1"/>
    <xf numFmtId="0" fontId="1" fillId="0" borderId="5" xfId="8" applyBorder="1"/>
  </cellXfs>
  <cellStyles count="11">
    <cellStyle name="Currency" xfId="4" builtinId="4"/>
    <cellStyle name="Currency 2" xfId="7" xr:uid="{425ACE1C-CFEE-44DC-AE46-5E5C6B54EB1C}"/>
    <cellStyle name="Explanatory Text" xfId="3" builtinId="53"/>
    <cellStyle name="Hyperlink" xfId="1" builtinId="8"/>
    <cellStyle name="Hyperlink 2" xfId="9" xr:uid="{CB215843-ABA9-4C89-B975-BC7D81D3966A}"/>
    <cellStyle name="Normal" xfId="0" builtinId="0"/>
    <cellStyle name="Normal 2" xfId="2" xr:uid="{00000000-0005-0000-0000-000002000000}"/>
    <cellStyle name="Normal 3" xfId="6" xr:uid="{8F7B4F6F-6EC6-4412-91F6-E338FE3E56FE}"/>
    <cellStyle name="Normal 4" xfId="8" xr:uid="{F5433EC4-BEC4-4CA2-9166-33598D4D28A2}"/>
    <cellStyle name="Percent" xfId="5" builtinId="5"/>
    <cellStyle name="Percent 2" xfId="10" xr:uid="{2F8CC081-3050-459A-B796-32BB6C6548EF}"/>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alcChain" Target="calcChain.xml"/><Relationship Id="rId3" Type="http://schemas.openxmlformats.org/officeDocument/2006/relationships/worksheet" Target="worksheets/sheet1.xml"/><Relationship Id="rId21" Type="http://schemas.openxmlformats.org/officeDocument/2006/relationships/worksheet" Target="worksheets/sheet19.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tyles" Target="style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theme" Target="theme/theme1.xml"/><Relationship Id="rId27" Type="http://schemas.openxmlformats.org/officeDocument/2006/relationships/customXml" Target="../customXml/item1.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112</c:v>
                </c:pt>
                <c:pt idx="1">
                  <c:v>176</c:v>
                </c:pt>
                <c:pt idx="2">
                  <c:v>714</c:v>
                </c:pt>
                <c:pt idx="3">
                  <c:v>1314</c:v>
                </c:pt>
                <c:pt idx="4">
                  <c:v>1794</c:v>
                </c:pt>
                <c:pt idx="5">
                  <c:v>4348</c:v>
                </c:pt>
                <c:pt idx="6">
                  <c:v>6298</c:v>
                </c:pt>
                <c:pt idx="7">
                  <c:v>14290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1037710</c:v>
                </c:pt>
                <c:pt idx="1">
                  <c:v>432580</c:v>
                </c:pt>
                <c:pt idx="2">
                  <c:v>97240</c:v>
                </c:pt>
                <c:pt idx="3">
                  <c:v>31970</c:v>
                </c:pt>
                <c:pt idx="4">
                  <c:v>9870</c:v>
                </c:pt>
                <c:pt idx="5">
                  <c:v>5300</c:v>
                </c:pt>
                <c:pt idx="6">
                  <c:v>1180</c:v>
                </c:pt>
                <c:pt idx="7">
                  <c:v>640</c:v>
                </c:pt>
                <c:pt idx="8">
                  <c:v>140</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1047870</c:v>
                </c:pt>
                <c:pt idx="1">
                  <c:v>431351</c:v>
                </c:pt>
                <c:pt idx="2">
                  <c:v>96948.1</c:v>
                </c:pt>
                <c:pt idx="3">
                  <c:v>32014</c:v>
                </c:pt>
                <c:pt idx="4">
                  <c:v>9858</c:v>
                </c:pt>
                <c:pt idx="5">
                  <c:v>5300</c:v>
                </c:pt>
                <c:pt idx="6">
                  <c:v>1181</c:v>
                </c:pt>
                <c:pt idx="7">
                  <c:v>637</c:v>
                </c:pt>
                <c:pt idx="8">
                  <c:v>139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xdr:twoCellAnchor editAs="oneCell">
    <xdr:from>
      <xdr:col>5</xdr:col>
      <xdr:colOff>169334</xdr:colOff>
      <xdr:row>2</xdr:row>
      <xdr:rowOff>42333</xdr:rowOff>
    </xdr:from>
    <xdr:to>
      <xdr:col>10</xdr:col>
      <xdr:colOff>4387</xdr:colOff>
      <xdr:row>8</xdr:row>
      <xdr:rowOff>7744</xdr:rowOff>
    </xdr:to>
    <xdr:pic>
      <xdr:nvPicPr>
        <xdr:cNvPr id="2" name="Picture 1">
          <a:extLst>
            <a:ext uri="{FF2B5EF4-FFF2-40B4-BE49-F238E27FC236}">
              <a16:creationId xmlns:a16="http://schemas.microsoft.com/office/drawing/2014/main" id="{233C5F11-DD59-4829-BA18-9669B804A83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51" t="1465" r="63036" b="82599"/>
        <a:stretch>
          <a:fillRect/>
        </a:stretch>
      </xdr:blipFill>
      <xdr:spPr>
        <a:xfrm>
          <a:off x="4407959" y="404283"/>
          <a:ext cx="4173691" cy="105126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4.bin"/><Relationship Id="rId1" Type="http://schemas.openxmlformats.org/officeDocument/2006/relationships/hyperlink" Target="http://www.mpfiltr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127" workbookViewId="0">
      <selection activeCell="B144" sqref="B144"/>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703</v>
      </c>
      <c r="B1" t="s">
        <v>704</v>
      </c>
      <c r="H1" s="154"/>
    </row>
    <row r="2" spans="1:9" x14ac:dyDescent="0.35">
      <c r="A2" t="s">
        <v>705</v>
      </c>
      <c r="H2" s="154"/>
      <c r="I2" s="154"/>
    </row>
    <row r="3" spans="1:9" x14ac:dyDescent="0.35">
      <c r="A3" t="s">
        <v>706</v>
      </c>
      <c r="B3" t="s">
        <v>704</v>
      </c>
      <c r="H3" s="154"/>
      <c r="I3" s="154"/>
    </row>
    <row r="4" spans="1:9" x14ac:dyDescent="0.35">
      <c r="A4" s="166" t="s">
        <v>707</v>
      </c>
      <c r="B4">
        <v>12345671</v>
      </c>
      <c r="H4" s="154"/>
    </row>
    <row r="5" spans="1:9" x14ac:dyDescent="0.35">
      <c r="A5" t="s">
        <v>708</v>
      </c>
      <c r="B5">
        <v>9264</v>
      </c>
      <c r="H5" s="154"/>
      <c r="I5" s="154"/>
    </row>
    <row r="6" spans="1:9" x14ac:dyDescent="0.35">
      <c r="A6" t="s">
        <v>709</v>
      </c>
      <c r="B6">
        <v>0</v>
      </c>
      <c r="H6" s="154"/>
      <c r="I6" s="154"/>
    </row>
    <row r="7" spans="1:9" x14ac:dyDescent="0.35">
      <c r="A7" t="s">
        <v>710</v>
      </c>
      <c r="B7" t="s">
        <v>711</v>
      </c>
      <c r="H7" s="154"/>
      <c r="I7" s="154"/>
    </row>
    <row r="8" spans="1:9" x14ac:dyDescent="0.35">
      <c r="A8" t="s">
        <v>712</v>
      </c>
      <c r="B8">
        <v>112</v>
      </c>
      <c r="H8" s="154"/>
      <c r="I8" s="154"/>
    </row>
    <row r="9" spans="1:9" x14ac:dyDescent="0.35">
      <c r="A9" t="s">
        <v>713</v>
      </c>
      <c r="B9">
        <v>176</v>
      </c>
      <c r="H9" s="154"/>
      <c r="I9" s="154"/>
    </row>
    <row r="10" spans="1:9" x14ac:dyDescent="0.35">
      <c r="A10" t="s">
        <v>714</v>
      </c>
      <c r="B10">
        <v>714</v>
      </c>
      <c r="H10" s="154"/>
      <c r="I10" s="154"/>
    </row>
    <row r="11" spans="1:9" x14ac:dyDescent="0.35">
      <c r="A11" t="s">
        <v>715</v>
      </c>
      <c r="B11">
        <v>1314</v>
      </c>
      <c r="H11" s="154"/>
      <c r="I11" s="154"/>
    </row>
    <row r="12" spans="1:9" x14ac:dyDescent="0.35">
      <c r="A12" t="s">
        <v>716</v>
      </c>
      <c r="B12">
        <v>1794</v>
      </c>
      <c r="H12" s="154"/>
      <c r="I12" s="154"/>
    </row>
    <row r="13" spans="1:9" x14ac:dyDescent="0.35">
      <c r="A13" t="s">
        <v>717</v>
      </c>
      <c r="B13">
        <v>4348</v>
      </c>
      <c r="H13" s="154"/>
      <c r="I13" s="154"/>
    </row>
    <row r="14" spans="1:9" x14ac:dyDescent="0.35">
      <c r="A14" t="s">
        <v>718</v>
      </c>
      <c r="B14">
        <v>6298</v>
      </c>
      <c r="H14" s="154"/>
      <c r="I14" s="154"/>
    </row>
    <row r="15" spans="1:9" x14ac:dyDescent="0.35">
      <c r="A15" t="s">
        <v>719</v>
      </c>
      <c r="B15">
        <v>14290</v>
      </c>
      <c r="H15" s="154"/>
      <c r="I15" s="154"/>
    </row>
    <row r="16" spans="1:9" x14ac:dyDescent="0.35">
      <c r="A16" t="s">
        <v>720</v>
      </c>
      <c r="B16">
        <v>60</v>
      </c>
      <c r="H16" s="154"/>
      <c r="I16" s="154"/>
    </row>
    <row r="17" spans="1:9" x14ac:dyDescent="0.35">
      <c r="A17" t="s">
        <v>721</v>
      </c>
      <c r="B17">
        <v>300</v>
      </c>
      <c r="H17" s="154"/>
      <c r="I17" s="154"/>
    </row>
    <row r="18" spans="1:9" x14ac:dyDescent="0.35">
      <c r="A18" t="s">
        <v>722</v>
      </c>
      <c r="B18">
        <v>750</v>
      </c>
      <c r="H18" s="154"/>
      <c r="I18" s="154"/>
    </row>
    <row r="19" spans="1:9" x14ac:dyDescent="0.35">
      <c r="A19" t="s">
        <v>723</v>
      </c>
      <c r="B19">
        <v>200</v>
      </c>
      <c r="H19" s="154"/>
      <c r="I19" s="154"/>
    </row>
    <row r="20" spans="1:9" x14ac:dyDescent="0.35">
      <c r="A20" t="s">
        <v>724</v>
      </c>
      <c r="B20">
        <v>500</v>
      </c>
      <c r="H20" s="154"/>
      <c r="I20" s="154"/>
    </row>
    <row r="21" spans="1:9" x14ac:dyDescent="0.35">
      <c r="A21" t="s">
        <v>725</v>
      </c>
      <c r="B21">
        <v>10000</v>
      </c>
      <c r="H21" s="154"/>
      <c r="I21" s="154"/>
    </row>
    <row r="22" spans="1:9" x14ac:dyDescent="0.35">
      <c r="A22" t="s">
        <v>726</v>
      </c>
      <c r="B22">
        <v>100</v>
      </c>
      <c r="H22" s="154"/>
      <c r="I22" s="154"/>
    </row>
    <row r="23" spans="1:9" x14ac:dyDescent="0.35">
      <c r="A23" t="s">
        <v>727</v>
      </c>
      <c r="B23">
        <v>50</v>
      </c>
      <c r="H23" s="154"/>
      <c r="I23" s="154"/>
    </row>
    <row r="24" spans="1:9" x14ac:dyDescent="0.35">
      <c r="A24" t="s">
        <v>728</v>
      </c>
      <c r="B24">
        <v>1778000828</v>
      </c>
      <c r="H24" s="154"/>
      <c r="I24" s="154"/>
    </row>
    <row r="25" spans="1:9" x14ac:dyDescent="0.35">
      <c r="A25" t="s">
        <v>729</v>
      </c>
      <c r="B25">
        <v>1809536828</v>
      </c>
      <c r="H25" s="154"/>
      <c r="I25" s="154"/>
    </row>
    <row r="26" spans="1:9" x14ac:dyDescent="0.35">
      <c r="A26" t="s">
        <v>730</v>
      </c>
      <c r="B26">
        <v>1</v>
      </c>
      <c r="H26" s="154"/>
      <c r="I26" s="154"/>
    </row>
    <row r="27" spans="1:9" x14ac:dyDescent="0.35">
      <c r="A27" t="s">
        <v>731</v>
      </c>
      <c r="B27">
        <v>128</v>
      </c>
      <c r="H27" s="154"/>
      <c r="I27" s="154"/>
    </row>
    <row r="28" spans="1:9" x14ac:dyDescent="0.35">
      <c r="A28" t="s">
        <v>732</v>
      </c>
      <c r="B28">
        <v>0</v>
      </c>
      <c r="H28" s="154"/>
      <c r="I28" s="154"/>
    </row>
    <row r="29" spans="1:9" x14ac:dyDescent="0.35">
      <c r="A29" t="s">
        <v>733</v>
      </c>
      <c r="B29">
        <v>29</v>
      </c>
      <c r="H29" s="154"/>
      <c r="I29" s="154"/>
    </row>
    <row r="30" spans="1:9" x14ac:dyDescent="0.35">
      <c r="A30" t="s">
        <v>734</v>
      </c>
      <c r="B30">
        <v>0</v>
      </c>
      <c r="H30" s="154"/>
      <c r="I30" s="154"/>
    </row>
    <row r="31" spans="1:9" x14ac:dyDescent="0.35">
      <c r="A31" t="s">
        <v>735</v>
      </c>
      <c r="B31">
        <v>2147483648</v>
      </c>
      <c r="H31" s="154"/>
      <c r="I31" s="154"/>
    </row>
    <row r="32" spans="1:9" x14ac:dyDescent="0.35">
      <c r="A32" t="s">
        <v>736</v>
      </c>
      <c r="B32">
        <v>0</v>
      </c>
      <c r="H32" s="154"/>
      <c r="I32" s="154"/>
    </row>
    <row r="33" spans="1:9" x14ac:dyDescent="0.35">
      <c r="A33" t="s">
        <v>737</v>
      </c>
      <c r="B33">
        <v>0</v>
      </c>
      <c r="H33" s="154"/>
      <c r="I33" s="154"/>
    </row>
    <row r="34" spans="1:9" x14ac:dyDescent="0.35">
      <c r="A34" t="s">
        <v>738</v>
      </c>
      <c r="B34">
        <v>3</v>
      </c>
      <c r="H34" s="154"/>
      <c r="I34" s="154"/>
    </row>
    <row r="35" spans="1:9" x14ac:dyDescent="0.35">
      <c r="A35" t="s">
        <v>739</v>
      </c>
      <c r="B35">
        <v>30</v>
      </c>
      <c r="H35" s="154"/>
      <c r="I35" s="154"/>
    </row>
    <row r="36" spans="1:9" x14ac:dyDescent="0.35">
      <c r="A36" t="s">
        <v>740</v>
      </c>
      <c r="B36">
        <v>0</v>
      </c>
      <c r="H36" s="154"/>
      <c r="I36" s="154"/>
    </row>
    <row r="37" spans="1:9" x14ac:dyDescent="0.35">
      <c r="A37" t="s">
        <v>741</v>
      </c>
      <c r="B37">
        <v>1</v>
      </c>
      <c r="H37" s="154"/>
      <c r="I37" s="154"/>
    </row>
    <row r="38" spans="1:9" x14ac:dyDescent="0.35">
      <c r="A38" t="s">
        <v>742</v>
      </c>
      <c r="B38">
        <v>30</v>
      </c>
      <c r="H38" s="154"/>
      <c r="I38" s="154"/>
    </row>
    <row r="39" spans="1:9" x14ac:dyDescent="0.35">
      <c r="A39" t="s">
        <v>743</v>
      </c>
      <c r="B39">
        <v>150</v>
      </c>
      <c r="H39" s="154"/>
      <c r="I39" s="154"/>
    </row>
    <row r="40" spans="1:9" x14ac:dyDescent="0.35">
      <c r="A40" t="s">
        <v>744</v>
      </c>
      <c r="B40">
        <v>40</v>
      </c>
      <c r="H40" s="154"/>
      <c r="I40" s="154"/>
    </row>
    <row r="41" spans="1:9" x14ac:dyDescent="0.35">
      <c r="A41" t="s">
        <v>745</v>
      </c>
      <c r="B41">
        <v>20</v>
      </c>
      <c r="H41" s="154"/>
      <c r="I41" s="154"/>
    </row>
    <row r="42" spans="1:9" x14ac:dyDescent="0.35">
      <c r="A42" t="s">
        <v>746</v>
      </c>
      <c r="B42">
        <v>30</v>
      </c>
      <c r="H42" s="154"/>
      <c r="I42" s="154"/>
    </row>
    <row r="43" spans="1:9" x14ac:dyDescent="0.35">
      <c r="A43" t="s">
        <v>747</v>
      </c>
      <c r="B43">
        <v>90</v>
      </c>
      <c r="H43" s="154"/>
      <c r="I43" s="154"/>
    </row>
    <row r="44" spans="1:9" x14ac:dyDescent="0.35">
      <c r="A44" t="s">
        <v>748</v>
      </c>
      <c r="B44">
        <v>50</v>
      </c>
      <c r="H44" s="154"/>
      <c r="I44" s="154"/>
    </row>
    <row r="45" spans="1:9" x14ac:dyDescent="0.35">
      <c r="A45" t="s">
        <v>749</v>
      </c>
      <c r="B45">
        <v>50</v>
      </c>
      <c r="H45" s="154"/>
      <c r="I45" s="154"/>
    </row>
    <row r="46" spans="1:9" x14ac:dyDescent="0.35">
      <c r="A46" t="s">
        <v>750</v>
      </c>
      <c r="B46">
        <v>50</v>
      </c>
      <c r="H46" s="154"/>
      <c r="I46" s="154"/>
    </row>
    <row r="47" spans="1:9" x14ac:dyDescent="0.35">
      <c r="A47" t="s">
        <v>751</v>
      </c>
      <c r="B47">
        <v>40</v>
      </c>
      <c r="H47" s="154"/>
      <c r="I47" s="154"/>
    </row>
    <row r="48" spans="1:9" x14ac:dyDescent="0.35">
      <c r="A48" t="s">
        <v>752</v>
      </c>
      <c r="B48">
        <v>20</v>
      </c>
      <c r="H48" s="154"/>
      <c r="I48" s="154"/>
    </row>
    <row r="49" spans="1:9" x14ac:dyDescent="0.35">
      <c r="A49" t="s">
        <v>753</v>
      </c>
      <c r="B49">
        <v>40</v>
      </c>
      <c r="H49" s="154"/>
      <c r="I49" s="154"/>
    </row>
    <row r="50" spans="1:9" x14ac:dyDescent="0.35">
      <c r="A50" t="s">
        <v>754</v>
      </c>
      <c r="B50">
        <v>20</v>
      </c>
      <c r="H50" s="154"/>
      <c r="I50" s="154"/>
    </row>
    <row r="51" spans="1:9" x14ac:dyDescent="0.35">
      <c r="A51" t="s">
        <v>755</v>
      </c>
      <c r="B51">
        <v>0</v>
      </c>
      <c r="H51" s="154"/>
      <c r="I51" s="154"/>
    </row>
    <row r="52" spans="1:9" x14ac:dyDescent="0.35">
      <c r="A52" s="166" t="s">
        <v>756</v>
      </c>
      <c r="B52">
        <v>112</v>
      </c>
      <c r="H52" s="154"/>
      <c r="I52" s="154"/>
    </row>
    <row r="53" spans="1:9" x14ac:dyDescent="0.35">
      <c r="A53" t="s">
        <v>757</v>
      </c>
      <c r="B53">
        <v>142</v>
      </c>
      <c r="H53" s="154"/>
      <c r="I53" s="154"/>
    </row>
    <row r="54" spans="1:9" x14ac:dyDescent="0.35">
      <c r="A54" t="s">
        <v>758</v>
      </c>
      <c r="B54">
        <v>176</v>
      </c>
      <c r="H54" s="154"/>
      <c r="I54" s="154"/>
    </row>
    <row r="55" spans="1:9" x14ac:dyDescent="0.35">
      <c r="A55" t="s">
        <v>759</v>
      </c>
      <c r="B55">
        <v>214</v>
      </c>
      <c r="H55" s="154"/>
      <c r="I55" s="154"/>
    </row>
    <row r="56" spans="1:9" x14ac:dyDescent="0.35">
      <c r="A56" t="s">
        <v>760</v>
      </c>
      <c r="B56">
        <v>264</v>
      </c>
      <c r="H56" s="154"/>
      <c r="I56" s="154"/>
    </row>
    <row r="57" spans="1:9" x14ac:dyDescent="0.35">
      <c r="A57" t="s">
        <v>761</v>
      </c>
      <c r="B57">
        <v>326</v>
      </c>
      <c r="H57" s="154"/>
      <c r="I57" s="154"/>
    </row>
    <row r="58" spans="1:9" x14ac:dyDescent="0.35">
      <c r="A58" t="s">
        <v>762</v>
      </c>
      <c r="B58">
        <v>394</v>
      </c>
      <c r="H58" s="154"/>
    </row>
    <row r="59" spans="1:9" x14ac:dyDescent="0.35">
      <c r="A59" t="s">
        <v>763</v>
      </c>
      <c r="B59">
        <v>472</v>
      </c>
      <c r="H59" s="154"/>
      <c r="I59" s="154"/>
    </row>
    <row r="60" spans="1:9" x14ac:dyDescent="0.35">
      <c r="A60" t="s">
        <v>764</v>
      </c>
      <c r="B60">
        <v>554</v>
      </c>
      <c r="H60" s="154"/>
      <c r="I60" s="154"/>
    </row>
    <row r="61" spans="1:9" x14ac:dyDescent="0.35">
      <c r="A61" t="s">
        <v>765</v>
      </c>
      <c r="B61">
        <v>634</v>
      </c>
      <c r="H61" s="154"/>
      <c r="I61" s="154"/>
    </row>
    <row r="62" spans="1:9" x14ac:dyDescent="0.35">
      <c r="A62" t="s">
        <v>766</v>
      </c>
      <c r="B62">
        <v>714</v>
      </c>
      <c r="H62" s="154"/>
      <c r="I62" s="154"/>
    </row>
    <row r="63" spans="1:9" x14ac:dyDescent="0.35">
      <c r="A63" t="s">
        <v>767</v>
      </c>
      <c r="B63">
        <v>800</v>
      </c>
      <c r="H63" s="154"/>
      <c r="I63" s="154"/>
    </row>
    <row r="64" spans="1:9" x14ac:dyDescent="0.35">
      <c r="A64" t="s">
        <v>768</v>
      </c>
      <c r="B64">
        <v>876</v>
      </c>
      <c r="H64" s="154"/>
      <c r="I64" s="154"/>
    </row>
    <row r="65" spans="1:9" x14ac:dyDescent="0.35">
      <c r="A65" t="s">
        <v>769</v>
      </c>
      <c r="B65">
        <v>956</v>
      </c>
      <c r="H65" s="154"/>
      <c r="I65" s="154"/>
    </row>
    <row r="66" spans="1:9" x14ac:dyDescent="0.35">
      <c r="A66" t="s">
        <v>770</v>
      </c>
      <c r="B66">
        <v>1032</v>
      </c>
      <c r="H66" s="154"/>
      <c r="I66" s="154"/>
    </row>
    <row r="67" spans="1:9" x14ac:dyDescent="0.35">
      <c r="A67" t="s">
        <v>771</v>
      </c>
      <c r="B67">
        <v>1110</v>
      </c>
      <c r="H67" s="154"/>
      <c r="I67" s="154"/>
    </row>
    <row r="68" spans="1:9" x14ac:dyDescent="0.35">
      <c r="A68" t="s">
        <v>772</v>
      </c>
      <c r="B68">
        <v>1204</v>
      </c>
      <c r="H68" s="154"/>
      <c r="I68" s="154"/>
    </row>
    <row r="69" spans="1:9" x14ac:dyDescent="0.35">
      <c r="A69" t="s">
        <v>773</v>
      </c>
      <c r="B69">
        <v>1314</v>
      </c>
      <c r="H69" s="154"/>
      <c r="I69" s="154"/>
    </row>
    <row r="70" spans="1:9" x14ac:dyDescent="0.35">
      <c r="A70" t="s">
        <v>774</v>
      </c>
      <c r="B70">
        <v>1432</v>
      </c>
      <c r="H70" s="154"/>
      <c r="I70" s="154"/>
    </row>
    <row r="71" spans="1:9" x14ac:dyDescent="0.35">
      <c r="A71" t="s">
        <v>775</v>
      </c>
      <c r="B71">
        <v>1548</v>
      </c>
      <c r="H71" s="154"/>
      <c r="I71" s="154"/>
    </row>
    <row r="72" spans="1:9" x14ac:dyDescent="0.35">
      <c r="A72" t="s">
        <v>776</v>
      </c>
      <c r="B72">
        <v>1672</v>
      </c>
      <c r="H72" s="154"/>
      <c r="I72" s="154"/>
    </row>
    <row r="73" spans="1:9" x14ac:dyDescent="0.35">
      <c r="A73" t="s">
        <v>777</v>
      </c>
      <c r="B73">
        <v>1794</v>
      </c>
      <c r="H73" s="154"/>
      <c r="I73" s="154"/>
    </row>
    <row r="74" spans="1:9" x14ac:dyDescent="0.35">
      <c r="A74" t="s">
        <v>778</v>
      </c>
      <c r="B74">
        <v>1942</v>
      </c>
      <c r="H74" s="154"/>
      <c r="I74" s="154"/>
    </row>
    <row r="75" spans="1:9" x14ac:dyDescent="0.35">
      <c r="A75" t="s">
        <v>779</v>
      </c>
      <c r="B75">
        <v>2120</v>
      </c>
      <c r="H75" s="154"/>
    </row>
    <row r="76" spans="1:9" x14ac:dyDescent="0.35">
      <c r="A76" t="s">
        <v>780</v>
      </c>
      <c r="B76">
        <v>2276</v>
      </c>
      <c r="H76" s="154"/>
      <c r="I76" s="154"/>
    </row>
    <row r="77" spans="1:9" x14ac:dyDescent="0.35">
      <c r="A77" t="s">
        <v>781</v>
      </c>
      <c r="B77">
        <v>2432</v>
      </c>
      <c r="H77" s="154"/>
    </row>
    <row r="78" spans="1:9" x14ac:dyDescent="0.35">
      <c r="A78" t="s">
        <v>782</v>
      </c>
      <c r="B78">
        <v>2598</v>
      </c>
      <c r="H78" s="154"/>
      <c r="I78" s="154"/>
    </row>
    <row r="79" spans="1:9" x14ac:dyDescent="0.35">
      <c r="A79" t="s">
        <v>783</v>
      </c>
      <c r="B79">
        <v>4348</v>
      </c>
      <c r="H79" s="154"/>
      <c r="I79" s="154"/>
    </row>
    <row r="80" spans="1:9" x14ac:dyDescent="0.35">
      <c r="A80" t="s">
        <v>784</v>
      </c>
      <c r="B80">
        <v>6298</v>
      </c>
      <c r="H80" s="154"/>
      <c r="I80" s="154"/>
    </row>
    <row r="81" spans="1:9" x14ac:dyDescent="0.35">
      <c r="A81" t="s">
        <v>785</v>
      </c>
      <c r="B81">
        <v>14290</v>
      </c>
      <c r="H81" s="154"/>
      <c r="I81" s="154"/>
    </row>
    <row r="82" spans="1:9" x14ac:dyDescent="0.35">
      <c r="A82" t="s">
        <v>786</v>
      </c>
      <c r="B82">
        <v>14290</v>
      </c>
      <c r="H82" s="154"/>
      <c r="I82" s="154"/>
    </row>
    <row r="83" spans="1:9" x14ac:dyDescent="0.35">
      <c r="A83" t="s">
        <v>787</v>
      </c>
      <c r="B83">
        <v>14290</v>
      </c>
      <c r="H83" s="154"/>
      <c r="I83" s="154"/>
    </row>
    <row r="84" spans="1:9" x14ac:dyDescent="0.35">
      <c r="A84" t="s">
        <v>788</v>
      </c>
      <c r="B84">
        <v>4</v>
      </c>
      <c r="H84" s="154"/>
    </row>
    <row r="85" spans="1:9" x14ac:dyDescent="0.35">
      <c r="A85" t="s">
        <v>789</v>
      </c>
      <c r="B85">
        <v>5</v>
      </c>
      <c r="H85" s="154"/>
      <c r="I85" s="154"/>
    </row>
    <row r="86" spans="1:9" x14ac:dyDescent="0.35">
      <c r="A86" t="s">
        <v>790</v>
      </c>
      <c r="B86">
        <v>6</v>
      </c>
      <c r="H86" s="154"/>
      <c r="I86" s="154"/>
    </row>
    <row r="87" spans="1:9" x14ac:dyDescent="0.35">
      <c r="A87" t="s">
        <v>791</v>
      </c>
      <c r="B87">
        <v>7</v>
      </c>
      <c r="H87" s="154"/>
    </row>
    <row r="88" spans="1:9" x14ac:dyDescent="0.35">
      <c r="A88" t="s">
        <v>792</v>
      </c>
      <c r="B88">
        <v>8</v>
      </c>
      <c r="H88" s="154"/>
      <c r="I88" s="154"/>
    </row>
    <row r="89" spans="1:9" x14ac:dyDescent="0.35">
      <c r="A89" t="s">
        <v>793</v>
      </c>
      <c r="B89">
        <v>9</v>
      </c>
      <c r="H89" s="154"/>
      <c r="I89" s="154"/>
    </row>
    <row r="90" spans="1:9" x14ac:dyDescent="0.35">
      <c r="A90" t="s">
        <v>794</v>
      </c>
      <c r="B90">
        <v>10</v>
      </c>
      <c r="H90" s="154"/>
      <c r="I90" s="154"/>
    </row>
    <row r="91" spans="1:9" x14ac:dyDescent="0.35">
      <c r="A91" t="s">
        <v>795</v>
      </c>
      <c r="B91">
        <v>11</v>
      </c>
      <c r="H91" s="154"/>
      <c r="I91" s="154"/>
    </row>
    <row r="92" spans="1:9" x14ac:dyDescent="0.35">
      <c r="A92" t="s">
        <v>796</v>
      </c>
      <c r="B92">
        <v>12</v>
      </c>
      <c r="H92" s="154"/>
      <c r="I92" s="154"/>
    </row>
    <row r="93" spans="1:9" x14ac:dyDescent="0.35">
      <c r="A93" t="s">
        <v>797</v>
      </c>
      <c r="B93">
        <v>13</v>
      </c>
      <c r="H93" s="154"/>
      <c r="I93" s="154"/>
    </row>
    <row r="94" spans="1:9" x14ac:dyDescent="0.35">
      <c r="A94" t="s">
        <v>798</v>
      </c>
      <c r="B94">
        <v>14</v>
      </c>
      <c r="H94" s="154"/>
      <c r="I94" s="154"/>
    </row>
    <row r="95" spans="1:9" x14ac:dyDescent="0.35">
      <c r="A95" t="s">
        <v>799</v>
      </c>
      <c r="B95">
        <v>15</v>
      </c>
      <c r="H95" s="154"/>
      <c r="I95" s="154"/>
    </row>
    <row r="96" spans="1:9" x14ac:dyDescent="0.35">
      <c r="A96" t="s">
        <v>800</v>
      </c>
      <c r="B96">
        <v>16</v>
      </c>
      <c r="H96" s="154"/>
      <c r="I96" s="154"/>
    </row>
    <row r="97" spans="1:9" x14ac:dyDescent="0.35">
      <c r="A97" t="s">
        <v>801</v>
      </c>
      <c r="B97">
        <v>17</v>
      </c>
      <c r="H97" s="154"/>
      <c r="I97" s="154"/>
    </row>
    <row r="98" spans="1:9" x14ac:dyDescent="0.35">
      <c r="A98" t="s">
        <v>802</v>
      </c>
      <c r="B98">
        <v>18</v>
      </c>
      <c r="H98" s="154"/>
      <c r="I98" s="154"/>
    </row>
    <row r="99" spans="1:9" x14ac:dyDescent="0.35">
      <c r="A99" t="s">
        <v>803</v>
      </c>
      <c r="B99">
        <v>19</v>
      </c>
      <c r="H99" s="154"/>
      <c r="I99" s="154"/>
    </row>
    <row r="100" spans="1:9" x14ac:dyDescent="0.35">
      <c r="A100" t="s">
        <v>804</v>
      </c>
      <c r="B100">
        <v>20</v>
      </c>
      <c r="H100" s="154"/>
      <c r="I100" s="154"/>
    </row>
    <row r="101" spans="1:9" x14ac:dyDescent="0.35">
      <c r="A101" t="s">
        <v>805</v>
      </c>
      <c r="B101">
        <v>21</v>
      </c>
      <c r="H101" s="154"/>
      <c r="I101" s="154"/>
    </row>
    <row r="102" spans="1:9" x14ac:dyDescent="0.35">
      <c r="A102" t="s">
        <v>806</v>
      </c>
      <c r="B102">
        <v>22</v>
      </c>
      <c r="H102" s="154"/>
      <c r="I102" s="154"/>
    </row>
    <row r="103" spans="1:9" x14ac:dyDescent="0.35">
      <c r="A103" t="s">
        <v>807</v>
      </c>
      <c r="B103">
        <v>23</v>
      </c>
      <c r="H103" s="154"/>
      <c r="I103" s="154"/>
    </row>
    <row r="104" spans="1:9" x14ac:dyDescent="0.35">
      <c r="A104" t="s">
        <v>808</v>
      </c>
      <c r="B104">
        <v>24</v>
      </c>
      <c r="H104" s="154"/>
      <c r="I104" s="154"/>
    </row>
    <row r="105" spans="1:9" x14ac:dyDescent="0.35">
      <c r="A105" t="s">
        <v>809</v>
      </c>
      <c r="B105">
        <v>25</v>
      </c>
      <c r="H105" s="154"/>
      <c r="I105" s="154"/>
    </row>
    <row r="106" spans="1:9" x14ac:dyDescent="0.35">
      <c r="A106" t="s">
        <v>810</v>
      </c>
      <c r="B106">
        <v>26</v>
      </c>
      <c r="H106" s="154"/>
      <c r="I106" s="154"/>
    </row>
    <row r="107" spans="1:9" x14ac:dyDescent="0.35">
      <c r="A107" t="s">
        <v>811</v>
      </c>
      <c r="B107">
        <v>27</v>
      </c>
      <c r="H107" s="154"/>
      <c r="I107" s="154"/>
    </row>
    <row r="108" spans="1:9" x14ac:dyDescent="0.35">
      <c r="A108" t="s">
        <v>812</v>
      </c>
      <c r="B108">
        <v>28</v>
      </c>
      <c r="H108" s="154"/>
      <c r="I108" s="154"/>
    </row>
    <row r="109" spans="1:9" x14ac:dyDescent="0.35">
      <c r="A109" t="s">
        <v>813</v>
      </c>
      <c r="B109">
        <v>29</v>
      </c>
      <c r="H109" s="154"/>
      <c r="I109" s="154"/>
    </row>
    <row r="110" spans="1:9" x14ac:dyDescent="0.35">
      <c r="A110" t="s">
        <v>814</v>
      </c>
      <c r="B110">
        <v>30</v>
      </c>
      <c r="H110" s="154"/>
      <c r="I110" s="154"/>
    </row>
    <row r="111" spans="1:9" x14ac:dyDescent="0.35">
      <c r="A111" t="s">
        <v>815</v>
      </c>
      <c r="B111">
        <v>38</v>
      </c>
      <c r="H111" s="154"/>
      <c r="I111" s="154"/>
    </row>
    <row r="112" spans="1:9" x14ac:dyDescent="0.35">
      <c r="A112" t="s">
        <v>816</v>
      </c>
      <c r="B112">
        <v>50</v>
      </c>
      <c r="H112" s="154"/>
      <c r="I112" s="154"/>
    </row>
    <row r="113" spans="1:9" x14ac:dyDescent="0.35">
      <c r="A113" t="s">
        <v>817</v>
      </c>
      <c r="B113">
        <v>70</v>
      </c>
      <c r="H113" s="154"/>
      <c r="I113" s="154"/>
    </row>
    <row r="114" spans="1:9" x14ac:dyDescent="0.35">
      <c r="A114" t="s">
        <v>818</v>
      </c>
      <c r="B114">
        <v>70</v>
      </c>
      <c r="H114" s="154"/>
      <c r="I114" s="154"/>
    </row>
    <row r="115" spans="1:9" x14ac:dyDescent="0.35">
      <c r="A115" t="s">
        <v>819</v>
      </c>
      <c r="B115">
        <v>70</v>
      </c>
      <c r="H115" s="154"/>
      <c r="I115" s="154"/>
    </row>
    <row r="116" spans="1:9" x14ac:dyDescent="0.35">
      <c r="A116" t="s">
        <v>820</v>
      </c>
      <c r="H116" s="154"/>
      <c r="I116" s="154"/>
    </row>
    <row r="117" spans="1:9" x14ac:dyDescent="0.35">
      <c r="A117" t="s">
        <v>821</v>
      </c>
      <c r="B117">
        <v>1047870</v>
      </c>
      <c r="H117" s="154"/>
      <c r="I117" s="154"/>
    </row>
    <row r="118" spans="1:9" x14ac:dyDescent="0.35">
      <c r="A118" t="s">
        <v>822</v>
      </c>
      <c r="B118">
        <v>431351</v>
      </c>
      <c r="H118" s="154"/>
      <c r="I118" s="154"/>
    </row>
    <row r="119" spans="1:9" x14ac:dyDescent="0.35">
      <c r="A119" t="s">
        <v>823</v>
      </c>
      <c r="B119">
        <v>32014</v>
      </c>
      <c r="H119" s="154"/>
      <c r="I119" s="154"/>
    </row>
    <row r="120" spans="1:9" x14ac:dyDescent="0.35">
      <c r="A120" t="s">
        <v>824</v>
      </c>
      <c r="B120">
        <v>9858</v>
      </c>
      <c r="H120" s="154"/>
      <c r="I120" s="154"/>
    </row>
    <row r="121" spans="1:9" x14ac:dyDescent="0.35">
      <c r="A121" t="s">
        <v>825</v>
      </c>
      <c r="B121">
        <v>5300</v>
      </c>
      <c r="H121" s="154"/>
      <c r="I121" s="154"/>
    </row>
    <row r="122" spans="1:9" x14ac:dyDescent="0.35">
      <c r="A122" t="s">
        <v>826</v>
      </c>
      <c r="B122">
        <v>1181</v>
      </c>
      <c r="H122" s="154"/>
      <c r="I122" s="154"/>
    </row>
    <row r="123" spans="1:9" x14ac:dyDescent="0.35">
      <c r="A123" t="s">
        <v>827</v>
      </c>
      <c r="B123">
        <v>637</v>
      </c>
      <c r="H123" s="154"/>
      <c r="I123" s="154"/>
    </row>
    <row r="124" spans="1:9" x14ac:dyDescent="0.35">
      <c r="A124" t="s">
        <v>828</v>
      </c>
      <c r="B124">
        <v>139</v>
      </c>
      <c r="H124" s="154"/>
      <c r="I124" s="154"/>
    </row>
    <row r="125" spans="1:9" x14ac:dyDescent="0.35">
      <c r="A125" t="s">
        <v>829</v>
      </c>
      <c r="B125">
        <v>1047870</v>
      </c>
      <c r="H125" s="154"/>
      <c r="I125" s="154"/>
    </row>
    <row r="126" spans="1:9" x14ac:dyDescent="0.35">
      <c r="A126" t="s">
        <v>830</v>
      </c>
      <c r="B126">
        <v>431351</v>
      </c>
      <c r="H126" s="154"/>
      <c r="I126" s="154"/>
    </row>
    <row r="127" spans="1:9" x14ac:dyDescent="0.35">
      <c r="A127" t="s">
        <v>831</v>
      </c>
      <c r="B127">
        <v>32014</v>
      </c>
      <c r="H127" s="154"/>
      <c r="I127" s="154"/>
    </row>
    <row r="128" spans="1:9" x14ac:dyDescent="0.35">
      <c r="A128" t="s">
        <v>832</v>
      </c>
      <c r="B128">
        <v>9858</v>
      </c>
      <c r="H128" s="154"/>
      <c r="I128" s="154"/>
    </row>
    <row r="129" spans="1:9" x14ac:dyDescent="0.35">
      <c r="A129" t="s">
        <v>833</v>
      </c>
      <c r="B129">
        <v>5300</v>
      </c>
      <c r="H129" s="154"/>
      <c r="I129" s="154"/>
    </row>
    <row r="130" spans="1:9" x14ac:dyDescent="0.35">
      <c r="A130" t="s">
        <v>834</v>
      </c>
      <c r="B130">
        <v>1181</v>
      </c>
      <c r="H130" s="154"/>
      <c r="I130" s="155"/>
    </row>
    <row r="131" spans="1:9" x14ac:dyDescent="0.35">
      <c r="A131" t="s">
        <v>835</v>
      </c>
      <c r="B131">
        <v>637</v>
      </c>
      <c r="H131" s="154"/>
      <c r="I131" s="154"/>
    </row>
    <row r="132" spans="1:9" x14ac:dyDescent="0.35">
      <c r="A132" t="s">
        <v>836</v>
      </c>
      <c r="B132">
        <v>139</v>
      </c>
      <c r="H132" s="154"/>
      <c r="I132" s="154"/>
    </row>
    <row r="133" spans="1:9" x14ac:dyDescent="0.35">
      <c r="A133" t="s">
        <v>837</v>
      </c>
      <c r="B133">
        <v>1047870</v>
      </c>
      <c r="H133" s="154"/>
      <c r="I133" s="154"/>
    </row>
    <row r="134" spans="1:9" x14ac:dyDescent="0.35">
      <c r="A134" t="s">
        <v>838</v>
      </c>
      <c r="B134">
        <v>431351</v>
      </c>
      <c r="H134" s="154"/>
      <c r="I134" s="154"/>
    </row>
    <row r="135" spans="1:9" x14ac:dyDescent="0.35">
      <c r="A135" t="s">
        <v>839</v>
      </c>
      <c r="B135">
        <v>32014</v>
      </c>
      <c r="H135" s="154"/>
      <c r="I135" s="154"/>
    </row>
    <row r="136" spans="1:9" x14ac:dyDescent="0.35">
      <c r="A136" t="s">
        <v>840</v>
      </c>
      <c r="B136">
        <v>9858</v>
      </c>
      <c r="H136" s="154"/>
      <c r="I136" s="154"/>
    </row>
    <row r="137" spans="1:9" x14ac:dyDescent="0.35">
      <c r="A137" t="s">
        <v>841</v>
      </c>
      <c r="B137">
        <v>5300</v>
      </c>
      <c r="H137" s="154"/>
      <c r="I137" s="154"/>
    </row>
    <row r="138" spans="1:9" x14ac:dyDescent="0.35">
      <c r="A138" t="s">
        <v>842</v>
      </c>
      <c r="B138">
        <v>1181</v>
      </c>
      <c r="H138" s="154"/>
      <c r="I138" s="154"/>
    </row>
    <row r="139" spans="1:9" x14ac:dyDescent="0.35">
      <c r="A139" t="s">
        <v>843</v>
      </c>
      <c r="B139">
        <v>637</v>
      </c>
      <c r="H139" s="154"/>
      <c r="I139" s="154"/>
    </row>
    <row r="140" spans="1:9" x14ac:dyDescent="0.35">
      <c r="A140" t="s">
        <v>844</v>
      </c>
      <c r="B140">
        <v>139</v>
      </c>
      <c r="H140" s="154"/>
      <c r="I140" s="154"/>
    </row>
    <row r="141" spans="1:9" x14ac:dyDescent="0.35">
      <c r="A141" t="s">
        <v>845</v>
      </c>
      <c r="B141">
        <v>1037710</v>
      </c>
      <c r="H141" s="154"/>
      <c r="I141" s="154"/>
    </row>
    <row r="142" spans="1:9" x14ac:dyDescent="0.35">
      <c r="A142" t="s">
        <v>846</v>
      </c>
      <c r="B142">
        <v>432580</v>
      </c>
      <c r="H142" s="154"/>
      <c r="I142" s="154"/>
    </row>
    <row r="143" spans="1:9" x14ac:dyDescent="0.35">
      <c r="A143" t="s">
        <v>847</v>
      </c>
      <c r="B143">
        <v>31970</v>
      </c>
      <c r="H143" s="154"/>
      <c r="I143" s="154"/>
    </row>
    <row r="144" spans="1:9" x14ac:dyDescent="0.35">
      <c r="A144" t="s">
        <v>848</v>
      </c>
      <c r="B144">
        <v>9870</v>
      </c>
      <c r="H144" s="154"/>
      <c r="I144" s="157"/>
    </row>
    <row r="145" spans="1:2" x14ac:dyDescent="0.35">
      <c r="A145" t="s">
        <v>849</v>
      </c>
      <c r="B145">
        <v>5300</v>
      </c>
    </row>
    <row r="146" spans="1:2" x14ac:dyDescent="0.35">
      <c r="A146" t="s">
        <v>850</v>
      </c>
      <c r="B146">
        <v>1180</v>
      </c>
    </row>
    <row r="147" spans="1:2" x14ac:dyDescent="0.35">
      <c r="A147" t="s">
        <v>851</v>
      </c>
      <c r="B147">
        <v>640</v>
      </c>
    </row>
    <row r="148" spans="1:2" x14ac:dyDescent="0.35">
      <c r="A148" t="s">
        <v>852</v>
      </c>
      <c r="B148">
        <v>140</v>
      </c>
    </row>
    <row r="149" spans="1:2" x14ac:dyDescent="0.35">
      <c r="A149" s="166" t="s">
        <v>853</v>
      </c>
      <c r="B149">
        <v>10478.700000000001</v>
      </c>
    </row>
    <row r="150" spans="1:2" x14ac:dyDescent="0.35">
      <c r="A150" t="s">
        <v>854</v>
      </c>
      <c r="B150">
        <v>6497.56</v>
      </c>
    </row>
    <row r="151" spans="1:2" x14ac:dyDescent="0.35">
      <c r="A151" t="s">
        <v>855</v>
      </c>
      <c r="B151">
        <v>4313.5200000000004</v>
      </c>
    </row>
    <row r="152" spans="1:2" x14ac:dyDescent="0.35">
      <c r="A152" t="s">
        <v>856</v>
      </c>
      <c r="B152">
        <v>2992.66</v>
      </c>
    </row>
    <row r="153" spans="1:2" x14ac:dyDescent="0.35">
      <c r="A153" t="s">
        <v>857</v>
      </c>
      <c r="B153">
        <v>2029.03</v>
      </c>
    </row>
    <row r="154" spans="1:2" x14ac:dyDescent="0.35">
      <c r="A154" t="s">
        <v>858</v>
      </c>
      <c r="B154">
        <v>1375.07</v>
      </c>
    </row>
    <row r="155" spans="1:2" x14ac:dyDescent="0.35">
      <c r="A155" t="s">
        <v>859</v>
      </c>
      <c r="B155">
        <v>969.48099999999999</v>
      </c>
    </row>
    <row r="156" spans="1:2" x14ac:dyDescent="0.35">
      <c r="A156" t="s">
        <v>860</v>
      </c>
      <c r="B156">
        <v>694.05</v>
      </c>
    </row>
    <row r="157" spans="1:2" x14ac:dyDescent="0.35">
      <c r="A157" t="s">
        <v>861</v>
      </c>
      <c r="B157">
        <v>515.35400000000004</v>
      </c>
    </row>
    <row r="158" spans="1:2" x14ac:dyDescent="0.35">
      <c r="A158" t="s">
        <v>862</v>
      </c>
      <c r="B158">
        <v>400.43099999999998</v>
      </c>
    </row>
    <row r="159" spans="1:2" x14ac:dyDescent="0.35">
      <c r="A159" t="s">
        <v>863</v>
      </c>
      <c r="B159">
        <v>320.14800000000002</v>
      </c>
    </row>
    <row r="160" spans="1:2" x14ac:dyDescent="0.35">
      <c r="A160" t="s">
        <v>864</v>
      </c>
      <c r="B160">
        <v>258.11099999999999</v>
      </c>
    </row>
    <row r="161" spans="1:2" x14ac:dyDescent="0.35">
      <c r="A161" t="s">
        <v>865</v>
      </c>
      <c r="B161">
        <v>216.98500000000001</v>
      </c>
    </row>
    <row r="162" spans="1:2" x14ac:dyDescent="0.35">
      <c r="A162" t="s">
        <v>866</v>
      </c>
      <c r="B162">
        <v>183.505</v>
      </c>
    </row>
    <row r="163" spans="1:2" x14ac:dyDescent="0.35">
      <c r="A163" t="s">
        <v>867</v>
      </c>
      <c r="B163">
        <v>158.13399999999999</v>
      </c>
    </row>
    <row r="164" spans="1:2" x14ac:dyDescent="0.35">
      <c r="A164" t="s">
        <v>868</v>
      </c>
      <c r="B164">
        <v>137.28100000000001</v>
      </c>
    </row>
    <row r="165" spans="1:2" x14ac:dyDescent="0.35">
      <c r="A165" t="s">
        <v>869</v>
      </c>
      <c r="B165">
        <v>117.123</v>
      </c>
    </row>
    <row r="166" spans="1:2" x14ac:dyDescent="0.35">
      <c r="A166" t="s">
        <v>870</v>
      </c>
      <c r="B166">
        <v>98.587299999999999</v>
      </c>
    </row>
    <row r="167" spans="1:2" x14ac:dyDescent="0.35">
      <c r="A167" t="s">
        <v>871</v>
      </c>
      <c r="B167">
        <v>83.179500000000004</v>
      </c>
    </row>
    <row r="168" spans="1:2" x14ac:dyDescent="0.35">
      <c r="A168" t="s">
        <v>872</v>
      </c>
      <c r="B168">
        <v>71.189099999999996</v>
      </c>
    </row>
    <row r="169" spans="1:2" x14ac:dyDescent="0.35">
      <c r="A169" t="s">
        <v>873</v>
      </c>
      <c r="B169">
        <v>61.052300000000002</v>
      </c>
    </row>
    <row r="170" spans="1:2" x14ac:dyDescent="0.35">
      <c r="A170" t="s">
        <v>874</v>
      </c>
      <c r="B170">
        <v>53.000799999999998</v>
      </c>
    </row>
    <row r="171" spans="1:2" x14ac:dyDescent="0.35">
      <c r="A171" t="s">
        <v>875</v>
      </c>
      <c r="B171">
        <v>45.296900000000001</v>
      </c>
    </row>
    <row r="172" spans="1:2" x14ac:dyDescent="0.35">
      <c r="A172" t="s">
        <v>876</v>
      </c>
      <c r="B172">
        <v>38.172199999999997</v>
      </c>
    </row>
    <row r="173" spans="1:2" x14ac:dyDescent="0.35">
      <c r="A173" t="s">
        <v>877</v>
      </c>
      <c r="B173">
        <v>33.1907</v>
      </c>
    </row>
    <row r="174" spans="1:2" x14ac:dyDescent="0.35">
      <c r="A174" t="s">
        <v>878</v>
      </c>
      <c r="B174">
        <v>29.599399999999999</v>
      </c>
    </row>
    <row r="175" spans="1:2" x14ac:dyDescent="0.35">
      <c r="A175" t="s">
        <v>879</v>
      </c>
      <c r="B175">
        <v>26.065999999999999</v>
      </c>
    </row>
    <row r="176" spans="1:2" x14ac:dyDescent="0.35">
      <c r="A176" t="s">
        <v>880</v>
      </c>
      <c r="B176">
        <v>11.816599999999999</v>
      </c>
    </row>
    <row r="177" spans="1:2" x14ac:dyDescent="0.35">
      <c r="A177" t="s">
        <v>881</v>
      </c>
      <c r="B177">
        <v>6.3716900000000001</v>
      </c>
    </row>
    <row r="178" spans="1:2" x14ac:dyDescent="0.35">
      <c r="A178" t="s">
        <v>882</v>
      </c>
      <c r="B178">
        <v>1.39019</v>
      </c>
    </row>
    <row r="179" spans="1:2" x14ac:dyDescent="0.35">
      <c r="A179" t="s">
        <v>883</v>
      </c>
      <c r="B179">
        <v>1.39019</v>
      </c>
    </row>
    <row r="180" spans="1:2" x14ac:dyDescent="0.35">
      <c r="A180" t="s">
        <v>884</v>
      </c>
      <c r="B180">
        <v>1.39019</v>
      </c>
    </row>
    <row r="181" spans="1:2" x14ac:dyDescent="0.35">
      <c r="A181" t="s">
        <v>885</v>
      </c>
      <c r="B181">
        <v>10478.700000000001</v>
      </c>
    </row>
    <row r="182" spans="1:2" x14ac:dyDescent="0.35">
      <c r="A182" t="s">
        <v>886</v>
      </c>
      <c r="B182">
        <v>6497.56</v>
      </c>
    </row>
    <row r="183" spans="1:2" x14ac:dyDescent="0.35">
      <c r="A183" t="s">
        <v>887</v>
      </c>
      <c r="B183">
        <v>4313.5200000000004</v>
      </c>
    </row>
    <row r="184" spans="1:2" x14ac:dyDescent="0.35">
      <c r="A184" t="s">
        <v>888</v>
      </c>
      <c r="B184">
        <v>2992.66</v>
      </c>
    </row>
    <row r="185" spans="1:2" x14ac:dyDescent="0.35">
      <c r="A185" t="s">
        <v>889</v>
      </c>
      <c r="B185">
        <v>2029.03</v>
      </c>
    </row>
    <row r="186" spans="1:2" x14ac:dyDescent="0.35">
      <c r="A186" t="s">
        <v>890</v>
      </c>
      <c r="B186">
        <v>1375.07</v>
      </c>
    </row>
    <row r="187" spans="1:2" x14ac:dyDescent="0.35">
      <c r="A187" t="s">
        <v>891</v>
      </c>
      <c r="B187">
        <v>969.48099999999999</v>
      </c>
    </row>
    <row r="188" spans="1:2" x14ac:dyDescent="0.35">
      <c r="A188" t="s">
        <v>892</v>
      </c>
      <c r="B188">
        <v>694.05</v>
      </c>
    </row>
    <row r="189" spans="1:2" x14ac:dyDescent="0.35">
      <c r="A189" t="s">
        <v>893</v>
      </c>
      <c r="B189">
        <v>515.35400000000004</v>
      </c>
    </row>
    <row r="190" spans="1:2" x14ac:dyDescent="0.35">
      <c r="A190" t="s">
        <v>894</v>
      </c>
      <c r="B190">
        <v>400.43099999999998</v>
      </c>
    </row>
    <row r="191" spans="1:2" x14ac:dyDescent="0.35">
      <c r="A191" t="s">
        <v>895</v>
      </c>
      <c r="B191">
        <v>320.14800000000002</v>
      </c>
    </row>
    <row r="192" spans="1:2" x14ac:dyDescent="0.35">
      <c r="A192" t="s">
        <v>896</v>
      </c>
      <c r="B192">
        <v>258.11099999999999</v>
      </c>
    </row>
    <row r="193" spans="1:2" x14ac:dyDescent="0.35">
      <c r="A193" t="s">
        <v>897</v>
      </c>
      <c r="B193">
        <v>216.98500000000001</v>
      </c>
    </row>
    <row r="194" spans="1:2" x14ac:dyDescent="0.35">
      <c r="A194" t="s">
        <v>898</v>
      </c>
      <c r="B194">
        <v>183.505</v>
      </c>
    </row>
    <row r="195" spans="1:2" x14ac:dyDescent="0.35">
      <c r="A195" t="s">
        <v>899</v>
      </c>
      <c r="B195">
        <v>158.13399999999999</v>
      </c>
    </row>
    <row r="196" spans="1:2" x14ac:dyDescent="0.35">
      <c r="A196" t="s">
        <v>900</v>
      </c>
      <c r="B196">
        <v>137.28100000000001</v>
      </c>
    </row>
    <row r="197" spans="1:2" x14ac:dyDescent="0.35">
      <c r="A197" t="s">
        <v>901</v>
      </c>
      <c r="B197">
        <v>117.123</v>
      </c>
    </row>
    <row r="198" spans="1:2" x14ac:dyDescent="0.35">
      <c r="A198" t="s">
        <v>902</v>
      </c>
      <c r="B198">
        <v>98.587299999999999</v>
      </c>
    </row>
    <row r="199" spans="1:2" x14ac:dyDescent="0.35">
      <c r="A199" t="s">
        <v>903</v>
      </c>
      <c r="B199">
        <v>83.179500000000004</v>
      </c>
    </row>
    <row r="200" spans="1:2" x14ac:dyDescent="0.35">
      <c r="A200" t="s">
        <v>904</v>
      </c>
      <c r="B200">
        <v>71.189099999999996</v>
      </c>
    </row>
    <row r="201" spans="1:2" x14ac:dyDescent="0.35">
      <c r="A201" t="s">
        <v>905</v>
      </c>
      <c r="B201">
        <v>61.052300000000002</v>
      </c>
    </row>
    <row r="202" spans="1:2" x14ac:dyDescent="0.35">
      <c r="A202" t="s">
        <v>906</v>
      </c>
      <c r="B202">
        <v>53.000799999999998</v>
      </c>
    </row>
    <row r="203" spans="1:2" x14ac:dyDescent="0.35">
      <c r="A203" t="s">
        <v>907</v>
      </c>
      <c r="B203">
        <v>45.296900000000001</v>
      </c>
    </row>
    <row r="204" spans="1:2" x14ac:dyDescent="0.35">
      <c r="A204" t="s">
        <v>908</v>
      </c>
      <c r="B204">
        <v>38.172199999999997</v>
      </c>
    </row>
    <row r="205" spans="1:2" x14ac:dyDescent="0.35">
      <c r="A205" t="s">
        <v>909</v>
      </c>
      <c r="B205">
        <v>33.1907</v>
      </c>
    </row>
    <row r="206" spans="1:2" x14ac:dyDescent="0.35">
      <c r="A206" t="s">
        <v>910</v>
      </c>
      <c r="B206">
        <v>29.599399999999999</v>
      </c>
    </row>
    <row r="207" spans="1:2" x14ac:dyDescent="0.35">
      <c r="A207" t="s">
        <v>911</v>
      </c>
      <c r="B207">
        <v>26.065999999999999</v>
      </c>
    </row>
    <row r="208" spans="1:2" x14ac:dyDescent="0.35">
      <c r="A208" t="s">
        <v>912</v>
      </c>
      <c r="B208">
        <v>11.816599999999999</v>
      </c>
    </row>
    <row r="209" spans="1:2" x14ac:dyDescent="0.35">
      <c r="A209" t="s">
        <v>913</v>
      </c>
      <c r="B209">
        <v>6.3716900000000001</v>
      </c>
    </row>
    <row r="210" spans="1:2" x14ac:dyDescent="0.35">
      <c r="A210" t="s">
        <v>914</v>
      </c>
      <c r="B210">
        <v>1.39019</v>
      </c>
    </row>
    <row r="211" spans="1:2" x14ac:dyDescent="0.35">
      <c r="A211" t="s">
        <v>915</v>
      </c>
      <c r="B211">
        <v>1.39019</v>
      </c>
    </row>
    <row r="212" spans="1:2" x14ac:dyDescent="0.35">
      <c r="A212" t="s">
        <v>916</v>
      </c>
      <c r="B212">
        <v>1.39019</v>
      </c>
    </row>
    <row r="213" spans="1:2" x14ac:dyDescent="0.35">
      <c r="A213" t="s">
        <v>917</v>
      </c>
      <c r="B213">
        <v>10478.700000000001</v>
      </c>
    </row>
    <row r="214" spans="1:2" x14ac:dyDescent="0.35">
      <c r="A214" t="s">
        <v>918</v>
      </c>
      <c r="B214">
        <v>6497.56</v>
      </c>
    </row>
    <row r="215" spans="1:2" x14ac:dyDescent="0.35">
      <c r="A215" t="s">
        <v>919</v>
      </c>
      <c r="B215">
        <v>4313.5200000000004</v>
      </c>
    </row>
    <row r="216" spans="1:2" x14ac:dyDescent="0.35">
      <c r="A216" t="s">
        <v>920</v>
      </c>
      <c r="B216">
        <v>2992.66</v>
      </c>
    </row>
    <row r="217" spans="1:2" x14ac:dyDescent="0.35">
      <c r="A217" t="s">
        <v>921</v>
      </c>
      <c r="B217">
        <v>2029.03</v>
      </c>
    </row>
    <row r="218" spans="1:2" x14ac:dyDescent="0.35">
      <c r="A218" t="s">
        <v>922</v>
      </c>
      <c r="B218">
        <v>1375.07</v>
      </c>
    </row>
    <row r="219" spans="1:2" x14ac:dyDescent="0.35">
      <c r="A219" t="s">
        <v>923</v>
      </c>
      <c r="B219">
        <v>969.48099999999999</v>
      </c>
    </row>
    <row r="220" spans="1:2" x14ac:dyDescent="0.35">
      <c r="A220" t="s">
        <v>924</v>
      </c>
      <c r="B220">
        <v>694.05</v>
      </c>
    </row>
    <row r="221" spans="1:2" x14ac:dyDescent="0.35">
      <c r="A221" t="s">
        <v>925</v>
      </c>
      <c r="B221">
        <v>515.35400000000004</v>
      </c>
    </row>
    <row r="222" spans="1:2" x14ac:dyDescent="0.35">
      <c r="A222" t="s">
        <v>926</v>
      </c>
      <c r="B222">
        <v>400.43099999999998</v>
      </c>
    </row>
    <row r="223" spans="1:2" x14ac:dyDescent="0.35">
      <c r="A223" t="s">
        <v>927</v>
      </c>
      <c r="B223">
        <v>320.14800000000002</v>
      </c>
    </row>
    <row r="224" spans="1:2" x14ac:dyDescent="0.35">
      <c r="A224" t="s">
        <v>928</v>
      </c>
      <c r="B224">
        <v>258.11099999999999</v>
      </c>
    </row>
    <row r="225" spans="1:2" x14ac:dyDescent="0.35">
      <c r="A225" t="s">
        <v>929</v>
      </c>
      <c r="B225">
        <v>216.98500000000001</v>
      </c>
    </row>
    <row r="226" spans="1:2" x14ac:dyDescent="0.35">
      <c r="A226" t="s">
        <v>930</v>
      </c>
      <c r="B226">
        <v>183.505</v>
      </c>
    </row>
    <row r="227" spans="1:2" x14ac:dyDescent="0.35">
      <c r="A227" t="s">
        <v>931</v>
      </c>
      <c r="B227">
        <v>158.13399999999999</v>
      </c>
    </row>
    <row r="228" spans="1:2" x14ac:dyDescent="0.35">
      <c r="A228" t="s">
        <v>932</v>
      </c>
      <c r="B228">
        <v>137.28100000000001</v>
      </c>
    </row>
    <row r="229" spans="1:2" x14ac:dyDescent="0.35">
      <c r="A229" t="s">
        <v>933</v>
      </c>
      <c r="B229">
        <v>117.123</v>
      </c>
    </row>
    <row r="230" spans="1:2" x14ac:dyDescent="0.35">
      <c r="A230" t="s">
        <v>934</v>
      </c>
      <c r="B230">
        <v>98.587299999999999</v>
      </c>
    </row>
    <row r="231" spans="1:2" x14ac:dyDescent="0.35">
      <c r="A231" t="s">
        <v>935</v>
      </c>
      <c r="B231">
        <v>83.179500000000004</v>
      </c>
    </row>
    <row r="232" spans="1:2" x14ac:dyDescent="0.35">
      <c r="A232" t="s">
        <v>936</v>
      </c>
      <c r="B232">
        <v>71.189099999999996</v>
      </c>
    </row>
    <row r="233" spans="1:2" x14ac:dyDescent="0.35">
      <c r="A233" t="s">
        <v>937</v>
      </c>
      <c r="B233">
        <v>61.052300000000002</v>
      </c>
    </row>
    <row r="234" spans="1:2" x14ac:dyDescent="0.35">
      <c r="A234" t="s">
        <v>938</v>
      </c>
      <c r="B234">
        <v>53.000799999999998</v>
      </c>
    </row>
    <row r="235" spans="1:2" x14ac:dyDescent="0.35">
      <c r="A235" t="s">
        <v>939</v>
      </c>
      <c r="B235">
        <v>45.296900000000001</v>
      </c>
    </row>
    <row r="236" spans="1:2" x14ac:dyDescent="0.35">
      <c r="A236" t="s">
        <v>940</v>
      </c>
      <c r="B236">
        <v>38.172199999999997</v>
      </c>
    </row>
    <row r="237" spans="1:2" x14ac:dyDescent="0.35">
      <c r="A237" t="s">
        <v>941</v>
      </c>
      <c r="B237">
        <v>33.1907</v>
      </c>
    </row>
    <row r="238" spans="1:2" x14ac:dyDescent="0.35">
      <c r="A238" t="s">
        <v>942</v>
      </c>
      <c r="B238">
        <v>29.599399999999999</v>
      </c>
    </row>
    <row r="239" spans="1:2" x14ac:dyDescent="0.35">
      <c r="A239" t="s">
        <v>943</v>
      </c>
      <c r="B239">
        <v>26.065999999999999</v>
      </c>
    </row>
    <row r="240" spans="1:2" x14ac:dyDescent="0.35">
      <c r="A240" t="s">
        <v>944</v>
      </c>
      <c r="B240">
        <v>11.816599999999999</v>
      </c>
    </row>
    <row r="241" spans="1:2" x14ac:dyDescent="0.35">
      <c r="A241" t="s">
        <v>945</v>
      </c>
      <c r="B241">
        <v>6.3716900000000001</v>
      </c>
    </row>
    <row r="242" spans="1:2" x14ac:dyDescent="0.35">
      <c r="A242" t="s">
        <v>946</v>
      </c>
      <c r="B242">
        <v>1.39019</v>
      </c>
    </row>
    <row r="243" spans="1:2" x14ac:dyDescent="0.35">
      <c r="A243" t="s">
        <v>947</v>
      </c>
      <c r="B243">
        <v>1.39019</v>
      </c>
    </row>
    <row r="244" spans="1:2" x14ac:dyDescent="0.35">
      <c r="A244" t="s">
        <v>948</v>
      </c>
      <c r="B244">
        <v>1.39019</v>
      </c>
    </row>
    <row r="245" spans="1:2" x14ac:dyDescent="0.35">
      <c r="A245" t="s">
        <v>949</v>
      </c>
      <c r="B245">
        <v>10377.1</v>
      </c>
    </row>
    <row r="246" spans="1:2" x14ac:dyDescent="0.35">
      <c r="A246" t="s">
        <v>950</v>
      </c>
      <c r="B246">
        <v>6566.9</v>
      </c>
    </row>
    <row r="247" spans="1:2" x14ac:dyDescent="0.35">
      <c r="A247" t="s">
        <v>951</v>
      </c>
      <c r="B247">
        <v>4325.8</v>
      </c>
    </row>
    <row r="248" spans="1:2" x14ac:dyDescent="0.35">
      <c r="A248" t="s">
        <v>952</v>
      </c>
      <c r="B248">
        <v>2991.8</v>
      </c>
    </row>
    <row r="249" spans="1:2" x14ac:dyDescent="0.35">
      <c r="A249" t="s">
        <v>953</v>
      </c>
      <c r="B249">
        <v>2027.8</v>
      </c>
    </row>
    <row r="250" spans="1:2" x14ac:dyDescent="0.35">
      <c r="A250" t="s">
        <v>954</v>
      </c>
      <c r="B250">
        <v>1382.2</v>
      </c>
    </row>
    <row r="251" spans="1:2" x14ac:dyDescent="0.35">
      <c r="A251" t="s">
        <v>955</v>
      </c>
      <c r="B251">
        <v>972.4</v>
      </c>
    </row>
    <row r="252" spans="1:2" x14ac:dyDescent="0.35">
      <c r="A252" t="s">
        <v>956</v>
      </c>
      <c r="B252">
        <v>696.8</v>
      </c>
    </row>
    <row r="253" spans="1:2" x14ac:dyDescent="0.35">
      <c r="A253" t="s">
        <v>957</v>
      </c>
      <c r="B253">
        <v>516.29999999999995</v>
      </c>
    </row>
    <row r="254" spans="1:2" x14ac:dyDescent="0.35">
      <c r="A254" t="s">
        <v>958</v>
      </c>
      <c r="B254">
        <v>400.1</v>
      </c>
    </row>
    <row r="255" spans="1:2" x14ac:dyDescent="0.35">
      <c r="A255" t="s">
        <v>959</v>
      </c>
      <c r="B255">
        <v>319.7</v>
      </c>
    </row>
    <row r="256" spans="1:2" x14ac:dyDescent="0.35">
      <c r="A256" t="s">
        <v>960</v>
      </c>
      <c r="B256">
        <v>258.3</v>
      </c>
    </row>
    <row r="257" spans="1:2" x14ac:dyDescent="0.35">
      <c r="A257" t="s">
        <v>961</v>
      </c>
      <c r="B257">
        <v>217.1</v>
      </c>
    </row>
    <row r="258" spans="1:2" x14ac:dyDescent="0.35">
      <c r="A258" t="s">
        <v>962</v>
      </c>
      <c r="B258">
        <v>183.1</v>
      </c>
    </row>
    <row r="259" spans="1:2" x14ac:dyDescent="0.35">
      <c r="A259" t="s">
        <v>963</v>
      </c>
      <c r="B259">
        <v>158</v>
      </c>
    </row>
    <row r="260" spans="1:2" x14ac:dyDescent="0.35">
      <c r="A260" t="s">
        <v>964</v>
      </c>
      <c r="B260">
        <v>137.5</v>
      </c>
    </row>
    <row r="261" spans="1:2" x14ac:dyDescent="0.35">
      <c r="A261" t="s">
        <v>965</v>
      </c>
      <c r="B261">
        <v>117.2</v>
      </c>
    </row>
    <row r="262" spans="1:2" x14ac:dyDescent="0.35">
      <c r="A262" t="s">
        <v>966</v>
      </c>
      <c r="B262">
        <v>98.7</v>
      </c>
    </row>
    <row r="263" spans="1:2" x14ac:dyDescent="0.35">
      <c r="A263" t="s">
        <v>967</v>
      </c>
      <c r="B263">
        <v>83.1</v>
      </c>
    </row>
    <row r="264" spans="1:2" x14ac:dyDescent="0.35">
      <c r="A264" t="s">
        <v>968</v>
      </c>
      <c r="B264">
        <v>71.099999999999994</v>
      </c>
    </row>
    <row r="265" spans="1:2" x14ac:dyDescent="0.35">
      <c r="A265" t="s">
        <v>969</v>
      </c>
      <c r="B265">
        <v>61.1</v>
      </c>
    </row>
    <row r="266" spans="1:2" x14ac:dyDescent="0.35">
      <c r="A266" t="s">
        <v>970</v>
      </c>
      <c r="B266">
        <v>53</v>
      </c>
    </row>
    <row r="267" spans="1:2" x14ac:dyDescent="0.35">
      <c r="A267" t="s">
        <v>971</v>
      </c>
      <c r="B267">
        <v>45.3</v>
      </c>
    </row>
    <row r="268" spans="1:2" x14ac:dyDescent="0.35">
      <c r="A268" t="s">
        <v>972</v>
      </c>
      <c r="B268">
        <v>38.200000000000003</v>
      </c>
    </row>
    <row r="269" spans="1:2" x14ac:dyDescent="0.35">
      <c r="A269" t="s">
        <v>973</v>
      </c>
      <c r="B269">
        <v>33.200000000000003</v>
      </c>
    </row>
    <row r="270" spans="1:2" x14ac:dyDescent="0.35">
      <c r="A270" t="s">
        <v>974</v>
      </c>
      <c r="B270">
        <v>29.6</v>
      </c>
    </row>
    <row r="271" spans="1:2" x14ac:dyDescent="0.35">
      <c r="A271" t="s">
        <v>975</v>
      </c>
      <c r="B271">
        <v>26.1</v>
      </c>
    </row>
    <row r="272" spans="1:2" x14ac:dyDescent="0.35">
      <c r="A272" t="s">
        <v>976</v>
      </c>
      <c r="B272">
        <v>11.8</v>
      </c>
    </row>
    <row r="273" spans="1:2" x14ac:dyDescent="0.35">
      <c r="A273" t="s">
        <v>977</v>
      </c>
      <c r="B273">
        <v>6.4</v>
      </c>
    </row>
    <row r="274" spans="1:2" x14ac:dyDescent="0.35">
      <c r="A274" t="s">
        <v>978</v>
      </c>
      <c r="B274">
        <v>1.4</v>
      </c>
    </row>
    <row r="275" spans="1:2" x14ac:dyDescent="0.35">
      <c r="A275" t="s">
        <v>979</v>
      </c>
      <c r="B275">
        <v>1.4</v>
      </c>
    </row>
    <row r="276" spans="1:2" x14ac:dyDescent="0.35">
      <c r="A276" t="s">
        <v>980</v>
      </c>
      <c r="B276">
        <v>1.4</v>
      </c>
    </row>
    <row r="277" spans="1:2" x14ac:dyDescent="0.35">
      <c r="A277" t="s">
        <v>981</v>
      </c>
    </row>
    <row r="278" spans="1:2" x14ac:dyDescent="0.35">
      <c r="A278" t="s">
        <v>982</v>
      </c>
      <c r="B278">
        <v>345</v>
      </c>
    </row>
    <row r="279" spans="1:2" x14ac:dyDescent="0.35">
      <c r="A279" t="s">
        <v>983</v>
      </c>
      <c r="B279">
        <v>345</v>
      </c>
    </row>
    <row r="280" spans="1:2" x14ac:dyDescent="0.35">
      <c r="A280" t="s">
        <v>984</v>
      </c>
      <c r="B280">
        <v>10000</v>
      </c>
    </row>
    <row r="281" spans="1:2" x14ac:dyDescent="0.35">
      <c r="A281" s="166" t="s">
        <v>985</v>
      </c>
      <c r="B281">
        <v>54</v>
      </c>
    </row>
    <row r="282" spans="1:2" x14ac:dyDescent="0.35">
      <c r="A282" t="s">
        <v>986</v>
      </c>
    </row>
    <row r="283" spans="1:2" x14ac:dyDescent="0.35">
      <c r="A283" s="166" t="s">
        <v>987</v>
      </c>
      <c r="B283">
        <v>46147.7</v>
      </c>
    </row>
    <row r="284" spans="1:2" x14ac:dyDescent="0.35">
      <c r="A284" t="s">
        <v>988</v>
      </c>
      <c r="B284">
        <v>12345671</v>
      </c>
    </row>
    <row r="285" spans="1:2" x14ac:dyDescent="0.35">
      <c r="A285" t="s">
        <v>989</v>
      </c>
    </row>
    <row r="286" spans="1:2" x14ac:dyDescent="0.35">
      <c r="A286" t="s">
        <v>990</v>
      </c>
      <c r="B286">
        <v>0</v>
      </c>
    </row>
    <row r="287" spans="1:2" x14ac:dyDescent="0.35">
      <c r="A287" t="s">
        <v>991</v>
      </c>
      <c r="B287">
        <v>0</v>
      </c>
    </row>
    <row r="288" spans="1:2" x14ac:dyDescent="0.35">
      <c r="A288" t="s">
        <v>992</v>
      </c>
      <c r="B288">
        <v>16</v>
      </c>
    </row>
    <row r="289" spans="1:2" x14ac:dyDescent="0.35">
      <c r="A289" t="s">
        <v>993</v>
      </c>
      <c r="B289">
        <v>0</v>
      </c>
    </row>
    <row r="290" spans="1:2" x14ac:dyDescent="0.35">
      <c r="A290" t="s">
        <v>994</v>
      </c>
      <c r="B290">
        <v>0</v>
      </c>
    </row>
    <row r="291" spans="1:2" x14ac:dyDescent="0.35">
      <c r="A291" t="s">
        <v>995</v>
      </c>
      <c r="B291">
        <v>0</v>
      </c>
    </row>
    <row r="292" spans="1:2" x14ac:dyDescent="0.35">
      <c r="A292" t="s">
        <v>996</v>
      </c>
      <c r="B292">
        <v>0</v>
      </c>
    </row>
    <row r="293" spans="1:2" x14ac:dyDescent="0.35">
      <c r="A293" t="s">
        <v>997</v>
      </c>
      <c r="B293">
        <v>16</v>
      </c>
    </row>
    <row r="294" spans="1:2" x14ac:dyDescent="0.35">
      <c r="A294" t="s">
        <v>998</v>
      </c>
      <c r="B294">
        <v>-1</v>
      </c>
    </row>
    <row r="295" spans="1:2" x14ac:dyDescent="0.35">
      <c r="A295" t="s">
        <v>999</v>
      </c>
      <c r="B295">
        <v>0</v>
      </c>
    </row>
    <row r="296" spans="1:2" x14ac:dyDescent="0.35">
      <c r="A296" t="s">
        <v>1000</v>
      </c>
      <c r="B296">
        <v>304</v>
      </c>
    </row>
    <row r="297" spans="1:2" x14ac:dyDescent="0.35">
      <c r="A297" t="s">
        <v>1001</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696</v>
      </c>
    </row>
    <row r="3" spans="1:24" ht="15" customHeight="1" x14ac:dyDescent="0.4">
      <c r="B3" s="203" t="s">
        <v>24</v>
      </c>
      <c r="C3" s="341" t="s">
        <v>25</v>
      </c>
      <c r="D3" s="342"/>
      <c r="E3" s="342"/>
      <c r="F3" s="342"/>
      <c r="G3" s="342"/>
      <c r="H3" s="342"/>
      <c r="I3" s="342"/>
      <c r="J3" s="342"/>
      <c r="K3" s="342"/>
      <c r="L3" s="342"/>
      <c r="M3" s="342"/>
      <c r="N3" s="342"/>
      <c r="O3" s="342"/>
      <c r="P3" s="342"/>
      <c r="Q3" s="343"/>
      <c r="R3" s="166" t="s">
        <v>697</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698</v>
      </c>
    </row>
    <row r="5" spans="1:24" ht="15" customHeight="1" x14ac:dyDescent="0.35">
      <c r="B5" s="279">
        <f>B4+1</f>
        <v>2</v>
      </c>
      <c r="C5" s="231" t="s">
        <v>30</v>
      </c>
      <c r="D5" s="429">
        <f>'Auto-Calibration record'!H15</f>
        <v>12345671</v>
      </c>
      <c r="E5" s="204" t="str">
        <f>IF(D5="20","0",IF(D5="PC","00",""))</f>
        <v/>
      </c>
      <c r="F5" s="213"/>
      <c r="G5" s="333"/>
      <c r="H5" s="213"/>
      <c r="I5" s="333"/>
      <c r="J5" s="213"/>
      <c r="K5" s="211"/>
      <c r="L5" s="346"/>
      <c r="M5" s="211"/>
      <c r="N5" s="211"/>
      <c r="O5" s="211"/>
      <c r="P5" s="211"/>
      <c r="Q5" s="211"/>
      <c r="R5" s="166" t="s">
        <v>699</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700</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702</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1008</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701</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686</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687</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688</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689</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12345671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690</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112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714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12345671</v>
      </c>
      <c r="F119" s="335">
        <f t="shared" si="5"/>
        <v>4</v>
      </c>
      <c r="G119" s="377">
        <v>21</v>
      </c>
      <c r="H119" s="354">
        <f>'Auto-Calibration record'!$E$65</f>
        <v>1314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1794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4348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6298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14290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691</v>
      </c>
      <c r="D129" s="270"/>
      <c r="E129" s="204"/>
      <c r="I129" s="204"/>
      <c r="J129" s="204"/>
      <c r="K129" s="204"/>
      <c r="L129" s="204"/>
      <c r="M129" s="204"/>
      <c r="N129" s="204"/>
      <c r="O129" s="211"/>
      <c r="P129" s="209"/>
    </row>
    <row r="130" spans="1:17" s="213" customFormat="1" ht="14.25" x14ac:dyDescent="0.35">
      <c r="A130" s="219" t="b">
        <v>0</v>
      </c>
      <c r="B130" s="279" t="e">
        <f>#REF!+1</f>
        <v>#REF!</v>
      </c>
      <c r="C130" s="228" t="s">
        <v>692</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693</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694</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695</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12345671</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12345671</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12345671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112</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176</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714</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1314</v>
      </c>
      <c r="H164" s="491"/>
    </row>
    <row r="165" spans="1:18" x14ac:dyDescent="0.35">
      <c r="A165" s="219" t="b">
        <v>0</v>
      </c>
      <c r="B165" s="203">
        <f t="shared" si="3"/>
        <v>167</v>
      </c>
      <c r="C165" s="228" t="s">
        <v>358</v>
      </c>
      <c r="D165" s="270"/>
      <c r="E165" s="204">
        <v>5</v>
      </c>
      <c r="F165" s="204">
        <v>25</v>
      </c>
      <c r="G165" s="490">
        <f>'Auto-Calibration record'!F65</f>
        <v>1794</v>
      </c>
      <c r="H165" s="491"/>
    </row>
    <row r="166" spans="1:18" x14ac:dyDescent="0.35">
      <c r="A166" s="219" t="b">
        <v>0</v>
      </c>
      <c r="B166" s="203">
        <f t="shared" si="3"/>
        <v>168</v>
      </c>
      <c r="C166" s="228" t="s">
        <v>359</v>
      </c>
      <c r="D166" s="273"/>
      <c r="E166" s="204">
        <v>6</v>
      </c>
      <c r="F166" s="204">
        <v>38</v>
      </c>
      <c r="G166" s="490">
        <f>'Auto-Calibration record'!G65</f>
        <v>4348</v>
      </c>
      <c r="H166" s="491"/>
    </row>
    <row r="167" spans="1:18" x14ac:dyDescent="0.35">
      <c r="A167" s="219" t="b">
        <v>0</v>
      </c>
      <c r="B167" s="203">
        <f t="shared" si="3"/>
        <v>169</v>
      </c>
      <c r="C167" s="279" t="s">
        <v>360</v>
      </c>
      <c r="D167" s="273"/>
      <c r="E167" s="204">
        <v>7</v>
      </c>
      <c r="F167" s="204">
        <v>50</v>
      </c>
      <c r="G167" s="490">
        <f>'Auto-Calibration record'!H65</f>
        <v>6298</v>
      </c>
      <c r="H167" s="491"/>
    </row>
    <row r="168" spans="1:18" x14ac:dyDescent="0.35">
      <c r="A168" s="219" t="b">
        <v>0</v>
      </c>
      <c r="B168" s="203">
        <f t="shared" si="3"/>
        <v>170</v>
      </c>
      <c r="C168" s="228" t="s">
        <v>361</v>
      </c>
      <c r="D168" s="273"/>
      <c r="E168" s="204">
        <v>8</v>
      </c>
      <c r="F168" s="204">
        <v>70</v>
      </c>
      <c r="G168" s="490">
        <f>'Auto-Calibration record'!I65</f>
        <v>14290</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12345671</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12345671</v>
      </c>
      <c r="K30" s="166">
        <f>AUTO!B5</f>
        <v>9264</v>
      </c>
      <c r="L30" s="166">
        <f>AUTO!B6</f>
        <v>0</v>
      </c>
      <c r="M30" s="310" t="str">
        <f>AUTO!B7</f>
        <v>LPA3 NAVAIR #12345671 CALIBRATE</v>
      </c>
      <c r="N30" s="309">
        <f>AUTO!B8</f>
        <v>112</v>
      </c>
      <c r="O30" s="309">
        <f>AUTO!B9</f>
        <v>176</v>
      </c>
      <c r="P30" s="309">
        <f>AUTO!B10</f>
        <v>714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685</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345</v>
      </c>
      <c r="C7" s="391" t="s">
        <v>519</v>
      </c>
      <c r="D7" s="392" t="s">
        <v>520</v>
      </c>
      <c r="E7" s="391"/>
      <c r="F7" s="183"/>
      <c r="G7" s="183"/>
      <c r="H7" s="183"/>
      <c r="I7" s="183"/>
      <c r="J7" s="183"/>
      <c r="K7" s="183"/>
      <c r="L7" s="183"/>
      <c r="M7" s="183"/>
    </row>
    <row r="8" spans="2:13" x14ac:dyDescent="0.35">
      <c r="B8" s="390">
        <f>VLOOKUP("pump_current_emptying",AUTO!$A$1:$B$1051,2,FALSE)</f>
        <v>345</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54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10000</v>
      </c>
      <c r="C14" s="176" t="s">
        <v>531</v>
      </c>
      <c r="D14" s="177" t="s">
        <v>532</v>
      </c>
      <c r="E14" s="176"/>
      <c r="F14" s="183"/>
      <c r="G14" s="181" t="s">
        <v>533</v>
      </c>
      <c r="H14" s="534" t="s">
        <v>1006</v>
      </c>
      <c r="I14" s="535"/>
      <c r="J14" s="535"/>
      <c r="K14" s="396"/>
      <c r="L14" s="396"/>
      <c r="M14" s="406"/>
    </row>
    <row r="15" spans="2:13" ht="12.75" customHeight="1" x14ac:dyDescent="0.35">
      <c r="B15" s="407"/>
      <c r="C15" s="396"/>
      <c r="D15" s="397"/>
      <c r="E15" s="396"/>
      <c r="F15" s="183"/>
      <c r="G15" s="181" t="s">
        <v>241</v>
      </c>
      <c r="H15" s="525">
        <f>VLOOKUP("serial_number_",AUTO!$A$1:$B$1051,2,FALSE)</f>
        <v>12345671</v>
      </c>
      <c r="I15" s="526"/>
      <c r="J15" s="527"/>
      <c r="K15" s="183"/>
      <c r="L15" s="183"/>
      <c r="M15" s="183"/>
    </row>
    <row r="16" spans="2:13" ht="13.15" x14ac:dyDescent="0.35">
      <c r="B16" s="182"/>
      <c r="C16" s="174"/>
      <c r="D16" s="398"/>
      <c r="E16" s="399"/>
      <c r="F16" s="183"/>
      <c r="G16" s="181" t="s">
        <v>236</v>
      </c>
      <c r="H16" s="522">
        <f>VLOOKUP("date_",AUTO!$A$1:$B$1051,2,FALSE)</f>
        <v>46147.7</v>
      </c>
      <c r="I16" s="523"/>
      <c r="J16" s="524"/>
      <c r="K16" s="183"/>
      <c r="L16" s="183"/>
      <c r="M16" s="183"/>
    </row>
    <row r="17" spans="2:10" ht="13.15" x14ac:dyDescent="0.35">
      <c r="B17" s="390"/>
      <c r="C17" s="402"/>
      <c r="D17" s="180"/>
      <c r="E17" s="403"/>
      <c r="F17" s="183"/>
      <c r="G17" s="181" t="s">
        <v>534</v>
      </c>
      <c r="H17" s="525" t="str">
        <f>H15&amp;" "&amp;TEXT(H16,"ddmmyy")</f>
        <v>12345671 050526</v>
      </c>
      <c r="I17" s="526"/>
      <c r="J17" s="527"/>
    </row>
    <row r="18" spans="2:10" ht="13.15" x14ac:dyDescent="0.35">
      <c r="B18" s="390"/>
      <c r="C18" s="176"/>
      <c r="D18" s="177"/>
      <c r="E18" s="176"/>
      <c r="F18" s="183"/>
      <c r="G18" s="181" t="s">
        <v>1002</v>
      </c>
      <c r="H18" s="531" t="s">
        <v>1007</v>
      </c>
      <c r="I18" s="532"/>
      <c r="J18" s="533"/>
    </row>
    <row r="19" spans="2:10" ht="13.15" x14ac:dyDescent="0.35">
      <c r="B19" s="390"/>
      <c r="C19" s="405"/>
      <c r="D19" s="177"/>
      <c r="E19" s="176"/>
      <c r="F19" s="183"/>
      <c r="G19" s="181" t="s">
        <v>535</v>
      </c>
      <c r="H19" s="528">
        <f>VLOOKUP("rig_param_identifier",AUTO!$A$1:$B$1051,2,FALSE)</f>
        <v>304</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1008</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112</v>
      </c>
      <c r="C65" s="196">
        <f>VLOOKUP("threshold1",AUTO!$A$1:$B$1051,2,FALSE)</f>
        <v>176</v>
      </c>
      <c r="D65" s="196">
        <f>VLOOKUP("threshold2",AUTO!$A$1:$B$1051,2,FALSE)</f>
        <v>714</v>
      </c>
      <c r="E65" s="196">
        <f>VLOOKUP("threshold3",AUTO!$A$1:$B$1051,2,FALSE)</f>
        <v>1314</v>
      </c>
      <c r="F65" s="196">
        <f>VLOOKUP("threshold4",AUTO!$A$1:$B$1051,2,FALSE)</f>
        <v>1794</v>
      </c>
      <c r="G65" s="196">
        <f>VLOOKUP("threshold5",AUTO!$A$1:$B$1051,2,FALSE)</f>
        <v>4348</v>
      </c>
      <c r="H65" s="196">
        <f>VLOOKUP("threshold6",AUTO!$A$1:$B$1051,2,FALSE)</f>
        <v>6298</v>
      </c>
      <c r="I65" s="196">
        <f>VLOOKUP("threshold7",AUTO!$A$1:$B$1051,2,FALSE)</f>
        <v>14290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c r="F67" s="137"/>
      <c r="G67" s="137"/>
      <c r="H67" s="137"/>
      <c r="I67" s="137" t="s">
        <v>558</v>
      </c>
      <c r="J67" s="183"/>
    </row>
    <row r="68" spans="1:10" ht="18" customHeight="1" x14ac:dyDescent="0.35">
      <c r="A68" s="139">
        <v>4</v>
      </c>
      <c r="B68" s="163">
        <f>VLOOKUP("reference_count_0",AUTO!$A$1:$B$1051,2,FALSE)</f>
        <v>1037710</v>
      </c>
      <c r="C68" s="390">
        <f>VLOOKUP("verification_count_1_0",AUTO!$A$1:$B$1051,2,FALSE)</f>
        <v>1047870</v>
      </c>
      <c r="D68" s="156">
        <f>(C68-B68)/B68</f>
        <v>9.7907893342070521E-3</v>
      </c>
      <c r="E68" s="390"/>
      <c r="F68" s="156"/>
      <c r="G68" s="390"/>
      <c r="H68" s="156"/>
      <c r="I68" s="329">
        <f>(C68)</f>
        <v>1047870</v>
      </c>
      <c r="J68" s="156">
        <f>(I68-$B68)/$B68</f>
        <v>9.7907893342070521E-3</v>
      </c>
    </row>
    <row r="69" spans="1:10" ht="18" customHeight="1" x14ac:dyDescent="0.35">
      <c r="A69" s="139">
        <v>6</v>
      </c>
      <c r="B69" s="163">
        <f>VLOOKUP("reference_count_1",AUTO!$A$1:$B$1051,2,FALSE)</f>
        <v>432580</v>
      </c>
      <c r="C69" s="390">
        <f>VLOOKUP("verification_count_1_1",AUTO!$A$1:$B$1051,2,FALSE)</f>
        <v>431351</v>
      </c>
      <c r="D69" s="156">
        <f t="shared" ref="D69:D76" si="0">(C69-B69)/B69</f>
        <v>-2.8410929770215916E-3</v>
      </c>
      <c r="E69" s="390"/>
      <c r="F69" s="156"/>
      <c r="G69" s="390"/>
      <c r="H69" s="156"/>
      <c r="I69" s="329">
        <f t="shared" ref="I69:I76" si="1">(C69)</f>
        <v>431351</v>
      </c>
      <c r="J69" s="156">
        <f t="shared" ref="J69:J76" si="2">(I69-$B69)/$B69</f>
        <v>-2.8410929770215916E-3</v>
      </c>
    </row>
    <row r="70" spans="1:10" ht="18" customHeight="1" x14ac:dyDescent="0.35">
      <c r="A70" s="139">
        <v>10</v>
      </c>
      <c r="B70" s="163">
        <f>VLOOKUP("reference_count32_6",AUTO!$A$1:$B$1051,2,FALSE)*100</f>
        <v>97240</v>
      </c>
      <c r="C70" s="430">
        <f>VLOOKUP("verification_count32_1_6",AUTO!$A$1:$B$1051,2,FALSE)*100</f>
        <v>96948.1</v>
      </c>
      <c r="D70" s="156">
        <f t="shared" si="0"/>
        <v>-3.0018510900863245E-3</v>
      </c>
      <c r="E70" s="430"/>
      <c r="F70" s="156"/>
      <c r="G70" s="430"/>
      <c r="H70" s="156"/>
      <c r="I70" s="329">
        <f t="shared" si="1"/>
        <v>96948.1</v>
      </c>
      <c r="J70" s="156">
        <f t="shared" si="2"/>
        <v>-3.0018510900863245E-3</v>
      </c>
    </row>
    <row r="71" spans="1:10" ht="18" customHeight="1" x14ac:dyDescent="0.35">
      <c r="A71" s="139">
        <v>14</v>
      </c>
      <c r="B71" s="163">
        <f>VLOOKUP("reference_count_2",AUTO!$A$1:$B$1051,2,FALSE)</f>
        <v>31970</v>
      </c>
      <c r="C71" s="390">
        <f>VLOOKUP("verification_count_1_2",AUTO!$A$1:$B$1051,2,FALSE)</f>
        <v>32014</v>
      </c>
      <c r="D71" s="156">
        <f t="shared" si="0"/>
        <v>1.3762902721301219E-3</v>
      </c>
      <c r="E71" s="390"/>
      <c r="F71" s="156"/>
      <c r="G71" s="390"/>
      <c r="H71" s="156"/>
      <c r="I71" s="329">
        <f t="shared" si="1"/>
        <v>32014</v>
      </c>
      <c r="J71" s="156">
        <f t="shared" si="2"/>
        <v>1.3762902721301219E-3</v>
      </c>
    </row>
    <row r="72" spans="1:10" ht="18" customHeight="1" x14ac:dyDescent="0.35">
      <c r="A72" s="139">
        <v>21</v>
      </c>
      <c r="B72" s="163">
        <f>VLOOKUP("reference_count_3",AUTO!$A$1:$B$1051,2,FALSE)</f>
        <v>9870</v>
      </c>
      <c r="C72" s="390">
        <f>VLOOKUP("verification_count_1_3",AUTO!$A$1:$B$1051,2,FALSE)</f>
        <v>9858</v>
      </c>
      <c r="D72" s="156">
        <f t="shared" si="0"/>
        <v>-1.2158054711246201E-3</v>
      </c>
      <c r="E72" s="390"/>
      <c r="F72" s="156"/>
      <c r="G72" s="390"/>
      <c r="H72" s="156"/>
      <c r="I72" s="329">
        <f t="shared" si="1"/>
        <v>9858</v>
      </c>
      <c r="J72" s="156">
        <f t="shared" si="2"/>
        <v>-1.2158054711246201E-3</v>
      </c>
    </row>
    <row r="73" spans="1:10" ht="18" customHeight="1" x14ac:dyDescent="0.35">
      <c r="A73" s="139">
        <v>25</v>
      </c>
      <c r="B73" s="163">
        <f>VLOOKUP("reference_count_4",AUTO!$A$1:$B$1051,2,FALSE)</f>
        <v>5300</v>
      </c>
      <c r="C73" s="390">
        <f>VLOOKUP("verification_count_1_4",AUTO!$A$1:$B$1051,2,FALSE)</f>
        <v>5300</v>
      </c>
      <c r="D73" s="156">
        <f t="shared" si="0"/>
        <v>0</v>
      </c>
      <c r="E73" s="390"/>
      <c r="F73" s="156"/>
      <c r="G73" s="390"/>
      <c r="H73" s="156"/>
      <c r="I73" s="329">
        <f t="shared" si="1"/>
        <v>5300</v>
      </c>
      <c r="J73" s="156">
        <f t="shared" si="2"/>
        <v>0</v>
      </c>
    </row>
    <row r="74" spans="1:10" ht="18" customHeight="1" x14ac:dyDescent="0.35">
      <c r="A74" s="139">
        <v>38</v>
      </c>
      <c r="B74" s="163">
        <f>VLOOKUP("reference_count_5",AUTO!$A$1:$B$1051,2,FALSE)</f>
        <v>1180</v>
      </c>
      <c r="C74" s="390">
        <f>VLOOKUP("verification_count_1_5",AUTO!$A$1:$B$1051,2,FALSE)</f>
        <v>1181</v>
      </c>
      <c r="D74" s="156">
        <f t="shared" si="0"/>
        <v>8.4745762711864404E-4</v>
      </c>
      <c r="E74" s="390"/>
      <c r="F74" s="156"/>
      <c r="G74" s="390"/>
      <c r="H74" s="156"/>
      <c r="I74" s="329">
        <f t="shared" si="1"/>
        <v>1181</v>
      </c>
      <c r="J74" s="156">
        <f t="shared" si="2"/>
        <v>8.4745762711864404E-4</v>
      </c>
    </row>
    <row r="75" spans="1:10" ht="18" customHeight="1" x14ac:dyDescent="0.35">
      <c r="A75" s="139">
        <v>50</v>
      </c>
      <c r="B75" s="163">
        <f>VLOOKUP("reference_count_6",AUTO!$A$1:$B$1051,2,FALSE)</f>
        <v>640</v>
      </c>
      <c r="C75" s="390">
        <f>VLOOKUP("verification_count_1_6",AUTO!$A$1:$B$1051,2,FALSE)</f>
        <v>637</v>
      </c>
      <c r="D75" s="156">
        <f t="shared" si="0"/>
        <v>-4.6874999999999998E-3</v>
      </c>
      <c r="E75" s="390"/>
      <c r="F75" s="156"/>
      <c r="G75" s="390"/>
      <c r="H75" s="156"/>
      <c r="I75" s="329">
        <f t="shared" si="1"/>
        <v>637</v>
      </c>
      <c r="J75" s="156">
        <f t="shared" si="2"/>
        <v>-4.6874999999999998E-3</v>
      </c>
    </row>
    <row r="76" spans="1:10" ht="18" customHeight="1" x14ac:dyDescent="0.35">
      <c r="A76" s="139">
        <v>70</v>
      </c>
      <c r="B76" s="163">
        <f>VLOOKUP("reference_count_7",AUTO!$A$1:$B$1051,2,FALSE)</f>
        <v>140</v>
      </c>
      <c r="C76" s="390">
        <f>VLOOKUP("verification_count_1_7",AUTO!$A$1:$B$1051,2,FALSE)</f>
        <v>139</v>
      </c>
      <c r="D76" s="156">
        <f t="shared" si="0"/>
        <v>-7.1428571428571426E-3</v>
      </c>
      <c r="E76" s="390"/>
      <c r="F76" s="156"/>
      <c r="G76" s="390"/>
      <c r="H76" s="156"/>
      <c r="I76" s="329">
        <f t="shared" si="1"/>
        <v>139</v>
      </c>
      <c r="J76" s="156">
        <f t="shared" si="2"/>
        <v>-7.1428571428571426E-3</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J28" sqref="J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560</v>
      </c>
      <c r="C3" s="83"/>
    </row>
    <row r="4" spans="1:16" ht="13.5" x14ac:dyDescent="0.35">
      <c r="B4" s="87" t="s">
        <v>561</v>
      </c>
      <c r="C4" s="83"/>
    </row>
    <row r="5" spans="1:16" ht="13.5" x14ac:dyDescent="0.35">
      <c r="B5" s="87" t="s">
        <v>562</v>
      </c>
      <c r="C5" s="83"/>
    </row>
    <row r="6" spans="1:16" ht="13.5" x14ac:dyDescent="0.35">
      <c r="B6" s="87" t="s">
        <v>563</v>
      </c>
      <c r="C6" s="83"/>
    </row>
    <row r="7" spans="1:16" ht="15" x14ac:dyDescent="0.4">
      <c r="B7" s="87" t="s">
        <v>564</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567</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1003</v>
      </c>
      <c r="L17" s="96"/>
      <c r="M17" s="96"/>
      <c r="N17" s="97"/>
      <c r="O17" s="378" t="str">
        <f>'Auto-Calibration record'!H18</f>
        <v>RM8631b</v>
      </c>
    </row>
    <row r="18" spans="2:15" ht="25.9" customHeight="1" x14ac:dyDescent="0.45">
      <c r="B18" s="131" t="s">
        <v>571</v>
      </c>
      <c r="C18" s="132"/>
      <c r="D18" s="542">
        <f>'Auto-Calibration record'!H15</f>
        <v>12345671</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36"/>
      <c r="J28" s="159">
        <f>'Auto-Calibration record'!I68</f>
        <v>1047870</v>
      </c>
      <c r="K28" s="159">
        <f t="shared" ref="K28:K33" si="0">J28-H28</f>
        <v>10160</v>
      </c>
      <c r="L28" s="379">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36"/>
      <c r="J29" s="159">
        <f>'Auto-Calibration record'!I69</f>
        <v>431351</v>
      </c>
      <c r="K29" s="159">
        <f t="shared" si="0"/>
        <v>-1229</v>
      </c>
      <c r="L29" s="379">
        <f t="shared" si="1"/>
        <v>-2.8410929770215916E-3</v>
      </c>
    </row>
    <row r="30" spans="2:15" s="108" customFormat="1" ht="25.9" customHeight="1" x14ac:dyDescent="0.35">
      <c r="D30" s="553" t="s">
        <v>590</v>
      </c>
      <c r="E30" s="553"/>
      <c r="F30" s="541">
        <f>'Auto-Calibration record'!D65</f>
        <v>714</v>
      </c>
      <c r="G30" s="541"/>
      <c r="H30" s="536">
        <f>'Auto-Calibration record'!B71</f>
        <v>31970</v>
      </c>
      <c r="I30" s="536"/>
      <c r="J30" s="159">
        <f>'Auto-Calibration record'!I71</f>
        <v>32014</v>
      </c>
      <c r="K30" s="159">
        <f t="shared" si="0"/>
        <v>44</v>
      </c>
      <c r="L30" s="379">
        <f t="shared" si="1"/>
        <v>1.3762902721301219E-3</v>
      </c>
    </row>
    <row r="31" spans="2:15" s="108" customFormat="1" ht="25.9" customHeight="1" x14ac:dyDescent="0.35">
      <c r="D31" s="553" t="s">
        <v>591</v>
      </c>
      <c r="E31" s="553"/>
      <c r="F31" s="541">
        <f>'Auto-Calibration record'!E65</f>
        <v>1314</v>
      </c>
      <c r="G31" s="541"/>
      <c r="H31" s="536">
        <f>'Auto-Calibration record'!B72</f>
        <v>9870</v>
      </c>
      <c r="I31" s="536"/>
      <c r="J31" s="159">
        <f>'Auto-Calibration record'!I72</f>
        <v>9858</v>
      </c>
      <c r="K31" s="159">
        <f t="shared" si="0"/>
        <v>-12</v>
      </c>
      <c r="L31" s="379">
        <f t="shared" si="1"/>
        <v>-1.2158054711246201E-3</v>
      </c>
    </row>
    <row r="32" spans="2:15" s="108" customFormat="1" ht="25.9" customHeight="1" x14ac:dyDescent="0.35">
      <c r="D32" s="553" t="s">
        <v>592</v>
      </c>
      <c r="E32" s="553"/>
      <c r="F32" s="541">
        <f>'Auto-Calibration record'!F65</f>
        <v>1794</v>
      </c>
      <c r="G32" s="541"/>
      <c r="H32" s="536">
        <f>'Auto-Calibration record'!B73</f>
        <v>5300</v>
      </c>
      <c r="I32" s="536"/>
      <c r="J32" s="159">
        <f>'Auto-Calibration record'!I73</f>
        <v>5300</v>
      </c>
      <c r="K32" s="159">
        <f t="shared" si="0"/>
        <v>0</v>
      </c>
      <c r="L32" s="379">
        <f t="shared" si="1"/>
        <v>0</v>
      </c>
    </row>
    <row r="33" spans="2:12" s="108" customFormat="1" ht="25.9" customHeight="1" x14ac:dyDescent="0.35">
      <c r="D33" s="553" t="s">
        <v>593</v>
      </c>
      <c r="E33" s="553"/>
      <c r="F33" s="541">
        <f>'Auto-Calibration record'!G65</f>
        <v>4348</v>
      </c>
      <c r="G33" s="541"/>
      <c r="H33" s="536">
        <f>'Auto-Calibration record'!B74</f>
        <v>1180</v>
      </c>
      <c r="I33" s="536"/>
      <c r="J33" s="159">
        <f>'Auto-Calibration record'!I74</f>
        <v>1181</v>
      </c>
      <c r="K33" s="159">
        <f t="shared" si="0"/>
        <v>1</v>
      </c>
      <c r="L33" s="379">
        <f t="shared" si="1"/>
        <v>8.4745762711864404E-4</v>
      </c>
    </row>
    <row r="34" spans="2:12" s="108" customFormat="1" ht="25.9" customHeight="1" x14ac:dyDescent="0.35">
      <c r="D34" s="553" t="s">
        <v>594</v>
      </c>
      <c r="E34" s="553"/>
      <c r="F34" s="541">
        <f>'Auto-Calibration record'!H65</f>
        <v>6298</v>
      </c>
      <c r="G34" s="541"/>
      <c r="H34" s="536">
        <f>'Auto-Calibration record'!B75</f>
        <v>640</v>
      </c>
      <c r="I34" s="536"/>
      <c r="J34" s="159">
        <f>'Auto-Calibration record'!I75</f>
        <v>637</v>
      </c>
      <c r="K34" s="159" t="s">
        <v>23</v>
      </c>
      <c r="L34" s="112" t="s">
        <v>23</v>
      </c>
    </row>
    <row r="35" spans="2:12" s="102" customFormat="1" ht="25.9" customHeight="1" x14ac:dyDescent="0.45">
      <c r="D35" s="553" t="s">
        <v>595</v>
      </c>
      <c r="E35" s="553"/>
      <c r="F35" s="549">
        <f>'Auto-Calibration record'!I65</f>
        <v>14290</v>
      </c>
      <c r="G35" s="549"/>
      <c r="H35" s="536">
        <f>'Auto-Calibration record'!B76</f>
        <v>140</v>
      </c>
      <c r="I35" s="536"/>
      <c r="J35" s="380">
        <f>'Auto-Calibration record'!I76</f>
        <v>139</v>
      </c>
      <c r="K35" s="159" t="s">
        <v>23</v>
      </c>
      <c r="L35" s="112" t="s">
        <v>23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67"/>
      <c r="K38" s="167"/>
      <c r="L38" s="167"/>
    </row>
    <row r="39" spans="2:12" ht="25.9" customHeight="1" x14ac:dyDescent="0.35">
      <c r="B39" s="115"/>
      <c r="D39" s="109" t="s">
        <v>585</v>
      </c>
      <c r="E39" s="540" t="s">
        <v>585</v>
      </c>
      <c r="F39" s="540"/>
      <c r="G39" s="540" t="s">
        <v>600</v>
      </c>
      <c r="H39" s="540"/>
      <c r="I39" s="116"/>
      <c r="J39" s="168"/>
      <c r="K39" s="168"/>
      <c r="L39" s="168"/>
    </row>
    <row r="40" spans="2:12" ht="25.9" customHeight="1" x14ac:dyDescent="0.35">
      <c r="B40" s="115"/>
      <c r="D40" s="129">
        <f>'Auto-Calibration record'!B11</f>
        <v>54</v>
      </c>
      <c r="E40" s="536">
        <f>F28-D40</f>
        <v>58</v>
      </c>
      <c r="F40" s="536"/>
      <c r="G40" s="545">
        <f>F28/D40</f>
        <v>2.074074074074074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55" t="s">
        <v>605</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t="str">
        <f>'Auto-Calibration record'!H26</f>
        <v>John Devereux</v>
      </c>
      <c r="E76" s="551"/>
      <c r="F76" s="552"/>
      <c r="K76" s="122" t="s">
        <v>607</v>
      </c>
      <c r="L76" s="546" t="s">
        <v>608</v>
      </c>
      <c r="M76" s="547"/>
      <c r="N76" s="547"/>
      <c r="O76" s="548"/>
      <c r="P76" s="123"/>
    </row>
    <row r="77" spans="2:16" ht="25.9" customHeight="1" x14ac:dyDescent="0.4">
      <c r="H77" s="88"/>
      <c r="I77" s="88"/>
      <c r="J77" s="88"/>
      <c r="K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011 1026:2035 2050:3059 3074:4083 4098:5107 5122:6131 6146:7155 7170:8179 8194:9203 9218:10227 10242:11251 11266:12275 12290:13299 13314:14323 14338:15347 15362:16371" x14ac:dyDescent="0.35">
      <c r="O83" s="124" t="s">
        <v>612</v>
      </c>
    </row>
    <row r="84" spans="2:1011 1026:2035 2050:3059 3074:4083 4098:5107 5122:6131 6146:7155 7170:8179 8194:9203 9218:10227 10242:11251 11266:12275 12290:13299 13314:14323 14338:15347 15362:16371" ht="15.6" customHeight="1" x14ac:dyDescent="0.35">
      <c r="B84" s="87" t="s">
        <v>559</v>
      </c>
      <c r="C84" s="83"/>
      <c r="O84" s="124" t="s">
        <v>524</v>
      </c>
    </row>
    <row r="85" spans="2:1011 1026:2035 2050:3059 3074:4083 4098:5107 5122:6131 6146:7155 7170:8179 8194:9203 9218:10227 10242:11251 11266:12275 12290:13299 13314:14323 14338:15347 15362:16371" ht="13.5" x14ac:dyDescent="0.35">
      <c r="B85" s="87" t="s">
        <v>613</v>
      </c>
      <c r="C85" s="83"/>
      <c r="O85" s="124" t="s">
        <v>19</v>
      </c>
    </row>
    <row r="86" spans="2:1011 1026:2035 2050:3059 3074:4083 4098:5107 5122:6131 6146:7155 7170:8179 8194:9203 9218:10227 10242:11251 11266:12275 12290:13299 13314:14323 14338:15347 15362:16371" ht="13.5" x14ac:dyDescent="0.35">
      <c r="B86" s="87" t="s">
        <v>614</v>
      </c>
      <c r="C86" s="83"/>
      <c r="L86" s="125"/>
      <c r="N86" s="125"/>
      <c r="O86" s="124" t="s">
        <v>20</v>
      </c>
    </row>
    <row r="87" spans="2:1011 1026:2035 2050:3059 3074:4083 4098:5107 5122:6131 6146:7155 7170:8179 8194:9203 9218:10227 10242:11251 11266:12275 12290:13299 13314:14323 14338:15347 15362:16371" ht="13.5" x14ac:dyDescent="0.35">
      <c r="B87" s="87" t="s">
        <v>562</v>
      </c>
      <c r="C87" s="83"/>
    </row>
    <row r="88" spans="2:1011 1026:2035 2050:3059 3074:4083 4098:5107 5122:6131 6146:7155 7170:8179 8194:9203 9218:10227 10242:11251 11266:12275 12290:13299 13314:14323 14338:15347 15362:16371" ht="13.5" x14ac:dyDescent="0.35">
      <c r="B88" s="87" t="s">
        <v>615</v>
      </c>
      <c r="C88" s="83"/>
    </row>
    <row r="89" spans="2:1011 1026:2035 2050:3059 3074:4083 4098:5107 5122:6131 6146:7155 7170:8179 8194:9203 9218:10227 10242:11251 11266:12275 12290:13299 13314:14323 14338:15347 15362:16371" ht="13.5" x14ac:dyDescent="0.35">
      <c r="B89" s="87" t="s">
        <v>616</v>
      </c>
      <c r="C89" s="83"/>
    </row>
    <row r="90" spans="2:1011 1026:2035 2050:3059 3074:4083 4098:5107 5122:6131 6146:7155 7170:8179 8194:9203 9218:10227 10242:11251 11266:12275 12290:13299 13314:14323 14338:15347 15362:16371" ht="13.5" x14ac:dyDescent="0.35">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3.5" x14ac:dyDescent="0.35">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3.5" x14ac:dyDescent="0.35">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3.5" x14ac:dyDescent="0.35">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3.5" x14ac:dyDescent="0.35">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617</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618</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619</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3"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620</v>
      </c>
    </row>
    <row r="3" spans="1:12" ht="17.649999999999999" x14ac:dyDescent="0.5">
      <c r="A3" s="62" t="s">
        <v>621</v>
      </c>
    </row>
    <row r="5" spans="1:12" x14ac:dyDescent="0.35">
      <c r="A5" s="63" t="s">
        <v>622</v>
      </c>
      <c r="B5" s="63"/>
      <c r="C5" s="63" t="s">
        <v>623</v>
      </c>
      <c r="D5" s="63"/>
      <c r="E5" s="63" t="s">
        <v>624</v>
      </c>
      <c r="F5" s="63"/>
      <c r="G5" s="63"/>
      <c r="H5" s="63"/>
    </row>
    <row r="6" spans="1:12" ht="25.5" thickBot="1" x14ac:dyDescent="0.75">
      <c r="A6" s="64"/>
      <c r="B6" s="64"/>
      <c r="C6" s="65" t="s">
        <v>625</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626</v>
      </c>
      <c r="C8" s="415"/>
      <c r="D8" s="307" t="s">
        <v>627</v>
      </c>
      <c r="E8" s="415"/>
      <c r="G8" s="415"/>
      <c r="H8" s="415"/>
      <c r="I8" s="415"/>
      <c r="J8" s="415"/>
      <c r="K8" s="415"/>
      <c r="L8" s="415"/>
    </row>
    <row r="9" spans="1:12" x14ac:dyDescent="0.35">
      <c r="B9" s="388"/>
      <c r="C9" s="415"/>
      <c r="D9" s="307" t="s">
        <v>622</v>
      </c>
      <c r="E9" s="415"/>
      <c r="G9" s="415"/>
      <c r="H9" s="415"/>
      <c r="I9" s="415"/>
      <c r="J9" s="415"/>
      <c r="K9" s="415"/>
      <c r="L9" s="415"/>
    </row>
    <row r="10" spans="1:12" x14ac:dyDescent="0.35">
      <c r="B10" s="388"/>
      <c r="C10" s="415"/>
      <c r="D10" s="307" t="s">
        <v>628</v>
      </c>
      <c r="E10" s="415"/>
      <c r="G10" s="415"/>
      <c r="H10" s="415"/>
      <c r="I10" s="415"/>
      <c r="J10" s="415"/>
      <c r="K10" s="415"/>
      <c r="L10" s="415"/>
    </row>
    <row r="11" spans="1:12" x14ac:dyDescent="0.35">
      <c r="B11" s="388"/>
      <c r="C11" s="415"/>
      <c r="D11" s="307" t="s">
        <v>629</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630</v>
      </c>
      <c r="C13" s="415"/>
      <c r="D13" s="164" t="s">
        <v>631</v>
      </c>
      <c r="E13" s="417">
        <f>'Auto-Calibration record'!J17</f>
        <v>0</v>
      </c>
      <c r="F13" s="397" t="str">
        <f>"0"&amp;('Auto-Calibration record'!H15-200000)</f>
        <v>012145671</v>
      </c>
      <c r="G13" s="415"/>
      <c r="H13" s="415"/>
      <c r="I13" s="415"/>
      <c r="J13" s="415"/>
      <c r="K13" s="415"/>
      <c r="L13" s="415"/>
    </row>
    <row r="14" spans="1:12" x14ac:dyDescent="0.35">
      <c r="B14" s="307" t="s">
        <v>632</v>
      </c>
      <c r="C14" s="415"/>
      <c r="D14" s="574" t="str">
        <f>'Auto-Calibration record'!H14</f>
        <v>5.6mg/l RM8631b</v>
      </c>
      <c r="E14" s="574"/>
      <c r="F14" s="574"/>
      <c r="G14" s="415"/>
      <c r="H14" s="415"/>
      <c r="I14" s="415"/>
      <c r="J14" s="415"/>
      <c r="K14" s="415"/>
      <c r="L14" s="415"/>
    </row>
    <row r="15" spans="1:12" x14ac:dyDescent="0.35">
      <c r="B15" s="307" t="s">
        <v>30</v>
      </c>
      <c r="C15" s="415"/>
      <c r="D15" s="164" t="s">
        <v>631</v>
      </c>
      <c r="E15" s="418" t="str">
        <f>F13</f>
        <v>012145671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633</v>
      </c>
      <c r="C17" s="575"/>
      <c r="D17" s="575"/>
      <c r="E17" s="575"/>
      <c r="F17" s="575"/>
      <c r="G17" s="575"/>
      <c r="H17" s="575"/>
      <c r="I17" s="575"/>
      <c r="J17" s="419"/>
      <c r="K17" s="419"/>
      <c r="L17" s="419"/>
    </row>
    <row r="18" spans="1:12" ht="28.5" customHeight="1" x14ac:dyDescent="0.35">
      <c r="B18" s="575" t="s">
        <v>634</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635</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636</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637</v>
      </c>
      <c r="D25" s="573">
        <f>'Auto-Calibration record'!H16</f>
        <v>46147.7</v>
      </c>
      <c r="E25" s="573"/>
      <c r="G25" s="307" t="s">
        <v>638</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639</v>
      </c>
    </row>
    <row r="30" spans="1:12" ht="13.9" x14ac:dyDescent="0.35">
      <c r="A30" s="68" t="s">
        <v>640</v>
      </c>
      <c r="C30" s="66"/>
      <c r="D30" s="6"/>
    </row>
    <row r="32" spans="1:12" ht="27.75" x14ac:dyDescent="0.75">
      <c r="A32" s="61" t="s">
        <v>620</v>
      </c>
    </row>
    <row r="33" spans="1:12" ht="17.649999999999999" x14ac:dyDescent="0.5">
      <c r="A33" s="62" t="s">
        <v>621</v>
      </c>
    </row>
    <row r="35" spans="1:12" x14ac:dyDescent="0.35">
      <c r="A35" s="63" t="s">
        <v>622</v>
      </c>
      <c r="B35" s="63"/>
      <c r="C35" s="63" t="s">
        <v>623</v>
      </c>
      <c r="D35" s="63"/>
      <c r="E35" s="63" t="s">
        <v>624</v>
      </c>
      <c r="F35" s="63"/>
      <c r="G35" s="63"/>
      <c r="H35" s="63"/>
      <c r="I35" s="63"/>
    </row>
    <row r="36" spans="1:12" ht="25.5" thickBot="1" x14ac:dyDescent="0.75">
      <c r="A36" s="64"/>
      <c r="B36" s="64"/>
      <c r="C36" s="65" t="s">
        <v>625</v>
      </c>
      <c r="D36" s="64"/>
      <c r="E36" s="64"/>
      <c r="F36" s="64"/>
      <c r="G36" s="64"/>
      <c r="H36" s="64"/>
      <c r="I36" s="64"/>
      <c r="J36" s="153"/>
      <c r="K36" s="60"/>
    </row>
    <row r="37" spans="1:12" ht="13.15" thickTop="1" x14ac:dyDescent="0.35"/>
    <row r="39" spans="1:12" s="59" customFormat="1" ht="17.649999999999999" thickBot="1" x14ac:dyDescent="0.5">
      <c r="A39" s="70" t="s">
        <v>641</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642</v>
      </c>
      <c r="D41" s="71"/>
      <c r="E41" s="569" t="str">
        <f>'Auto-Calibration record'!H14</f>
        <v>5.6mg/l RM8631b</v>
      </c>
      <c r="F41" s="570"/>
      <c r="G41" s="183"/>
    </row>
    <row r="42" spans="1:12" x14ac:dyDescent="0.35">
      <c r="A42" s="59"/>
      <c r="C42" s="421" t="s">
        <v>643</v>
      </c>
      <c r="D42" s="422"/>
      <c r="E42" s="165" t="s">
        <v>631</v>
      </c>
      <c r="F42" s="150" t="str">
        <f>E15</f>
        <v>012145671</v>
      </c>
    </row>
    <row r="43" spans="1:12" x14ac:dyDescent="0.35">
      <c r="A43" s="59"/>
      <c r="C43" s="85" t="s">
        <v>644</v>
      </c>
      <c r="D43" s="71"/>
      <c r="E43" s="571" t="s">
        <v>645</v>
      </c>
      <c r="F43" s="572"/>
      <c r="G43" s="59"/>
    </row>
    <row r="44" spans="1:12" x14ac:dyDescent="0.35">
      <c r="C44" s="86" t="s">
        <v>646</v>
      </c>
      <c r="D44" s="73"/>
      <c r="E44" s="571">
        <f>'Auto-Calibration record'!B17</f>
        <v>0</v>
      </c>
      <c r="F44" s="572"/>
      <c r="G44" s="59"/>
      <c r="H44" s="4"/>
      <c r="I44" s="4"/>
      <c r="J44" s="4"/>
      <c r="K44" s="4"/>
      <c r="L44" s="4"/>
    </row>
    <row r="45" spans="1:12" x14ac:dyDescent="0.35">
      <c r="C45" s="85" t="s">
        <v>647</v>
      </c>
      <c r="D45" s="71"/>
      <c r="E45" s="571">
        <f>'Auto-Calibration record'!B11</f>
        <v>54</v>
      </c>
      <c r="F45" s="572"/>
      <c r="G45" s="59"/>
    </row>
    <row r="46" spans="1:12" x14ac:dyDescent="0.35">
      <c r="A46" s="59"/>
      <c r="C46" s="85" t="s">
        <v>648</v>
      </c>
      <c r="D46" s="71"/>
      <c r="E46" s="571" t="s">
        <v>649</v>
      </c>
      <c r="F46" s="572"/>
      <c r="G46" s="59"/>
    </row>
    <row r="47" spans="1:12" s="2" customFormat="1" x14ac:dyDescent="0.35">
      <c r="A47" s="1"/>
      <c r="C47" s="85" t="s">
        <v>650</v>
      </c>
      <c r="D47" s="71"/>
      <c r="E47" s="571" t="s">
        <v>651</v>
      </c>
      <c r="F47" s="572"/>
      <c r="G47" s="59"/>
    </row>
    <row r="48" spans="1:12" x14ac:dyDescent="0.35">
      <c r="B48" s="59"/>
      <c r="C48" s="59"/>
      <c r="D48" s="4"/>
      <c r="E48" s="4"/>
      <c r="F48" s="4"/>
    </row>
    <row r="49" spans="1:10" s="59" customFormat="1" x14ac:dyDescent="0.35">
      <c r="A49" s="74" t="s">
        <v>652</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653</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654</v>
      </c>
      <c r="C54" s="1"/>
    </row>
    <row r="55" spans="1:10" s="59" customFormat="1" ht="63.75" customHeight="1" x14ac:dyDescent="0.35">
      <c r="B55" s="75" t="s">
        <v>578</v>
      </c>
      <c r="C55" s="76" t="s">
        <v>579</v>
      </c>
      <c r="D55" s="579" t="s">
        <v>655</v>
      </c>
      <c r="E55" s="579"/>
      <c r="F55" s="78" t="s">
        <v>656</v>
      </c>
      <c r="G55" s="77" t="s">
        <v>582</v>
      </c>
      <c r="H55" s="79" t="s">
        <v>582</v>
      </c>
      <c r="I55" s="2"/>
    </row>
    <row r="56" spans="1:10" s="2" customFormat="1" x14ac:dyDescent="0.3">
      <c r="A56" s="59"/>
      <c r="B56" s="140" t="s">
        <v>657</v>
      </c>
      <c r="C56" s="141" t="s">
        <v>585</v>
      </c>
      <c r="D56" s="580" t="s">
        <v>658</v>
      </c>
      <c r="E56" s="580"/>
      <c r="F56" s="143" t="s">
        <v>658</v>
      </c>
      <c r="G56" s="142" t="s">
        <v>658</v>
      </c>
      <c r="H56" s="144" t="s">
        <v>587</v>
      </c>
      <c r="I56" s="80"/>
    </row>
    <row r="57" spans="1:10" x14ac:dyDescent="0.35">
      <c r="A57" s="59"/>
      <c r="B57" s="146">
        <v>4</v>
      </c>
      <c r="C57" s="145">
        <f>'Auto-Calibration record'!B65</f>
        <v>112</v>
      </c>
      <c r="D57" s="577">
        <f>'Auto-Calibration record'!B68</f>
        <v>1037710</v>
      </c>
      <c r="E57" s="578"/>
      <c r="F57" s="160">
        <f>'Auto-Calibration record'!I68</f>
        <v>1047870</v>
      </c>
      <c r="G57" s="145">
        <f t="shared" ref="G57:G62" si="0">F57-D57</f>
        <v>10160</v>
      </c>
      <c r="H57" s="147">
        <f t="shared" ref="H57:H62" si="1">G57/D57</f>
        <v>9.7907893342070521E-3</v>
      </c>
      <c r="I57" s="81"/>
    </row>
    <row r="58" spans="1:10" s="59" customFormat="1" x14ac:dyDescent="0.35">
      <c r="A58" s="2"/>
      <c r="B58" s="146">
        <v>6</v>
      </c>
      <c r="C58" s="145">
        <f>'Auto-Calibration record'!C65</f>
        <v>176</v>
      </c>
      <c r="D58" s="577">
        <f>'Auto-Calibration record'!B69</f>
        <v>432580</v>
      </c>
      <c r="E58" s="578"/>
      <c r="F58" s="160">
        <f>'Auto-Calibration record'!I69</f>
        <v>431351</v>
      </c>
      <c r="G58" s="145">
        <f t="shared" si="0"/>
        <v>-1229</v>
      </c>
      <c r="H58" s="147">
        <f t="shared" si="1"/>
        <v>-2.8410929770215916E-3</v>
      </c>
      <c r="I58" s="81"/>
    </row>
    <row r="59" spans="1:10" x14ac:dyDescent="0.35">
      <c r="B59" s="146">
        <v>14</v>
      </c>
      <c r="C59" s="145">
        <f>'Auto-Calibration record'!D65</f>
        <v>714</v>
      </c>
      <c r="D59" s="577">
        <f>'Auto-Calibration record'!B71</f>
        <v>31970</v>
      </c>
      <c r="E59" s="578"/>
      <c r="F59" s="160">
        <f>'Auto-Calibration record'!I71</f>
        <v>32014</v>
      </c>
      <c r="G59" s="145">
        <f t="shared" si="0"/>
        <v>44</v>
      </c>
      <c r="H59" s="147">
        <f t="shared" si="1"/>
        <v>1.3762902721301219E-3</v>
      </c>
      <c r="I59" s="81"/>
    </row>
    <row r="60" spans="1:10" x14ac:dyDescent="0.35">
      <c r="A60" s="59"/>
      <c r="B60" s="146">
        <v>21</v>
      </c>
      <c r="C60" s="145">
        <f>'Auto-Calibration record'!E65</f>
        <v>1314</v>
      </c>
      <c r="D60" s="577">
        <f>'Auto-Calibration record'!B72</f>
        <v>9870</v>
      </c>
      <c r="E60" s="578"/>
      <c r="F60" s="160">
        <f>'Auto-Calibration record'!I72</f>
        <v>9858</v>
      </c>
      <c r="G60" s="145">
        <f t="shared" si="0"/>
        <v>-12</v>
      </c>
      <c r="H60" s="147">
        <f t="shared" si="1"/>
        <v>-1.2158054711246201E-3</v>
      </c>
      <c r="I60" s="81"/>
    </row>
    <row r="61" spans="1:10" x14ac:dyDescent="0.35">
      <c r="B61" s="146">
        <v>25</v>
      </c>
      <c r="C61" s="145">
        <f>'Auto-Calibration record'!F65</f>
        <v>1794</v>
      </c>
      <c r="D61" s="577">
        <f>'Auto-Calibration record'!B73</f>
        <v>5300</v>
      </c>
      <c r="E61" s="578"/>
      <c r="F61" s="160">
        <f>'Auto-Calibration record'!I73</f>
        <v>5300</v>
      </c>
      <c r="G61" s="145">
        <f t="shared" si="0"/>
        <v>0</v>
      </c>
      <c r="H61" s="147">
        <f t="shared" si="1"/>
        <v>0</v>
      </c>
      <c r="I61" s="81"/>
    </row>
    <row r="62" spans="1:10" x14ac:dyDescent="0.35">
      <c r="A62" s="2"/>
      <c r="B62" s="146">
        <v>38</v>
      </c>
      <c r="C62" s="145">
        <f>'Auto-Calibration record'!G65</f>
        <v>4348</v>
      </c>
      <c r="D62" s="577">
        <f>'Auto-Calibration record'!B74</f>
        <v>1180</v>
      </c>
      <c r="E62" s="578"/>
      <c r="F62" s="160">
        <f>'Auto-Calibration record'!I74</f>
        <v>1181</v>
      </c>
      <c r="G62" s="145">
        <f t="shared" si="0"/>
        <v>1</v>
      </c>
      <c r="H62" s="147">
        <f t="shared" si="1"/>
        <v>8.4745762711864404E-4</v>
      </c>
      <c r="I62" s="81"/>
    </row>
    <row r="63" spans="1:10" x14ac:dyDescent="0.35">
      <c r="B63" s="146" t="s">
        <v>659</v>
      </c>
      <c r="C63" s="145">
        <f>'Auto-Calibration record'!H65</f>
        <v>6298</v>
      </c>
      <c r="D63" s="577">
        <f>'Auto-Calibration record'!B75</f>
        <v>640</v>
      </c>
      <c r="E63" s="578"/>
      <c r="F63" s="160">
        <f>'Auto-Calibration record'!I75</f>
        <v>637</v>
      </c>
      <c r="G63" s="423" t="s">
        <v>23</v>
      </c>
      <c r="H63" s="424" t="s">
        <v>23</v>
      </c>
      <c r="I63" s="81"/>
    </row>
    <row r="64" spans="1:10" ht="13.15" thickBot="1" x14ac:dyDescent="0.4">
      <c r="A64" s="59"/>
      <c r="B64" s="148" t="s">
        <v>660</v>
      </c>
      <c r="C64" s="149">
        <f>'Auto-Calibration record'!I65</f>
        <v>14290</v>
      </c>
      <c r="D64" s="577">
        <f>'Auto-Calibration record'!B76</f>
        <v>140</v>
      </c>
      <c r="E64" s="578"/>
      <c r="F64" s="161">
        <f>'Auto-Calibration record'!I76</f>
        <v>139</v>
      </c>
      <c r="G64" s="425" t="s">
        <v>23</v>
      </c>
      <c r="H64" s="426" t="s">
        <v>23</v>
      </c>
      <c r="I64" s="81"/>
    </row>
    <row r="65" spans="2:7" x14ac:dyDescent="0.35">
      <c r="B65" s="576" t="s">
        <v>661</v>
      </c>
      <c r="C65" s="576"/>
      <c r="D65" s="576"/>
      <c r="E65" s="576"/>
      <c r="F65" s="576"/>
      <c r="G65" s="576"/>
    </row>
    <row r="67" spans="2:7" x14ac:dyDescent="0.35">
      <c r="B67" s="84" t="s">
        <v>662</v>
      </c>
      <c r="C67" s="82">
        <f>'Auto-Calibration record'!H16</f>
        <v>46147.7</v>
      </c>
    </row>
    <row r="72" spans="2:7" x14ac:dyDescent="0.35">
      <c r="F72" s="6" t="s">
        <v>639</v>
      </c>
    </row>
    <row r="74" spans="2:7" x14ac:dyDescent="0.35">
      <c r="B74" s="83" t="s">
        <v>663</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613</v>
      </c>
      <c r="C3" s="83"/>
    </row>
    <row r="4" spans="1:16" ht="13.5" x14ac:dyDescent="0.35">
      <c r="B4" s="87" t="s">
        <v>614</v>
      </c>
      <c r="C4" s="83"/>
    </row>
    <row r="5" spans="1:16" ht="13.5" x14ac:dyDescent="0.35">
      <c r="B5" s="87" t="s">
        <v>562</v>
      </c>
      <c r="C5" s="83"/>
    </row>
    <row r="6" spans="1:16" ht="13.5" x14ac:dyDescent="0.35">
      <c r="B6" s="87" t="s">
        <v>615</v>
      </c>
      <c r="C6" s="83"/>
    </row>
    <row r="7" spans="1:16" ht="15" x14ac:dyDescent="0.4">
      <c r="B7" s="87" t="s">
        <v>616</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664</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665</v>
      </c>
      <c r="E21" s="586" t="s">
        <v>666</v>
      </c>
      <c r="F21" s="586"/>
      <c r="G21" s="586" t="s">
        <v>667</v>
      </c>
      <c r="H21" s="586"/>
      <c r="I21" s="586" t="s">
        <v>668</v>
      </c>
      <c r="J21" s="586"/>
      <c r="M21" s="102"/>
      <c r="N21" s="102"/>
      <c r="O21" s="128"/>
    </row>
    <row r="22" spans="2:15" ht="17.649999999999999" x14ac:dyDescent="0.45">
      <c r="B22" s="101"/>
      <c r="D22" s="134" t="s">
        <v>669</v>
      </c>
      <c r="E22" s="581" t="s">
        <v>670</v>
      </c>
      <c r="F22" s="581"/>
      <c r="G22" s="581" t="s">
        <v>671</v>
      </c>
      <c r="H22" s="581"/>
      <c r="I22" s="581">
        <v>5226</v>
      </c>
      <c r="J22" s="581"/>
      <c r="M22" s="102"/>
      <c r="N22" s="102"/>
      <c r="O22" s="128"/>
    </row>
    <row r="23" spans="2:15" ht="14.25" customHeight="1" x14ac:dyDescent="0.45">
      <c r="B23" s="101"/>
      <c r="D23" s="134" t="s">
        <v>672</v>
      </c>
      <c r="E23" s="581" t="s">
        <v>670</v>
      </c>
      <c r="F23" s="581"/>
      <c r="G23" s="581" t="s">
        <v>671</v>
      </c>
      <c r="H23" s="581"/>
      <c r="I23" s="581">
        <v>5306</v>
      </c>
      <c r="J23" s="581"/>
      <c r="M23" s="102"/>
      <c r="N23" s="102"/>
      <c r="O23" s="128"/>
    </row>
    <row r="24" spans="2:15" ht="14.25" customHeight="1" x14ac:dyDescent="0.45">
      <c r="B24" s="101"/>
      <c r="D24" s="134" t="s">
        <v>673</v>
      </c>
      <c r="E24" s="581" t="s">
        <v>670</v>
      </c>
      <c r="F24" s="581"/>
      <c r="G24" s="581" t="s">
        <v>671</v>
      </c>
      <c r="H24" s="581"/>
      <c r="I24" s="581">
        <v>5326</v>
      </c>
      <c r="J24" s="581"/>
      <c r="M24" s="102"/>
      <c r="N24" s="102"/>
      <c r="O24" s="128"/>
    </row>
    <row r="25" spans="2:15" ht="14.25" customHeight="1" x14ac:dyDescent="0.45">
      <c r="B25" s="101"/>
      <c r="D25" s="134" t="s">
        <v>674</v>
      </c>
      <c r="E25" s="581" t="s">
        <v>670</v>
      </c>
      <c r="F25" s="581"/>
      <c r="G25" s="581" t="s">
        <v>671</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575</v>
      </c>
    </row>
    <row r="28" spans="2:15" ht="15" x14ac:dyDescent="0.4">
      <c r="B28" s="103" t="s">
        <v>576</v>
      </c>
      <c r="O28" s="104"/>
    </row>
    <row r="29" spans="2:15" ht="15" x14ac:dyDescent="0.4">
      <c r="B29" s="103" t="s">
        <v>577</v>
      </c>
    </row>
    <row r="30" spans="2:15" ht="15" x14ac:dyDescent="0.4">
      <c r="B30" s="103"/>
    </row>
    <row r="31" spans="2:15" ht="13.15" x14ac:dyDescent="0.4">
      <c r="B31" s="105"/>
    </row>
    <row r="32" spans="2:15" s="106" customFormat="1" ht="67.5" customHeight="1" x14ac:dyDescent="0.35">
      <c r="D32" s="539" t="s">
        <v>578</v>
      </c>
      <c r="E32" s="539"/>
      <c r="F32" s="539" t="s">
        <v>579</v>
      </c>
      <c r="G32" s="539"/>
      <c r="H32" s="539" t="s">
        <v>580</v>
      </c>
      <c r="I32" s="539"/>
      <c r="J32" s="107" t="s">
        <v>581</v>
      </c>
      <c r="K32" s="107" t="s">
        <v>582</v>
      </c>
      <c r="L32" s="107" t="s">
        <v>583</v>
      </c>
    </row>
    <row r="33" spans="2:12" s="108" customFormat="1" ht="25.9" customHeight="1" x14ac:dyDescent="0.35">
      <c r="D33" s="540" t="s">
        <v>584</v>
      </c>
      <c r="E33" s="540"/>
      <c r="F33" s="540" t="s">
        <v>585</v>
      </c>
      <c r="G33" s="540"/>
      <c r="H33" s="540" t="s">
        <v>586</v>
      </c>
      <c r="I33" s="540"/>
      <c r="J33" s="109" t="s">
        <v>586</v>
      </c>
      <c r="K33" s="109" t="s">
        <v>586</v>
      </c>
      <c r="L33" s="109" t="s">
        <v>587</v>
      </c>
    </row>
    <row r="34" spans="2:12" s="108" customFormat="1" ht="25.9" customHeight="1" x14ac:dyDescent="0.35">
      <c r="D34" s="553" t="s">
        <v>588</v>
      </c>
      <c r="E34" s="553"/>
      <c r="F34" s="541">
        <f>'Auto-Calibration record'!B65</f>
        <v>112</v>
      </c>
      <c r="G34" s="541"/>
      <c r="H34" s="536">
        <f>'Auto-Calibration record'!B68</f>
        <v>1037710</v>
      </c>
      <c r="I34" s="582"/>
      <c r="J34" s="158">
        <f>'Auto-Calibration record'!I68</f>
        <v>1047870</v>
      </c>
      <c r="K34" s="159">
        <f t="shared" ref="K34:K39" si="0">J34-H34</f>
        <v>10160</v>
      </c>
      <c r="L34" s="111">
        <f t="shared" ref="L34:L39" si="1">K34/H34</f>
        <v>9.7907893342070521E-3</v>
      </c>
    </row>
    <row r="35" spans="2:12" s="108" customFormat="1" ht="25.9" customHeight="1" x14ac:dyDescent="0.35">
      <c r="D35" s="553" t="s">
        <v>589</v>
      </c>
      <c r="E35" s="553"/>
      <c r="F35" s="541">
        <f>'Auto-Calibration record'!C65</f>
        <v>176</v>
      </c>
      <c r="G35" s="541"/>
      <c r="H35" s="536">
        <f>'Auto-Calibration record'!B69</f>
        <v>432580</v>
      </c>
      <c r="I35" s="582"/>
      <c r="J35" s="158">
        <f>'Auto-Calibration record'!I69</f>
        <v>431351</v>
      </c>
      <c r="K35" s="159">
        <f t="shared" si="0"/>
        <v>-1229</v>
      </c>
      <c r="L35" s="111">
        <f t="shared" si="1"/>
        <v>-2.8410929770215916E-3</v>
      </c>
    </row>
    <row r="36" spans="2:12" s="108" customFormat="1" ht="25.9" customHeight="1" x14ac:dyDescent="0.35">
      <c r="D36" s="553" t="s">
        <v>590</v>
      </c>
      <c r="E36" s="553"/>
      <c r="F36" s="541">
        <f>'Auto-Calibration record'!D65</f>
        <v>714</v>
      </c>
      <c r="G36" s="541"/>
      <c r="H36" s="536">
        <f>'Auto-Calibration record'!B71</f>
        <v>31970</v>
      </c>
      <c r="I36" s="582"/>
      <c r="J36" s="158">
        <f>'Auto-Calibration record'!I71</f>
        <v>32014</v>
      </c>
      <c r="K36" s="159">
        <f t="shared" si="0"/>
        <v>44</v>
      </c>
      <c r="L36" s="111">
        <f t="shared" si="1"/>
        <v>1.3762902721301219E-3</v>
      </c>
    </row>
    <row r="37" spans="2:12" s="108" customFormat="1" ht="25.9" customHeight="1" x14ac:dyDescent="0.35">
      <c r="D37" s="553" t="s">
        <v>591</v>
      </c>
      <c r="E37" s="553"/>
      <c r="F37" s="541">
        <f>'Auto-Calibration record'!E65</f>
        <v>1314</v>
      </c>
      <c r="G37" s="541"/>
      <c r="H37" s="536">
        <f>'Auto-Calibration record'!B72</f>
        <v>9870</v>
      </c>
      <c r="I37" s="582"/>
      <c r="J37" s="158">
        <f>'Auto-Calibration record'!I72</f>
        <v>9858</v>
      </c>
      <c r="K37" s="159">
        <f t="shared" si="0"/>
        <v>-12</v>
      </c>
      <c r="L37" s="111">
        <f t="shared" si="1"/>
        <v>-1.2158054711246201E-3</v>
      </c>
    </row>
    <row r="38" spans="2:12" s="108" customFormat="1" ht="25.9" customHeight="1" x14ac:dyDescent="0.35">
      <c r="D38" s="553" t="s">
        <v>592</v>
      </c>
      <c r="E38" s="553"/>
      <c r="F38" s="541">
        <f>'Auto-Calibration record'!F65</f>
        <v>1794</v>
      </c>
      <c r="G38" s="541"/>
      <c r="H38" s="536">
        <f>'Auto-Calibration record'!B73</f>
        <v>5300</v>
      </c>
      <c r="I38" s="582"/>
      <c r="J38" s="158">
        <f>'Auto-Calibration record'!I73</f>
        <v>5300</v>
      </c>
      <c r="K38" s="159">
        <f t="shared" si="0"/>
        <v>0</v>
      </c>
      <c r="L38" s="111">
        <f t="shared" si="1"/>
        <v>0</v>
      </c>
    </row>
    <row r="39" spans="2:12" s="108" customFormat="1" ht="25.9" customHeight="1" x14ac:dyDescent="0.35">
      <c r="D39" s="553" t="s">
        <v>593</v>
      </c>
      <c r="E39" s="553"/>
      <c r="F39" s="541">
        <f>'Auto-Calibration record'!G65</f>
        <v>4348</v>
      </c>
      <c r="G39" s="541"/>
      <c r="H39" s="536">
        <f>'Auto-Calibration record'!B74</f>
        <v>1180</v>
      </c>
      <c r="I39" s="582"/>
      <c r="J39" s="158">
        <f>'Auto-Calibration record'!I74</f>
        <v>1181</v>
      </c>
      <c r="K39" s="159">
        <f t="shared" si="0"/>
        <v>1</v>
      </c>
      <c r="L39" s="111">
        <f t="shared" si="1"/>
        <v>8.4745762711864404E-4</v>
      </c>
    </row>
    <row r="40" spans="2:12" s="108" customFormat="1" ht="25.9" customHeight="1" x14ac:dyDescent="0.35">
      <c r="D40" s="553" t="s">
        <v>594</v>
      </c>
      <c r="E40" s="553"/>
      <c r="F40" s="541">
        <f>'Auto-Calibration record'!H65</f>
        <v>6298</v>
      </c>
      <c r="G40" s="541"/>
      <c r="H40" s="536">
        <f>'Auto-Calibration record'!B75</f>
        <v>640</v>
      </c>
      <c r="I40" s="582"/>
      <c r="J40" s="158">
        <f>'Auto-Calibration record'!I75</f>
        <v>637</v>
      </c>
      <c r="K40" s="159" t="s">
        <v>23</v>
      </c>
      <c r="L40" s="112" t="s">
        <v>23</v>
      </c>
    </row>
    <row r="41" spans="2:12" s="102" customFormat="1" ht="25.9" customHeight="1" x14ac:dyDescent="0.45">
      <c r="D41" s="553" t="s">
        <v>595</v>
      </c>
      <c r="E41" s="553"/>
      <c r="F41" s="549">
        <f>'Auto-Calibration record'!I65</f>
        <v>14290</v>
      </c>
      <c r="G41" s="549"/>
      <c r="H41" s="536">
        <f>'Auto-Calibration record'!B76</f>
        <v>140</v>
      </c>
      <c r="I41" s="582"/>
      <c r="J41" s="158">
        <f>'Auto-Calibration record'!I76</f>
        <v>139</v>
      </c>
      <c r="K41" s="159" t="s">
        <v>23</v>
      </c>
      <c r="L41" s="112" t="s">
        <v>23</v>
      </c>
    </row>
    <row r="42" spans="2:12" ht="20.25" x14ac:dyDescent="0.55000000000000004">
      <c r="D42" s="113" t="s">
        <v>596</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597</v>
      </c>
      <c r="E44" s="539" t="s">
        <v>598</v>
      </c>
      <c r="F44" s="539"/>
      <c r="G44" s="539" t="s">
        <v>599</v>
      </c>
      <c r="H44" s="539"/>
      <c r="I44" s="108"/>
      <c r="J44" s="107" t="s">
        <v>675</v>
      </c>
      <c r="K44" s="107" t="s">
        <v>676</v>
      </c>
      <c r="L44" s="107" t="s">
        <v>599</v>
      </c>
    </row>
    <row r="45" spans="2:12" ht="25.9" customHeight="1" x14ac:dyDescent="0.35">
      <c r="B45" s="115"/>
      <c r="D45" s="109" t="s">
        <v>585</v>
      </c>
      <c r="E45" s="540" t="s">
        <v>585</v>
      </c>
      <c r="F45" s="540"/>
      <c r="G45" s="540" t="s">
        <v>600</v>
      </c>
      <c r="H45" s="540"/>
      <c r="I45" s="116"/>
      <c r="J45" s="109" t="s">
        <v>585</v>
      </c>
      <c r="K45" s="109" t="s">
        <v>585</v>
      </c>
      <c r="L45" s="109" t="s">
        <v>600</v>
      </c>
    </row>
    <row r="46" spans="2:12" ht="25.9" customHeight="1" x14ac:dyDescent="0.35">
      <c r="B46" s="115"/>
      <c r="D46" s="129">
        <f>'Auto-Calibration record'!B17</f>
        <v>0</v>
      </c>
      <c r="E46" s="536">
        <f>F34-D46</f>
        <v>112</v>
      </c>
      <c r="F46" s="536"/>
      <c r="G46" s="545" t="e">
        <f>F34/D46</f>
        <v>#DIV/0!</v>
      </c>
      <c r="H46" s="545"/>
      <c r="I46" s="116"/>
      <c r="J46" s="129">
        <f>'Auto-Calibration record'!B11</f>
        <v>54</v>
      </c>
      <c r="K46" s="159">
        <f>F35-J46</f>
        <v>122</v>
      </c>
      <c r="L46" s="151">
        <f>F35/J46</f>
        <v>3.2592592592592591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601</v>
      </c>
      <c r="C78" s="121"/>
      <c r="D78" s="130" t="s">
        <v>602</v>
      </c>
      <c r="H78" s="1"/>
      <c r="I78" s="1"/>
      <c r="K78" s="558" t="s">
        <v>603</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604</v>
      </c>
      <c r="C80" s="121"/>
      <c r="D80" s="583" t="s">
        <v>605</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606</v>
      </c>
      <c r="C82" s="121"/>
      <c r="D82" s="550"/>
      <c r="E82" s="551"/>
      <c r="F82" s="552"/>
      <c r="K82" s="122" t="s">
        <v>607</v>
      </c>
      <c r="L82" s="546" t="s">
        <v>608</v>
      </c>
      <c r="M82" s="547"/>
      <c r="N82" s="547"/>
      <c r="O82" s="548"/>
      <c r="P82" s="123"/>
    </row>
    <row r="83" spans="2:16" ht="25.9" customHeight="1" x14ac:dyDescent="0.4">
      <c r="H83" s="88"/>
      <c r="I83" s="88"/>
      <c r="J83" s="88"/>
      <c r="K83" s="88"/>
    </row>
    <row r="84" spans="2:16" ht="15" x14ac:dyDescent="0.4">
      <c r="B84" s="115" t="s">
        <v>609</v>
      </c>
      <c r="H84" s="88"/>
      <c r="I84" s="88"/>
      <c r="J84" s="88"/>
      <c r="K84" s="88"/>
    </row>
    <row r="85" spans="2:16" ht="15" x14ac:dyDescent="0.4">
      <c r="B85" s="115" t="s">
        <v>610</v>
      </c>
      <c r="H85" s="88"/>
      <c r="I85" s="88"/>
      <c r="J85" s="88"/>
      <c r="K85" s="88"/>
    </row>
    <row r="86" spans="2:16" x14ac:dyDescent="0.35">
      <c r="B86" s="115" t="s">
        <v>611</v>
      </c>
    </row>
    <row r="89" spans="2:16" x14ac:dyDescent="0.35">
      <c r="O89" s="124" t="s">
        <v>612</v>
      </c>
    </row>
    <row r="90" spans="2:16" x14ac:dyDescent="0.35">
      <c r="O90" s="124" t="s">
        <v>524</v>
      </c>
    </row>
    <row r="91" spans="2:16" x14ac:dyDescent="0.35">
      <c r="O91" s="124" t="s">
        <v>19</v>
      </c>
    </row>
    <row r="92" spans="2:16" x14ac:dyDescent="0.35">
      <c r="B92" s="125" t="s">
        <v>677</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613</v>
      </c>
      <c r="C3" s="83"/>
    </row>
    <row r="4" spans="1:16" ht="13.5" x14ac:dyDescent="0.35">
      <c r="B4" s="87" t="s">
        <v>614</v>
      </c>
      <c r="C4" s="83"/>
    </row>
    <row r="5" spans="1:16" ht="13.5" x14ac:dyDescent="0.35">
      <c r="B5" s="87" t="s">
        <v>562</v>
      </c>
      <c r="C5" s="83"/>
    </row>
    <row r="6" spans="1:16" ht="13.5" x14ac:dyDescent="0.35">
      <c r="B6" s="87" t="s">
        <v>615</v>
      </c>
      <c r="C6" s="83"/>
    </row>
    <row r="7" spans="1:16" ht="15" x14ac:dyDescent="0.4">
      <c r="B7" s="87" t="s">
        <v>616</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678</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82"/>
      <c r="J28" s="158">
        <f>'Auto-Calibration record'!I68</f>
        <v>1047870</v>
      </c>
      <c r="K28" s="159">
        <f t="shared" ref="K28:K33" si="0">J28-H28</f>
        <v>10160</v>
      </c>
      <c r="L28" s="111">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82"/>
      <c r="J29" s="158">
        <f>'Auto-Calibration record'!I69</f>
        <v>431351</v>
      </c>
      <c r="K29" s="159">
        <f t="shared" si="0"/>
        <v>-1229</v>
      </c>
      <c r="L29" s="111">
        <f t="shared" si="1"/>
        <v>-2.8410929770215916E-3</v>
      </c>
    </row>
    <row r="30" spans="2:15" s="108" customFormat="1" ht="25.9" customHeight="1" x14ac:dyDescent="0.35">
      <c r="D30" s="553" t="s">
        <v>590</v>
      </c>
      <c r="E30" s="553"/>
      <c r="F30" s="541">
        <f>'Auto-Calibration record'!D65</f>
        <v>714</v>
      </c>
      <c r="G30" s="541"/>
      <c r="H30" s="536">
        <f>'Auto-Calibration record'!B71</f>
        <v>31970</v>
      </c>
      <c r="I30" s="582"/>
      <c r="J30" s="158">
        <f>'Auto-Calibration record'!I71</f>
        <v>32014</v>
      </c>
      <c r="K30" s="159">
        <f t="shared" si="0"/>
        <v>44</v>
      </c>
      <c r="L30" s="111">
        <f t="shared" si="1"/>
        <v>1.3762902721301219E-3</v>
      </c>
    </row>
    <row r="31" spans="2:15" s="108" customFormat="1" ht="25.9" customHeight="1" x14ac:dyDescent="0.35">
      <c r="D31" s="553" t="s">
        <v>591</v>
      </c>
      <c r="E31" s="553"/>
      <c r="F31" s="541">
        <f>'Auto-Calibration record'!E65</f>
        <v>1314</v>
      </c>
      <c r="G31" s="541"/>
      <c r="H31" s="536">
        <f>'Auto-Calibration record'!B72</f>
        <v>9870</v>
      </c>
      <c r="I31" s="582"/>
      <c r="J31" s="158">
        <f>'Auto-Calibration record'!I72</f>
        <v>9858</v>
      </c>
      <c r="K31" s="159">
        <f t="shared" si="0"/>
        <v>-12</v>
      </c>
      <c r="L31" s="111">
        <f t="shared" si="1"/>
        <v>-1.2158054711246201E-3</v>
      </c>
    </row>
    <row r="32" spans="2:15" s="108" customFormat="1" ht="25.9" customHeight="1" x14ac:dyDescent="0.35">
      <c r="D32" s="553" t="s">
        <v>592</v>
      </c>
      <c r="E32" s="553"/>
      <c r="F32" s="541">
        <f>'Auto-Calibration record'!F65</f>
        <v>1794</v>
      </c>
      <c r="G32" s="541"/>
      <c r="H32" s="536">
        <f>'Auto-Calibration record'!B73</f>
        <v>5300</v>
      </c>
      <c r="I32" s="582"/>
      <c r="J32" s="158">
        <f>'Auto-Calibration record'!I73</f>
        <v>5300</v>
      </c>
      <c r="K32" s="159">
        <f t="shared" si="0"/>
        <v>0</v>
      </c>
      <c r="L32" s="111">
        <f t="shared" si="1"/>
        <v>0</v>
      </c>
    </row>
    <row r="33" spans="2:14" s="108" customFormat="1" ht="25.9" customHeight="1" x14ac:dyDescent="0.35">
      <c r="D33" s="553" t="s">
        <v>593</v>
      </c>
      <c r="E33" s="553"/>
      <c r="F33" s="541">
        <f>'Auto-Calibration record'!G65</f>
        <v>4348</v>
      </c>
      <c r="G33" s="541"/>
      <c r="H33" s="536">
        <f>'Auto-Calibration record'!B74</f>
        <v>1180</v>
      </c>
      <c r="I33" s="582"/>
      <c r="J33" s="158">
        <f>'Auto-Calibration record'!I74</f>
        <v>1181</v>
      </c>
      <c r="K33" s="159">
        <f t="shared" si="0"/>
        <v>1</v>
      </c>
      <c r="L33" s="111">
        <f t="shared" si="1"/>
        <v>8.4745762711864404E-4</v>
      </c>
    </row>
    <row r="34" spans="2:14" s="108" customFormat="1" ht="25.9" customHeight="1" x14ac:dyDescent="0.35">
      <c r="D34" s="553" t="s">
        <v>594</v>
      </c>
      <c r="E34" s="553"/>
      <c r="F34" s="541">
        <f>'Auto-Calibration record'!H65</f>
        <v>6298</v>
      </c>
      <c r="G34" s="541"/>
      <c r="H34" s="536">
        <f>'Auto-Calibration record'!B75</f>
        <v>640</v>
      </c>
      <c r="I34" s="582"/>
      <c r="J34" s="158">
        <f>'Auto-Calibration record'!I75</f>
        <v>637</v>
      </c>
      <c r="K34" s="159" t="s">
        <v>23</v>
      </c>
      <c r="L34" s="112" t="s">
        <v>23</v>
      </c>
    </row>
    <row r="35" spans="2:14" s="102" customFormat="1" ht="25.9" customHeight="1" x14ac:dyDescent="0.45">
      <c r="D35" s="553" t="s">
        <v>595</v>
      </c>
      <c r="E35" s="553"/>
      <c r="F35" s="549">
        <f>'Auto-Calibration record'!I65</f>
        <v>14290</v>
      </c>
      <c r="G35" s="549"/>
      <c r="H35" s="536">
        <f>'Auto-Calibration record'!B76</f>
        <v>140</v>
      </c>
      <c r="I35" s="582"/>
      <c r="J35" s="158">
        <f>'Auto-Calibration record'!I76</f>
        <v>139</v>
      </c>
      <c r="K35" s="159" t="s">
        <v>23</v>
      </c>
      <c r="L35" s="112" t="s">
        <v>23</v>
      </c>
    </row>
    <row r="36" spans="2:14" ht="20.25" x14ac:dyDescent="0.55000000000000004">
      <c r="D36" s="113" t="s">
        <v>596</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597</v>
      </c>
      <c r="E38" s="539" t="s">
        <v>598</v>
      </c>
      <c r="F38" s="539"/>
      <c r="G38" s="539" t="s">
        <v>599</v>
      </c>
      <c r="H38" s="539"/>
      <c r="I38" s="108"/>
      <c r="J38" s="107" t="s">
        <v>675</v>
      </c>
      <c r="K38" s="107" t="s">
        <v>676</v>
      </c>
      <c r="L38" s="107" t="s">
        <v>599</v>
      </c>
      <c r="N38" s="152"/>
    </row>
    <row r="39" spans="2:14" ht="25.9" customHeight="1" x14ac:dyDescent="0.35">
      <c r="B39" s="115"/>
      <c r="D39" s="109" t="s">
        <v>585</v>
      </c>
      <c r="E39" s="540" t="s">
        <v>585</v>
      </c>
      <c r="F39" s="540"/>
      <c r="G39" s="540" t="s">
        <v>600</v>
      </c>
      <c r="H39" s="540"/>
      <c r="I39" s="116"/>
      <c r="J39" s="109" t="s">
        <v>585</v>
      </c>
      <c r="K39" s="109" t="s">
        <v>585</v>
      </c>
      <c r="L39" s="109" t="s">
        <v>600</v>
      </c>
    </row>
    <row r="40" spans="2:14" ht="25.9" customHeight="1" x14ac:dyDescent="0.35">
      <c r="B40" s="115"/>
      <c r="D40" s="129">
        <f>'Auto-Calibration record'!B17</f>
        <v>0</v>
      </c>
      <c r="E40" s="536">
        <f>F28-D40</f>
        <v>112</v>
      </c>
      <c r="F40" s="536"/>
      <c r="G40" s="545" t="e">
        <f>F28/D40</f>
        <v>#DIV/0!</v>
      </c>
      <c r="H40" s="545"/>
      <c r="I40" s="116"/>
      <c r="J40" s="129">
        <f>'Auto-Calibration record'!B11</f>
        <v>54</v>
      </c>
      <c r="K40" s="159">
        <f>F29-J40</f>
        <v>122</v>
      </c>
      <c r="L40" s="151">
        <f>F29/J40</f>
        <v>3.2592592592592591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83" t="s">
        <v>605</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c r="E76" s="551"/>
      <c r="F76" s="552"/>
      <c r="K76" s="122" t="s">
        <v>607</v>
      </c>
      <c r="L76" s="546" t="s">
        <v>608</v>
      </c>
      <c r="M76" s="547"/>
      <c r="N76" s="547"/>
      <c r="O76" s="548"/>
      <c r="P76" s="123"/>
    </row>
    <row r="77" spans="2:16" ht="25.9" customHeight="1" x14ac:dyDescent="0.4">
      <c r="H77" s="88"/>
      <c r="I77" s="88"/>
      <c r="J77" s="88"/>
      <c r="K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5" x14ac:dyDescent="0.35">
      <c r="O83" s="124" t="s">
        <v>612</v>
      </c>
    </row>
    <row r="84" spans="2:15" x14ac:dyDescent="0.35">
      <c r="O84" s="124" t="s">
        <v>524</v>
      </c>
    </row>
    <row r="85" spans="2:15" x14ac:dyDescent="0.35">
      <c r="O85" s="124" t="s">
        <v>19</v>
      </c>
    </row>
    <row r="86" spans="2:15" x14ac:dyDescent="0.35">
      <c r="B86" s="125" t="s">
        <v>677</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678</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82"/>
      <c r="J28" s="158">
        <f>'Auto-Calibration record'!I68</f>
        <v>1047870</v>
      </c>
      <c r="K28" s="159">
        <f t="shared" ref="K28:K33" si="0">J28-H28</f>
        <v>10160</v>
      </c>
      <c r="L28" s="111">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82"/>
      <c r="J29" s="158">
        <f>'Auto-Calibration record'!I69</f>
        <v>431351</v>
      </c>
      <c r="K29" s="159">
        <f t="shared" si="0"/>
        <v>-1229</v>
      </c>
      <c r="L29" s="111">
        <f t="shared" si="1"/>
        <v>-2.8410929770215916E-3</v>
      </c>
    </row>
    <row r="30" spans="2:15" s="108" customFormat="1" ht="25.9" customHeight="1" x14ac:dyDescent="0.35">
      <c r="D30" s="553" t="s">
        <v>590</v>
      </c>
      <c r="E30" s="553"/>
      <c r="F30" s="541">
        <f>'Auto-Calibration record'!D65</f>
        <v>714</v>
      </c>
      <c r="G30" s="541"/>
      <c r="H30" s="536">
        <f>'Auto-Calibration record'!B71</f>
        <v>31970</v>
      </c>
      <c r="I30" s="582"/>
      <c r="J30" s="158">
        <f>'Auto-Calibration record'!I71</f>
        <v>32014</v>
      </c>
      <c r="K30" s="159">
        <f t="shared" si="0"/>
        <v>44</v>
      </c>
      <c r="L30" s="111">
        <f t="shared" si="1"/>
        <v>1.3762902721301219E-3</v>
      </c>
    </row>
    <row r="31" spans="2:15" s="108" customFormat="1" ht="25.9" customHeight="1" x14ac:dyDescent="0.35">
      <c r="D31" s="553" t="s">
        <v>591</v>
      </c>
      <c r="E31" s="553"/>
      <c r="F31" s="541">
        <f>'Auto-Calibration record'!E65</f>
        <v>1314</v>
      </c>
      <c r="G31" s="541"/>
      <c r="H31" s="536">
        <f>'Auto-Calibration record'!B72</f>
        <v>9870</v>
      </c>
      <c r="I31" s="582"/>
      <c r="J31" s="158">
        <f>'Auto-Calibration record'!I72</f>
        <v>9858</v>
      </c>
      <c r="K31" s="159">
        <f t="shared" si="0"/>
        <v>-12</v>
      </c>
      <c r="L31" s="111">
        <f t="shared" si="1"/>
        <v>-1.2158054711246201E-3</v>
      </c>
    </row>
    <row r="32" spans="2:15" s="108" customFormat="1" ht="25.9" customHeight="1" x14ac:dyDescent="0.35">
      <c r="D32" s="553" t="s">
        <v>592</v>
      </c>
      <c r="E32" s="553"/>
      <c r="F32" s="541">
        <f>'Auto-Calibration record'!F65</f>
        <v>1794</v>
      </c>
      <c r="G32" s="541"/>
      <c r="H32" s="536">
        <f>'Auto-Calibration record'!B73</f>
        <v>5300</v>
      </c>
      <c r="I32" s="582"/>
      <c r="J32" s="158">
        <f>'Auto-Calibration record'!I73</f>
        <v>5300</v>
      </c>
      <c r="K32" s="159">
        <f t="shared" si="0"/>
        <v>0</v>
      </c>
      <c r="L32" s="111">
        <f t="shared" si="1"/>
        <v>0</v>
      </c>
    </row>
    <row r="33" spans="2:12" s="108" customFormat="1" ht="25.9" customHeight="1" x14ac:dyDescent="0.35">
      <c r="D33" s="553" t="s">
        <v>593</v>
      </c>
      <c r="E33" s="553"/>
      <c r="F33" s="541">
        <f>'Auto-Calibration record'!G65</f>
        <v>4348</v>
      </c>
      <c r="G33" s="541"/>
      <c r="H33" s="536">
        <f>'Auto-Calibration record'!B74</f>
        <v>1180</v>
      </c>
      <c r="I33" s="582"/>
      <c r="J33" s="158">
        <f>'Auto-Calibration record'!I74</f>
        <v>1181</v>
      </c>
      <c r="K33" s="159">
        <f t="shared" si="0"/>
        <v>1</v>
      </c>
      <c r="L33" s="111">
        <f t="shared" si="1"/>
        <v>8.4745762711864404E-4</v>
      </c>
    </row>
    <row r="34" spans="2:12" s="108" customFormat="1" ht="25.9" customHeight="1" x14ac:dyDescent="0.35">
      <c r="D34" s="553" t="s">
        <v>594</v>
      </c>
      <c r="E34" s="553"/>
      <c r="F34" s="541">
        <f>'Auto-Calibration record'!H65</f>
        <v>6298</v>
      </c>
      <c r="G34" s="541"/>
      <c r="H34" s="536">
        <f>'Auto-Calibration record'!B75</f>
        <v>640</v>
      </c>
      <c r="I34" s="582"/>
      <c r="J34" s="158">
        <f>'Auto-Calibration record'!I75</f>
        <v>637</v>
      </c>
      <c r="K34" s="159" t="s">
        <v>23</v>
      </c>
      <c r="L34" s="112" t="s">
        <v>23</v>
      </c>
    </row>
    <row r="35" spans="2:12" s="102" customFormat="1" ht="25.9" customHeight="1" x14ac:dyDescent="0.45">
      <c r="D35" s="553" t="s">
        <v>595</v>
      </c>
      <c r="E35" s="553"/>
      <c r="F35" s="549">
        <f>'Auto-Calibration record'!I65</f>
        <v>14290</v>
      </c>
      <c r="G35" s="549"/>
      <c r="H35" s="536">
        <f>'Auto-Calibration record'!B76</f>
        <v>140</v>
      </c>
      <c r="I35" s="582"/>
      <c r="J35" s="158">
        <f>'Auto-Calibration record'!I76</f>
        <v>139</v>
      </c>
      <c r="K35" s="159" t="s">
        <v>23</v>
      </c>
      <c r="L35" s="112" t="s">
        <v>23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07" t="s">
        <v>675</v>
      </c>
      <c r="K38" s="107" t="s">
        <v>676</v>
      </c>
      <c r="L38" s="107" t="s">
        <v>599</v>
      </c>
    </row>
    <row r="39" spans="2:12" ht="25.9" customHeight="1" x14ac:dyDescent="0.35">
      <c r="B39" s="115"/>
      <c r="D39" s="109" t="s">
        <v>585</v>
      </c>
      <c r="E39" s="540" t="s">
        <v>585</v>
      </c>
      <c r="F39" s="540"/>
      <c r="G39" s="540" t="s">
        <v>600</v>
      </c>
      <c r="H39" s="540"/>
      <c r="I39" s="116"/>
      <c r="J39" s="109" t="s">
        <v>585</v>
      </c>
      <c r="K39" s="109" t="s">
        <v>585</v>
      </c>
      <c r="L39" s="109" t="s">
        <v>600</v>
      </c>
    </row>
    <row r="40" spans="2:12" ht="25.9" customHeight="1" x14ac:dyDescent="0.35">
      <c r="B40" s="115"/>
      <c r="D40" s="129">
        <f>'Auto-Calibration record'!B17</f>
        <v>0</v>
      </c>
      <c r="E40" s="536">
        <f>F28-D40</f>
        <v>112</v>
      </c>
      <c r="F40" s="536"/>
      <c r="G40" s="545" t="e">
        <f>F28/D40</f>
        <v>#DIV/0!</v>
      </c>
      <c r="H40" s="54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83" t="s">
        <v>605</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c r="E76" s="551"/>
      <c r="F76" s="552"/>
      <c r="K76" s="122" t="s">
        <v>607</v>
      </c>
      <c r="L76" s="546" t="s">
        <v>608</v>
      </c>
      <c r="M76" s="547"/>
      <c r="N76" s="547"/>
      <c r="O76" s="548"/>
      <c r="P76" s="123"/>
    </row>
    <row r="77" spans="2:16" ht="25.9" customHeight="1" x14ac:dyDescent="0.4">
      <c r="H77" s="88"/>
      <c r="I77" s="88"/>
      <c r="J77" s="88"/>
      <c r="K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5" x14ac:dyDescent="0.35">
      <c r="O83" s="124" t="s">
        <v>612</v>
      </c>
    </row>
    <row r="84" spans="2:15" x14ac:dyDescent="0.35">
      <c r="O84" s="124" t="s">
        <v>524</v>
      </c>
    </row>
    <row r="85" spans="2:15" x14ac:dyDescent="0.35">
      <c r="O85" s="124" t="s">
        <v>19</v>
      </c>
    </row>
    <row r="86" spans="2:15" x14ac:dyDescent="0.35">
      <c r="B86" s="125" t="s">
        <v>677</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613</v>
      </c>
      <c r="C3" s="83"/>
    </row>
    <row r="4" spans="1:16" ht="13.5" x14ac:dyDescent="0.35">
      <c r="B4" s="87" t="s">
        <v>614</v>
      </c>
      <c r="C4" s="83"/>
    </row>
    <row r="5" spans="1:16" ht="13.5" x14ac:dyDescent="0.35">
      <c r="B5" s="87" t="s">
        <v>562</v>
      </c>
      <c r="C5" s="83"/>
    </row>
    <row r="6" spans="1:16" ht="13.5" x14ac:dyDescent="0.35">
      <c r="B6" s="87" t="s">
        <v>615</v>
      </c>
      <c r="C6" s="83"/>
    </row>
    <row r="7" spans="1:16" ht="15" x14ac:dyDescent="0.4">
      <c r="B7" s="87" t="s">
        <v>616</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664</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82"/>
      <c r="J28" s="158">
        <f>'Auto-Calibration record'!I68</f>
        <v>1047870</v>
      </c>
      <c r="K28" s="159">
        <f t="shared" ref="K28:K33" si="0">J28-H28</f>
        <v>10160</v>
      </c>
      <c r="L28" s="111">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82"/>
      <c r="J29" s="158">
        <f>'Auto-Calibration record'!I69</f>
        <v>431351</v>
      </c>
      <c r="K29" s="159">
        <f t="shared" si="0"/>
        <v>-1229</v>
      </c>
      <c r="L29" s="111">
        <f t="shared" si="1"/>
        <v>-2.8410929770215916E-3</v>
      </c>
    </row>
    <row r="30" spans="2:15" s="108" customFormat="1" ht="25.9" customHeight="1" x14ac:dyDescent="0.35">
      <c r="D30" s="553" t="s">
        <v>590</v>
      </c>
      <c r="E30" s="553"/>
      <c r="F30" s="541">
        <f>'Auto-Calibration record'!D65</f>
        <v>714</v>
      </c>
      <c r="G30" s="541"/>
      <c r="H30" s="536">
        <f>'Auto-Calibration record'!B71</f>
        <v>31970</v>
      </c>
      <c r="I30" s="582"/>
      <c r="J30" s="158">
        <f>'Auto-Calibration record'!I71</f>
        <v>32014</v>
      </c>
      <c r="K30" s="159">
        <f t="shared" si="0"/>
        <v>44</v>
      </c>
      <c r="L30" s="111">
        <f t="shared" si="1"/>
        <v>1.3762902721301219E-3</v>
      </c>
    </row>
    <row r="31" spans="2:15" s="108" customFormat="1" ht="25.9" customHeight="1" x14ac:dyDescent="0.35">
      <c r="D31" s="553" t="s">
        <v>591</v>
      </c>
      <c r="E31" s="553"/>
      <c r="F31" s="541">
        <f>'Auto-Calibration record'!E65</f>
        <v>1314</v>
      </c>
      <c r="G31" s="541"/>
      <c r="H31" s="536">
        <f>'Auto-Calibration record'!B72</f>
        <v>9870</v>
      </c>
      <c r="I31" s="582"/>
      <c r="J31" s="158">
        <f>'Auto-Calibration record'!I72</f>
        <v>9858</v>
      </c>
      <c r="K31" s="159">
        <f t="shared" si="0"/>
        <v>-12</v>
      </c>
      <c r="L31" s="111">
        <f t="shared" si="1"/>
        <v>-1.2158054711246201E-3</v>
      </c>
    </row>
    <row r="32" spans="2:15" s="108" customFormat="1" ht="25.9" customHeight="1" x14ac:dyDescent="0.35">
      <c r="D32" s="553" t="s">
        <v>592</v>
      </c>
      <c r="E32" s="553"/>
      <c r="F32" s="541">
        <f>'Auto-Calibration record'!F65</f>
        <v>1794</v>
      </c>
      <c r="G32" s="541"/>
      <c r="H32" s="536">
        <f>'Auto-Calibration record'!B73</f>
        <v>5300</v>
      </c>
      <c r="I32" s="582"/>
      <c r="J32" s="158">
        <f>'Auto-Calibration record'!I73</f>
        <v>5300</v>
      </c>
      <c r="K32" s="159">
        <f t="shared" si="0"/>
        <v>0</v>
      </c>
      <c r="L32" s="111">
        <f t="shared" si="1"/>
        <v>0</v>
      </c>
    </row>
    <row r="33" spans="2:12" s="108" customFormat="1" ht="25.9" customHeight="1" x14ac:dyDescent="0.35">
      <c r="D33" s="553" t="s">
        <v>593</v>
      </c>
      <c r="E33" s="553"/>
      <c r="F33" s="541">
        <f>'Auto-Calibration record'!G65</f>
        <v>4348</v>
      </c>
      <c r="G33" s="541"/>
      <c r="H33" s="536">
        <f>'Auto-Calibration record'!B74</f>
        <v>1180</v>
      </c>
      <c r="I33" s="582"/>
      <c r="J33" s="158">
        <f>'Auto-Calibration record'!I74</f>
        <v>1181</v>
      </c>
      <c r="K33" s="159">
        <f t="shared" si="0"/>
        <v>1</v>
      </c>
      <c r="L33" s="111">
        <f t="shared" si="1"/>
        <v>8.4745762711864404E-4</v>
      </c>
    </row>
    <row r="34" spans="2:12" s="108" customFormat="1" ht="25.9" customHeight="1" x14ac:dyDescent="0.35">
      <c r="D34" s="553" t="s">
        <v>594</v>
      </c>
      <c r="E34" s="553"/>
      <c r="F34" s="541">
        <f>'Auto-Calibration record'!H65</f>
        <v>6298</v>
      </c>
      <c r="G34" s="541"/>
      <c r="H34" s="536">
        <f>'Auto-Calibration record'!B75</f>
        <v>640</v>
      </c>
      <c r="I34" s="582"/>
      <c r="J34" s="158">
        <f>'Auto-Calibration record'!I75</f>
        <v>637</v>
      </c>
      <c r="K34" s="159" t="s">
        <v>23</v>
      </c>
      <c r="L34" s="112" t="s">
        <v>23</v>
      </c>
    </row>
    <row r="35" spans="2:12" s="102" customFormat="1" ht="25.9" customHeight="1" x14ac:dyDescent="0.45">
      <c r="D35" s="553" t="s">
        <v>595</v>
      </c>
      <c r="E35" s="553"/>
      <c r="F35" s="549">
        <f>'Auto-Calibration record'!I65</f>
        <v>14290</v>
      </c>
      <c r="G35" s="549"/>
      <c r="H35" s="536">
        <f>'Auto-Calibration record'!B76</f>
        <v>140</v>
      </c>
      <c r="I35" s="582"/>
      <c r="J35" s="158">
        <f>'Auto-Calibration record'!I76</f>
        <v>139</v>
      </c>
      <c r="K35" s="159" t="s">
        <v>23</v>
      </c>
      <c r="L35" s="112" t="s">
        <v>23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07" t="s">
        <v>675</v>
      </c>
      <c r="K38" s="107" t="s">
        <v>676</v>
      </c>
      <c r="L38" s="107" t="s">
        <v>599</v>
      </c>
    </row>
    <row r="39" spans="2:12" ht="25.9" customHeight="1" x14ac:dyDescent="0.35">
      <c r="B39" s="115"/>
      <c r="D39" s="109" t="s">
        <v>585</v>
      </c>
      <c r="E39" s="540" t="s">
        <v>585</v>
      </c>
      <c r="F39" s="540"/>
      <c r="G39" s="540" t="s">
        <v>600</v>
      </c>
      <c r="H39" s="540"/>
      <c r="I39" s="116"/>
      <c r="J39" s="109" t="s">
        <v>585</v>
      </c>
      <c r="K39" s="109" t="s">
        <v>585</v>
      </c>
      <c r="L39" s="109" t="s">
        <v>600</v>
      </c>
    </row>
    <row r="40" spans="2:12" ht="25.9" customHeight="1" x14ac:dyDescent="0.35">
      <c r="B40" s="115"/>
      <c r="D40" s="129">
        <f>'Auto-Calibration record'!B17</f>
        <v>0</v>
      </c>
      <c r="E40" s="536">
        <f>F28-D40</f>
        <v>112</v>
      </c>
      <c r="F40" s="536"/>
      <c r="G40" s="545" t="e">
        <f>F28/D40</f>
        <v>#DIV/0!</v>
      </c>
      <c r="H40" s="54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83" t="s">
        <v>605</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c r="E76" s="551"/>
      <c r="F76" s="552"/>
      <c r="K76" s="122" t="s">
        <v>607</v>
      </c>
      <c r="L76" s="546" t="s">
        <v>608</v>
      </c>
      <c r="M76" s="547"/>
      <c r="N76" s="547"/>
      <c r="O76" s="548"/>
      <c r="P76" s="123"/>
    </row>
    <row r="77" spans="2:16" ht="25.9" customHeight="1" x14ac:dyDescent="0.4">
      <c r="H77" s="88"/>
      <c r="I77" s="88"/>
      <c r="J77" s="88"/>
      <c r="K77" s="88"/>
    </row>
    <row r="78" spans="2:16" ht="17.649999999999999" x14ac:dyDescent="0.4">
      <c r="B78" s="115" t="s">
        <v>609</v>
      </c>
      <c r="H78" s="88"/>
      <c r="I78" s="88"/>
      <c r="J78" s="136" t="s">
        <v>679</v>
      </c>
      <c r="M78" s="587" t="s">
        <v>680</v>
      </c>
      <c r="N78" s="588"/>
      <c r="O78" s="589"/>
    </row>
    <row r="79" spans="2:16" ht="15" x14ac:dyDescent="0.4">
      <c r="B79" s="115" t="s">
        <v>610</v>
      </c>
      <c r="H79" s="88"/>
      <c r="I79" s="88"/>
      <c r="M79" s="590" t="s">
        <v>681</v>
      </c>
      <c r="N79" s="591"/>
      <c r="O79" s="592"/>
    </row>
    <row r="80" spans="2:16" ht="13.15" x14ac:dyDescent="0.35">
      <c r="B80" s="115" t="s">
        <v>611</v>
      </c>
      <c r="M80" s="590" t="s">
        <v>682</v>
      </c>
      <c r="N80" s="591"/>
      <c r="O80" s="592"/>
    </row>
    <row r="81" spans="2:15" ht="13.15" x14ac:dyDescent="0.35">
      <c r="M81" s="593" t="s">
        <v>683</v>
      </c>
      <c r="N81" s="594"/>
      <c r="O81" s="595"/>
    </row>
    <row r="83" spans="2:15" x14ac:dyDescent="0.35">
      <c r="O83" s="124" t="s">
        <v>612</v>
      </c>
    </row>
    <row r="84" spans="2:15" x14ac:dyDescent="0.35">
      <c r="O84" s="124" t="s">
        <v>524</v>
      </c>
    </row>
    <row r="85" spans="2:15" x14ac:dyDescent="0.35">
      <c r="O85" s="124" t="s">
        <v>19</v>
      </c>
    </row>
    <row r="86" spans="2:15" x14ac:dyDescent="0.35">
      <c r="B86" s="125" t="s">
        <v>677</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678</v>
      </c>
      <c r="C13" s="567"/>
      <c r="D13" s="567"/>
      <c r="E13" s="567"/>
      <c r="F13" s="567"/>
      <c r="G13" s="567"/>
      <c r="H13" s="567"/>
      <c r="I13" s="567"/>
      <c r="J13" s="567"/>
      <c r="K13" s="567"/>
      <c r="L13" s="567"/>
      <c r="M13" s="567"/>
      <c r="N13" s="567"/>
      <c r="O13" s="567"/>
      <c r="P13" s="91"/>
    </row>
    <row r="14" spans="1:16" ht="66"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82"/>
      <c r="J28" s="158">
        <f>'MP Calibration Certificate'!J28</f>
        <v>1047870</v>
      </c>
      <c r="K28" s="159">
        <f t="shared" ref="K28:K33" si="0">J28-H28</f>
        <v>10160</v>
      </c>
      <c r="L28" s="111">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82"/>
      <c r="J29" s="158">
        <f>'MP Calibration Certificate'!J29</f>
        <v>431351</v>
      </c>
      <c r="K29" s="159">
        <f t="shared" si="0"/>
        <v>-1229</v>
      </c>
      <c r="L29" s="111">
        <f t="shared" si="1"/>
        <v>-2.8410929770215916E-3</v>
      </c>
    </row>
    <row r="30" spans="2:15" s="108" customFormat="1" ht="25.9" customHeight="1" x14ac:dyDescent="0.35">
      <c r="D30" s="553" t="s">
        <v>590</v>
      </c>
      <c r="E30" s="553"/>
      <c r="F30" s="541">
        <f>'Auto-Calibration record'!D65</f>
        <v>714</v>
      </c>
      <c r="G30" s="541"/>
      <c r="H30" s="536">
        <f>'Auto-Calibration record'!B71</f>
        <v>31970</v>
      </c>
      <c r="I30" s="582"/>
      <c r="J30" s="158">
        <f>'MP Calibration Certificate'!J30</f>
        <v>32014</v>
      </c>
      <c r="K30" s="159">
        <f t="shared" si="0"/>
        <v>44</v>
      </c>
      <c r="L30" s="111">
        <f t="shared" si="1"/>
        <v>1.3762902721301219E-3</v>
      </c>
    </row>
    <row r="31" spans="2:15" s="108" customFormat="1" ht="25.9" customHeight="1" x14ac:dyDescent="0.35">
      <c r="D31" s="553" t="s">
        <v>591</v>
      </c>
      <c r="E31" s="553"/>
      <c r="F31" s="541">
        <f>'Auto-Calibration record'!E65</f>
        <v>1314</v>
      </c>
      <c r="G31" s="541"/>
      <c r="H31" s="536">
        <f>'Auto-Calibration record'!B72</f>
        <v>9870</v>
      </c>
      <c r="I31" s="582"/>
      <c r="J31" s="158">
        <f>'MP Calibration Certificate'!J31</f>
        <v>9858</v>
      </c>
      <c r="K31" s="159">
        <f t="shared" si="0"/>
        <v>-12</v>
      </c>
      <c r="L31" s="111">
        <f t="shared" si="1"/>
        <v>-1.2158054711246201E-3</v>
      </c>
    </row>
    <row r="32" spans="2:15" s="108" customFormat="1" ht="25.9" customHeight="1" x14ac:dyDescent="0.35">
      <c r="D32" s="553" t="s">
        <v>592</v>
      </c>
      <c r="E32" s="553"/>
      <c r="F32" s="541">
        <f>'Auto-Calibration record'!F65</f>
        <v>1794</v>
      </c>
      <c r="G32" s="541"/>
      <c r="H32" s="536">
        <f>'Auto-Calibration record'!B73</f>
        <v>5300</v>
      </c>
      <c r="I32" s="582"/>
      <c r="J32" s="158">
        <f>'MP Calibration Certificate'!J32</f>
        <v>5300</v>
      </c>
      <c r="K32" s="159">
        <f t="shared" si="0"/>
        <v>0</v>
      </c>
      <c r="L32" s="111">
        <f t="shared" si="1"/>
        <v>0</v>
      </c>
    </row>
    <row r="33" spans="2:12" s="108" customFormat="1" ht="25.9" customHeight="1" x14ac:dyDescent="0.35">
      <c r="D33" s="553" t="s">
        <v>593</v>
      </c>
      <c r="E33" s="553"/>
      <c r="F33" s="541">
        <f>'Auto-Calibration record'!G65</f>
        <v>4348</v>
      </c>
      <c r="G33" s="541"/>
      <c r="H33" s="536">
        <f>'Auto-Calibration record'!B74</f>
        <v>1180</v>
      </c>
      <c r="I33" s="582"/>
      <c r="J33" s="158">
        <f>'MP Calibration Certificate'!J33</f>
        <v>1181</v>
      </c>
      <c r="K33" s="159">
        <f t="shared" si="0"/>
        <v>1</v>
      </c>
      <c r="L33" s="111">
        <f t="shared" si="1"/>
        <v>8.4745762711864404E-4</v>
      </c>
    </row>
    <row r="34" spans="2:12" s="108" customFormat="1" ht="25.9" customHeight="1" x14ac:dyDescent="0.35">
      <c r="D34" s="553" t="s">
        <v>594</v>
      </c>
      <c r="E34" s="553"/>
      <c r="F34" s="541">
        <f>'Auto-Calibration record'!H65</f>
        <v>6298</v>
      </c>
      <c r="G34" s="541"/>
      <c r="H34" s="536">
        <f>'Auto-Calibration record'!B75</f>
        <v>640</v>
      </c>
      <c r="I34" s="582"/>
      <c r="J34" s="158">
        <f>'MP Calibration Certificate'!J34</f>
        <v>637</v>
      </c>
      <c r="K34" s="159" t="s">
        <v>23</v>
      </c>
      <c r="L34" s="112" t="s">
        <v>23</v>
      </c>
    </row>
    <row r="35" spans="2:12" s="102" customFormat="1" ht="25.9" customHeight="1" x14ac:dyDescent="0.45">
      <c r="D35" s="553" t="s">
        <v>595</v>
      </c>
      <c r="E35" s="553"/>
      <c r="F35" s="549">
        <f>'Auto-Calibration record'!I65</f>
        <v>14290</v>
      </c>
      <c r="G35" s="549"/>
      <c r="H35" s="536">
        <f>'Auto-Calibration record'!B76</f>
        <v>140</v>
      </c>
      <c r="I35" s="582"/>
      <c r="J35" s="158">
        <f>'MP Calibration Certificate'!J35</f>
        <v>139</v>
      </c>
      <c r="K35" s="159" t="s">
        <v>23</v>
      </c>
      <c r="L35" s="112" t="s">
        <v>23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07" t="s">
        <v>675</v>
      </c>
      <c r="K38" s="107" t="s">
        <v>676</v>
      </c>
      <c r="L38" s="107" t="s">
        <v>599</v>
      </c>
    </row>
    <row r="39" spans="2:12" ht="25.9" customHeight="1" x14ac:dyDescent="0.35">
      <c r="B39" s="115"/>
      <c r="D39" s="109" t="s">
        <v>585</v>
      </c>
      <c r="E39" s="540" t="s">
        <v>585</v>
      </c>
      <c r="F39" s="540"/>
      <c r="G39" s="540" t="s">
        <v>600</v>
      </c>
      <c r="H39" s="540"/>
      <c r="I39" s="116"/>
      <c r="J39" s="109" t="s">
        <v>585</v>
      </c>
      <c r="K39" s="109" t="s">
        <v>585</v>
      </c>
      <c r="L39" s="109" t="s">
        <v>600</v>
      </c>
    </row>
    <row r="40" spans="2:12" ht="25.9" customHeight="1" x14ac:dyDescent="0.35">
      <c r="B40" s="115"/>
      <c r="D40" s="129">
        <f>'Auto-Calibration record'!B17</f>
        <v>0</v>
      </c>
      <c r="E40" s="536">
        <f>F28-D40</f>
        <v>112</v>
      </c>
      <c r="F40" s="536"/>
      <c r="G40" s="545" t="e">
        <f>F28/D40</f>
        <v>#DIV/0!</v>
      </c>
      <c r="H40" s="545"/>
      <c r="I40" s="116"/>
      <c r="J40" s="129">
        <f>'Auto-Calibration record'!B11</f>
        <v>54</v>
      </c>
      <c r="K40" s="159">
        <f>F29-J40</f>
        <v>122</v>
      </c>
      <c r="L40" s="151">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83" t="s">
        <v>605</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c r="E76" s="551"/>
      <c r="F76" s="552"/>
      <c r="K76" s="122" t="s">
        <v>607</v>
      </c>
      <c r="L76" s="546" t="s">
        <v>608</v>
      </c>
      <c r="M76" s="547"/>
      <c r="N76" s="547"/>
      <c r="O76" s="548"/>
      <c r="P76" s="123"/>
    </row>
    <row r="77" spans="2:16" ht="25.9" customHeight="1" x14ac:dyDescent="0.4">
      <c r="H77" s="88"/>
      <c r="I77" s="88"/>
      <c r="J77" s="88"/>
      <c r="K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5" x14ac:dyDescent="0.35">
      <c r="O83" s="124" t="s">
        <v>612</v>
      </c>
    </row>
    <row r="84" spans="2:15" x14ac:dyDescent="0.35">
      <c r="O84" s="124" t="s">
        <v>524</v>
      </c>
    </row>
    <row r="85" spans="2:15" x14ac:dyDescent="0.35">
      <c r="O85" s="124" t="s">
        <v>19</v>
      </c>
    </row>
    <row r="86" spans="2:15" x14ac:dyDescent="0.35">
      <c r="B86" s="125" t="s">
        <v>677</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613</v>
      </c>
      <c r="C3" s="83"/>
    </row>
    <row r="4" spans="1:16" ht="13.5" x14ac:dyDescent="0.35">
      <c r="B4" s="87" t="s">
        <v>614</v>
      </c>
      <c r="C4" s="83"/>
    </row>
    <row r="5" spans="1:16" ht="13.5" x14ac:dyDescent="0.35">
      <c r="B5" s="87" t="s">
        <v>562</v>
      </c>
      <c r="C5" s="83"/>
    </row>
    <row r="6" spans="1:16" ht="13.5" x14ac:dyDescent="0.35">
      <c r="B6" s="87" t="s">
        <v>615</v>
      </c>
      <c r="C6" s="83"/>
    </row>
    <row r="7" spans="1:16" ht="15" x14ac:dyDescent="0.4">
      <c r="B7" s="87" t="s">
        <v>616</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664</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570</v>
      </c>
      <c r="L17" s="96"/>
      <c r="M17" s="96"/>
      <c r="N17" s="97"/>
      <c r="O17" s="54" t="str">
        <f>'Auto-Calibration record'!H18</f>
        <v>RM8631b</v>
      </c>
    </row>
    <row r="18" spans="2:15" ht="25.9" customHeight="1" x14ac:dyDescent="0.45">
      <c r="B18" s="131" t="s">
        <v>571</v>
      </c>
      <c r="C18" s="132"/>
      <c r="D18" s="542" t="e">
        <f>'Auto-Calibration record'!#REF!&amp;'Auto-Calibration record'!H15</f>
        <v>#REF!</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82"/>
      <c r="J28" s="158">
        <f>'Auto-Calibration record'!I68</f>
        <v>1047870</v>
      </c>
      <c r="K28" s="159">
        <f t="shared" ref="K28:K33" si="0">J28-H28</f>
        <v>10160</v>
      </c>
      <c r="L28" s="111">
        <f t="shared" ref="L28:L33" si="1">K28/H28</f>
        <v>9.7907893342070521E-3</v>
      </c>
    </row>
    <row r="29" spans="2:15" s="108" customFormat="1" ht="25.9" customHeight="1" x14ac:dyDescent="0.35">
      <c r="D29" s="553" t="s">
        <v>589</v>
      </c>
      <c r="E29" s="553"/>
      <c r="F29" s="541">
        <f>'Auto-Calibration record'!C65</f>
        <v>176</v>
      </c>
      <c r="G29" s="541"/>
      <c r="H29" s="536">
        <f>'Auto-Calibration record'!B69</f>
        <v>432580</v>
      </c>
      <c r="I29" s="582"/>
      <c r="J29" s="158">
        <f>'Auto-Calibration record'!I69</f>
        <v>431351</v>
      </c>
      <c r="K29" s="159">
        <f t="shared" si="0"/>
        <v>-1229</v>
      </c>
      <c r="L29" s="111">
        <f t="shared" si="1"/>
        <v>-2.8410929770215916E-3</v>
      </c>
    </row>
    <row r="30" spans="2:15" s="108" customFormat="1" ht="25.9" customHeight="1" x14ac:dyDescent="0.35">
      <c r="D30" s="553" t="s">
        <v>590</v>
      </c>
      <c r="E30" s="553"/>
      <c r="F30" s="541">
        <f>'Auto-Calibration record'!D65</f>
        <v>714</v>
      </c>
      <c r="G30" s="541"/>
      <c r="H30" s="536">
        <f>'Auto-Calibration record'!B71</f>
        <v>31970</v>
      </c>
      <c r="I30" s="582"/>
      <c r="J30" s="158">
        <f>'Auto-Calibration record'!I71</f>
        <v>32014</v>
      </c>
      <c r="K30" s="159">
        <f t="shared" si="0"/>
        <v>44</v>
      </c>
      <c r="L30" s="111">
        <f t="shared" si="1"/>
        <v>1.3762902721301219E-3</v>
      </c>
    </row>
    <row r="31" spans="2:15" s="108" customFormat="1" ht="25.9" customHeight="1" x14ac:dyDescent="0.35">
      <c r="D31" s="553" t="s">
        <v>591</v>
      </c>
      <c r="E31" s="553"/>
      <c r="F31" s="541">
        <f>'Auto-Calibration record'!E65</f>
        <v>1314</v>
      </c>
      <c r="G31" s="541"/>
      <c r="H31" s="536">
        <f>'Auto-Calibration record'!B72</f>
        <v>9870</v>
      </c>
      <c r="I31" s="582"/>
      <c r="J31" s="158">
        <f>'Auto-Calibration record'!I72</f>
        <v>9858</v>
      </c>
      <c r="K31" s="159">
        <f t="shared" si="0"/>
        <v>-12</v>
      </c>
      <c r="L31" s="111">
        <f t="shared" si="1"/>
        <v>-1.2158054711246201E-3</v>
      </c>
    </row>
    <row r="32" spans="2:15" s="108" customFormat="1" ht="25.9" customHeight="1" x14ac:dyDescent="0.35">
      <c r="D32" s="553" t="s">
        <v>592</v>
      </c>
      <c r="E32" s="553"/>
      <c r="F32" s="541">
        <f>'Auto-Calibration record'!F65</f>
        <v>1794</v>
      </c>
      <c r="G32" s="541"/>
      <c r="H32" s="536">
        <f>'Auto-Calibration record'!B73</f>
        <v>5300</v>
      </c>
      <c r="I32" s="582"/>
      <c r="J32" s="158">
        <f>'Auto-Calibration record'!I73</f>
        <v>5300</v>
      </c>
      <c r="K32" s="159">
        <f t="shared" si="0"/>
        <v>0</v>
      </c>
      <c r="L32" s="111">
        <f t="shared" si="1"/>
        <v>0</v>
      </c>
    </row>
    <row r="33" spans="2:12" s="108" customFormat="1" ht="25.9" customHeight="1" x14ac:dyDescent="0.35">
      <c r="D33" s="553" t="s">
        <v>593</v>
      </c>
      <c r="E33" s="553"/>
      <c r="F33" s="541">
        <f>'Auto-Calibration record'!G65</f>
        <v>4348</v>
      </c>
      <c r="G33" s="541"/>
      <c r="H33" s="536">
        <f>'Auto-Calibration record'!B74</f>
        <v>1180</v>
      </c>
      <c r="I33" s="582"/>
      <c r="J33" s="158">
        <f>'Auto-Calibration record'!I74</f>
        <v>1181</v>
      </c>
      <c r="K33" s="159">
        <f t="shared" si="0"/>
        <v>1</v>
      </c>
      <c r="L33" s="111">
        <f t="shared" si="1"/>
        <v>8.4745762711864404E-4</v>
      </c>
    </row>
    <row r="34" spans="2:12" s="108" customFormat="1" ht="25.9" customHeight="1" x14ac:dyDescent="0.35">
      <c r="D34" s="553" t="s">
        <v>594</v>
      </c>
      <c r="E34" s="553"/>
      <c r="F34" s="541">
        <f>'Auto-Calibration record'!H65</f>
        <v>6298</v>
      </c>
      <c r="G34" s="541"/>
      <c r="H34" s="536">
        <f>'Auto-Calibration record'!B75</f>
        <v>640</v>
      </c>
      <c r="I34" s="582"/>
      <c r="J34" s="158">
        <f>'Auto-Calibration record'!I75</f>
        <v>637</v>
      </c>
      <c r="K34" s="159" t="s">
        <v>23</v>
      </c>
      <c r="L34" s="112" t="s">
        <v>23</v>
      </c>
    </row>
    <row r="35" spans="2:12" s="102" customFormat="1" ht="25.9" customHeight="1" x14ac:dyDescent="0.45">
      <c r="D35" s="553" t="s">
        <v>595</v>
      </c>
      <c r="E35" s="553"/>
      <c r="F35" s="549">
        <f>'Auto-Calibration record'!I65</f>
        <v>14290</v>
      </c>
      <c r="G35" s="549"/>
      <c r="H35" s="536">
        <f>'Auto-Calibration record'!B76</f>
        <v>140</v>
      </c>
      <c r="I35" s="582"/>
      <c r="J35" s="158">
        <f>'Auto-Calibration record'!I76</f>
        <v>139</v>
      </c>
      <c r="K35" s="159" t="s">
        <v>23</v>
      </c>
      <c r="L35" s="112" t="s">
        <v>23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07" t="s">
        <v>675</v>
      </c>
      <c r="K38" s="107" t="s">
        <v>676</v>
      </c>
      <c r="L38" s="107" t="s">
        <v>599</v>
      </c>
    </row>
    <row r="39" spans="2:12" ht="25.9" customHeight="1" x14ac:dyDescent="0.35">
      <c r="B39" s="115"/>
      <c r="D39" s="109" t="s">
        <v>585</v>
      </c>
      <c r="E39" s="540" t="s">
        <v>585</v>
      </c>
      <c r="F39" s="540"/>
      <c r="G39" s="540" t="s">
        <v>600</v>
      </c>
      <c r="H39" s="540"/>
      <c r="I39" s="116"/>
      <c r="J39" s="109" t="s">
        <v>585</v>
      </c>
      <c r="K39" s="109" t="s">
        <v>585</v>
      </c>
      <c r="L39" s="109" t="s">
        <v>600</v>
      </c>
    </row>
    <row r="40" spans="2:12" ht="25.9" customHeight="1" x14ac:dyDescent="0.35">
      <c r="B40" s="115"/>
      <c r="D40" s="129">
        <f>'Auto-Calibration record'!B17</f>
        <v>0</v>
      </c>
      <c r="E40" s="582">
        <f>F28-D40</f>
        <v>112</v>
      </c>
      <c r="F40" s="582"/>
      <c r="G40" s="596" t="e">
        <f>F28/D40</f>
        <v>#DIV/0!</v>
      </c>
      <c r="H40" s="596"/>
      <c r="I40" s="116"/>
      <c r="J40" s="129">
        <f>'Auto-Calibration record'!B11</f>
        <v>54</v>
      </c>
      <c r="K40" s="110">
        <f>F29-J40</f>
        <v>122</v>
      </c>
      <c r="L40" s="117">
        <f>F29/J40</f>
        <v>3.2592592592592591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83" t="s">
        <v>605</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c r="E76" s="551"/>
      <c r="F76" s="552"/>
      <c r="K76" s="122" t="s">
        <v>607</v>
      </c>
      <c r="L76" s="546" t="s">
        <v>608</v>
      </c>
      <c r="M76" s="547"/>
      <c r="N76" s="547"/>
      <c r="O76" s="548"/>
      <c r="P76" s="123"/>
    </row>
    <row r="77" spans="2:16" ht="25.9" customHeight="1" x14ac:dyDescent="0.4">
      <c r="B77" s="136" t="s">
        <v>684</v>
      </c>
      <c r="H77" s="88"/>
      <c r="I77" s="88"/>
      <c r="J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5" x14ac:dyDescent="0.35">
      <c r="O83" s="124" t="s">
        <v>612</v>
      </c>
    </row>
    <row r="84" spans="2:15" x14ac:dyDescent="0.35">
      <c r="O84" s="124" t="s">
        <v>524</v>
      </c>
    </row>
    <row r="85" spans="2:15" x14ac:dyDescent="0.35">
      <c r="O85" s="124" t="s">
        <v>19</v>
      </c>
    </row>
    <row r="86" spans="2:15" x14ac:dyDescent="0.35">
      <c r="B86" s="125" t="s">
        <v>677</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559</v>
      </c>
      <c r="C2" s="83"/>
    </row>
    <row r="3" spans="1:16" ht="13.5" x14ac:dyDescent="0.35">
      <c r="B3" s="87" t="s">
        <v>560</v>
      </c>
      <c r="C3" s="83"/>
    </row>
    <row r="4" spans="1:16" ht="13.5" x14ac:dyDescent="0.35">
      <c r="B4" s="87" t="s">
        <v>561</v>
      </c>
      <c r="C4" s="83"/>
    </row>
    <row r="5" spans="1:16" ht="13.5" x14ac:dyDescent="0.35">
      <c r="B5" s="87" t="s">
        <v>562</v>
      </c>
      <c r="C5" s="83"/>
    </row>
    <row r="6" spans="1:16" ht="13.5" x14ac:dyDescent="0.35">
      <c r="B6" s="87" t="s">
        <v>563</v>
      </c>
      <c r="C6" s="83"/>
    </row>
    <row r="7" spans="1:16" ht="15" x14ac:dyDescent="0.4">
      <c r="B7" s="87" t="s">
        <v>564</v>
      </c>
      <c r="C7" s="83"/>
      <c r="D7" s="88"/>
    </row>
    <row r="8" spans="1:16" ht="13.5" x14ac:dyDescent="0.35">
      <c r="B8" s="53" t="s">
        <v>565</v>
      </c>
      <c r="C8" s="83"/>
    </row>
    <row r="9" spans="1:16" ht="13.5" x14ac:dyDescent="0.35">
      <c r="B9" s="53"/>
      <c r="C9" s="83"/>
    </row>
    <row r="10" spans="1:16" ht="37.5" customHeight="1" x14ac:dyDescent="0.85">
      <c r="B10" s="554" t="s">
        <v>566</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567</v>
      </c>
      <c r="C13" s="567"/>
      <c r="D13" s="567"/>
      <c r="E13" s="567"/>
      <c r="F13" s="567"/>
      <c r="G13" s="567"/>
      <c r="H13" s="567"/>
      <c r="I13" s="567"/>
      <c r="J13" s="567"/>
      <c r="K13" s="567"/>
      <c r="L13" s="567"/>
      <c r="M13" s="567"/>
      <c r="N13" s="567"/>
      <c r="O13" s="567"/>
      <c r="P13" s="91"/>
    </row>
    <row r="14" spans="1:16" ht="77.25" customHeight="1" x14ac:dyDescent="0.35">
      <c r="A14" s="92"/>
      <c r="B14" s="567" t="s">
        <v>568</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569</v>
      </c>
      <c r="C17" s="7"/>
      <c r="D17" s="538" t="str">
        <f>'Auto-Calibration record'!H14</f>
        <v>5.6mg/l RM8631b</v>
      </c>
      <c r="E17" s="538"/>
      <c r="F17" s="538"/>
      <c r="K17" s="95" t="s">
        <v>1003</v>
      </c>
      <c r="L17" s="96"/>
      <c r="M17" s="96"/>
      <c r="N17" s="97"/>
      <c r="O17" s="378" t="str">
        <f>'Auto-Calibration record'!H18</f>
        <v>RM8631b</v>
      </c>
    </row>
    <row r="18" spans="2:15" ht="25.9" customHeight="1" x14ac:dyDescent="0.45">
      <c r="B18" s="131" t="s">
        <v>571</v>
      </c>
      <c r="C18" s="132"/>
      <c r="D18" s="542">
        <f>'Auto-Calibration record'!H15</f>
        <v>12345671</v>
      </c>
      <c r="E18" s="543"/>
      <c r="F18" s="544"/>
      <c r="K18" s="98" t="s">
        <v>572</v>
      </c>
      <c r="L18" s="99"/>
      <c r="M18" s="99"/>
      <c r="N18" s="100"/>
      <c r="O18" s="55">
        <f>'Auto-Calibration record'!H16</f>
        <v>46147.7</v>
      </c>
    </row>
    <row r="19" spans="2:15" ht="25.9" customHeight="1" x14ac:dyDescent="0.45">
      <c r="B19" s="131" t="s">
        <v>573</v>
      </c>
      <c r="C19" s="132"/>
      <c r="D19" s="542" t="str">
        <f>'Auto-Calibration record'!H17</f>
        <v>12345671 050526</v>
      </c>
      <c r="E19" s="543"/>
      <c r="F19" s="544"/>
      <c r="K19" s="95" t="s">
        <v>574</v>
      </c>
      <c r="L19" s="96"/>
      <c r="M19" s="96"/>
      <c r="N19" s="97"/>
      <c r="O19" s="428">
        <f>'Auto-Calibration record'!H19</f>
        <v>304</v>
      </c>
    </row>
    <row r="20" spans="2:15" ht="14.25" customHeight="1" x14ac:dyDescent="0.45">
      <c r="B20" s="101"/>
      <c r="D20" s="126"/>
      <c r="E20" s="127"/>
      <c r="K20" s="101"/>
      <c r="L20" s="102"/>
      <c r="M20" s="102"/>
      <c r="N20" s="102"/>
      <c r="O20" s="128"/>
    </row>
    <row r="21" spans="2:15" ht="15" x14ac:dyDescent="0.4">
      <c r="B21" s="103" t="s">
        <v>575</v>
      </c>
    </row>
    <row r="22" spans="2:15" ht="15" x14ac:dyDescent="0.4">
      <c r="B22" s="103" t="s">
        <v>576</v>
      </c>
      <c r="O22" s="104"/>
    </row>
    <row r="23" spans="2:15" ht="15" x14ac:dyDescent="0.4">
      <c r="B23" s="103" t="s">
        <v>577</v>
      </c>
    </row>
    <row r="24" spans="2:15" ht="15" x14ac:dyDescent="0.4">
      <c r="B24" s="103"/>
    </row>
    <row r="25" spans="2:15" ht="13.15" x14ac:dyDescent="0.4">
      <c r="B25" s="105"/>
    </row>
    <row r="26" spans="2:15" s="106" customFormat="1" ht="67.5" customHeight="1" x14ac:dyDescent="0.35">
      <c r="D26" s="539" t="s">
        <v>578</v>
      </c>
      <c r="E26" s="539"/>
      <c r="F26" s="539" t="s">
        <v>579</v>
      </c>
      <c r="G26" s="539"/>
      <c r="H26" s="539" t="s">
        <v>580</v>
      </c>
      <c r="I26" s="539"/>
      <c r="J26" s="107" t="s">
        <v>581</v>
      </c>
      <c r="K26" s="107" t="s">
        <v>582</v>
      </c>
      <c r="L26" s="107" t="s">
        <v>583</v>
      </c>
    </row>
    <row r="27" spans="2:15" s="108" customFormat="1" ht="25.9" customHeight="1" x14ac:dyDescent="0.35">
      <c r="D27" s="540" t="s">
        <v>584</v>
      </c>
      <c r="E27" s="540"/>
      <c r="F27" s="540" t="s">
        <v>585</v>
      </c>
      <c r="G27" s="540"/>
      <c r="H27" s="540" t="s">
        <v>586</v>
      </c>
      <c r="I27" s="540"/>
      <c r="J27" s="109" t="s">
        <v>586</v>
      </c>
      <c r="K27" s="109" t="s">
        <v>586</v>
      </c>
      <c r="L27" s="109" t="s">
        <v>587</v>
      </c>
    </row>
    <row r="28" spans="2:15" s="108" customFormat="1" ht="25.9" customHeight="1" x14ac:dyDescent="0.35">
      <c r="D28" s="553" t="s">
        <v>588</v>
      </c>
      <c r="E28" s="553"/>
      <c r="F28" s="541">
        <f>'Auto-Calibration record'!B65</f>
        <v>112</v>
      </c>
      <c r="G28" s="541"/>
      <c r="H28" s="536">
        <f>'Auto-Calibration record'!B68</f>
        <v>1037710</v>
      </c>
      <c r="I28" s="536"/>
      <c r="J28" s="159">
        <f>'Auto-Calibration record'!I68</f>
        <v>1047870</v>
      </c>
      <c r="K28" s="159">
        <f t="shared" ref="K28:K35" si="0">J28-H28</f>
        <v>10160</v>
      </c>
      <c r="L28" s="379">
        <f t="shared" ref="L28:L35" si="1">K28/H28</f>
        <v>9.7907893342070521E-3</v>
      </c>
    </row>
    <row r="29" spans="2:15" s="108" customFormat="1" ht="25.9" customHeight="1" x14ac:dyDescent="0.35">
      <c r="D29" s="553" t="s">
        <v>589</v>
      </c>
      <c r="E29" s="553"/>
      <c r="F29" s="541">
        <f>'Auto-Calibration record'!C65</f>
        <v>176</v>
      </c>
      <c r="G29" s="541"/>
      <c r="H29" s="536">
        <f>'Auto-Calibration record'!B69</f>
        <v>432580</v>
      </c>
      <c r="I29" s="536"/>
      <c r="J29" s="159">
        <f>'Auto-Calibration record'!I69</f>
        <v>431351</v>
      </c>
      <c r="K29" s="159">
        <f t="shared" si="0"/>
        <v>-1229</v>
      </c>
      <c r="L29" s="379">
        <f t="shared" si="1"/>
        <v>-2.8410929770215916E-3</v>
      </c>
    </row>
    <row r="30" spans="2:15" s="108" customFormat="1" ht="25.9" customHeight="1" x14ac:dyDescent="0.35">
      <c r="D30" s="553" t="s">
        <v>590</v>
      </c>
      <c r="E30" s="553"/>
      <c r="F30" s="541">
        <f>'Auto-Calibration record'!D65</f>
        <v>714</v>
      </c>
      <c r="G30" s="541"/>
      <c r="H30" s="536">
        <f>'Auto-Calibration record'!B71</f>
        <v>31970</v>
      </c>
      <c r="I30" s="536"/>
      <c r="J30" s="159">
        <f>'Auto-Calibration record'!I71</f>
        <v>32014</v>
      </c>
      <c r="K30" s="159">
        <f t="shared" si="0"/>
        <v>44</v>
      </c>
      <c r="L30" s="379">
        <f t="shared" si="1"/>
        <v>1.3762902721301219E-3</v>
      </c>
    </row>
    <row r="31" spans="2:15" s="108" customFormat="1" ht="25.9" customHeight="1" x14ac:dyDescent="0.35">
      <c r="D31" s="553" t="s">
        <v>591</v>
      </c>
      <c r="E31" s="553"/>
      <c r="F31" s="541">
        <f>'Auto-Calibration record'!E65</f>
        <v>1314</v>
      </c>
      <c r="G31" s="541"/>
      <c r="H31" s="536">
        <f>'Auto-Calibration record'!B72</f>
        <v>9870</v>
      </c>
      <c r="I31" s="536"/>
      <c r="J31" s="159">
        <f>'Auto-Calibration record'!I72</f>
        <v>9858</v>
      </c>
      <c r="K31" s="159">
        <f t="shared" si="0"/>
        <v>-12</v>
      </c>
      <c r="L31" s="379">
        <f t="shared" si="1"/>
        <v>-1.2158054711246201E-3</v>
      </c>
    </row>
    <row r="32" spans="2:15" s="108" customFormat="1" ht="25.9" customHeight="1" x14ac:dyDescent="0.35">
      <c r="D32" s="553" t="s">
        <v>592</v>
      </c>
      <c r="E32" s="553"/>
      <c r="F32" s="541">
        <f>'Auto-Calibration record'!F65</f>
        <v>1794</v>
      </c>
      <c r="G32" s="541"/>
      <c r="H32" s="536">
        <f>'Auto-Calibration record'!B73</f>
        <v>5300</v>
      </c>
      <c r="I32" s="536"/>
      <c r="J32" s="159">
        <f>'Auto-Calibration record'!I73</f>
        <v>5300</v>
      </c>
      <c r="K32" s="159">
        <f t="shared" si="0"/>
        <v>0</v>
      </c>
      <c r="L32" s="379">
        <f t="shared" si="1"/>
        <v>0</v>
      </c>
    </row>
    <row r="33" spans="2:12" s="108" customFormat="1" ht="25.9" customHeight="1" x14ac:dyDescent="0.35">
      <c r="D33" s="553" t="s">
        <v>593</v>
      </c>
      <c r="E33" s="553"/>
      <c r="F33" s="541">
        <f>'Auto-Calibration record'!G65</f>
        <v>4348</v>
      </c>
      <c r="G33" s="541"/>
      <c r="H33" s="536">
        <f>'Auto-Calibration record'!B74</f>
        <v>1180</v>
      </c>
      <c r="I33" s="536"/>
      <c r="J33" s="159">
        <f>'Auto-Calibration record'!I74</f>
        <v>1181</v>
      </c>
      <c r="K33" s="159">
        <f t="shared" si="0"/>
        <v>1</v>
      </c>
      <c r="L33" s="379">
        <f t="shared" si="1"/>
        <v>8.4745762711864404E-4</v>
      </c>
    </row>
    <row r="34" spans="2:12" s="108" customFormat="1" ht="25.9" customHeight="1" x14ac:dyDescent="0.35">
      <c r="D34" s="553" t="s">
        <v>1004</v>
      </c>
      <c r="E34" s="553"/>
      <c r="F34" s="541">
        <f>'Auto-Calibration record'!H65</f>
        <v>6298</v>
      </c>
      <c r="G34" s="541"/>
      <c r="H34" s="536">
        <f>'Auto-Calibration record'!B75</f>
        <v>640</v>
      </c>
      <c r="I34" s="536"/>
      <c r="J34" s="159">
        <f>'Auto-Calibration record'!I75</f>
        <v>637</v>
      </c>
      <c r="K34" s="159">
        <f t="shared" si="0"/>
        <v>-3</v>
      </c>
      <c r="L34" s="379">
        <f t="shared" si="1"/>
        <v>-4.6874999999999998E-3</v>
      </c>
    </row>
    <row r="35" spans="2:12" s="102" customFormat="1" ht="25.9" customHeight="1" x14ac:dyDescent="0.45">
      <c r="D35" s="553" t="s">
        <v>1005</v>
      </c>
      <c r="E35" s="553"/>
      <c r="F35" s="549">
        <f>'Auto-Calibration record'!I65</f>
        <v>14290</v>
      </c>
      <c r="G35" s="549"/>
      <c r="H35" s="536">
        <f>'Auto-Calibration record'!B76</f>
        <v>140</v>
      </c>
      <c r="I35" s="536"/>
      <c r="J35" s="380">
        <f>'Auto-Calibration record'!I76</f>
        <v>139</v>
      </c>
      <c r="K35" s="159">
        <f t="shared" si="0"/>
        <v>-1</v>
      </c>
      <c r="L35" s="379">
        <f t="shared" si="1"/>
        <v>-7.1428571428571426E-3</v>
      </c>
    </row>
    <row r="36" spans="2:12" ht="20.25" x14ac:dyDescent="0.55000000000000004">
      <c r="D36" s="113" t="s">
        <v>596</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597</v>
      </c>
      <c r="E38" s="539" t="s">
        <v>598</v>
      </c>
      <c r="F38" s="539"/>
      <c r="G38" s="539" t="s">
        <v>599</v>
      </c>
      <c r="H38" s="539"/>
      <c r="I38" s="108"/>
      <c r="J38" s="167"/>
      <c r="K38" s="167"/>
      <c r="L38" s="167"/>
    </row>
    <row r="39" spans="2:12" ht="25.9" customHeight="1" x14ac:dyDescent="0.35">
      <c r="B39" s="115"/>
      <c r="D39" s="109" t="s">
        <v>585</v>
      </c>
      <c r="E39" s="540" t="s">
        <v>585</v>
      </c>
      <c r="F39" s="540"/>
      <c r="G39" s="540" t="s">
        <v>600</v>
      </c>
      <c r="H39" s="540"/>
      <c r="I39" s="116"/>
      <c r="J39" s="168"/>
      <c r="K39" s="168"/>
      <c r="L39" s="168"/>
    </row>
    <row r="40" spans="2:12" ht="25.9" customHeight="1" x14ac:dyDescent="0.35">
      <c r="B40" s="115"/>
      <c r="D40" s="129">
        <f>'Auto-Calibration record'!B11</f>
        <v>54</v>
      </c>
      <c r="E40" s="536">
        <f>F28-D40</f>
        <v>58</v>
      </c>
      <c r="F40" s="536"/>
      <c r="G40" s="545">
        <f>F28/D40</f>
        <v>2.074074074074074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601</v>
      </c>
      <c r="C72" s="121"/>
      <c r="D72" s="130" t="s">
        <v>602</v>
      </c>
      <c r="H72" s="1"/>
      <c r="I72" s="1"/>
      <c r="K72" s="558" t="s">
        <v>603</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604</v>
      </c>
      <c r="C74" s="121"/>
      <c r="D74" s="555" t="s">
        <v>605</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606</v>
      </c>
      <c r="C76" s="121"/>
      <c r="D76" s="550" t="str">
        <f>'Auto-Calibration record'!H26</f>
        <v>John Devereux</v>
      </c>
      <c r="E76" s="551"/>
      <c r="F76" s="552"/>
      <c r="K76" s="122" t="s">
        <v>607</v>
      </c>
      <c r="L76" s="546" t="s">
        <v>608</v>
      </c>
      <c r="M76" s="547"/>
      <c r="N76" s="547"/>
      <c r="O76" s="548"/>
      <c r="P76" s="123"/>
    </row>
    <row r="77" spans="2:16" ht="25.9" customHeight="1" x14ac:dyDescent="0.4">
      <c r="H77" s="88"/>
      <c r="I77" s="88"/>
      <c r="J77" s="88"/>
      <c r="K77" s="88"/>
    </row>
    <row r="78" spans="2:16" ht="15" x14ac:dyDescent="0.4">
      <c r="B78" s="115" t="s">
        <v>609</v>
      </c>
      <c r="H78" s="88"/>
      <c r="I78" s="88"/>
      <c r="J78" s="88"/>
      <c r="K78" s="88"/>
    </row>
    <row r="79" spans="2:16" ht="15" x14ac:dyDescent="0.4">
      <c r="B79" s="115" t="s">
        <v>610</v>
      </c>
      <c r="H79" s="88"/>
      <c r="I79" s="88"/>
      <c r="J79" s="88"/>
      <c r="K79" s="88"/>
    </row>
    <row r="80" spans="2:16" x14ac:dyDescent="0.35">
      <c r="B80" s="115" t="s">
        <v>611</v>
      </c>
    </row>
    <row r="83" spans="2:1011 1026:2035 2050:3059 3074:4083 4098:5107 5122:6131 6146:7155 7170:8179 8194:9203 9218:10227 10242:11251 11266:12275 12290:13299 13314:14323 14338:15347 15362:16371" x14ac:dyDescent="0.35">
      <c r="O83" s="124" t="s">
        <v>612</v>
      </c>
    </row>
    <row r="84" spans="2:1011 1026:2035 2050:3059 3074:4083 4098:5107 5122:6131 6146:7155 7170:8179 8194:9203 9218:10227 10242:11251 11266:12275 12290:13299 13314:14323 14338:15347 15362:16371" ht="15.6" customHeight="1" x14ac:dyDescent="0.35">
      <c r="B84" s="87" t="s">
        <v>559</v>
      </c>
      <c r="C84" s="83"/>
      <c r="O84" s="124" t="s">
        <v>524</v>
      </c>
    </row>
    <row r="85" spans="2:1011 1026:2035 2050:3059 3074:4083 4098:5107 5122:6131 6146:7155 7170:8179 8194:9203 9218:10227 10242:11251 11266:12275 12290:13299 13314:14323 14338:15347 15362:16371" ht="13.5" x14ac:dyDescent="0.35">
      <c r="B85" s="87" t="s">
        <v>613</v>
      </c>
      <c r="C85" s="83"/>
      <c r="O85" s="124" t="s">
        <v>19</v>
      </c>
    </row>
    <row r="86" spans="2:1011 1026:2035 2050:3059 3074:4083 4098:5107 5122:6131 6146:7155 7170:8179 8194:9203 9218:10227 10242:11251 11266:12275 12290:13299 13314:14323 14338:15347 15362:16371" ht="13.5" x14ac:dyDescent="0.35">
      <c r="B86" s="87" t="s">
        <v>614</v>
      </c>
      <c r="C86" s="83"/>
      <c r="L86" s="125"/>
      <c r="N86" s="125"/>
      <c r="O86" s="124" t="s">
        <v>20</v>
      </c>
    </row>
    <row r="87" spans="2:1011 1026:2035 2050:3059 3074:4083 4098:5107 5122:6131 6146:7155 7170:8179 8194:9203 9218:10227 10242:11251 11266:12275 12290:13299 13314:14323 14338:15347 15362:16371" ht="13.5" x14ac:dyDescent="0.35">
      <c r="B87" s="87" t="s">
        <v>562</v>
      </c>
      <c r="C87" s="83"/>
    </row>
    <row r="88" spans="2:1011 1026:2035 2050:3059 3074:4083 4098:5107 5122:6131 6146:7155 7170:8179 8194:9203 9218:10227 10242:11251 11266:12275 12290:13299 13314:14323 14338:15347 15362:16371" ht="13.5" x14ac:dyDescent="0.35">
      <c r="B88" s="87" t="s">
        <v>615</v>
      </c>
      <c r="C88" s="83"/>
    </row>
    <row r="89" spans="2:1011 1026:2035 2050:3059 3074:4083 4098:5107 5122:6131 6146:7155 7170:8179 8194:9203 9218:10227 10242:11251 11266:12275 12290:13299 13314:14323 14338:15347 15362:16371" ht="13.5" x14ac:dyDescent="0.35">
      <c r="B89" s="87" t="s">
        <v>616</v>
      </c>
      <c r="C89" s="83"/>
    </row>
    <row r="90" spans="2:1011 1026:2035 2050:3059 3074:4083 4098:5107 5122:6131 6146:7155 7170:8179 8194:9203 9218:10227 10242:11251 11266:12275 12290:13299 13314:14323 14338:15347 15362:16371" ht="13.5" x14ac:dyDescent="0.35">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3.5" x14ac:dyDescent="0.35">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3.5" x14ac:dyDescent="0.35">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3.5" x14ac:dyDescent="0.35">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3.5" x14ac:dyDescent="0.35">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617</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618</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619</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85" zoomScaleNormal="85" workbookViewId="0">
      <selection activeCell="G19" sqref="G19:H27"/>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4" t="s">
        <v>1040</v>
      </c>
      <c r="B1" s="604"/>
      <c r="C1" s="604"/>
      <c r="D1" s="604"/>
      <c r="E1" s="604"/>
      <c r="F1" s="604"/>
      <c r="G1" s="604"/>
      <c r="H1" s="604"/>
    </row>
    <row r="3" spans="1:8" ht="19.5" customHeight="1" x14ac:dyDescent="0.45">
      <c r="A3" s="605" t="s">
        <v>1039</v>
      </c>
      <c r="B3" s="434" t="s">
        <v>1037</v>
      </c>
      <c r="C3" s="435" t="str">
        <f>VLOOKUP("product",AUTO!$A$1:$B$1051,2,FALSE)</f>
        <v>LPA3 NAVAIR</v>
      </c>
      <c r="D3" s="432"/>
      <c r="E3" s="434" t="s">
        <v>236</v>
      </c>
      <c r="F3" s="436"/>
      <c r="G3" s="436"/>
      <c r="H3" s="441">
        <f>VLOOKUP("date_",AUTO!$A$1:$B$1051,2,FALSE)</f>
        <v>46147.7</v>
      </c>
    </row>
    <row r="4" spans="1:8" ht="19.5" customHeight="1" x14ac:dyDescent="0.45">
      <c r="A4" s="605"/>
      <c r="B4" s="434" t="s">
        <v>241</v>
      </c>
      <c r="C4" s="435">
        <f>VLOOKUP("serial_number",AUTO!$A$1:$B$1051,2,FALSE)</f>
        <v>12345671</v>
      </c>
      <c r="D4" s="432"/>
      <c r="E4" s="434" t="s">
        <v>1038</v>
      </c>
      <c r="F4" s="436"/>
      <c r="G4" s="436"/>
      <c r="H4" s="436" t="s">
        <v>1041</v>
      </c>
    </row>
    <row r="5" spans="1:8" ht="19.5" customHeight="1" x14ac:dyDescent="0.45">
      <c r="A5" s="605"/>
      <c r="B5" s="434" t="s">
        <v>1037</v>
      </c>
      <c r="C5" s="435" t="str">
        <f>VLOOKUP("product",AUTO!$A$1:$B$1051,2,FALSE)</f>
        <v>LPA3 NAVAIR</v>
      </c>
      <c r="D5" s="432"/>
      <c r="E5" s="437" t="s">
        <v>1036</v>
      </c>
      <c r="F5" s="436"/>
      <c r="G5" s="436"/>
      <c r="H5" s="436" t="s">
        <v>1042</v>
      </c>
    </row>
    <row r="6" spans="1:8" ht="19.5" customHeight="1" x14ac:dyDescent="0.45">
      <c r="A6" s="605"/>
      <c r="B6" s="434" t="s">
        <v>241</v>
      </c>
      <c r="C6" s="435">
        <f>VLOOKUP("serial_number",AUTO!$A$1:$B$1051,2,FALSE)</f>
        <v>12345671</v>
      </c>
      <c r="D6" s="432"/>
      <c r="E6" s="437" t="s">
        <v>1035</v>
      </c>
      <c r="F6" s="436"/>
      <c r="G6" s="436"/>
      <c r="H6" s="436" t="s">
        <v>1043</v>
      </c>
    </row>
    <row r="7" spans="1:8" ht="19.5" customHeight="1" x14ac:dyDescent="0.45">
      <c r="A7" s="606" t="s">
        <v>1034</v>
      </c>
      <c r="B7" s="606"/>
      <c r="C7" s="435">
        <f>VLOOKUP("no_noise_threshold",AUTO!$A$1:$B$1051,2,FALSE)</f>
        <v>54</v>
      </c>
      <c r="D7" s="432"/>
      <c r="E7" s="437" t="s">
        <v>1033</v>
      </c>
      <c r="F7" s="436"/>
      <c r="G7" s="436">
        <v>20000</v>
      </c>
      <c r="H7" s="434" t="s">
        <v>1032</v>
      </c>
    </row>
    <row r="8" spans="1:8" ht="19.5" customHeight="1" x14ac:dyDescent="0.45">
      <c r="A8" s="606" t="s">
        <v>1031</v>
      </c>
      <c r="B8" s="606"/>
      <c r="C8" s="435">
        <f>VLOOKUP("sample_volume_ml",AUTO!$A$1:$B$1051,2,FALSE)</f>
        <v>40</v>
      </c>
      <c r="D8" s="432"/>
      <c r="E8" s="434" t="s">
        <v>1030</v>
      </c>
      <c r="F8" s="436"/>
      <c r="G8" s="436">
        <v>30</v>
      </c>
      <c r="H8" s="434" t="s">
        <v>1027</v>
      </c>
    </row>
    <row r="9" spans="1:8" ht="19.5" customHeight="1" x14ac:dyDescent="0.45">
      <c r="A9" s="606" t="s">
        <v>1029</v>
      </c>
      <c r="B9" s="606"/>
      <c r="C9" s="440">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32"/>
      <c r="E9" s="434" t="s">
        <v>1028</v>
      </c>
      <c r="F9" s="436"/>
      <c r="G9" s="436">
        <v>30</v>
      </c>
      <c r="H9" s="434" t="s">
        <v>1027</v>
      </c>
    </row>
    <row r="10" spans="1:8" ht="18" customHeight="1" x14ac:dyDescent="0.45">
      <c r="A10" s="603" t="s">
        <v>1026</v>
      </c>
      <c r="B10" s="603"/>
      <c r="C10" s="603"/>
      <c r="D10" s="603"/>
      <c r="E10" s="603"/>
      <c r="F10" s="603"/>
      <c r="G10" s="603"/>
      <c r="H10" s="603"/>
    </row>
    <row r="11" spans="1:8" ht="19.5" customHeight="1" x14ac:dyDescent="0.45">
      <c r="A11" s="433" t="s">
        <v>1025</v>
      </c>
      <c r="B11" s="602">
        <v>0.5</v>
      </c>
      <c r="C11" s="602"/>
      <c r="D11" s="433" t="s">
        <v>1020</v>
      </c>
      <c r="E11" s="433" t="s">
        <v>1024</v>
      </c>
      <c r="F11" s="602">
        <v>2.7</v>
      </c>
      <c r="G11" s="602"/>
      <c r="H11" s="433" t="s">
        <v>1018</v>
      </c>
    </row>
    <row r="12" spans="1:8" ht="19.5" customHeight="1" x14ac:dyDescent="0.45">
      <c r="A12" s="433" t="s">
        <v>1023</v>
      </c>
      <c r="B12" s="602">
        <v>0.6</v>
      </c>
      <c r="C12" s="602"/>
      <c r="D12" s="433" t="s">
        <v>1020</v>
      </c>
      <c r="E12" s="433" t="s">
        <v>1022</v>
      </c>
      <c r="F12" s="602">
        <v>8.3000000000000007</v>
      </c>
      <c r="G12" s="602"/>
      <c r="H12" s="433" t="s">
        <v>1018</v>
      </c>
    </row>
    <row r="13" spans="1:8" ht="19.5" customHeight="1" x14ac:dyDescent="0.45">
      <c r="A13" s="433" t="s">
        <v>1021</v>
      </c>
      <c r="B13" s="602">
        <v>10.199999999999999</v>
      </c>
      <c r="C13" s="602"/>
      <c r="D13" s="433" t="s">
        <v>1020</v>
      </c>
      <c r="E13" s="433" t="s">
        <v>1019</v>
      </c>
      <c r="F13" s="602">
        <v>8.3000000000000007</v>
      </c>
      <c r="G13" s="602"/>
      <c r="H13" s="433" t="s">
        <v>1018</v>
      </c>
    </row>
    <row r="16" spans="1:8" ht="30" customHeight="1" x14ac:dyDescent="0.45">
      <c r="A16" s="600" t="s">
        <v>1017</v>
      </c>
      <c r="B16" s="600"/>
      <c r="C16" s="600"/>
      <c r="E16" s="600" t="s">
        <v>1016</v>
      </c>
      <c r="F16" s="600"/>
      <c r="G16" s="600"/>
      <c r="H16" s="600"/>
    </row>
    <row r="17" spans="1:8" ht="42" customHeight="1" x14ac:dyDescent="0.45">
      <c r="A17" s="438" t="s">
        <v>578</v>
      </c>
      <c r="B17" s="438" t="s">
        <v>1015</v>
      </c>
      <c r="C17" s="438" t="s">
        <v>1014</v>
      </c>
      <c r="E17" s="438" t="s">
        <v>578</v>
      </c>
      <c r="F17" s="438" t="s">
        <v>1013</v>
      </c>
      <c r="G17" s="600" t="s">
        <v>1012</v>
      </c>
      <c r="H17" s="600"/>
    </row>
    <row r="18" spans="1:8" ht="18" customHeight="1" x14ac:dyDescent="0.45">
      <c r="A18" s="439" t="s">
        <v>1011</v>
      </c>
      <c r="B18" s="439" t="s">
        <v>1010</v>
      </c>
      <c r="C18" s="439" t="s">
        <v>1010</v>
      </c>
      <c r="E18" s="439" t="s">
        <v>1011</v>
      </c>
      <c r="F18" s="439" t="s">
        <v>1010</v>
      </c>
      <c r="G18" s="601" t="s">
        <v>1009</v>
      </c>
      <c r="H18" s="601"/>
    </row>
    <row r="19" spans="1:8" ht="18" customHeight="1" x14ac:dyDescent="0.45">
      <c r="A19" s="435">
        <f>VLOOKUP("threshold32_0_sz",AUTO!$A$1:$B$1051,2,FALSE)</f>
        <v>4</v>
      </c>
      <c r="B19" s="435">
        <f>VLOOKUP("reference_count_0",AUTO!$A$1:$B$1051,2,FALSE)</f>
        <v>1037710</v>
      </c>
      <c r="C19" s="442">
        <f>'Auto-Calibration record'!$I$68</f>
        <v>1047870</v>
      </c>
      <c r="E19" s="435">
        <f>VLOOKUP("threshold32_0_sz",AUTO!$A$1:$B$1051,2,FALSE)</f>
        <v>4</v>
      </c>
      <c r="F19" s="435">
        <f>VLOOKUP("reference_count_0",AUTO!$A$1:$B$1051,2,FALSE)</f>
        <v>1037710</v>
      </c>
      <c r="G19" s="598">
        <f>VLOOKUP("threshold32_0_value",AUTO!$A$1:$B$1051,2,FALSE)</f>
        <v>112</v>
      </c>
      <c r="H19" s="599">
        <f>VLOOKUP("threshold32_0_sz",AUTO!$A$1:$B$1051,2,FALSE)</f>
        <v>4</v>
      </c>
    </row>
    <row r="20" spans="1:8" ht="18" customHeight="1" x14ac:dyDescent="0.45">
      <c r="A20" s="435">
        <f>VLOOKUP("threshold32_2_sz",AUTO!$A$1:$B$1051,2,FALSE)</f>
        <v>6</v>
      </c>
      <c r="B20" s="435">
        <f>VLOOKUP("reference_count_1",AUTO!$A$1:$B$1051,2,FALSE)</f>
        <v>432580</v>
      </c>
      <c r="C20" s="442">
        <f>'Auto-Calibration record'!$I$69</f>
        <v>431351</v>
      </c>
      <c r="E20" s="435">
        <f>VLOOKUP("threshold32_2_sz",AUTO!$A$1:$B$1051,2,FALSE)</f>
        <v>6</v>
      </c>
      <c r="F20" s="435">
        <f>VLOOKUP("reference_count_1",AUTO!$A$1:$B$1051,2,FALSE)</f>
        <v>432580</v>
      </c>
      <c r="G20" s="598">
        <f>VLOOKUP("threshold32_2_value",AUTO!$A$1:$B$1051,2,FALSE)</f>
        <v>176</v>
      </c>
      <c r="H20" s="599">
        <f>VLOOKUP("threshold32_2_sz",AUTO!$A$1:$B$1051,2,FALSE)</f>
        <v>6</v>
      </c>
    </row>
    <row r="21" spans="1:8" ht="18" customHeight="1" x14ac:dyDescent="0.45">
      <c r="A21" s="435">
        <f>VLOOKUP("threshold32_6_sz",AUTO!$A$1:$B$1051,2,FALSE)</f>
        <v>10</v>
      </c>
      <c r="B21" s="435">
        <f>VLOOKUP("reference_count32_6",AUTO!$A$1:$B$1051,2,FALSE)*100</f>
        <v>97240</v>
      </c>
      <c r="C21" s="442">
        <f>'Auto-Calibration record'!$I$70</f>
        <v>96948.1</v>
      </c>
      <c r="E21" s="435">
        <f>VLOOKUP("threshold32_6_sz",AUTO!$A$1:$B$1051,2,FALSE)</f>
        <v>10</v>
      </c>
      <c r="F21" s="435">
        <f>VLOOKUP("reference_count32_6",AUTO!$A$1:$B$1051,2,FALSE)*100</f>
        <v>97240</v>
      </c>
      <c r="G21" s="598">
        <f>VLOOKUP("threshold32_6_value",AUTO!$A$1:$B$1051,2,FALSE)</f>
        <v>394</v>
      </c>
      <c r="H21" s="599">
        <f>VLOOKUP("threshold32_6_sz",AUTO!$A$1:$B$1051,2,FALSE)</f>
        <v>10</v>
      </c>
    </row>
    <row r="22" spans="1:8" ht="18" customHeight="1" x14ac:dyDescent="0.45">
      <c r="A22" s="435">
        <f>VLOOKUP("threshold32_10_sz",AUTO!$A$1:$B$1051,2,FALSE)</f>
        <v>14</v>
      </c>
      <c r="B22" s="435">
        <f>VLOOKUP("reference_count_2",AUTO!$A$1:$B$1051,2,FALSE)</f>
        <v>31970</v>
      </c>
      <c r="C22" s="442">
        <f>'Auto-Calibration record'!$I$71</f>
        <v>32014</v>
      </c>
      <c r="E22" s="435">
        <f>VLOOKUP("threshold32_10_sz",AUTO!$A$1:$B$1051,2,FALSE)</f>
        <v>14</v>
      </c>
      <c r="F22" s="435">
        <f>VLOOKUP("reference_count_2",AUTO!$A$1:$B$1051,2,FALSE)</f>
        <v>31970</v>
      </c>
      <c r="G22" s="598">
        <f>VLOOKUP("threshold32_10_value",AUTO!$A$1:$B$1051,2,FALSE)</f>
        <v>714</v>
      </c>
      <c r="H22" s="599">
        <f>VLOOKUP("threshold32_10_sz",AUTO!$A$1:$B$1051,2,FALSE)</f>
        <v>14</v>
      </c>
    </row>
    <row r="23" spans="1:8" ht="18" customHeight="1" x14ac:dyDescent="0.45">
      <c r="A23" s="435">
        <f>VLOOKUP("threshold32_17_sz",AUTO!$A$1:$B$1051,2,FALSE)</f>
        <v>21</v>
      </c>
      <c r="B23" s="435">
        <f>VLOOKUP("reference_count_3",AUTO!$A$1:$B$1051,2,FALSE)</f>
        <v>9870</v>
      </c>
      <c r="C23" s="442">
        <f>'Auto-Calibration record'!$I$72</f>
        <v>9858</v>
      </c>
      <c r="E23" s="435">
        <f>VLOOKUP("threshold32_17_sz",AUTO!$A$1:$B$1051,2,FALSE)</f>
        <v>21</v>
      </c>
      <c r="F23" s="435">
        <f>VLOOKUP("reference_count_3",AUTO!$A$1:$B$1051,2,FALSE)</f>
        <v>9870</v>
      </c>
      <c r="G23" s="598">
        <f>VLOOKUP("threshold32_17_value",AUTO!$A$1:$B$1051,2,FALSE)</f>
        <v>1314</v>
      </c>
      <c r="H23" s="599">
        <f>VLOOKUP("threshold32_17_sz",AUTO!$A$1:$B$1051,2,FALSE)</f>
        <v>21</v>
      </c>
    </row>
    <row r="24" spans="1:8" ht="18" customHeight="1" x14ac:dyDescent="0.45">
      <c r="A24" s="435">
        <f>VLOOKUP("threshold32_21_sz",AUTO!$A$1:$B$1051,2,FALSE)</f>
        <v>25</v>
      </c>
      <c r="B24" s="435">
        <f>VLOOKUP("reference_count_4",AUTO!$A$1:$B$1051,2,FALSE)</f>
        <v>5300</v>
      </c>
      <c r="C24" s="442">
        <f>'Auto-Calibration record'!$I$73</f>
        <v>5300</v>
      </c>
      <c r="E24" s="435">
        <f>VLOOKUP("threshold32_21_sz",AUTO!$A$1:$B$1051,2,FALSE)</f>
        <v>25</v>
      </c>
      <c r="F24" s="435">
        <f>VLOOKUP("reference_count_4",AUTO!$A$1:$B$1051,2,FALSE)</f>
        <v>5300</v>
      </c>
      <c r="G24" s="598">
        <f>VLOOKUP("threshold32_21_value",AUTO!$A$1:$B$1051,2,FALSE)</f>
        <v>1794</v>
      </c>
      <c r="H24" s="599">
        <f>VLOOKUP("threshold32_21_sz",AUTO!$A$1:$B$1051,2,FALSE)</f>
        <v>25</v>
      </c>
    </row>
    <row r="25" spans="1:8" ht="18" customHeight="1" x14ac:dyDescent="0.45">
      <c r="A25" s="435">
        <f>VLOOKUP("threshold32_27_sz",AUTO!$A$1:$B$1051,2,FALSE)</f>
        <v>38</v>
      </c>
      <c r="B25" s="435">
        <f>VLOOKUP("reference_count_5",AUTO!$A$1:$B$1051,2,FALSE)</f>
        <v>1180</v>
      </c>
      <c r="C25" s="442">
        <f>'Auto-Calibration record'!$I$74</f>
        <v>1181</v>
      </c>
      <c r="E25" s="435">
        <f>VLOOKUP("threshold32_27_sz",AUTO!$A$1:$B$1051,2,FALSE)</f>
        <v>38</v>
      </c>
      <c r="F25" s="435">
        <f>VLOOKUP("reference_count_5",AUTO!$A$1:$B$1051,2,FALSE)</f>
        <v>1180</v>
      </c>
      <c r="G25" s="598">
        <f>VLOOKUP("threshold32_27_value",AUTO!$A$1:$B$1051,2,FALSE)</f>
        <v>4348</v>
      </c>
      <c r="H25" s="599">
        <f>VLOOKUP("threshold32_27_sz",AUTO!$A$1:$B$1051,2,FALSE)</f>
        <v>38</v>
      </c>
    </row>
    <row r="26" spans="1:8" ht="18" customHeight="1" x14ac:dyDescent="0.45">
      <c r="A26" s="435">
        <f>VLOOKUP("threshold32_28_sz",AUTO!$A$1:$B$1051,2,FALSE)</f>
        <v>50</v>
      </c>
      <c r="B26" s="435">
        <f>VLOOKUP("reference_count_6",AUTO!$A$1:$B$1051,2,FALSE)</f>
        <v>640</v>
      </c>
      <c r="C26" s="442">
        <f>'Auto-Calibration record'!$I$75</f>
        <v>637</v>
      </c>
      <c r="E26" s="435">
        <f>VLOOKUP("threshold32_28_sz",AUTO!$A$1:$B$1051,2,FALSE)</f>
        <v>50</v>
      </c>
      <c r="F26" s="435">
        <f>VLOOKUP("reference_count_6",AUTO!$A$1:$B$1051,2,FALSE)</f>
        <v>640</v>
      </c>
      <c r="G26" s="598">
        <f>VLOOKUP("threshold32_28_value",AUTO!$A$1:$B$1051,2,FALSE)</f>
        <v>6298</v>
      </c>
      <c r="H26" s="599">
        <f>VLOOKUP("threshold32_28_sz",AUTO!$A$1:$B$1051,2,FALSE)</f>
        <v>50</v>
      </c>
    </row>
    <row r="27" spans="1:8" ht="18" customHeight="1" x14ac:dyDescent="0.45">
      <c r="A27" s="435">
        <f>VLOOKUP("threshold32_29_sz",AUTO!$A$1:$B$1051,2,FALSE)</f>
        <v>70</v>
      </c>
      <c r="B27" s="435">
        <f>VLOOKUP("reference_count_7",AUTO!$A$1:$B$1051,2,FALSE)</f>
        <v>140</v>
      </c>
      <c r="C27" s="442">
        <f>'Auto-Calibration record'!$I$76</f>
        <v>139</v>
      </c>
      <c r="E27" s="435">
        <f>VLOOKUP("threshold32_29_sz",AUTO!$A$1:$B$1051,2,FALSE)</f>
        <v>70</v>
      </c>
      <c r="F27" s="435">
        <f>VLOOKUP("reference_count_7",AUTO!$A$1:$B$1051,2,FALSE)</f>
        <v>140</v>
      </c>
      <c r="G27" s="598">
        <f>VLOOKUP("threshold32_29_value",AUTO!$A$1:$B$1051,2,FALSE)</f>
        <v>14290</v>
      </c>
      <c r="H27" s="599">
        <f>VLOOKUP("threshold32_29_sz",AUTO!$A$1:$B$1051,2,FALSE)</f>
        <v>70</v>
      </c>
    </row>
    <row r="28" spans="1:8" ht="18" customHeight="1" x14ac:dyDescent="0.45">
      <c r="A28" s="435"/>
      <c r="B28" s="435"/>
      <c r="C28" s="435"/>
      <c r="E28" s="435"/>
      <c r="F28" s="435"/>
      <c r="G28" s="597"/>
      <c r="H28" s="597"/>
    </row>
    <row r="29" spans="1:8" ht="18" customHeight="1" x14ac:dyDescent="0.45">
      <c r="A29" s="435"/>
      <c r="B29" s="435"/>
      <c r="C29" s="435"/>
      <c r="E29" s="435"/>
      <c r="F29" s="435"/>
      <c r="G29" s="597"/>
      <c r="H29" s="597"/>
    </row>
    <row r="30" spans="1:8" ht="18" customHeight="1" x14ac:dyDescent="0.45">
      <c r="A30" s="435"/>
      <c r="B30" s="435"/>
      <c r="C30" s="435"/>
      <c r="E30" s="435"/>
      <c r="F30" s="435"/>
      <c r="G30" s="597"/>
      <c r="H30" s="597"/>
    </row>
    <row r="31" spans="1:8" ht="18" customHeight="1" x14ac:dyDescent="0.45">
      <c r="A31" s="435"/>
      <c r="B31" s="435"/>
      <c r="C31" s="435"/>
      <c r="E31" s="435"/>
      <c r="F31" s="435"/>
      <c r="G31" s="597"/>
      <c r="H31" s="597"/>
    </row>
    <row r="32" spans="1:8" ht="18" customHeight="1" x14ac:dyDescent="0.45">
      <c r="A32" s="435"/>
      <c r="B32" s="435"/>
      <c r="C32" s="435"/>
      <c r="E32" s="435"/>
      <c r="F32" s="435"/>
      <c r="G32" s="597"/>
      <c r="H32" s="597"/>
    </row>
    <row r="33" spans="1:8" ht="18" customHeight="1" x14ac:dyDescent="0.45">
      <c r="A33" s="435"/>
      <c r="B33" s="435"/>
      <c r="C33" s="435"/>
      <c r="E33" s="435"/>
      <c r="F33" s="435"/>
      <c r="G33" s="597"/>
      <c r="H33" s="597"/>
    </row>
    <row r="34" spans="1:8" ht="18" customHeight="1" x14ac:dyDescent="0.45">
      <c r="A34" s="435"/>
      <c r="B34" s="435"/>
      <c r="C34" s="435"/>
      <c r="E34" s="435"/>
      <c r="F34" s="435"/>
      <c r="G34" s="597"/>
      <c r="H34" s="597"/>
    </row>
    <row r="35" spans="1:8" ht="18" customHeight="1" x14ac:dyDescent="0.45">
      <c r="A35" s="435"/>
      <c r="B35" s="435"/>
      <c r="C35" s="435"/>
      <c r="E35" s="435"/>
      <c r="F35" s="435"/>
      <c r="G35" s="597"/>
      <c r="H35" s="597"/>
    </row>
    <row r="36" spans="1:8" ht="18" customHeight="1" x14ac:dyDescent="0.45">
      <c r="A36" s="435"/>
      <c r="B36" s="435"/>
      <c r="C36" s="435"/>
      <c r="E36" s="435"/>
      <c r="F36" s="435"/>
      <c r="G36" s="597"/>
      <c r="H36" s="597"/>
    </row>
    <row r="37" spans="1:8" ht="18" customHeight="1" x14ac:dyDescent="0.45">
      <c r="A37" s="435"/>
      <c r="B37" s="435"/>
      <c r="C37" s="435"/>
      <c r="E37" s="435"/>
      <c r="F37" s="435"/>
      <c r="G37" s="597"/>
      <c r="H37" s="597"/>
    </row>
    <row r="38" spans="1:8" ht="18" customHeight="1" x14ac:dyDescent="0.45">
      <c r="A38" s="435"/>
      <c r="B38" s="435"/>
      <c r="C38" s="435"/>
      <c r="E38" s="435"/>
      <c r="F38" s="435"/>
      <c r="G38" s="597"/>
      <c r="H38" s="597"/>
    </row>
  </sheetData>
  <mergeCells count="36">
    <mergeCell ref="A10:H10"/>
    <mergeCell ref="A1:H1"/>
    <mergeCell ref="A3:A6"/>
    <mergeCell ref="A7:B7"/>
    <mergeCell ref="A8:B8"/>
    <mergeCell ref="A9:B9"/>
    <mergeCell ref="B11:C11"/>
    <mergeCell ref="F11:G11"/>
    <mergeCell ref="B12:C12"/>
    <mergeCell ref="F12:G12"/>
    <mergeCell ref="B13:C13"/>
    <mergeCell ref="F13:G13"/>
    <mergeCell ref="G26:H26"/>
    <mergeCell ref="A16:C16"/>
    <mergeCell ref="E16:H16"/>
    <mergeCell ref="G17:H17"/>
    <mergeCell ref="G18:H18"/>
    <mergeCell ref="G19:H19"/>
    <mergeCell ref="G20:H20"/>
    <mergeCell ref="G21:H21"/>
    <mergeCell ref="G22:H22"/>
    <mergeCell ref="G23:H23"/>
    <mergeCell ref="G24:H24"/>
    <mergeCell ref="G25:H25"/>
    <mergeCell ref="G38:H38"/>
    <mergeCell ref="G27:H27"/>
    <mergeCell ref="G28:H28"/>
    <mergeCell ref="G29:H29"/>
    <mergeCell ref="G30:H30"/>
    <mergeCell ref="G31:H31"/>
    <mergeCell ref="G32:H32"/>
    <mergeCell ref="G33:H33"/>
    <mergeCell ref="G34:H34"/>
    <mergeCell ref="G35:H35"/>
    <mergeCell ref="G36:H36"/>
    <mergeCell ref="G37:H37"/>
  </mergeCells>
  <pageMargins left="0.75" right="0.75" top="1" bottom="1"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D88C-2968-44D4-80B9-8259FF3D97FF}">
  <sheetPr>
    <pageSetUpPr fitToPage="1"/>
  </sheetPr>
  <dimension ref="B2:R53"/>
  <sheetViews>
    <sheetView showGridLines="0" tabSelected="1" zoomScale="90" zoomScaleNormal="90" workbookViewId="0">
      <selection activeCell="D27" sqref="D27"/>
    </sheetView>
  </sheetViews>
  <sheetFormatPr defaultRowHeight="14.25" x14ac:dyDescent="0.45"/>
  <cols>
    <col min="1" max="1" width="3.73046875" style="610" customWidth="1"/>
    <col min="2" max="2" width="3.1328125" style="610" customWidth="1"/>
    <col min="3" max="3" width="10" style="610" customWidth="1"/>
    <col min="4" max="4" width="16.73046875" style="610" customWidth="1"/>
    <col min="5" max="5" width="25.73046875" style="610" customWidth="1"/>
    <col min="6" max="6" width="4" style="610" customWidth="1"/>
    <col min="7" max="7" width="10" style="610" customWidth="1"/>
    <col min="8" max="8" width="25.73046875" style="610" customWidth="1"/>
    <col min="9" max="9" width="10.1328125" style="610" customWidth="1"/>
    <col min="10" max="10" width="10.86328125" style="610" customWidth="1"/>
    <col min="11" max="11" width="3.1328125" style="610" customWidth="1"/>
    <col min="12" max="16384" width="9.06640625" style="610"/>
  </cols>
  <sheetData>
    <row r="2" spans="2:18" x14ac:dyDescent="0.45">
      <c r="B2" s="607"/>
      <c r="C2" s="608"/>
      <c r="D2" s="608"/>
      <c r="E2" s="608"/>
      <c r="F2" s="608"/>
      <c r="G2" s="608"/>
      <c r="H2" s="608"/>
      <c r="I2" s="608"/>
      <c r="J2" s="608"/>
      <c r="K2" s="609"/>
    </row>
    <row r="3" spans="2:18" x14ac:dyDescent="0.45">
      <c r="B3" s="611"/>
      <c r="C3" s="610" t="s">
        <v>559</v>
      </c>
      <c r="K3" s="612"/>
    </row>
    <row r="4" spans="2:18" x14ac:dyDescent="0.45">
      <c r="B4" s="611"/>
      <c r="C4" s="610" t="s">
        <v>1044</v>
      </c>
      <c r="K4" s="612"/>
    </row>
    <row r="5" spans="2:18" x14ac:dyDescent="0.45">
      <c r="B5" s="611"/>
      <c r="C5" s="610" t="s">
        <v>561</v>
      </c>
      <c r="K5" s="612"/>
    </row>
    <row r="6" spans="2:18" x14ac:dyDescent="0.45">
      <c r="B6" s="611"/>
      <c r="C6" s="610" t="s">
        <v>562</v>
      </c>
      <c r="K6" s="612"/>
    </row>
    <row r="7" spans="2:18" x14ac:dyDescent="0.45">
      <c r="B7" s="611"/>
      <c r="C7" s="610" t="s">
        <v>563</v>
      </c>
      <c r="K7" s="612"/>
    </row>
    <row r="8" spans="2:18" x14ac:dyDescent="0.45">
      <c r="B8" s="611"/>
      <c r="C8" s="613" t="s">
        <v>1045</v>
      </c>
      <c r="K8" s="612"/>
    </row>
    <row r="9" spans="2:18" x14ac:dyDescent="0.45">
      <c r="B9" s="611"/>
      <c r="K9" s="612"/>
    </row>
    <row r="10" spans="2:18" ht="18.399999999999999" customHeight="1" x14ac:dyDescent="0.45">
      <c r="B10" s="611"/>
      <c r="C10" s="614" t="s">
        <v>1040</v>
      </c>
      <c r="D10" s="615"/>
      <c r="E10" s="615"/>
      <c r="F10" s="615"/>
      <c r="G10" s="615"/>
      <c r="H10" s="615"/>
      <c r="I10" s="615"/>
      <c r="J10" s="616"/>
      <c r="K10" s="612"/>
    </row>
    <row r="11" spans="2:18" ht="14.65" customHeight="1" x14ac:dyDescent="0.45">
      <c r="B11" s="611"/>
      <c r="C11" s="617"/>
      <c r="D11" s="618"/>
      <c r="E11" s="618"/>
      <c r="F11" s="618"/>
      <c r="G11" s="618"/>
      <c r="H11" s="618"/>
      <c r="I11" s="618"/>
      <c r="J11" s="619"/>
      <c r="K11" s="612"/>
    </row>
    <row r="12" spans="2:18" ht="14.65" customHeight="1" x14ac:dyDescent="0.45">
      <c r="B12" s="611"/>
      <c r="C12" s="620" t="s">
        <v>1039</v>
      </c>
      <c r="D12" s="621" t="s">
        <v>1037</v>
      </c>
      <c r="E12" s="435" t="str">
        <f>VLOOKUP("product",AUTO!$A$1:$B$1051,2,FALSE)</f>
        <v>LPA3 NAVAIR</v>
      </c>
      <c r="F12" s="623"/>
      <c r="G12" s="624" t="s">
        <v>236</v>
      </c>
      <c r="H12" s="625"/>
      <c r="I12" s="626">
        <v>46147.7</v>
      </c>
      <c r="J12" s="627"/>
      <c r="K12" s="612"/>
    </row>
    <row r="13" spans="2:18" x14ac:dyDescent="0.45">
      <c r="B13" s="611"/>
      <c r="C13" s="620"/>
      <c r="D13" s="621" t="s">
        <v>241</v>
      </c>
      <c r="E13" s="435">
        <f>VLOOKUP("serial_number",AUTO!$A$1:$B$1051,2,FALSE)</f>
        <v>12345671</v>
      </c>
      <c r="F13" s="623"/>
      <c r="G13" s="624" t="s">
        <v>1038</v>
      </c>
      <c r="H13" s="625"/>
      <c r="I13" s="628" t="s">
        <v>1046</v>
      </c>
      <c r="J13" s="629"/>
      <c r="K13" s="612"/>
    </row>
    <row r="14" spans="2:18" ht="14.65" customHeight="1" x14ac:dyDescent="0.45">
      <c r="B14" s="611"/>
      <c r="C14" s="620"/>
      <c r="D14" s="621" t="s">
        <v>1037</v>
      </c>
      <c r="E14" s="435" t="str">
        <f>VLOOKUP("product",AUTO!$A$1:$B$1051,2,FALSE)</f>
        <v>LPA3 NAVAIR</v>
      </c>
      <c r="F14" s="623"/>
      <c r="G14" s="630" t="s">
        <v>1036</v>
      </c>
      <c r="H14" s="631"/>
      <c r="I14" s="628" t="s">
        <v>1042</v>
      </c>
      <c r="J14" s="629"/>
      <c r="K14" s="612"/>
    </row>
    <row r="15" spans="2:18" ht="14.65" customHeight="1" x14ac:dyDescent="0.45">
      <c r="B15" s="611"/>
      <c r="C15" s="620"/>
      <c r="D15" s="621" t="s">
        <v>241</v>
      </c>
      <c r="E15" s="435">
        <f>VLOOKUP("serial_number",AUTO!$A$1:$B$1051,2,FALSE)</f>
        <v>12345671</v>
      </c>
      <c r="F15" s="623"/>
      <c r="G15" s="630" t="s">
        <v>1035</v>
      </c>
      <c r="H15" s="631"/>
      <c r="I15" s="628" t="s">
        <v>1047</v>
      </c>
      <c r="J15" s="629"/>
      <c r="K15" s="612"/>
      <c r="P15" s="632"/>
      <c r="Q15" s="633"/>
      <c r="R15" s="633"/>
    </row>
    <row r="16" spans="2:18" ht="15.4" customHeight="1" x14ac:dyDescent="0.45">
      <c r="B16" s="611"/>
      <c r="C16" s="634" t="s">
        <v>1034</v>
      </c>
      <c r="D16" s="634"/>
      <c r="E16" s="435">
        <f>VLOOKUP("no_noise_threshold",AUTO!$A$1:$B$1051,2,FALSE)</f>
        <v>54</v>
      </c>
      <c r="F16" s="623"/>
      <c r="G16" s="630" t="s">
        <v>1033</v>
      </c>
      <c r="H16" s="631"/>
      <c r="I16" s="635">
        <v>30000</v>
      </c>
      <c r="J16" s="621" t="s">
        <v>1032</v>
      </c>
      <c r="K16" s="612"/>
      <c r="P16" s="636"/>
      <c r="Q16" s="637"/>
      <c r="R16" s="637"/>
    </row>
    <row r="17" spans="2:18" ht="14.65" customHeight="1" x14ac:dyDescent="0.45">
      <c r="B17" s="611"/>
      <c r="C17" s="634" t="s">
        <v>1031</v>
      </c>
      <c r="D17" s="634"/>
      <c r="E17" s="435">
        <f>VLOOKUP("sample_volume_ml",AUTO!$A$1:$B$1051,2,FALSE)</f>
        <v>40</v>
      </c>
      <c r="F17" s="623"/>
      <c r="G17" s="624" t="s">
        <v>1030</v>
      </c>
      <c r="H17" s="625"/>
      <c r="I17" s="635">
        <v>30</v>
      </c>
      <c r="J17" s="621" t="s">
        <v>1027</v>
      </c>
      <c r="K17" s="612"/>
      <c r="P17" s="636"/>
      <c r="Q17" s="637"/>
      <c r="R17" s="637"/>
    </row>
    <row r="18" spans="2:18" ht="14.65" customHeight="1" x14ac:dyDescent="0.45">
      <c r="B18" s="611"/>
      <c r="C18" s="634" t="s">
        <v>1029</v>
      </c>
      <c r="D18" s="634"/>
      <c r="E18" s="440">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F18" s="623"/>
      <c r="G18" s="624" t="s">
        <v>1028</v>
      </c>
      <c r="H18" s="625"/>
      <c r="I18" s="635">
        <v>30</v>
      </c>
      <c r="J18" s="621" t="s">
        <v>1027</v>
      </c>
      <c r="K18" s="612"/>
      <c r="P18" s="636"/>
      <c r="Q18" s="637"/>
      <c r="R18" s="637"/>
    </row>
    <row r="19" spans="2:18" ht="14.65" customHeight="1" x14ac:dyDescent="0.45">
      <c r="B19" s="611"/>
      <c r="C19" s="638" t="s">
        <v>1026</v>
      </c>
      <c r="D19" s="638"/>
      <c r="E19" s="638"/>
      <c r="F19" s="638"/>
      <c r="G19" s="638"/>
      <c r="H19" s="638"/>
      <c r="I19" s="638"/>
      <c r="J19" s="638"/>
      <c r="K19" s="612"/>
      <c r="P19" s="636"/>
      <c r="Q19" s="637"/>
      <c r="R19" s="637"/>
    </row>
    <row r="20" spans="2:18" x14ac:dyDescent="0.45">
      <c r="B20" s="611"/>
      <c r="C20" s="639" t="s">
        <v>1025</v>
      </c>
      <c r="D20" s="640">
        <v>0.5</v>
      </c>
      <c r="E20" s="640"/>
      <c r="F20" s="639" t="s">
        <v>1020</v>
      </c>
      <c r="G20" s="639" t="s">
        <v>1024</v>
      </c>
      <c r="H20" s="640">
        <v>2.7</v>
      </c>
      <c r="I20" s="640"/>
      <c r="J20" s="639" t="s">
        <v>1018</v>
      </c>
      <c r="K20" s="612"/>
      <c r="P20" s="636"/>
      <c r="Q20" s="637"/>
      <c r="R20" s="637"/>
    </row>
    <row r="21" spans="2:18" x14ac:dyDescent="0.45">
      <c r="B21" s="611"/>
      <c r="C21" s="639" t="s">
        <v>1023</v>
      </c>
      <c r="D21" s="640">
        <v>0.6</v>
      </c>
      <c r="E21" s="640"/>
      <c r="F21" s="639" t="s">
        <v>1020</v>
      </c>
      <c r="G21" s="639" t="s">
        <v>1022</v>
      </c>
      <c r="H21" s="640">
        <v>8.3000000000000007</v>
      </c>
      <c r="I21" s="640"/>
      <c r="J21" s="639" t="s">
        <v>1018</v>
      </c>
      <c r="K21" s="612"/>
      <c r="P21" s="636"/>
      <c r="Q21" s="637"/>
      <c r="R21" s="637"/>
    </row>
    <row r="22" spans="2:18" x14ac:dyDescent="0.45">
      <c r="B22" s="611"/>
      <c r="C22" s="639" t="s">
        <v>1021</v>
      </c>
      <c r="D22" s="640">
        <v>10.199999999999999</v>
      </c>
      <c r="E22" s="640"/>
      <c r="F22" s="639" t="s">
        <v>1020</v>
      </c>
      <c r="G22" s="639" t="s">
        <v>1019</v>
      </c>
      <c r="H22" s="640">
        <v>8.3000000000000007</v>
      </c>
      <c r="I22" s="640"/>
      <c r="J22" s="639" t="s">
        <v>1018</v>
      </c>
      <c r="K22" s="612"/>
      <c r="P22" s="636"/>
      <c r="Q22" s="637"/>
      <c r="R22" s="637"/>
    </row>
    <row r="23" spans="2:18" ht="14.1" customHeight="1" x14ac:dyDescent="0.45">
      <c r="B23" s="611"/>
      <c r="C23" s="431"/>
      <c r="D23" s="431"/>
      <c r="E23" s="431"/>
      <c r="F23" s="431"/>
      <c r="G23" s="431"/>
      <c r="H23" s="431"/>
      <c r="I23" s="431"/>
      <c r="J23" s="431"/>
      <c r="K23" s="612"/>
      <c r="P23" s="636"/>
      <c r="Q23" s="637"/>
      <c r="R23" s="637"/>
    </row>
    <row r="24" spans="2:18" ht="14.65" customHeight="1" x14ac:dyDescent="0.45">
      <c r="B24" s="611"/>
      <c r="C24" s="641" t="s">
        <v>1017</v>
      </c>
      <c r="D24" s="641"/>
      <c r="E24" s="641"/>
      <c r="F24" s="431"/>
      <c r="G24" s="641" t="s">
        <v>1016</v>
      </c>
      <c r="H24" s="641"/>
      <c r="I24" s="641"/>
      <c r="J24" s="641"/>
      <c r="K24" s="612"/>
      <c r="P24" s="636"/>
      <c r="Q24" s="637"/>
      <c r="R24" s="637"/>
    </row>
    <row r="25" spans="2:18" ht="28.5" x14ac:dyDescent="0.45">
      <c r="B25" s="611"/>
      <c r="C25" s="642" t="s">
        <v>578</v>
      </c>
      <c r="D25" s="642" t="s">
        <v>1015</v>
      </c>
      <c r="E25" s="642" t="s">
        <v>1014</v>
      </c>
      <c r="F25" s="431"/>
      <c r="G25" s="642" t="s">
        <v>578</v>
      </c>
      <c r="H25" s="642" t="s">
        <v>1013</v>
      </c>
      <c r="I25" s="641" t="s">
        <v>1012</v>
      </c>
      <c r="J25" s="641"/>
      <c r="K25" s="612"/>
    </row>
    <row r="26" spans="2:18" x14ac:dyDescent="0.45">
      <c r="B26" s="611"/>
      <c r="C26" s="643" t="s">
        <v>1011</v>
      </c>
      <c r="D26" s="643" t="s">
        <v>1010</v>
      </c>
      <c r="E26" s="643" t="s">
        <v>1010</v>
      </c>
      <c r="F26" s="431"/>
      <c r="G26" s="643" t="s">
        <v>1011</v>
      </c>
      <c r="H26" s="643" t="s">
        <v>1010</v>
      </c>
      <c r="I26" s="644" t="s">
        <v>1009</v>
      </c>
      <c r="J26" s="644"/>
      <c r="K26" s="612"/>
    </row>
    <row r="27" spans="2:18" x14ac:dyDescent="0.45">
      <c r="B27" s="611"/>
      <c r="C27" s="435">
        <f>VLOOKUP("threshold32_0_sz",AUTO!$A$1:$B$1051,2,FALSE)</f>
        <v>4</v>
      </c>
      <c r="D27" s="435">
        <f>VLOOKUP("reference_count_0",AUTO!$A$1:$B$1051,2,FALSE)/100</f>
        <v>10377.1</v>
      </c>
      <c r="E27" s="645">
        <f>1095753/100</f>
        <v>10957.53</v>
      </c>
      <c r="F27" s="431"/>
      <c r="G27" s="622">
        <f>C27</f>
        <v>4</v>
      </c>
      <c r="H27" s="622">
        <f>D27</f>
        <v>10377.1</v>
      </c>
      <c r="I27" s="598">
        <f>VLOOKUP("threshold32_0_value",AUTO!$A$1:$B$1051,2,FALSE)</f>
        <v>112</v>
      </c>
      <c r="J27" s="599">
        <f>VLOOKUP("threshold32_0_sz",AUTO!$A$1:$B$1051,2,FALSE)</f>
        <v>4</v>
      </c>
      <c r="K27" s="612"/>
    </row>
    <row r="28" spans="2:18" x14ac:dyDescent="0.45">
      <c r="B28" s="611"/>
      <c r="C28" s="435">
        <f>VLOOKUP("threshold32_2_sz",AUTO!$A$1:$B$1051,2,FALSE)</f>
        <v>6</v>
      </c>
      <c r="D28" s="435">
        <f>VLOOKUP("reference_count_1",AUTO!$A$1:$B$1051,2,FALSE)/100</f>
        <v>4325.8</v>
      </c>
      <c r="E28" s="645">
        <f>463914/100</f>
        <v>4639.1400000000003</v>
      </c>
      <c r="F28" s="431"/>
      <c r="G28" s="622">
        <f t="shared" ref="G28:H35" si="0">C28</f>
        <v>6</v>
      </c>
      <c r="H28" s="622">
        <f t="shared" si="0"/>
        <v>4325.8</v>
      </c>
      <c r="I28" s="598">
        <f>VLOOKUP("threshold32_2_value",AUTO!$A$1:$B$1051,2,FALSE)</f>
        <v>176</v>
      </c>
      <c r="J28" s="599">
        <f>VLOOKUP("threshold32_2_sz",AUTO!$A$1:$B$1051,2,FALSE)</f>
        <v>6</v>
      </c>
      <c r="K28" s="612"/>
    </row>
    <row r="29" spans="2:18" x14ac:dyDescent="0.45">
      <c r="B29" s="611"/>
      <c r="C29" s="435">
        <f>VLOOKUP("threshold32_6_sz",AUTO!$A$1:$B$1051,2,FALSE)</f>
        <v>10</v>
      </c>
      <c r="D29" s="435">
        <f>VLOOKUP("reference_count32_6",AUTO!$A$1:$B$1051,2,FALSE)</f>
        <v>972.4</v>
      </c>
      <c r="E29" s="645">
        <f>107953/100</f>
        <v>1079.53</v>
      </c>
      <c r="F29" s="431"/>
      <c r="G29" s="622">
        <f t="shared" si="0"/>
        <v>10</v>
      </c>
      <c r="H29" s="622">
        <f t="shared" si="0"/>
        <v>972.4</v>
      </c>
      <c r="I29" s="598">
        <f>VLOOKUP("threshold32_6_value",AUTO!$A$1:$B$1051,2,FALSE)</f>
        <v>394</v>
      </c>
      <c r="J29" s="599">
        <f>VLOOKUP("threshold32_6_sz",AUTO!$A$1:$B$1051,2,FALSE)</f>
        <v>10</v>
      </c>
      <c r="K29" s="612"/>
    </row>
    <row r="30" spans="2:18" x14ac:dyDescent="0.45">
      <c r="B30" s="611"/>
      <c r="C30" s="435">
        <f>VLOOKUP("threshold32_10_sz",AUTO!$A$1:$B$1051,2,FALSE)</f>
        <v>14</v>
      </c>
      <c r="D30" s="435">
        <f>VLOOKUP("reference_count_2",AUTO!$A$1:$B$1051,2,FALSE)/100</f>
        <v>319.7</v>
      </c>
      <c r="E30" s="645">
        <f>35860/100</f>
        <v>358.6</v>
      </c>
      <c r="F30" s="431"/>
      <c r="G30" s="622">
        <f t="shared" si="0"/>
        <v>14</v>
      </c>
      <c r="H30" s="622">
        <f t="shared" si="0"/>
        <v>319.7</v>
      </c>
      <c r="I30" s="598">
        <f>VLOOKUP("threshold32_10_value",AUTO!$A$1:$B$1051,2,FALSE)</f>
        <v>714</v>
      </c>
      <c r="J30" s="599">
        <f>VLOOKUP("threshold32_10_sz",AUTO!$A$1:$B$1051,2,FALSE)</f>
        <v>14</v>
      </c>
      <c r="K30" s="612"/>
    </row>
    <row r="31" spans="2:18" x14ac:dyDescent="0.45">
      <c r="B31" s="611"/>
      <c r="C31" s="435">
        <f>VLOOKUP("threshold32_17_sz",AUTO!$A$1:$B$1051,2,FALSE)</f>
        <v>21</v>
      </c>
      <c r="D31" s="435">
        <f>VLOOKUP("reference_count_3",AUTO!$A$1:$B$1051,2,FALSE)/100</f>
        <v>98.7</v>
      </c>
      <c r="E31" s="645">
        <f>10524/100</f>
        <v>105.24</v>
      </c>
      <c r="F31" s="431"/>
      <c r="G31" s="622">
        <f t="shared" si="0"/>
        <v>21</v>
      </c>
      <c r="H31" s="622">
        <f t="shared" si="0"/>
        <v>98.7</v>
      </c>
      <c r="I31" s="598">
        <f>VLOOKUP("threshold32_17_value",AUTO!$A$1:$B$1051,2,FALSE)</f>
        <v>1314</v>
      </c>
      <c r="J31" s="599">
        <f>VLOOKUP("threshold32_17_sz",AUTO!$A$1:$B$1051,2,FALSE)</f>
        <v>21</v>
      </c>
      <c r="K31" s="612"/>
    </row>
    <row r="32" spans="2:18" x14ac:dyDescent="0.45">
      <c r="B32" s="611"/>
      <c r="C32" s="435">
        <f>VLOOKUP("threshold32_21_sz",AUTO!$A$1:$B$1051,2,FALSE)</f>
        <v>25</v>
      </c>
      <c r="D32" s="435">
        <f>VLOOKUP("reference_count_4",AUTO!$A$1:$B$1051,2,FALSE)/100</f>
        <v>53</v>
      </c>
      <c r="E32" s="645">
        <f>4913/100</f>
        <v>49.13</v>
      </c>
      <c r="F32" s="431"/>
      <c r="G32" s="622">
        <f t="shared" si="0"/>
        <v>25</v>
      </c>
      <c r="H32" s="622">
        <f t="shared" si="0"/>
        <v>53</v>
      </c>
      <c r="I32" s="598">
        <f>VLOOKUP("threshold32_21_value",AUTO!$A$1:$B$1051,2,FALSE)</f>
        <v>1794</v>
      </c>
      <c r="J32" s="599">
        <f>VLOOKUP("threshold32_21_sz",AUTO!$A$1:$B$1051,2,FALSE)</f>
        <v>25</v>
      </c>
      <c r="K32" s="612"/>
    </row>
    <row r="33" spans="2:11" x14ac:dyDescent="0.45">
      <c r="B33" s="611"/>
      <c r="C33" s="435">
        <f>VLOOKUP("threshold32_27_sz",AUTO!$A$1:$B$1051,2,FALSE)</f>
        <v>38</v>
      </c>
      <c r="D33" s="622" t="s">
        <v>23</v>
      </c>
      <c r="E33" s="645">
        <f>292/100</f>
        <v>2.92</v>
      </c>
      <c r="F33" s="431"/>
      <c r="G33" s="622">
        <f t="shared" si="0"/>
        <v>38</v>
      </c>
      <c r="H33" s="622" t="str">
        <f t="shared" si="0"/>
        <v>-</v>
      </c>
      <c r="I33" s="598">
        <f>VLOOKUP("threshold32_27_value",AUTO!$A$1:$B$1051,2,FALSE)</f>
        <v>4348</v>
      </c>
      <c r="J33" s="599">
        <f>VLOOKUP("threshold32_27_sz",AUTO!$A$1:$B$1051,2,FALSE)</f>
        <v>38</v>
      </c>
      <c r="K33" s="612"/>
    </row>
    <row r="34" spans="2:11" x14ac:dyDescent="0.45">
      <c r="B34" s="611"/>
      <c r="C34" s="435">
        <f>VLOOKUP("threshold32_28_sz",AUTO!$A$1:$B$1051,2,FALSE)</f>
        <v>50</v>
      </c>
      <c r="D34" s="622" t="s">
        <v>23</v>
      </c>
      <c r="E34" s="645">
        <f>71/100</f>
        <v>0.71</v>
      </c>
      <c r="F34" s="431"/>
      <c r="G34" s="622">
        <f t="shared" si="0"/>
        <v>50</v>
      </c>
      <c r="H34" s="622" t="str">
        <f t="shared" si="0"/>
        <v>-</v>
      </c>
      <c r="I34" s="598">
        <f>VLOOKUP("threshold32_28_value",AUTO!$A$1:$B$1051,2,FALSE)</f>
        <v>6298</v>
      </c>
      <c r="J34" s="599">
        <f>VLOOKUP("threshold32_28_sz",AUTO!$A$1:$B$1051,2,FALSE)</f>
        <v>50</v>
      </c>
      <c r="K34" s="612"/>
    </row>
    <row r="35" spans="2:11" x14ac:dyDescent="0.45">
      <c r="B35" s="611"/>
      <c r="C35" s="435">
        <f>VLOOKUP("threshold32_29_sz",AUTO!$A$1:$B$1051,2,FALSE)</f>
        <v>70</v>
      </c>
      <c r="D35" s="622" t="s">
        <v>23</v>
      </c>
      <c r="E35" s="645">
        <f>11/100</f>
        <v>0.11</v>
      </c>
      <c r="F35" s="431"/>
      <c r="G35" s="622">
        <f t="shared" si="0"/>
        <v>70</v>
      </c>
      <c r="H35" s="622" t="str">
        <f t="shared" si="0"/>
        <v>-</v>
      </c>
      <c r="I35" s="598">
        <f>VLOOKUP("threshold32_29_value",AUTO!$A$1:$B$1051,2,FALSE)</f>
        <v>14290</v>
      </c>
      <c r="J35" s="599">
        <f>VLOOKUP("threshold32_29_sz",AUTO!$A$1:$B$1051,2,FALSE)</f>
        <v>70</v>
      </c>
      <c r="K35" s="612"/>
    </row>
    <row r="36" spans="2:11" x14ac:dyDescent="0.45">
      <c r="B36" s="611"/>
      <c r="C36" s="622"/>
      <c r="D36" s="622"/>
      <c r="E36" s="622"/>
      <c r="F36" s="431"/>
      <c r="G36" s="622"/>
      <c r="H36" s="622"/>
      <c r="I36" s="646"/>
      <c r="J36" s="646"/>
      <c r="K36" s="612"/>
    </row>
    <row r="37" spans="2:11" x14ac:dyDescent="0.45">
      <c r="B37" s="611"/>
      <c r="C37" s="622"/>
      <c r="D37" s="622"/>
      <c r="E37" s="622"/>
      <c r="F37" s="431"/>
      <c r="G37" s="622"/>
      <c r="H37" s="622"/>
      <c r="I37" s="646"/>
      <c r="J37" s="646"/>
      <c r="K37" s="612"/>
    </row>
    <row r="38" spans="2:11" x14ac:dyDescent="0.45">
      <c r="B38" s="611"/>
      <c r="C38" s="622"/>
      <c r="D38" s="622"/>
      <c r="E38" s="622"/>
      <c r="F38" s="431"/>
      <c r="G38" s="622"/>
      <c r="H38" s="622"/>
      <c r="I38" s="646"/>
      <c r="J38" s="646"/>
      <c r="K38" s="612"/>
    </row>
    <row r="39" spans="2:11" x14ac:dyDescent="0.45">
      <c r="B39" s="611"/>
      <c r="C39" s="622"/>
      <c r="D39" s="622"/>
      <c r="E39" s="622"/>
      <c r="F39" s="431"/>
      <c r="G39" s="622"/>
      <c r="H39" s="622"/>
      <c r="I39" s="646"/>
      <c r="J39" s="646"/>
      <c r="K39" s="612"/>
    </row>
    <row r="40" spans="2:11" x14ac:dyDescent="0.45">
      <c r="B40" s="611"/>
      <c r="C40" s="622"/>
      <c r="D40" s="622"/>
      <c r="E40" s="622"/>
      <c r="F40" s="431"/>
      <c r="G40" s="622"/>
      <c r="H40" s="622"/>
      <c r="I40" s="646"/>
      <c r="J40" s="646"/>
      <c r="K40" s="612"/>
    </row>
    <row r="41" spans="2:11" x14ac:dyDescent="0.45">
      <c r="B41" s="611"/>
      <c r="C41" s="622"/>
      <c r="D41" s="622"/>
      <c r="E41" s="622"/>
      <c r="F41" s="431"/>
      <c r="G41" s="622"/>
      <c r="H41" s="622"/>
      <c r="I41" s="646"/>
      <c r="J41" s="646"/>
      <c r="K41" s="612"/>
    </row>
    <row r="42" spans="2:11" x14ac:dyDescent="0.45">
      <c r="B42" s="611"/>
      <c r="C42" s="622"/>
      <c r="D42" s="622"/>
      <c r="E42" s="622"/>
      <c r="F42" s="431"/>
      <c r="G42" s="622"/>
      <c r="H42" s="622"/>
      <c r="I42" s="646"/>
      <c r="J42" s="646"/>
      <c r="K42" s="612"/>
    </row>
    <row r="43" spans="2:11" x14ac:dyDescent="0.45">
      <c r="B43" s="611"/>
      <c r="C43" s="622"/>
      <c r="D43" s="622"/>
      <c r="E43" s="622"/>
      <c r="F43" s="431"/>
      <c r="G43" s="622"/>
      <c r="H43" s="622"/>
      <c r="I43" s="646"/>
      <c r="J43" s="646"/>
      <c r="K43" s="612"/>
    </row>
    <row r="44" spans="2:11" x14ac:dyDescent="0.45">
      <c r="B44" s="611"/>
      <c r="C44" s="622"/>
      <c r="D44" s="622"/>
      <c r="E44" s="622"/>
      <c r="F44" s="431"/>
      <c r="G44" s="622"/>
      <c r="H44" s="622"/>
      <c r="I44" s="646"/>
      <c r="J44" s="646"/>
      <c r="K44" s="612"/>
    </row>
    <row r="45" spans="2:11" x14ac:dyDescent="0.45">
      <c r="B45" s="611"/>
      <c r="C45" s="622"/>
      <c r="D45" s="622"/>
      <c r="E45" s="622"/>
      <c r="F45" s="431"/>
      <c r="G45" s="622"/>
      <c r="H45" s="622"/>
      <c r="I45" s="646"/>
      <c r="J45" s="646"/>
      <c r="K45" s="612"/>
    </row>
    <row r="46" spans="2:11" x14ac:dyDescent="0.45">
      <c r="B46" s="611"/>
      <c r="C46" s="622"/>
      <c r="D46" s="622"/>
      <c r="E46" s="622"/>
      <c r="F46" s="431"/>
      <c r="G46" s="622"/>
      <c r="H46" s="622"/>
      <c r="I46" s="646"/>
      <c r="J46" s="646"/>
      <c r="K46" s="612"/>
    </row>
    <row r="47" spans="2:11" x14ac:dyDescent="0.45">
      <c r="B47" s="611"/>
      <c r="K47" s="612"/>
    </row>
    <row r="48" spans="2:11" ht="14.65" customHeight="1" x14ac:dyDescent="0.45">
      <c r="B48" s="611"/>
      <c r="C48" s="647" t="s">
        <v>1048</v>
      </c>
      <c r="D48" s="648"/>
      <c r="E48" s="648"/>
      <c r="F48" s="648"/>
      <c r="G48" s="648"/>
      <c r="H48" s="648"/>
      <c r="I48" s="648"/>
      <c r="J48" s="648"/>
      <c r="K48" s="612"/>
    </row>
    <row r="49" spans="2:11" x14ac:dyDescent="0.45">
      <c r="B49" s="611"/>
      <c r="C49" s="648"/>
      <c r="D49" s="648"/>
      <c r="E49" s="648"/>
      <c r="F49" s="648"/>
      <c r="G49" s="648"/>
      <c r="H49" s="648"/>
      <c r="I49" s="648"/>
      <c r="J49" s="648"/>
      <c r="K49" s="612"/>
    </row>
    <row r="50" spans="2:11" x14ac:dyDescent="0.45">
      <c r="B50" s="611"/>
      <c r="C50" s="648"/>
      <c r="D50" s="648"/>
      <c r="E50" s="648"/>
      <c r="F50" s="648"/>
      <c r="G50" s="648"/>
      <c r="H50" s="648"/>
      <c r="I50" s="648"/>
      <c r="J50" s="648"/>
      <c r="K50" s="612"/>
    </row>
    <row r="51" spans="2:11" x14ac:dyDescent="0.45">
      <c r="B51" s="611"/>
      <c r="C51" s="648"/>
      <c r="D51" s="648"/>
      <c r="E51" s="648"/>
      <c r="F51" s="648"/>
      <c r="G51" s="648"/>
      <c r="H51" s="648"/>
      <c r="I51" s="648"/>
      <c r="J51" s="648"/>
      <c r="K51" s="612"/>
    </row>
    <row r="52" spans="2:11" x14ac:dyDescent="0.45">
      <c r="B52" s="611"/>
      <c r="C52" s="648"/>
      <c r="D52" s="648"/>
      <c r="E52" s="648"/>
      <c r="F52" s="648"/>
      <c r="G52" s="648"/>
      <c r="H52" s="648"/>
      <c r="I52" s="648"/>
      <c r="J52" s="648"/>
      <c r="K52" s="612"/>
    </row>
    <row r="53" spans="2:11" x14ac:dyDescent="0.45">
      <c r="B53" s="649"/>
      <c r="C53" s="650"/>
      <c r="D53" s="650"/>
      <c r="E53" s="650"/>
      <c r="F53" s="650"/>
      <c r="G53" s="650"/>
      <c r="H53" s="650"/>
      <c r="I53" s="650"/>
      <c r="J53" s="650"/>
      <c r="K53" s="651"/>
    </row>
  </sheetData>
  <mergeCells count="58">
    <mergeCell ref="I45:J45"/>
    <mergeCell ref="I46:J46"/>
    <mergeCell ref="C48:J52"/>
    <mergeCell ref="I39:J39"/>
    <mergeCell ref="I40:J40"/>
    <mergeCell ref="I41:J41"/>
    <mergeCell ref="I42:J42"/>
    <mergeCell ref="I43:J43"/>
    <mergeCell ref="I44:J44"/>
    <mergeCell ref="I33:J33"/>
    <mergeCell ref="I34:J34"/>
    <mergeCell ref="I35:J35"/>
    <mergeCell ref="I36:J36"/>
    <mergeCell ref="I37:J37"/>
    <mergeCell ref="I38:J38"/>
    <mergeCell ref="I27:J27"/>
    <mergeCell ref="I28:J28"/>
    <mergeCell ref="I29:J29"/>
    <mergeCell ref="I30:J30"/>
    <mergeCell ref="I31:J31"/>
    <mergeCell ref="I32:J32"/>
    <mergeCell ref="Q23:R23"/>
    <mergeCell ref="C24:E24"/>
    <mergeCell ref="G24:J24"/>
    <mergeCell ref="Q24:R24"/>
    <mergeCell ref="I25:J25"/>
    <mergeCell ref="I26:J26"/>
    <mergeCell ref="D21:E21"/>
    <mergeCell ref="H21:I21"/>
    <mergeCell ref="Q21:R21"/>
    <mergeCell ref="D22:E22"/>
    <mergeCell ref="H22:I22"/>
    <mergeCell ref="Q22:R22"/>
    <mergeCell ref="C18:D18"/>
    <mergeCell ref="G18:H18"/>
    <mergeCell ref="Q18:R18"/>
    <mergeCell ref="C19:J19"/>
    <mergeCell ref="Q19:R19"/>
    <mergeCell ref="D20:E20"/>
    <mergeCell ref="H20:I20"/>
    <mergeCell ref="Q20:R20"/>
    <mergeCell ref="Q15:R15"/>
    <mergeCell ref="C16:D16"/>
    <mergeCell ref="G16:H16"/>
    <mergeCell ref="Q16:R16"/>
    <mergeCell ref="C17:D17"/>
    <mergeCell ref="G17:H17"/>
    <mergeCell ref="Q17:R17"/>
    <mergeCell ref="C10:J11"/>
    <mergeCell ref="C12:C15"/>
    <mergeCell ref="G12:H12"/>
    <mergeCell ref="I12:J12"/>
    <mergeCell ref="G13:H13"/>
    <mergeCell ref="I13:J13"/>
    <mergeCell ref="G14:H14"/>
    <mergeCell ref="I14:J14"/>
    <mergeCell ref="G15:H15"/>
    <mergeCell ref="I15:J15"/>
  </mergeCells>
  <hyperlinks>
    <hyperlink ref="C8" r:id="rId1" xr:uid="{2F61B39F-FCE3-4965-AEA0-7483E31B7299}"/>
  </hyperlinks>
  <pageMargins left="0.25" right="0.25" top="0.75" bottom="0.75" header="0.3" footer="0.3"/>
  <pageSetup scale="91" fitToWidth="0"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19</vt:i4>
      </vt:variant>
      <vt:variant>
        <vt:lpstr>Charts</vt:lpstr>
      </vt:variant>
      <vt:variant>
        <vt:i4>2</vt:i4>
      </vt:variant>
      <vt:variant>
        <vt:lpstr>Named Ranges</vt:lpstr>
      </vt:variant>
      <vt:variant>
        <vt:i4>15</vt:i4>
      </vt:variant>
    </vt:vector>
  </HeadingPairs>
  <TitlesOfParts>
    <vt:vector size="36"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D2</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2026-06-16T19:24:02Z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