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DE932BD0-D2C3-42E6-AF01-A54A9C54C4B8}" xr6:coauthVersionLast="47" xr6:coauthVersionMax="47" xr10:uidLastSave="{00000000-0000-0000-0000-000000000000}"/>
  <bookViews>
    <workbookView xWindow="-98" yWindow="-98" windowWidth="28996" windowHeight="17745" activeTab="6" xr2:uid="{E292ACDD-9F35-45EB-94A5-BD6193290DC2}"/>
  </bookViews>
  <sheets>
    <sheet name="Clause 6" sheetId="1" r:id="rId1"/>
    <sheet name="6 - B1" sheetId="2" r:id="rId2"/>
    <sheet name="6 - B2" sheetId="3" r:id="rId3"/>
    <sheet name="6 - B3" sheetId="4" r:id="rId4"/>
    <sheet name="6 - Thresholds" sheetId="5" r:id="rId5"/>
    <sheet name="6 - Spheres" sheetId="6" r:id="rId6"/>
    <sheet name="6 - Curve" sheetId="7" r:id="rId7"/>
  </sheets>
  <functionGroups builtInGroupCount="19"/>
  <definedNames>
    <definedName name="_xlnm._FilterDatabase" localSheetId="4" hidden="1">'6 - Thresholds'!$A$4:$H$33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7" i="4" l="1"/>
  <c r="F35" i="4"/>
  <c r="F34" i="4"/>
  <c r="B32" i="4"/>
  <c r="F38" i="4"/>
  <c r="E38" i="4"/>
  <c r="D38" i="4"/>
  <c r="C38" i="4"/>
  <c r="E37" i="4"/>
  <c r="D37" i="4"/>
  <c r="C37" i="4"/>
  <c r="E36" i="4"/>
  <c r="D36" i="4"/>
  <c r="C36" i="4"/>
  <c r="B36" i="4"/>
  <c r="E35" i="4"/>
  <c r="D35" i="4"/>
  <c r="C35" i="4"/>
  <c r="E34" i="4"/>
  <c r="C34" i="4"/>
  <c r="B34" i="4"/>
  <c r="E33" i="4"/>
  <c r="D33" i="4"/>
  <c r="C33" i="4"/>
  <c r="B33" i="4"/>
  <c r="E32" i="4"/>
  <c r="D32" i="4"/>
  <c r="C32" i="4"/>
  <c r="F31" i="4"/>
  <c r="E31" i="4"/>
  <c r="D31" i="4"/>
  <c r="C31" i="4"/>
  <c r="F30" i="4"/>
  <c r="E30" i="4"/>
  <c r="D30" i="4"/>
  <c r="C30" i="4"/>
  <c r="B30" i="4"/>
  <c r="F29" i="4"/>
  <c r="E29" i="4"/>
  <c r="D29" i="4"/>
  <c r="C29" i="4"/>
  <c r="B29" i="4"/>
  <c r="F28" i="4"/>
  <c r="E28" i="4"/>
  <c r="D28" i="4"/>
  <c r="C28" i="4"/>
  <c r="B28" i="4"/>
  <c r="F27" i="4"/>
  <c r="E27" i="4"/>
  <c r="D27" i="4"/>
  <c r="C27" i="4"/>
  <c r="B27" i="4"/>
  <c r="F26" i="4"/>
  <c r="E26" i="4"/>
  <c r="D26" i="4"/>
  <c r="C26" i="4"/>
  <c r="B26" i="4"/>
  <c r="F25" i="4"/>
  <c r="E25" i="4"/>
  <c r="D25" i="4"/>
  <c r="C25" i="4"/>
  <c r="B25" i="4"/>
  <c r="F24" i="4"/>
  <c r="E24" i="4"/>
  <c r="D24" i="4"/>
  <c r="C24" i="4"/>
  <c r="B24" i="4"/>
  <c r="F23" i="4"/>
  <c r="E23" i="4"/>
  <c r="D23" i="4"/>
  <c r="C23" i="4"/>
  <c r="B23" i="4"/>
  <c r="F22" i="4"/>
  <c r="E22" i="4"/>
  <c r="D22" i="4"/>
  <c r="C22" i="4"/>
  <c r="B22" i="4"/>
  <c r="F21" i="4"/>
  <c r="E21" i="4"/>
  <c r="D21" i="4"/>
  <c r="C21" i="4"/>
  <c r="B21" i="4"/>
  <c r="F20" i="4"/>
  <c r="E20" i="4"/>
  <c r="D20" i="4"/>
  <c r="C20" i="4"/>
  <c r="B20" i="4"/>
  <c r="F19" i="4"/>
  <c r="E19" i="4"/>
  <c r="D19" i="4"/>
  <c r="C19" i="4"/>
  <c r="B19" i="4"/>
  <c r="F18" i="4"/>
  <c r="E18" i="4"/>
  <c r="D18" i="4"/>
  <c r="C18" i="4"/>
  <c r="B18" i="4"/>
  <c r="F17" i="4"/>
  <c r="E17" i="4"/>
  <c r="D17" i="4"/>
  <c r="C17" i="4"/>
  <c r="B17" i="4"/>
  <c r="F16" i="4"/>
  <c r="E16" i="4"/>
  <c r="D16" i="4"/>
  <c r="C16" i="4"/>
  <c r="B16" i="4"/>
  <c r="F15" i="4"/>
  <c r="E15" i="4"/>
  <c r="D15" i="4"/>
  <c r="C15" i="4"/>
  <c r="B15" i="4"/>
  <c r="F14" i="4"/>
  <c r="E14" i="4"/>
  <c r="D14" i="4"/>
  <c r="C14" i="4"/>
  <c r="B14" i="4"/>
  <c r="F13" i="4"/>
  <c r="E13" i="4"/>
  <c r="D13" i="4"/>
  <c r="C13" i="4"/>
  <c r="B13" i="4"/>
  <c r="F12" i="4"/>
  <c r="E12" i="4"/>
  <c r="D12" i="4"/>
  <c r="C12" i="4"/>
  <c r="B12" i="4"/>
  <c r="F11" i="4"/>
  <c r="E11" i="4"/>
  <c r="D11" i="4"/>
  <c r="C11" i="4"/>
  <c r="B11" i="4"/>
  <c r="F10" i="4"/>
  <c r="E10" i="4"/>
  <c r="D10" i="4"/>
  <c r="C10" i="4"/>
  <c r="B10" i="4"/>
  <c r="F9" i="4"/>
  <c r="E9" i="4"/>
  <c r="D9" i="4"/>
  <c r="C9" i="4"/>
  <c r="F38" i="3"/>
  <c r="E38" i="3"/>
  <c r="D38" i="3"/>
  <c r="C38" i="3"/>
  <c r="E37" i="3"/>
  <c r="D37" i="3"/>
  <c r="C37" i="3"/>
  <c r="B37" i="3"/>
  <c r="E36" i="3"/>
  <c r="D36" i="3"/>
  <c r="C36" i="3"/>
  <c r="B36" i="3"/>
  <c r="E35" i="3"/>
  <c r="D35" i="3"/>
  <c r="C35" i="3"/>
  <c r="B35" i="3"/>
  <c r="E34" i="3"/>
  <c r="D34" i="3"/>
  <c r="C34" i="3"/>
  <c r="B34" i="3"/>
  <c r="E33" i="3"/>
  <c r="D33" i="3"/>
  <c r="C33" i="3"/>
  <c r="B33" i="3"/>
  <c r="E32" i="3"/>
  <c r="D32" i="3"/>
  <c r="C32" i="3"/>
  <c r="B32" i="3"/>
  <c r="E31" i="3"/>
  <c r="D31" i="3"/>
  <c r="C31" i="3"/>
  <c r="B31" i="3"/>
  <c r="E30" i="3"/>
  <c r="D30" i="3"/>
  <c r="C30" i="3"/>
  <c r="B30" i="3"/>
  <c r="E29" i="3"/>
  <c r="D29" i="3"/>
  <c r="C29" i="3"/>
  <c r="B29" i="3"/>
  <c r="F28" i="3"/>
  <c r="E28" i="3"/>
  <c r="D28" i="3"/>
  <c r="C28" i="3"/>
  <c r="B28" i="3"/>
  <c r="F27" i="3"/>
  <c r="E27" i="3"/>
  <c r="D27" i="3"/>
  <c r="C27" i="3"/>
  <c r="B27" i="3"/>
  <c r="F26" i="3"/>
  <c r="E26" i="3"/>
  <c r="D26" i="3"/>
  <c r="C26" i="3"/>
  <c r="B26" i="3"/>
  <c r="F25" i="3"/>
  <c r="E25" i="3"/>
  <c r="D25" i="3"/>
  <c r="C25" i="3"/>
  <c r="B25" i="3"/>
  <c r="F24" i="3"/>
  <c r="E24" i="3"/>
  <c r="D24" i="3"/>
  <c r="C24" i="3"/>
  <c r="B24" i="3"/>
  <c r="F23" i="3"/>
  <c r="E23" i="3"/>
  <c r="D23" i="3"/>
  <c r="C23" i="3"/>
  <c r="B23" i="3"/>
  <c r="F22" i="3"/>
  <c r="E22" i="3"/>
  <c r="D22" i="3"/>
  <c r="C22" i="3"/>
  <c r="B22" i="3"/>
  <c r="F21" i="3"/>
  <c r="E21" i="3"/>
  <c r="D21" i="3"/>
  <c r="C21" i="3"/>
  <c r="B21" i="3"/>
  <c r="F20" i="3"/>
  <c r="E20" i="3"/>
  <c r="D20" i="3"/>
  <c r="C20" i="3"/>
  <c r="B20" i="3"/>
  <c r="F19" i="3"/>
  <c r="E19" i="3"/>
  <c r="D19" i="3"/>
  <c r="C19" i="3"/>
  <c r="B19" i="3"/>
  <c r="F18" i="3"/>
  <c r="E18" i="3"/>
  <c r="D18" i="3"/>
  <c r="C18" i="3"/>
  <c r="B18" i="3"/>
  <c r="F17" i="3"/>
  <c r="E17" i="3"/>
  <c r="D17" i="3"/>
  <c r="C17" i="3"/>
  <c r="B17" i="3"/>
  <c r="F16" i="3"/>
  <c r="E16" i="3"/>
  <c r="D16" i="3"/>
  <c r="C16" i="3"/>
  <c r="B16" i="3"/>
  <c r="F15" i="3"/>
  <c r="E15" i="3"/>
  <c r="D15" i="3"/>
  <c r="C15" i="3"/>
  <c r="B15" i="3"/>
  <c r="F14" i="3"/>
  <c r="E14" i="3"/>
  <c r="D14" i="3"/>
  <c r="C14" i="3"/>
  <c r="B14" i="3"/>
  <c r="F13" i="3"/>
  <c r="E13" i="3"/>
  <c r="D13" i="3"/>
  <c r="C13" i="3"/>
  <c r="B13" i="3"/>
  <c r="F12" i="3"/>
  <c r="E12" i="3"/>
  <c r="D12" i="3"/>
  <c r="C12" i="3"/>
  <c r="B12" i="3"/>
  <c r="F11" i="3"/>
  <c r="E11" i="3"/>
  <c r="D11" i="3"/>
  <c r="C11" i="3"/>
  <c r="B11" i="3"/>
  <c r="F10" i="3"/>
  <c r="E10" i="3"/>
  <c r="D10" i="3"/>
  <c r="C10" i="3"/>
  <c r="B10" i="3"/>
  <c r="F9" i="3"/>
  <c r="E9" i="3"/>
  <c r="D9" i="3"/>
  <c r="C9" i="3"/>
  <c r="E38" i="2"/>
  <c r="D38" i="2"/>
  <c r="C38" i="2"/>
  <c r="B38" i="2"/>
  <c r="E37" i="2"/>
  <c r="D37" i="2"/>
  <c r="C37" i="2"/>
  <c r="B37" i="2"/>
  <c r="E36" i="2"/>
  <c r="D36" i="2"/>
  <c r="C36" i="2"/>
  <c r="B36" i="2"/>
  <c r="E35" i="2"/>
  <c r="D35" i="2"/>
  <c r="C35" i="2"/>
  <c r="B35" i="2"/>
  <c r="E34" i="2"/>
  <c r="D34" i="2"/>
  <c r="C34" i="2"/>
  <c r="B34" i="2"/>
  <c r="E33" i="2"/>
  <c r="D33" i="2"/>
  <c r="C33" i="2"/>
  <c r="B33" i="2"/>
  <c r="E32" i="2"/>
  <c r="D32" i="2"/>
  <c r="C32" i="2"/>
  <c r="B32" i="2"/>
  <c r="E31" i="2"/>
  <c r="D31" i="2"/>
  <c r="C31" i="2"/>
  <c r="B31" i="2"/>
  <c r="E30" i="2"/>
  <c r="D30" i="2"/>
  <c r="C30" i="2"/>
  <c r="B30" i="2"/>
  <c r="E29" i="2"/>
  <c r="D29" i="2"/>
  <c r="C29" i="2"/>
  <c r="B29" i="2"/>
  <c r="E28" i="2"/>
  <c r="D28" i="2"/>
  <c r="C28" i="2"/>
  <c r="B28" i="2"/>
  <c r="E27" i="2"/>
  <c r="D27" i="2"/>
  <c r="C27" i="2"/>
  <c r="B27" i="2"/>
  <c r="E26" i="2"/>
  <c r="D26" i="2"/>
  <c r="C26" i="2"/>
  <c r="B26" i="2"/>
  <c r="E25" i="2"/>
  <c r="D25" i="2"/>
  <c r="C25" i="2"/>
  <c r="B25" i="2"/>
  <c r="E24" i="2"/>
  <c r="D24" i="2"/>
  <c r="C24" i="2"/>
  <c r="B24" i="2"/>
  <c r="E23" i="2"/>
  <c r="D23" i="2"/>
  <c r="C23" i="2"/>
  <c r="B23" i="2"/>
  <c r="E22" i="2"/>
  <c r="D22" i="2"/>
  <c r="C22" i="2"/>
  <c r="B22" i="2"/>
  <c r="E21" i="2"/>
  <c r="D21" i="2"/>
  <c r="C21" i="2"/>
  <c r="B21" i="2"/>
  <c r="E20" i="2"/>
  <c r="D20" i="2"/>
  <c r="C20" i="2"/>
  <c r="B20" i="2"/>
  <c r="E19" i="2"/>
  <c r="D19" i="2"/>
  <c r="C19" i="2"/>
  <c r="B19" i="2"/>
  <c r="E18" i="2"/>
  <c r="D18" i="2"/>
  <c r="C18" i="2"/>
  <c r="B18" i="2"/>
  <c r="E17" i="2"/>
  <c r="D17" i="2"/>
  <c r="C17" i="2"/>
  <c r="B17" i="2"/>
  <c r="E16" i="2"/>
  <c r="D16" i="2"/>
  <c r="C16" i="2"/>
  <c r="B16" i="2"/>
  <c r="E15" i="2"/>
  <c r="D15" i="2"/>
  <c r="C15" i="2"/>
  <c r="B15" i="2"/>
  <c r="E14" i="2"/>
  <c r="D14" i="2"/>
  <c r="C14" i="2"/>
  <c r="B14" i="2"/>
  <c r="E13" i="2"/>
  <c r="D13" i="2"/>
  <c r="C13" i="2"/>
  <c r="B13" i="2"/>
  <c r="E12" i="2"/>
  <c r="D12" i="2"/>
  <c r="C12" i="2"/>
  <c r="B12" i="2"/>
  <c r="E11" i="2"/>
  <c r="D11" i="2"/>
  <c r="C11" i="2"/>
  <c r="B11" i="2"/>
  <c r="E10" i="2"/>
  <c r="D10" i="2"/>
  <c r="C10" i="2"/>
  <c r="B10" i="2"/>
  <c r="E9" i="2"/>
  <c r="D9" i="2"/>
  <c r="C9" i="2"/>
  <c r="B16" i="1"/>
  <c r="F59" i="6"/>
  <c r="B46" i="6" l="1"/>
  <c r="F87" i="6" l="1"/>
  <c r="H83" i="6"/>
  <c r="F83" i="6"/>
  <c r="G81" i="6"/>
  <c r="F72" i="6"/>
  <c r="F71" i="6"/>
  <c r="F54" i="6"/>
  <c r="F56" i="6" s="1"/>
  <c r="F57" i="6" s="1"/>
  <c r="F64" i="6" s="1"/>
  <c r="B32" i="7"/>
  <c r="M15" i="6"/>
  <c r="A15" i="6"/>
  <c r="F15" i="6"/>
  <c r="B33" i="7"/>
  <c r="M30" i="6"/>
  <c r="D8" i="6"/>
  <c r="F30" i="6" s="1"/>
  <c r="F61" i="6" l="1"/>
  <c r="F63" i="6" s="1"/>
  <c r="F65" i="6" s="1"/>
  <c r="F66" i="6" s="1"/>
  <c r="A30" i="6"/>
  <c r="C18" i="1"/>
  <c r="F67" i="6" l="1"/>
  <c r="F73" i="6" s="1"/>
  <c r="F74" i="6" s="1"/>
  <c r="C17" i="1"/>
  <c r="D18" i="1" s="1"/>
  <c r="E4" i="3" s="1"/>
  <c r="B4" i="2"/>
  <c r="B3" i="2"/>
  <c r="B5" i="2"/>
  <c r="H21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P19" i="1"/>
  <c r="Q19" i="1" s="1"/>
  <c r="P20" i="1"/>
  <c r="Q20" i="1" s="1"/>
  <c r="E4" i="2" l="1"/>
  <c r="E4" i="4"/>
  <c r="B34" i="7"/>
  <c r="A34" i="7"/>
  <c r="M46" i="6"/>
  <c r="O42" i="6"/>
  <c r="M42" i="6"/>
  <c r="H42" i="6"/>
  <c r="F42" i="6"/>
  <c r="D42" i="6"/>
  <c r="B42" i="6"/>
  <c r="G40" i="6"/>
  <c r="A32" i="7" s="1"/>
  <c r="C40" i="6"/>
  <c r="A33" i="7" s="1"/>
  <c r="M31" i="6"/>
  <c r="F31" i="6"/>
  <c r="A31" i="6"/>
  <c r="M13" i="6"/>
  <c r="M16" i="6" s="1"/>
  <c r="F13" i="6"/>
  <c r="F16" i="6" s="1"/>
  <c r="A13" i="6"/>
  <c r="A16" i="6" s="1"/>
  <c r="L3" i="5"/>
  <c r="P82" i="4"/>
  <c r="O82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A82" i="4"/>
  <c r="P81" i="4"/>
  <c r="O81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A81" i="4"/>
  <c r="P80" i="4"/>
  <c r="O80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A80" i="4"/>
  <c r="P79" i="4"/>
  <c r="O79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A79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A78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A77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A76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A75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A74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A73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A72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A71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A70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A69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A68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A67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A66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A65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A64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A63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A62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A61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A60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A59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A58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A57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A56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A55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A54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A53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A52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A51" i="4"/>
  <c r="B5" i="4"/>
  <c r="A5" i="4"/>
  <c r="B4" i="4"/>
  <c r="A4" i="4"/>
  <c r="B3" i="4"/>
  <c r="A3" i="4"/>
  <c r="A1" i="4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A82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A81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A80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A79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A78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A77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A76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A75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A72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A71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A70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A69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A68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A67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A66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A65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A64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A63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A62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A61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A60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A59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A58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A57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A56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A55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A54" i="3"/>
  <c r="P53" i="3"/>
  <c r="O53" i="3"/>
  <c r="N53" i="3"/>
  <c r="M53" i="3"/>
  <c r="L53" i="3"/>
  <c r="K53" i="3"/>
  <c r="J53" i="3"/>
  <c r="I53" i="3"/>
  <c r="H53" i="3"/>
  <c r="G53" i="3"/>
  <c r="B9" i="3" s="1"/>
  <c r="F53" i="3"/>
  <c r="E53" i="3"/>
  <c r="D53" i="3"/>
  <c r="C53" i="3"/>
  <c r="B53" i="3"/>
  <c r="A53" i="3"/>
  <c r="P52" i="3"/>
  <c r="O52" i="3"/>
  <c r="N52" i="3"/>
  <c r="M52" i="3"/>
  <c r="L52" i="3"/>
  <c r="K52" i="3"/>
  <c r="F8" i="3" s="1"/>
  <c r="J52" i="3"/>
  <c r="E8" i="3" s="1"/>
  <c r="I52" i="3"/>
  <c r="D8" i="3" s="1"/>
  <c r="H52" i="3"/>
  <c r="C8" i="3" s="1"/>
  <c r="G52" i="3"/>
  <c r="B8" i="3" s="1"/>
  <c r="F52" i="3"/>
  <c r="E52" i="3"/>
  <c r="D52" i="3"/>
  <c r="C52" i="3"/>
  <c r="B52" i="3"/>
  <c r="A52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A51" i="3"/>
  <c r="B5" i="3"/>
  <c r="A5" i="3"/>
  <c r="B4" i="3"/>
  <c r="A4" i="3"/>
  <c r="B3" i="3"/>
  <c r="A3" i="3"/>
  <c r="A1" i="3"/>
  <c r="D51" i="1"/>
  <c r="F33" i="5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B22" i="1"/>
  <c r="P18" i="1"/>
  <c r="Q18" i="1" s="1"/>
  <c r="P17" i="1"/>
  <c r="Q17" i="1" s="1"/>
  <c r="P16" i="1"/>
  <c r="Q16" i="1" s="1"/>
  <c r="P15" i="1"/>
  <c r="Q15" i="1" s="1"/>
  <c r="P14" i="1"/>
  <c r="Q14" i="1" s="1"/>
  <c r="B14" i="1"/>
  <c r="P13" i="1"/>
  <c r="Q13" i="1" s="1"/>
  <c r="P12" i="1"/>
  <c r="Q12" i="1" s="1"/>
  <c r="P11" i="1"/>
  <c r="Q11" i="1" s="1"/>
  <c r="I11" i="1"/>
  <c r="H11" i="1"/>
  <c r="G11" i="1"/>
  <c r="F11" i="1"/>
  <c r="P10" i="1"/>
  <c r="Q10" i="1" s="1"/>
  <c r="P9" i="1"/>
  <c r="Q9" i="1" s="1"/>
  <c r="I9" i="1"/>
  <c r="H9" i="1"/>
  <c r="G9" i="1"/>
  <c r="F9" i="1"/>
  <c r="P8" i="1"/>
  <c r="Q8" i="1" s="1"/>
  <c r="P7" i="1"/>
  <c r="Q7" i="1" s="1"/>
  <c r="I7" i="1"/>
  <c r="H7" i="1"/>
  <c r="G7" i="1"/>
  <c r="F7" i="1"/>
  <c r="P6" i="1"/>
  <c r="Q6" i="1" s="1"/>
  <c r="P5" i="1"/>
  <c r="Q5" i="1" s="1"/>
  <c r="B9" i="2" l="1"/>
  <c r="B9" i="4"/>
  <c r="F8" i="4"/>
  <c r="E8" i="4"/>
  <c r="D8" i="4"/>
  <c r="C8" i="4"/>
  <c r="G11" i="3"/>
  <c r="S11" i="3" s="1"/>
  <c r="G24" i="3"/>
  <c r="O24" i="3" s="1"/>
  <c r="G25" i="3"/>
  <c r="O25" i="3" s="1"/>
  <c r="G28" i="3"/>
  <c r="O28" i="3" s="1"/>
  <c r="G38" i="3"/>
  <c r="I13" i="3"/>
  <c r="M15" i="3"/>
  <c r="I29" i="3"/>
  <c r="G30" i="3"/>
  <c r="O30" i="3" s="1"/>
  <c r="G31" i="3"/>
  <c r="P31" i="3" s="1"/>
  <c r="G33" i="3"/>
  <c r="M17" i="3"/>
  <c r="M18" i="3"/>
  <c r="G19" i="3"/>
  <c r="P19" i="3" s="1"/>
  <c r="M20" i="3"/>
  <c r="M34" i="3"/>
  <c r="M35" i="3"/>
  <c r="I36" i="3"/>
  <c r="G21" i="3"/>
  <c r="P21" i="3" s="1"/>
  <c r="G26" i="3"/>
  <c r="O26" i="3" s="1"/>
  <c r="M27" i="3"/>
  <c r="G9" i="3"/>
  <c r="O9" i="3" s="1"/>
  <c r="M12" i="3"/>
  <c r="I14" i="3"/>
  <c r="G16" i="3"/>
  <c r="O16" i="3" s="1"/>
  <c r="I23" i="3"/>
  <c r="G14" i="3"/>
  <c r="O14" i="3" s="1"/>
  <c r="G22" i="3"/>
  <c r="Q22" i="3" s="1"/>
  <c r="G20" i="3"/>
  <c r="G37" i="3"/>
  <c r="G10" i="3"/>
  <c r="R10" i="3" s="1"/>
  <c r="G32" i="3"/>
  <c r="P32" i="3" s="1"/>
  <c r="A18" i="6"/>
  <c r="A20" i="6" s="1"/>
  <c r="A22" i="6" s="1"/>
  <c r="A24" i="6" s="1"/>
  <c r="A25" i="6" s="1"/>
  <c r="A23" i="6"/>
  <c r="B8" i="4"/>
  <c r="D8" i="2"/>
  <c r="C8" i="2"/>
  <c r="E8" i="2"/>
  <c r="F8" i="2"/>
  <c r="B8" i="2"/>
  <c r="C22" i="1"/>
  <c r="H22" i="1"/>
  <c r="E3" i="2"/>
  <c r="F46" i="6"/>
  <c r="D50" i="1"/>
  <c r="F32" i="5" s="1"/>
  <c r="B56" i="1"/>
  <c r="G8" i="3"/>
  <c r="M9" i="3"/>
  <c r="I9" i="3"/>
  <c r="M10" i="3"/>
  <c r="I10" i="3"/>
  <c r="M11" i="3"/>
  <c r="I11" i="3"/>
  <c r="I12" i="3"/>
  <c r="I16" i="3"/>
  <c r="M16" i="3"/>
  <c r="I19" i="3"/>
  <c r="M21" i="3"/>
  <c r="I21" i="3"/>
  <c r="M23" i="3"/>
  <c r="M24" i="3"/>
  <c r="I24" i="3"/>
  <c r="M25" i="3"/>
  <c r="I25" i="3"/>
  <c r="M26" i="3"/>
  <c r="I26" i="3"/>
  <c r="M28" i="3"/>
  <c r="I28" i="3"/>
  <c r="I30" i="3"/>
  <c r="M30" i="3"/>
  <c r="I32" i="3"/>
  <c r="M32" i="3"/>
  <c r="I33" i="3"/>
  <c r="M33" i="3"/>
  <c r="I34" i="3"/>
  <c r="I35" i="3"/>
  <c r="I37" i="3"/>
  <c r="M37" i="3"/>
  <c r="I38" i="3"/>
  <c r="M38" i="3"/>
  <c r="F23" i="6"/>
  <c r="F18" i="6"/>
  <c r="F20" i="6" s="1"/>
  <c r="F22" i="6" s="1"/>
  <c r="F24" i="6" s="1"/>
  <c r="F25" i="6" s="1"/>
  <c r="M18" i="6"/>
  <c r="M20" i="6" s="1"/>
  <c r="M22" i="6" s="1"/>
  <c r="M24" i="6" s="1"/>
  <c r="M25" i="6" s="1"/>
  <c r="M23" i="6"/>
  <c r="B23" i="1"/>
  <c r="I22" i="3"/>
  <c r="M22" i="3"/>
  <c r="A32" i="6" l="1"/>
  <c r="A33" i="6" s="1"/>
  <c r="G27" i="3"/>
  <c r="S27" i="3" s="1"/>
  <c r="R20" i="3"/>
  <c r="M21" i="4"/>
  <c r="G38" i="4"/>
  <c r="G23" i="3"/>
  <c r="P23" i="3" s="1"/>
  <c r="I20" i="3"/>
  <c r="I15" i="3"/>
  <c r="M35" i="4"/>
  <c r="G37" i="4"/>
  <c r="S37" i="4" s="1"/>
  <c r="G17" i="3"/>
  <c r="O17" i="3" s="1"/>
  <c r="M14" i="3"/>
  <c r="G36" i="4"/>
  <c r="I36" i="4" s="1"/>
  <c r="G15" i="3"/>
  <c r="O15" i="3" s="1"/>
  <c r="G29" i="3"/>
  <c r="R29" i="3" s="1"/>
  <c r="G18" i="4"/>
  <c r="P18" i="4" s="1"/>
  <c r="I31" i="3"/>
  <c r="M19" i="3"/>
  <c r="M13" i="3"/>
  <c r="G12" i="3"/>
  <c r="L12" i="3" s="1"/>
  <c r="C30" i="5" s="1"/>
  <c r="G33" i="4"/>
  <c r="R33" i="4" s="1"/>
  <c r="G17" i="4"/>
  <c r="S17" i="4" s="1"/>
  <c r="M16" i="4"/>
  <c r="I27" i="3"/>
  <c r="M31" i="3"/>
  <c r="M36" i="3"/>
  <c r="I18" i="3"/>
  <c r="G13" i="3"/>
  <c r="O13" i="3" s="1"/>
  <c r="G18" i="3"/>
  <c r="O18" i="3" s="1"/>
  <c r="G36" i="3"/>
  <c r="P36" i="3" s="1"/>
  <c r="G15" i="4"/>
  <c r="R15" i="4" s="1"/>
  <c r="G35" i="3"/>
  <c r="Q35" i="3" s="1"/>
  <c r="G24" i="4"/>
  <c r="S24" i="4" s="1"/>
  <c r="M28" i="4"/>
  <c r="G34" i="3"/>
  <c r="P34" i="3" s="1"/>
  <c r="M29" i="3"/>
  <c r="I17" i="3"/>
  <c r="M12" i="4"/>
  <c r="G29" i="4"/>
  <c r="G10" i="4"/>
  <c r="P10" i="4" s="1"/>
  <c r="M27" i="4"/>
  <c r="G11" i="4"/>
  <c r="P11" i="4" s="1"/>
  <c r="M32" i="4"/>
  <c r="M22" i="4"/>
  <c r="I20" i="2"/>
  <c r="M33" i="2"/>
  <c r="I25" i="2"/>
  <c r="I36" i="2"/>
  <c r="I17" i="2"/>
  <c r="I28" i="2"/>
  <c r="M13" i="2"/>
  <c r="G18" i="2"/>
  <c r="P18" i="2" s="1"/>
  <c r="I34" i="2"/>
  <c r="M37" i="2"/>
  <c r="I29" i="2"/>
  <c r="G9" i="2"/>
  <c r="G21" i="2"/>
  <c r="G23" i="2"/>
  <c r="Q23" i="2" s="1"/>
  <c r="H23" i="1"/>
  <c r="C56" i="1"/>
  <c r="A26" i="6"/>
  <c r="F26" i="6"/>
  <c r="F32" i="6" s="1"/>
  <c r="F33" i="6" s="1"/>
  <c r="M20" i="4"/>
  <c r="M13" i="4"/>
  <c r="M37" i="4"/>
  <c r="G8" i="4"/>
  <c r="G8" i="2"/>
  <c r="M33" i="4"/>
  <c r="M26" i="4"/>
  <c r="M9" i="4"/>
  <c r="M30" i="4"/>
  <c r="M25" i="4"/>
  <c r="M31" i="4"/>
  <c r="M11" i="4"/>
  <c r="M19" i="4"/>
  <c r="M15" i="4"/>
  <c r="M24" i="4"/>
  <c r="M23" i="4"/>
  <c r="I19" i="2"/>
  <c r="M19" i="2"/>
  <c r="M14" i="4"/>
  <c r="I11" i="2"/>
  <c r="M22" i="2"/>
  <c r="I22" i="2"/>
  <c r="M36" i="4"/>
  <c r="I13" i="2"/>
  <c r="Q11" i="3"/>
  <c r="Q16" i="3"/>
  <c r="P16" i="3"/>
  <c r="D49" i="1"/>
  <c r="D48" i="1" s="1"/>
  <c r="Q21" i="3"/>
  <c r="O34" i="3"/>
  <c r="P33" i="3"/>
  <c r="Q33" i="3"/>
  <c r="O38" i="3"/>
  <c r="S38" i="3"/>
  <c r="Q37" i="3"/>
  <c r="S37" i="3"/>
  <c r="Q32" i="3"/>
  <c r="Q31" i="3"/>
  <c r="Q20" i="3"/>
  <c r="O33" i="3"/>
  <c r="O20" i="3"/>
  <c r="P17" i="3"/>
  <c r="O37" i="3"/>
  <c r="S9" i="3"/>
  <c r="O31" i="3"/>
  <c r="P20" i="3"/>
  <c r="S19" i="3"/>
  <c r="Q19" i="3"/>
  <c r="S20" i="3"/>
  <c r="R19" i="3"/>
  <c r="R30" i="3"/>
  <c r="Q30" i="3"/>
  <c r="P38" i="3"/>
  <c r="O32" i="3"/>
  <c r="P30" i="3"/>
  <c r="Q38" i="3"/>
  <c r="P22" i="3"/>
  <c r="R21" i="3"/>
  <c r="R28" i="3"/>
  <c r="S14" i="3"/>
  <c r="Q14" i="3"/>
  <c r="R14" i="3"/>
  <c r="P14" i="3"/>
  <c r="S28" i="3"/>
  <c r="O21" i="3"/>
  <c r="O22" i="3"/>
  <c r="H37" i="3"/>
  <c r="J37" i="3" s="1"/>
  <c r="R37" i="3"/>
  <c r="L37" i="3"/>
  <c r="C5" i="5" s="1"/>
  <c r="K37" i="3"/>
  <c r="H33" i="3"/>
  <c r="J33" i="3" s="1"/>
  <c r="S33" i="3"/>
  <c r="R33" i="3"/>
  <c r="L33" i="3"/>
  <c r="C9" i="5" s="1"/>
  <c r="K33" i="3"/>
  <c r="H16" i="3"/>
  <c r="J16" i="3" s="1"/>
  <c r="R16" i="3"/>
  <c r="L16" i="3"/>
  <c r="C26" i="5" s="1"/>
  <c r="K16" i="3"/>
  <c r="S16" i="3"/>
  <c r="R24" i="3"/>
  <c r="Q24" i="3"/>
  <c r="P24" i="3"/>
  <c r="L24" i="3"/>
  <c r="C18" i="5" s="1"/>
  <c r="K24" i="3"/>
  <c r="H24" i="3"/>
  <c r="J24" i="3" s="1"/>
  <c r="S24" i="3"/>
  <c r="L19" i="3"/>
  <c r="C23" i="5" s="1"/>
  <c r="K19" i="3"/>
  <c r="H19" i="3"/>
  <c r="J19" i="3" s="1"/>
  <c r="L11" i="3"/>
  <c r="C31" i="5" s="1"/>
  <c r="K11" i="3"/>
  <c r="H11" i="3"/>
  <c r="J11" i="3" s="1"/>
  <c r="R11" i="3"/>
  <c r="P11" i="3"/>
  <c r="L28" i="3"/>
  <c r="C14" i="5" s="1"/>
  <c r="K28" i="3"/>
  <c r="H28" i="3"/>
  <c r="J28" i="3" s="1"/>
  <c r="Q28" i="3"/>
  <c r="P28" i="3"/>
  <c r="H32" i="3"/>
  <c r="J32" i="3" s="1"/>
  <c r="S32" i="3"/>
  <c r="R32" i="3"/>
  <c r="L32" i="3"/>
  <c r="C10" i="5" s="1"/>
  <c r="K32" i="3"/>
  <c r="S15" i="3"/>
  <c r="M26" i="6"/>
  <c r="M32" i="6" s="1"/>
  <c r="M33" i="6" s="1"/>
  <c r="O19" i="3"/>
  <c r="O11" i="3"/>
  <c r="S22" i="3"/>
  <c r="R22" i="3"/>
  <c r="L22" i="3"/>
  <c r="C20" i="5" s="1"/>
  <c r="K22" i="3"/>
  <c r="H22" i="3"/>
  <c r="J22" i="3" s="1"/>
  <c r="P37" i="3"/>
  <c r="L27" i="3"/>
  <c r="C15" i="5" s="1"/>
  <c r="K27" i="3"/>
  <c r="H27" i="3"/>
  <c r="J27" i="3" s="1"/>
  <c r="R27" i="3"/>
  <c r="Q27" i="3"/>
  <c r="P27" i="3"/>
  <c r="P10" i="3"/>
  <c r="L10" i="3"/>
  <c r="C32" i="5" s="1"/>
  <c r="K10" i="3"/>
  <c r="H10" i="3"/>
  <c r="J10" i="3" s="1"/>
  <c r="S10" i="3"/>
  <c r="Q10" i="3"/>
  <c r="C23" i="1"/>
  <c r="B24" i="1"/>
  <c r="H24" i="1" s="1"/>
  <c r="H31" i="3"/>
  <c r="J31" i="3" s="1"/>
  <c r="S31" i="3"/>
  <c r="R31" i="3"/>
  <c r="L31" i="3"/>
  <c r="C11" i="5" s="1"/>
  <c r="K31" i="3"/>
  <c r="K14" i="3"/>
  <c r="H14" i="3"/>
  <c r="J14" i="3" s="1"/>
  <c r="L14" i="3"/>
  <c r="C28" i="5" s="1"/>
  <c r="O27" i="3"/>
  <c r="O10" i="3"/>
  <c r="P26" i="3"/>
  <c r="L26" i="3"/>
  <c r="C16" i="5" s="1"/>
  <c r="K26" i="3"/>
  <c r="H26" i="3"/>
  <c r="J26" i="3" s="1"/>
  <c r="S26" i="3"/>
  <c r="R26" i="3"/>
  <c r="Q26" i="3"/>
  <c r="S21" i="3"/>
  <c r="L21" i="3"/>
  <c r="C21" i="5" s="1"/>
  <c r="K21" i="3"/>
  <c r="H21" i="3"/>
  <c r="J21" i="3" s="1"/>
  <c r="Q9" i="3"/>
  <c r="P9" i="3"/>
  <c r="L9" i="3"/>
  <c r="C33" i="5" s="1"/>
  <c r="K9" i="3"/>
  <c r="H9" i="3"/>
  <c r="J9" i="3" s="1"/>
  <c r="R9" i="3"/>
  <c r="H38" i="3"/>
  <c r="J38" i="3" s="1"/>
  <c r="R38" i="3"/>
  <c r="L38" i="3"/>
  <c r="C4" i="5" s="1"/>
  <c r="K38" i="3"/>
  <c r="H34" i="3"/>
  <c r="J34" i="3" s="1"/>
  <c r="S34" i="3"/>
  <c r="R34" i="3"/>
  <c r="K34" i="3"/>
  <c r="K30" i="3"/>
  <c r="H30" i="3"/>
  <c r="J30" i="3" s="1"/>
  <c r="S30" i="3"/>
  <c r="L30" i="3"/>
  <c r="C12" i="5" s="1"/>
  <c r="H17" i="3"/>
  <c r="J17" i="3" s="1"/>
  <c r="Q17" i="3"/>
  <c r="L17" i="3"/>
  <c r="C25" i="5" s="1"/>
  <c r="K17" i="3"/>
  <c r="Q25" i="3"/>
  <c r="P25" i="3"/>
  <c r="L25" i="3"/>
  <c r="C17" i="5" s="1"/>
  <c r="K25" i="3"/>
  <c r="H25" i="3"/>
  <c r="J25" i="3" s="1"/>
  <c r="S25" i="3"/>
  <c r="R25" i="3"/>
  <c r="L20" i="3"/>
  <c r="C22" i="5" s="1"/>
  <c r="K20" i="3"/>
  <c r="H20" i="3"/>
  <c r="J20" i="3" s="1"/>
  <c r="R12" i="3" l="1"/>
  <c r="P12" i="3"/>
  <c r="R23" i="3"/>
  <c r="O12" i="3"/>
  <c r="O23" i="3"/>
  <c r="H12" i="3"/>
  <c r="J12" i="3" s="1"/>
  <c r="Q34" i="3"/>
  <c r="L34" i="3"/>
  <c r="C8" i="5" s="1"/>
  <c r="H9" i="2"/>
  <c r="J9" i="2" s="1"/>
  <c r="S12" i="3"/>
  <c r="K12" i="3"/>
  <c r="S18" i="3"/>
  <c r="K18" i="3"/>
  <c r="H13" i="3"/>
  <c r="J13" i="3" s="1"/>
  <c r="K13" i="3"/>
  <c r="P13" i="3"/>
  <c r="L13" i="3"/>
  <c r="C29" i="5" s="1"/>
  <c r="R17" i="3"/>
  <c r="S17" i="3"/>
  <c r="Q15" i="3"/>
  <c r="P15" i="3"/>
  <c r="K15" i="3"/>
  <c r="L15" i="3"/>
  <c r="C27" i="5" s="1"/>
  <c r="H15" i="3"/>
  <c r="J15" i="3" s="1"/>
  <c r="H23" i="3"/>
  <c r="J23" i="3" s="1"/>
  <c r="K23" i="3"/>
  <c r="L23" i="3"/>
  <c r="C19" i="5" s="1"/>
  <c r="Q23" i="3"/>
  <c r="S23" i="3"/>
  <c r="O35" i="3"/>
  <c r="R15" i="3"/>
  <c r="H35" i="3"/>
  <c r="J35" i="3" s="1"/>
  <c r="H18" i="3"/>
  <c r="J18" i="3" s="1"/>
  <c r="L18" i="3"/>
  <c r="C24" i="5" s="1"/>
  <c r="P18" i="3"/>
  <c r="Q18" i="3"/>
  <c r="O29" i="3"/>
  <c r="S29" i="3"/>
  <c r="Q29" i="3"/>
  <c r="P29" i="3"/>
  <c r="K29" i="3"/>
  <c r="H29" i="3"/>
  <c r="J29" i="3" s="1"/>
  <c r="L29" i="3"/>
  <c r="C13" i="5" s="1"/>
  <c r="R18" i="3"/>
  <c r="K35" i="3"/>
  <c r="L35" i="3"/>
  <c r="C7" i="5" s="1"/>
  <c r="R35" i="3"/>
  <c r="P35" i="3"/>
  <c r="S35" i="3"/>
  <c r="R13" i="3"/>
  <c r="S13" i="3"/>
  <c r="Q13" i="3"/>
  <c r="G15" i="2"/>
  <c r="Q15" i="2" s="1"/>
  <c r="G21" i="4"/>
  <c r="I21" i="4" s="1"/>
  <c r="K21" i="2"/>
  <c r="G16" i="4"/>
  <c r="S16" i="4" s="1"/>
  <c r="M18" i="4"/>
  <c r="M28" i="2"/>
  <c r="G14" i="5" s="1"/>
  <c r="H14" i="5" s="1"/>
  <c r="I21" i="2"/>
  <c r="I9" i="2"/>
  <c r="G12" i="4"/>
  <c r="O12" i="4" s="1"/>
  <c r="G32" i="4"/>
  <c r="R32" i="4" s="1"/>
  <c r="M34" i="2"/>
  <c r="K9" i="2"/>
  <c r="G13" i="2"/>
  <c r="P13" i="2" s="1"/>
  <c r="G28" i="4"/>
  <c r="I28" i="4" s="1"/>
  <c r="G34" i="4"/>
  <c r="O34" i="4" s="1"/>
  <c r="Q12" i="3"/>
  <c r="O38" i="4"/>
  <c r="M17" i="4"/>
  <c r="G20" i="4"/>
  <c r="K20" i="4" s="1"/>
  <c r="M9" i="2"/>
  <c r="G33" i="5" s="1"/>
  <c r="H33" i="5" s="1"/>
  <c r="I37" i="2"/>
  <c r="G23" i="4"/>
  <c r="L23" i="4" s="1"/>
  <c r="D19" i="5" s="1"/>
  <c r="L36" i="3"/>
  <c r="C6" i="5" s="1"/>
  <c r="M36" i="2"/>
  <c r="G6" i="5" s="1"/>
  <c r="H6" i="5" s="1"/>
  <c r="G31" i="4"/>
  <c r="P31" i="4" s="1"/>
  <c r="R36" i="3"/>
  <c r="M34" i="4"/>
  <c r="I14" i="2"/>
  <c r="H36" i="3"/>
  <c r="J36" i="3" s="1"/>
  <c r="O36" i="3"/>
  <c r="M25" i="2"/>
  <c r="G17" i="5" s="1"/>
  <c r="H17" i="5" s="1"/>
  <c r="I15" i="2"/>
  <c r="M29" i="4"/>
  <c r="O29" i="4"/>
  <c r="M14" i="2"/>
  <c r="G28" i="5" s="1"/>
  <c r="H28" i="5" s="1"/>
  <c r="Q36" i="3"/>
  <c r="M15" i="2"/>
  <c r="G27" i="5" s="1"/>
  <c r="H27" i="5" s="1"/>
  <c r="M10" i="4"/>
  <c r="G19" i="2"/>
  <c r="R19" i="2" s="1"/>
  <c r="G11" i="2"/>
  <c r="K11" i="2" s="1"/>
  <c r="G14" i="4"/>
  <c r="S14" i="4" s="1"/>
  <c r="G9" i="4"/>
  <c r="Q9" i="4" s="1"/>
  <c r="M38" i="4"/>
  <c r="M17" i="2"/>
  <c r="I33" i="2"/>
  <c r="G33" i="2"/>
  <c r="O33" i="2" s="1"/>
  <c r="G27" i="4"/>
  <c r="H27" i="4" s="1"/>
  <c r="J27" i="4" s="1"/>
  <c r="G30" i="4"/>
  <c r="K30" i="4" s="1"/>
  <c r="G19" i="4"/>
  <c r="O19" i="4" s="1"/>
  <c r="G25" i="4"/>
  <c r="Q25" i="4" s="1"/>
  <c r="K36" i="3"/>
  <c r="S36" i="3"/>
  <c r="G38" i="2"/>
  <c r="Q38" i="2" s="1"/>
  <c r="I26" i="2"/>
  <c r="I30" i="2"/>
  <c r="G26" i="4"/>
  <c r="R26" i="4" s="1"/>
  <c r="G35" i="4"/>
  <c r="P35" i="4" s="1"/>
  <c r="M24" i="2"/>
  <c r="G18" i="5" s="1"/>
  <c r="H18" i="5" s="1"/>
  <c r="M35" i="2"/>
  <c r="G7" i="5" s="1"/>
  <c r="H7" i="5" s="1"/>
  <c r="M20" i="2"/>
  <c r="G22" i="5" s="1"/>
  <c r="H22" i="5" s="1"/>
  <c r="M31" i="2"/>
  <c r="G11" i="5" s="1"/>
  <c r="H11" i="5" s="1"/>
  <c r="M32" i="2"/>
  <c r="G10" i="5" s="1"/>
  <c r="H10" i="5" s="1"/>
  <c r="M16" i="2"/>
  <c r="G13" i="4"/>
  <c r="S13" i="4" s="1"/>
  <c r="G22" i="4"/>
  <c r="P22" i="4" s="1"/>
  <c r="M30" i="2"/>
  <c r="G12" i="5" s="1"/>
  <c r="H12" i="5" s="1"/>
  <c r="I27" i="2"/>
  <c r="I35" i="2"/>
  <c r="G27" i="2"/>
  <c r="Q27" i="2" s="1"/>
  <c r="I16" i="2"/>
  <c r="G10" i="2"/>
  <c r="K10" i="2" s="1"/>
  <c r="G24" i="2"/>
  <c r="K24" i="2" s="1"/>
  <c r="I31" i="2"/>
  <c r="G16" i="2"/>
  <c r="Q16" i="2" s="1"/>
  <c r="I10" i="2"/>
  <c r="G29" i="2"/>
  <c r="K29" i="2" s="1"/>
  <c r="G32" i="2"/>
  <c r="K32" i="2" s="1"/>
  <c r="M10" i="2"/>
  <c r="G25" i="2"/>
  <c r="O25" i="2" s="1"/>
  <c r="G31" i="2"/>
  <c r="L31" i="2" s="1"/>
  <c r="B11" i="5" s="1"/>
  <c r="I32" i="2"/>
  <c r="G12" i="2"/>
  <c r="P12" i="2" s="1"/>
  <c r="G26" i="2"/>
  <c r="P26" i="2" s="1"/>
  <c r="G28" i="2"/>
  <c r="O28" i="2" s="1"/>
  <c r="I12" i="2"/>
  <c r="M11" i="2"/>
  <c r="G31" i="5" s="1"/>
  <c r="H31" i="5" s="1"/>
  <c r="M18" i="2"/>
  <c r="G37" i="2"/>
  <c r="Q37" i="2" s="1"/>
  <c r="I23" i="2"/>
  <c r="M12" i="2"/>
  <c r="G30" i="5" s="1"/>
  <c r="H30" i="5" s="1"/>
  <c r="M26" i="2"/>
  <c r="G16" i="5" s="1"/>
  <c r="H16" i="5" s="1"/>
  <c r="M38" i="2"/>
  <c r="I24" i="2"/>
  <c r="G34" i="2"/>
  <c r="P34" i="2" s="1"/>
  <c r="M23" i="2"/>
  <c r="I18" i="2"/>
  <c r="I38" i="2"/>
  <c r="G20" i="2"/>
  <c r="R20" i="2" s="1"/>
  <c r="G17" i="2"/>
  <c r="P17" i="2" s="1"/>
  <c r="G35" i="2"/>
  <c r="K35" i="2" s="1"/>
  <c r="M27" i="2"/>
  <c r="G15" i="5" s="1"/>
  <c r="H15" i="5" s="1"/>
  <c r="G36" i="2"/>
  <c r="Q36" i="2" s="1"/>
  <c r="G14" i="2"/>
  <c r="K14" i="2" s="1"/>
  <c r="M21" i="2"/>
  <c r="G21" i="5" s="1"/>
  <c r="H21" i="5" s="1"/>
  <c r="M29" i="2"/>
  <c r="G22" i="2"/>
  <c r="O22" i="2" s="1"/>
  <c r="G30" i="2"/>
  <c r="Q30" i="2" s="1"/>
  <c r="S29" i="4"/>
  <c r="L29" i="4"/>
  <c r="D13" i="5" s="1"/>
  <c r="I17" i="4"/>
  <c r="I24" i="4"/>
  <c r="L21" i="4"/>
  <c r="D21" i="5" s="1"/>
  <c r="O21" i="4"/>
  <c r="K37" i="4"/>
  <c r="K21" i="4"/>
  <c r="P21" i="4"/>
  <c r="S10" i="4"/>
  <c r="Q24" i="4"/>
  <c r="Q21" i="4"/>
  <c r="K16" i="4"/>
  <c r="I37" i="4"/>
  <c r="R37" i="4"/>
  <c r="L37" i="4"/>
  <c r="D5" i="5" s="1"/>
  <c r="O36" i="4"/>
  <c r="Q37" i="4"/>
  <c r="O22" i="4"/>
  <c r="S21" i="4"/>
  <c r="R21" i="4"/>
  <c r="O37" i="4"/>
  <c r="P37" i="4"/>
  <c r="K17" i="4"/>
  <c r="L17" i="4"/>
  <c r="D25" i="5" s="1"/>
  <c r="Q17" i="4"/>
  <c r="O17" i="4"/>
  <c r="P17" i="4"/>
  <c r="G26" i="5"/>
  <c r="H26" i="5" s="1"/>
  <c r="R10" i="4"/>
  <c r="R17" i="4"/>
  <c r="I22" i="4"/>
  <c r="S31" i="2"/>
  <c r="S33" i="2"/>
  <c r="I16" i="4"/>
  <c r="L11" i="4"/>
  <c r="D31" i="5" s="1"/>
  <c r="O16" i="4"/>
  <c r="G5" i="5"/>
  <c r="H5" i="5" s="1"/>
  <c r="O24" i="4"/>
  <c r="I29" i="4"/>
  <c r="P16" i="4"/>
  <c r="P24" i="4"/>
  <c r="K29" i="4"/>
  <c r="Q16" i="4"/>
  <c r="R16" i="4"/>
  <c r="Q36" i="4"/>
  <c r="K24" i="4"/>
  <c r="Q29" i="4"/>
  <c r="P29" i="4"/>
  <c r="L24" i="4"/>
  <c r="D18" i="5" s="1"/>
  <c r="R29" i="4"/>
  <c r="H17" i="4"/>
  <c r="J17" i="4" s="1"/>
  <c r="S11" i="4"/>
  <c r="H21" i="4"/>
  <c r="J21" i="4" s="1"/>
  <c r="R36" i="4"/>
  <c r="K11" i="4"/>
  <c r="K14" i="4"/>
  <c r="K36" i="4"/>
  <c r="I14" i="4"/>
  <c r="S36" i="4"/>
  <c r="Q19" i="4"/>
  <c r="O10" i="4"/>
  <c r="R24" i="4"/>
  <c r="K10" i="4"/>
  <c r="I38" i="4"/>
  <c r="I10" i="4"/>
  <c r="K38" i="4"/>
  <c r="L36" i="4"/>
  <c r="D6" i="5" s="1"/>
  <c r="H38" i="4"/>
  <c r="J38" i="4" s="1"/>
  <c r="P36" i="4"/>
  <c r="O11" i="4"/>
  <c r="Q38" i="4"/>
  <c r="R38" i="4"/>
  <c r="R14" i="4"/>
  <c r="L38" i="4"/>
  <c r="D4" i="5" s="1"/>
  <c r="R11" i="4"/>
  <c r="H37" i="4"/>
  <c r="J37" i="4" s="1"/>
  <c r="P14" i="4"/>
  <c r="G29" i="5"/>
  <c r="H29" i="5" s="1"/>
  <c r="H24" i="4"/>
  <c r="J24" i="4" s="1"/>
  <c r="H29" i="4"/>
  <c r="J29" i="4" s="1"/>
  <c r="O14" i="4"/>
  <c r="H16" i="4"/>
  <c r="J16" i="4" s="1"/>
  <c r="H36" i="4"/>
  <c r="J36" i="4" s="1"/>
  <c r="Q11" i="4"/>
  <c r="I11" i="4"/>
  <c r="H11" i="4"/>
  <c r="J11" i="4" s="1"/>
  <c r="Q10" i="4"/>
  <c r="L10" i="4"/>
  <c r="D32" i="5" s="1"/>
  <c r="I15" i="4"/>
  <c r="K15" i="4"/>
  <c r="L15" i="4"/>
  <c r="D27" i="5" s="1"/>
  <c r="R20" i="4"/>
  <c r="R27" i="4"/>
  <c r="G19" i="5"/>
  <c r="H19" i="5" s="1"/>
  <c r="H10" i="4"/>
  <c r="J10" i="4" s="1"/>
  <c r="K18" i="2"/>
  <c r="G9" i="5"/>
  <c r="H9" i="5" s="1"/>
  <c r="S9" i="2"/>
  <c r="R18" i="2"/>
  <c r="Q18" i="2"/>
  <c r="Q33" i="4"/>
  <c r="L33" i="4"/>
  <c r="D9" i="5" s="1"/>
  <c r="K33" i="4"/>
  <c r="I33" i="4"/>
  <c r="H12" i="4"/>
  <c r="J12" i="4" s="1"/>
  <c r="K13" i="4"/>
  <c r="K23" i="2"/>
  <c r="S12" i="4"/>
  <c r="S38" i="4"/>
  <c r="G23" i="5"/>
  <c r="H23" i="5" s="1"/>
  <c r="S23" i="2"/>
  <c r="P12" i="4"/>
  <c r="Q12" i="4"/>
  <c r="P38" i="4"/>
  <c r="K12" i="4"/>
  <c r="I12" i="4"/>
  <c r="I13" i="4"/>
  <c r="R12" i="4"/>
  <c r="R38" i="2"/>
  <c r="L12" i="4"/>
  <c r="D30" i="5" s="1"/>
  <c r="G20" i="5"/>
  <c r="H20" i="5" s="1"/>
  <c r="H15" i="4"/>
  <c r="J15" i="4" s="1"/>
  <c r="S15" i="4"/>
  <c r="I31" i="4"/>
  <c r="O15" i="4"/>
  <c r="O18" i="2"/>
  <c r="O9" i="2"/>
  <c r="P15" i="4"/>
  <c r="Q15" i="4"/>
  <c r="S32" i="2"/>
  <c r="I30" i="4"/>
  <c r="Q9" i="2"/>
  <c r="R30" i="4"/>
  <c r="Q21" i="2"/>
  <c r="S21" i="2"/>
  <c r="P38" i="2"/>
  <c r="O21" i="2"/>
  <c r="P21" i="2"/>
  <c r="R21" i="2"/>
  <c r="R18" i="4"/>
  <c r="O33" i="4"/>
  <c r="L9" i="2"/>
  <c r="B33" i="5" s="1"/>
  <c r="R35" i="2"/>
  <c r="Q18" i="4"/>
  <c r="H18" i="4"/>
  <c r="J18" i="4" s="1"/>
  <c r="I18" i="4"/>
  <c r="H33" i="4"/>
  <c r="J33" i="4" s="1"/>
  <c r="S33" i="4"/>
  <c r="P9" i="2"/>
  <c r="K18" i="4"/>
  <c r="S18" i="4"/>
  <c r="H23" i="2"/>
  <c r="J23" i="2" s="1"/>
  <c r="L23" i="2"/>
  <c r="B19" i="5" s="1"/>
  <c r="O23" i="2"/>
  <c r="R23" i="2"/>
  <c r="L18" i="4"/>
  <c r="D24" i="5" s="1"/>
  <c r="O18" i="4"/>
  <c r="S18" i="2"/>
  <c r="H18" i="2"/>
  <c r="J18" i="2" s="1"/>
  <c r="L18" i="2"/>
  <c r="B24" i="5" s="1"/>
  <c r="P33" i="4"/>
  <c r="H21" i="2"/>
  <c r="J21" i="2" s="1"/>
  <c r="L21" i="2"/>
  <c r="B21" i="5" s="1"/>
  <c r="L38" i="2"/>
  <c r="B4" i="5" s="1"/>
  <c r="R9" i="2"/>
  <c r="P23" i="2"/>
  <c r="F31" i="5"/>
  <c r="C24" i="1"/>
  <c r="B25" i="1"/>
  <c r="H25" i="1" s="1"/>
  <c r="D56" i="1"/>
  <c r="F30" i="5"/>
  <c r="D47" i="1"/>
  <c r="S35" i="4" l="1"/>
  <c r="S31" i="4"/>
  <c r="R31" i="4"/>
  <c r="H31" i="4"/>
  <c r="J31" i="4" s="1"/>
  <c r="R10" i="2"/>
  <c r="O31" i="2"/>
  <c r="O29" i="2"/>
  <c r="R36" i="2"/>
  <c r="O32" i="2"/>
  <c r="P30" i="4"/>
  <c r="Q30" i="4"/>
  <c r="H13" i="4"/>
  <c r="J13" i="4" s="1"/>
  <c r="O20" i="4"/>
  <c r="Q20" i="4"/>
  <c r="O13" i="4"/>
  <c r="L13" i="4"/>
  <c r="D29" i="5" s="1"/>
  <c r="P20" i="4"/>
  <c r="L20" i="4"/>
  <c r="D22" i="5" s="1"/>
  <c r="S30" i="4"/>
  <c r="P13" i="4"/>
  <c r="H30" i="4"/>
  <c r="J30" i="4" s="1"/>
  <c r="I20" i="4"/>
  <c r="Q13" i="4"/>
  <c r="H20" i="4"/>
  <c r="J20" i="4" s="1"/>
  <c r="S20" i="4"/>
  <c r="L30" i="4"/>
  <c r="D12" i="5" s="1"/>
  <c r="O30" i="4"/>
  <c r="R13" i="4"/>
  <c r="O34" i="2"/>
  <c r="S34" i="2"/>
  <c r="K15" i="2"/>
  <c r="H34" i="2"/>
  <c r="J34" i="2" s="1"/>
  <c r="Q33" i="2"/>
  <c r="L15" i="2"/>
  <c r="B27" i="5" s="1"/>
  <c r="L34" i="2"/>
  <c r="B8" i="5" s="1"/>
  <c r="L22" i="4"/>
  <c r="D20" i="5" s="1"/>
  <c r="P15" i="2"/>
  <c r="H15" i="2"/>
  <c r="J15" i="2" s="1"/>
  <c r="P33" i="2"/>
  <c r="Q34" i="2"/>
  <c r="H38" i="2"/>
  <c r="J38" i="2" s="1"/>
  <c r="R34" i="2"/>
  <c r="R15" i="2"/>
  <c r="L33" i="2"/>
  <c r="B9" i="5" s="1"/>
  <c r="O15" i="2"/>
  <c r="R19" i="4"/>
  <c r="H19" i="4"/>
  <c r="J19" i="4" s="1"/>
  <c r="S22" i="4"/>
  <c r="I19" i="4"/>
  <c r="R22" i="4"/>
  <c r="R33" i="2"/>
  <c r="H33" i="2"/>
  <c r="J33" i="2" s="1"/>
  <c r="K33" i="2"/>
  <c r="S15" i="2"/>
  <c r="G32" i="5"/>
  <c r="H32" i="5" s="1"/>
  <c r="R28" i="4"/>
  <c r="Q22" i="4"/>
  <c r="K22" i="4"/>
  <c r="K19" i="4"/>
  <c r="P19" i="4"/>
  <c r="S19" i="4"/>
  <c r="S12" i="2"/>
  <c r="O25" i="4"/>
  <c r="O20" i="2"/>
  <c r="L35" i="2"/>
  <c r="B7" i="5" s="1"/>
  <c r="K25" i="4"/>
  <c r="O35" i="2"/>
  <c r="S25" i="4"/>
  <c r="Q23" i="4"/>
  <c r="P35" i="2"/>
  <c r="P28" i="2"/>
  <c r="L16" i="4"/>
  <c r="D26" i="5" s="1"/>
  <c r="G13" i="5"/>
  <c r="H13" i="5" s="1"/>
  <c r="H35" i="2"/>
  <c r="J35" i="2" s="1"/>
  <c r="S20" i="2"/>
  <c r="R25" i="4"/>
  <c r="P20" i="2"/>
  <c r="O23" i="4"/>
  <c r="I25" i="4"/>
  <c r="H22" i="4"/>
  <c r="J22" i="4" s="1"/>
  <c r="I26" i="4"/>
  <c r="Q24" i="2"/>
  <c r="P11" i="2"/>
  <c r="L26" i="2"/>
  <c r="B16" i="5" s="1"/>
  <c r="H26" i="4"/>
  <c r="J26" i="4" s="1"/>
  <c r="K17" i="2"/>
  <c r="L26" i="4"/>
  <c r="D16" i="5" s="1"/>
  <c r="P26" i="4"/>
  <c r="Q35" i="2"/>
  <c r="S11" i="2"/>
  <c r="O26" i="2"/>
  <c r="E19" i="5"/>
  <c r="S10" i="2"/>
  <c r="H23" i="4"/>
  <c r="J23" i="4" s="1"/>
  <c r="O26" i="4"/>
  <c r="K19" i="2"/>
  <c r="S19" i="2"/>
  <c r="I23" i="4"/>
  <c r="O10" i="2"/>
  <c r="P23" i="4"/>
  <c r="H10" i="2"/>
  <c r="J10" i="2" s="1"/>
  <c r="Q11" i="2"/>
  <c r="R11" i="2"/>
  <c r="K31" i="2"/>
  <c r="L19" i="2"/>
  <c r="B23" i="5" s="1"/>
  <c r="E23" i="5" s="1"/>
  <c r="L10" i="2"/>
  <c r="B32" i="5" s="1"/>
  <c r="O19" i="2"/>
  <c r="H11" i="2"/>
  <c r="J11" i="2" s="1"/>
  <c r="P19" i="2"/>
  <c r="S23" i="4"/>
  <c r="L11" i="2"/>
  <c r="B31" i="5" s="1"/>
  <c r="E31" i="5" s="1"/>
  <c r="Q19" i="2"/>
  <c r="R23" i="4"/>
  <c r="K23" i="4"/>
  <c r="R35" i="4"/>
  <c r="G24" i="5"/>
  <c r="H24" i="5" s="1"/>
  <c r="P25" i="4"/>
  <c r="H25" i="4"/>
  <c r="J25" i="4" s="1"/>
  <c r="O28" i="4"/>
  <c r="Q26" i="4"/>
  <c r="L25" i="4"/>
  <c r="D17" i="5" s="1"/>
  <c r="K26" i="4"/>
  <c r="Q32" i="4"/>
  <c r="H32" i="4"/>
  <c r="J32" i="4" s="1"/>
  <c r="P32" i="4"/>
  <c r="S32" i="4"/>
  <c r="L32" i="4"/>
  <c r="D10" i="5" s="1"/>
  <c r="L31" i="4"/>
  <c r="D11" i="5" s="1"/>
  <c r="E11" i="5" s="1"/>
  <c r="Q31" i="4"/>
  <c r="K31" i="4"/>
  <c r="O31" i="4"/>
  <c r="L34" i="4"/>
  <c r="D8" i="5" s="1"/>
  <c r="E8" i="5" s="1"/>
  <c r="R34" i="4"/>
  <c r="I35" i="4"/>
  <c r="Q35" i="4"/>
  <c r="I34" i="4"/>
  <c r="L28" i="4"/>
  <c r="D14" i="5" s="1"/>
  <c r="L27" i="4"/>
  <c r="D15" i="5" s="1"/>
  <c r="S34" i="4"/>
  <c r="H28" i="4"/>
  <c r="J28" i="4" s="1"/>
  <c r="S28" i="4"/>
  <c r="P34" i="4"/>
  <c r="K27" i="4"/>
  <c r="K34" i="4"/>
  <c r="K28" i="4"/>
  <c r="O27" i="4"/>
  <c r="P28" i="4"/>
  <c r="Q27" i="4"/>
  <c r="P27" i="4"/>
  <c r="Q34" i="4"/>
  <c r="S27" i="4"/>
  <c r="H34" i="4"/>
  <c r="J34" i="4" s="1"/>
  <c r="I27" i="4"/>
  <c r="Q28" i="4"/>
  <c r="S14" i="2"/>
  <c r="P10" i="2"/>
  <c r="Q10" i="2"/>
  <c r="H19" i="2"/>
  <c r="J19" i="2" s="1"/>
  <c r="K20" i="2"/>
  <c r="P14" i="2"/>
  <c r="R12" i="2"/>
  <c r="O12" i="2"/>
  <c r="H20" i="2"/>
  <c r="J20" i="2" s="1"/>
  <c r="K12" i="2"/>
  <c r="O24" i="2"/>
  <c r="L12" i="2"/>
  <c r="B30" i="5" s="1"/>
  <c r="E30" i="5" s="1"/>
  <c r="H12" i="2"/>
  <c r="J12" i="2" s="1"/>
  <c r="Q20" i="2"/>
  <c r="Q12" i="2"/>
  <c r="R14" i="2"/>
  <c r="S26" i="2"/>
  <c r="H26" i="2"/>
  <c r="J26" i="2" s="1"/>
  <c r="R26" i="2"/>
  <c r="K26" i="2"/>
  <c r="Q17" i="2"/>
  <c r="R24" i="2"/>
  <c r="O11" i="2"/>
  <c r="O14" i="2"/>
  <c r="O17" i="2"/>
  <c r="H14" i="2"/>
  <c r="J14" i="2" s="1"/>
  <c r="L24" i="2"/>
  <c r="B18" i="5" s="1"/>
  <c r="E18" i="5" s="1"/>
  <c r="L14" i="2"/>
  <c r="B28" i="5" s="1"/>
  <c r="Q14" i="2"/>
  <c r="Q26" i="2"/>
  <c r="S38" i="2"/>
  <c r="G4" i="5"/>
  <c r="H4" i="5" s="1"/>
  <c r="O38" i="2"/>
  <c r="K38" i="2"/>
  <c r="L37" i="2"/>
  <c r="B5" i="5" s="1"/>
  <c r="E5" i="5" s="1"/>
  <c r="O36" i="2"/>
  <c r="H36" i="2"/>
  <c r="J36" i="2" s="1"/>
  <c r="P36" i="2"/>
  <c r="L36" i="2"/>
  <c r="B6" i="5" s="1"/>
  <c r="E6" i="5" s="1"/>
  <c r="P31" i="2"/>
  <c r="Q31" i="2"/>
  <c r="R31" i="2"/>
  <c r="H31" i="2"/>
  <c r="J31" i="2" s="1"/>
  <c r="G8" i="5"/>
  <c r="H8" i="5" s="1"/>
  <c r="K34" i="2"/>
  <c r="L9" i="4"/>
  <c r="D33" i="5" s="1"/>
  <c r="E33" i="5" s="1"/>
  <c r="L14" i="4"/>
  <c r="D28" i="5" s="1"/>
  <c r="O32" i="4"/>
  <c r="L19" i="4"/>
  <c r="D23" i="5" s="1"/>
  <c r="S26" i="4"/>
  <c r="G25" i="5"/>
  <c r="H25" i="5" s="1"/>
  <c r="I9" i="4"/>
  <c r="H9" i="4"/>
  <c r="J9" i="4" s="1"/>
  <c r="R9" i="4"/>
  <c r="S9" i="4"/>
  <c r="K9" i="4"/>
  <c r="O9" i="4"/>
  <c r="L30" i="2"/>
  <c r="B12" i="5" s="1"/>
  <c r="E12" i="5" s="1"/>
  <c r="R13" i="2"/>
  <c r="K37" i="2"/>
  <c r="L13" i="2"/>
  <c r="B29" i="5" s="1"/>
  <c r="E29" i="5" s="1"/>
  <c r="S13" i="2"/>
  <c r="H13" i="2"/>
  <c r="J13" i="2" s="1"/>
  <c r="Q13" i="2"/>
  <c r="K13" i="2"/>
  <c r="Q29" i="2"/>
  <c r="L29" i="2"/>
  <c r="B13" i="5" s="1"/>
  <c r="E13" i="5" s="1"/>
  <c r="O37" i="2"/>
  <c r="S35" i="2"/>
  <c r="P16" i="2"/>
  <c r="S29" i="2"/>
  <c r="H29" i="2"/>
  <c r="J29" i="2" s="1"/>
  <c r="O16" i="2"/>
  <c r="R29" i="2"/>
  <c r="O13" i="2"/>
  <c r="H37" i="2"/>
  <c r="J37" i="2" s="1"/>
  <c r="H16" i="2"/>
  <c r="J16" i="2" s="1"/>
  <c r="L16" i="2"/>
  <c r="B26" i="5" s="1"/>
  <c r="E26" i="5" s="1"/>
  <c r="K16" i="2"/>
  <c r="R16" i="2"/>
  <c r="S16" i="2"/>
  <c r="L20" i="2"/>
  <c r="B22" i="5" s="1"/>
  <c r="E22" i="5" s="1"/>
  <c r="H24" i="2"/>
  <c r="J24" i="2" s="1"/>
  <c r="P24" i="2"/>
  <c r="L25" i="2"/>
  <c r="B17" i="5" s="1"/>
  <c r="K25" i="2"/>
  <c r="P25" i="2"/>
  <c r="S25" i="2"/>
  <c r="Q25" i="2"/>
  <c r="R25" i="2"/>
  <c r="H25" i="2"/>
  <c r="J25" i="2" s="1"/>
  <c r="L17" i="2"/>
  <c r="B25" i="5" s="1"/>
  <c r="E25" i="5" s="1"/>
  <c r="H17" i="2"/>
  <c r="J17" i="2" s="1"/>
  <c r="R27" i="2"/>
  <c r="R17" i="2"/>
  <c r="S27" i="2"/>
  <c r="Q28" i="2"/>
  <c r="P27" i="2"/>
  <c r="K28" i="2"/>
  <c r="O27" i="2"/>
  <c r="L27" i="2"/>
  <c r="B15" i="5" s="1"/>
  <c r="P29" i="2"/>
  <c r="S17" i="2"/>
  <c r="H27" i="2"/>
  <c r="J27" i="2" s="1"/>
  <c r="R28" i="2"/>
  <c r="L28" i="2"/>
  <c r="B14" i="5" s="1"/>
  <c r="K27" i="2"/>
  <c r="H28" i="2"/>
  <c r="J28" i="2" s="1"/>
  <c r="R30" i="2"/>
  <c r="S28" i="2"/>
  <c r="S24" i="2"/>
  <c r="L22" i="2"/>
  <c r="B20" i="5" s="1"/>
  <c r="H22" i="2"/>
  <c r="J22" i="2" s="1"/>
  <c r="R22" i="2"/>
  <c r="S22" i="2"/>
  <c r="K35" i="4"/>
  <c r="K22" i="2"/>
  <c r="Q14" i="4"/>
  <c r="O35" i="4"/>
  <c r="H35" i="4"/>
  <c r="J35" i="4" s="1"/>
  <c r="K32" i="4"/>
  <c r="P22" i="2"/>
  <c r="Q22" i="2"/>
  <c r="L35" i="4"/>
  <c r="D7" i="5" s="1"/>
  <c r="I32" i="4"/>
  <c r="H14" i="4"/>
  <c r="J14" i="4" s="1"/>
  <c r="P9" i="4"/>
  <c r="H30" i="2"/>
  <c r="J30" i="2" s="1"/>
  <c r="P30" i="2"/>
  <c r="P37" i="2"/>
  <c r="S37" i="2"/>
  <c r="Q32" i="2"/>
  <c r="S36" i="2"/>
  <c r="K36" i="2"/>
  <c r="S30" i="2"/>
  <c r="O30" i="2"/>
  <c r="R32" i="2"/>
  <c r="L32" i="2"/>
  <c r="B10" i="5" s="1"/>
  <c r="P32" i="2"/>
  <c r="K30" i="2"/>
  <c r="H32" i="2"/>
  <c r="J32" i="2" s="1"/>
  <c r="R37" i="2"/>
  <c r="E21" i="5"/>
  <c r="E27" i="5"/>
  <c r="E24" i="5"/>
  <c r="E9" i="5"/>
  <c r="E32" i="5"/>
  <c r="E4" i="5"/>
  <c r="F29" i="5"/>
  <c r="D46" i="1"/>
  <c r="C25" i="1"/>
  <c r="B26" i="1"/>
  <c r="H26" i="1" s="1"/>
  <c r="E56" i="1"/>
  <c r="E16" i="5" l="1"/>
  <c r="E20" i="5"/>
  <c r="E7" i="5"/>
  <c r="E15" i="5"/>
  <c r="E17" i="5"/>
  <c r="E28" i="5"/>
  <c r="E14" i="5"/>
  <c r="E10" i="5"/>
  <c r="B27" i="1"/>
  <c r="H27" i="1" s="1"/>
  <c r="C26" i="1"/>
  <c r="F56" i="1"/>
  <c r="F28" i="5"/>
  <c r="D45" i="1"/>
  <c r="F27" i="5" l="1"/>
  <c r="D44" i="1"/>
  <c r="C27" i="1"/>
  <c r="B28" i="1"/>
  <c r="H28" i="1" s="1"/>
  <c r="G56" i="1"/>
  <c r="H56" i="1" l="1"/>
  <c r="B29" i="1"/>
  <c r="H29" i="1" s="1"/>
  <c r="C28" i="1"/>
  <c r="D43" i="1"/>
  <c r="F26" i="5"/>
  <c r="I56" i="1" l="1"/>
  <c r="B30" i="1"/>
  <c r="H30" i="1" s="1"/>
  <c r="C29" i="1"/>
  <c r="F25" i="5"/>
  <c r="D42" i="1"/>
  <c r="F24" i="5" l="1"/>
  <c r="D41" i="1"/>
  <c r="C30" i="1"/>
  <c r="B31" i="1"/>
  <c r="H31" i="1" s="1"/>
  <c r="J56" i="1"/>
  <c r="K56" i="1" l="1"/>
  <c r="B32" i="1"/>
  <c r="H32" i="1" s="1"/>
  <c r="C31" i="1"/>
  <c r="F23" i="5"/>
  <c r="D40" i="1"/>
  <c r="C32" i="1" l="1"/>
  <c r="B33" i="1"/>
  <c r="H33" i="1" s="1"/>
  <c r="L56" i="1"/>
  <c r="F22" i="5"/>
  <c r="D39" i="1"/>
  <c r="F21" i="5" l="1"/>
  <c r="D38" i="1"/>
  <c r="B34" i="1"/>
  <c r="H34" i="1" s="1"/>
  <c r="C33" i="1"/>
  <c r="M56" i="1"/>
  <c r="F20" i="5" l="1"/>
  <c r="D37" i="1"/>
  <c r="B35" i="1"/>
  <c r="H35" i="1" s="1"/>
  <c r="C34" i="1"/>
  <c r="N56" i="1"/>
  <c r="F19" i="5" l="1"/>
  <c r="D36" i="1"/>
  <c r="O56" i="1"/>
  <c r="B36" i="1"/>
  <c r="H36" i="1" s="1"/>
  <c r="C35" i="1"/>
  <c r="P56" i="1" l="1"/>
  <c r="B37" i="1"/>
  <c r="H37" i="1" s="1"/>
  <c r="C36" i="1"/>
  <c r="F18" i="5"/>
  <c r="D35" i="1"/>
  <c r="F17" i="5" l="1"/>
  <c r="D34" i="1"/>
  <c r="B38" i="1"/>
  <c r="H38" i="1" s="1"/>
  <c r="Q56" i="1"/>
  <c r="C37" i="1"/>
  <c r="C38" i="1" l="1"/>
  <c r="R56" i="1"/>
  <c r="B39" i="1"/>
  <c r="H39" i="1" s="1"/>
  <c r="D33" i="1"/>
  <c r="F16" i="5"/>
  <c r="F15" i="5" l="1"/>
  <c r="D32" i="1"/>
  <c r="S56" i="1"/>
  <c r="B40" i="1"/>
  <c r="H40" i="1" s="1"/>
  <c r="C39" i="1"/>
  <c r="B41" i="1" l="1"/>
  <c r="H41" i="1" s="1"/>
  <c r="T56" i="1"/>
  <c r="C40" i="1"/>
  <c r="F14" i="5"/>
  <c r="D31" i="1"/>
  <c r="F13" i="5" l="1"/>
  <c r="D30" i="1"/>
  <c r="U56" i="1"/>
  <c r="B42" i="1"/>
  <c r="H42" i="1" s="1"/>
  <c r="C41" i="1"/>
  <c r="B43" i="1" l="1"/>
  <c r="H43" i="1" s="1"/>
  <c r="C42" i="1"/>
  <c r="V56" i="1"/>
  <c r="F12" i="5"/>
  <c r="D29" i="1"/>
  <c r="D28" i="1" l="1"/>
  <c r="F11" i="5"/>
  <c r="C43" i="1"/>
  <c r="B44" i="1"/>
  <c r="H44" i="1" s="1"/>
  <c r="W56" i="1"/>
  <c r="X56" i="1" l="1"/>
  <c r="B45" i="1"/>
  <c r="H45" i="1" s="1"/>
  <c r="C44" i="1"/>
  <c r="F10" i="5"/>
  <c r="D27" i="1"/>
  <c r="F9" i="5" l="1"/>
  <c r="D26" i="1"/>
  <c r="Y56" i="1"/>
  <c r="C45" i="1"/>
  <c r="B46" i="1"/>
  <c r="H46" i="1" s="1"/>
  <c r="C46" i="1" l="1"/>
  <c r="B47" i="1"/>
  <c r="H47" i="1" s="1"/>
  <c r="Z56" i="1"/>
  <c r="D25" i="1"/>
  <c r="F8" i="5"/>
  <c r="B48" i="1" l="1"/>
  <c r="H48" i="1" s="1"/>
  <c r="C47" i="1"/>
  <c r="AA56" i="1"/>
  <c r="F7" i="5"/>
  <c r="D24" i="1"/>
  <c r="F6" i="5" l="1"/>
  <c r="D23" i="1"/>
  <c r="B49" i="1"/>
  <c r="H49" i="1" s="1"/>
  <c r="C48" i="1"/>
  <c r="AB56" i="1"/>
  <c r="B50" i="1" l="1"/>
  <c r="H50" i="1" s="1"/>
  <c r="C49" i="1"/>
  <c r="AC56" i="1"/>
  <c r="F5" i="5"/>
  <c r="D22" i="1"/>
  <c r="F4" i="5" s="1"/>
  <c r="M28" i="5"/>
  <c r="M6" i="5"/>
  <c r="M26" i="5"/>
  <c r="M16" i="5"/>
  <c r="M8" i="5"/>
  <c r="M24" i="5"/>
  <c r="M20" i="5"/>
  <c r="M18" i="5"/>
  <c r="M5" i="5"/>
  <c r="M27" i="5"/>
  <c r="M23" i="5"/>
  <c r="M9" i="5"/>
  <c r="M4" i="5"/>
  <c r="M19" i="5"/>
  <c r="M10" i="5"/>
  <c r="M11" i="5"/>
  <c r="M7" i="5"/>
  <c r="M30" i="5"/>
  <c r="M17" i="5"/>
  <c r="M22" i="5"/>
  <c r="M15" i="5"/>
  <c r="M29" i="5"/>
  <c r="M14" i="5"/>
  <c r="M21" i="5"/>
  <c r="M12" i="5"/>
  <c r="M25" i="5"/>
  <c r="M13" i="5"/>
  <c r="B13" i="7" l="1"/>
  <c r="B29" i="7"/>
  <c r="B14" i="7"/>
  <c r="B30" i="7"/>
  <c r="B16" i="7"/>
  <c r="B17" i="7"/>
  <c r="B18" i="7"/>
  <c r="B19" i="7"/>
  <c r="B20" i="7"/>
  <c r="B15" i="7"/>
  <c r="B21" i="7"/>
  <c r="B6" i="7"/>
  <c r="B22" i="7"/>
  <c r="B7" i="7"/>
  <c r="B23" i="7"/>
  <c r="B8" i="7"/>
  <c r="B24" i="7"/>
  <c r="B9" i="7"/>
  <c r="B25" i="7"/>
  <c r="B31" i="7"/>
  <c r="B10" i="7"/>
  <c r="B26" i="7"/>
  <c r="B11" i="7"/>
  <c r="B27" i="7"/>
  <c r="B12" i="7"/>
  <c r="B28" i="7"/>
  <c r="B5" i="7"/>
  <c r="B51" i="1"/>
  <c r="H51" i="1" s="1"/>
  <c r="C50" i="1"/>
  <c r="AD56" i="1"/>
  <c r="D20" i="7"/>
  <c r="D16" i="7"/>
  <c r="D17" i="7"/>
  <c r="D8" i="7"/>
  <c r="D23" i="7"/>
  <c r="D30" i="7"/>
  <c r="D27" i="7"/>
  <c r="D22" i="7"/>
  <c r="D25" i="7"/>
  <c r="D29" i="7"/>
  <c r="D18" i="7"/>
  <c r="D28" i="7"/>
  <c r="D5" i="7"/>
  <c r="D10" i="7"/>
  <c r="D34" i="7"/>
  <c r="D9" i="7"/>
  <c r="D15" i="7"/>
  <c r="D7" i="7"/>
  <c r="D6" i="7"/>
  <c r="D31" i="7"/>
  <c r="D33" i="7"/>
  <c r="D32" i="7"/>
  <c r="D21" i="7"/>
  <c r="D12" i="7"/>
  <c r="D19" i="7"/>
  <c r="D11" i="7"/>
  <c r="D14" i="7"/>
  <c r="D24" i="7"/>
  <c r="D13" i="7"/>
  <c r="D26" i="7"/>
  <c r="G28" i="1" l="1"/>
  <c r="G51" i="1"/>
  <c r="G36" i="1"/>
  <c r="G27" i="1"/>
  <c r="G35" i="1"/>
  <c r="G41" i="1"/>
  <c r="G42" i="1"/>
  <c r="G26" i="1"/>
  <c r="G34" i="1"/>
  <c r="G43" i="1"/>
  <c r="G31" i="1"/>
  <c r="G25" i="1"/>
  <c r="G33" i="1"/>
  <c r="G29" i="1"/>
  <c r="G37" i="1"/>
  <c r="G47" i="1"/>
  <c r="G40" i="1"/>
  <c r="G32" i="1"/>
  <c r="G45" i="1"/>
  <c r="G23" i="1"/>
  <c r="G38" i="1"/>
  <c r="G44" i="1"/>
  <c r="G48" i="1"/>
  <c r="G46" i="1"/>
  <c r="G50" i="1"/>
  <c r="G24" i="1"/>
  <c r="G39" i="1"/>
  <c r="G49" i="1"/>
  <c r="G30" i="1"/>
  <c r="G22" i="1"/>
  <c r="AB20" i="7"/>
  <c r="AB23" i="7" s="1"/>
  <c r="M20" i="7"/>
  <c r="M23" i="7" s="1"/>
  <c r="P20" i="7"/>
  <c r="P23" i="7" s="1"/>
  <c r="AJ20" i="7"/>
  <c r="AJ23" i="7" s="1"/>
  <c r="AA20" i="7"/>
  <c r="AA23" i="7" s="1"/>
  <c r="L20" i="7"/>
  <c r="L23" i="7" s="1"/>
  <c r="Z20" i="7"/>
  <c r="Z23" i="7" s="1"/>
  <c r="K20" i="7"/>
  <c r="K23" i="7" s="1"/>
  <c r="Y20" i="7"/>
  <c r="Y23" i="7" s="1"/>
  <c r="J20" i="7"/>
  <c r="J23" i="7" s="1"/>
  <c r="AI20" i="7"/>
  <c r="AI23" i="7" s="1"/>
  <c r="I20" i="7"/>
  <c r="I23" i="7" s="1"/>
  <c r="X20" i="7"/>
  <c r="X23" i="7" s="1"/>
  <c r="H20" i="7"/>
  <c r="H23" i="7" s="1"/>
  <c r="AH20" i="7"/>
  <c r="AH23" i="7" s="1"/>
  <c r="W20" i="7"/>
  <c r="W23" i="7" s="1"/>
  <c r="G20" i="7"/>
  <c r="G23" i="7" s="1"/>
  <c r="V20" i="7"/>
  <c r="V23" i="7" s="1"/>
  <c r="AG20" i="7"/>
  <c r="AG23" i="7" s="1"/>
  <c r="U20" i="7"/>
  <c r="U23" i="7" s="1"/>
  <c r="AF20" i="7"/>
  <c r="AF23" i="7" s="1"/>
  <c r="T20" i="7"/>
  <c r="T23" i="7" s="1"/>
  <c r="S20" i="7"/>
  <c r="S23" i="7" s="1"/>
  <c r="AE20" i="7"/>
  <c r="AE23" i="7" s="1"/>
  <c r="R20" i="7"/>
  <c r="R23" i="7" s="1"/>
  <c r="Q20" i="7"/>
  <c r="Q23" i="7" s="1"/>
  <c r="AD20" i="7"/>
  <c r="AD23" i="7" s="1"/>
  <c r="O20" i="7"/>
  <c r="O23" i="7" s="1"/>
  <c r="AC20" i="7"/>
  <c r="AC23" i="7" s="1"/>
  <c r="N20" i="7"/>
  <c r="N23" i="7" s="1"/>
  <c r="C51" i="1"/>
  <c r="AE56" i="1"/>
  <c r="I43" i="1"/>
  <c r="I50" i="1"/>
  <c r="I29" i="1"/>
  <c r="I48" i="1"/>
  <c r="I51" i="1"/>
  <c r="I44" i="1"/>
  <c r="I38" i="1"/>
  <c r="I30" i="1"/>
  <c r="I34" i="1"/>
  <c r="I26" i="1"/>
  <c r="I35" i="1"/>
  <c r="I24" i="1"/>
  <c r="I47" i="1"/>
  <c r="I36" i="1"/>
  <c r="I23" i="1"/>
  <c r="I28" i="1"/>
  <c r="I49" i="1"/>
  <c r="I27" i="1"/>
  <c r="I22" i="1"/>
  <c r="I46" i="1"/>
  <c r="I33" i="1"/>
  <c r="I40" i="1"/>
  <c r="I37" i="1"/>
  <c r="I45" i="1"/>
  <c r="I31" i="1"/>
  <c r="I42" i="1"/>
  <c r="I39" i="1"/>
  <c r="I25" i="1"/>
  <c r="I41" i="1"/>
  <c r="I32" i="1"/>
</calcChain>
</file>

<file path=xl/sharedStrings.xml><?xml version="1.0" encoding="utf-8"?>
<sst xmlns="http://schemas.openxmlformats.org/spreadsheetml/2006/main" count="480" uniqueCount="195">
  <si>
    <t>Clause 6 - Sizing Calibration - Initial Threshold Setting</t>
  </si>
  <si>
    <t>Reference Fluid Dilution Calculator</t>
  </si>
  <si>
    <t>Dilution to</t>
  </si>
  <si>
    <t>Captured</t>
  </si>
  <si>
    <t>RM</t>
  </si>
  <si>
    <t>Target Concentration</t>
  </si>
  <si>
    <t>Information Only</t>
  </si>
  <si>
    <t>ml</t>
  </si>
  <si>
    <t>Date</t>
  </si>
  <si>
    <t>Fluid Density</t>
  </si>
  <si>
    <t>um(c)</t>
  </si>
  <si>
    <t>SRM2806D</t>
  </si>
  <si>
    <t>34D</t>
  </si>
  <si>
    <t>RM USED</t>
  </si>
  <si>
    <t>Diluted</t>
  </si>
  <si>
    <t>Counted</t>
  </si>
  <si>
    <t>Operator</t>
  </si>
  <si>
    <t>JMD</t>
  </si>
  <si>
    <t>APC Model</t>
  </si>
  <si>
    <t>Bottle Number</t>
  </si>
  <si>
    <t>B0</t>
  </si>
  <si>
    <t>B1</t>
  </si>
  <si>
    <t>B2</t>
  </si>
  <si>
    <t>B3</t>
  </si>
  <si>
    <t>APC S/N</t>
  </si>
  <si>
    <t>Ref Fluid to Add / g</t>
  </si>
  <si>
    <t>Sensor Model</t>
  </si>
  <si>
    <t>Ref Fluid Added / g</t>
  </si>
  <si>
    <t>Sensor S/N</t>
  </si>
  <si>
    <t>Diluent to add / g</t>
  </si>
  <si>
    <t>Bottle Sampler</t>
  </si>
  <si>
    <t>BS110-HP D2 BS2044</t>
  </si>
  <si>
    <t>Diluent Added / g</t>
  </si>
  <si>
    <t>Final Concentration</t>
  </si>
  <si>
    <t>Threshold Noise</t>
  </si>
  <si>
    <t>Lowest threshold J</t>
  </si>
  <si>
    <t>Highest threshold H</t>
  </si>
  <si>
    <t>Threshold Factor K</t>
  </si>
  <si>
    <t>Threshold#</t>
  </si>
  <si>
    <t>Initial Value</t>
  </si>
  <si>
    <t>INT</t>
  </si>
  <si>
    <t>Reversed</t>
  </si>
  <si>
    <t>INITIAL Thresholds to Load into Instrument</t>
  </si>
  <si>
    <t>Number</t>
  </si>
  <si>
    <t>Value</t>
  </si>
  <si>
    <t>Data Preprocessing and Quality Assessment per ISO 11171 Clause 6.6</t>
  </si>
  <si>
    <t>BOTTLE 1</t>
  </si>
  <si>
    <t>CHECK CALIBRATION THRESHOLDS ENTERED ON PARTICLE COUNTER</t>
  </si>
  <si>
    <t>Serial #</t>
  </si>
  <si>
    <t>Dilution Ratio</t>
  </si>
  <si>
    <t>Portion 1</t>
  </si>
  <si>
    <t>Portion 2</t>
  </si>
  <si>
    <t>Portion 3</t>
  </si>
  <si>
    <t>Portion 4</t>
  </si>
  <si>
    <t>Portion 5</t>
  </si>
  <si>
    <t>X / ml</t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</si>
  <si>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TOTAL</t>
    </r>
  </si>
  <si>
    <t>CV</t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</si>
  <si>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QMAX</t>
    </r>
  </si>
  <si>
    <r>
      <rPr>
        <b/>
        <sz val="10"/>
        <rFont val="Arial"/>
        <family val="2"/>
      </rPr>
      <t>D</t>
    </r>
    <r>
      <rPr>
        <b/>
        <vertAlign val="subscript"/>
        <sz val="10"/>
        <rFont val="Arial"/>
        <family val="2"/>
      </rPr>
      <t>Q</t>
    </r>
  </si>
  <si>
    <r>
      <t>X̅</t>
    </r>
    <r>
      <rPr>
        <b/>
        <vertAlign val="subscript"/>
        <sz val="10"/>
        <rFont val="Arial"/>
        <family val="2"/>
      </rPr>
      <t>N</t>
    </r>
  </si>
  <si>
    <r>
      <rPr>
        <b/>
        <sz val="10"/>
        <rFont val="Arial"/>
        <family val="2"/>
      </rPr>
      <t>N</t>
    </r>
    <r>
      <rPr>
        <b/>
        <vertAlign val="subscript"/>
        <sz val="10"/>
        <rFont val="Arial"/>
        <family val="2"/>
      </rPr>
      <t>C</t>
    </r>
  </si>
  <si>
    <t>Scanned ml</t>
  </si>
  <si>
    <t>count_4</t>
  </si>
  <si>
    <t>count_5</t>
  </si>
  <si>
    <t>count_6</t>
  </si>
  <si>
    <t>count_7</t>
  </si>
  <si>
    <t>count_8</t>
  </si>
  <si>
    <t>count_9</t>
  </si>
  <si>
    <t>count_10</t>
  </si>
  <si>
    <t>count_11</t>
  </si>
  <si>
    <t>count_12</t>
  </si>
  <si>
    <t>count_13</t>
  </si>
  <si>
    <t>count_14</t>
  </si>
  <si>
    <t>count_15</t>
  </si>
  <si>
    <t>count_16</t>
  </si>
  <si>
    <t>count_17</t>
  </si>
  <si>
    <t>count_18</t>
  </si>
  <si>
    <t>count_19</t>
  </si>
  <si>
    <t>count_20</t>
  </si>
  <si>
    <t>count_21</t>
  </si>
  <si>
    <t>count_22</t>
  </si>
  <si>
    <t>count_23</t>
  </si>
  <si>
    <t>count_24</t>
  </si>
  <si>
    <t>count_25</t>
  </si>
  <si>
    <t>count_26</t>
  </si>
  <si>
    <t>count_27</t>
  </si>
  <si>
    <t>count_28</t>
  </si>
  <si>
    <t>count_29</t>
  </si>
  <si>
    <t>count_30</t>
  </si>
  <si>
    <t>count_38</t>
  </si>
  <si>
    <t>count_50</t>
  </si>
  <si>
    <t>count_70</t>
  </si>
  <si>
    <t>Table C.2</t>
  </si>
  <si>
    <t>Mean counted X</t>
  </si>
  <si>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</si>
  <si>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</si>
  <si>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</si>
  <si>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Arial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</si>
  <si>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</si>
  <si>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</si>
  <si>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</si>
  <si>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</si>
  <si>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</si>
  <si>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>NAME\mL</t>
  </si>
  <si>
    <t>RAW CSV DATA</t>
  </si>
  <si>
    <t>BOTTLE 2</t>
  </si>
  <si>
    <t>BOTTLE 3</t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</si>
  <si>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First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</si>
  <si>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Second Sample</t>
    </r>
  </si>
  <si>
    <r>
      <rPr>
        <sz val="10"/>
        <rFont val="Arial"/>
        <family val="2"/>
      </rPr>
      <t>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for Third Sample</t>
    </r>
  </si>
  <si>
    <r>
      <t>Mean X̅</t>
    </r>
    <r>
      <rPr>
        <vertAlign val="subscript"/>
        <sz val="11"/>
        <color rgb="FF000000"/>
        <rFont val="Calibri"/>
        <family val="2"/>
      </rPr>
      <t>N</t>
    </r>
    <r>
      <rPr>
        <sz val="11"/>
        <color rgb="FF000000"/>
        <rFont val="Calibri"/>
        <family val="2"/>
      </rPr>
      <t xml:space="preserve"> </t>
    </r>
  </si>
  <si>
    <t>Threshold Voltage Setting</t>
  </si>
  <si>
    <t>Uncertainty
S</t>
  </si>
  <si>
    <t xml:space="preserve"> Particle Size</t>
  </si>
  <si>
    <t>Undiluted Particle Concentration</t>
  </si>
  <si>
    <t>Interpolated Threshold Voltage Setting</t>
  </si>
  <si>
    <t>particles per millilitre</t>
  </si>
  <si>
    <t>samples</t>
  </si>
  <si>
    <t>/ml</t>
  </si>
  <si>
    <t xml:space="preserve">µm(c) </t>
  </si>
  <si>
    <t>4-30um(c) threshold interpolation</t>
  </si>
  <si>
    <t>BS110-HP BS2044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</si>
  <si>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</si>
  <si>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</si>
  <si>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</si>
  <si>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</si>
  <si>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</si>
  <si>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</si>
  <si>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</si>
  <si>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spheres per mg</t>
  </si>
  <si>
    <t>Target concentration per ml</t>
  </si>
  <si>
    <t>mg/l</t>
  </si>
  <si>
    <t>spheres to add per liter</t>
  </si>
  <si>
    <t>litres</t>
  </si>
  <si>
    <t>Bottle / Rig volume</t>
  </si>
  <si>
    <t>mg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</si>
  <si>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</si>
  <si>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</si>
  <si>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</si>
  <si>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</si>
  <si>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</si>
  <si>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</si>
  <si>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</si>
  <si>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Dilution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</si>
  <si>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</si>
  <si>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</si>
  <si>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</si>
  <si>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</si>
  <si>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</si>
  <si>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</si>
  <si>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</si>
  <si>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</si>
  <si>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</si>
  <si>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</si>
  <si>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</si>
  <si>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Differential Counts / 100ml</t>
  </si>
  <si>
    <t>D</t>
  </si>
  <si>
    <t>Data from Table 4</t>
  </si>
  <si>
    <t>Threshold Settings corresponding to Sizes of Interest</t>
  </si>
  <si>
    <r>
      <rPr>
        <sz val="10"/>
        <rFont val="Arial"/>
        <family val="2"/>
      </rPr>
      <t xml:space="preserve">Enter the particle sizes and corresponding threshold settings from Table 4 (also columns F and H of the Clause 6.9 worksheet) </t>
    </r>
    <r>
      <rPr>
        <u/>
        <sz val="11"/>
        <color rgb="FF000000"/>
        <rFont val="Calibri"/>
        <family val="2"/>
      </rPr>
      <t>in order of increasing value of particle size</t>
    </r>
    <r>
      <rPr>
        <sz val="11"/>
        <color rgb="FF000000"/>
        <rFont val="Calibri"/>
        <family val="2"/>
      </rPr>
      <t>.</t>
    </r>
  </si>
  <si>
    <r>
      <rPr>
        <sz val="10"/>
        <rFont val="Arial"/>
        <family val="2"/>
      </rPr>
      <t xml:space="preserve">Enter particle sizes of interest (that lie within the range of the data in column A) </t>
    </r>
    <r>
      <rPr>
        <u/>
        <sz val="11"/>
        <color rgb="FF000000"/>
        <rFont val="Calibri"/>
        <family val="2"/>
      </rPr>
      <t>in order of increasing particle size</t>
    </r>
    <r>
      <rPr>
        <sz val="11"/>
        <color rgb="FF000000"/>
        <rFont val="Calibri"/>
        <family val="2"/>
      </rPr>
      <t>. The corresponding interpolated threshold voltage settings are displayed in column D.</t>
    </r>
  </si>
  <si>
    <t>Particle Size</t>
  </si>
  <si>
    <t>Threshold Setting</t>
  </si>
  <si>
    <t>mV</t>
  </si>
  <si>
    <t>THRESHOLD CALIBRATION</t>
  </si>
  <si>
    <r>
      <rPr>
        <sz val="10"/>
        <rFont val="Arial"/>
        <family val="2"/>
      </rPr>
      <t xml:space="preserve">Need &gt;10000 particles </t>
    </r>
    <r>
      <rPr>
        <b/>
        <sz val="10"/>
        <rFont val="Arial"/>
        <family val="2"/>
      </rPr>
      <t>at the smallest threshold setting</t>
    </r>
    <r>
      <rPr>
        <sz val="10"/>
        <rFont val="Arial"/>
        <family val="2"/>
      </rPr>
      <t xml:space="preserve"> for each sub-sample / test portion. </t>
    </r>
  </si>
  <si>
    <r>
      <rPr>
        <sz val="10"/>
        <rFont val="Arial"/>
        <family val="2"/>
      </rPr>
      <t xml:space="preserve">Need &gt;1000 particles </t>
    </r>
    <r>
      <rPr>
        <b/>
        <sz val="10"/>
        <rFont val="Arial"/>
        <family val="2"/>
      </rPr>
      <t>counted</t>
    </r>
    <r>
      <rPr>
        <sz val="10"/>
        <rFont val="Arial"/>
        <family val="2"/>
      </rPr>
      <t xml:space="preserve"> at each calibrated size, for each of the three calibration tests.</t>
    </r>
  </si>
  <si>
    <t>SRM2806D has 14/ml at 30um</t>
  </si>
  <si>
    <t>This implies we need at least 1000/14 = 71ml per test.</t>
  </si>
  <si>
    <t xml:space="preserve">At 21um we have 88.64/ml requiring 11.28ml counted volume per test which is more practical. </t>
  </si>
  <si>
    <t>Size</t>
  </si>
  <si>
    <t>Threshold</t>
  </si>
  <si>
    <t>Channel Label</t>
  </si>
  <si>
    <t>Calibration Curve</t>
  </si>
  <si>
    <t>Calibrated Sizes for Initial Values Used</t>
  </si>
  <si>
    <t>Expected Counts vs Size Calculator</t>
  </si>
  <si>
    <t>Equipment Details</t>
  </si>
  <si>
    <t>Ref Beam Flow Correction</t>
  </si>
  <si>
    <t>Final Beam Flow Correction</t>
  </si>
  <si>
    <t>Scale</t>
  </si>
  <si>
    <t>FINAL THRESHOLDS TO LOAD INTO INSTRUMENT</t>
  </si>
  <si>
    <t>ENSURE INITIAL CALIBRATION THRESHOLDS LOADED INTO INSTRUMENT PRIOR TO TAKING DATA</t>
  </si>
  <si>
    <t>Coincidence Limit / ml</t>
  </si>
  <si>
    <t>Stated Coincidence Limit / ml</t>
  </si>
  <si>
    <t>density</t>
  </si>
  <si>
    <t>g/cc</t>
  </si>
  <si>
    <t>General purpose Sphere Concentration Calculator</t>
  </si>
  <si>
    <t>Partistan 37D</t>
  </si>
  <si>
    <t>LPA4</t>
  </si>
  <si>
    <t>LPA3-NAVAIR</t>
  </si>
  <si>
    <t>11171-00009</t>
  </si>
  <si>
    <t>RAW COUNTS MODE SHOULD BE ***OFF*** FOR CLAUSE 6</t>
  </si>
  <si>
    <t>Previous</t>
  </si>
  <si>
    <t>Photocurrent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</si>
</sst>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yyyy\-mm\-dd"/>
    <numFmt numFmtId="165" formatCode="0.000"/>
    <numFmt numFmtId="166" formatCode="0.0"/>
    <numFmt numFmtId="167" formatCode="0.0%"/>
    <numFmt numFmtId="168" formatCode="0.000E+00"/>
  </numFmts>
  <fonts count="33" x14ac:knownFonts="1">
    <font>
      <sz val="10"/>
      <name val="Arial"/>
      <family val="2"/>
    </font>
    <font>
      <sz val="11"/>
      <color theme="1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0"/>
      <name val="Arial"/>
      <family val="2"/>
    </font>
    <font>
      <sz val="24"/>
      <color rgb="FFC00000"/>
      <name val="Arial Black"/>
      <family val="2"/>
    </font>
    <font>
      <b/>
      <sz val="12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0"/>
      <name val="Arial"/>
      <family val="2"/>
    </font>
    <font>
      <sz val="32"/>
      <name val="Arial"/>
      <family val="2"/>
    </font>
    <font>
      <b/>
      <sz val="10"/>
      <color rgb="FFFC5C00"/>
      <name val="Arial"/>
      <family val="2"/>
    </font>
    <font>
      <b/>
      <vertAlign val="subscript"/>
      <sz val="10"/>
      <name val="Arial"/>
      <family val="2"/>
    </font>
    <font>
      <vertAlign val="subscript"/>
      <sz val="10"/>
      <name val="Arial"/>
      <family val="2"/>
    </font>
    <font>
      <i/>
      <sz val="10"/>
      <color theme="2" tint="-0.499984740745262"/>
      <name val="Arial"/>
      <family val="2"/>
    </font>
    <font>
      <b/>
      <i/>
      <sz val="10"/>
      <color theme="2" tint="-0.499984740745262"/>
      <name val="Arial"/>
      <family val="2"/>
    </font>
    <font>
      <b/>
      <sz val="20"/>
      <color rgb="FFFF0000"/>
      <name val="Arial"/>
      <family val="2"/>
    </font>
    <font>
      <vertAlign val="subscript"/>
      <sz val="11"/>
      <color rgb="FF000000"/>
      <name val="Calibri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b/>
      <u/>
      <sz val="10"/>
      <color theme="4" tint="0.39997558519241921"/>
      <name val="Arial"/>
      <family val="2"/>
    </font>
    <font>
      <i/>
      <sz val="10"/>
      <name val="Arial"/>
      <family val="2"/>
    </font>
    <font>
      <u/>
      <sz val="11"/>
      <color rgb="FF000000"/>
      <name val="Calibri"/>
      <family val="2"/>
    </font>
    <font>
      <b/>
      <sz val="32"/>
      <color rgb="FFFC5C00"/>
      <name val="Arial"/>
      <family val="2"/>
    </font>
    <font>
      <b/>
      <sz val="15"/>
      <color theme="3"/>
      <name val="Arial"/>
      <family val="2"/>
      <scheme val="minor"/>
    </font>
    <font>
      <b/>
      <i/>
      <sz val="10"/>
      <color theme="2" tint="-0.34998626667073579"/>
      <name val="Arial"/>
      <family val="2"/>
    </font>
    <font>
      <i/>
      <sz val="10"/>
      <color theme="2" tint="-0.34998626667073579"/>
      <name val="Arial"/>
      <family val="2"/>
    </font>
    <font>
      <sz val="10"/>
      <color rgb="FFFA7D00"/>
      <name val="Arial"/>
      <family val="2"/>
      <scheme val="minor"/>
    </font>
    <font>
      <b/>
      <i/>
      <sz val="10"/>
      <color theme="2" tint="-0.34998626667073579"/>
      <name val="Arial"/>
      <family val="2"/>
      <scheme val="minor"/>
    </font>
    <font>
      <b/>
      <sz val="10"/>
      <color theme="5" tint="0.39994506668294322"/>
      <name val="Arial"/>
      <family val="2"/>
    </font>
    <font>
      <i/>
      <sz val="11"/>
      <color theme="2" tint="-0.499984740745262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9"/>
      <color rgb="FFFF0000"/>
      <name val="Arial Black"/>
      <family val="2"/>
    </font>
    <font>
      <b/>
      <sz val="11"/>
      <color rgb="FFFA7D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2" tint="-4.9989318521683403E-2"/>
        <bgColor rgb="FFB3B3B3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5" tint="0.79998168889431442"/>
        <bgColor rgb="FFC0C0C0"/>
      </patternFill>
    </fill>
    <fill>
      <patternFill patternType="solid">
        <fgColor rgb="FFF2F2F2"/>
        <bgColor rgb="FF000000"/>
      </patternFill>
    </fill>
  </fills>
  <borders count="3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ck">
        <color theme="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</borders>
  <cellStyleXfs count="7">
    <xf numFmtId="0" fontId="0" fillId="0" borderId="0"/>
    <xf numFmtId="9" fontId="3" fillId="0" borderId="0" applyFont="0" applyFill="0" applyBorder="0" applyAlignment="0" applyProtection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23" fillId="0" borderId="21" applyNumberFormat="0" applyFill="0" applyAlignment="0" applyProtection="0"/>
    <xf numFmtId="0" fontId="28" fillId="0" borderId="0" applyNumberFormat="0"/>
    <xf numFmtId="0" fontId="30" fillId="0" borderId="0" applyNumberFormat="0" applyFill="0" applyBorder="0" applyAlignment="0" applyProtection="0"/>
  </cellStyleXfs>
  <cellXfs count="169">
    <xf numFmtId="0" fontId="0" fillId="0" borderId="0" xfId="0"/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0" fillId="0" borderId="3" xfId="0" applyBorder="1" applyAlignment="1">
      <alignment horizontal="right"/>
    </xf>
    <xf numFmtId="0" fontId="0" fillId="0" borderId="4" xfId="0" applyBorder="1"/>
    <xf numFmtId="0" fontId="5" fillId="0" borderId="0" xfId="0" applyFont="1"/>
    <xf numFmtId="0" fontId="6" fillId="0" borderId="0" xfId="0" applyFont="1"/>
    <xf numFmtId="0" fontId="0" fillId="0" borderId="0" xfId="0" applyAlignment="1">
      <alignment horizontal="right" vertical="center"/>
    </xf>
    <xf numFmtId="0" fontId="3" fillId="0" borderId="0" xfId="0" applyFont="1"/>
    <xf numFmtId="0" fontId="0" fillId="0" borderId="5" xfId="0" applyBorder="1" applyAlignment="1">
      <alignment horizontal="left"/>
    </xf>
    <xf numFmtId="0" fontId="0" fillId="0" borderId="0" xfId="0" applyAlignment="1">
      <alignment horizontal="right"/>
    </xf>
    <xf numFmtId="0" fontId="0" fillId="0" borderId="6" xfId="0" applyBorder="1"/>
    <xf numFmtId="0" fontId="8" fillId="0" borderId="5" xfId="0" applyFont="1" applyBorder="1" applyAlignment="1">
      <alignment horizontal="right"/>
    </xf>
    <xf numFmtId="0" fontId="8" fillId="0" borderId="0" xfId="0" applyFont="1" applyAlignment="1">
      <alignment horizontal="right"/>
    </xf>
    <xf numFmtId="0" fontId="0" fillId="0" borderId="5" xfId="0" applyBorder="1"/>
    <xf numFmtId="1" fontId="0" fillId="0" borderId="0" xfId="0" applyNumberFormat="1"/>
    <xf numFmtId="0" fontId="7" fillId="0" borderId="0" xfId="0" applyFont="1"/>
    <xf numFmtId="164" fontId="0" fillId="0" borderId="0" xfId="0" applyNumberFormat="1" applyAlignment="1">
      <alignment horizontal="right" vertical="center"/>
    </xf>
    <xf numFmtId="2" fontId="3" fillId="0" borderId="0" xfId="0" applyNumberFormat="1" applyFont="1"/>
    <xf numFmtId="0" fontId="0" fillId="0" borderId="0" xfId="0" applyAlignment="1">
      <alignment horizontal="left"/>
    </xf>
    <xf numFmtId="0" fontId="0" fillId="0" borderId="5" xfId="0" applyBorder="1" applyAlignment="1">
      <alignment horizontal="right"/>
    </xf>
    <xf numFmtId="166" fontId="0" fillId="0" borderId="0" xfId="0" applyNumberFormat="1"/>
    <xf numFmtId="0" fontId="0" fillId="0" borderId="7" xfId="0" applyBorder="1"/>
    <xf numFmtId="1" fontId="0" fillId="0" borderId="8" xfId="0" applyNumberFormat="1" applyBorder="1"/>
    <xf numFmtId="0" fontId="0" fillId="0" borderId="9" xfId="0" applyBorder="1"/>
    <xf numFmtId="0" fontId="10" fillId="0" borderId="0" xfId="0" applyFont="1"/>
    <xf numFmtId="0" fontId="8" fillId="0" borderId="0" xfId="0" applyFont="1"/>
    <xf numFmtId="0" fontId="9" fillId="0" borderId="0" xfId="0" applyFont="1"/>
    <xf numFmtId="164" fontId="0" fillId="0" borderId="0" xfId="0" applyNumberFormat="1"/>
    <xf numFmtId="165" fontId="0" fillId="0" borderId="0" xfId="0" applyNumberFormat="1"/>
    <xf numFmtId="166" fontId="8" fillId="0" borderId="0" xfId="0" applyNumberFormat="1" applyFont="1" applyAlignment="1">
      <alignment horizontal="right"/>
    </xf>
    <xf numFmtId="167" fontId="0" fillId="0" borderId="0" xfId="0" applyNumberFormat="1"/>
    <xf numFmtId="166" fontId="8" fillId="0" borderId="0" xfId="0" applyNumberFormat="1" applyFont="1"/>
    <xf numFmtId="1" fontId="0" fillId="0" borderId="0" xfId="0" applyNumberFormat="1" applyAlignment="1">
      <alignment horizontal="right"/>
    </xf>
    <xf numFmtId="10" fontId="0" fillId="0" borderId="0" xfId="0" applyNumberFormat="1"/>
    <xf numFmtId="0" fontId="0" fillId="0" borderId="12" xfId="0" applyBorder="1"/>
    <xf numFmtId="0" fontId="0" fillId="0" borderId="13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3" xfId="0" applyBorder="1"/>
    <xf numFmtId="0" fontId="0" fillId="0" borderId="14" xfId="0" applyBorder="1"/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18" xfId="0" applyBorder="1"/>
    <xf numFmtId="0" fontId="0" fillId="0" borderId="19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13" fillId="0" borderId="0" xfId="0" applyFont="1"/>
    <xf numFmtId="0" fontId="14" fillId="0" borderId="0" xfId="0" applyFont="1" applyAlignment="1">
      <alignment horizontal="right"/>
    </xf>
    <xf numFmtId="0" fontId="14" fillId="0" borderId="0" xfId="0" applyFont="1"/>
    <xf numFmtId="0" fontId="15" fillId="0" borderId="0" xfId="0" applyFont="1"/>
    <xf numFmtId="0" fontId="0" fillId="4" borderId="20" xfId="0" applyFill="1" applyBorder="1" applyAlignment="1">
      <alignment horizontal="center" vertical="center" wrapText="1"/>
    </xf>
    <xf numFmtId="0" fontId="0" fillId="4" borderId="20" xfId="0" applyFill="1" applyBorder="1" applyAlignment="1">
      <alignment horizontal="center" wrapText="1"/>
    </xf>
    <xf numFmtId="0" fontId="8" fillId="5" borderId="20" xfId="0" applyFont="1" applyFill="1" applyBorder="1" applyAlignment="1">
      <alignment horizontal="center"/>
    </xf>
    <xf numFmtId="0" fontId="8" fillId="5" borderId="20" xfId="0" applyFont="1" applyFill="1" applyBorder="1" applyAlignment="1">
      <alignment horizontal="center" wrapText="1"/>
    </xf>
    <xf numFmtId="0" fontId="0" fillId="5" borderId="20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wrapText="1"/>
    </xf>
    <xf numFmtId="0" fontId="0" fillId="5" borderId="20" xfId="0" applyFill="1" applyBorder="1" applyAlignment="1">
      <alignment horizontal="center"/>
    </xf>
    <xf numFmtId="0" fontId="17" fillId="5" borderId="20" xfId="0" applyFont="1" applyFill="1" applyBorder="1" applyAlignment="1">
      <alignment horizontal="center"/>
    </xf>
    <xf numFmtId="0" fontId="18" fillId="0" borderId="0" xfId="0" applyFont="1" applyAlignment="1">
      <alignment horizontal="right"/>
    </xf>
    <xf numFmtId="10" fontId="19" fillId="0" borderId="0" xfId="0" applyNumberFormat="1" applyFont="1" applyAlignment="1">
      <alignment horizontal="right"/>
    </xf>
    <xf numFmtId="0" fontId="0" fillId="6" borderId="20" xfId="0" applyFill="1" applyBorder="1"/>
    <xf numFmtId="0" fontId="0" fillId="0" borderId="20" xfId="0" applyBorder="1"/>
    <xf numFmtId="3" fontId="0" fillId="0" borderId="0" xfId="0" applyNumberFormat="1"/>
    <xf numFmtId="0" fontId="7" fillId="0" borderId="0" xfId="0" applyFont="1" applyAlignment="1">
      <alignment horizontal="right"/>
    </xf>
    <xf numFmtId="164" fontId="7" fillId="0" borderId="0" xfId="0" applyNumberFormat="1" applyFont="1" applyAlignment="1">
      <alignment horizontal="right"/>
    </xf>
    <xf numFmtId="0" fontId="6" fillId="0" borderId="0" xfId="0" applyFont="1" applyAlignment="1">
      <alignment horizontal="right"/>
    </xf>
    <xf numFmtId="164" fontId="6" fillId="0" borderId="0" xfId="0" applyNumberFormat="1" applyFont="1" applyAlignment="1">
      <alignment horizontal="right"/>
    </xf>
    <xf numFmtId="0" fontId="0" fillId="0" borderId="0" xfId="0" applyProtection="1">
      <protection locked="0"/>
    </xf>
    <xf numFmtId="0" fontId="0" fillId="0" borderId="13" xfId="0" applyBorder="1" applyProtection="1">
      <protection locked="0"/>
    </xf>
    <xf numFmtId="168" fontId="0" fillId="0" borderId="18" xfId="0" applyNumberFormat="1" applyBorder="1" applyProtection="1">
      <protection locked="0"/>
    </xf>
    <xf numFmtId="0" fontId="8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166" fontId="0" fillId="0" borderId="18" xfId="0" applyNumberFormat="1" applyBorder="1"/>
    <xf numFmtId="0" fontId="20" fillId="0" borderId="0" xfId="0" applyFont="1"/>
    <xf numFmtId="2" fontId="0" fillId="0" borderId="0" xfId="0" applyNumberFormat="1"/>
    <xf numFmtId="0" fontId="22" fillId="0" borderId="0" xfId="0" applyFont="1" applyAlignment="1">
      <alignment vertical="center"/>
    </xf>
    <xf numFmtId="1" fontId="2" fillId="2" borderId="1" xfId="2" applyNumberFormat="1"/>
    <xf numFmtId="0" fontId="24" fillId="0" borderId="0" xfId="0" applyFont="1" applyAlignment="1">
      <alignment horizontal="right"/>
    </xf>
    <xf numFmtId="0" fontId="25" fillId="0" borderId="0" xfId="0" applyFont="1"/>
    <xf numFmtId="167" fontId="25" fillId="0" borderId="0" xfId="1" applyNumberFormat="1" applyFont="1"/>
    <xf numFmtId="166" fontId="25" fillId="0" borderId="0" xfId="0" applyNumberFormat="1" applyFont="1"/>
    <xf numFmtId="166" fontId="2" fillId="2" borderId="1" xfId="2" applyNumberFormat="1"/>
    <xf numFmtId="1" fontId="25" fillId="0" borderId="0" xfId="0" applyNumberFormat="1" applyFont="1"/>
    <xf numFmtId="0" fontId="17" fillId="0" borderId="20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 wrapText="1"/>
    </xf>
    <xf numFmtId="0" fontId="17" fillId="0" borderId="20" xfId="0" applyFont="1" applyBorder="1" applyAlignment="1">
      <alignment horizontal="center" wrapText="1"/>
    </xf>
    <xf numFmtId="0" fontId="17" fillId="0" borderId="20" xfId="0" applyFont="1" applyBorder="1" applyAlignment="1">
      <alignment horizontal="center"/>
    </xf>
    <xf numFmtId="1" fontId="25" fillId="0" borderId="13" xfId="0" applyNumberFormat="1" applyFont="1" applyBorder="1"/>
    <xf numFmtId="0" fontId="24" fillId="0" borderId="13" xfId="0" applyFont="1" applyBorder="1"/>
    <xf numFmtId="0" fontId="24" fillId="0" borderId="0" xfId="0" applyFont="1"/>
    <xf numFmtId="0" fontId="25" fillId="0" borderId="16" xfId="0" applyFont="1" applyBorder="1"/>
    <xf numFmtId="0" fontId="24" fillId="0" borderId="16" xfId="0" applyFont="1" applyBorder="1"/>
    <xf numFmtId="0" fontId="25" fillId="0" borderId="12" xfId="0" applyFont="1" applyBorder="1"/>
    <xf numFmtId="1" fontId="24" fillId="0" borderId="14" xfId="0" applyNumberFormat="1" applyFont="1" applyBorder="1"/>
    <xf numFmtId="0" fontId="25" fillId="0" borderId="18" xfId="0" applyFont="1" applyBorder="1"/>
    <xf numFmtId="1" fontId="24" fillId="0" borderId="19" xfId="0" applyNumberFormat="1" applyFont="1" applyBorder="1"/>
    <xf numFmtId="0" fontId="25" fillId="0" borderId="15" xfId="0" applyFont="1" applyBorder="1"/>
    <xf numFmtId="1" fontId="24" fillId="0" borderId="17" xfId="0" applyNumberFormat="1" applyFont="1" applyBorder="1"/>
    <xf numFmtId="0" fontId="0" fillId="0" borderId="2" xfId="0" applyBorder="1"/>
    <xf numFmtId="0" fontId="0" fillId="0" borderId="3" xfId="0" applyBorder="1"/>
    <xf numFmtId="0" fontId="2" fillId="2" borderId="24" xfId="2" applyBorder="1"/>
    <xf numFmtId="0" fontId="2" fillId="2" borderId="25" xfId="2" applyBorder="1"/>
    <xf numFmtId="0" fontId="2" fillId="2" borderId="26" xfId="2" applyBorder="1"/>
    <xf numFmtId="1" fontId="24" fillId="0" borderId="0" xfId="0" applyNumberFormat="1" applyFont="1"/>
    <xf numFmtId="165" fontId="2" fillId="2" borderId="1" xfId="2" applyNumberFormat="1"/>
    <xf numFmtId="0" fontId="28" fillId="0" borderId="0" xfId="5"/>
    <xf numFmtId="0" fontId="8" fillId="0" borderId="0" xfId="0" applyFont="1" applyAlignment="1">
      <alignment horizontal="left"/>
    </xf>
    <xf numFmtId="1" fontId="0" fillId="0" borderId="2" xfId="0" applyNumberFormat="1" applyBorder="1"/>
    <xf numFmtId="1" fontId="0" fillId="0" borderId="3" xfId="0" applyNumberFormat="1" applyBorder="1"/>
    <xf numFmtId="1" fontId="0" fillId="0" borderId="4" xfId="0" applyNumberFormat="1" applyBorder="1"/>
    <xf numFmtId="1" fontId="2" fillId="2" borderId="24" xfId="2" applyNumberFormat="1" applyBorder="1"/>
    <xf numFmtId="1" fontId="2" fillId="2" borderId="25" xfId="2" applyNumberFormat="1" applyBorder="1"/>
    <xf numFmtId="1" fontId="2" fillId="2" borderId="26" xfId="2" applyNumberFormat="1" applyBorder="1"/>
    <xf numFmtId="166" fontId="26" fillId="2" borderId="1" xfId="2" applyNumberFormat="1" applyFont="1"/>
    <xf numFmtId="0" fontId="25" fillId="0" borderId="0" xfId="0" applyFont="1" applyAlignment="1">
      <alignment horizontal="right"/>
    </xf>
    <xf numFmtId="0" fontId="25" fillId="0" borderId="2" xfId="0" applyFont="1" applyBorder="1"/>
    <xf numFmtId="166" fontId="25" fillId="0" borderId="4" xfId="0" applyNumberFormat="1" applyFont="1" applyBorder="1"/>
    <xf numFmtId="0" fontId="25" fillId="0" borderId="5" xfId="0" applyFont="1" applyBorder="1"/>
    <xf numFmtId="166" fontId="25" fillId="0" borderId="6" xfId="0" applyNumberFormat="1" applyFont="1" applyBorder="1"/>
    <xf numFmtId="0" fontId="25" fillId="0" borderId="7" xfId="0" applyFont="1" applyBorder="1"/>
    <xf numFmtId="166" fontId="25" fillId="0" borderId="9" xfId="0" applyNumberFormat="1" applyFont="1" applyBorder="1"/>
    <xf numFmtId="0" fontId="23" fillId="0" borderId="21" xfId="4"/>
    <xf numFmtId="0" fontId="23" fillId="0" borderId="27" xfId="4" applyBorder="1" applyAlignment="1">
      <alignment horizontal="left"/>
    </xf>
    <xf numFmtId="0" fontId="28" fillId="0" borderId="3" xfId="5" applyBorder="1"/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168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2" fontId="0" fillId="0" borderId="5" xfId="0" applyNumberFormat="1" applyBorder="1" applyProtection="1">
      <protection locked="0"/>
    </xf>
    <xf numFmtId="166" fontId="0" fillId="0" borderId="5" xfId="0" applyNumberFormat="1" applyBorder="1"/>
    <xf numFmtId="0" fontId="0" fillId="0" borderId="8" xfId="0" applyBorder="1"/>
    <xf numFmtId="10" fontId="2" fillId="2" borderId="1" xfId="2" applyNumberFormat="1"/>
    <xf numFmtId="0" fontId="27" fillId="2" borderId="1" xfId="2" applyFont="1"/>
    <xf numFmtId="0" fontId="29" fillId="0" borderId="10" xfId="3" applyFont="1" applyFill="1" applyBorder="1"/>
    <xf numFmtId="164" fontId="29" fillId="0" borderId="11" xfId="3" applyNumberFormat="1" applyFont="1" applyFill="1" applyBorder="1"/>
    <xf numFmtId="0" fontId="29" fillId="0" borderId="11" xfId="3" applyFont="1" applyFill="1" applyBorder="1" applyAlignment="1">
      <alignment horizontal="right"/>
    </xf>
    <xf numFmtId="164" fontId="28" fillId="0" borderId="0" xfId="5" applyNumberFormat="1" applyAlignment="1">
      <alignment horizontal="left"/>
    </xf>
    <xf numFmtId="0" fontId="13" fillId="0" borderId="0" xfId="0" applyFont="1" applyAlignment="1">
      <alignment horizontal="right"/>
    </xf>
    <xf numFmtId="165" fontId="13" fillId="0" borderId="0" xfId="0" applyNumberFormat="1" applyFont="1" applyAlignment="1">
      <alignment horizontal="right"/>
    </xf>
    <xf numFmtId="165" fontId="13" fillId="0" borderId="28" xfId="0" applyNumberFormat="1" applyFont="1" applyBorder="1"/>
    <xf numFmtId="0" fontId="31" fillId="0" borderId="0" xfId="0" applyFont="1"/>
    <xf numFmtId="0" fontId="30" fillId="0" borderId="0" xfId="6" applyAlignment="1">
      <alignment horizontal="right"/>
    </xf>
    <xf numFmtId="2" fontId="2" fillId="2" borderId="1" xfId="2" applyNumberFormat="1" applyProtection="1">
      <protection locked="0"/>
    </xf>
    <xf numFmtId="1" fontId="2" fillId="2" borderId="1" xfId="2" applyNumberFormat="1" applyProtection="1">
      <protection locked="0"/>
    </xf>
    <xf numFmtId="0" fontId="2" fillId="2" borderId="1" xfId="2"/>
    <xf numFmtId="0" fontId="28" fillId="0" borderId="2" xfId="5" applyBorder="1"/>
    <xf numFmtId="0" fontId="28" fillId="0" borderId="5" xfId="5" applyBorder="1"/>
    <xf numFmtId="2" fontId="2" fillId="2" borderId="29" xfId="2" applyNumberFormat="1" applyBorder="1" applyProtection="1">
      <protection locked="0"/>
    </xf>
    <xf numFmtId="1" fontId="2" fillId="2" borderId="29" xfId="2" applyNumberFormat="1" applyBorder="1" applyProtection="1">
      <protection locked="0"/>
    </xf>
    <xf numFmtId="0" fontId="2" fillId="2" borderId="29" xfId="2" applyBorder="1"/>
    <xf numFmtId="0" fontId="28" fillId="0" borderId="12" xfId="5" applyBorder="1"/>
    <xf numFmtId="0" fontId="28" fillId="0" borderId="18" xfId="5" applyBorder="1"/>
    <xf numFmtId="2" fontId="2" fillId="2" borderId="30" xfId="2" applyNumberFormat="1" applyBorder="1" applyProtection="1">
      <protection locked="0"/>
    </xf>
    <xf numFmtId="1" fontId="2" fillId="2" borderId="30" xfId="2" applyNumberFormat="1" applyBorder="1" applyProtection="1">
      <protection locked="0"/>
    </xf>
    <xf numFmtId="0" fontId="2" fillId="2" borderId="30" xfId="2" applyBorder="1"/>
    <xf numFmtId="0" fontId="18" fillId="0" borderId="13" xfId="0" applyFont="1" applyBorder="1"/>
    <xf numFmtId="0" fontId="32" fillId="7" borderId="24" xfId="0" applyFont="1" applyFill="1" applyBorder="1"/>
    <xf numFmtId="0" fontId="32" fillId="7" borderId="31" xfId="0" applyFont="1" applyFill="1" applyBorder="1"/>
    <xf numFmtId="0" fontId="32" fillId="7" borderId="32" xfId="0" applyFont="1" applyFill="1" applyBorder="1"/>
    <xf numFmtId="14" fontId="0" fillId="0" borderId="0" xfId="0" applyNumberFormat="1"/>
    <xf numFmtId="0" fontId="9" fillId="0" borderId="0" xfId="0" applyFont="1" applyAlignment="1">
      <alignment horizontal="left" vertical="center"/>
    </xf>
    <xf numFmtId="0" fontId="0" fillId="0" borderId="0" xfId="0" applyAlignment="1">
      <alignment vertical="center" wrapText="1"/>
    </xf>
    <xf numFmtId="0" fontId="17" fillId="0" borderId="22" xfId="0" applyFont="1" applyBorder="1" applyAlignment="1">
      <alignment horizontal="center"/>
    </xf>
    <xf numFmtId="0" fontId="17" fillId="0" borderId="23" xfId="0" applyFont="1" applyBorder="1" applyAlignment="1">
      <alignment horizontal="center"/>
    </xf>
    <xf numFmtId="0" fontId="0" fillId="0" borderId="22" xfId="0" applyBorder="1" applyAlignment="1">
      <alignment wrapText="1"/>
    </xf>
    <xf numFmtId="0" fontId="0" fillId="0" borderId="23" xfId="0" applyBorder="1" applyAlignment="1">
      <alignment wrapText="1"/>
    </xf>
  </cellXfs>
  <cellStyles count="7">
    <cellStyle name="20% - Accent2" xfId="3" builtinId="34"/>
    <cellStyle name="Calculation" xfId="2" builtinId="22"/>
    <cellStyle name="Explanatory Text" xfId="6" builtinId="53"/>
    <cellStyle name="Heading 1" xfId="4" builtinId="16"/>
    <cellStyle name="Normal" xfId="0" builtinId="0"/>
    <cellStyle name="Percent" xfId="1" builtinId="5"/>
    <cellStyle name="User Input" xfId="5" xr:uid="{19E21E44-AB1A-4741-BBF0-29C00497A086}"/>
  </cellStyles>
  <dxfs count="7"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Sample Deviation</a:t>
            </a:r>
            <a:r>
              <a:rPr lang="en-GB" baseline="0"/>
              <a:t> from 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'6 - B1'!$A$9</c:f>
              <c:strCache>
                <c:ptCount val="1"/>
                <c:pt idx="0">
                  <c:v>count_4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'6 - B1'!$O$9:$S$9</c:f>
              <c:numCache>
                <c:formatCode>0.0%</c:formatCode>
                <c:ptCount val="5"/>
                <c:pt idx="0">
                  <c:v>-2.7550921271297768E-2</c:v>
                </c:pt>
                <c:pt idx="1">
                  <c:v>2.0076807152197507E-2</c:v>
                </c:pt>
                <c:pt idx="2">
                  <c:v>2.0096411246730561E-3</c:v>
                </c:pt>
                <c:pt idx="3">
                  <c:v>5.4644729944268722E-3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04-4B7C-9495-17C2012AC6CD}"/>
            </c:ext>
          </c:extLst>
        </c:ser>
        <c:ser>
          <c:idx val="1"/>
          <c:order val="1"/>
          <c:tx>
            <c:strRef>
              <c:f>'6 - B1'!$A$10</c:f>
              <c:strCache>
                <c:ptCount val="1"/>
                <c:pt idx="0">
                  <c:v>count_5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'6 - B1'!$O$10:$S$10</c:f>
              <c:numCache>
                <c:formatCode>0.0%</c:formatCode>
                <c:ptCount val="5"/>
                <c:pt idx="0">
                  <c:v>-2.6459387019636904E-2</c:v>
                </c:pt>
                <c:pt idx="1">
                  <c:v>2.0156345942290654E-2</c:v>
                </c:pt>
                <c:pt idx="2">
                  <c:v>2.1251331911442684E-3</c:v>
                </c:pt>
                <c:pt idx="3">
                  <c:v>4.1779078862016483E-3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04-4B7C-9495-17C2012AC6CD}"/>
            </c:ext>
          </c:extLst>
        </c:ser>
        <c:ser>
          <c:idx val="2"/>
          <c:order val="2"/>
          <c:tx>
            <c:strRef>
              <c:f>'6 - B1'!$A$11</c:f>
              <c:strCache>
                <c:ptCount val="1"/>
                <c:pt idx="0">
                  <c:v>count_6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'6 - B1'!$O$11:$S$11</c:f>
              <c:numCache>
                <c:formatCode>0.0%</c:formatCode>
                <c:ptCount val="5"/>
                <c:pt idx="0">
                  <c:v>-2.4441458560684581E-2</c:v>
                </c:pt>
                <c:pt idx="1">
                  <c:v>1.8604113044051518E-2</c:v>
                </c:pt>
                <c:pt idx="2">
                  <c:v>1.7708908693190306E-3</c:v>
                </c:pt>
                <c:pt idx="3">
                  <c:v>4.0664546473141439E-3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A04-4B7C-9495-17C2012AC6CD}"/>
            </c:ext>
          </c:extLst>
        </c:ser>
        <c:ser>
          <c:idx val="3"/>
          <c:order val="3"/>
          <c:tx>
            <c:strRef>
              <c:f>'6 - B1'!$A$12</c:f>
              <c:strCache>
                <c:ptCount val="1"/>
                <c:pt idx="0">
                  <c:v>count_7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'6 - B1'!$O$12:$S$12</c:f>
              <c:numCache>
                <c:formatCode>0.0%</c:formatCode>
                <c:ptCount val="5"/>
                <c:pt idx="0">
                  <c:v>-2.4483406354984472E-2</c:v>
                </c:pt>
                <c:pt idx="1">
                  <c:v>1.7796317725200517E-2</c:v>
                </c:pt>
                <c:pt idx="2">
                  <c:v>1.2286753092471958E-3</c:v>
                </c:pt>
                <c:pt idx="3">
                  <c:v>5.4584133205373142E-3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A04-4B7C-9495-17C2012AC6CD}"/>
            </c:ext>
          </c:extLst>
        </c:ser>
        <c:ser>
          <c:idx val="4"/>
          <c:order val="4"/>
          <c:tx>
            <c:strRef>
              <c:f>'6 - B1'!$A$13</c:f>
              <c:strCache>
                <c:ptCount val="1"/>
                <c:pt idx="0">
                  <c:v>count_8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'6 - B1'!$O$13:$S$13</c:f>
              <c:numCache>
                <c:formatCode>0.0%</c:formatCode>
                <c:ptCount val="5"/>
                <c:pt idx="0">
                  <c:v>-2.3633420340695044E-2</c:v>
                </c:pt>
                <c:pt idx="1">
                  <c:v>1.63301263184088E-2</c:v>
                </c:pt>
                <c:pt idx="2">
                  <c:v>2.8937212488289177E-4</c:v>
                </c:pt>
                <c:pt idx="3">
                  <c:v>7.0139218974034634E-3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A04-4B7C-9495-17C2012AC6CD}"/>
            </c:ext>
          </c:extLst>
        </c:ser>
        <c:ser>
          <c:idx val="5"/>
          <c:order val="5"/>
          <c:tx>
            <c:strRef>
              <c:f>'6 - B1'!$A$14</c:f>
              <c:strCache>
                <c:ptCount val="1"/>
                <c:pt idx="0">
                  <c:v>count_9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val>
            <c:numRef>
              <c:f>'6 - B1'!$O$14:$S$14</c:f>
              <c:numCache>
                <c:formatCode>0.0%</c:formatCode>
                <c:ptCount val="5"/>
                <c:pt idx="0">
                  <c:v>-2.1391098443113932E-2</c:v>
                </c:pt>
                <c:pt idx="1">
                  <c:v>1.6065687505687487E-2</c:v>
                </c:pt>
                <c:pt idx="2">
                  <c:v>-1.2903070496018687E-3</c:v>
                </c:pt>
                <c:pt idx="3">
                  <c:v>6.6157179870280913E-3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A04-4B7C-9495-17C2012AC6CD}"/>
            </c:ext>
          </c:extLst>
        </c:ser>
        <c:ser>
          <c:idx val="6"/>
          <c:order val="6"/>
          <c:tx>
            <c:strRef>
              <c:f>'6 - B1'!$A$15</c:f>
              <c:strCache>
                <c:ptCount val="1"/>
                <c:pt idx="0">
                  <c:v>count_10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val>
            <c:numRef>
              <c:f>'6 - B1'!$O$15:$S$15</c:f>
              <c:numCache>
                <c:formatCode>0.0%</c:formatCode>
                <c:ptCount val="5"/>
                <c:pt idx="0">
                  <c:v>-1.9902588740720151E-2</c:v>
                </c:pt>
                <c:pt idx="1">
                  <c:v>1.0098114398266134E-2</c:v>
                </c:pt>
                <c:pt idx="2">
                  <c:v>1.2237466491964444E-3</c:v>
                </c:pt>
                <c:pt idx="3">
                  <c:v>8.5807276932570176E-3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A04-4B7C-9495-17C2012AC6CD}"/>
            </c:ext>
          </c:extLst>
        </c:ser>
        <c:ser>
          <c:idx val="7"/>
          <c:order val="7"/>
          <c:tx>
            <c:strRef>
              <c:f>'6 - B1'!$A$16</c:f>
              <c:strCache>
                <c:ptCount val="1"/>
                <c:pt idx="0">
                  <c:v>count_11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val>
            <c:numRef>
              <c:f>'6 - B1'!$O$16:$S$16</c:f>
              <c:numCache>
                <c:formatCode>0.0%</c:formatCode>
                <c:ptCount val="5"/>
                <c:pt idx="0">
                  <c:v>-1.7168802827133844E-2</c:v>
                </c:pt>
                <c:pt idx="1">
                  <c:v>1.0222260111850456E-2</c:v>
                </c:pt>
                <c:pt idx="2">
                  <c:v>-2.1405948917105899E-3</c:v>
                </c:pt>
                <c:pt idx="3">
                  <c:v>9.087137606993867E-3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A04-4B7C-9495-17C2012AC6CD}"/>
            </c:ext>
          </c:extLst>
        </c:ser>
        <c:ser>
          <c:idx val="8"/>
          <c:order val="8"/>
          <c:tx>
            <c:strRef>
              <c:f>'6 - B1'!$A$17</c:f>
              <c:strCache>
                <c:ptCount val="1"/>
                <c:pt idx="0">
                  <c:v>count_12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val>
            <c:numRef>
              <c:f>'6 - B1'!$O$17:$S$17</c:f>
              <c:numCache>
                <c:formatCode>0.0%</c:formatCode>
                <c:ptCount val="5"/>
                <c:pt idx="0">
                  <c:v>-1.5557229217346369E-2</c:v>
                </c:pt>
                <c:pt idx="1">
                  <c:v>1.0910365324398485E-2</c:v>
                </c:pt>
                <c:pt idx="2">
                  <c:v>-5.8117518236022736E-3</c:v>
                </c:pt>
                <c:pt idx="3">
                  <c:v>1.0458615716550046E-2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A04-4B7C-9495-17C2012AC6CD}"/>
            </c:ext>
          </c:extLst>
        </c:ser>
        <c:ser>
          <c:idx val="9"/>
          <c:order val="9"/>
          <c:tx>
            <c:strRef>
              <c:f>'6 - B1'!$A$18</c:f>
              <c:strCache>
                <c:ptCount val="1"/>
                <c:pt idx="0">
                  <c:v>count_13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val>
            <c:numRef>
              <c:f>'6 - B1'!$O$18:$S$18</c:f>
              <c:numCache>
                <c:formatCode>0.0%</c:formatCode>
                <c:ptCount val="5"/>
                <c:pt idx="0">
                  <c:v>-1.2663062256282664E-2</c:v>
                </c:pt>
                <c:pt idx="1">
                  <c:v>8.2129652887756865E-3</c:v>
                </c:pt>
                <c:pt idx="2">
                  <c:v>-3.5340509987549229E-3</c:v>
                </c:pt>
                <c:pt idx="3">
                  <c:v>7.9841479662612347E-3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A04-4B7C-9495-17C2012AC6CD}"/>
            </c:ext>
          </c:extLst>
        </c:ser>
        <c:ser>
          <c:idx val="10"/>
          <c:order val="10"/>
          <c:tx>
            <c:strRef>
              <c:f>'6 - B1'!$A$19</c:f>
              <c:strCache>
                <c:ptCount val="1"/>
                <c:pt idx="0">
                  <c:v>count_14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val>
            <c:numRef>
              <c:f>'6 - B1'!$O$19:$S$19</c:f>
              <c:numCache>
                <c:formatCode>0.0%</c:formatCode>
                <c:ptCount val="5"/>
                <c:pt idx="0">
                  <c:v>-1.1381353742841993E-2</c:v>
                </c:pt>
                <c:pt idx="1">
                  <c:v>1.2126430623944362E-2</c:v>
                </c:pt>
                <c:pt idx="2">
                  <c:v>-7.8884138479228261E-3</c:v>
                </c:pt>
                <c:pt idx="3">
                  <c:v>7.1433369668207902E-3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A04-4B7C-9495-17C2012AC6CD}"/>
            </c:ext>
          </c:extLst>
        </c:ser>
        <c:ser>
          <c:idx val="11"/>
          <c:order val="11"/>
          <c:tx>
            <c:strRef>
              <c:f>'6 - B1'!$A$20</c:f>
              <c:strCache>
                <c:ptCount val="1"/>
                <c:pt idx="0">
                  <c:v>count_15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val>
            <c:numRef>
              <c:f>'6 - B1'!$O$20:$S$20</c:f>
              <c:numCache>
                <c:formatCode>0.0%</c:formatCode>
                <c:ptCount val="5"/>
                <c:pt idx="0">
                  <c:v>-9.3427458282528963E-3</c:v>
                </c:pt>
                <c:pt idx="1">
                  <c:v>1.4197963241198597E-2</c:v>
                </c:pt>
                <c:pt idx="2">
                  <c:v>-8.7829291460918002E-3</c:v>
                </c:pt>
                <c:pt idx="3">
                  <c:v>3.9277117331459888E-3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A04-4B7C-9495-17C2012AC6CD}"/>
            </c:ext>
          </c:extLst>
        </c:ser>
        <c:ser>
          <c:idx val="12"/>
          <c:order val="12"/>
          <c:tx>
            <c:strRef>
              <c:f>'6 - B1'!$A$21</c:f>
              <c:strCache>
                <c:ptCount val="1"/>
                <c:pt idx="0">
                  <c:v>count_16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B1'!$O$21:$S$21</c:f>
              <c:numCache>
                <c:formatCode>0.0%</c:formatCode>
                <c:ptCount val="5"/>
                <c:pt idx="0">
                  <c:v>-1.2201562020535128E-2</c:v>
                </c:pt>
                <c:pt idx="1">
                  <c:v>1.619384800666368E-2</c:v>
                </c:pt>
                <c:pt idx="2">
                  <c:v>-4.566300574678106E-3</c:v>
                </c:pt>
                <c:pt idx="3">
                  <c:v>5.7401458854977605E-4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A04-4B7C-9495-17C2012AC6CD}"/>
            </c:ext>
          </c:extLst>
        </c:ser>
        <c:ser>
          <c:idx val="13"/>
          <c:order val="13"/>
          <c:tx>
            <c:strRef>
              <c:f>'6 - B1'!$A$22</c:f>
              <c:strCache>
                <c:ptCount val="1"/>
                <c:pt idx="0">
                  <c:v>count_17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B1'!$O$22:$S$22</c:f>
              <c:numCache>
                <c:formatCode>0.0%</c:formatCode>
                <c:ptCount val="5"/>
                <c:pt idx="0">
                  <c:v>-1.3609445509040308E-2</c:v>
                </c:pt>
                <c:pt idx="1">
                  <c:v>2.3279020066836464E-2</c:v>
                </c:pt>
                <c:pt idx="2">
                  <c:v>-6.5332085351313962E-3</c:v>
                </c:pt>
                <c:pt idx="3">
                  <c:v>-3.1363660226647605E-3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A04-4B7C-9495-17C2012AC6CD}"/>
            </c:ext>
          </c:extLst>
        </c:ser>
        <c:ser>
          <c:idx val="14"/>
          <c:order val="14"/>
          <c:tx>
            <c:strRef>
              <c:f>'6 - B1'!$A$23</c:f>
              <c:strCache>
                <c:ptCount val="1"/>
                <c:pt idx="0">
                  <c:v>count_18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B1'!$O$23:$S$23</c:f>
              <c:numCache>
                <c:formatCode>0.0%</c:formatCode>
                <c:ptCount val="5"/>
                <c:pt idx="0">
                  <c:v>-2.0148495901631591E-2</c:v>
                </c:pt>
                <c:pt idx="1">
                  <c:v>2.1358758904549413E-2</c:v>
                </c:pt>
                <c:pt idx="2">
                  <c:v>-7.8083776394810567E-4</c:v>
                </c:pt>
                <c:pt idx="3">
                  <c:v>-4.2942523897004925E-4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A04-4B7C-9495-17C2012AC6CD}"/>
            </c:ext>
          </c:extLst>
        </c:ser>
        <c:ser>
          <c:idx val="15"/>
          <c:order val="15"/>
          <c:tx>
            <c:strRef>
              <c:f>'6 - B1'!$A$24</c:f>
              <c:strCache>
                <c:ptCount val="1"/>
                <c:pt idx="0">
                  <c:v>count_19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B1'!$O$24:$S$24</c:f>
              <c:numCache>
                <c:formatCode>0.0%</c:formatCode>
                <c:ptCount val="5"/>
                <c:pt idx="0">
                  <c:v>-1.4560240993955809E-2</c:v>
                </c:pt>
                <c:pt idx="1">
                  <c:v>2.1171374821194355E-2</c:v>
                </c:pt>
                <c:pt idx="2">
                  <c:v>-1.5991592832009793E-3</c:v>
                </c:pt>
                <c:pt idx="3">
                  <c:v>-5.0119745440376784E-3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A04-4B7C-9495-17C2012AC6CD}"/>
            </c:ext>
          </c:extLst>
        </c:ser>
        <c:ser>
          <c:idx val="16"/>
          <c:order val="16"/>
          <c:tx>
            <c:strRef>
              <c:f>'6 - B1'!$A$25</c:f>
              <c:strCache>
                <c:ptCount val="1"/>
                <c:pt idx="0">
                  <c:v>count_20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B1'!$O$25:$S$25</c:f>
              <c:numCache>
                <c:formatCode>0.0%</c:formatCode>
                <c:ptCount val="5"/>
                <c:pt idx="0">
                  <c:v>-9.2053690372579933E-3</c:v>
                </c:pt>
                <c:pt idx="1">
                  <c:v>2.6305940131470473E-2</c:v>
                </c:pt>
                <c:pt idx="2">
                  <c:v>-3.6232817554254781E-3</c:v>
                </c:pt>
                <c:pt idx="3">
                  <c:v>-1.3477289338786891E-2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A04-4B7C-9495-17C2012AC6CD}"/>
            </c:ext>
          </c:extLst>
        </c:ser>
        <c:ser>
          <c:idx val="17"/>
          <c:order val="17"/>
          <c:tx>
            <c:strRef>
              <c:f>'6 - B1'!$A$26</c:f>
              <c:strCache>
                <c:ptCount val="1"/>
                <c:pt idx="0">
                  <c:v>count_21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val>
            <c:numRef>
              <c:f>'6 - B1'!$O$26:$S$26</c:f>
              <c:numCache>
                <c:formatCode>0.0%</c:formatCode>
                <c:ptCount val="5"/>
                <c:pt idx="0">
                  <c:v>1.2229313582880597E-2</c:v>
                </c:pt>
                <c:pt idx="1">
                  <c:v>9.4109851102803788E-3</c:v>
                </c:pt>
                <c:pt idx="2">
                  <c:v>-1.5906284218123901E-2</c:v>
                </c:pt>
                <c:pt idx="3">
                  <c:v>-5.7340144750376298E-3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A04-4B7C-9495-17C2012AC6CD}"/>
            </c:ext>
          </c:extLst>
        </c:ser>
        <c:ser>
          <c:idx val="18"/>
          <c:order val="18"/>
          <c:tx>
            <c:strRef>
              <c:f>'6 - B1'!$A$27</c:f>
              <c:strCache>
                <c:ptCount val="1"/>
                <c:pt idx="0">
                  <c:v>count_22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val>
            <c:numRef>
              <c:f>'6 - B1'!$O$27:$S$27</c:f>
              <c:numCache>
                <c:formatCode>0.0%</c:formatCode>
                <c:ptCount val="5"/>
                <c:pt idx="0">
                  <c:v>2.3551572904968232E-2</c:v>
                </c:pt>
                <c:pt idx="1">
                  <c:v>-9.6038442079723341E-3</c:v>
                </c:pt>
                <c:pt idx="2">
                  <c:v>-1.6259972928091226E-2</c:v>
                </c:pt>
                <c:pt idx="3">
                  <c:v>2.3122442310954394E-3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A04-4B7C-9495-17C2012AC6CD}"/>
            </c:ext>
          </c:extLst>
        </c:ser>
        <c:ser>
          <c:idx val="19"/>
          <c:order val="19"/>
          <c:tx>
            <c:strRef>
              <c:f>'6 - B1'!$A$28</c:f>
              <c:strCache>
                <c:ptCount val="1"/>
                <c:pt idx="0">
                  <c:v>count_23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val>
            <c:numRef>
              <c:f>'6 - B1'!$O$28:$S$28</c:f>
              <c:numCache>
                <c:formatCode>0.0%</c:formatCode>
                <c:ptCount val="5"/>
                <c:pt idx="0">
                  <c:v>1.7528156636807735E-2</c:v>
                </c:pt>
                <c:pt idx="1">
                  <c:v>-1.6056520960711085E-3</c:v>
                </c:pt>
                <c:pt idx="2">
                  <c:v>-3.4361073032528999E-2</c:v>
                </c:pt>
                <c:pt idx="3">
                  <c:v>1.8438568491792484E-2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A04-4B7C-9495-17C2012AC6CD}"/>
            </c:ext>
          </c:extLst>
        </c:ser>
        <c:ser>
          <c:idx val="20"/>
          <c:order val="20"/>
          <c:tx>
            <c:strRef>
              <c:f>'6 - B1'!$A$29</c:f>
              <c:strCache>
                <c:ptCount val="1"/>
                <c:pt idx="0">
                  <c:v>count_24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val>
            <c:numRef>
              <c:f>'6 - B1'!$O$29:$S$29</c:f>
              <c:numCache>
                <c:formatCode>0.0%</c:formatCode>
                <c:ptCount val="5"/>
                <c:pt idx="0">
                  <c:v>2.197664049650605E-3</c:v>
                </c:pt>
                <c:pt idx="1">
                  <c:v>1.98680688918631E-2</c:v>
                </c:pt>
                <c:pt idx="2">
                  <c:v>-3.8717692142090199E-2</c:v>
                </c:pt>
                <c:pt idx="3">
                  <c:v>1.665195920057605E-2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A04-4B7C-9495-17C2012AC6CD}"/>
            </c:ext>
          </c:extLst>
        </c:ser>
        <c:ser>
          <c:idx val="21"/>
          <c:order val="21"/>
          <c:tx>
            <c:strRef>
              <c:f>'6 - B1'!$A$30</c:f>
              <c:strCache>
                <c:ptCount val="1"/>
                <c:pt idx="0">
                  <c:v>count_25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val>
            <c:numRef>
              <c:f>'6 - B1'!$O$30:$S$30</c:f>
              <c:numCache>
                <c:formatCode>0.0%</c:formatCode>
                <c:ptCount val="5"/>
                <c:pt idx="0">
                  <c:v>1.250571632901587E-2</c:v>
                </c:pt>
                <c:pt idx="1">
                  <c:v>1.2512691099318296E-2</c:v>
                </c:pt>
                <c:pt idx="2">
                  <c:v>-4.709245977454346E-2</c:v>
                </c:pt>
                <c:pt idx="3">
                  <c:v>2.2074052346209294E-2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A04-4B7C-9495-17C2012AC6CD}"/>
            </c:ext>
          </c:extLst>
        </c:ser>
        <c:ser>
          <c:idx val="22"/>
          <c:order val="22"/>
          <c:tx>
            <c:strRef>
              <c:f>'6 - B1'!$A$31</c:f>
              <c:strCache>
                <c:ptCount val="1"/>
                <c:pt idx="0">
                  <c:v>count_26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val>
            <c:numRef>
              <c:f>'6 - B1'!$O$31:$S$31</c:f>
              <c:numCache>
                <c:formatCode>0.0%</c:formatCode>
                <c:ptCount val="5"/>
                <c:pt idx="0">
                  <c:v>6.2350761466620774E-3</c:v>
                </c:pt>
                <c:pt idx="1">
                  <c:v>3.0277622723563269E-2</c:v>
                </c:pt>
                <c:pt idx="2">
                  <c:v>-4.5847077619113663E-2</c:v>
                </c:pt>
                <c:pt idx="3">
                  <c:v>9.3343787488882057E-3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A04-4B7C-9495-17C2012AC6CD}"/>
            </c:ext>
          </c:extLst>
        </c:ser>
        <c:ser>
          <c:idx val="23"/>
          <c:order val="23"/>
          <c:tx>
            <c:strRef>
              <c:f>'6 - B1'!$A$32</c:f>
              <c:strCache>
                <c:ptCount val="1"/>
                <c:pt idx="0">
                  <c:v>count_27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val>
            <c:numRef>
              <c:f>'6 - B1'!$O$32:$S$32</c:f>
              <c:numCache>
                <c:formatCode>0.0%</c:formatCode>
                <c:ptCount val="5"/>
                <c:pt idx="0">
                  <c:v>4.3576452894814599E-2</c:v>
                </c:pt>
                <c:pt idx="1">
                  <c:v>-1.5989277462554186E-2</c:v>
                </c:pt>
                <c:pt idx="2">
                  <c:v>-6.6805279074507951E-2</c:v>
                </c:pt>
                <c:pt idx="3">
                  <c:v>3.9218103642247648E-2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A04-4B7C-9495-17C2012AC6CD}"/>
            </c:ext>
          </c:extLst>
        </c:ser>
        <c:ser>
          <c:idx val="24"/>
          <c:order val="24"/>
          <c:tx>
            <c:strRef>
              <c:f>'6 - B1'!$A$33</c:f>
              <c:strCache>
                <c:ptCount val="1"/>
                <c:pt idx="0">
                  <c:v>count_28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B1'!$O$33:$S$33</c:f>
              <c:numCache>
                <c:formatCode>0.0%</c:formatCode>
                <c:ptCount val="5"/>
                <c:pt idx="0">
                  <c:v>4.1275194714389229E-2</c:v>
                </c:pt>
                <c:pt idx="1">
                  <c:v>-5.869697121446249E-3</c:v>
                </c:pt>
                <c:pt idx="2">
                  <c:v>-6.5829925487107088E-2</c:v>
                </c:pt>
                <c:pt idx="3">
                  <c:v>3.0424427894163886E-2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A04-4B7C-9495-17C2012AC6CD}"/>
            </c:ext>
          </c:extLst>
        </c:ser>
        <c:ser>
          <c:idx val="25"/>
          <c:order val="25"/>
          <c:tx>
            <c:strRef>
              <c:f>'6 - B1'!$A$34</c:f>
              <c:strCache>
                <c:ptCount val="1"/>
                <c:pt idx="0">
                  <c:v>count_29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B1'!$O$34:$S$34</c:f>
              <c:numCache>
                <c:formatCode>0.0%</c:formatCode>
                <c:ptCount val="5"/>
                <c:pt idx="0">
                  <c:v>2.7629761324597935E-2</c:v>
                </c:pt>
                <c:pt idx="1">
                  <c:v>3.9652411427376633E-2</c:v>
                </c:pt>
                <c:pt idx="2">
                  <c:v>-7.9199806693918018E-2</c:v>
                </c:pt>
                <c:pt idx="3">
                  <c:v>1.1917633941943784E-2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A04-4B7C-9495-17C2012AC6CD}"/>
            </c:ext>
          </c:extLst>
        </c:ser>
        <c:ser>
          <c:idx val="26"/>
          <c:order val="26"/>
          <c:tx>
            <c:strRef>
              <c:f>'6 - B1'!$A$35</c:f>
              <c:strCache>
                <c:ptCount val="1"/>
                <c:pt idx="0">
                  <c:v>count_30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B1'!$O$35:$S$35</c:f>
              <c:numCache>
                <c:formatCode>0.0%</c:formatCode>
                <c:ptCount val="5"/>
                <c:pt idx="0">
                  <c:v>-2.139659253734183E-2</c:v>
                </c:pt>
                <c:pt idx="1">
                  <c:v>5.9614923946802234E-2</c:v>
                </c:pt>
                <c:pt idx="2">
                  <c:v>-8.18754966607117E-2</c:v>
                </c:pt>
                <c:pt idx="3">
                  <c:v>4.3657165251251628E-2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A04-4B7C-9495-17C2012AC6CD}"/>
            </c:ext>
          </c:extLst>
        </c:ser>
        <c:ser>
          <c:idx val="27"/>
          <c:order val="27"/>
          <c:tx>
            <c:strRef>
              <c:f>'6 - B1'!$A$36</c:f>
              <c:strCache>
                <c:ptCount val="1"/>
                <c:pt idx="0">
                  <c:v>count_38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B1'!$O$36:$S$36</c:f>
              <c:numCache>
                <c:formatCode>0.0%</c:formatCode>
                <c:ptCount val="5"/>
                <c:pt idx="0">
                  <c:v>3.2742991741305127E-2</c:v>
                </c:pt>
                <c:pt idx="1">
                  <c:v>1.5802489240432482E-2</c:v>
                </c:pt>
                <c:pt idx="2">
                  <c:v>-4.0370885192509087E-2</c:v>
                </c:pt>
                <c:pt idx="3">
                  <c:v>-8.1745957892288557E-3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A04-4B7C-9495-17C2012AC6CD}"/>
            </c:ext>
          </c:extLst>
        </c:ser>
        <c:ser>
          <c:idx val="28"/>
          <c:order val="28"/>
          <c:tx>
            <c:strRef>
              <c:f>'6 - B1'!$A$37</c:f>
              <c:strCache>
                <c:ptCount val="1"/>
                <c:pt idx="0">
                  <c:v>count_50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B1'!$O$37:$S$37</c:f>
              <c:numCache>
                <c:formatCode>0.0%</c:formatCode>
                <c:ptCount val="5"/>
                <c:pt idx="0">
                  <c:v>7.6676868871775383E-2</c:v>
                </c:pt>
                <c:pt idx="1">
                  <c:v>5.0116353074764142E-2</c:v>
                </c:pt>
                <c:pt idx="2">
                  <c:v>-7.0316547988099942E-2</c:v>
                </c:pt>
                <c:pt idx="3">
                  <c:v>-5.6476673958440027E-2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A04-4B7C-9495-17C2012AC6CD}"/>
            </c:ext>
          </c:extLst>
        </c:ser>
        <c:ser>
          <c:idx val="29"/>
          <c:order val="29"/>
          <c:tx>
            <c:strRef>
              <c:f>'6 - B1'!$A$38</c:f>
              <c:strCache>
                <c:ptCount val="1"/>
                <c:pt idx="0">
                  <c:v>count_70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val>
            <c:numRef>
              <c:f>'6 - B1'!$O$38:$S$38</c:f>
              <c:numCache>
                <c:formatCode>0.0%</c:formatCode>
                <c:ptCount val="5"/>
                <c:pt idx="0">
                  <c:v>9.27098539591662E-2</c:v>
                </c:pt>
                <c:pt idx="1">
                  <c:v>6.0827382910572991E-2</c:v>
                </c:pt>
                <c:pt idx="2">
                  <c:v>-0.15874295680770623</c:v>
                </c:pt>
                <c:pt idx="3">
                  <c:v>5.2057199379667018E-3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A04-4B7C-9495-17C2012A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8745935"/>
        <c:axId val="298744975"/>
      </c:lineChart>
      <c:catAx>
        <c:axId val="2987459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744975"/>
        <c:crosses val="autoZero"/>
        <c:auto val="1"/>
        <c:lblAlgn val="ctr"/>
        <c:lblOffset val="100"/>
        <c:noMultiLvlLbl val="0"/>
      </c:catAx>
      <c:valAx>
        <c:axId val="298744975"/>
        <c:scaling>
          <c:orientation val="minMax"/>
          <c:max val="0.30000000000000004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7459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6862497289557375E-2"/>
          <c:y val="5.3484928107644325E-2"/>
          <c:w val="0.78794611723936847"/>
          <c:h val="7.5132557696949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  <a:latin typeface="+mn-lt"/>
                <a:ea typeface="+mn-ea"/>
                <a:cs typeface="+mn-cs"/>
              </a:defRPr>
            </a:pPr>
            <a:r>
              <a:rPr lang="en-GB" sz="1400" b="0" i="0" u="none" strike="noStrike" kern="1200" spc="0" baseline="0">
                <a:solidFill>
                  <a:srgbClr val="000000">
                    <a:lumMod val="65000"/>
                    <a:lumOff val="35000"/>
                  </a:srgbClr>
                </a:solidFill>
              </a:rPr>
              <a:t>Sample Deviation from 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rgbClr val="000000">
                  <a:lumMod val="65000"/>
                  <a:lumOff val="35000"/>
                </a:srgb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B2'!$O$8:$S$8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97-43B4-9682-249C2958FBB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B2'!$O$9:$S$9</c:f>
              <c:numCache>
                <c:formatCode>0.0%</c:formatCode>
                <c:ptCount val="5"/>
                <c:pt idx="0">
                  <c:v>8.8675616416455938E-6</c:v>
                </c:pt>
                <c:pt idx="1">
                  <c:v>6.2177835910099954E-3</c:v>
                </c:pt>
                <c:pt idx="2">
                  <c:v>-2.5766525850803301E-3</c:v>
                </c:pt>
                <c:pt idx="3">
                  <c:v>-7.0290473412004673E-5</c:v>
                </c:pt>
                <c:pt idx="4">
                  <c:v>-3.5797080941593062E-3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97-43B4-9682-249C2958FBB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B2'!$O$10:$S$10</c:f>
              <c:numCache>
                <c:formatCode>0.0%</c:formatCode>
                <c:ptCount val="5"/>
                <c:pt idx="0">
                  <c:v>-1.1867728454506565E-4</c:v>
                </c:pt>
                <c:pt idx="1">
                  <c:v>3.3631776985452166E-3</c:v>
                </c:pt>
                <c:pt idx="2">
                  <c:v>-3.0084244263078874E-3</c:v>
                </c:pt>
                <c:pt idx="3">
                  <c:v>3.4852464934636007E-3</c:v>
                </c:pt>
                <c:pt idx="4">
                  <c:v>-3.7213224811556422E-3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97-43B4-9682-249C2958FBBD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B2'!$O$11:$S$11</c:f>
              <c:numCache>
                <c:formatCode>0.0%</c:formatCode>
                <c:ptCount val="5"/>
                <c:pt idx="0">
                  <c:v>-5.2407903268869571E-4</c:v>
                </c:pt>
                <c:pt idx="1">
                  <c:v>5.1516658635850643E-3</c:v>
                </c:pt>
                <c:pt idx="2">
                  <c:v>-3.8053328579420453E-3</c:v>
                </c:pt>
                <c:pt idx="3">
                  <c:v>2.3309565341187444E-3</c:v>
                </c:pt>
                <c:pt idx="4">
                  <c:v>-3.1532105070726235E-3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97-43B4-9682-249C2958FBBD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B2'!$O$12:$S$12</c:f>
              <c:numCache>
                <c:formatCode>0.0%</c:formatCode>
                <c:ptCount val="5"/>
                <c:pt idx="0">
                  <c:v>1.0277911270000217E-3</c:v>
                </c:pt>
                <c:pt idx="1">
                  <c:v>4.389323121080313E-3</c:v>
                </c:pt>
                <c:pt idx="2">
                  <c:v>-3.2617467382496379E-3</c:v>
                </c:pt>
                <c:pt idx="3">
                  <c:v>3.648396657098818E-4</c:v>
                </c:pt>
                <c:pt idx="4">
                  <c:v>-2.5202071755415778E-3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97-43B4-9682-249C2958FBBD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B2'!$O$13:$S$13</c:f>
              <c:numCache>
                <c:formatCode>0.0%</c:formatCode>
                <c:ptCount val="5"/>
                <c:pt idx="0">
                  <c:v>9.4991121573828607E-4</c:v>
                </c:pt>
                <c:pt idx="1">
                  <c:v>3.3292427837747773E-3</c:v>
                </c:pt>
                <c:pt idx="2">
                  <c:v>-2.4855007984978528E-3</c:v>
                </c:pt>
                <c:pt idx="3">
                  <c:v>9.1824893989445044E-4</c:v>
                </c:pt>
                <c:pt idx="4">
                  <c:v>-2.7119021409097721E-3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97-43B4-9682-249C2958FBBD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B2'!$O$14:$S$14</c:f>
              <c:numCache>
                <c:formatCode>0.0%</c:formatCode>
                <c:ptCount val="5"/>
                <c:pt idx="0">
                  <c:v>-2.0428953523743409E-4</c:v>
                </c:pt>
                <c:pt idx="1">
                  <c:v>1.0400962054388785E-3</c:v>
                </c:pt>
                <c:pt idx="2">
                  <c:v>-3.8808444147392374E-3</c:v>
                </c:pt>
                <c:pt idx="3">
                  <c:v>3.9810673309499389E-3</c:v>
                </c:pt>
                <c:pt idx="4">
                  <c:v>-9.3602958641225698E-4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297-43B4-9682-249C2958FBBD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B2'!$O$15:$S$15</c:f>
              <c:numCache>
                <c:formatCode>0.0%</c:formatCode>
                <c:ptCount val="5"/>
                <c:pt idx="0">
                  <c:v>5.6368511978144298E-4</c:v>
                </c:pt>
                <c:pt idx="1">
                  <c:v>-1.3572078307091395E-3</c:v>
                </c:pt>
                <c:pt idx="2">
                  <c:v>-1.1064332581843805E-3</c:v>
                </c:pt>
                <c:pt idx="3">
                  <c:v>3.3228673969452061E-3</c:v>
                </c:pt>
                <c:pt idx="4">
                  <c:v>-1.422911427833351E-3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297-43B4-9682-249C2958FBBD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B2'!$O$16:$S$16</c:f>
              <c:numCache>
                <c:formatCode>0.0%</c:formatCode>
                <c:ptCount val="5"/>
                <c:pt idx="0">
                  <c:v>2.0950842821509941E-3</c:v>
                </c:pt>
                <c:pt idx="1">
                  <c:v>-2.9113984800004378E-3</c:v>
                </c:pt>
                <c:pt idx="2">
                  <c:v>-2.7079214150930175E-3</c:v>
                </c:pt>
                <c:pt idx="3">
                  <c:v>8.0394755813693042E-3</c:v>
                </c:pt>
                <c:pt idx="4">
                  <c:v>-4.515239968427065E-3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297-43B4-9682-249C2958FBBD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B2'!$O$17:$S$17</c:f>
              <c:numCache>
                <c:formatCode>0.0%</c:formatCode>
                <c:ptCount val="5"/>
                <c:pt idx="0">
                  <c:v>3.4593740028254771E-4</c:v>
                </c:pt>
                <c:pt idx="1">
                  <c:v>2.6090940404244201E-3</c:v>
                </c:pt>
                <c:pt idx="2">
                  <c:v>-9.996810657163957E-3</c:v>
                </c:pt>
                <c:pt idx="3">
                  <c:v>1.0620487917474275E-2</c:v>
                </c:pt>
                <c:pt idx="4">
                  <c:v>-3.5787087010169527E-3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297-43B4-9682-249C2958FBBD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B2'!$O$18:$S$18</c:f>
              <c:numCache>
                <c:formatCode>0.0%</c:formatCode>
                <c:ptCount val="5"/>
                <c:pt idx="0">
                  <c:v>1.1277886465643761E-3</c:v>
                </c:pt>
                <c:pt idx="1">
                  <c:v>2.0987845582021158E-3</c:v>
                </c:pt>
                <c:pt idx="2">
                  <c:v>-1.0252870052403495E-2</c:v>
                </c:pt>
                <c:pt idx="3">
                  <c:v>9.9775602444889255E-3</c:v>
                </c:pt>
                <c:pt idx="4">
                  <c:v>-2.9512633968513668E-3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297-43B4-9682-249C2958FBBD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B2'!$O$19:$S$19</c:f>
              <c:numCache>
                <c:formatCode>0.0%</c:formatCode>
                <c:ptCount val="5"/>
                <c:pt idx="0">
                  <c:v>1.0077050991257552E-2</c:v>
                </c:pt>
                <c:pt idx="1">
                  <c:v>-6.4665653535900258E-4</c:v>
                </c:pt>
                <c:pt idx="2">
                  <c:v>-1.5880076421457168E-2</c:v>
                </c:pt>
                <c:pt idx="3">
                  <c:v>8.61407228238531E-3</c:v>
                </c:pt>
                <c:pt idx="4">
                  <c:v>-2.1643903168270251E-3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297-43B4-9682-249C2958FBBD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B2'!$O$20:$S$20</c:f>
              <c:numCache>
                <c:formatCode>0.0%</c:formatCode>
                <c:ptCount val="5"/>
                <c:pt idx="0">
                  <c:v>1.5602063687494505E-2</c:v>
                </c:pt>
                <c:pt idx="1">
                  <c:v>-3.9827106253996769E-3</c:v>
                </c:pt>
                <c:pt idx="2">
                  <c:v>-1.6840901777956052E-2</c:v>
                </c:pt>
                <c:pt idx="3">
                  <c:v>8.2557502266398242E-3</c:v>
                </c:pt>
                <c:pt idx="4">
                  <c:v>-3.0342015107783782E-3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297-43B4-9682-249C2958FBBD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B2'!$O$21:$S$21</c:f>
              <c:numCache>
                <c:formatCode>0.0%</c:formatCode>
                <c:ptCount val="5"/>
                <c:pt idx="0">
                  <c:v>1.552046907061122E-2</c:v>
                </c:pt>
                <c:pt idx="1">
                  <c:v>-2.2299125942950582E-3</c:v>
                </c:pt>
                <c:pt idx="2">
                  <c:v>-1.7771118436668121E-2</c:v>
                </c:pt>
                <c:pt idx="3">
                  <c:v>6.2098126177170254E-3</c:v>
                </c:pt>
                <c:pt idx="4">
                  <c:v>-1.7292506573650668E-3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297-43B4-9682-249C2958FBBD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B2'!$O$22:$S$22</c:f>
              <c:numCache>
                <c:formatCode>0.0%</c:formatCode>
                <c:ptCount val="5"/>
                <c:pt idx="0">
                  <c:v>1.7183121142774871E-2</c:v>
                </c:pt>
                <c:pt idx="1">
                  <c:v>-3.4815764194349175E-3</c:v>
                </c:pt>
                <c:pt idx="2">
                  <c:v>-6.9074539277266256E-3</c:v>
                </c:pt>
                <c:pt idx="3">
                  <c:v>6.6279319324502595E-3</c:v>
                </c:pt>
                <c:pt idx="4">
                  <c:v>-1.3422022728063809E-2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297-43B4-9682-249C2958FBBD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B2'!$O$23:$S$23</c:f>
              <c:numCache>
                <c:formatCode>0.0%</c:formatCode>
                <c:ptCount val="5"/>
                <c:pt idx="0">
                  <c:v>1.2833465143337053E-2</c:v>
                </c:pt>
                <c:pt idx="1">
                  <c:v>7.3257790595042671E-3</c:v>
                </c:pt>
                <c:pt idx="2">
                  <c:v>-1.6067699617402509E-3</c:v>
                </c:pt>
                <c:pt idx="3">
                  <c:v>-3.4586617200154102E-3</c:v>
                </c:pt>
                <c:pt idx="4">
                  <c:v>-1.5093812521086214E-2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297-43B4-9682-249C2958FBBD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B2'!$O$24:$S$24</c:f>
              <c:numCache>
                <c:formatCode>0.0%</c:formatCode>
                <c:ptCount val="5"/>
                <c:pt idx="0">
                  <c:v>1.3994520068342009E-2</c:v>
                </c:pt>
                <c:pt idx="1">
                  <c:v>3.4757811811170214E-4</c:v>
                </c:pt>
                <c:pt idx="2">
                  <c:v>4.5239460874231252E-3</c:v>
                </c:pt>
                <c:pt idx="3">
                  <c:v>1.2148441327249238E-2</c:v>
                </c:pt>
                <c:pt idx="4">
                  <c:v>-3.1014485601126407E-2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297-43B4-9682-249C2958FBBD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B2'!$O$25:$S$25</c:f>
              <c:numCache>
                <c:formatCode>0.0%</c:formatCode>
                <c:ptCount val="5"/>
                <c:pt idx="0">
                  <c:v>1.7658794978796521E-2</c:v>
                </c:pt>
                <c:pt idx="1">
                  <c:v>-4.8869922075918115E-3</c:v>
                </c:pt>
                <c:pt idx="2">
                  <c:v>9.198596962094463E-3</c:v>
                </c:pt>
                <c:pt idx="3">
                  <c:v>9.9081304619703658E-3</c:v>
                </c:pt>
                <c:pt idx="4">
                  <c:v>-3.1878530195268984E-2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297-43B4-9682-249C2958FBBD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B2'!$O$26:$S$26</c:f>
              <c:numCache>
                <c:formatCode>0.0%</c:formatCode>
                <c:ptCount val="5"/>
                <c:pt idx="0">
                  <c:v>1.4478913104423841E-2</c:v>
                </c:pt>
                <c:pt idx="1">
                  <c:v>4.4652967069844784E-3</c:v>
                </c:pt>
                <c:pt idx="2">
                  <c:v>7.6406798390682429E-3</c:v>
                </c:pt>
                <c:pt idx="3">
                  <c:v>1.8379099886580486E-2</c:v>
                </c:pt>
                <c:pt idx="4">
                  <c:v>-4.4963989537056825E-2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297-43B4-9682-249C2958FBBD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B2'!$O$27:$S$27</c:f>
              <c:numCache>
                <c:formatCode>0.0%</c:formatCode>
                <c:ptCount val="5"/>
                <c:pt idx="0">
                  <c:v>4.4337480798916973E-2</c:v>
                </c:pt>
                <c:pt idx="1">
                  <c:v>3.1908045398649776E-3</c:v>
                </c:pt>
                <c:pt idx="2">
                  <c:v>-1.8727063181241843E-2</c:v>
                </c:pt>
                <c:pt idx="3">
                  <c:v>1.1051354697610094E-2</c:v>
                </c:pt>
                <c:pt idx="4">
                  <c:v>-3.985257685515009E-2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297-43B4-9682-249C2958FBBD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B2'!$O$28:$S$28</c:f>
              <c:numCache>
                <c:formatCode>0.0%</c:formatCode>
                <c:ptCount val="5"/>
                <c:pt idx="0">
                  <c:v>4.6487519660474375E-2</c:v>
                </c:pt>
                <c:pt idx="1">
                  <c:v>-1.9654839931252721E-2</c:v>
                </c:pt>
                <c:pt idx="2">
                  <c:v>-3.8521380690164087E-3</c:v>
                </c:pt>
                <c:pt idx="3">
                  <c:v>2.1365202109604686E-2</c:v>
                </c:pt>
                <c:pt idx="4">
                  <c:v>-4.4345743769810153E-2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297-43B4-9682-249C2958FBBD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B2'!$O$29:$S$29</c:f>
              <c:numCache>
                <c:formatCode>0.0%</c:formatCode>
                <c:ptCount val="5"/>
                <c:pt idx="0">
                  <c:v>3.211086556008147E-2</c:v>
                </c:pt>
                <c:pt idx="1">
                  <c:v>-3.5728963010767778E-2</c:v>
                </c:pt>
                <c:pt idx="2">
                  <c:v>-1.5914013710980668E-2</c:v>
                </c:pt>
                <c:pt idx="3">
                  <c:v>1.9532111161666865E-2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297-43B4-9682-249C2958FBBD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B2'!$O$30:$S$30</c:f>
              <c:numCache>
                <c:formatCode>0.0%</c:formatCode>
                <c:ptCount val="5"/>
                <c:pt idx="0">
                  <c:v>3.2323928356273735E-2</c:v>
                </c:pt>
                <c:pt idx="1">
                  <c:v>-3.4324327681056532E-2</c:v>
                </c:pt>
                <c:pt idx="2">
                  <c:v>-4.9667649087933308E-3</c:v>
                </c:pt>
                <c:pt idx="3">
                  <c:v>6.9671642335755735E-3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297-43B4-9682-249C2958FBBD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B2'!$O$31:$S$31</c:f>
              <c:numCache>
                <c:formatCode>0.0%</c:formatCode>
                <c:ptCount val="5"/>
                <c:pt idx="0">
                  <c:v>2.4514095293124427E-2</c:v>
                </c:pt>
                <c:pt idx="1">
                  <c:v>-4.0270809177711198E-2</c:v>
                </c:pt>
                <c:pt idx="2">
                  <c:v>3.5082042675076197E-2</c:v>
                </c:pt>
                <c:pt idx="3">
                  <c:v>-1.9325328790489094E-2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297-43B4-9682-249C2958FBBD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B2'!$O$32:$S$32</c:f>
              <c:numCache>
                <c:formatCode>0.0%</c:formatCode>
                <c:ptCount val="5"/>
                <c:pt idx="0">
                  <c:v>5.1217979710114436E-2</c:v>
                </c:pt>
                <c:pt idx="1">
                  <c:v>-7.5114025918149308E-2</c:v>
                </c:pt>
                <c:pt idx="2">
                  <c:v>4.5449698345138456E-2</c:v>
                </c:pt>
                <c:pt idx="3">
                  <c:v>-2.1553652137103807E-2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297-43B4-9682-249C2958FBBD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B2'!$O$33:$S$33</c:f>
              <c:numCache>
                <c:formatCode>0.0%</c:formatCode>
                <c:ptCount val="5"/>
                <c:pt idx="0">
                  <c:v>3.035228717968641E-2</c:v>
                </c:pt>
                <c:pt idx="1">
                  <c:v>-4.0083526315269125E-2</c:v>
                </c:pt>
                <c:pt idx="2">
                  <c:v>5.5880568164661026E-2</c:v>
                </c:pt>
                <c:pt idx="3">
                  <c:v>-4.6149329029078201E-2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297-43B4-9682-249C2958FBBD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B2'!$O$34:$S$34</c:f>
              <c:numCache>
                <c:formatCode>0.0%</c:formatCode>
                <c:ptCount val="5"/>
                <c:pt idx="0">
                  <c:v>1.1939468684212251E-2</c:v>
                </c:pt>
                <c:pt idx="1">
                  <c:v>4.6810008861442487E-2</c:v>
                </c:pt>
                <c:pt idx="2">
                  <c:v>2.5111942811769872E-2</c:v>
                </c:pt>
                <c:pt idx="3">
                  <c:v>-8.3861420357424388E-2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297-43B4-9682-249C2958FBBD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B2'!$O$35:$S$35</c:f>
              <c:numCache>
                <c:formatCode>0.0%</c:formatCode>
                <c:ptCount val="5"/>
                <c:pt idx="0">
                  <c:v>-2.4156211255944138E-2</c:v>
                </c:pt>
                <c:pt idx="1">
                  <c:v>3.3870452064988621E-2</c:v>
                </c:pt>
                <c:pt idx="2">
                  <c:v>6.5022934691834289E-2</c:v>
                </c:pt>
                <c:pt idx="3">
                  <c:v>-7.4737175500879549E-2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297-43B4-9682-249C2958FBBD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B2'!$O$36:$S$36</c:f>
              <c:numCache>
                <c:formatCode>0.0%</c:formatCode>
                <c:ptCount val="5"/>
                <c:pt idx="0">
                  <c:v>-8.5317093219052786E-3</c:v>
                </c:pt>
                <c:pt idx="1">
                  <c:v>6.6607090536142E-2</c:v>
                </c:pt>
                <c:pt idx="2">
                  <c:v>8.5529216909278283E-2</c:v>
                </c:pt>
                <c:pt idx="3">
                  <c:v>-0.14360459812351478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297-43B4-9682-249C2958FBBD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B2'!$O$37:$S$37</c:f>
              <c:numCache>
                <c:formatCode>0.0%</c:formatCode>
                <c:ptCount val="5"/>
                <c:pt idx="0">
                  <c:v>6.1150391140423643E-2</c:v>
                </c:pt>
                <c:pt idx="1">
                  <c:v>0.1500261501314597</c:v>
                </c:pt>
                <c:pt idx="2">
                  <c:v>-2.2426444730082373E-2</c:v>
                </c:pt>
                <c:pt idx="3">
                  <c:v>-0.18875009654180075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297-43B4-9682-249C2958FBBD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'6 - B2'!$O$7:$S$7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B2'!$O$38:$S$38</c:f>
              <c:numCache>
                <c:formatCode>0.0%</c:formatCode>
                <c:ptCount val="5"/>
                <c:pt idx="0">
                  <c:v>0</c:v>
                </c:pt>
                <c:pt idx="1">
                  <c:v>0.27921574938321725</c:v>
                </c:pt>
                <c:pt idx="2">
                  <c:v>-3.4663584385888235E-2</c:v>
                </c:pt>
                <c:pt idx="3">
                  <c:v>-0.16226977677967269</c:v>
                </c:pt>
                <c:pt idx="4">
                  <c:v>-8.2282388217655766E-2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297-43B4-9682-249C2958F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707440"/>
        <c:axId val="694707920"/>
      </c:lineChart>
      <c:catAx>
        <c:axId val="694707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07920"/>
        <c:crosses val="autoZero"/>
        <c:auto val="1"/>
        <c:lblAlgn val="ctr"/>
        <c:lblOffset val="100"/>
        <c:noMultiLvlLbl val="0"/>
      </c:catAx>
      <c:valAx>
        <c:axId val="694707920"/>
        <c:scaling>
          <c:orientation val="minMax"/>
          <c:max val="0.30000000000000004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07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Sample Deviation from Mean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B3'!$O$8:$S$8</c:f>
              <c:numCache>
                <c:formatCode>General</c:formatCode>
                <c:ptCount val="5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C6-4DB9-A803-1275A88FB58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B3'!$O$9:$S$9</c:f>
              <c:numCache>
                <c:formatCode>0.0%</c:formatCode>
                <c:ptCount val="5"/>
                <c:pt idx="0">
                  <c:v>-9.367850555476176E-4</c:v>
                </c:pt>
                <c:pt idx="1">
                  <c:v>-1.8970566058543747E-3</c:v>
                </c:pt>
                <c:pt idx="2">
                  <c:v>-1.5617048299505498E-3</c:v>
                </c:pt>
                <c:pt idx="3">
                  <c:v>-8.0780542078811024E-3</c:v>
                </c:pt>
                <c:pt idx="4">
                  <c:v>1.2473600699234533E-2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C6-4DB9-A803-1275A88FB58D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B3'!$O$10:$S$10</c:f>
              <c:numCache>
                <c:formatCode>0.0%</c:formatCode>
                <c:ptCount val="5"/>
                <c:pt idx="0">
                  <c:v>-2.7895866685742066E-3</c:v>
                </c:pt>
                <c:pt idx="1">
                  <c:v>-1.1868854005844254E-3</c:v>
                </c:pt>
                <c:pt idx="2">
                  <c:v>-1.4263821248478026E-3</c:v>
                </c:pt>
                <c:pt idx="3">
                  <c:v>-4.8637799986240848E-3</c:v>
                </c:pt>
                <c:pt idx="4">
                  <c:v>1.0266634192630741E-2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C6-4DB9-A803-1275A88FB58D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B3'!$O$11:$S$11</c:f>
              <c:numCache>
                <c:formatCode>0.0%</c:formatCode>
                <c:ptCount val="5"/>
                <c:pt idx="0">
                  <c:v>-1.3438171023874013E-3</c:v>
                </c:pt>
                <c:pt idx="1">
                  <c:v>-2.3923241922051419E-3</c:v>
                </c:pt>
                <c:pt idx="2">
                  <c:v>-1.7425061197375857E-3</c:v>
                </c:pt>
                <c:pt idx="3">
                  <c:v>-4.5958348636617741E-3</c:v>
                </c:pt>
                <c:pt idx="4">
                  <c:v>1.0074482277991903E-2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C6-4DB9-A803-1275A88FB58D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B3'!$O$12:$S$12</c:f>
              <c:numCache>
                <c:formatCode>0.0%</c:formatCode>
                <c:ptCount val="5"/>
                <c:pt idx="0">
                  <c:v>-6.9512476066568851E-4</c:v>
                </c:pt>
                <c:pt idx="1">
                  <c:v>-1.4922123663707598E-3</c:v>
                </c:pt>
                <c:pt idx="2">
                  <c:v>-1.3990402395223089E-3</c:v>
                </c:pt>
                <c:pt idx="3">
                  <c:v>-2.8140739974437112E-3</c:v>
                </c:pt>
                <c:pt idx="4">
                  <c:v>6.4004513640014693E-3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C6-4DB9-A803-1275A88FB58D}"/>
            </c:ext>
          </c:extLst>
        </c:ser>
        <c:ser>
          <c:idx val="5"/>
          <c:order val="5"/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B3'!$O$13:$S$13</c:f>
              <c:numCache>
                <c:formatCode>0.0%</c:formatCode>
                <c:ptCount val="5"/>
                <c:pt idx="0">
                  <c:v>-1.9947289285702219E-3</c:v>
                </c:pt>
                <c:pt idx="1">
                  <c:v>-2.9398569813726683E-3</c:v>
                </c:pt>
                <c:pt idx="2">
                  <c:v>-2.8469680699676481E-3</c:v>
                </c:pt>
                <c:pt idx="3">
                  <c:v>-3.0854693138948619E-4</c:v>
                </c:pt>
                <c:pt idx="4">
                  <c:v>8.0901009112990252E-3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BC6-4DB9-A803-1275A88FB58D}"/>
            </c:ext>
          </c:extLst>
        </c:ser>
        <c:ser>
          <c:idx val="6"/>
          <c:order val="6"/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B3'!$O$14:$S$14</c:f>
              <c:numCache>
                <c:formatCode>0.0%</c:formatCode>
                <c:ptCount val="5"/>
                <c:pt idx="0">
                  <c:v>6.400817943736925E-4</c:v>
                </c:pt>
                <c:pt idx="1">
                  <c:v>-2.2384826080795728E-3</c:v>
                </c:pt>
                <c:pt idx="2">
                  <c:v>-1.865191247747422E-3</c:v>
                </c:pt>
                <c:pt idx="3">
                  <c:v>-1.1698024715985911E-3</c:v>
                </c:pt>
                <c:pt idx="4">
                  <c:v>4.6333945330523374E-3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BC6-4DB9-A803-1275A88FB58D}"/>
            </c:ext>
          </c:extLst>
        </c:ser>
        <c:ser>
          <c:idx val="7"/>
          <c:order val="7"/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B3'!$O$15:$S$15</c:f>
              <c:numCache>
                <c:formatCode>0.0%</c:formatCode>
                <c:ptCount val="5"/>
                <c:pt idx="0">
                  <c:v>5.3953357419771475E-3</c:v>
                </c:pt>
                <c:pt idx="1">
                  <c:v>-5.8296841487414097E-3</c:v>
                </c:pt>
                <c:pt idx="2">
                  <c:v>-1.2519659533281047E-3</c:v>
                </c:pt>
                <c:pt idx="3">
                  <c:v>-1.3540503558930883E-3</c:v>
                </c:pt>
                <c:pt idx="4">
                  <c:v>3.0403647159855662E-3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BC6-4DB9-A803-1275A88FB58D}"/>
            </c:ext>
          </c:extLst>
        </c:ser>
        <c:ser>
          <c:idx val="8"/>
          <c:order val="8"/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B3'!$O$16:$S$16</c:f>
              <c:numCache>
                <c:formatCode>0.0%</c:formatCode>
                <c:ptCount val="5"/>
                <c:pt idx="0">
                  <c:v>7.7319190240283664E-3</c:v>
                </c:pt>
                <c:pt idx="1">
                  <c:v>-6.4916762907416548E-3</c:v>
                </c:pt>
                <c:pt idx="2">
                  <c:v>6.9678431166320109E-4</c:v>
                </c:pt>
                <c:pt idx="3">
                  <c:v>-1.7652629995980051E-3</c:v>
                </c:pt>
                <c:pt idx="4">
                  <c:v>-1.7176404535190759E-4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BC6-4DB9-A803-1275A88FB58D}"/>
            </c:ext>
          </c:extLst>
        </c:ser>
        <c:ser>
          <c:idx val="9"/>
          <c:order val="9"/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B3'!$O$17:$S$17</c:f>
              <c:numCache>
                <c:formatCode>0.0%</c:formatCode>
                <c:ptCount val="5"/>
                <c:pt idx="0">
                  <c:v>7.0157189621107285E-3</c:v>
                </c:pt>
                <c:pt idx="1">
                  <c:v>-5.8440390890285299E-3</c:v>
                </c:pt>
                <c:pt idx="2">
                  <c:v>3.6677071759827484E-4</c:v>
                </c:pt>
                <c:pt idx="3">
                  <c:v>-7.3634864908234121E-4</c:v>
                </c:pt>
                <c:pt idx="4">
                  <c:v>-8.0210194159868742E-4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BC6-4DB9-A803-1275A88FB58D}"/>
            </c:ext>
          </c:extLst>
        </c:ser>
        <c:ser>
          <c:idx val="10"/>
          <c:order val="10"/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B3'!$O$18:$S$18</c:f>
              <c:numCache>
                <c:formatCode>0.0%</c:formatCode>
                <c:ptCount val="5"/>
                <c:pt idx="0">
                  <c:v>1.0154263670129948E-2</c:v>
                </c:pt>
                <c:pt idx="1">
                  <c:v>-3.8645854875912766E-3</c:v>
                </c:pt>
                <c:pt idx="2">
                  <c:v>-7.3039134614852896E-3</c:v>
                </c:pt>
                <c:pt idx="3">
                  <c:v>1.9323931553372198E-3</c:v>
                </c:pt>
                <c:pt idx="4">
                  <c:v>-9.1815787639115687E-4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BC6-4DB9-A803-1275A88FB58D}"/>
            </c:ext>
          </c:extLst>
        </c:ser>
        <c:ser>
          <c:idx val="11"/>
          <c:order val="11"/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B3'!$O$19:$S$19</c:f>
              <c:numCache>
                <c:formatCode>0.0%</c:formatCode>
                <c:ptCount val="5"/>
                <c:pt idx="0">
                  <c:v>4.742111659154391E-3</c:v>
                </c:pt>
                <c:pt idx="1">
                  <c:v>1.2618281655591979E-3</c:v>
                </c:pt>
                <c:pt idx="2">
                  <c:v>-7.7553272775673365E-3</c:v>
                </c:pt>
                <c:pt idx="3">
                  <c:v>-1.7032180578612222E-3</c:v>
                </c:pt>
                <c:pt idx="4">
                  <c:v>3.4546055107138596E-3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BC6-4DB9-A803-1275A88FB58D}"/>
            </c:ext>
          </c:extLst>
        </c:ser>
        <c:ser>
          <c:idx val="12"/>
          <c:order val="12"/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B3'!$O$20:$S$20</c:f>
              <c:numCache>
                <c:formatCode>0.0%</c:formatCode>
                <c:ptCount val="5"/>
                <c:pt idx="0">
                  <c:v>2.7729918838870216E-3</c:v>
                </c:pt>
                <c:pt idx="1">
                  <c:v>-2.8242522246400004E-3</c:v>
                </c:pt>
                <c:pt idx="2">
                  <c:v>-1.0575357458815438E-2</c:v>
                </c:pt>
                <c:pt idx="3">
                  <c:v>2.1632207581510077E-3</c:v>
                </c:pt>
                <c:pt idx="4">
                  <c:v>8.4633970414176307E-3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BC6-4DB9-A803-1275A88FB58D}"/>
            </c:ext>
          </c:extLst>
        </c:ser>
        <c:ser>
          <c:idx val="13"/>
          <c:order val="13"/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B3'!$O$21:$S$21</c:f>
              <c:numCache>
                <c:formatCode>0.0%</c:formatCode>
                <c:ptCount val="5"/>
                <c:pt idx="0">
                  <c:v>1.5747903827516563E-3</c:v>
                </c:pt>
                <c:pt idx="1">
                  <c:v>-6.0601664805044475E-3</c:v>
                </c:pt>
                <c:pt idx="2">
                  <c:v>-1.1556284393779093E-2</c:v>
                </c:pt>
                <c:pt idx="3">
                  <c:v>1.2481982685031978E-2</c:v>
                </c:pt>
                <c:pt idx="4">
                  <c:v>3.5596778065001278E-3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BC6-4DB9-A803-1275A88FB58D}"/>
            </c:ext>
          </c:extLst>
        </c:ser>
        <c:ser>
          <c:idx val="14"/>
          <c:order val="14"/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B3'!$O$22:$S$22</c:f>
              <c:numCache>
                <c:formatCode>0.0%</c:formatCode>
                <c:ptCount val="5"/>
                <c:pt idx="0">
                  <c:v>5.5802525403387815E-3</c:v>
                </c:pt>
                <c:pt idx="1">
                  <c:v>-7.3956939723789361E-3</c:v>
                </c:pt>
                <c:pt idx="2">
                  <c:v>-1.6548209539976821E-2</c:v>
                </c:pt>
                <c:pt idx="3">
                  <c:v>9.013063453148229E-3</c:v>
                </c:pt>
                <c:pt idx="4">
                  <c:v>9.3505875188681919E-3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BC6-4DB9-A803-1275A88FB58D}"/>
            </c:ext>
          </c:extLst>
        </c:ser>
        <c:ser>
          <c:idx val="15"/>
          <c:order val="15"/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B3'!$O$23:$S$23</c:f>
              <c:numCache>
                <c:formatCode>0.0%</c:formatCode>
                <c:ptCount val="5"/>
                <c:pt idx="0">
                  <c:v>1.1873225123082864E-2</c:v>
                </c:pt>
                <c:pt idx="1">
                  <c:v>-8.2721385574817674E-3</c:v>
                </c:pt>
                <c:pt idx="2">
                  <c:v>-1.2701182678674927E-2</c:v>
                </c:pt>
                <c:pt idx="3">
                  <c:v>4.6511447220973778E-3</c:v>
                </c:pt>
                <c:pt idx="4">
                  <c:v>4.4489513909760081E-3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BC6-4DB9-A803-1275A88FB58D}"/>
            </c:ext>
          </c:extLst>
        </c:ser>
        <c:ser>
          <c:idx val="16"/>
          <c:order val="16"/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B3'!$O$24:$S$24</c:f>
              <c:numCache>
                <c:formatCode>0.0%</c:formatCode>
                <c:ptCount val="5"/>
                <c:pt idx="0">
                  <c:v>2.204789459983858E-2</c:v>
                </c:pt>
                <c:pt idx="1">
                  <c:v>-1.3541714045507636E-2</c:v>
                </c:pt>
                <c:pt idx="2">
                  <c:v>-1.7932178249779662E-2</c:v>
                </c:pt>
                <c:pt idx="3">
                  <c:v>-1.1246278345635741E-3</c:v>
                </c:pt>
                <c:pt idx="4">
                  <c:v>1.055062553001318E-2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BC6-4DB9-A803-1275A88FB58D}"/>
            </c:ext>
          </c:extLst>
        </c:ser>
        <c:ser>
          <c:idx val="17"/>
          <c:order val="17"/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B3'!$O$25:$S$25</c:f>
              <c:numCache>
                <c:formatCode>0.0%</c:formatCode>
                <c:ptCount val="5"/>
                <c:pt idx="0">
                  <c:v>3.5152604053174885E-2</c:v>
                </c:pt>
                <c:pt idx="1">
                  <c:v>-2.5912413749111018E-2</c:v>
                </c:pt>
                <c:pt idx="2">
                  <c:v>-1.0206685425196649E-2</c:v>
                </c:pt>
                <c:pt idx="3">
                  <c:v>4.7297376123260904E-3</c:v>
                </c:pt>
                <c:pt idx="4">
                  <c:v>-3.7632424911931972E-3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BC6-4DB9-A803-1275A88FB58D}"/>
            </c:ext>
          </c:extLst>
        </c:ser>
        <c:ser>
          <c:idx val="18"/>
          <c:order val="18"/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B3'!$O$26:$S$26</c:f>
              <c:numCache>
                <c:formatCode>0.0%</c:formatCode>
                <c:ptCount val="5"/>
                <c:pt idx="0">
                  <c:v>1.8897393606034818E-2</c:v>
                </c:pt>
                <c:pt idx="1">
                  <c:v>-7.7681444099673147E-3</c:v>
                </c:pt>
                <c:pt idx="2">
                  <c:v>-1.7812846742760513E-2</c:v>
                </c:pt>
                <c:pt idx="3">
                  <c:v>1.0735017402899727E-2</c:v>
                </c:pt>
                <c:pt idx="4">
                  <c:v>-4.0514198562068282E-3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BC6-4DB9-A803-1275A88FB58D}"/>
            </c:ext>
          </c:extLst>
        </c:ser>
        <c:ser>
          <c:idx val="19"/>
          <c:order val="19"/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B3'!$O$27:$S$27</c:f>
              <c:numCache>
                <c:formatCode>0.0%</c:formatCode>
                <c:ptCount val="5"/>
                <c:pt idx="0">
                  <c:v>2.0782036692610584E-2</c:v>
                </c:pt>
                <c:pt idx="1">
                  <c:v>-1.5257179063341564E-2</c:v>
                </c:pt>
                <c:pt idx="2">
                  <c:v>-2.2574236629986033E-2</c:v>
                </c:pt>
                <c:pt idx="3">
                  <c:v>1.6957391221948059E-2</c:v>
                </c:pt>
                <c:pt idx="4">
                  <c:v>9.1987778769286876E-5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BC6-4DB9-A803-1275A88FB58D}"/>
            </c:ext>
          </c:extLst>
        </c:ser>
        <c:ser>
          <c:idx val="20"/>
          <c:order val="20"/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B3'!$O$28:$S$28</c:f>
              <c:numCache>
                <c:formatCode>0.0%</c:formatCode>
                <c:ptCount val="5"/>
                <c:pt idx="0">
                  <c:v>1.6317430418824497E-2</c:v>
                </c:pt>
                <c:pt idx="1">
                  <c:v>-1.0406454060617465E-2</c:v>
                </c:pt>
                <c:pt idx="2">
                  <c:v>9.9061296325306802E-3</c:v>
                </c:pt>
                <c:pt idx="3">
                  <c:v>9.0801461415148665E-3</c:v>
                </c:pt>
                <c:pt idx="4">
                  <c:v>-2.4897252132253245E-2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BBC6-4DB9-A803-1275A88FB58D}"/>
            </c:ext>
          </c:extLst>
        </c:ser>
        <c:ser>
          <c:idx val="21"/>
          <c:order val="21"/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</a:schemeClr>
              </a:solidFill>
              <a:ln w="9525">
                <a:solidFill>
                  <a:schemeClr val="accent4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B3'!$O$29:$S$29</c:f>
              <c:numCache>
                <c:formatCode>0.0%</c:formatCode>
                <c:ptCount val="5"/>
                <c:pt idx="0">
                  <c:v>1.1027601515382068E-2</c:v>
                </c:pt>
                <c:pt idx="1">
                  <c:v>-5.4764214725028237E-3</c:v>
                </c:pt>
                <c:pt idx="2">
                  <c:v>3.4071285014349639E-2</c:v>
                </c:pt>
                <c:pt idx="3">
                  <c:v>-5.6091717577442246E-3</c:v>
                </c:pt>
                <c:pt idx="4">
                  <c:v>-3.4013293299484437E-2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BBC6-4DB9-A803-1275A88FB58D}"/>
            </c:ext>
          </c:extLst>
        </c:ser>
        <c:ser>
          <c:idx val="22"/>
          <c:order val="22"/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</a:schemeClr>
              </a:solidFill>
              <a:ln w="9525">
                <a:solidFill>
                  <a:schemeClr val="accent5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B3'!$O$30:$S$30</c:f>
              <c:numCache>
                <c:formatCode>0.0%</c:formatCode>
                <c:ptCount val="5"/>
                <c:pt idx="0">
                  <c:v>4.9702996846396674E-2</c:v>
                </c:pt>
                <c:pt idx="1">
                  <c:v>-2.8997986322948366E-3</c:v>
                </c:pt>
                <c:pt idx="2">
                  <c:v>1.8134035601499177E-2</c:v>
                </c:pt>
                <c:pt idx="3">
                  <c:v>-2.8829627640725608E-2</c:v>
                </c:pt>
                <c:pt idx="4">
                  <c:v>-3.6107606174875739E-2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BBC6-4DB9-A803-1275A88FB58D}"/>
            </c:ext>
          </c:extLst>
        </c:ser>
        <c:ser>
          <c:idx val="23"/>
          <c:order val="23"/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</a:schemeClr>
              </a:solidFill>
              <a:ln w="9525">
                <a:solidFill>
                  <a:schemeClr val="accent6">
                    <a:lumMod val="8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B3'!$O$31:$S$31</c:f>
              <c:numCache>
                <c:formatCode>0.0%</c:formatCode>
                <c:ptCount val="5"/>
                <c:pt idx="0">
                  <c:v>0</c:v>
                </c:pt>
                <c:pt idx="1">
                  <c:v>2.7202786623258257E-2</c:v>
                </c:pt>
                <c:pt idx="2">
                  <c:v>2.251731987788852E-2</c:v>
                </c:pt>
                <c:pt idx="3">
                  <c:v>-6.7472040934000166E-3</c:v>
                </c:pt>
                <c:pt idx="4">
                  <c:v>-4.2972902407746205E-2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BBC6-4DB9-A803-1275A88FB58D}"/>
            </c:ext>
          </c:extLst>
        </c:ser>
        <c:ser>
          <c:idx val="24"/>
          <c:order val="24"/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  <a:lumOff val="40000"/>
                </a:schemeClr>
              </a:solidFill>
              <a:ln w="9525">
                <a:solidFill>
                  <a:schemeClr val="accent1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B3'!$O$32:$S$32</c:f>
              <c:numCache>
                <c:formatCode>0.0%</c:formatCode>
                <c:ptCount val="5"/>
                <c:pt idx="0">
                  <c:v>1.1899660565475534E-2</c:v>
                </c:pt>
                <c:pt idx="1">
                  <c:v>2.7769756149657487E-2</c:v>
                </c:pt>
                <c:pt idx="2">
                  <c:v>-2.8999843047348151E-3</c:v>
                </c:pt>
                <c:pt idx="3">
                  <c:v>-3.6769432410398095E-2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BBC6-4DB9-A803-1275A88FB58D}"/>
            </c:ext>
          </c:extLst>
        </c:ser>
        <c:ser>
          <c:idx val="25"/>
          <c:order val="25"/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B3'!$O$33:$S$33</c:f>
              <c:numCache>
                <c:formatCode>0.0%</c:formatCode>
                <c:ptCount val="5"/>
                <c:pt idx="0">
                  <c:v>-1.7819244645685961E-2</c:v>
                </c:pt>
                <c:pt idx="1">
                  <c:v>3.9328801445819295E-2</c:v>
                </c:pt>
                <c:pt idx="2">
                  <c:v>1.7729770077476115E-2</c:v>
                </c:pt>
                <c:pt idx="3">
                  <c:v>-3.9239326877609337E-2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BBC6-4DB9-A803-1275A88FB58D}"/>
            </c:ext>
          </c:extLst>
        </c:ser>
        <c:ser>
          <c:idx val="26"/>
          <c:order val="26"/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  <a:lumOff val="40000"/>
                </a:schemeClr>
              </a:solidFill>
              <a:ln w="9525">
                <a:solidFill>
                  <a:schemeClr val="accent3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B3'!$O$34:$S$34</c:f>
              <c:numCache>
                <c:formatCode>0.0%</c:formatCode>
                <c:ptCount val="5"/>
                <c:pt idx="0">
                  <c:v>3.2049986908865957E-2</c:v>
                </c:pt>
                <c:pt idx="1">
                  <c:v>4.7634869498994759E-2</c:v>
                </c:pt>
                <c:pt idx="2">
                  <c:v>0</c:v>
                </c:pt>
                <c:pt idx="3">
                  <c:v>-3.2205639873640335E-2</c:v>
                </c:pt>
                <c:pt idx="4">
                  <c:v>-4.7479216534220603E-2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BBC6-4DB9-A803-1275A88FB58D}"/>
            </c:ext>
          </c:extLst>
        </c:ser>
        <c:ser>
          <c:idx val="27"/>
          <c:order val="27"/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4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B3'!$O$35:$S$35</c:f>
              <c:numCache>
                <c:formatCode>0.0%</c:formatCode>
                <c:ptCount val="5"/>
                <c:pt idx="0">
                  <c:v>0</c:v>
                </c:pt>
                <c:pt idx="1">
                  <c:v>6.9756172550082596E-2</c:v>
                </c:pt>
                <c:pt idx="2">
                  <c:v>8.1699216520181306E-3</c:v>
                </c:pt>
                <c:pt idx="3">
                  <c:v>-3.9874562472315134E-2</c:v>
                </c:pt>
                <c:pt idx="4">
                  <c:v>-3.8051531729785149E-2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BBC6-4DB9-A803-1275A88FB58D}"/>
            </c:ext>
          </c:extLst>
        </c:ser>
        <c:ser>
          <c:idx val="28"/>
          <c:order val="28"/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B3'!$O$36:$S$36</c:f>
              <c:numCache>
                <c:formatCode>0.0%</c:formatCode>
                <c:ptCount val="5"/>
                <c:pt idx="0">
                  <c:v>0.10659168085423532</c:v>
                </c:pt>
                <c:pt idx="1">
                  <c:v>4.3938601649347708E-2</c:v>
                </c:pt>
                <c:pt idx="2">
                  <c:v>-7.8351762235158051E-2</c:v>
                </c:pt>
                <c:pt idx="3">
                  <c:v>-7.2178520268424529E-2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BBC6-4DB9-A803-1275A88FB58D}"/>
            </c:ext>
          </c:extLst>
        </c:ser>
        <c:ser>
          <c:idx val="29"/>
          <c:order val="29"/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solidFill>
                  <a:schemeClr val="accent6">
                    <a:lumMod val="60000"/>
                    <a:lumOff val="4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B3'!$O$37:$S$37</c:f>
              <c:numCache>
                <c:formatCode>0.0%</c:formatCode>
                <c:ptCount val="5"/>
                <c:pt idx="0">
                  <c:v>0</c:v>
                </c:pt>
                <c:pt idx="1">
                  <c:v>0.18021854859834963</c:v>
                </c:pt>
                <c:pt idx="2">
                  <c:v>-7.01461018932239E-2</c:v>
                </c:pt>
                <c:pt idx="3">
                  <c:v>-7.5618799948492188E-2</c:v>
                </c:pt>
                <c:pt idx="4">
                  <c:v>-3.4453646756633316E-2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BBC6-4DB9-A803-1275A88FB58D}"/>
            </c:ext>
          </c:extLst>
        </c:ser>
        <c:ser>
          <c:idx val="30"/>
          <c:order val="30"/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50000"/>
                </a:schemeClr>
              </a:solidFill>
              <a:ln w="9525">
                <a:solidFill>
                  <a:schemeClr val="accent1">
                    <a:lumMod val="50000"/>
                  </a:schemeClr>
                </a:solidFill>
              </a:ln>
              <a:effectLst/>
            </c:spPr>
          </c:marker>
          <c:cat>
            <c:strRef>
              <c:f>'6 - B3'!$O$7:$S$7</c:f>
              <c:strCache>
                <c:ptCount val="5"/>
                <c:pt idx="0">
                  <c:v>Portion 1</c:v>
                </c:pt>
                <c:pt idx="1">
                  <c:v>Portion 2</c:v>
                </c:pt>
                <c:pt idx="2">
                  <c:v>Portion 3</c:v>
                </c:pt>
                <c:pt idx="3">
                  <c:v>Portion 4</c:v>
                </c:pt>
                <c:pt idx="4">
                  <c:v>Portion 5</c:v>
                </c:pt>
              </c:strCache>
            </c:strRef>
          </c:cat>
          <c:val>
            <c:numRef>
              <c:f>'6 - B3'!$O$38:$S$38</c:f>
              <c:numCache>
                <c:formatCode>0.0%</c:formatCode>
                <c:ptCount val="5"/>
                <c:pt idx="0">
                  <c:v>0</c:v>
                </c:pt>
                <c:pt idx="1">
                  <c:v>0.28022741215006297</c:v>
                </c:pt>
                <c:pt idx="2">
                  <c:v>-4.9602729750338859E-2</c:v>
                </c:pt>
                <c:pt idx="3">
                  <c:v>-0.11615148623618754</c:v>
                </c:pt>
                <c:pt idx="4">
                  <c:v>-0.11447319616353657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BBC6-4DB9-A803-1275A88FB5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94740080"/>
        <c:axId val="694744880"/>
      </c:lineChart>
      <c:catAx>
        <c:axId val="69474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44880"/>
        <c:crosses val="autoZero"/>
        <c:auto val="1"/>
        <c:lblAlgn val="ctr"/>
        <c:lblOffset val="100"/>
        <c:noMultiLvlLbl val="0"/>
      </c:catAx>
      <c:valAx>
        <c:axId val="694744880"/>
        <c:scaling>
          <c:orientation val="minMax"/>
          <c:max val="0.30000000000000004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74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4400">
              <a:solidFill>
                <a:srgbClr val="004586"/>
              </a:solidFill>
              <a:round/>
            </a:ln>
          </c:spPr>
          <c:marker>
            <c:symbol val="square"/>
            <c:size val="3"/>
            <c:spPr>
              <a:solidFill>
                <a:srgbClr val="004586"/>
              </a:solidFill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wrap="none"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'6 - Curve'!$C$5:$C$34</c:f>
              <c:numCache>
                <c:formatCode>General</c:formatCode>
                <c:ptCount val="30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  <c:pt idx="23">
                  <c:v>27</c:v>
                </c:pt>
                <c:pt idx="24">
                  <c:v>28</c:v>
                </c:pt>
                <c:pt idx="25">
                  <c:v>29</c:v>
                </c:pt>
                <c:pt idx="26">
                  <c:v>30</c:v>
                </c:pt>
                <c:pt idx="27">
                  <c:v>38</c:v>
                </c:pt>
                <c:pt idx="28">
                  <c:v>50</c:v>
                </c:pt>
                <c:pt idx="29">
                  <c:v>70</c:v>
                </c:pt>
              </c:numCache>
            </c:numRef>
          </c:xVal>
          <c:yVal>
            <c:numRef>
              <c:f>'6 - Curve'!$D$5:$D$34</c:f>
              <c:numCache>
                <c:formatCode>0</c:formatCode>
                <c:ptCount val="30"/>
                <c:pt idx="0">
                  <c:v>81.974406837954916</c:v>
                </c:pt>
                <c:pt idx="1">
                  <c:v>130.48858048000619</c:v>
                </c:pt>
                <c:pt idx="2">
                  <c:v>192.79839297874128</c:v>
                </c:pt>
                <c:pt idx="3">
                  <c:v>258.15181628169773</c:v>
                </c:pt>
                <c:pt idx="4">
                  <c:v>337.64384883082914</c:v>
                </c:pt>
                <c:pt idx="5">
                  <c:v>431.02464472942893</c:v>
                </c:pt>
                <c:pt idx="6">
                  <c:v>530.31282340835401</c:v>
                </c:pt>
                <c:pt idx="7">
                  <c:v>643.88345722131919</c:v>
                </c:pt>
                <c:pt idx="8">
                  <c:v>771.2485548703321</c:v>
                </c:pt>
                <c:pt idx="9">
                  <c:v>903.33778272674078</c:v>
                </c:pt>
                <c:pt idx="10">
                  <c:v>1037.7679846444257</c:v>
                </c:pt>
                <c:pt idx="11">
                  <c:v>1181.7448346982899</c:v>
                </c:pt>
                <c:pt idx="12">
                  <c:v>1330.9415214375022</c:v>
                </c:pt>
                <c:pt idx="13">
                  <c:v>1483.9512553062564</c:v>
                </c:pt>
                <c:pt idx="14">
                  <c:v>1637.4313975213165</c:v>
                </c:pt>
                <c:pt idx="15">
                  <c:v>1792.7156842382315</c:v>
                </c:pt>
                <c:pt idx="16">
                  <c:v>1965.651890004141</c:v>
                </c:pt>
                <c:pt idx="17">
                  <c:v>2173.8237870578914</c:v>
                </c:pt>
                <c:pt idx="18">
                  <c:v>2407.6264844036577</c:v>
                </c:pt>
                <c:pt idx="19">
                  <c:v>2675.5147675837366</c:v>
                </c:pt>
                <c:pt idx="20">
                  <c:v>2964.4579147087752</c:v>
                </c:pt>
                <c:pt idx="21">
                  <c:v>3282.4255366327325</c:v>
                </c:pt>
                <c:pt idx="22">
                  <c:v>3633.3294209823334</c:v>
                </c:pt>
                <c:pt idx="23">
                  <c:v>3990.2560553221019</c:v>
                </c:pt>
                <c:pt idx="24">
                  <c:v>4344.8092091424078</c:v>
                </c:pt>
                <c:pt idx="25">
                  <c:v>4691.1764987482547</c:v>
                </c:pt>
                <c:pt idx="26">
                  <c:v>5112.5373890771189</c:v>
                </c:pt>
                <c:pt idx="27">
                  <c:v>10057.660312083664</c:v>
                </c:pt>
                <c:pt idx="28">
                  <c:v>16045.385258941113</c:v>
                </c:pt>
                <c:pt idx="29">
                  <c:v>24583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F6-4963-BC5B-EA0E3B84A0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62"/>
        <c:axId val="88998170"/>
      </c:scatterChart>
      <c:valAx>
        <c:axId val="2990862"/>
        <c:scaling>
          <c:orientation val="minMax"/>
        </c:scaling>
        <c:delete val="0"/>
        <c:axPos val="b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um(c)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88998170"/>
        <c:crosses val="autoZero"/>
        <c:crossBetween val="between"/>
      </c:valAx>
      <c:valAx>
        <c:axId val="88998170"/>
        <c:scaling>
          <c:logBase val="10"/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minorGridlines>
          <c:spPr>
            <a:ln w="0"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sz="900" b="0" strike="noStrike" spc="-1">
                    <a:latin typeface="Arial"/>
                  </a:defRPr>
                </a:pPr>
                <a:r>
                  <a:rPr lang="en-GB" sz="900" b="0" strike="noStrike" spc="-1">
                    <a:latin typeface="Arial"/>
                  </a:rPr>
                  <a:t>Threshold</a:t>
                </a:r>
              </a:p>
            </c:rich>
          </c:tx>
          <c:overlay val="0"/>
          <c:spPr>
            <a:noFill/>
            <a:ln w="0">
              <a:noFill/>
            </a:ln>
          </c:spPr>
        </c:title>
        <c:numFmt formatCode="General" sourceLinked="0"/>
        <c:majorTickMark val="out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sz="1000" b="0" strike="noStrike" spc="-1">
                <a:latin typeface="Arial"/>
              </a:defRPr>
            </a:pPr>
            <a:endParaRPr lang="en-US"/>
          </a:p>
        </c:txPr>
        <c:crossAx val="2990862"/>
        <c:crosses val="autoZero"/>
        <c:crossBetween val="between"/>
      </c:valAx>
      <c:spPr>
        <a:noFill/>
        <a:ln w="0">
          <a:solidFill>
            <a:srgbClr val="B3B3B3"/>
          </a:solidFill>
        </a:ln>
      </c:spPr>
    </c:plotArea>
    <c:plotVisOnly val="1"/>
    <c:dispBlanksAs val="span"/>
    <c:showDLblsOverMax val="1"/>
  </c:chart>
  <c:spPr>
    <a:solidFill>
      <a:srgbClr val="FFFFFF"/>
    </a:solidFill>
    <a:ln w="0"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568185</xdr:colOff>
      <xdr:row>70</xdr:row>
      <xdr:rowOff>136045</xdr:rowOff>
    </xdr:from>
    <xdr:to>
      <xdr:col>29</xdr:col>
      <xdr:colOff>555225</xdr:colOff>
      <xdr:row>78</xdr:row>
      <xdr:rowOff>90377</xdr:rowOff>
    </xdr:to>
    <xdr:sp macro="" textlink="">
      <xdr:nvSpPr>
        <xdr:cNvPr id="2" name="Text Frame 1">
          <a:extLst>
            <a:ext uri="{FF2B5EF4-FFF2-40B4-BE49-F238E27FC236}">
              <a16:creationId xmlns:a16="http://schemas.microsoft.com/office/drawing/2014/main" id="{1396723B-533A-4FFD-99B0-0DB6F39B54C1}"/>
            </a:ext>
          </a:extLst>
        </xdr:cNvPr>
        <xdr:cNvSpPr txBox="1"/>
      </xdr:nvSpPr>
      <xdr:spPr>
        <a:xfrm>
          <a:off x="16284435" y="12333828"/>
          <a:ext cx="8226165" cy="1326951"/>
        </a:xfrm>
        <a:prstGeom prst="rect">
          <a:avLst/>
        </a:prstGeom>
        <a:noFill/>
        <a:ln w="0">
          <a:noFill/>
        </a:ln>
      </xdr:spPr>
      <xdr:txBody>
        <a:bodyPr lIns="0" tIns="0" rIns="0" bIns="0" anchor="t">
          <a:noAutofit/>
        </a:bodyPr>
        <a:lstStyle/>
        <a:p>
          <a:r>
            <a:rPr lang="en-GB" sz="1200" b="0" strike="noStrike" spc="-1">
              <a:latin typeface="Times New Roman"/>
            </a:rPr>
            <a:t>Export into temportary CSV file 15 results from LPA-View, consisting of 3x bottles 5 portion samples. Exclude the portion 0 averages.</a:t>
          </a:r>
        </a:p>
        <a:p>
          <a:endParaRPr lang="en-GB" sz="1200" b="0" strike="noStrike" spc="-1">
            <a:latin typeface="Times New Roman"/>
          </a:endParaRPr>
        </a:p>
        <a:p>
          <a:r>
            <a:rPr lang="en-GB" sz="1200" b="0" strike="noStrike" spc="-1">
              <a:latin typeface="Times New Roman"/>
            </a:rPr>
            <a:t>Autofilter, sort by ascending date.</a:t>
          </a:r>
        </a:p>
        <a:p>
          <a:r>
            <a:rPr lang="en-GB" sz="1200" b="0" strike="noStrike" spc="-1">
              <a:latin typeface="Times New Roman"/>
            </a:rPr>
            <a:t>Copy / special paste the data block into this page below, ensuring appears in correct slots</a:t>
          </a:r>
        </a:p>
        <a:p>
          <a:r>
            <a:rPr lang="en-GB" sz="1200" b="0" strike="noStrike" spc="-1">
              <a:latin typeface="Times New Roman"/>
            </a:rPr>
            <a:t>Bottle 2 and 3 pages should be linked to correct regions of pasted data block.</a:t>
          </a:r>
        </a:p>
        <a:p>
          <a:r>
            <a:rPr lang="en-GB" sz="1200" b="0" strike="noStrike" spc="-1">
              <a:latin typeface="Times New Roman"/>
            </a:rPr>
            <a:t>Data quality evalution tables should pick up correct regions of pasted data block</a:t>
          </a:r>
        </a:p>
        <a:p>
          <a:r>
            <a:rPr lang="en-GB" sz="1200" b="0" strike="noStrike" spc="-1">
              <a:latin typeface="Times New Roman"/>
            </a:rPr>
            <a:t>If needed, on each bottle page can delete one indivual portion result per size line in order tp meet data quality requirements</a:t>
          </a:r>
        </a:p>
      </xdr:txBody>
    </xdr:sp>
    <xdr:clientData/>
  </xdr:twoCellAnchor>
  <xdr:twoCellAnchor>
    <xdr:from>
      <xdr:col>18</xdr:col>
      <xdr:colOff>439830</xdr:colOff>
      <xdr:row>1</xdr:row>
      <xdr:rowOff>208908</xdr:rowOff>
    </xdr:from>
    <xdr:to>
      <xdr:col>30</xdr:col>
      <xdr:colOff>397808</xdr:colOff>
      <xdr:row>62</xdr:row>
      <xdr:rowOff>34017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8AC87C-305B-41D2-BC8C-69946CE732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452436</xdr:colOff>
      <xdr:row>1</xdr:row>
      <xdr:rowOff>496661</xdr:rowOff>
    </xdr:from>
    <xdr:to>
      <xdr:col>29</xdr:col>
      <xdr:colOff>251731</xdr:colOff>
      <xdr:row>67</xdr:row>
      <xdr:rowOff>20411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2571181-4161-4FF3-821D-E3ADEAE01A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248330</xdr:colOff>
      <xdr:row>1</xdr:row>
      <xdr:rowOff>274862</xdr:rowOff>
    </xdr:from>
    <xdr:to>
      <xdr:col>30</xdr:col>
      <xdr:colOff>142875</xdr:colOff>
      <xdr:row>66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4051337-C623-4342-A74E-FD48B50F78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291352</xdr:colOff>
      <xdr:row>3</xdr:row>
      <xdr:rowOff>22411</xdr:rowOff>
    </xdr:from>
    <xdr:to>
      <xdr:col>23</xdr:col>
      <xdr:colOff>487455</xdr:colOff>
      <xdr:row>49</xdr:row>
      <xdr:rowOff>128868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5EB75E2-DF06-4D6F-A4AF-F0BCDBEF2AA3}"/>
            </a:ext>
          </a:extLst>
        </xdr:cNvPr>
        <xdr:cNvSpPr txBox="1"/>
      </xdr:nvSpPr>
      <xdr:spPr>
        <a:xfrm>
          <a:off x="15507540" y="522474"/>
          <a:ext cx="5139578" cy="762644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Procedure</a:t>
          </a:r>
        </a:p>
        <a:p>
          <a:endParaRPr lang="en-GB" sz="1100"/>
        </a:p>
        <a:p>
          <a:r>
            <a:rPr lang="en-GB" sz="1100"/>
            <a:t>Use the calculators to make concentrate if needed.</a:t>
          </a:r>
        </a:p>
        <a:p>
          <a:endParaRPr lang="en-GB" sz="1100"/>
        </a:p>
        <a:p>
          <a:r>
            <a:rPr lang="en-GB" sz="1100"/>
            <a:t>Or to calculate dilutions and record dilutions. Aim</a:t>
          </a:r>
          <a:r>
            <a:rPr lang="en-GB" sz="1100" baseline="0"/>
            <a:t> for a few hundred spheres / ml final concentration.</a:t>
          </a:r>
        </a:p>
        <a:p>
          <a:endParaRPr lang="en-GB" sz="1100" baseline="0"/>
        </a:p>
        <a:p>
          <a:r>
            <a:rPr lang="en-GB" sz="1100" baseline="0"/>
            <a:t>Run 3 bottles of clean fluid through unit using manual flush.</a:t>
          </a:r>
        </a:p>
        <a:p>
          <a:endParaRPr lang="en-GB" sz="1100" baseline="0"/>
        </a:p>
        <a:p>
          <a:r>
            <a:rPr lang="en-GB" sz="1100"/>
            <a:t>Acquire</a:t>
          </a:r>
          <a:r>
            <a:rPr lang="en-GB" sz="1100" baseline="0"/>
            <a:t> a test result, thresholds can be arbitrary at this point.</a:t>
          </a:r>
        </a:p>
        <a:p>
          <a:endParaRPr lang="en-GB" sz="1100" baseline="0"/>
        </a:p>
        <a:p>
          <a:r>
            <a:rPr lang="en-GB" sz="1100" baseline="0"/>
            <a:t>Press appropriate button in system settings</a:t>
          </a:r>
        </a:p>
        <a:p>
          <a:endParaRPr lang="en-GB" sz="1100" baseline="0"/>
        </a:p>
        <a:p>
          <a:r>
            <a:rPr lang="en-GB" sz="1100" baseline="0"/>
            <a:t>Record threshold obtained against sphere size</a:t>
          </a:r>
        </a:p>
        <a:p>
          <a:r>
            <a:rPr lang="en-GB" sz="1100" baseline="0"/>
            <a:t>in this worksheet. Also serial number and date.</a:t>
          </a:r>
        </a:p>
        <a:p>
          <a:endParaRPr lang="en-GB" sz="1100"/>
        </a:p>
        <a:p>
          <a:endParaRPr lang="en-GB" sz="1100"/>
        </a:p>
        <a:p>
          <a:endParaRPr lang="en-GB" sz="1100"/>
        </a:p>
      </xdr:txBody>
    </xdr:sp>
    <xdr:clientData/>
  </xdr:twoCellAnchor>
  <xdr:twoCellAnchor editAs="oneCell">
    <xdr:from>
      <xdr:col>21</xdr:col>
      <xdr:colOff>76199</xdr:colOff>
      <xdr:row>14</xdr:row>
      <xdr:rowOff>10581</xdr:rowOff>
    </xdr:from>
    <xdr:to>
      <xdr:col>22</xdr:col>
      <xdr:colOff>263181</xdr:colOff>
      <xdr:row>17</xdr:row>
      <xdr:rowOff>32141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FD6FD8A-4935-5B43-51B1-909E13F4FE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588037" y="2344206"/>
          <a:ext cx="1010894" cy="51209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732157</xdr:colOff>
      <xdr:row>1</xdr:row>
      <xdr:rowOff>131307</xdr:rowOff>
    </xdr:from>
    <xdr:to>
      <xdr:col>13</xdr:col>
      <xdr:colOff>722076</xdr:colOff>
      <xdr:row>18</xdr:row>
      <xdr:rowOff>210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E80EEA8-6592-430A-B70C-3CAC7D8F5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48095-E982-4EC7-9B34-26CA7F285F7D}">
  <sheetPr codeName="Sheet4"/>
  <dimension ref="A1:AMJ128"/>
  <sheetViews>
    <sheetView zoomScale="70" zoomScaleNormal="70" workbookViewId="0">
      <selection activeCell="B11" sqref="B11"/>
    </sheetView>
  </sheetViews>
  <sheetFormatPr defaultColWidth="11.53125" defaultRowHeight="12.75" x14ac:dyDescent="0.35"/>
  <cols>
    <col min="1" max="1" width="22.9296875" customWidth="1"/>
    <col min="2" max="2" width="17.1328125" customWidth="1"/>
  </cols>
  <sheetData>
    <row r="1" spans="1:1024" ht="67.150000000000006" customHeight="1" thickBot="1" x14ac:dyDescent="0.4">
      <c r="A1" s="1" t="s">
        <v>0</v>
      </c>
      <c r="B1" s="2"/>
      <c r="C1" s="3"/>
      <c r="D1" s="3"/>
      <c r="E1" s="3"/>
      <c r="F1" s="3"/>
      <c r="G1" s="3"/>
      <c r="H1" s="2"/>
      <c r="I1" s="2"/>
      <c r="J1" s="2"/>
      <c r="K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</row>
    <row r="2" spans="1:1024" ht="19.149999999999999" thickBot="1" x14ac:dyDescent="0.55000000000000004">
      <c r="A2" s="124" t="s">
        <v>177</v>
      </c>
      <c r="F2" s="124" t="s">
        <v>1</v>
      </c>
      <c r="L2" s="125" t="s">
        <v>176</v>
      </c>
      <c r="M2" s="4"/>
      <c r="N2" s="4"/>
      <c r="O2" s="4"/>
      <c r="P2" s="4" t="s">
        <v>2</v>
      </c>
      <c r="Q2" s="126">
        <v>0.3</v>
      </c>
      <c r="R2" s="5" t="s">
        <v>3</v>
      </c>
    </row>
    <row r="3" spans="1:1024" ht="16.149999999999999" thickTop="1" x14ac:dyDescent="0.5">
      <c r="A3" s="6" t="s">
        <v>4</v>
      </c>
      <c r="B3" s="108" t="s">
        <v>188</v>
      </c>
      <c r="C3" s="7"/>
      <c r="E3" s="8" t="s">
        <v>5</v>
      </c>
      <c r="F3" s="108">
        <v>1</v>
      </c>
      <c r="G3" s="9"/>
      <c r="H3" s="9"/>
      <c r="L3" s="10" t="s">
        <v>6</v>
      </c>
      <c r="M3" s="11"/>
      <c r="N3" s="11"/>
      <c r="O3" s="11"/>
      <c r="P3" s="108">
        <v>1</v>
      </c>
      <c r="Q3" s="108">
        <v>50</v>
      </c>
      <c r="R3" s="12" t="s">
        <v>7</v>
      </c>
    </row>
    <row r="4" spans="1:1024" ht="13.15" x14ac:dyDescent="0.4">
      <c r="A4" s="7" t="s">
        <v>8</v>
      </c>
      <c r="B4" s="139">
        <v>46181</v>
      </c>
      <c r="C4" s="7"/>
      <c r="E4" s="8" t="s">
        <v>9</v>
      </c>
      <c r="F4" s="9">
        <v>0.86799999999999999</v>
      </c>
      <c r="G4" s="9"/>
      <c r="H4" s="9"/>
      <c r="L4" s="13" t="s">
        <v>10</v>
      </c>
      <c r="M4" s="14" t="s">
        <v>11</v>
      </c>
      <c r="N4" s="14" t="s">
        <v>12</v>
      </c>
      <c r="O4" s="14" t="s">
        <v>13</v>
      </c>
      <c r="P4" s="14" t="s">
        <v>14</v>
      </c>
      <c r="Q4" s="14" t="s">
        <v>15</v>
      </c>
      <c r="R4" s="12"/>
    </row>
    <row r="5" spans="1:1024" ht="13.15" x14ac:dyDescent="0.4">
      <c r="A5" s="7" t="s">
        <v>16</v>
      </c>
      <c r="B5" s="108" t="s">
        <v>17</v>
      </c>
      <c r="C5" s="7"/>
      <c r="L5" s="15">
        <v>1.5</v>
      </c>
      <c r="M5" s="16">
        <v>67392.070000000007</v>
      </c>
      <c r="N5" s="16"/>
      <c r="O5" s="16">
        <v>67392.070000000007</v>
      </c>
      <c r="P5" s="16">
        <f>O5*P$3</f>
        <v>67392.070000000007</v>
      </c>
      <c r="Q5" s="16">
        <f>P5*Q$2*Q$3</f>
        <v>1010881.0500000002</v>
      </c>
      <c r="R5" s="12"/>
    </row>
    <row r="6" spans="1:1024" ht="13.15" x14ac:dyDescent="0.4">
      <c r="A6" s="7" t="s">
        <v>18</v>
      </c>
      <c r="B6" s="108" t="s">
        <v>190</v>
      </c>
      <c r="C6" s="17"/>
      <c r="E6" s="11" t="s">
        <v>19</v>
      </c>
      <c r="F6" s="14" t="s">
        <v>20</v>
      </c>
      <c r="G6" s="14" t="s">
        <v>21</v>
      </c>
      <c r="H6" s="14" t="s">
        <v>22</v>
      </c>
      <c r="I6" s="14" t="s">
        <v>23</v>
      </c>
      <c r="L6" s="15">
        <v>2</v>
      </c>
      <c r="M6" s="16">
        <v>41165</v>
      </c>
      <c r="N6" s="16"/>
      <c r="O6" s="16">
        <v>41165</v>
      </c>
      <c r="P6" s="16">
        <f t="shared" ref="P6:P34" si="0">O6*P$3</f>
        <v>41165</v>
      </c>
      <c r="Q6" s="16">
        <f t="shared" ref="Q6:Q34" si="1">P6*Q$2*Q$3</f>
        <v>617475</v>
      </c>
      <c r="R6" s="12"/>
    </row>
    <row r="7" spans="1:1024" ht="13.15" x14ac:dyDescent="0.4">
      <c r="A7" s="7" t="s">
        <v>24</v>
      </c>
      <c r="B7" s="108" t="s">
        <v>191</v>
      </c>
      <c r="C7" s="7"/>
      <c r="E7" s="8" t="s">
        <v>25</v>
      </c>
      <c r="F7" s="9">
        <f>$F3*$F4*100</f>
        <v>86.8</v>
      </c>
      <c r="G7" s="9">
        <f>$F3*$F4*100</f>
        <v>86.8</v>
      </c>
      <c r="H7" s="9">
        <f>$F3*$F4*100</f>
        <v>86.8</v>
      </c>
      <c r="I7" s="9">
        <f>$F3*$F4*100</f>
        <v>86.8</v>
      </c>
      <c r="L7" s="15">
        <v>3</v>
      </c>
      <c r="M7" s="16">
        <v>17975.47</v>
      </c>
      <c r="N7" s="16">
        <v>17634.099999999999</v>
      </c>
      <c r="O7" s="16">
        <v>17975.47</v>
      </c>
      <c r="P7" s="16">
        <f t="shared" si="0"/>
        <v>17975.47</v>
      </c>
      <c r="Q7" s="16">
        <f t="shared" si="1"/>
        <v>269632.05000000005</v>
      </c>
      <c r="R7" s="12"/>
    </row>
    <row r="8" spans="1:1024" ht="13.15" x14ac:dyDescent="0.4">
      <c r="A8" s="7" t="s">
        <v>26</v>
      </c>
      <c r="B8" s="108" t="s">
        <v>189</v>
      </c>
      <c r="C8" s="7"/>
      <c r="E8" s="8" t="s">
        <v>27</v>
      </c>
      <c r="F8" s="108">
        <v>26.08</v>
      </c>
      <c r="G8" s="108">
        <v>26.08</v>
      </c>
      <c r="H8" s="108">
        <v>26.11</v>
      </c>
      <c r="I8" s="108">
        <v>26.16</v>
      </c>
      <c r="L8" s="15">
        <v>4</v>
      </c>
      <c r="M8" s="16">
        <v>10898.56</v>
      </c>
      <c r="N8" s="16">
        <v>10750.3</v>
      </c>
      <c r="O8" s="16">
        <v>10898.56</v>
      </c>
      <c r="P8" s="16">
        <f t="shared" si="0"/>
        <v>10898.56</v>
      </c>
      <c r="Q8" s="16">
        <f t="shared" si="1"/>
        <v>163478.39999999999</v>
      </c>
      <c r="R8" s="12"/>
    </row>
    <row r="9" spans="1:1024" ht="13.15" x14ac:dyDescent="0.4">
      <c r="A9" s="7" t="s">
        <v>28</v>
      </c>
      <c r="B9" s="108" t="s">
        <v>191</v>
      </c>
      <c r="C9" s="7"/>
      <c r="E9" s="18" t="s">
        <v>29</v>
      </c>
      <c r="F9" s="19">
        <f>(1/$F$3-1)*F8</f>
        <v>0</v>
      </c>
      <c r="G9" s="19">
        <f>(1/$F$3-1)*G8</f>
        <v>0</v>
      </c>
      <c r="H9" s="19">
        <f>(1/$F$3-1)*H8</f>
        <v>0</v>
      </c>
      <c r="I9" s="19">
        <f>(1/$F$3-1)*I8</f>
        <v>0</v>
      </c>
      <c r="L9" s="15">
        <v>5</v>
      </c>
      <c r="M9" s="16">
        <v>6986.32</v>
      </c>
      <c r="N9" s="16">
        <v>7121.1</v>
      </c>
      <c r="O9" s="16">
        <v>6986.32</v>
      </c>
      <c r="P9" s="16">
        <f t="shared" si="0"/>
        <v>6986.32</v>
      </c>
      <c r="Q9" s="16">
        <f t="shared" si="1"/>
        <v>104794.79999999999</v>
      </c>
      <c r="R9" s="12"/>
    </row>
    <row r="10" spans="1:1024" ht="13.15" x14ac:dyDescent="0.4">
      <c r="A10" s="17" t="s">
        <v>30</v>
      </c>
      <c r="B10" s="108" t="s">
        <v>31</v>
      </c>
      <c r="C10" s="7"/>
      <c r="E10" s="8" t="s">
        <v>32</v>
      </c>
      <c r="F10" s="108">
        <v>61</v>
      </c>
      <c r="G10" s="108">
        <v>61.18</v>
      </c>
      <c r="H10" s="108">
        <v>61.2</v>
      </c>
      <c r="I10" s="108">
        <v>61.09</v>
      </c>
      <c r="L10" s="15">
        <v>6</v>
      </c>
      <c r="M10" s="16">
        <v>4679.6499999999996</v>
      </c>
      <c r="N10" s="16">
        <v>4729.1000000000004</v>
      </c>
      <c r="O10" s="16">
        <v>4679.6499999999996</v>
      </c>
      <c r="P10" s="16">
        <f t="shared" si="0"/>
        <v>4679.6499999999996</v>
      </c>
      <c r="Q10" s="16">
        <f t="shared" si="1"/>
        <v>70194.749999999985</v>
      </c>
      <c r="R10" s="12"/>
    </row>
    <row r="11" spans="1:1024" ht="13.9" x14ac:dyDescent="0.4">
      <c r="A11" s="7" t="s">
        <v>194</v>
      </c>
      <c r="B11" s="20">
        <v>12232</v>
      </c>
      <c r="E11" s="8" t="s">
        <v>33</v>
      </c>
      <c r="F11" s="107">
        <f>IF($F3=1, 1, F8/(F8+F10))</f>
        <v>1</v>
      </c>
      <c r="G11" s="107">
        <f>IF($F3=1, 1, G8/(G8+G10))</f>
        <v>1</v>
      </c>
      <c r="H11" s="107">
        <f>IF($F3=1, 1, H8/(H8+H10))</f>
        <v>1</v>
      </c>
      <c r="I11" s="107">
        <f>IF($F3=1, 1, I8/(I8+I10))</f>
        <v>1</v>
      </c>
      <c r="L11" s="15">
        <v>7</v>
      </c>
      <c r="M11" s="16">
        <v>3163.23</v>
      </c>
      <c r="N11" s="16">
        <v>3199.3</v>
      </c>
      <c r="O11" s="16">
        <v>3163.23</v>
      </c>
      <c r="P11" s="16">
        <f t="shared" si="0"/>
        <v>3163.23</v>
      </c>
      <c r="Q11" s="16">
        <f t="shared" si="1"/>
        <v>47448.45</v>
      </c>
      <c r="R11" s="12"/>
    </row>
    <row r="12" spans="1:1024" ht="13.15" x14ac:dyDescent="0.4">
      <c r="A12" s="7" t="s">
        <v>34</v>
      </c>
      <c r="B12" s="108">
        <v>31</v>
      </c>
      <c r="C12" s="7"/>
      <c r="L12" s="15">
        <v>8</v>
      </c>
      <c r="M12" s="16">
        <v>2175.4699999999998</v>
      </c>
      <c r="N12" s="16">
        <v>2280.6</v>
      </c>
      <c r="O12" s="16">
        <v>2175.4699999999998</v>
      </c>
      <c r="P12" s="16">
        <f t="shared" si="0"/>
        <v>2175.4699999999998</v>
      </c>
      <c r="Q12" s="16">
        <f t="shared" si="1"/>
        <v>32632.05</v>
      </c>
      <c r="R12" s="12"/>
    </row>
    <row r="13" spans="1:1024" hidden="1" x14ac:dyDescent="0.35">
      <c r="B13" s="20"/>
      <c r="L13" s="21">
        <v>9</v>
      </c>
      <c r="M13" s="16">
        <v>1512.11</v>
      </c>
      <c r="N13" s="16">
        <v>1615</v>
      </c>
      <c r="O13" s="16">
        <v>1512.11</v>
      </c>
      <c r="P13" s="16">
        <f t="shared" si="0"/>
        <v>1512.11</v>
      </c>
      <c r="Q13" s="16">
        <f t="shared" si="1"/>
        <v>22681.649999999998</v>
      </c>
      <c r="R13" s="12"/>
    </row>
    <row r="14" spans="1:1024" x14ac:dyDescent="0.35">
      <c r="A14" t="s">
        <v>35</v>
      </c>
      <c r="B14" s="140">
        <f>B12*1.5</f>
        <v>46.5</v>
      </c>
      <c r="L14" s="15">
        <v>10</v>
      </c>
      <c r="M14" s="16">
        <v>1079.78</v>
      </c>
      <c r="N14" s="16">
        <v>1130.5</v>
      </c>
      <c r="O14" s="16">
        <v>1079.78</v>
      </c>
      <c r="P14" s="16">
        <f t="shared" si="0"/>
        <v>1079.78</v>
      </c>
      <c r="Q14" s="16">
        <f t="shared" si="1"/>
        <v>16196.699999999999</v>
      </c>
      <c r="R14" s="12"/>
    </row>
    <row r="15" spans="1:1024" ht="13.15" x14ac:dyDescent="0.4">
      <c r="A15" t="s">
        <v>36</v>
      </c>
      <c r="B15" s="108">
        <v>8000</v>
      </c>
      <c r="L15" s="15">
        <v>11</v>
      </c>
      <c r="M15" s="16">
        <v>786.62</v>
      </c>
      <c r="N15" s="16">
        <v>816.2</v>
      </c>
      <c r="O15" s="16">
        <v>786.62</v>
      </c>
      <c r="P15" s="16">
        <f t="shared" si="0"/>
        <v>786.62</v>
      </c>
      <c r="Q15" s="16">
        <f t="shared" si="1"/>
        <v>11799.3</v>
      </c>
      <c r="R15" s="12"/>
    </row>
    <row r="16" spans="1:1024" x14ac:dyDescent="0.35">
      <c r="A16" t="s">
        <v>37</v>
      </c>
      <c r="B16" s="141">
        <f>10^((LOG(B15)-LOG(B14))/(30-1))</f>
        <v>1.194238126855113</v>
      </c>
      <c r="L16" s="15">
        <v>12</v>
      </c>
      <c r="M16" s="16">
        <v>586.05999999999995</v>
      </c>
      <c r="N16" s="16">
        <v>618.6</v>
      </c>
      <c r="O16" s="16">
        <v>586.05999999999995</v>
      </c>
      <c r="P16" s="16">
        <f t="shared" si="0"/>
        <v>586.05999999999995</v>
      </c>
      <c r="Q16" s="16">
        <f t="shared" si="1"/>
        <v>8790.9</v>
      </c>
      <c r="R16" s="12"/>
    </row>
    <row r="17" spans="1:18" ht="13.15" x14ac:dyDescent="0.4">
      <c r="A17" t="s">
        <v>178</v>
      </c>
      <c r="B17" s="108">
        <v>300</v>
      </c>
      <c r="C17" s="49">
        <f>1+B17/1000</f>
        <v>1.3</v>
      </c>
      <c r="D17" s="140" t="s">
        <v>180</v>
      </c>
      <c r="L17" s="15">
        <v>13</v>
      </c>
      <c r="M17" s="16">
        <v>449.93</v>
      </c>
      <c r="N17" s="16">
        <v>481.9</v>
      </c>
      <c r="O17" s="16">
        <v>449.93</v>
      </c>
      <c r="P17" s="16">
        <f t="shared" si="0"/>
        <v>449.93</v>
      </c>
      <c r="Q17" s="16">
        <f t="shared" si="1"/>
        <v>6748.9499999999989</v>
      </c>
      <c r="R17" s="12"/>
    </row>
    <row r="18" spans="1:18" ht="13.5" thickBot="1" x14ac:dyDescent="0.45">
      <c r="A18" t="s">
        <v>179</v>
      </c>
      <c r="B18" s="108">
        <v>300</v>
      </c>
      <c r="C18" s="49">
        <f>1+B18/1000</f>
        <v>1.3</v>
      </c>
      <c r="D18" s="142">
        <f>C17/C18</f>
        <v>1</v>
      </c>
      <c r="L18" s="15">
        <v>14</v>
      </c>
      <c r="M18" s="16">
        <v>352.62</v>
      </c>
      <c r="N18" s="16">
        <v>384.7</v>
      </c>
      <c r="O18" s="16">
        <v>352.62</v>
      </c>
      <c r="P18" s="16">
        <f t="shared" si="0"/>
        <v>352.62</v>
      </c>
      <c r="Q18" s="16">
        <f t="shared" si="1"/>
        <v>5289.3</v>
      </c>
      <c r="R18" s="12"/>
    </row>
    <row r="19" spans="1:18" ht="13.15" x14ac:dyDescent="0.4">
      <c r="A19" t="s">
        <v>183</v>
      </c>
      <c r="B19" s="108">
        <v>20000</v>
      </c>
      <c r="L19" s="15">
        <v>15</v>
      </c>
      <c r="M19" s="16">
        <v>282.04000000000002</v>
      </c>
      <c r="N19" s="16">
        <v>314.60000000000002</v>
      </c>
      <c r="O19" s="16">
        <v>282.04000000000002</v>
      </c>
      <c r="P19" s="16">
        <f t="shared" si="0"/>
        <v>282.04000000000002</v>
      </c>
      <c r="Q19" s="16">
        <f t="shared" si="1"/>
        <v>4230.6000000000004</v>
      </c>
      <c r="R19" s="12"/>
    </row>
    <row r="20" spans="1:18" x14ac:dyDescent="0.35">
      <c r="G20" t="s">
        <v>175</v>
      </c>
      <c r="L20" s="15">
        <v>16</v>
      </c>
      <c r="M20" s="16">
        <v>229.42</v>
      </c>
      <c r="N20" s="16">
        <v>261.8</v>
      </c>
      <c r="O20" s="16">
        <v>229.42</v>
      </c>
      <c r="P20" s="16">
        <f t="shared" si="0"/>
        <v>229.42</v>
      </c>
      <c r="Q20" s="16">
        <f t="shared" si="1"/>
        <v>3441.2999999999997</v>
      </c>
      <c r="R20" s="12"/>
    </row>
    <row r="21" spans="1:18" ht="13.15" thickBot="1" x14ac:dyDescent="0.4">
      <c r="A21" s="11" t="s">
        <v>38</v>
      </c>
      <c r="B21" s="117" t="s">
        <v>39</v>
      </c>
      <c r="C21" s="117" t="s">
        <v>40</v>
      </c>
      <c r="D21" s="117" t="s">
        <v>41</v>
      </c>
      <c r="G21" s="11" t="s">
        <v>174</v>
      </c>
      <c r="H21" s="11" t="str">
        <f>B21</f>
        <v>Initial Value</v>
      </c>
      <c r="I21" s="11" t="s">
        <v>171</v>
      </c>
      <c r="L21" s="15">
        <v>17</v>
      </c>
      <c r="M21" s="16">
        <v>186.1</v>
      </c>
      <c r="N21" s="16">
        <v>221.2</v>
      </c>
      <c r="O21" s="16">
        <v>186.1</v>
      </c>
      <c r="P21" s="16">
        <f t="shared" si="0"/>
        <v>186.1</v>
      </c>
      <c r="Q21" s="16">
        <f t="shared" si="1"/>
        <v>2791.5</v>
      </c>
      <c r="R21" s="12"/>
    </row>
    <row r="22" spans="1:18" x14ac:dyDescent="0.35">
      <c r="A22">
        <v>4</v>
      </c>
      <c r="B22" s="83">
        <f>B12*1.5</f>
        <v>46.5</v>
      </c>
      <c r="C22" s="85">
        <f t="shared" ref="C22:C51" si="2">INT($B22+0.5)</f>
        <v>47</v>
      </c>
      <c r="D22" s="85">
        <f t="shared" ref="D22:D50" si="3">D23*B$16</f>
        <v>8000.0000000000264</v>
      </c>
      <c r="E22" s="11"/>
      <c r="F22" s="118">
        <f>'6 - Curve'!C5</f>
        <v>4</v>
      </c>
      <c r="G22" s="119">
        <f>'6 - Curve'!D5</f>
        <v>81.974406837954916</v>
      </c>
      <c r="H22" s="85">
        <f t="shared" ref="H22:H51" si="4">B22</f>
        <v>46.5</v>
      </c>
      <c r="I22" s="116">
        <f t="shared" ref="I22:I51" si="5">CubicSpline(B22,$G$22:$G$51, $F$22:$F$51)</f>
        <v>0</v>
      </c>
      <c r="L22" s="15">
        <v>18</v>
      </c>
      <c r="M22" s="16">
        <v>153.87</v>
      </c>
      <c r="N22" s="16">
        <v>188.7</v>
      </c>
      <c r="O22" s="16">
        <v>153.87</v>
      </c>
      <c r="P22" s="16">
        <f t="shared" si="0"/>
        <v>153.87</v>
      </c>
      <c r="Q22" s="16">
        <f t="shared" si="1"/>
        <v>2308.0500000000002</v>
      </c>
      <c r="R22" s="12"/>
    </row>
    <row r="23" spans="1:18" x14ac:dyDescent="0.35">
      <c r="A23">
        <v>5</v>
      </c>
      <c r="B23" s="83">
        <f t="shared" ref="B23:B51" si="6">B22*B$16</f>
        <v>55.532072898762756</v>
      </c>
      <c r="C23" s="85">
        <f t="shared" si="2"/>
        <v>56</v>
      </c>
      <c r="D23" s="85">
        <f t="shared" si="3"/>
        <v>6698.8315145046445</v>
      </c>
      <c r="F23" s="120">
        <f>'6 - Curve'!C6</f>
        <v>5</v>
      </c>
      <c r="G23" s="121">
        <f>'6 - Curve'!D6</f>
        <v>130.48858048000619</v>
      </c>
      <c r="H23" s="85">
        <f t="shared" si="4"/>
        <v>55.532072898762756</v>
      </c>
      <c r="I23" s="116">
        <f t="shared" si="5"/>
        <v>0</v>
      </c>
      <c r="L23" s="15">
        <v>19</v>
      </c>
      <c r="M23" s="16">
        <v>128.62</v>
      </c>
      <c r="N23" s="16">
        <v>161</v>
      </c>
      <c r="O23" s="16">
        <v>128.62</v>
      </c>
      <c r="P23" s="16">
        <f t="shared" si="0"/>
        <v>128.62</v>
      </c>
      <c r="Q23" s="16">
        <f t="shared" si="1"/>
        <v>1929.3</v>
      </c>
      <c r="R23" s="12"/>
    </row>
    <row r="24" spans="1:18" x14ac:dyDescent="0.35">
      <c r="A24">
        <v>6</v>
      </c>
      <c r="B24" s="83">
        <f t="shared" si="6"/>
        <v>66.318518719000025</v>
      </c>
      <c r="C24" s="85">
        <f t="shared" si="2"/>
        <v>66</v>
      </c>
      <c r="D24" s="85">
        <f t="shared" si="3"/>
        <v>5609.2929574650552</v>
      </c>
      <c r="F24" s="120">
        <f>'6 - Curve'!C7</f>
        <v>6</v>
      </c>
      <c r="G24" s="121">
        <f>'6 - Curve'!D7</f>
        <v>192.79839297874128</v>
      </c>
      <c r="H24" s="85">
        <f t="shared" si="4"/>
        <v>66.318518719000025</v>
      </c>
      <c r="I24" s="116">
        <f t="shared" si="5"/>
        <v>0</v>
      </c>
      <c r="L24" s="15">
        <v>20</v>
      </c>
      <c r="M24" s="16">
        <v>107.35</v>
      </c>
      <c r="N24" s="16">
        <v>136.4</v>
      </c>
      <c r="O24" s="16">
        <v>107.35</v>
      </c>
      <c r="P24" s="16">
        <f t="shared" si="0"/>
        <v>107.35</v>
      </c>
      <c r="Q24" s="16">
        <f t="shared" si="1"/>
        <v>1610.25</v>
      </c>
      <c r="R24" s="12"/>
    </row>
    <row r="25" spans="1:18" x14ac:dyDescent="0.35">
      <c r="A25">
        <v>7</v>
      </c>
      <c r="B25" s="83">
        <f t="shared" si="6"/>
        <v>79.200103570784336</v>
      </c>
      <c r="C25" s="85">
        <f t="shared" si="2"/>
        <v>79</v>
      </c>
      <c r="D25" s="85">
        <f t="shared" si="3"/>
        <v>4696.9635546944683</v>
      </c>
      <c r="F25" s="120">
        <f>'6 - Curve'!C8</f>
        <v>7</v>
      </c>
      <c r="G25" s="121">
        <f>'6 - Curve'!D8</f>
        <v>258.15181628169773</v>
      </c>
      <c r="H25" s="85">
        <f t="shared" si="4"/>
        <v>79.200103570784336</v>
      </c>
      <c r="I25" s="116">
        <f t="shared" si="5"/>
        <v>0</v>
      </c>
      <c r="L25" s="15">
        <v>21</v>
      </c>
      <c r="M25" s="16">
        <v>88.64</v>
      </c>
      <c r="N25" s="16">
        <v>114.4</v>
      </c>
      <c r="O25" s="16">
        <v>88.64</v>
      </c>
      <c r="P25" s="16">
        <f t="shared" si="0"/>
        <v>88.64</v>
      </c>
      <c r="Q25" s="16">
        <f t="shared" si="1"/>
        <v>1329.6</v>
      </c>
      <c r="R25" s="12"/>
    </row>
    <row r="26" spans="1:18" x14ac:dyDescent="0.35">
      <c r="A26">
        <v>8</v>
      </c>
      <c r="B26" s="83">
        <f t="shared" si="6"/>
        <v>94.583783335104428</v>
      </c>
      <c r="C26" s="85">
        <f t="shared" si="2"/>
        <v>95</v>
      </c>
      <c r="D26" s="85">
        <f t="shared" si="3"/>
        <v>3933.0209353333703</v>
      </c>
      <c r="F26" s="120">
        <f>'6 - Curve'!C9</f>
        <v>8</v>
      </c>
      <c r="G26" s="121">
        <f>'6 - Curve'!D9</f>
        <v>337.64384883082914</v>
      </c>
      <c r="H26" s="85">
        <f t="shared" si="4"/>
        <v>94.583783335104428</v>
      </c>
      <c r="I26" s="116">
        <f t="shared" si="5"/>
        <v>4.2749955447291326</v>
      </c>
      <c r="L26" s="15">
        <v>22</v>
      </c>
      <c r="M26" s="16">
        <v>75.56</v>
      </c>
      <c r="N26" s="16">
        <v>95.3</v>
      </c>
      <c r="O26" s="16">
        <v>75.56</v>
      </c>
      <c r="P26" s="16">
        <f t="shared" si="0"/>
        <v>75.56</v>
      </c>
      <c r="Q26" s="16">
        <f t="shared" si="1"/>
        <v>1133.3999999999999</v>
      </c>
      <c r="R26" s="12"/>
    </row>
    <row r="27" spans="1:18" x14ac:dyDescent="0.35">
      <c r="A27">
        <v>9</v>
      </c>
      <c r="B27" s="83">
        <f t="shared" si="6"/>
        <v>112.95556024098497</v>
      </c>
      <c r="C27" s="85">
        <f t="shared" si="2"/>
        <v>113</v>
      </c>
      <c r="D27" s="85">
        <f t="shared" si="3"/>
        <v>3293.3305736022035</v>
      </c>
      <c r="F27" s="120">
        <f>'6 - Curve'!C10</f>
        <v>9</v>
      </c>
      <c r="G27" s="121">
        <f>'6 - Curve'!D10</f>
        <v>431.02464472942893</v>
      </c>
      <c r="H27" s="85">
        <f t="shared" si="4"/>
        <v>112.95556024098497</v>
      </c>
      <c r="I27" s="116">
        <f t="shared" si="5"/>
        <v>4.662137962169135</v>
      </c>
      <c r="L27" s="15">
        <v>23</v>
      </c>
      <c r="M27" s="16">
        <v>61.94</v>
      </c>
      <c r="N27" s="16">
        <v>79</v>
      </c>
      <c r="O27" s="16">
        <v>61.94</v>
      </c>
      <c r="P27" s="16">
        <f t="shared" si="0"/>
        <v>61.94</v>
      </c>
      <c r="Q27" s="16">
        <f t="shared" si="1"/>
        <v>929.09999999999991</v>
      </c>
      <c r="R27" s="12"/>
    </row>
    <row r="28" spans="1:18" x14ac:dyDescent="0.35">
      <c r="A28">
        <v>10</v>
      </c>
      <c r="B28" s="83">
        <f t="shared" si="6"/>
        <v>134.89583668006375</v>
      </c>
      <c r="C28" s="85">
        <f t="shared" si="2"/>
        <v>135</v>
      </c>
      <c r="D28" s="85">
        <f t="shared" si="3"/>
        <v>2757.6833292660031</v>
      </c>
      <c r="E28" s="22"/>
      <c r="F28" s="120">
        <f>'6 - Curve'!C11</f>
        <v>10</v>
      </c>
      <c r="G28" s="121">
        <f>'6 - Curve'!D11</f>
        <v>530.31282340835401</v>
      </c>
      <c r="H28" s="85">
        <f t="shared" si="4"/>
        <v>134.89583668006375</v>
      </c>
      <c r="I28" s="116">
        <f t="shared" si="5"/>
        <v>5.0784454788967857</v>
      </c>
      <c r="L28" s="15">
        <v>24</v>
      </c>
      <c r="M28" s="16">
        <v>50.86</v>
      </c>
      <c r="N28" s="16">
        <v>65.3</v>
      </c>
      <c r="O28" s="16">
        <v>50.86</v>
      </c>
      <c r="P28" s="16">
        <f t="shared" si="0"/>
        <v>50.86</v>
      </c>
      <c r="Q28" s="16">
        <f t="shared" si="1"/>
        <v>762.9</v>
      </c>
      <c r="R28" s="12"/>
    </row>
    <row r="29" spans="1:18" x14ac:dyDescent="0.35">
      <c r="A29">
        <v>11</v>
      </c>
      <c r="B29" s="83">
        <f t="shared" si="6"/>
        <v>161.09775131735259</v>
      </c>
      <c r="C29" s="85">
        <f t="shared" si="2"/>
        <v>161</v>
      </c>
      <c r="D29" s="85">
        <f t="shared" si="3"/>
        <v>2309.156999138891</v>
      </c>
      <c r="E29" s="22"/>
      <c r="F29" s="120">
        <f>'6 - Curve'!C12</f>
        <v>11</v>
      </c>
      <c r="G29" s="121">
        <f>'6 - Curve'!D12</f>
        <v>643.88345722131919</v>
      </c>
      <c r="H29" s="85">
        <f t="shared" si="4"/>
        <v>161.09775131735259</v>
      </c>
      <c r="I29" s="116">
        <f t="shared" si="5"/>
        <v>5.5099966103211786</v>
      </c>
      <c r="L29" s="15">
        <v>25</v>
      </c>
      <c r="M29" s="16">
        <v>41.61</v>
      </c>
      <c r="N29" s="16">
        <v>53.8</v>
      </c>
      <c r="O29" s="16">
        <v>41.61</v>
      </c>
      <c r="P29" s="16">
        <f t="shared" si="0"/>
        <v>41.61</v>
      </c>
      <c r="Q29" s="16">
        <f t="shared" si="1"/>
        <v>624.15</v>
      </c>
      <c r="R29" s="12"/>
    </row>
    <row r="30" spans="1:18" x14ac:dyDescent="0.35">
      <c r="A30">
        <v>12</v>
      </c>
      <c r="B30" s="83">
        <f t="shared" si="6"/>
        <v>192.38907677380595</v>
      </c>
      <c r="C30" s="85">
        <f t="shared" si="2"/>
        <v>192</v>
      </c>
      <c r="D30" s="85">
        <f t="shared" si="3"/>
        <v>1933.581709721316</v>
      </c>
      <c r="E30" s="22"/>
      <c r="F30" s="120">
        <f>'6 - Curve'!C13</f>
        <v>12</v>
      </c>
      <c r="G30" s="121">
        <f>'6 - Curve'!D13</f>
        <v>771.2485548703321</v>
      </c>
      <c r="H30" s="85">
        <f t="shared" si="4"/>
        <v>192.38907677380595</v>
      </c>
      <c r="I30" s="116">
        <f t="shared" si="5"/>
        <v>5.9935908489674112</v>
      </c>
      <c r="L30" s="15">
        <v>26</v>
      </c>
      <c r="M30" s="16">
        <v>33.44</v>
      </c>
      <c r="N30" s="16">
        <v>44.6</v>
      </c>
      <c r="O30" s="16">
        <v>33.44</v>
      </c>
      <c r="P30" s="16">
        <f t="shared" si="0"/>
        <v>33.44</v>
      </c>
      <c r="Q30" s="16">
        <f t="shared" si="1"/>
        <v>501.59999999999991</v>
      </c>
      <c r="R30" s="12"/>
    </row>
    <row r="31" spans="1:18" x14ac:dyDescent="0.35">
      <c r="A31">
        <v>13</v>
      </c>
      <c r="B31" s="83">
        <f t="shared" si="6"/>
        <v>229.75837067373456</v>
      </c>
      <c r="C31" s="85">
        <f t="shared" si="2"/>
        <v>230</v>
      </c>
      <c r="D31" s="85">
        <f t="shared" si="3"/>
        <v>1619.09226161886</v>
      </c>
      <c r="E31" s="22"/>
      <c r="F31" s="120">
        <f>'6 - Curve'!C14</f>
        <v>13</v>
      </c>
      <c r="G31" s="121">
        <f>'6 - Curve'!D14</f>
        <v>903.33778272674078</v>
      </c>
      <c r="H31" s="85">
        <f t="shared" si="4"/>
        <v>229.75837067373456</v>
      </c>
      <c r="I31" s="116">
        <f t="shared" si="5"/>
        <v>6.5816487350047739</v>
      </c>
      <c r="L31" s="15">
        <v>27</v>
      </c>
      <c r="M31" s="16">
        <v>26.08</v>
      </c>
      <c r="N31" s="16">
        <v>37</v>
      </c>
      <c r="O31" s="16">
        <v>26.08</v>
      </c>
      <c r="P31" s="16">
        <f t="shared" si="0"/>
        <v>26.08</v>
      </c>
      <c r="Q31" s="16">
        <f t="shared" si="1"/>
        <v>391.19999999999993</v>
      </c>
      <c r="R31" s="12"/>
    </row>
    <row r="32" spans="1:18" x14ac:dyDescent="0.35">
      <c r="A32">
        <v>14</v>
      </c>
      <c r="B32" s="83">
        <f t="shared" si="6"/>
        <v>274.38620622268348</v>
      </c>
      <c r="C32" s="85">
        <f t="shared" si="2"/>
        <v>274</v>
      </c>
      <c r="D32" s="85">
        <f t="shared" si="3"/>
        <v>1355.7532833778728</v>
      </c>
      <c r="E32" s="22"/>
      <c r="F32" s="120">
        <f>'6 - Curve'!C15</f>
        <v>14</v>
      </c>
      <c r="G32" s="121">
        <f>'6 - Curve'!D15</f>
        <v>1037.7679846444257</v>
      </c>
      <c r="H32" s="85">
        <f t="shared" si="4"/>
        <v>274.38620622268348</v>
      </c>
      <c r="I32" s="116">
        <f t="shared" si="5"/>
        <v>7.2195170718659929</v>
      </c>
      <c r="L32" s="15">
        <v>28</v>
      </c>
      <c r="M32" s="16">
        <v>20.41</v>
      </c>
      <c r="N32" s="16">
        <v>30.7</v>
      </c>
      <c r="O32" s="16">
        <v>20.41</v>
      </c>
      <c r="P32" s="16">
        <f t="shared" si="0"/>
        <v>20.41</v>
      </c>
      <c r="Q32" s="16">
        <f t="shared" si="1"/>
        <v>306.15000000000003</v>
      </c>
      <c r="R32" s="12"/>
    </row>
    <row r="33" spans="1:18" x14ac:dyDescent="0.35">
      <c r="A33">
        <v>15</v>
      </c>
      <c r="B33" s="83">
        <f t="shared" si="6"/>
        <v>327.6824689542583</v>
      </c>
      <c r="C33" s="85">
        <f t="shared" si="2"/>
        <v>328</v>
      </c>
      <c r="D33" s="85">
        <f t="shared" si="3"/>
        <v>1135.2453525731012</v>
      </c>
      <c r="E33" s="22"/>
      <c r="F33" s="120">
        <f>'6 - Curve'!C16</f>
        <v>15</v>
      </c>
      <c r="G33" s="121">
        <f>'6 - Curve'!D16</f>
        <v>1181.7448346982899</v>
      </c>
      <c r="H33" s="85">
        <f t="shared" si="4"/>
        <v>327.6824689542583</v>
      </c>
      <c r="I33" s="116">
        <f t="shared" si="5"/>
        <v>7.8837304250778066</v>
      </c>
      <c r="L33" s="15">
        <v>29</v>
      </c>
      <c r="M33" s="16">
        <v>16.39</v>
      </c>
      <c r="N33" s="16">
        <v>25.2</v>
      </c>
      <c r="O33" s="16">
        <v>16.39</v>
      </c>
      <c r="P33" s="16">
        <f t="shared" si="0"/>
        <v>16.39</v>
      </c>
      <c r="Q33" s="16">
        <f t="shared" si="1"/>
        <v>245.85</v>
      </c>
      <c r="R33" s="12"/>
    </row>
    <row r="34" spans="1:18" ht="13.15" thickBot="1" x14ac:dyDescent="0.4">
      <c r="A34">
        <v>16</v>
      </c>
      <c r="B34" s="83">
        <f t="shared" si="6"/>
        <v>391.33089792719215</v>
      </c>
      <c r="C34" s="85">
        <f t="shared" si="2"/>
        <v>391</v>
      </c>
      <c r="D34" s="85">
        <f t="shared" si="3"/>
        <v>950.60216806395022</v>
      </c>
      <c r="E34" s="22"/>
      <c r="F34" s="120">
        <f>'6 - Curve'!C17</f>
        <v>16</v>
      </c>
      <c r="G34" s="121">
        <f>'6 - Curve'!D17</f>
        <v>1330.9415214375022</v>
      </c>
      <c r="H34" s="85">
        <f t="shared" si="4"/>
        <v>391.33089792719215</v>
      </c>
      <c r="I34" s="116">
        <f t="shared" si="5"/>
        <v>8.5875799684394565</v>
      </c>
      <c r="L34" s="23">
        <v>30</v>
      </c>
      <c r="M34" s="24">
        <v>13.94</v>
      </c>
      <c r="N34" s="24">
        <v>20.100000000000001</v>
      </c>
      <c r="O34" s="24">
        <v>13.94</v>
      </c>
      <c r="P34" s="24">
        <f t="shared" si="0"/>
        <v>13.94</v>
      </c>
      <c r="Q34" s="24">
        <f t="shared" si="1"/>
        <v>209.09999999999997</v>
      </c>
      <c r="R34" s="25"/>
    </row>
    <row r="35" spans="1:18" x14ac:dyDescent="0.35">
      <c r="A35">
        <v>17</v>
      </c>
      <c r="B35" s="83">
        <f t="shared" si="6"/>
        <v>467.34227852109939</v>
      </c>
      <c r="C35" s="85">
        <f t="shared" si="2"/>
        <v>467</v>
      </c>
      <c r="D35" s="85">
        <f t="shared" si="3"/>
        <v>795.99047014790119</v>
      </c>
      <c r="E35" s="22"/>
      <c r="F35" s="120">
        <f>'6 - Curve'!C18</f>
        <v>17</v>
      </c>
      <c r="G35" s="121">
        <f>'6 - Curve'!D18</f>
        <v>1483.9512553062564</v>
      </c>
      <c r="H35" s="85">
        <f t="shared" si="4"/>
        <v>467.34227852109939</v>
      </c>
      <c r="I35" s="116">
        <f t="shared" si="5"/>
        <v>9.3759848002856998</v>
      </c>
    </row>
    <row r="36" spans="1:18" x14ac:dyDescent="0.35">
      <c r="A36">
        <v>18</v>
      </c>
      <c r="B36" s="83">
        <f t="shared" si="6"/>
        <v>558.1179673012382</v>
      </c>
      <c r="C36" s="85">
        <f t="shared" si="2"/>
        <v>558</v>
      </c>
      <c r="D36" s="85">
        <f t="shared" si="3"/>
        <v>666.52575583401392</v>
      </c>
      <c r="E36" s="22"/>
      <c r="F36" s="120">
        <f>'6 - Curve'!C19</f>
        <v>18</v>
      </c>
      <c r="G36" s="121">
        <f>'6 - Curve'!D19</f>
        <v>1637.4313975213165</v>
      </c>
      <c r="H36" s="85">
        <f t="shared" si="4"/>
        <v>558.1179673012382</v>
      </c>
      <c r="I36" s="116">
        <f t="shared" si="5"/>
        <v>10.256786837591672</v>
      </c>
    </row>
    <row r="37" spans="1:18" x14ac:dyDescent="0.35">
      <c r="A37">
        <v>19</v>
      </c>
      <c r="B37" s="83">
        <f t="shared" si="6"/>
        <v>666.52575583401392</v>
      </c>
      <c r="C37" s="85">
        <f t="shared" si="2"/>
        <v>667</v>
      </c>
      <c r="D37" s="85">
        <f t="shared" si="3"/>
        <v>558.1179673012382</v>
      </c>
      <c r="E37" s="22"/>
      <c r="F37" s="120">
        <f>'6 - Curve'!C20</f>
        <v>19</v>
      </c>
      <c r="G37" s="121">
        <f>'6 - Curve'!D20</f>
        <v>1792.7156842382315</v>
      </c>
      <c r="H37" s="85">
        <f t="shared" si="4"/>
        <v>666.52575583401392</v>
      </c>
      <c r="I37" s="116">
        <f t="shared" si="5"/>
        <v>11.185128953639873</v>
      </c>
    </row>
    <row r="38" spans="1:18" x14ac:dyDescent="0.35">
      <c r="A38">
        <v>20</v>
      </c>
      <c r="B38" s="83">
        <f t="shared" si="6"/>
        <v>795.99047014790119</v>
      </c>
      <c r="C38" s="85">
        <f t="shared" si="2"/>
        <v>796</v>
      </c>
      <c r="D38" s="85">
        <f t="shared" si="3"/>
        <v>467.34227852109939</v>
      </c>
      <c r="E38" s="22"/>
      <c r="F38" s="120">
        <f>'6 - Curve'!C21</f>
        <v>20</v>
      </c>
      <c r="G38" s="121">
        <f>'6 - Curve'!D21</f>
        <v>1965.651890004141</v>
      </c>
      <c r="H38" s="85">
        <f t="shared" si="4"/>
        <v>795.99047014790119</v>
      </c>
      <c r="I38" s="116">
        <f t="shared" si="5"/>
        <v>12.189815136134914</v>
      </c>
    </row>
    <row r="39" spans="1:18" x14ac:dyDescent="0.35">
      <c r="A39">
        <v>21</v>
      </c>
      <c r="B39" s="83">
        <f t="shared" si="6"/>
        <v>950.60216806395022</v>
      </c>
      <c r="C39" s="85">
        <f t="shared" si="2"/>
        <v>951</v>
      </c>
      <c r="D39" s="85">
        <f t="shared" si="3"/>
        <v>391.33089792719215</v>
      </c>
      <c r="E39" s="22"/>
      <c r="F39" s="120">
        <f>'6 - Curve'!C22</f>
        <v>21</v>
      </c>
      <c r="G39" s="121">
        <f>'6 - Curve'!D22</f>
        <v>2173.8237870578914</v>
      </c>
      <c r="H39" s="85">
        <f t="shared" si="4"/>
        <v>950.60216806395022</v>
      </c>
      <c r="I39" s="116">
        <f t="shared" si="5"/>
        <v>13.355637402104271</v>
      </c>
    </row>
    <row r="40" spans="1:18" x14ac:dyDescent="0.35">
      <c r="A40">
        <v>22</v>
      </c>
      <c r="B40" s="83">
        <f t="shared" si="6"/>
        <v>1135.2453525731012</v>
      </c>
      <c r="C40" s="85">
        <f t="shared" si="2"/>
        <v>1135</v>
      </c>
      <c r="D40" s="85">
        <f t="shared" si="3"/>
        <v>327.6824689542583</v>
      </c>
      <c r="E40" s="22"/>
      <c r="F40" s="120">
        <f>'6 - Curve'!C23</f>
        <v>22</v>
      </c>
      <c r="G40" s="121">
        <f>'6 - Curve'!D23</f>
        <v>2407.6264844036577</v>
      </c>
      <c r="H40" s="85">
        <f t="shared" si="4"/>
        <v>1135.2453525731012</v>
      </c>
      <c r="I40" s="116">
        <f t="shared" si="5"/>
        <v>14.682092338803573</v>
      </c>
    </row>
    <row r="41" spans="1:18" x14ac:dyDescent="0.35">
      <c r="A41">
        <v>23</v>
      </c>
      <c r="B41" s="83">
        <f t="shared" si="6"/>
        <v>1355.7532833778728</v>
      </c>
      <c r="C41" s="85">
        <f t="shared" si="2"/>
        <v>1356</v>
      </c>
      <c r="D41" s="85">
        <f t="shared" si="3"/>
        <v>274.38620622268348</v>
      </c>
      <c r="E41" s="22"/>
      <c r="F41" s="120">
        <f>'6 - Curve'!C24</f>
        <v>23</v>
      </c>
      <c r="G41" s="121">
        <f>'6 - Curve'!D24</f>
        <v>2675.5147675837366</v>
      </c>
      <c r="H41" s="85">
        <f t="shared" si="4"/>
        <v>1355.7532833778728</v>
      </c>
      <c r="I41" s="116">
        <f t="shared" si="5"/>
        <v>16.163628130212075</v>
      </c>
    </row>
    <row r="42" spans="1:18" x14ac:dyDescent="0.35">
      <c r="A42">
        <v>24</v>
      </c>
      <c r="B42" s="83">
        <f t="shared" si="6"/>
        <v>1619.09226161886</v>
      </c>
      <c r="C42" s="85">
        <f t="shared" si="2"/>
        <v>1619</v>
      </c>
      <c r="D42" s="85">
        <f t="shared" si="3"/>
        <v>229.75837067373456</v>
      </c>
      <c r="F42" s="120">
        <f>'6 - Curve'!C25</f>
        <v>24</v>
      </c>
      <c r="G42" s="121">
        <f>'6 - Curve'!D25</f>
        <v>2964.4579147087752</v>
      </c>
      <c r="H42" s="85">
        <f t="shared" si="4"/>
        <v>1619.09226161886</v>
      </c>
      <c r="I42" s="116">
        <f t="shared" si="5"/>
        <v>17.881071942457272</v>
      </c>
    </row>
    <row r="43" spans="1:18" x14ac:dyDescent="0.35">
      <c r="A43">
        <v>25</v>
      </c>
      <c r="B43" s="83">
        <f t="shared" si="6"/>
        <v>1933.581709721316</v>
      </c>
      <c r="C43" s="85">
        <f t="shared" si="2"/>
        <v>1934</v>
      </c>
      <c r="D43" s="85">
        <f t="shared" si="3"/>
        <v>192.38907677380595</v>
      </c>
      <c r="F43" s="120">
        <f>'6 - Curve'!C26</f>
        <v>25</v>
      </c>
      <c r="G43" s="121">
        <f>'6 - Curve'!D26</f>
        <v>3282.4255366327325</v>
      </c>
      <c r="H43" s="85">
        <f t="shared" si="4"/>
        <v>1933.581709721316</v>
      </c>
      <c r="I43" s="116">
        <f t="shared" si="5"/>
        <v>19.827437411809633</v>
      </c>
    </row>
    <row r="44" spans="1:18" x14ac:dyDescent="0.35">
      <c r="A44">
        <v>26</v>
      </c>
      <c r="B44" s="83">
        <f t="shared" si="6"/>
        <v>2309.156999138891</v>
      </c>
      <c r="C44" s="85">
        <f t="shared" si="2"/>
        <v>2309</v>
      </c>
      <c r="D44" s="85">
        <f t="shared" si="3"/>
        <v>161.09775131735259</v>
      </c>
      <c r="F44" s="120">
        <f>'6 - Curve'!C27</f>
        <v>26</v>
      </c>
      <c r="G44" s="121">
        <f>'6 - Curve'!D27</f>
        <v>3633.3294209823334</v>
      </c>
      <c r="H44" s="85">
        <f t="shared" si="4"/>
        <v>2309.156999138891</v>
      </c>
      <c r="I44" s="116">
        <f t="shared" si="5"/>
        <v>21.594376628239406</v>
      </c>
    </row>
    <row r="45" spans="1:18" x14ac:dyDescent="0.35">
      <c r="A45">
        <v>27</v>
      </c>
      <c r="B45" s="83">
        <f t="shared" si="6"/>
        <v>2757.6833292660031</v>
      </c>
      <c r="C45" s="85">
        <f t="shared" si="2"/>
        <v>2758</v>
      </c>
      <c r="D45" s="85">
        <f t="shared" si="3"/>
        <v>134.89583668006375</v>
      </c>
      <c r="F45" s="120">
        <f>'6 - Curve'!C28</f>
        <v>27</v>
      </c>
      <c r="G45" s="121">
        <f>'6 - Curve'!D28</f>
        <v>3990.2560553221019</v>
      </c>
      <c r="H45" s="85">
        <f t="shared" si="4"/>
        <v>2757.6833292660031</v>
      </c>
      <c r="I45" s="116">
        <f t="shared" si="5"/>
        <v>23.292650575049439</v>
      </c>
    </row>
    <row r="46" spans="1:18" x14ac:dyDescent="0.35">
      <c r="A46">
        <v>28</v>
      </c>
      <c r="B46" s="83">
        <f t="shared" si="6"/>
        <v>3293.3305736022035</v>
      </c>
      <c r="C46" s="85">
        <f t="shared" si="2"/>
        <v>3293</v>
      </c>
      <c r="D46" s="85">
        <f t="shared" si="3"/>
        <v>112.95556024098497</v>
      </c>
      <c r="F46" s="120">
        <f>'6 - Curve'!C29</f>
        <v>28</v>
      </c>
      <c r="G46" s="121">
        <f>'6 - Curve'!D29</f>
        <v>4344.8092091424078</v>
      </c>
      <c r="H46" s="85">
        <f t="shared" si="4"/>
        <v>3293.3305736022035</v>
      </c>
      <c r="I46" s="116">
        <f t="shared" si="5"/>
        <v>25.032521597385809</v>
      </c>
    </row>
    <row r="47" spans="1:18" x14ac:dyDescent="0.35">
      <c r="A47">
        <v>29</v>
      </c>
      <c r="B47" s="83">
        <f t="shared" si="6"/>
        <v>3933.0209353333703</v>
      </c>
      <c r="C47" s="85">
        <f t="shared" si="2"/>
        <v>3933</v>
      </c>
      <c r="D47" s="85">
        <f t="shared" si="3"/>
        <v>94.583783335104428</v>
      </c>
      <c r="F47" s="120">
        <f>'6 - Curve'!C30</f>
        <v>29</v>
      </c>
      <c r="G47" s="121">
        <f>'6 - Curve'!D30</f>
        <v>4691.1764987482547</v>
      </c>
      <c r="H47" s="85">
        <f t="shared" si="4"/>
        <v>3933.0209353333703</v>
      </c>
      <c r="I47" s="116">
        <f t="shared" si="5"/>
        <v>26.839451153375336</v>
      </c>
    </row>
    <row r="48" spans="1:18" x14ac:dyDescent="0.35">
      <c r="A48">
        <v>30</v>
      </c>
      <c r="B48" s="83">
        <f t="shared" si="6"/>
        <v>4696.9635546944683</v>
      </c>
      <c r="C48" s="85">
        <f t="shared" si="2"/>
        <v>4697</v>
      </c>
      <c r="D48" s="85">
        <f t="shared" si="3"/>
        <v>79.200103570784336</v>
      </c>
      <c r="F48" s="120">
        <f>'6 - Curve'!C31</f>
        <v>30</v>
      </c>
      <c r="G48" s="121">
        <f>'6 - Curve'!D31</f>
        <v>5112.5373890771189</v>
      </c>
      <c r="H48" s="85">
        <f t="shared" si="4"/>
        <v>4696.9635546944683</v>
      </c>
      <c r="I48" s="116">
        <f t="shared" si="5"/>
        <v>29.015074412965536</v>
      </c>
    </row>
    <row r="49" spans="1:31" x14ac:dyDescent="0.35">
      <c r="A49">
        <v>38</v>
      </c>
      <c r="B49" s="83">
        <f t="shared" si="6"/>
        <v>5609.2929574650552</v>
      </c>
      <c r="C49" s="85">
        <f t="shared" si="2"/>
        <v>5609</v>
      </c>
      <c r="D49" s="85">
        <f t="shared" si="3"/>
        <v>66.318518719000025</v>
      </c>
      <c r="F49" s="120">
        <f>'6 - Curve'!C32</f>
        <v>38</v>
      </c>
      <c r="G49" s="121">
        <f>'6 - Curve'!D32</f>
        <v>10057.660312083664</v>
      </c>
      <c r="H49" s="85">
        <f t="shared" si="4"/>
        <v>5609.2929574650552</v>
      </c>
      <c r="I49" s="116">
        <f t="shared" si="5"/>
        <v>30.918982726828808</v>
      </c>
    </row>
    <row r="50" spans="1:31" x14ac:dyDescent="0.35">
      <c r="A50">
        <v>50</v>
      </c>
      <c r="B50" s="83">
        <f t="shared" si="6"/>
        <v>6698.8315145046445</v>
      </c>
      <c r="C50" s="85">
        <f t="shared" si="2"/>
        <v>6699</v>
      </c>
      <c r="D50" s="85">
        <f t="shared" si="3"/>
        <v>55.532072898762756</v>
      </c>
      <c r="F50" s="120">
        <f>'6 - Curve'!C33</f>
        <v>50</v>
      </c>
      <c r="G50" s="121">
        <f>'6 - Curve'!D33</f>
        <v>16045.385258941113</v>
      </c>
      <c r="H50" s="85">
        <f t="shared" si="4"/>
        <v>6698.8315145046445</v>
      </c>
      <c r="I50" s="116">
        <f t="shared" si="5"/>
        <v>32.730709401051364</v>
      </c>
    </row>
    <row r="51" spans="1:31" ht="13.15" thickBot="1" x14ac:dyDescent="0.4">
      <c r="A51">
        <v>70</v>
      </c>
      <c r="B51" s="83">
        <f t="shared" si="6"/>
        <v>8000.0000000000264</v>
      </c>
      <c r="C51" s="85">
        <f t="shared" si="2"/>
        <v>8000</v>
      </c>
      <c r="D51" s="85">
        <f>$B$12*1.5</f>
        <v>46.5</v>
      </c>
      <c r="E51" s="11"/>
      <c r="F51" s="122">
        <f>'6 - Curve'!C34</f>
        <v>70</v>
      </c>
      <c r="G51" s="123">
        <f>'6 - Curve'!D34</f>
        <v>24583</v>
      </c>
      <c r="H51" s="85">
        <f t="shared" si="4"/>
        <v>8000.0000000000264</v>
      </c>
      <c r="I51" s="116">
        <f t="shared" si="5"/>
        <v>34.703247090863634</v>
      </c>
    </row>
    <row r="54" spans="1:31" ht="13.5" thickBot="1" x14ac:dyDescent="0.45">
      <c r="B54" s="109" t="s">
        <v>42</v>
      </c>
      <c r="E54" s="16"/>
    </row>
    <row r="55" spans="1:31" x14ac:dyDescent="0.35">
      <c r="A55" s="11" t="s">
        <v>173</v>
      </c>
      <c r="B55" s="110">
        <v>4</v>
      </c>
      <c r="C55" s="111">
        <v>5</v>
      </c>
      <c r="D55" s="111">
        <v>6</v>
      </c>
      <c r="E55" s="111">
        <v>7</v>
      </c>
      <c r="F55" s="111">
        <v>8</v>
      </c>
      <c r="G55" s="111">
        <v>9</v>
      </c>
      <c r="H55" s="111">
        <v>10</v>
      </c>
      <c r="I55" s="111">
        <v>11</v>
      </c>
      <c r="J55" s="111">
        <v>12</v>
      </c>
      <c r="K55" s="111">
        <v>13</v>
      </c>
      <c r="L55" s="111">
        <v>14</v>
      </c>
      <c r="M55" s="111">
        <v>15</v>
      </c>
      <c r="N55" s="111">
        <v>16</v>
      </c>
      <c r="O55" s="111">
        <v>17</v>
      </c>
      <c r="P55" s="111">
        <v>18</v>
      </c>
      <c r="Q55" s="111">
        <v>19</v>
      </c>
      <c r="R55" s="111">
        <v>20</v>
      </c>
      <c r="S55" s="111">
        <v>21</v>
      </c>
      <c r="T55" s="111">
        <v>22</v>
      </c>
      <c r="U55" s="111">
        <v>23</v>
      </c>
      <c r="V55" s="111">
        <v>24</v>
      </c>
      <c r="W55" s="111">
        <v>25</v>
      </c>
      <c r="X55" s="111">
        <v>26</v>
      </c>
      <c r="Y55" s="111">
        <v>27</v>
      </c>
      <c r="Z55" s="111">
        <v>28</v>
      </c>
      <c r="AA55" s="111">
        <v>29</v>
      </c>
      <c r="AB55" s="111">
        <v>30</v>
      </c>
      <c r="AC55" s="111">
        <v>38</v>
      </c>
      <c r="AD55" s="111">
        <v>50</v>
      </c>
      <c r="AE55" s="112">
        <v>70</v>
      </c>
    </row>
    <row r="56" spans="1:31" ht="14.25" thickBot="1" x14ac:dyDescent="0.45">
      <c r="A56" s="11" t="s">
        <v>44</v>
      </c>
      <c r="B56" s="113">
        <f>INT($B22+0.5)</f>
        <v>47</v>
      </c>
      <c r="C56" s="114">
        <f>INT($B23+0.5)</f>
        <v>56</v>
      </c>
      <c r="D56" s="114">
        <f>INT($B24+0.5)</f>
        <v>66</v>
      </c>
      <c r="E56" s="114">
        <f>INT($B25+0.5)</f>
        <v>79</v>
      </c>
      <c r="F56" s="114">
        <f>INT($B26+0.5)</f>
        <v>95</v>
      </c>
      <c r="G56" s="114">
        <f>INT($B27+0.5)</f>
        <v>113</v>
      </c>
      <c r="H56" s="114">
        <f>INT($B28+0.5)</f>
        <v>135</v>
      </c>
      <c r="I56" s="114">
        <f>INT($B29+0.5)</f>
        <v>161</v>
      </c>
      <c r="J56" s="114">
        <f>INT($B30+0.5)</f>
        <v>192</v>
      </c>
      <c r="K56" s="114">
        <f>INT($B31+0.5)</f>
        <v>230</v>
      </c>
      <c r="L56" s="114">
        <f>INT($B32+0.5)</f>
        <v>274</v>
      </c>
      <c r="M56" s="114">
        <f>INT($B33+0.5)</f>
        <v>328</v>
      </c>
      <c r="N56" s="114">
        <f>INT($B34+0.5)</f>
        <v>391</v>
      </c>
      <c r="O56" s="114">
        <f>INT($B35+0.5)</f>
        <v>467</v>
      </c>
      <c r="P56" s="114">
        <f>INT($B36+0.5)</f>
        <v>558</v>
      </c>
      <c r="Q56" s="114">
        <f>INT($B37+0.5)</f>
        <v>667</v>
      </c>
      <c r="R56" s="114">
        <f>INT($B38+0.5)</f>
        <v>796</v>
      </c>
      <c r="S56" s="114">
        <f>INT($B39+0.5)</f>
        <v>951</v>
      </c>
      <c r="T56" s="114">
        <f>INT($B40+0.5)</f>
        <v>1135</v>
      </c>
      <c r="U56" s="114">
        <f>INT($B41+0.5)</f>
        <v>1356</v>
      </c>
      <c r="V56" s="114">
        <f>INT($B42+0.5)</f>
        <v>1619</v>
      </c>
      <c r="W56" s="114">
        <f>INT($B43+0.5)</f>
        <v>1934</v>
      </c>
      <c r="X56" s="114">
        <f>INT($B44+0.5)</f>
        <v>2309</v>
      </c>
      <c r="Y56" s="114">
        <f>INT($B45+0.5)</f>
        <v>2758</v>
      </c>
      <c r="Z56" s="114">
        <f>INT($B46+0.5)</f>
        <v>3293</v>
      </c>
      <c r="AA56" s="114">
        <f>INT($B47+0.5)</f>
        <v>3933</v>
      </c>
      <c r="AB56" s="114">
        <f>INT($B48+0.5)</f>
        <v>4697</v>
      </c>
      <c r="AC56" s="114">
        <f>INT($B49+0.5)</f>
        <v>5609</v>
      </c>
      <c r="AD56" s="114">
        <f>INT($B50+0.5)</f>
        <v>6699</v>
      </c>
      <c r="AE56" s="115">
        <f>INT($B51+0.5)</f>
        <v>8000</v>
      </c>
    </row>
    <row r="58" spans="1:31" ht="36.4" x14ac:dyDescent="0.35">
      <c r="B58" s="1" t="s">
        <v>182</v>
      </c>
    </row>
    <row r="59" spans="1:31" ht="36.4" x14ac:dyDescent="0.35">
      <c r="B59" s="1" t="s">
        <v>192</v>
      </c>
    </row>
    <row r="60" spans="1:31" x14ac:dyDescent="0.35">
      <c r="G60" s="22"/>
    </row>
    <row r="61" spans="1:31" x14ac:dyDescent="0.35">
      <c r="G61" s="22"/>
    </row>
    <row r="62" spans="1:31" x14ac:dyDescent="0.35">
      <c r="G62" s="22"/>
    </row>
    <row r="63" spans="1:31" x14ac:dyDescent="0.35">
      <c r="G63" s="22"/>
    </row>
    <row r="64" spans="1:31" x14ac:dyDescent="0.35">
      <c r="G64" s="22"/>
    </row>
    <row r="65" spans="7:7" x14ac:dyDescent="0.35">
      <c r="G65" s="22"/>
    </row>
    <row r="66" spans="7:7" x14ac:dyDescent="0.35">
      <c r="G66" s="22"/>
    </row>
    <row r="67" spans="7:7" x14ac:dyDescent="0.35">
      <c r="G67" s="22"/>
    </row>
    <row r="68" spans="7:7" x14ac:dyDescent="0.35">
      <c r="G68" s="22"/>
    </row>
    <row r="69" spans="7:7" x14ac:dyDescent="0.35">
      <c r="G69" s="22"/>
    </row>
    <row r="70" spans="7:7" x14ac:dyDescent="0.35">
      <c r="G70" s="22"/>
    </row>
    <row r="71" spans="7:7" x14ac:dyDescent="0.35">
      <c r="G71" s="22"/>
    </row>
    <row r="72" spans="7:7" x14ac:dyDescent="0.35">
      <c r="G72" s="22"/>
    </row>
    <row r="73" spans="7:7" x14ac:dyDescent="0.35">
      <c r="G73" s="22"/>
    </row>
    <row r="74" spans="7:7" x14ac:dyDescent="0.35">
      <c r="G74" s="22"/>
    </row>
    <row r="75" spans="7:7" x14ac:dyDescent="0.35">
      <c r="G75" s="22"/>
    </row>
    <row r="76" spans="7:7" x14ac:dyDescent="0.35">
      <c r="G76" s="22"/>
    </row>
    <row r="77" spans="7:7" x14ac:dyDescent="0.35">
      <c r="G77" s="22"/>
    </row>
    <row r="78" spans="7:7" x14ac:dyDescent="0.35">
      <c r="G78" s="22"/>
    </row>
    <row r="79" spans="7:7" x14ac:dyDescent="0.35">
      <c r="G79" s="22"/>
    </row>
    <row r="80" spans="7:7" x14ac:dyDescent="0.35">
      <c r="G80" s="22"/>
    </row>
    <row r="81" spans="7:7" x14ac:dyDescent="0.35">
      <c r="G81" s="22"/>
    </row>
    <row r="82" spans="7:7" x14ac:dyDescent="0.35">
      <c r="G82" s="22"/>
    </row>
    <row r="83" spans="7:7" x14ac:dyDescent="0.35">
      <c r="G83" s="22"/>
    </row>
    <row r="84" spans="7:7" x14ac:dyDescent="0.35">
      <c r="G84" s="22"/>
    </row>
    <row r="85" spans="7:7" x14ac:dyDescent="0.35">
      <c r="G85" s="22"/>
    </row>
    <row r="86" spans="7:7" x14ac:dyDescent="0.35">
      <c r="G86" s="22"/>
    </row>
    <row r="87" spans="7:7" x14ac:dyDescent="0.35">
      <c r="G87" s="22"/>
    </row>
    <row r="88" spans="7:7" x14ac:dyDescent="0.35">
      <c r="G88" s="22"/>
    </row>
    <row r="89" spans="7:7" x14ac:dyDescent="0.35">
      <c r="G89" s="22"/>
    </row>
    <row r="114" spans="1:32" x14ac:dyDescent="0.35">
      <c r="A114">
        <v>1</v>
      </c>
      <c r="B114">
        <v>8.3108219999999999</v>
      </c>
      <c r="C114">
        <v>37791</v>
      </c>
      <c r="D114">
        <v>33118</v>
      </c>
      <c r="E114">
        <v>28973</v>
      </c>
      <c r="F114">
        <v>25265</v>
      </c>
      <c r="G114">
        <v>21894</v>
      </c>
      <c r="H114">
        <v>18858</v>
      </c>
      <c r="I114">
        <v>16165</v>
      </c>
      <c r="J114">
        <v>13721</v>
      </c>
      <c r="K114">
        <v>11466</v>
      </c>
      <c r="L114">
        <v>9440</v>
      </c>
      <c r="M114">
        <v>7658</v>
      </c>
      <c r="N114">
        <v>6186</v>
      </c>
      <c r="O114">
        <v>4911</v>
      </c>
      <c r="P114">
        <v>3839</v>
      </c>
      <c r="Q114">
        <v>3015</v>
      </c>
      <c r="R114">
        <v>2366</v>
      </c>
      <c r="S114">
        <v>1880</v>
      </c>
      <c r="T114">
        <v>1468</v>
      </c>
      <c r="U114">
        <v>1143</v>
      </c>
      <c r="V114">
        <v>885</v>
      </c>
      <c r="W114">
        <v>688</v>
      </c>
      <c r="X114">
        <v>524</v>
      </c>
      <c r="Y114">
        <v>419</v>
      </c>
      <c r="Z114">
        <v>313</v>
      </c>
      <c r="AA114">
        <v>227</v>
      </c>
      <c r="AB114">
        <v>173</v>
      </c>
      <c r="AC114">
        <v>128</v>
      </c>
      <c r="AD114">
        <v>88</v>
      </c>
      <c r="AE114">
        <v>67</v>
      </c>
      <c r="AF114">
        <v>39</v>
      </c>
    </row>
    <row r="115" spans="1:32" x14ac:dyDescent="0.35">
      <c r="A115">
        <v>2</v>
      </c>
      <c r="B115">
        <v>8.7017830000000007</v>
      </c>
      <c r="C115">
        <v>38763</v>
      </c>
      <c r="D115">
        <v>34044</v>
      </c>
      <c r="E115">
        <v>29855</v>
      </c>
      <c r="F115">
        <v>26059</v>
      </c>
      <c r="G115">
        <v>22802</v>
      </c>
      <c r="H115">
        <v>19548</v>
      </c>
      <c r="I115">
        <v>16737</v>
      </c>
      <c r="J115">
        <v>14195</v>
      </c>
      <c r="K115">
        <v>11889</v>
      </c>
      <c r="L115">
        <v>9778</v>
      </c>
      <c r="M115">
        <v>7980</v>
      </c>
      <c r="N115">
        <v>6417</v>
      </c>
      <c r="O115">
        <v>5096</v>
      </c>
      <c r="P115">
        <v>4000</v>
      </c>
      <c r="Q115">
        <v>3164</v>
      </c>
      <c r="R115">
        <v>2467</v>
      </c>
      <c r="S115">
        <v>1917</v>
      </c>
      <c r="T115">
        <v>1500</v>
      </c>
      <c r="U115">
        <v>1185</v>
      </c>
      <c r="V115">
        <v>930</v>
      </c>
      <c r="W115">
        <v>740</v>
      </c>
      <c r="X115">
        <v>546</v>
      </c>
      <c r="Y115">
        <v>402</v>
      </c>
      <c r="Z115">
        <v>307</v>
      </c>
      <c r="AA115">
        <v>222</v>
      </c>
      <c r="AB115">
        <v>167</v>
      </c>
      <c r="AC115">
        <v>116</v>
      </c>
      <c r="AD115">
        <v>76</v>
      </c>
      <c r="AE115">
        <v>52</v>
      </c>
      <c r="AF115">
        <v>39</v>
      </c>
    </row>
    <row r="116" spans="1:32" x14ac:dyDescent="0.35">
      <c r="A116">
        <v>3</v>
      </c>
      <c r="B116">
        <v>8.6421869999999998</v>
      </c>
      <c r="C116">
        <v>38258</v>
      </c>
      <c r="D116">
        <v>33531</v>
      </c>
      <c r="E116">
        <v>29252</v>
      </c>
      <c r="F116">
        <v>25540</v>
      </c>
      <c r="G116">
        <v>22192</v>
      </c>
      <c r="H116">
        <v>19117</v>
      </c>
      <c r="I116">
        <v>16341</v>
      </c>
      <c r="J116">
        <v>13826</v>
      </c>
      <c r="K116">
        <v>11548</v>
      </c>
      <c r="L116">
        <v>9533</v>
      </c>
      <c r="M116">
        <v>7770</v>
      </c>
      <c r="N116">
        <v>6176</v>
      </c>
      <c r="O116">
        <v>4867</v>
      </c>
      <c r="P116">
        <v>3825</v>
      </c>
      <c r="Q116">
        <v>3006</v>
      </c>
      <c r="R116">
        <v>2345</v>
      </c>
      <c r="S116">
        <v>1857</v>
      </c>
      <c r="T116">
        <v>1476</v>
      </c>
      <c r="U116">
        <v>1141</v>
      </c>
      <c r="V116">
        <v>876</v>
      </c>
      <c r="W116">
        <v>698</v>
      </c>
      <c r="X116">
        <v>529</v>
      </c>
      <c r="Y116">
        <v>390</v>
      </c>
      <c r="Z116">
        <v>291</v>
      </c>
      <c r="AA116">
        <v>203</v>
      </c>
      <c r="AB116">
        <v>154</v>
      </c>
      <c r="AC116">
        <v>107</v>
      </c>
      <c r="AD116">
        <v>81</v>
      </c>
      <c r="AE116">
        <v>59</v>
      </c>
      <c r="AF116">
        <v>49</v>
      </c>
    </row>
    <row r="117" spans="1:32" x14ac:dyDescent="0.35">
      <c r="A117">
        <v>4</v>
      </c>
      <c r="B117">
        <v>8.702553</v>
      </c>
      <c r="C117">
        <v>38686</v>
      </c>
      <c r="D117">
        <v>33954</v>
      </c>
      <c r="E117">
        <v>29625</v>
      </c>
      <c r="F117">
        <v>25742</v>
      </c>
      <c r="G117">
        <v>22323</v>
      </c>
      <c r="H117">
        <v>19289</v>
      </c>
      <c r="I117">
        <v>16521</v>
      </c>
      <c r="J117">
        <v>14091</v>
      </c>
      <c r="K117">
        <v>11761</v>
      </c>
      <c r="L117">
        <v>9677</v>
      </c>
      <c r="M117">
        <v>7854</v>
      </c>
      <c r="N117">
        <v>6299</v>
      </c>
      <c r="O117">
        <v>5008</v>
      </c>
      <c r="P117">
        <v>3944</v>
      </c>
      <c r="Q117">
        <v>3081</v>
      </c>
      <c r="R117">
        <v>2364</v>
      </c>
      <c r="S117">
        <v>1837</v>
      </c>
      <c r="T117">
        <v>1429</v>
      </c>
      <c r="U117">
        <v>1109</v>
      </c>
      <c r="V117">
        <v>870</v>
      </c>
      <c r="W117">
        <v>685</v>
      </c>
      <c r="X117">
        <v>512</v>
      </c>
      <c r="Y117">
        <v>393</v>
      </c>
      <c r="Z117">
        <v>276</v>
      </c>
      <c r="AA117">
        <v>199</v>
      </c>
      <c r="AB117">
        <v>148</v>
      </c>
      <c r="AC117">
        <v>93</v>
      </c>
      <c r="AD117">
        <v>66</v>
      </c>
      <c r="AE117">
        <v>45</v>
      </c>
      <c r="AF117">
        <v>28</v>
      </c>
    </row>
    <row r="118" spans="1:32" x14ac:dyDescent="0.35">
      <c r="A118">
        <v>5</v>
      </c>
      <c r="B118">
        <v>8.7037089999999999</v>
      </c>
      <c r="C118">
        <v>38724</v>
      </c>
      <c r="D118">
        <v>33856</v>
      </c>
      <c r="E118">
        <v>29545</v>
      </c>
      <c r="F118">
        <v>25720</v>
      </c>
      <c r="G118">
        <v>22284</v>
      </c>
      <c r="H118">
        <v>19237</v>
      </c>
      <c r="I118">
        <v>16544</v>
      </c>
      <c r="J118">
        <v>14086</v>
      </c>
      <c r="K118">
        <v>11866</v>
      </c>
      <c r="L118">
        <v>9783</v>
      </c>
      <c r="M118">
        <v>7950</v>
      </c>
      <c r="N118">
        <v>6369</v>
      </c>
      <c r="O118">
        <v>5075</v>
      </c>
      <c r="P118">
        <v>4010</v>
      </c>
      <c r="Q118">
        <v>3164</v>
      </c>
      <c r="R118">
        <v>2470</v>
      </c>
      <c r="S118">
        <v>1898</v>
      </c>
      <c r="T118">
        <v>1483</v>
      </c>
      <c r="U118">
        <v>1130</v>
      </c>
      <c r="V118">
        <v>878</v>
      </c>
      <c r="W118">
        <v>666</v>
      </c>
      <c r="X118">
        <v>510</v>
      </c>
      <c r="Y118">
        <v>378</v>
      </c>
      <c r="Z118">
        <v>276</v>
      </c>
      <c r="AA118">
        <v>207</v>
      </c>
      <c r="AB118">
        <v>152</v>
      </c>
      <c r="AC118">
        <v>108</v>
      </c>
      <c r="AD118">
        <v>70</v>
      </c>
      <c r="AE118">
        <v>46</v>
      </c>
      <c r="AF118">
        <v>33</v>
      </c>
    </row>
    <row r="119" spans="1:32" x14ac:dyDescent="0.35">
      <c r="A119">
        <v>1</v>
      </c>
      <c r="B119">
        <v>8.2913929999999993</v>
      </c>
      <c r="C119">
        <v>40656</v>
      </c>
      <c r="D119">
        <v>35387</v>
      </c>
      <c r="E119">
        <v>30744</v>
      </c>
      <c r="F119">
        <v>26608</v>
      </c>
      <c r="G119">
        <v>23018</v>
      </c>
      <c r="H119">
        <v>19687</v>
      </c>
      <c r="I119">
        <v>16773</v>
      </c>
      <c r="J119">
        <v>14091</v>
      </c>
      <c r="K119">
        <v>11757</v>
      </c>
      <c r="L119">
        <v>9609</v>
      </c>
      <c r="M119">
        <v>7740</v>
      </c>
      <c r="N119">
        <v>6118</v>
      </c>
      <c r="O119">
        <v>4729</v>
      </c>
      <c r="P119">
        <v>3634</v>
      </c>
      <c r="Q119">
        <v>2786</v>
      </c>
      <c r="R119">
        <v>2161</v>
      </c>
      <c r="S119">
        <v>1688</v>
      </c>
      <c r="T119">
        <v>1286</v>
      </c>
      <c r="U119">
        <v>1030</v>
      </c>
      <c r="V119">
        <v>803</v>
      </c>
      <c r="W119">
        <v>597</v>
      </c>
      <c r="X119">
        <v>461</v>
      </c>
      <c r="Y119">
        <v>358</v>
      </c>
      <c r="Z119">
        <v>268</v>
      </c>
      <c r="AA119">
        <v>209</v>
      </c>
      <c r="AB119">
        <v>153</v>
      </c>
      <c r="AC119">
        <v>99</v>
      </c>
      <c r="AD119">
        <v>73</v>
      </c>
      <c r="AE119">
        <v>53</v>
      </c>
      <c r="AF119">
        <v>36</v>
      </c>
    </row>
    <row r="120" spans="1:32" x14ac:dyDescent="0.35">
      <c r="A120">
        <v>2</v>
      </c>
      <c r="B120">
        <v>8.6831899999999997</v>
      </c>
      <c r="C120">
        <v>41394</v>
      </c>
      <c r="D120">
        <v>35966</v>
      </c>
      <c r="E120">
        <v>31215</v>
      </c>
      <c r="F120">
        <v>27155</v>
      </c>
      <c r="G120">
        <v>23517</v>
      </c>
      <c r="H120">
        <v>20199</v>
      </c>
      <c r="I120">
        <v>17259</v>
      </c>
      <c r="J120">
        <v>14601</v>
      </c>
      <c r="K120">
        <v>12117</v>
      </c>
      <c r="L120">
        <v>9948</v>
      </c>
      <c r="M120">
        <v>7975</v>
      </c>
      <c r="N120">
        <v>6363</v>
      </c>
      <c r="O120">
        <v>4943</v>
      </c>
      <c r="P120">
        <v>3877</v>
      </c>
      <c r="Q120">
        <v>3028</v>
      </c>
      <c r="R120">
        <v>2336</v>
      </c>
      <c r="S120">
        <v>1766</v>
      </c>
      <c r="T120">
        <v>1401</v>
      </c>
      <c r="U120">
        <v>1115</v>
      </c>
      <c r="V120">
        <v>872</v>
      </c>
      <c r="W120">
        <v>658</v>
      </c>
      <c r="X120">
        <v>498</v>
      </c>
      <c r="Y120">
        <v>392</v>
      </c>
      <c r="Z120">
        <v>288</v>
      </c>
      <c r="AA120">
        <v>225</v>
      </c>
      <c r="AB120">
        <v>177</v>
      </c>
      <c r="AC120">
        <v>126</v>
      </c>
      <c r="AD120">
        <v>84</v>
      </c>
      <c r="AE120">
        <v>64</v>
      </c>
      <c r="AF120">
        <v>51</v>
      </c>
    </row>
    <row r="121" spans="1:32" x14ac:dyDescent="0.35">
      <c r="A121">
        <v>3</v>
      </c>
      <c r="B121">
        <v>8.6780039999999996</v>
      </c>
      <c r="C121">
        <v>41924</v>
      </c>
      <c r="D121">
        <v>36607</v>
      </c>
      <c r="E121">
        <v>31884</v>
      </c>
      <c r="F121">
        <v>27690</v>
      </c>
      <c r="G121">
        <v>24020</v>
      </c>
      <c r="H121">
        <v>20560</v>
      </c>
      <c r="I121">
        <v>17541</v>
      </c>
      <c r="J121">
        <v>14818</v>
      </c>
      <c r="K121">
        <v>12334</v>
      </c>
      <c r="L121">
        <v>10105</v>
      </c>
      <c r="M121">
        <v>8062</v>
      </c>
      <c r="N121">
        <v>6403</v>
      </c>
      <c r="O121">
        <v>5027</v>
      </c>
      <c r="P121">
        <v>3878</v>
      </c>
      <c r="Q121">
        <v>2958</v>
      </c>
      <c r="R121">
        <v>2280</v>
      </c>
      <c r="S121">
        <v>1777</v>
      </c>
      <c r="T121">
        <v>1422</v>
      </c>
      <c r="U121">
        <v>1111</v>
      </c>
      <c r="V121">
        <v>839</v>
      </c>
      <c r="W121">
        <v>647</v>
      </c>
      <c r="X121">
        <v>491</v>
      </c>
      <c r="Y121">
        <v>368</v>
      </c>
      <c r="Z121">
        <v>290</v>
      </c>
      <c r="AA121">
        <v>217</v>
      </c>
      <c r="AB121">
        <v>153</v>
      </c>
      <c r="AC121">
        <v>108</v>
      </c>
      <c r="AD121">
        <v>71</v>
      </c>
      <c r="AE121">
        <v>46</v>
      </c>
      <c r="AF121">
        <v>29</v>
      </c>
    </row>
    <row r="122" spans="1:32" x14ac:dyDescent="0.35">
      <c r="A122">
        <v>4</v>
      </c>
      <c r="B122">
        <v>8.6292050000000007</v>
      </c>
      <c r="C122">
        <v>41300</v>
      </c>
      <c r="D122">
        <v>35962</v>
      </c>
      <c r="E122">
        <v>31074</v>
      </c>
      <c r="F122">
        <v>26934</v>
      </c>
      <c r="G122">
        <v>23276</v>
      </c>
      <c r="H122">
        <v>19911</v>
      </c>
      <c r="I122">
        <v>16847</v>
      </c>
      <c r="J122">
        <v>14119</v>
      </c>
      <c r="K122">
        <v>11698</v>
      </c>
      <c r="L122">
        <v>9534</v>
      </c>
      <c r="M122">
        <v>7689</v>
      </c>
      <c r="N122">
        <v>6142</v>
      </c>
      <c r="O122">
        <v>4692</v>
      </c>
      <c r="P122">
        <v>3623</v>
      </c>
      <c r="Q122">
        <v>2783</v>
      </c>
      <c r="R122">
        <v>2144</v>
      </c>
      <c r="S122">
        <v>1652</v>
      </c>
      <c r="T122">
        <v>1283</v>
      </c>
      <c r="U122">
        <v>1017</v>
      </c>
      <c r="V122">
        <v>798</v>
      </c>
      <c r="W122">
        <v>624</v>
      </c>
      <c r="X122">
        <v>460</v>
      </c>
      <c r="Y122">
        <v>334</v>
      </c>
      <c r="Z122">
        <v>245</v>
      </c>
      <c r="AA122">
        <v>179</v>
      </c>
      <c r="AB122">
        <v>130</v>
      </c>
      <c r="AC122">
        <v>105</v>
      </c>
      <c r="AD122">
        <v>79</v>
      </c>
      <c r="AE122">
        <v>52</v>
      </c>
      <c r="AF122">
        <v>36</v>
      </c>
    </row>
    <row r="123" spans="1:32" x14ac:dyDescent="0.35">
      <c r="A123">
        <v>5</v>
      </c>
      <c r="B123">
        <v>8.680911</v>
      </c>
      <c r="C123">
        <v>42116</v>
      </c>
      <c r="D123">
        <v>36815</v>
      </c>
      <c r="E123">
        <v>32097</v>
      </c>
      <c r="F123">
        <v>27837</v>
      </c>
      <c r="G123">
        <v>24035</v>
      </c>
      <c r="H123">
        <v>20600</v>
      </c>
      <c r="I123">
        <v>17503</v>
      </c>
      <c r="J123">
        <v>14804</v>
      </c>
      <c r="K123">
        <v>12201</v>
      </c>
      <c r="L123">
        <v>9913</v>
      </c>
      <c r="M123">
        <v>7942</v>
      </c>
      <c r="N123">
        <v>6295</v>
      </c>
      <c r="O123">
        <v>4949</v>
      </c>
      <c r="P123">
        <v>3809</v>
      </c>
      <c r="Q123">
        <v>2945</v>
      </c>
      <c r="R123">
        <v>2224</v>
      </c>
      <c r="S123">
        <v>1723</v>
      </c>
      <c r="T123">
        <v>1348</v>
      </c>
      <c r="U123">
        <v>1024</v>
      </c>
      <c r="V123">
        <v>814</v>
      </c>
      <c r="W123">
        <v>622</v>
      </c>
      <c r="X123">
        <v>468</v>
      </c>
      <c r="Y123">
        <v>352</v>
      </c>
      <c r="Z123">
        <v>272</v>
      </c>
      <c r="AA123">
        <v>207</v>
      </c>
      <c r="AB123">
        <v>159</v>
      </c>
      <c r="AC123">
        <v>109</v>
      </c>
      <c r="AD123">
        <v>79</v>
      </c>
      <c r="AE123">
        <v>54</v>
      </c>
      <c r="AF123">
        <v>32</v>
      </c>
    </row>
    <row r="124" spans="1:32" x14ac:dyDescent="0.35">
      <c r="A124">
        <v>1</v>
      </c>
      <c r="B124">
        <v>8.2857730000000007</v>
      </c>
      <c r="C124">
        <v>40465</v>
      </c>
      <c r="D124">
        <v>35389</v>
      </c>
      <c r="E124">
        <v>30798</v>
      </c>
      <c r="F124">
        <v>26814</v>
      </c>
      <c r="G124">
        <v>23218</v>
      </c>
      <c r="H124">
        <v>19960</v>
      </c>
      <c r="I124">
        <v>16979</v>
      </c>
      <c r="J124">
        <v>14347</v>
      </c>
      <c r="K124">
        <v>11955</v>
      </c>
      <c r="L124">
        <v>9837</v>
      </c>
      <c r="M124">
        <v>8007</v>
      </c>
      <c r="N124">
        <v>6427</v>
      </c>
      <c r="O124">
        <v>5056</v>
      </c>
      <c r="P124">
        <v>3923</v>
      </c>
      <c r="Q124">
        <v>3031</v>
      </c>
      <c r="R124">
        <v>2353</v>
      </c>
      <c r="S124">
        <v>1852</v>
      </c>
      <c r="T124">
        <v>1446</v>
      </c>
      <c r="U124">
        <v>1143</v>
      </c>
      <c r="V124">
        <v>889</v>
      </c>
      <c r="W124">
        <v>687</v>
      </c>
      <c r="X124">
        <v>543</v>
      </c>
      <c r="Y124">
        <v>417</v>
      </c>
      <c r="Z124">
        <v>326</v>
      </c>
      <c r="AA124">
        <v>238</v>
      </c>
      <c r="AB124">
        <v>182</v>
      </c>
      <c r="AC124">
        <v>118</v>
      </c>
      <c r="AD124">
        <v>81</v>
      </c>
      <c r="AE124">
        <v>62</v>
      </c>
      <c r="AF124">
        <v>42</v>
      </c>
    </row>
    <row r="125" spans="1:32" x14ac:dyDescent="0.35">
      <c r="A125">
        <v>2</v>
      </c>
      <c r="B125">
        <v>8.6803840000000001</v>
      </c>
      <c r="C125">
        <v>41004</v>
      </c>
      <c r="D125">
        <v>35820</v>
      </c>
      <c r="E125">
        <v>31278</v>
      </c>
      <c r="F125">
        <v>27279</v>
      </c>
      <c r="G125">
        <v>23654</v>
      </c>
      <c r="H125">
        <v>20386</v>
      </c>
      <c r="I125">
        <v>17414</v>
      </c>
      <c r="J125">
        <v>14817</v>
      </c>
      <c r="K125">
        <v>12312</v>
      </c>
      <c r="L125">
        <v>10119</v>
      </c>
      <c r="M125">
        <v>8211</v>
      </c>
      <c r="N125">
        <v>6547</v>
      </c>
      <c r="O125">
        <v>5104</v>
      </c>
      <c r="P125">
        <v>4004</v>
      </c>
      <c r="Q125">
        <v>3134</v>
      </c>
      <c r="R125">
        <v>2446</v>
      </c>
      <c r="S125">
        <v>1918</v>
      </c>
      <c r="T125">
        <v>1487</v>
      </c>
      <c r="U125">
        <v>1160</v>
      </c>
      <c r="V125">
        <v>908</v>
      </c>
      <c r="W125">
        <v>707</v>
      </c>
      <c r="X125">
        <v>540</v>
      </c>
      <c r="Y125">
        <v>395</v>
      </c>
      <c r="Z125">
        <v>303</v>
      </c>
      <c r="AA125">
        <v>223</v>
      </c>
      <c r="AB125">
        <v>174</v>
      </c>
      <c r="AC125">
        <v>125</v>
      </c>
      <c r="AD125">
        <v>96</v>
      </c>
      <c r="AE125">
        <v>65</v>
      </c>
      <c r="AF125">
        <v>47</v>
      </c>
    </row>
    <row r="126" spans="1:32" x14ac:dyDescent="0.35">
      <c r="A126">
        <v>3</v>
      </c>
      <c r="B126">
        <v>8.6232430000000004</v>
      </c>
      <c r="C126">
        <v>40640</v>
      </c>
      <c r="D126">
        <v>35495</v>
      </c>
      <c r="E126">
        <v>30899</v>
      </c>
      <c r="F126">
        <v>26901</v>
      </c>
      <c r="G126">
        <v>23380</v>
      </c>
      <c r="H126">
        <v>20036</v>
      </c>
      <c r="I126">
        <v>17054</v>
      </c>
      <c r="J126">
        <v>14445</v>
      </c>
      <c r="K126">
        <v>12026</v>
      </c>
      <c r="L126">
        <v>9821</v>
      </c>
      <c r="M126">
        <v>8000</v>
      </c>
      <c r="N126">
        <v>6357</v>
      </c>
      <c r="O126">
        <v>5075</v>
      </c>
      <c r="P126">
        <v>3933</v>
      </c>
      <c r="Q126">
        <v>3051</v>
      </c>
      <c r="R126">
        <v>2385</v>
      </c>
      <c r="S126">
        <v>1884</v>
      </c>
      <c r="T126">
        <v>1443</v>
      </c>
      <c r="U126">
        <v>1144</v>
      </c>
      <c r="V126">
        <v>881</v>
      </c>
      <c r="W126">
        <v>688</v>
      </c>
      <c r="X126">
        <v>535</v>
      </c>
      <c r="Y126">
        <v>416</v>
      </c>
      <c r="Z126">
        <v>318</v>
      </c>
      <c r="AA126">
        <v>241</v>
      </c>
      <c r="AB126">
        <v>184</v>
      </c>
      <c r="AC126">
        <v>129</v>
      </c>
      <c r="AD126">
        <v>100</v>
      </c>
      <c r="AE126">
        <v>74</v>
      </c>
      <c r="AF126">
        <v>55</v>
      </c>
    </row>
    <row r="127" spans="1:32" x14ac:dyDescent="0.35">
      <c r="A127">
        <v>4</v>
      </c>
      <c r="B127">
        <v>8.682366</v>
      </c>
      <c r="C127">
        <v>41419</v>
      </c>
      <c r="D127">
        <v>36219</v>
      </c>
      <c r="E127">
        <v>31609</v>
      </c>
      <c r="F127">
        <v>27487</v>
      </c>
      <c r="G127">
        <v>23730</v>
      </c>
      <c r="H127">
        <v>20330</v>
      </c>
      <c r="I127">
        <v>17291</v>
      </c>
      <c r="J127">
        <v>14587</v>
      </c>
      <c r="K127">
        <v>12219</v>
      </c>
      <c r="L127">
        <v>10051</v>
      </c>
      <c r="M127">
        <v>8220</v>
      </c>
      <c r="N127">
        <v>6531</v>
      </c>
      <c r="O127">
        <v>5130</v>
      </c>
      <c r="P127">
        <v>3996</v>
      </c>
      <c r="Q127">
        <v>3133</v>
      </c>
      <c r="R127">
        <v>2448</v>
      </c>
      <c r="S127">
        <v>1898</v>
      </c>
      <c r="T127">
        <v>1484</v>
      </c>
      <c r="U127">
        <v>1128</v>
      </c>
      <c r="V127">
        <v>875</v>
      </c>
      <c r="W127">
        <v>681</v>
      </c>
      <c r="X127">
        <v>491</v>
      </c>
      <c r="Y127">
        <v>386</v>
      </c>
      <c r="Z127">
        <v>278</v>
      </c>
      <c r="AA127">
        <v>204</v>
      </c>
      <c r="AB127">
        <v>147</v>
      </c>
      <c r="AC127">
        <v>111</v>
      </c>
      <c r="AD127">
        <v>86</v>
      </c>
      <c r="AE127">
        <v>54</v>
      </c>
      <c r="AF127">
        <v>38</v>
      </c>
    </row>
    <row r="128" spans="1:32" x14ac:dyDescent="0.35">
      <c r="A128">
        <v>5</v>
      </c>
      <c r="B128">
        <v>8.6785650000000008</v>
      </c>
      <c r="C128">
        <v>42303</v>
      </c>
      <c r="D128">
        <v>36885</v>
      </c>
      <c r="E128">
        <v>32062</v>
      </c>
      <c r="F128">
        <v>27854</v>
      </c>
      <c r="G128">
        <v>24227</v>
      </c>
      <c r="H128">
        <v>20796</v>
      </c>
      <c r="I128">
        <v>17725</v>
      </c>
      <c r="J128">
        <v>14946</v>
      </c>
      <c r="K128">
        <v>12464</v>
      </c>
      <c r="L128">
        <v>10136</v>
      </c>
      <c r="M128">
        <v>8254</v>
      </c>
      <c r="N128">
        <v>6566</v>
      </c>
      <c r="O128">
        <v>5187</v>
      </c>
      <c r="P128">
        <v>4010</v>
      </c>
      <c r="Q128">
        <v>3100</v>
      </c>
      <c r="R128">
        <v>2398</v>
      </c>
      <c r="S128">
        <v>1866</v>
      </c>
      <c r="T128">
        <v>1461</v>
      </c>
      <c r="U128">
        <v>1145</v>
      </c>
      <c r="V128">
        <v>887</v>
      </c>
      <c r="W128">
        <v>694</v>
      </c>
      <c r="X128">
        <v>529</v>
      </c>
      <c r="Y128">
        <v>393</v>
      </c>
      <c r="Z128">
        <v>295</v>
      </c>
      <c r="AA128">
        <v>215</v>
      </c>
      <c r="AB128">
        <v>155</v>
      </c>
      <c r="AC128">
        <v>119</v>
      </c>
      <c r="AD128">
        <v>83</v>
      </c>
      <c r="AE128">
        <v>54</v>
      </c>
      <c r="AF128">
        <v>31</v>
      </c>
    </row>
  </sheetData>
  <conditionalFormatting sqref="Q5:Q34">
    <cfRule type="cellIs" dxfId="6" priority="1" operator="greaterThan">
      <formula>1000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1D5CF-FEC8-4B7E-8030-3ADC17EE5D96}">
  <sheetPr codeName="Sheet5"/>
  <dimension ref="A1:AW100"/>
  <sheetViews>
    <sheetView topLeftCell="B1" zoomScale="70" zoomScaleNormal="70" workbookViewId="0">
      <selection activeCell="F9" sqref="F9:F38"/>
    </sheetView>
  </sheetViews>
  <sheetFormatPr defaultColWidth="11.53125" defaultRowHeight="12.75" x14ac:dyDescent="0.35"/>
  <cols>
    <col min="12" max="12" width="12.3984375" customWidth="1"/>
  </cols>
  <sheetData>
    <row r="1" spans="1:49" x14ac:dyDescent="0.35">
      <c r="A1" t="s">
        <v>45</v>
      </c>
    </row>
    <row r="2" spans="1:49" ht="40.15" x14ac:dyDescent="0.4">
      <c r="A2" s="163" t="s">
        <v>46</v>
      </c>
      <c r="B2" s="163"/>
      <c r="C2" s="163"/>
      <c r="D2" s="163"/>
      <c r="E2" s="163"/>
      <c r="H2" s="26" t="s">
        <v>47</v>
      </c>
    </row>
    <row r="3" spans="1:49" ht="13.9" x14ac:dyDescent="0.4">
      <c r="A3" t="s">
        <v>48</v>
      </c>
      <c r="B3" s="136" t="str">
        <f>'Clause 6'!$B$7</f>
        <v>11171-00009</v>
      </c>
      <c r="D3" t="s">
        <v>49</v>
      </c>
      <c r="E3" s="27">
        <f>'Clause 6'!$G$11</f>
        <v>1</v>
      </c>
    </row>
    <row r="4" spans="1:49" ht="18.100000000000001" customHeight="1" x14ac:dyDescent="1.05">
      <c r="A4" s="27" t="s">
        <v>8</v>
      </c>
      <c r="B4" s="137">
        <f>'Clause 6'!$B$4</f>
        <v>46181</v>
      </c>
      <c r="D4" t="s">
        <v>180</v>
      </c>
      <c r="E4" s="30">
        <f>'Clause 6'!$D$18</f>
        <v>1</v>
      </c>
      <c r="O4" s="28"/>
    </row>
    <row r="5" spans="1:49" ht="13.9" x14ac:dyDescent="0.4">
      <c r="A5" s="27" t="s">
        <v>4</v>
      </c>
      <c r="B5" s="138" t="str">
        <f>'Clause 6'!$B$3</f>
        <v>Partistan 37D</v>
      </c>
      <c r="O5" s="29"/>
    </row>
    <row r="6" spans="1:49" ht="13.15" x14ac:dyDescent="0.4">
      <c r="C6" s="27"/>
      <c r="D6" s="27"/>
      <c r="E6" s="27"/>
      <c r="F6" s="27"/>
    </row>
    <row r="7" spans="1:49" ht="14.65" x14ac:dyDescent="0.5">
      <c r="B7" s="14" t="s">
        <v>50</v>
      </c>
      <c r="C7" s="14" t="s">
        <v>51</v>
      </c>
      <c r="D7" s="14" t="s">
        <v>52</v>
      </c>
      <c r="E7" s="14" t="s">
        <v>53</v>
      </c>
      <c r="F7" s="14" t="s">
        <v>54</v>
      </c>
      <c r="G7" s="14" t="s">
        <v>55</v>
      </c>
      <c r="H7" s="14" t="s">
        <v>56</v>
      </c>
      <c r="I7" s="14" t="s">
        <v>57</v>
      </c>
      <c r="J7" s="14" t="s">
        <v>58</v>
      </c>
      <c r="K7" s="14" t="s">
        <v>59</v>
      </c>
      <c r="L7" s="14" t="s">
        <v>60</v>
      </c>
      <c r="M7" s="14" t="s">
        <v>61</v>
      </c>
      <c r="O7" s="80" t="s">
        <v>50</v>
      </c>
      <c r="P7" s="80" t="s">
        <v>51</v>
      </c>
      <c r="Q7" s="80" t="s">
        <v>52</v>
      </c>
      <c r="R7" s="80" t="s">
        <v>53</v>
      </c>
      <c r="S7" s="80" t="s">
        <v>54</v>
      </c>
    </row>
    <row r="8" spans="1:49" ht="13.15" x14ac:dyDescent="0.4">
      <c r="A8" s="11" t="s">
        <v>62</v>
      </c>
      <c r="B8" s="30">
        <f>B52/$E$4</f>
        <v>4.0547430000000002</v>
      </c>
      <c r="C8" s="30">
        <f t="shared" ref="C8:F8" si="0">C52/$E$4</f>
        <v>4.8094239999999999</v>
      </c>
      <c r="D8" s="30">
        <f t="shared" si="0"/>
        <v>4.7879189999999996</v>
      </c>
      <c r="E8" s="30">
        <f t="shared" si="0"/>
        <v>4.8084129999999998</v>
      </c>
      <c r="F8" s="30">
        <f t="shared" si="0"/>
        <v>4.8073949999999996</v>
      </c>
      <c r="G8" s="31">
        <f>AVERAGE(B$8:F$8)*5</f>
        <v>23.267893999999998</v>
      </c>
      <c r="I8" s="32"/>
      <c r="K8" s="32"/>
      <c r="O8" s="81"/>
      <c r="P8" s="81"/>
      <c r="Q8" s="81"/>
      <c r="R8" s="81"/>
      <c r="S8" s="81"/>
    </row>
    <row r="9" spans="1:49" ht="13.15" x14ac:dyDescent="0.4">
      <c r="A9" s="11" t="s">
        <v>63</v>
      </c>
      <c r="B9" s="30">
        <f>B53*$E$4</f>
        <v>17172.728515999999</v>
      </c>
      <c r="C9" s="30">
        <f t="shared" ref="C9:F9" si="1">C53*$E$4</f>
        <v>18013.798827999999</v>
      </c>
      <c r="D9" s="30">
        <f t="shared" si="1"/>
        <v>17694.746093999998</v>
      </c>
      <c r="E9" s="30">
        <f t="shared" si="1"/>
        <v>17755.755859000001</v>
      </c>
      <c r="F9" s="30"/>
      <c r="G9" s="33">
        <f>AVERAGE(B9:F9)</f>
        <v>17659.25732425</v>
      </c>
      <c r="H9" s="34">
        <f>G9*G$8</f>
        <v>410893.72753937263</v>
      </c>
      <c r="I9" s="32">
        <f t="shared" ref="I9:I38" si="2">STDEVP(B9:F9)/AVERAGE(B9:F9)</f>
        <v>1.7291837459337416E-2</v>
      </c>
      <c r="J9" s="32">
        <f t="shared" ref="J9:J38" si="3">IF(H9&gt;$A$43, $C$43, IF(H9&gt;$A$44, $C$44, IF(H9&gt;$A$45,$C$45,IF(H9&gt;$A$46,$C$46, IF(H9&gt;$A$47,$C$47,IF(H9&gt;$A$48,$C$48,$C$49))))))/100</f>
        <v>0.11</v>
      </c>
      <c r="K9" s="32">
        <f>(MAX(B9:F9)-MIN(B9:F9))/G9</f>
        <v>4.762772842349533E-2</v>
      </c>
      <c r="L9" s="16">
        <f>G9/'Clause 6'!$G$11</f>
        <v>17659.25732425</v>
      </c>
      <c r="M9">
        <f t="shared" ref="M9:M38" si="4">COUNTA(B9:F9)</f>
        <v>4</v>
      </c>
      <c r="O9" s="82">
        <f>IF(ISNUMBER(B9), (B9/$G9-1), 0)</f>
        <v>-2.7550921271297768E-2</v>
      </c>
      <c r="P9" s="82">
        <f t="shared" ref="P9:S38" si="5">IF(ISNUMBER(C9), (C9/$G9-1), 0)</f>
        <v>2.0076807152197507E-2</v>
      </c>
      <c r="Q9" s="82">
        <f t="shared" si="5"/>
        <v>2.0096411246730561E-3</v>
      </c>
      <c r="R9" s="82">
        <f t="shared" si="5"/>
        <v>5.4644729944268722E-3</v>
      </c>
      <c r="S9" s="82">
        <f t="shared" si="5"/>
        <v>0</v>
      </c>
    </row>
    <row r="10" spans="1:49" ht="13.15" x14ac:dyDescent="0.4">
      <c r="A10" s="11" t="s">
        <v>64</v>
      </c>
      <c r="B10" s="30">
        <f t="shared" ref="B10:F10" si="6">B54*$E$4</f>
        <v>14791.320312</v>
      </c>
      <c r="C10" s="30">
        <f t="shared" si="6"/>
        <v>15499.568359000001</v>
      </c>
      <c r="D10" s="30">
        <f t="shared" si="6"/>
        <v>15225.614258</v>
      </c>
      <c r="E10" s="30">
        <f t="shared" si="6"/>
        <v>15256.802734000001</v>
      </c>
      <c r="F10" s="30"/>
      <c r="G10" s="33">
        <f t="shared" ref="G10:G38" si="7">AVERAGE(B10:F10)</f>
        <v>15193.326415750002</v>
      </c>
      <c r="H10" s="34">
        <f t="shared" ref="H10:H38" si="8">G10*G$8</f>
        <v>353516.70854907093</v>
      </c>
      <c r="I10" s="32">
        <f t="shared" si="2"/>
        <v>1.6795449894137348E-2</v>
      </c>
      <c r="J10" s="32">
        <f t="shared" si="3"/>
        <v>0.11</v>
      </c>
      <c r="K10" s="32">
        <f t="shared" ref="K10:K38" si="9">(MAX(B10:F10)-MIN(B10:F10))/G10</f>
        <v>4.6615732961927489E-2</v>
      </c>
      <c r="L10" s="16">
        <f>G10/'Clause 6'!$G$11</f>
        <v>15193.326415750002</v>
      </c>
      <c r="M10">
        <f t="shared" si="4"/>
        <v>4</v>
      </c>
      <c r="O10" s="82">
        <f t="shared" ref="O10:O38" si="10">IF(ISNUMBER(B10), (B10/$G10-1), 0)</f>
        <v>-2.6459387019636904E-2</v>
      </c>
      <c r="P10" s="82">
        <f t="shared" si="5"/>
        <v>2.0156345942290654E-2</v>
      </c>
      <c r="Q10" s="82">
        <f t="shared" si="5"/>
        <v>2.1251331911442684E-3</v>
      </c>
      <c r="R10" s="82">
        <f t="shared" si="5"/>
        <v>4.1779078862016483E-3</v>
      </c>
      <c r="S10" s="82">
        <f t="shared" si="5"/>
        <v>0</v>
      </c>
    </row>
    <row r="11" spans="1:49" ht="13.15" x14ac:dyDescent="0.4">
      <c r="A11" s="11" t="s">
        <v>65</v>
      </c>
      <c r="B11" s="30">
        <f t="shared" ref="B11:F11" si="11">B55*$E$4</f>
        <v>12886.637694999999</v>
      </c>
      <c r="C11" s="30">
        <f t="shared" si="11"/>
        <v>13455.248046999999</v>
      </c>
      <c r="D11" s="30">
        <f t="shared" si="11"/>
        <v>13232.889648</v>
      </c>
      <c r="E11" s="30">
        <f t="shared" si="11"/>
        <v>13263.212890999999</v>
      </c>
      <c r="F11" s="30"/>
      <c r="G11" s="33">
        <f t="shared" si="7"/>
        <v>13209.49707025</v>
      </c>
      <c r="H11" s="34">
        <f t="shared" si="8"/>
        <v>307357.17762388755</v>
      </c>
      <c r="I11" s="32">
        <f t="shared" si="2"/>
        <v>1.5517490346373779E-2</v>
      </c>
      <c r="J11" s="32">
        <f t="shared" si="3"/>
        <v>0.11</v>
      </c>
      <c r="K11" s="32">
        <f t="shared" si="9"/>
        <v>4.3045571604736224E-2</v>
      </c>
      <c r="L11" s="16">
        <f>G11/'Clause 6'!$G$11</f>
        <v>13209.49707025</v>
      </c>
      <c r="M11">
        <f t="shared" si="4"/>
        <v>4</v>
      </c>
      <c r="O11" s="82">
        <f t="shared" si="10"/>
        <v>-2.4441458560684581E-2</v>
      </c>
      <c r="P11" s="82">
        <f t="shared" si="5"/>
        <v>1.8604113044051518E-2</v>
      </c>
      <c r="Q11" s="82">
        <f t="shared" si="5"/>
        <v>1.7708908693190306E-3</v>
      </c>
      <c r="R11" s="82">
        <f t="shared" si="5"/>
        <v>4.0664546473141439E-3</v>
      </c>
      <c r="S11" s="82">
        <f t="shared" si="5"/>
        <v>0</v>
      </c>
    </row>
    <row r="12" spans="1:49" ht="13.15" x14ac:dyDescent="0.4">
      <c r="A12" s="11" t="s">
        <v>66</v>
      </c>
      <c r="B12" s="30">
        <f t="shared" ref="B12:F12" si="12">B56*$E$4</f>
        <v>11006.863281</v>
      </c>
      <c r="C12" s="30">
        <f t="shared" si="12"/>
        <v>11483.910156</v>
      </c>
      <c r="D12" s="30">
        <f t="shared" si="12"/>
        <v>11296.975586</v>
      </c>
      <c r="E12" s="30">
        <f t="shared" si="12"/>
        <v>11344.700194999999</v>
      </c>
      <c r="F12" s="30"/>
      <c r="G12" s="33">
        <f t="shared" si="7"/>
        <v>11283.112304499999</v>
      </c>
      <c r="H12" s="34">
        <f t="shared" si="8"/>
        <v>262534.26109120168</v>
      </c>
      <c r="I12" s="32">
        <f t="shared" si="2"/>
        <v>1.5390338124233592E-2</v>
      </c>
      <c r="J12" s="32">
        <f t="shared" si="3"/>
        <v>0.11</v>
      </c>
      <c r="K12" s="32">
        <f t="shared" si="9"/>
        <v>4.2279724080184974E-2</v>
      </c>
      <c r="L12" s="16">
        <f>G12/'Clause 6'!$G$11</f>
        <v>11283.112304499999</v>
      </c>
      <c r="M12">
        <f t="shared" si="4"/>
        <v>4</v>
      </c>
      <c r="O12" s="82">
        <f t="shared" si="10"/>
        <v>-2.4483406354984472E-2</v>
      </c>
      <c r="P12" s="82">
        <f t="shared" si="5"/>
        <v>1.7796317725200517E-2</v>
      </c>
      <c r="Q12" s="82">
        <f t="shared" si="5"/>
        <v>1.2286753092471958E-3</v>
      </c>
      <c r="R12" s="82">
        <f t="shared" si="5"/>
        <v>5.4584133205373142E-3</v>
      </c>
      <c r="S12" s="82">
        <f t="shared" si="5"/>
        <v>0</v>
      </c>
    </row>
    <row r="13" spans="1:49" ht="13.15" x14ac:dyDescent="0.4">
      <c r="A13" s="11" t="s">
        <v>67</v>
      </c>
      <c r="B13" s="30">
        <f t="shared" ref="B13:F13" si="13">B57*$E$4</f>
        <v>9332.28125</v>
      </c>
      <c r="C13" s="30">
        <f t="shared" si="13"/>
        <v>9714.2597659999992</v>
      </c>
      <c r="D13" s="30">
        <f t="shared" si="13"/>
        <v>9560.9394530000009</v>
      </c>
      <c r="E13" s="30">
        <f t="shared" si="13"/>
        <v>9625.2138670000004</v>
      </c>
      <c r="F13" s="30"/>
      <c r="G13" s="33">
        <f t="shared" si="7"/>
        <v>9558.1735840000001</v>
      </c>
      <c r="H13" s="34">
        <f t="shared" si="8"/>
        <v>222398.56978611209</v>
      </c>
      <c r="I13" s="32">
        <f t="shared" si="2"/>
        <v>1.4785892086586335E-2</v>
      </c>
      <c r="J13" s="32">
        <f t="shared" si="3"/>
        <v>0.11</v>
      </c>
      <c r="K13" s="32">
        <f t="shared" si="9"/>
        <v>3.9963546659103989E-2</v>
      </c>
      <c r="L13" s="16">
        <f>G13/'Clause 6'!$G$11</f>
        <v>9558.1735840000001</v>
      </c>
      <c r="M13">
        <f t="shared" si="4"/>
        <v>4</v>
      </c>
      <c r="O13" s="82">
        <f t="shared" si="10"/>
        <v>-2.3633420340695044E-2</v>
      </c>
      <c r="P13" s="82">
        <f t="shared" si="5"/>
        <v>1.63301263184088E-2</v>
      </c>
      <c r="Q13" s="82">
        <f t="shared" si="5"/>
        <v>2.8937212488289177E-4</v>
      </c>
      <c r="R13" s="82">
        <f t="shared" si="5"/>
        <v>7.0139218974034634E-3</v>
      </c>
      <c r="S13" s="82">
        <f t="shared" si="5"/>
        <v>0</v>
      </c>
    </row>
    <row r="14" spans="1:49" ht="13.15" x14ac:dyDescent="0.4">
      <c r="A14" s="11" t="s">
        <v>68</v>
      </c>
      <c r="B14" s="30">
        <f t="shared" ref="B14:F14" si="14">B58*$E$4</f>
        <v>7981.7641599999997</v>
      </c>
      <c r="C14" s="30">
        <f t="shared" si="14"/>
        <v>8287.2705079999996</v>
      </c>
      <c r="D14" s="30">
        <f t="shared" si="14"/>
        <v>8145.7109380000002</v>
      </c>
      <c r="E14" s="30">
        <f t="shared" si="14"/>
        <v>8210.1943360000005</v>
      </c>
      <c r="F14" s="30"/>
      <c r="G14" s="33">
        <f t="shared" si="7"/>
        <v>8156.2349855000002</v>
      </c>
      <c r="H14" s="34">
        <f t="shared" si="8"/>
        <v>189778.41108170553</v>
      </c>
      <c r="I14" s="32">
        <f t="shared" si="2"/>
        <v>1.3794183777950924E-2</v>
      </c>
      <c r="J14" s="32">
        <f t="shared" si="3"/>
        <v>0.11</v>
      </c>
      <c r="K14" s="32">
        <f t="shared" si="9"/>
        <v>3.7456785948801537E-2</v>
      </c>
      <c r="L14" s="16">
        <f>G14/'Clause 6'!$G$11</f>
        <v>8156.2349855000002</v>
      </c>
      <c r="M14">
        <f t="shared" si="4"/>
        <v>4</v>
      </c>
      <c r="O14" s="82">
        <f t="shared" si="10"/>
        <v>-2.1391098443113932E-2</v>
      </c>
      <c r="P14" s="82">
        <f t="shared" si="5"/>
        <v>1.6065687505687487E-2</v>
      </c>
      <c r="Q14" s="82">
        <f t="shared" si="5"/>
        <v>-1.2903070496018687E-3</v>
      </c>
      <c r="R14" s="82">
        <f t="shared" si="5"/>
        <v>6.6157179870280913E-3</v>
      </c>
      <c r="S14" s="82">
        <f t="shared" si="5"/>
        <v>0</v>
      </c>
    </row>
    <row r="15" spans="1:49" ht="13.15" x14ac:dyDescent="0.4">
      <c r="A15" s="11" t="s">
        <v>69</v>
      </c>
      <c r="B15" s="30">
        <f t="shared" ref="B15:F15" si="15">B59*$E$4</f>
        <v>6715.8388670000004</v>
      </c>
      <c r="C15" s="30">
        <f t="shared" si="15"/>
        <v>6921.4101559999999</v>
      </c>
      <c r="D15" s="30">
        <f t="shared" si="15"/>
        <v>6860.6010740000002</v>
      </c>
      <c r="E15" s="30">
        <f t="shared" si="15"/>
        <v>6911.0126950000003</v>
      </c>
      <c r="F15" s="30"/>
      <c r="G15" s="33">
        <f t="shared" si="7"/>
        <v>6852.2156980000009</v>
      </c>
      <c r="H15" s="34">
        <f t="shared" si="8"/>
        <v>159436.62852620002</v>
      </c>
      <c r="I15" s="32">
        <f t="shared" si="2"/>
        <v>1.1970916804801937E-2</v>
      </c>
      <c r="J15" s="32">
        <f t="shared" si="3"/>
        <v>0.11</v>
      </c>
      <c r="K15" s="32">
        <f t="shared" si="9"/>
        <v>3.0000703138986257E-2</v>
      </c>
      <c r="L15" s="16">
        <f>G15/'Clause 6'!$G$11</f>
        <v>6852.2156980000009</v>
      </c>
      <c r="M15">
        <f t="shared" si="4"/>
        <v>4</v>
      </c>
      <c r="O15" s="82">
        <f t="shared" si="10"/>
        <v>-1.9902588740720151E-2</v>
      </c>
      <c r="P15" s="82">
        <f t="shared" si="5"/>
        <v>1.0098114398266134E-2</v>
      </c>
      <c r="Q15" s="82">
        <f t="shared" si="5"/>
        <v>1.2237466491964444E-3</v>
      </c>
      <c r="R15" s="82">
        <f t="shared" si="5"/>
        <v>8.5807276932570176E-3</v>
      </c>
      <c r="S15" s="82">
        <f t="shared" si="5"/>
        <v>0</v>
      </c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</row>
    <row r="16" spans="1:49" ht="13.15" x14ac:dyDescent="0.4">
      <c r="A16" s="11" t="s">
        <v>70</v>
      </c>
      <c r="B16" s="30">
        <f t="shared" ref="B16:F16" si="16">B60*$E$4</f>
        <v>5611.453125</v>
      </c>
      <c r="C16" s="30">
        <f t="shared" si="16"/>
        <v>5767.841797</v>
      </c>
      <c r="D16" s="30">
        <f t="shared" si="16"/>
        <v>5697.2563479999999</v>
      </c>
      <c r="E16" s="30">
        <f t="shared" si="16"/>
        <v>5761.3608400000003</v>
      </c>
      <c r="F16" s="30"/>
      <c r="G16" s="33">
        <f t="shared" si="7"/>
        <v>5709.4780275000003</v>
      </c>
      <c r="H16" s="34">
        <f t="shared" si="8"/>
        <v>132847.52953919908</v>
      </c>
      <c r="I16" s="32">
        <f t="shared" si="2"/>
        <v>1.1027472610373876E-2</v>
      </c>
      <c r="J16" s="32">
        <f t="shared" si="3"/>
        <v>0.11</v>
      </c>
      <c r="K16" s="32">
        <f t="shared" si="9"/>
        <v>2.7391062938984231E-2</v>
      </c>
      <c r="L16" s="16">
        <f>G16/'Clause 6'!$G$11</f>
        <v>5709.4780275000003</v>
      </c>
      <c r="M16">
        <f t="shared" si="4"/>
        <v>4</v>
      </c>
      <c r="O16" s="82">
        <f t="shared" si="10"/>
        <v>-1.7168802827133844E-2</v>
      </c>
      <c r="P16" s="82">
        <f t="shared" si="5"/>
        <v>1.0222260111850456E-2</v>
      </c>
      <c r="Q16" s="82">
        <f t="shared" si="5"/>
        <v>-2.1405948917105899E-3</v>
      </c>
      <c r="R16" s="82">
        <f t="shared" si="5"/>
        <v>9.087137606993867E-3</v>
      </c>
      <c r="S16" s="82">
        <f t="shared" si="5"/>
        <v>0</v>
      </c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</row>
    <row r="17" spans="1:49" ht="13.15" x14ac:dyDescent="0.4">
      <c r="A17" s="11" t="s">
        <v>71</v>
      </c>
      <c r="B17" s="30">
        <f t="shared" ref="B17:F17" si="17">B61*$E$4</f>
        <v>4622.2412109999996</v>
      </c>
      <c r="C17" s="30">
        <f t="shared" si="17"/>
        <v>4746.5141599999997</v>
      </c>
      <c r="D17" s="30">
        <f t="shared" si="17"/>
        <v>4667.9990230000003</v>
      </c>
      <c r="E17" s="30">
        <f t="shared" si="17"/>
        <v>4744.3930659999996</v>
      </c>
      <c r="F17" s="30"/>
      <c r="G17" s="33">
        <f t="shared" si="7"/>
        <v>4695.286865</v>
      </c>
      <c r="H17" s="34">
        <f t="shared" si="8"/>
        <v>109249.4370744123</v>
      </c>
      <c r="I17" s="32">
        <f t="shared" si="2"/>
        <v>1.1227450226993906E-2</v>
      </c>
      <c r="J17" s="32">
        <f t="shared" si="3"/>
        <v>0.11</v>
      </c>
      <c r="K17" s="32">
        <f t="shared" si="9"/>
        <v>2.646759454174482E-2</v>
      </c>
      <c r="L17" s="16">
        <f>G17/'Clause 6'!$G$11</f>
        <v>4695.286865</v>
      </c>
      <c r="M17">
        <f t="shared" si="4"/>
        <v>4</v>
      </c>
      <c r="O17" s="82">
        <f t="shared" si="10"/>
        <v>-1.5557229217346369E-2</v>
      </c>
      <c r="P17" s="82">
        <f t="shared" si="5"/>
        <v>1.0910365324398485E-2</v>
      </c>
      <c r="Q17" s="82">
        <f t="shared" si="5"/>
        <v>-5.8117518236022736E-3</v>
      </c>
      <c r="R17" s="82">
        <f t="shared" si="5"/>
        <v>1.0458615716550046E-2</v>
      </c>
      <c r="S17" s="82">
        <f t="shared" si="5"/>
        <v>0</v>
      </c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</row>
    <row r="18" spans="1:49" ht="13.15" x14ac:dyDescent="0.4">
      <c r="A18" s="11" t="s">
        <v>72</v>
      </c>
      <c r="B18" s="30">
        <f t="shared" ref="B18:F18" si="18">B62*$E$4</f>
        <v>3725.0205080000001</v>
      </c>
      <c r="C18" s="30">
        <f t="shared" si="18"/>
        <v>3803.7814939999998</v>
      </c>
      <c r="D18" s="30">
        <f t="shared" si="18"/>
        <v>3759.4624020000001</v>
      </c>
      <c r="E18" s="30">
        <f t="shared" si="18"/>
        <v>3802.9182129999999</v>
      </c>
      <c r="F18" s="30"/>
      <c r="G18" s="33">
        <f t="shared" si="7"/>
        <v>3772.7956542500006</v>
      </c>
      <c r="H18" s="34">
        <f t="shared" si="8"/>
        <v>87785.009366749655</v>
      </c>
      <c r="I18" s="32">
        <f t="shared" si="2"/>
        <v>8.7184012260001047E-3</v>
      </c>
      <c r="J18" s="32">
        <f t="shared" si="3"/>
        <v>0.11</v>
      </c>
      <c r="K18" s="32">
        <f t="shared" si="9"/>
        <v>2.0876027545058438E-2</v>
      </c>
      <c r="L18" s="16">
        <f>G18/'Clause 6'!$G$11</f>
        <v>3772.7956542500006</v>
      </c>
      <c r="M18">
        <f t="shared" si="4"/>
        <v>4</v>
      </c>
      <c r="O18" s="82">
        <f t="shared" si="10"/>
        <v>-1.2663062256282664E-2</v>
      </c>
      <c r="P18" s="82">
        <f t="shared" si="5"/>
        <v>8.2129652887756865E-3</v>
      </c>
      <c r="Q18" s="82">
        <f t="shared" si="5"/>
        <v>-3.5340509987549229E-3</v>
      </c>
      <c r="R18" s="82">
        <f t="shared" si="5"/>
        <v>7.9841479662612347E-3</v>
      </c>
      <c r="S18" s="82">
        <f t="shared" si="5"/>
        <v>0</v>
      </c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</row>
    <row r="19" spans="1:49" ht="13.15" x14ac:dyDescent="0.4">
      <c r="A19" s="11" t="s">
        <v>73</v>
      </c>
      <c r="B19" s="30">
        <f t="shared" ref="B19:F19" si="19">B63*$E$4</f>
        <v>2967.6357419999999</v>
      </c>
      <c r="C19" s="30">
        <f t="shared" si="19"/>
        <v>3038.2014159999999</v>
      </c>
      <c r="D19" s="30">
        <f t="shared" si="19"/>
        <v>2978.1208499999998</v>
      </c>
      <c r="E19" s="30">
        <f t="shared" si="19"/>
        <v>3023.243164</v>
      </c>
      <c r="F19" s="30"/>
      <c r="G19" s="33">
        <f t="shared" si="7"/>
        <v>3001.8002929999998</v>
      </c>
      <c r="H19" s="34">
        <f t="shared" si="8"/>
        <v>69845.571026692938</v>
      </c>
      <c r="I19" s="32">
        <f t="shared" si="2"/>
        <v>9.8721814807402886E-3</v>
      </c>
      <c r="J19" s="32">
        <f t="shared" si="3"/>
        <v>0.11</v>
      </c>
      <c r="K19" s="32">
        <f t="shared" si="9"/>
        <v>2.3507784366786307E-2</v>
      </c>
      <c r="L19" s="16">
        <f>G19/'Clause 6'!$G$11</f>
        <v>3001.8002929999998</v>
      </c>
      <c r="M19">
        <f t="shared" si="4"/>
        <v>4</v>
      </c>
      <c r="O19" s="82">
        <f t="shared" si="10"/>
        <v>-1.1381353742841993E-2</v>
      </c>
      <c r="P19" s="82">
        <f t="shared" si="5"/>
        <v>1.2126430623944362E-2</v>
      </c>
      <c r="Q19" s="82">
        <f t="shared" si="5"/>
        <v>-7.8884138479228261E-3</v>
      </c>
      <c r="R19" s="82">
        <f t="shared" si="5"/>
        <v>7.1433369668207902E-3</v>
      </c>
      <c r="S19" s="82">
        <f t="shared" si="5"/>
        <v>0</v>
      </c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</row>
    <row r="20" spans="1:49" ht="13.15" x14ac:dyDescent="0.4">
      <c r="A20" s="11" t="s">
        <v>74</v>
      </c>
      <c r="B20" s="30">
        <f t="shared" ref="B20:F20" si="20">B64*$E$4</f>
        <v>2299.2827149999998</v>
      </c>
      <c r="C20" s="30">
        <f t="shared" si="20"/>
        <v>2353.919922</v>
      </c>
      <c r="D20" s="30">
        <f t="shared" si="20"/>
        <v>2300.5820309999999</v>
      </c>
      <c r="E20" s="30">
        <f t="shared" si="20"/>
        <v>2330.0830080000001</v>
      </c>
      <c r="F20" s="30"/>
      <c r="G20" s="33">
        <f t="shared" si="7"/>
        <v>2320.966919</v>
      </c>
      <c r="H20" s="34">
        <f t="shared" si="8"/>
        <v>54004.012248798579</v>
      </c>
      <c r="I20" s="32">
        <f t="shared" si="2"/>
        <v>9.7651910331253439E-3</v>
      </c>
      <c r="J20" s="32">
        <f t="shared" si="3"/>
        <v>0.11</v>
      </c>
      <c r="K20" s="32">
        <f t="shared" si="9"/>
        <v>2.3540709069451507E-2</v>
      </c>
      <c r="L20" s="16">
        <f>G20/'Clause 6'!$G$11</f>
        <v>2320.966919</v>
      </c>
      <c r="M20">
        <f t="shared" si="4"/>
        <v>4</v>
      </c>
      <c r="O20" s="82">
        <f t="shared" si="10"/>
        <v>-9.3427458282528963E-3</v>
      </c>
      <c r="P20" s="82">
        <f t="shared" si="5"/>
        <v>1.4197963241198597E-2</v>
      </c>
      <c r="Q20" s="82">
        <f t="shared" si="5"/>
        <v>-8.7829291460918002E-3</v>
      </c>
      <c r="R20" s="82">
        <f t="shared" si="5"/>
        <v>3.9277117331459888E-3</v>
      </c>
      <c r="S20" s="82">
        <f t="shared" si="5"/>
        <v>0</v>
      </c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</row>
    <row r="21" spans="1:49" ht="13.15" x14ac:dyDescent="0.4">
      <c r="A21" s="11" t="s">
        <v>75</v>
      </c>
      <c r="B21" s="30">
        <f t="shared" ref="B21:F21" si="21">B65*$E$4</f>
        <v>1751.529053</v>
      </c>
      <c r="C21" s="30">
        <f t="shared" si="21"/>
        <v>1801.878784</v>
      </c>
      <c r="D21" s="30">
        <f t="shared" si="21"/>
        <v>1765.0676269999999</v>
      </c>
      <c r="E21" s="30">
        <f t="shared" si="21"/>
        <v>1774.182251</v>
      </c>
      <c r="F21" s="30"/>
      <c r="G21" s="33">
        <f t="shared" si="7"/>
        <v>1773.1644287499998</v>
      </c>
      <c r="H21" s="34">
        <f t="shared" si="8"/>
        <v>41257.801972725545</v>
      </c>
      <c r="I21" s="32">
        <f t="shared" si="2"/>
        <v>1.0395905716796215E-2</v>
      </c>
      <c r="J21" s="32">
        <f t="shared" si="3"/>
        <v>0.11</v>
      </c>
      <c r="K21" s="32">
        <f t="shared" si="9"/>
        <v>2.8395410027198822E-2</v>
      </c>
      <c r="L21" s="16">
        <f>G21/'Clause 6'!$G$11</f>
        <v>1773.1644287499998</v>
      </c>
      <c r="M21">
        <f t="shared" si="4"/>
        <v>4</v>
      </c>
      <c r="O21" s="82">
        <f t="shared" si="10"/>
        <v>-1.2201562020535128E-2</v>
      </c>
      <c r="P21" s="82">
        <f t="shared" si="5"/>
        <v>1.619384800666368E-2</v>
      </c>
      <c r="Q21" s="82">
        <f t="shared" si="5"/>
        <v>-4.566300574678106E-3</v>
      </c>
      <c r="R21" s="82">
        <f t="shared" si="5"/>
        <v>5.7401458854977605E-4</v>
      </c>
      <c r="S21" s="82">
        <f t="shared" si="5"/>
        <v>0</v>
      </c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</row>
    <row r="22" spans="1:49" ht="13.15" x14ac:dyDescent="0.4">
      <c r="A22" s="11" t="s">
        <v>76</v>
      </c>
      <c r="B22" s="30">
        <f t="shared" ref="B22:F22" si="22">B66*$E$4</f>
        <v>1317.2229</v>
      </c>
      <c r="C22" s="30">
        <f t="shared" si="22"/>
        <v>1366.483643</v>
      </c>
      <c r="D22" s="30">
        <f t="shared" si="22"/>
        <v>1326.6724850000001</v>
      </c>
      <c r="E22" s="30">
        <f t="shared" si="22"/>
        <v>1331.2086179999999</v>
      </c>
      <c r="F22" s="30"/>
      <c r="G22" s="33">
        <f t="shared" si="7"/>
        <v>1335.3969115</v>
      </c>
      <c r="H22" s="34">
        <f t="shared" si="8"/>
        <v>31071.87378470938</v>
      </c>
      <c r="I22" s="32">
        <f t="shared" si="2"/>
        <v>1.3961101209497735E-2</v>
      </c>
      <c r="J22" s="32">
        <f t="shared" si="3"/>
        <v>0.11</v>
      </c>
      <c r="K22" s="32">
        <f t="shared" si="9"/>
        <v>3.6888465575876876E-2</v>
      </c>
      <c r="L22" s="16">
        <f>G22/'Clause 6'!$G$11</f>
        <v>1335.3969115</v>
      </c>
      <c r="M22">
        <f t="shared" si="4"/>
        <v>4</v>
      </c>
      <c r="O22" s="82">
        <f t="shared" si="10"/>
        <v>-1.3609445509040308E-2</v>
      </c>
      <c r="P22" s="82">
        <f t="shared" si="5"/>
        <v>2.3279020066836464E-2</v>
      </c>
      <c r="Q22" s="82">
        <f t="shared" si="5"/>
        <v>-6.5332085351313962E-3</v>
      </c>
      <c r="R22" s="82">
        <f t="shared" si="5"/>
        <v>-3.1363660226647605E-3</v>
      </c>
      <c r="S22" s="82">
        <f t="shared" si="5"/>
        <v>0</v>
      </c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</row>
    <row r="23" spans="1:49" ht="13.15" x14ac:dyDescent="0.4">
      <c r="A23" s="11" t="s">
        <v>77</v>
      </c>
      <c r="B23" s="30">
        <f t="shared" ref="B23:F23" si="23">B67*$E$4</f>
        <v>972.44146699999999</v>
      </c>
      <c r="C23" s="30">
        <f t="shared" si="23"/>
        <v>1013.634827</v>
      </c>
      <c r="D23" s="30">
        <f t="shared" si="23"/>
        <v>991.66265899999996</v>
      </c>
      <c r="E23" s="30">
        <f t="shared" si="23"/>
        <v>992.01141399999995</v>
      </c>
      <c r="F23" s="30"/>
      <c r="G23" s="33">
        <f t="shared" si="7"/>
        <v>992.43759175000002</v>
      </c>
      <c r="H23" s="34">
        <f t="shared" si="8"/>
        <v>23091.932686454275</v>
      </c>
      <c r="I23" s="32">
        <f t="shared" si="2"/>
        <v>1.4688027290026131E-2</v>
      </c>
      <c r="J23" s="32">
        <f t="shared" si="3"/>
        <v>0.11</v>
      </c>
      <c r="K23" s="32">
        <f t="shared" si="9"/>
        <v>4.1507254806181101E-2</v>
      </c>
      <c r="L23" s="16">
        <f>G23/'Clause 6'!$G$11</f>
        <v>992.43759175000002</v>
      </c>
      <c r="M23">
        <f t="shared" si="4"/>
        <v>4</v>
      </c>
      <c r="O23" s="82">
        <f t="shared" si="10"/>
        <v>-2.0148495901631591E-2</v>
      </c>
      <c r="P23" s="82">
        <f t="shared" si="5"/>
        <v>2.1358758904549413E-2</v>
      </c>
      <c r="Q23" s="82">
        <f t="shared" si="5"/>
        <v>-7.8083776394810567E-4</v>
      </c>
      <c r="R23" s="82">
        <f t="shared" si="5"/>
        <v>-4.2942523897004925E-4</v>
      </c>
      <c r="S23" s="82">
        <f t="shared" si="5"/>
        <v>0</v>
      </c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ht="13.15" x14ac:dyDescent="0.4">
      <c r="A24" s="11" t="s">
        <v>78</v>
      </c>
      <c r="B24" s="30">
        <f t="shared" ref="B24:F24" si="24">B68*$E$4</f>
        <v>729.76269500000001</v>
      </c>
      <c r="C24" s="30">
        <f t="shared" si="24"/>
        <v>756.22357199999999</v>
      </c>
      <c r="D24" s="30">
        <f t="shared" si="24"/>
        <v>739.36096199999997</v>
      </c>
      <c r="E24" s="30">
        <f t="shared" si="24"/>
        <v>736.833618</v>
      </c>
      <c r="F24" s="30"/>
      <c r="G24" s="33">
        <f t="shared" si="7"/>
        <v>740.54521175000002</v>
      </c>
      <c r="H24" s="34">
        <f t="shared" si="8"/>
        <v>17230.927489206555</v>
      </c>
      <c r="I24" s="32">
        <f t="shared" si="2"/>
        <v>1.3113970879034896E-2</v>
      </c>
      <c r="J24" s="32">
        <f t="shared" si="3"/>
        <v>0.11</v>
      </c>
      <c r="K24" s="32">
        <f t="shared" si="9"/>
        <v>3.5731615815150101E-2</v>
      </c>
      <c r="L24" s="16">
        <f>G24/'Clause 6'!$G$11</f>
        <v>740.54521175000002</v>
      </c>
      <c r="M24">
        <f t="shared" si="4"/>
        <v>4</v>
      </c>
      <c r="O24" s="82">
        <f t="shared" si="10"/>
        <v>-1.4560240993955809E-2</v>
      </c>
      <c r="P24" s="82">
        <f t="shared" si="5"/>
        <v>2.1171374821194355E-2</v>
      </c>
      <c r="Q24" s="82">
        <f t="shared" si="5"/>
        <v>-1.5991592832009793E-3</v>
      </c>
      <c r="R24" s="82">
        <f t="shared" si="5"/>
        <v>-5.0119745440376784E-3</v>
      </c>
      <c r="S24" s="82">
        <f t="shared" si="5"/>
        <v>0</v>
      </c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</row>
    <row r="25" spans="1:49" ht="13.15" x14ac:dyDescent="0.4">
      <c r="A25" s="11" t="s">
        <v>79</v>
      </c>
      <c r="B25" s="30">
        <f t="shared" ref="B25:F25" si="25">B69*$E$4</f>
        <v>551.20636000000002</v>
      </c>
      <c r="C25" s="30">
        <f t="shared" si="25"/>
        <v>570.96227999999996</v>
      </c>
      <c r="D25" s="30">
        <f t="shared" si="25"/>
        <v>554.31182899999999</v>
      </c>
      <c r="E25" s="30">
        <f t="shared" si="25"/>
        <v>548.82977300000005</v>
      </c>
      <c r="F25" s="30"/>
      <c r="G25" s="33">
        <f t="shared" si="7"/>
        <v>556.3275605</v>
      </c>
      <c r="H25" s="34">
        <f t="shared" si="8"/>
        <v>12944.570706992587</v>
      </c>
      <c r="I25" s="32">
        <f t="shared" si="2"/>
        <v>1.5584501948355532E-2</v>
      </c>
      <c r="J25" s="32">
        <f t="shared" si="3"/>
        <v>0.11</v>
      </c>
      <c r="K25" s="32">
        <f t="shared" si="9"/>
        <v>3.9783229470257239E-2</v>
      </c>
      <c r="L25" s="16">
        <f>G25/'Clause 6'!$G$11</f>
        <v>556.3275605</v>
      </c>
      <c r="M25">
        <f t="shared" si="4"/>
        <v>4</v>
      </c>
      <c r="O25" s="82">
        <f t="shared" si="10"/>
        <v>-9.2053690372579933E-3</v>
      </c>
      <c r="P25" s="82">
        <f t="shared" si="5"/>
        <v>2.6305940131470473E-2</v>
      </c>
      <c r="Q25" s="82">
        <f t="shared" si="5"/>
        <v>-3.6232817554254781E-3</v>
      </c>
      <c r="R25" s="82">
        <f t="shared" si="5"/>
        <v>-1.3477289338786891E-2</v>
      </c>
      <c r="S25" s="82">
        <f t="shared" si="5"/>
        <v>0</v>
      </c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ht="13.15" x14ac:dyDescent="0.4">
      <c r="A26" s="11" t="s">
        <v>80</v>
      </c>
      <c r="B26" s="30">
        <f t="shared" ref="B26:F26" si="26">B70*$E$4</f>
        <v>424.93447900000001</v>
      </c>
      <c r="C26" s="30">
        <f t="shared" si="26"/>
        <v>423.75134300000002</v>
      </c>
      <c r="D26" s="30">
        <f t="shared" si="26"/>
        <v>413.12313799999998</v>
      </c>
      <c r="E26" s="30">
        <f t="shared" si="26"/>
        <v>417.393463</v>
      </c>
      <c r="F26" s="30"/>
      <c r="G26" s="33">
        <f t="shared" si="7"/>
        <v>419.80060575000005</v>
      </c>
      <c r="H26" s="34">
        <f t="shared" si="8"/>
        <v>9767.8759957267903</v>
      </c>
      <c r="I26" s="32">
        <f t="shared" si="2"/>
        <v>1.1445649294404673E-2</v>
      </c>
      <c r="J26" s="32">
        <f t="shared" si="3"/>
        <v>0.113</v>
      </c>
      <c r="K26" s="32">
        <f t="shared" si="9"/>
        <v>2.8135597801004424E-2</v>
      </c>
      <c r="L26" s="16">
        <f>G26/'Clause 6'!$G$11</f>
        <v>419.80060575000005</v>
      </c>
      <c r="M26">
        <f t="shared" si="4"/>
        <v>4</v>
      </c>
      <c r="O26" s="82">
        <f t="shared" si="10"/>
        <v>1.2229313582880597E-2</v>
      </c>
      <c r="P26" s="82">
        <f t="shared" si="5"/>
        <v>9.4109851102803788E-3</v>
      </c>
      <c r="Q26" s="82">
        <f t="shared" si="5"/>
        <v>-1.5906284218123901E-2</v>
      </c>
      <c r="R26" s="82">
        <f t="shared" si="5"/>
        <v>-5.7340144750376298E-3</v>
      </c>
      <c r="S26" s="82">
        <f t="shared" si="5"/>
        <v>0</v>
      </c>
    </row>
    <row r="27" spans="1:49" ht="13.15" x14ac:dyDescent="0.4">
      <c r="A27" s="11" t="s">
        <v>81</v>
      </c>
      <c r="B27" s="30">
        <f t="shared" ref="B27:F27" si="27">B71*$E$4</f>
        <v>327.27105699999998</v>
      </c>
      <c r="C27" s="30">
        <f t="shared" si="27"/>
        <v>316.66992199999999</v>
      </c>
      <c r="D27" s="30">
        <f t="shared" si="27"/>
        <v>314.54168700000002</v>
      </c>
      <c r="E27" s="30">
        <f t="shared" si="27"/>
        <v>320.47998000000001</v>
      </c>
      <c r="F27" s="30"/>
      <c r="G27" s="33">
        <f t="shared" si="7"/>
        <v>319.74066149999999</v>
      </c>
      <c r="H27" s="34">
        <f t="shared" si="8"/>
        <v>7439.6918192718804</v>
      </c>
      <c r="I27" s="32">
        <f t="shared" si="2"/>
        <v>1.5138061326302035E-2</v>
      </c>
      <c r="J27" s="32">
        <f t="shared" si="3"/>
        <v>0.113</v>
      </c>
      <c r="K27" s="32">
        <f t="shared" si="9"/>
        <v>3.9811545833059334E-2</v>
      </c>
      <c r="L27" s="16">
        <f>G27/'Clause 6'!$G$11</f>
        <v>319.74066149999999</v>
      </c>
      <c r="M27">
        <f t="shared" si="4"/>
        <v>4</v>
      </c>
      <c r="O27" s="82">
        <f t="shared" si="10"/>
        <v>2.3551572904968232E-2</v>
      </c>
      <c r="P27" s="82">
        <f t="shared" si="5"/>
        <v>-9.6038442079723341E-3</v>
      </c>
      <c r="Q27" s="82">
        <f t="shared" si="5"/>
        <v>-1.6259972928091226E-2</v>
      </c>
      <c r="R27" s="82">
        <f t="shared" si="5"/>
        <v>2.3122442310954394E-3</v>
      </c>
      <c r="S27" s="82">
        <f t="shared" si="5"/>
        <v>0</v>
      </c>
    </row>
    <row r="28" spans="1:49" ht="13.15" x14ac:dyDescent="0.4">
      <c r="A28" s="11" t="s">
        <v>82</v>
      </c>
      <c r="B28" s="30">
        <f t="shared" ref="B28:F28" si="28">B72*$E$4</f>
        <v>245.39164700000001</v>
      </c>
      <c r="C28" s="30">
        <f t="shared" si="28"/>
        <v>240.777252</v>
      </c>
      <c r="D28" s="30">
        <f t="shared" si="28"/>
        <v>232.87780799999999</v>
      </c>
      <c r="E28" s="30">
        <f t="shared" si="28"/>
        <v>245.61120600000001</v>
      </c>
      <c r="F28" s="30"/>
      <c r="G28" s="33">
        <f t="shared" si="7"/>
        <v>241.16447825</v>
      </c>
      <c r="H28" s="34">
        <f t="shared" si="8"/>
        <v>5611.3895164863052</v>
      </c>
      <c r="I28" s="32">
        <f t="shared" si="2"/>
        <v>2.1392046078574384E-2</v>
      </c>
      <c r="J28" s="32">
        <f t="shared" si="3"/>
        <v>0.113</v>
      </c>
      <c r="K28" s="32">
        <f t="shared" si="9"/>
        <v>5.279964152432147E-2</v>
      </c>
      <c r="L28" s="16">
        <f>G28/'Clause 6'!$G$11</f>
        <v>241.16447825</v>
      </c>
      <c r="M28">
        <f t="shared" si="4"/>
        <v>4</v>
      </c>
      <c r="O28" s="82">
        <f t="shared" si="10"/>
        <v>1.7528156636807735E-2</v>
      </c>
      <c r="P28" s="82">
        <f t="shared" si="5"/>
        <v>-1.6056520960711085E-3</v>
      </c>
      <c r="Q28" s="82">
        <f t="shared" si="5"/>
        <v>-3.4361073032528999E-2</v>
      </c>
      <c r="R28" s="82">
        <f t="shared" si="5"/>
        <v>1.8438568491792484E-2</v>
      </c>
      <c r="S28" s="82">
        <f t="shared" si="5"/>
        <v>0</v>
      </c>
    </row>
    <row r="29" spans="1:49" ht="13.15" x14ac:dyDescent="0.4">
      <c r="A29" s="11" t="s">
        <v>83</v>
      </c>
      <c r="B29" s="30">
        <f t="shared" ref="B29:F29" si="29">B73*$E$4</f>
        <v>182.255707</v>
      </c>
      <c r="C29" s="30">
        <f t="shared" si="29"/>
        <v>185.469177</v>
      </c>
      <c r="D29" s="30">
        <f t="shared" si="29"/>
        <v>174.81500199999999</v>
      </c>
      <c r="E29" s="30">
        <f t="shared" si="29"/>
        <v>184.884308</v>
      </c>
      <c r="F29" s="30"/>
      <c r="G29" s="33">
        <f t="shared" si="7"/>
        <v>181.85604850000001</v>
      </c>
      <c r="H29" s="34">
        <f t="shared" si="8"/>
        <v>4231.4072597568593</v>
      </c>
      <c r="I29" s="32">
        <f t="shared" si="2"/>
        <v>2.3323364459240579E-2</v>
      </c>
      <c r="J29" s="32">
        <f t="shared" si="3"/>
        <v>0.11900000000000001</v>
      </c>
      <c r="K29" s="32">
        <f t="shared" si="9"/>
        <v>5.8585761033953229E-2</v>
      </c>
      <c r="L29" s="16">
        <f>G29/'Clause 6'!$G$11</f>
        <v>181.85604850000001</v>
      </c>
      <c r="M29">
        <f t="shared" si="4"/>
        <v>4</v>
      </c>
      <c r="O29" s="82">
        <f t="shared" si="10"/>
        <v>2.197664049650605E-3</v>
      </c>
      <c r="P29" s="82">
        <f t="shared" si="5"/>
        <v>1.98680688918631E-2</v>
      </c>
      <c r="Q29" s="82">
        <f t="shared" si="5"/>
        <v>-3.8717692142090199E-2</v>
      </c>
      <c r="R29" s="82">
        <f t="shared" si="5"/>
        <v>1.665195920057605E-2</v>
      </c>
      <c r="S29" s="82">
        <f t="shared" si="5"/>
        <v>0</v>
      </c>
    </row>
    <row r="30" spans="1:49" ht="13.15" x14ac:dyDescent="0.4">
      <c r="A30" s="11" t="s">
        <v>84</v>
      </c>
      <c r="B30" s="30">
        <f t="shared" ref="B30:F30" si="30">B74*$E$4</f>
        <v>135.150375</v>
      </c>
      <c r="C30" s="30">
        <f t="shared" si="30"/>
        <v>135.15130600000001</v>
      </c>
      <c r="D30" s="30">
        <f t="shared" si="30"/>
        <v>127.195145</v>
      </c>
      <c r="E30" s="30">
        <f t="shared" si="30"/>
        <v>136.42756700000001</v>
      </c>
      <c r="F30" s="30"/>
      <c r="G30" s="33">
        <f t="shared" si="7"/>
        <v>133.48109825</v>
      </c>
      <c r="H30" s="34">
        <f t="shared" si="8"/>
        <v>3105.8240450845851</v>
      </c>
      <c r="I30" s="32">
        <f t="shared" si="2"/>
        <v>2.7467817232394682E-2</v>
      </c>
      <c r="J30" s="32">
        <f t="shared" si="3"/>
        <v>0.11900000000000001</v>
      </c>
      <c r="K30" s="32">
        <f t="shared" si="9"/>
        <v>6.9166512120752754E-2</v>
      </c>
      <c r="L30" s="16">
        <f>G30/'Clause 6'!$G$11</f>
        <v>133.48109825</v>
      </c>
      <c r="M30">
        <f t="shared" si="4"/>
        <v>4</v>
      </c>
      <c r="O30" s="82">
        <f t="shared" si="10"/>
        <v>1.250571632901587E-2</v>
      </c>
      <c r="P30" s="82">
        <f t="shared" si="5"/>
        <v>1.2512691099318296E-2</v>
      </c>
      <c r="Q30" s="82">
        <f t="shared" si="5"/>
        <v>-4.709245977454346E-2</v>
      </c>
      <c r="R30" s="82">
        <f t="shared" si="5"/>
        <v>2.2074052346209294E-2</v>
      </c>
      <c r="S30" s="82">
        <f t="shared" si="5"/>
        <v>0</v>
      </c>
    </row>
    <row r="31" spans="1:49" ht="13.15" x14ac:dyDescent="0.4">
      <c r="A31" s="11" t="s">
        <v>85</v>
      </c>
      <c r="B31" s="30">
        <f t="shared" ref="B31:F31" si="31">B75*$E$4</f>
        <v>98.896529999999998</v>
      </c>
      <c r="C31" s="30">
        <f t="shared" si="31"/>
        <v>101.25952100000001</v>
      </c>
      <c r="D31" s="30">
        <f t="shared" si="31"/>
        <v>93.777702000000005</v>
      </c>
      <c r="E31" s="30">
        <f t="shared" si="31"/>
        <v>99.201141000000007</v>
      </c>
      <c r="F31" s="30"/>
      <c r="G31" s="33">
        <f t="shared" si="7"/>
        <v>98.283723500000008</v>
      </c>
      <c r="H31" s="34">
        <f t="shared" si="8"/>
        <v>2286.8552603233088</v>
      </c>
      <c r="I31" s="32">
        <f t="shared" si="2"/>
        <v>2.8038793506434206E-2</v>
      </c>
      <c r="J31" s="32">
        <f t="shared" si="3"/>
        <v>0.11900000000000001</v>
      </c>
      <c r="K31" s="32">
        <f t="shared" si="9"/>
        <v>7.6124700342676793E-2</v>
      </c>
      <c r="L31" s="16">
        <f>G31/'Clause 6'!$G$11</f>
        <v>98.283723500000008</v>
      </c>
      <c r="M31">
        <f t="shared" si="4"/>
        <v>4</v>
      </c>
      <c r="O31" s="82">
        <f t="shared" si="10"/>
        <v>6.2350761466620774E-3</v>
      </c>
      <c r="P31" s="82">
        <f t="shared" si="5"/>
        <v>3.0277622723563269E-2</v>
      </c>
      <c r="Q31" s="82">
        <f t="shared" si="5"/>
        <v>-4.5847077619113663E-2</v>
      </c>
      <c r="R31" s="82">
        <f t="shared" si="5"/>
        <v>9.3343787488882057E-3</v>
      </c>
      <c r="S31" s="82">
        <f t="shared" si="5"/>
        <v>0</v>
      </c>
    </row>
    <row r="32" spans="1:49" ht="13.15" x14ac:dyDescent="0.4">
      <c r="A32" s="11" t="s">
        <v>86</v>
      </c>
      <c r="B32" s="30">
        <f t="shared" ref="B32:F32" si="32">B76*$E$4</f>
        <v>74.973929999999996</v>
      </c>
      <c r="C32" s="30">
        <f t="shared" si="32"/>
        <v>70.694534000000004</v>
      </c>
      <c r="D32" s="30">
        <f t="shared" si="32"/>
        <v>67.043746999999996</v>
      </c>
      <c r="E32" s="30">
        <f t="shared" si="32"/>
        <v>74.660812000000007</v>
      </c>
      <c r="F32" s="30"/>
      <c r="G32" s="33">
        <f t="shared" si="7"/>
        <v>71.843255749999997</v>
      </c>
      <c r="H32" s="34">
        <f t="shared" si="8"/>
        <v>1671.6412594058904</v>
      </c>
      <c r="I32" s="32">
        <f t="shared" si="2"/>
        <v>4.5154095069510375E-2</v>
      </c>
      <c r="J32" s="32">
        <f t="shared" si="3"/>
        <v>0.13400000000000001</v>
      </c>
      <c r="K32" s="32">
        <f t="shared" si="9"/>
        <v>0.11038173196932267</v>
      </c>
      <c r="L32" s="16">
        <f>G32/'Clause 6'!$G$11</f>
        <v>71.843255749999997</v>
      </c>
      <c r="M32">
        <f t="shared" si="4"/>
        <v>4</v>
      </c>
      <c r="O32" s="82">
        <f t="shared" si="10"/>
        <v>4.3576452894814599E-2</v>
      </c>
      <c r="P32" s="82">
        <f t="shared" si="5"/>
        <v>-1.5989277462554186E-2</v>
      </c>
      <c r="Q32" s="82">
        <f t="shared" si="5"/>
        <v>-6.6805279074507951E-2</v>
      </c>
      <c r="R32" s="82">
        <f t="shared" si="5"/>
        <v>3.9218103642247648E-2</v>
      </c>
      <c r="S32" s="82">
        <f t="shared" si="5"/>
        <v>0</v>
      </c>
    </row>
    <row r="33" spans="1:19" ht="13.15" x14ac:dyDescent="0.4">
      <c r="A33" s="11" t="s">
        <v>87</v>
      </c>
      <c r="B33" s="30">
        <f t="shared" ref="B33:F33" si="33">B77*$E$4</f>
        <v>54.010821999999997</v>
      </c>
      <c r="C33" s="30">
        <f t="shared" si="33"/>
        <v>51.565421999999998</v>
      </c>
      <c r="D33" s="30">
        <f t="shared" si="33"/>
        <v>48.455292</v>
      </c>
      <c r="E33" s="30">
        <f t="shared" si="33"/>
        <v>53.447994000000001</v>
      </c>
      <c r="F33" s="30"/>
      <c r="G33" s="33">
        <f t="shared" si="7"/>
        <v>51.869882500000003</v>
      </c>
      <c r="H33" s="34">
        <f t="shared" si="8"/>
        <v>1206.902927802455</v>
      </c>
      <c r="I33" s="32">
        <f t="shared" si="2"/>
        <v>4.1824992365012796E-2</v>
      </c>
      <c r="J33" s="32">
        <f t="shared" si="3"/>
        <v>0.13400000000000001</v>
      </c>
      <c r="K33" s="32">
        <f t="shared" si="9"/>
        <v>0.10710512020149644</v>
      </c>
      <c r="L33" s="16">
        <f>G33/'Clause 6'!$G$11</f>
        <v>51.869882500000003</v>
      </c>
      <c r="M33">
        <f t="shared" si="4"/>
        <v>4</v>
      </c>
      <c r="O33" s="82">
        <f t="shared" si="10"/>
        <v>4.1275194714389229E-2</v>
      </c>
      <c r="P33" s="82">
        <f t="shared" si="5"/>
        <v>-5.869697121446249E-3</v>
      </c>
      <c r="Q33" s="82">
        <f t="shared" si="5"/>
        <v>-6.5829925487107088E-2</v>
      </c>
      <c r="R33" s="82">
        <f t="shared" si="5"/>
        <v>3.0424427894163886E-2</v>
      </c>
      <c r="S33" s="82">
        <f t="shared" si="5"/>
        <v>0</v>
      </c>
    </row>
    <row r="34" spans="1:19" ht="13.15" x14ac:dyDescent="0.4">
      <c r="A34" s="11" t="s">
        <v>88</v>
      </c>
      <c r="B34" s="30">
        <f t="shared" ref="B34:F34" si="34">B78*$E$4</f>
        <v>38.226837000000003</v>
      </c>
      <c r="C34" s="30">
        <f t="shared" si="34"/>
        <v>38.674067999999998</v>
      </c>
      <c r="D34" s="30">
        <f t="shared" si="34"/>
        <v>34.252879999999998</v>
      </c>
      <c r="E34" s="30">
        <f t="shared" si="34"/>
        <v>37.642361000000001</v>
      </c>
      <c r="F34" s="30"/>
      <c r="G34" s="33">
        <f t="shared" si="7"/>
        <v>37.199036499999998</v>
      </c>
      <c r="H34" s="34">
        <f t="shared" si="8"/>
        <v>865.54323818413093</v>
      </c>
      <c r="I34" s="32">
        <f t="shared" si="2"/>
        <v>4.677167097182959E-2</v>
      </c>
      <c r="J34" s="32">
        <f t="shared" si="3"/>
        <v>0.156</v>
      </c>
      <c r="K34" s="32">
        <f t="shared" si="9"/>
        <v>0.11885221812129465</v>
      </c>
      <c r="L34" s="16">
        <f>G34/'Clause 6'!$G$11</f>
        <v>37.199036499999998</v>
      </c>
      <c r="M34">
        <f t="shared" si="4"/>
        <v>4</v>
      </c>
      <c r="O34" s="82">
        <f t="shared" si="10"/>
        <v>2.7629761324597935E-2</v>
      </c>
      <c r="P34" s="82">
        <f t="shared" si="5"/>
        <v>3.9652411427376633E-2</v>
      </c>
      <c r="Q34" s="82">
        <f t="shared" si="5"/>
        <v>-7.9199806693918018E-2</v>
      </c>
      <c r="R34" s="82">
        <f t="shared" si="5"/>
        <v>1.1917633941943784E-2</v>
      </c>
      <c r="S34" s="82">
        <f t="shared" si="5"/>
        <v>0</v>
      </c>
    </row>
    <row r="35" spans="1:19" ht="13.15" x14ac:dyDescent="0.4">
      <c r="A35" s="11" t="s">
        <v>89</v>
      </c>
      <c r="B35" s="30">
        <f t="shared" ref="B35:F35" si="35">B79*$E$4</f>
        <v>25.155725</v>
      </c>
      <c r="C35" s="30">
        <f t="shared" si="35"/>
        <v>27.238185999999999</v>
      </c>
      <c r="D35" s="30">
        <f t="shared" si="35"/>
        <v>23.60107</v>
      </c>
      <c r="E35" s="30">
        <f t="shared" si="35"/>
        <v>26.82798</v>
      </c>
      <c r="F35" s="30"/>
      <c r="G35" s="33">
        <f t="shared" si="7"/>
        <v>25.705740249999998</v>
      </c>
      <c r="H35" s="34">
        <f t="shared" si="8"/>
        <v>598.11843932853344</v>
      </c>
      <c r="I35" s="32">
        <f t="shared" si="2"/>
        <v>5.6172275992266318E-2</v>
      </c>
      <c r="J35" s="32">
        <f t="shared" si="3"/>
        <v>0.156</v>
      </c>
      <c r="K35" s="32">
        <f t="shared" si="9"/>
        <v>0.14149042060751388</v>
      </c>
      <c r="L35" s="16">
        <f>G35/'Clause 6'!$G$11</f>
        <v>25.705740249999998</v>
      </c>
      <c r="M35">
        <f t="shared" si="4"/>
        <v>4</v>
      </c>
      <c r="O35" s="82">
        <f t="shared" si="10"/>
        <v>-2.139659253734183E-2</v>
      </c>
      <c r="P35" s="82">
        <f t="shared" si="5"/>
        <v>5.9614923946802234E-2</v>
      </c>
      <c r="Q35" s="82">
        <f t="shared" si="5"/>
        <v>-8.18754966607117E-2</v>
      </c>
      <c r="R35" s="82">
        <f t="shared" si="5"/>
        <v>4.3657165251251628E-2</v>
      </c>
      <c r="S35" s="82">
        <f t="shared" si="5"/>
        <v>0</v>
      </c>
    </row>
    <row r="36" spans="1:19" ht="13.15" x14ac:dyDescent="0.4">
      <c r="A36" s="11" t="s">
        <v>90</v>
      </c>
      <c r="B36" s="30">
        <f t="shared" ref="B36:F36" si="36">B80*$E$4</f>
        <v>17.756983000000002</v>
      </c>
      <c r="C36" s="30">
        <f t="shared" si="36"/>
        <v>17.465707999999999</v>
      </c>
      <c r="D36" s="30">
        <f t="shared" si="36"/>
        <v>16.499863000000001</v>
      </c>
      <c r="E36" s="30">
        <f t="shared" si="36"/>
        <v>17.053446000000001</v>
      </c>
      <c r="F36" s="30"/>
      <c r="G36" s="33">
        <f t="shared" si="7"/>
        <v>17.194000000000003</v>
      </c>
      <c r="H36" s="34">
        <f t="shared" si="8"/>
        <v>400.06816943600001</v>
      </c>
      <c r="I36" s="32">
        <f t="shared" si="2"/>
        <v>2.7470231897042591E-2</v>
      </c>
      <c r="J36" s="32">
        <f t="shared" si="3"/>
        <v>0.193</v>
      </c>
      <c r="K36" s="32">
        <f t="shared" si="9"/>
        <v>7.3113876933814131E-2</v>
      </c>
      <c r="L36" s="16">
        <f>G36/'Clause 6'!$G$11</f>
        <v>17.194000000000003</v>
      </c>
      <c r="M36">
        <f t="shared" si="4"/>
        <v>4</v>
      </c>
      <c r="O36" s="82">
        <f t="shared" si="10"/>
        <v>3.2742991741305127E-2</v>
      </c>
      <c r="P36" s="82">
        <f t="shared" si="5"/>
        <v>1.5802489240432482E-2</v>
      </c>
      <c r="Q36" s="82">
        <f t="shared" si="5"/>
        <v>-4.0370885192509087E-2</v>
      </c>
      <c r="R36" s="82">
        <f t="shared" si="5"/>
        <v>-8.1745957892288557E-3</v>
      </c>
      <c r="S36" s="82">
        <f t="shared" si="5"/>
        <v>0</v>
      </c>
    </row>
    <row r="37" spans="1:19" ht="13.15" x14ac:dyDescent="0.4">
      <c r="A37" s="11" t="s">
        <v>91</v>
      </c>
      <c r="B37" s="30">
        <f t="shared" ref="B37:F37" si="37">B81*$E$4</f>
        <v>12.577863000000001</v>
      </c>
      <c r="C37" s="30">
        <f t="shared" si="37"/>
        <v>12.267580000000001</v>
      </c>
      <c r="D37" s="30">
        <f t="shared" si="37"/>
        <v>10.860669</v>
      </c>
      <c r="E37" s="30">
        <f t="shared" si="37"/>
        <v>11.022347999999999</v>
      </c>
      <c r="F37" s="30"/>
      <c r="G37" s="33">
        <f t="shared" si="7"/>
        <v>11.682115000000001</v>
      </c>
      <c r="H37" s="34">
        <f t="shared" si="8"/>
        <v>271.81821351580999</v>
      </c>
      <c r="I37" s="32">
        <f t="shared" si="2"/>
        <v>6.4274844783679855E-2</v>
      </c>
      <c r="J37" s="32">
        <f t="shared" si="3"/>
        <v>0.193</v>
      </c>
      <c r="K37" s="32">
        <f t="shared" si="9"/>
        <v>0.14699341685987519</v>
      </c>
      <c r="L37" s="16">
        <f>G37/'Clause 6'!$G$11</f>
        <v>11.682115000000001</v>
      </c>
      <c r="M37">
        <f t="shared" si="4"/>
        <v>4</v>
      </c>
      <c r="O37" s="82">
        <f t="shared" si="10"/>
        <v>7.6676868871775383E-2</v>
      </c>
      <c r="P37" s="82">
        <f t="shared" si="5"/>
        <v>5.0116353074764142E-2</v>
      </c>
      <c r="Q37" s="82">
        <f t="shared" si="5"/>
        <v>-7.0316547988099942E-2</v>
      </c>
      <c r="R37" s="82">
        <f t="shared" si="5"/>
        <v>-5.6476673958440027E-2</v>
      </c>
      <c r="S37" s="82">
        <f t="shared" si="5"/>
        <v>0</v>
      </c>
    </row>
    <row r="38" spans="1:19" ht="13.15" x14ac:dyDescent="0.4">
      <c r="A38" s="11" t="s">
        <v>92</v>
      </c>
      <c r="B38" s="30">
        <f t="shared" ref="B38:F38" si="38">B82*$E$4</f>
        <v>8.1386179999999992</v>
      </c>
      <c r="C38" s="30">
        <f t="shared" si="38"/>
        <v>7.901154</v>
      </c>
      <c r="D38" s="30">
        <f t="shared" si="38"/>
        <v>6.265771</v>
      </c>
      <c r="E38" s="30">
        <f t="shared" si="38"/>
        <v>7.4868779999999999</v>
      </c>
      <c r="F38" s="30"/>
      <c r="G38" s="33">
        <f t="shared" si="7"/>
        <v>7.4481052500000002</v>
      </c>
      <c r="H38" s="34">
        <f t="shared" si="8"/>
        <v>173.30172345784348</v>
      </c>
      <c r="I38" s="32">
        <f t="shared" si="2"/>
        <v>9.6852353338735708E-2</v>
      </c>
      <c r="J38" s="32">
        <f t="shared" si="3"/>
        <v>0.27500000000000002</v>
      </c>
      <c r="K38" s="32">
        <f t="shared" si="9"/>
        <v>0.25145281076687243</v>
      </c>
      <c r="L38" s="16">
        <f>G38/'Clause 6'!$G$11</f>
        <v>7.4481052500000002</v>
      </c>
      <c r="M38">
        <f t="shared" si="4"/>
        <v>4</v>
      </c>
      <c r="O38" s="82">
        <f t="shared" si="10"/>
        <v>9.27098539591662E-2</v>
      </c>
      <c r="P38" s="82">
        <f t="shared" si="5"/>
        <v>6.0827382910572991E-2</v>
      </c>
      <c r="Q38" s="82">
        <f t="shared" si="5"/>
        <v>-0.15874295680770623</v>
      </c>
      <c r="R38" s="82">
        <f t="shared" si="5"/>
        <v>5.2057199379667018E-3</v>
      </c>
      <c r="S38" s="82">
        <f t="shared" si="5"/>
        <v>0</v>
      </c>
    </row>
    <row r="40" spans="1:19" x14ac:dyDescent="0.35">
      <c r="A40" t="s">
        <v>93</v>
      </c>
    </row>
    <row r="41" spans="1:19" ht="15" x14ac:dyDescent="0.5">
      <c r="A41" s="36"/>
      <c r="B41" s="37" t="s">
        <v>94</v>
      </c>
      <c r="C41" s="36"/>
      <c r="D41" s="38" t="s">
        <v>95</v>
      </c>
      <c r="E41" s="39"/>
      <c r="F41" s="39"/>
      <c r="G41" s="39"/>
      <c r="H41" s="40"/>
    </row>
    <row r="42" spans="1:19" ht="15" x14ac:dyDescent="0.5">
      <c r="A42" s="41" t="s">
        <v>96</v>
      </c>
      <c r="B42" s="42" t="s">
        <v>97</v>
      </c>
      <c r="C42" s="41" t="s">
        <v>98</v>
      </c>
      <c r="D42" s="41" t="s">
        <v>99</v>
      </c>
      <c r="E42" s="42" t="s">
        <v>100</v>
      </c>
      <c r="F42" s="42" t="s">
        <v>101</v>
      </c>
      <c r="G42" s="42" t="s">
        <v>102</v>
      </c>
      <c r="H42" s="43" t="s">
        <v>103</v>
      </c>
    </row>
    <row r="43" spans="1:19" x14ac:dyDescent="0.35">
      <c r="A43" s="44">
        <v>10000</v>
      </c>
      <c r="C43" s="44">
        <v>11</v>
      </c>
      <c r="D43" s="44">
        <v>7.8</v>
      </c>
      <c r="E43">
        <v>5.3</v>
      </c>
      <c r="F43">
        <v>4</v>
      </c>
      <c r="G43">
        <v>2.7</v>
      </c>
      <c r="H43" s="45">
        <v>1.8</v>
      </c>
    </row>
    <row r="44" spans="1:19" x14ac:dyDescent="0.35">
      <c r="A44" s="44">
        <v>5000</v>
      </c>
      <c r="B44">
        <v>10000</v>
      </c>
      <c r="C44" s="44">
        <v>11.3</v>
      </c>
      <c r="D44" s="44">
        <v>7.8</v>
      </c>
      <c r="E44">
        <v>5.3</v>
      </c>
      <c r="F44">
        <v>4</v>
      </c>
      <c r="G44">
        <v>2.7</v>
      </c>
      <c r="H44" s="45">
        <v>1.9</v>
      </c>
    </row>
    <row r="45" spans="1:19" x14ac:dyDescent="0.35">
      <c r="A45" s="44">
        <v>2000</v>
      </c>
      <c r="B45">
        <v>5000</v>
      </c>
      <c r="C45" s="44">
        <v>11.9</v>
      </c>
      <c r="D45" s="44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9" x14ac:dyDescent="0.35">
      <c r="A46" s="44">
        <v>1000</v>
      </c>
      <c r="B46">
        <v>2000</v>
      </c>
      <c r="C46" s="44">
        <v>13.4</v>
      </c>
      <c r="D46" s="44">
        <v>8</v>
      </c>
      <c r="E46">
        <v>5.6</v>
      </c>
      <c r="F46">
        <v>4.3</v>
      </c>
      <c r="G46">
        <v>3.1</v>
      </c>
      <c r="H46" s="45">
        <v>2.4</v>
      </c>
    </row>
    <row r="47" spans="1:19" x14ac:dyDescent="0.35">
      <c r="A47" s="44">
        <v>500</v>
      </c>
      <c r="B47">
        <v>1000</v>
      </c>
      <c r="C47" s="44">
        <v>15.6</v>
      </c>
      <c r="D47" s="44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9" x14ac:dyDescent="0.35">
      <c r="A48" s="44">
        <v>200</v>
      </c>
      <c r="B48">
        <v>500</v>
      </c>
      <c r="C48" s="44">
        <v>19.3</v>
      </c>
      <c r="D48" s="44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6">
        <v>100</v>
      </c>
      <c r="B49" s="47">
        <v>200</v>
      </c>
      <c r="C49" s="46">
        <v>27.5</v>
      </c>
      <c r="D49" s="46">
        <v>10</v>
      </c>
      <c r="E49" s="47">
        <v>8</v>
      </c>
      <c r="F49" s="47">
        <v>7</v>
      </c>
      <c r="G49" s="47">
        <v>6.1</v>
      </c>
      <c r="H49" s="48">
        <v>5.5</v>
      </c>
    </row>
    <row r="51" spans="1:16" ht="13.15" x14ac:dyDescent="0.4">
      <c r="B51" s="14" t="s">
        <v>50</v>
      </c>
      <c r="C51" s="14" t="s">
        <v>51</v>
      </c>
      <c r="D51" s="14" t="s">
        <v>52</v>
      </c>
      <c r="E51" s="14" t="s">
        <v>53</v>
      </c>
      <c r="F51" s="14" t="s">
        <v>54</v>
      </c>
      <c r="G51" s="14" t="s">
        <v>50</v>
      </c>
      <c r="H51" s="14" t="s">
        <v>51</v>
      </c>
      <c r="I51" s="14" t="s">
        <v>52</v>
      </c>
      <c r="J51" s="14" t="s">
        <v>53</v>
      </c>
      <c r="K51" s="14" t="s">
        <v>54</v>
      </c>
      <c r="L51" s="14" t="s">
        <v>50</v>
      </c>
      <c r="M51" s="14" t="s">
        <v>51</v>
      </c>
      <c r="N51" s="14" t="s">
        <v>52</v>
      </c>
      <c r="O51" s="14" t="s">
        <v>53</v>
      </c>
      <c r="P51" s="14" t="s">
        <v>54</v>
      </c>
    </row>
    <row r="52" spans="1:16" ht="13.15" x14ac:dyDescent="0.4">
      <c r="A52" s="14" t="s">
        <v>104</v>
      </c>
      <c r="B52">
        <v>4.0547430000000002</v>
      </c>
      <c r="C52">
        <v>4.8094239999999999</v>
      </c>
      <c r="D52">
        <v>4.7879189999999996</v>
      </c>
      <c r="E52">
        <v>4.8084129999999998</v>
      </c>
      <c r="F52">
        <v>4.8073949999999996</v>
      </c>
      <c r="G52">
        <v>4.0635529999999997</v>
      </c>
      <c r="H52">
        <v>4.8327090000000004</v>
      </c>
      <c r="I52">
        <v>4.8030489999999997</v>
      </c>
      <c r="J52">
        <v>4.8428339999999999</v>
      </c>
      <c r="K52">
        <v>4.8417599999999998</v>
      </c>
      <c r="L52">
        <v>4.0685989999999999</v>
      </c>
      <c r="M52">
        <v>4.8518780000000001</v>
      </c>
      <c r="N52">
        <v>4.8239660000000004</v>
      </c>
      <c r="O52">
        <v>4.8525260000000001</v>
      </c>
      <c r="P52">
        <v>4.8433289999999998</v>
      </c>
    </row>
    <row r="53" spans="1:16" ht="13.15" x14ac:dyDescent="0.4">
      <c r="A53" s="27">
        <v>4</v>
      </c>
      <c r="B53">
        <v>17172.728515999999</v>
      </c>
      <c r="C53">
        <v>18013.798827999999</v>
      </c>
      <c r="D53">
        <v>17694.746093999998</v>
      </c>
      <c r="E53">
        <v>17755.755859000001</v>
      </c>
      <c r="F53">
        <v>17871.007812</v>
      </c>
      <c r="G53">
        <v>16827.638672000001</v>
      </c>
      <c r="H53">
        <v>16932.119140999999</v>
      </c>
      <c r="I53">
        <v>16784.130859000001</v>
      </c>
      <c r="J53">
        <v>16826.306640999999</v>
      </c>
      <c r="K53">
        <v>16767.251952999999</v>
      </c>
      <c r="L53">
        <v>16408.597656000002</v>
      </c>
      <c r="M53">
        <v>16392.826172000001</v>
      </c>
      <c r="N53">
        <v>16398.333984000001</v>
      </c>
      <c r="O53">
        <v>16291.309569999999</v>
      </c>
      <c r="P53">
        <v>16628.849609000001</v>
      </c>
    </row>
    <row r="54" spans="1:16" ht="13.15" x14ac:dyDescent="0.4">
      <c r="A54" s="27">
        <v>5</v>
      </c>
      <c r="B54">
        <v>14791.320312</v>
      </c>
      <c r="C54">
        <v>15499.568359000001</v>
      </c>
      <c r="D54">
        <v>15225.614258</v>
      </c>
      <c r="E54">
        <v>15256.802734000001</v>
      </c>
      <c r="F54">
        <v>15308.497069999999</v>
      </c>
      <c r="G54">
        <v>14510.455078000001</v>
      </c>
      <c r="H54">
        <v>14560.984375</v>
      </c>
      <c r="I54">
        <v>14468.518555000001</v>
      </c>
      <c r="J54">
        <v>14562.755859000001</v>
      </c>
      <c r="K54">
        <v>14458.172852</v>
      </c>
      <c r="L54">
        <v>14150.326171999999</v>
      </c>
      <c r="M54">
        <v>14173.068359000001</v>
      </c>
      <c r="N54">
        <v>14169.669921999999</v>
      </c>
      <c r="O54">
        <v>14120.893555000001</v>
      </c>
      <c r="P54">
        <v>14335.592773</v>
      </c>
    </row>
    <row r="55" spans="1:16" ht="13.15" x14ac:dyDescent="0.4">
      <c r="A55" s="27">
        <v>6</v>
      </c>
      <c r="B55">
        <v>12886.637694999999</v>
      </c>
      <c r="C55">
        <v>13455.248046999999</v>
      </c>
      <c r="D55">
        <v>13232.889648</v>
      </c>
      <c r="E55">
        <v>13263.212890999999</v>
      </c>
      <c r="F55">
        <v>13219.839844</v>
      </c>
      <c r="G55">
        <v>12624.913086</v>
      </c>
      <c r="H55">
        <v>12696.606444999999</v>
      </c>
      <c r="I55">
        <v>12583.465819999999</v>
      </c>
      <c r="J55">
        <v>12660.976562</v>
      </c>
      <c r="K55">
        <v>12591.703125</v>
      </c>
      <c r="L55">
        <v>12326.111328000001</v>
      </c>
      <c r="M55">
        <v>12313.169921999999</v>
      </c>
      <c r="N55">
        <v>12321.190430000001</v>
      </c>
      <c r="O55">
        <v>12285.972656</v>
      </c>
      <c r="P55">
        <v>12467.043944999999</v>
      </c>
    </row>
    <row r="56" spans="1:16" ht="13.15" x14ac:dyDescent="0.4">
      <c r="A56" s="27">
        <v>7</v>
      </c>
      <c r="B56">
        <v>11006.863281</v>
      </c>
      <c r="C56">
        <v>11483.910156</v>
      </c>
      <c r="D56">
        <v>11296.975586</v>
      </c>
      <c r="E56">
        <v>11344.700194999999</v>
      </c>
      <c r="F56">
        <v>11314.650390999999</v>
      </c>
      <c r="G56">
        <v>10846.912109000001</v>
      </c>
      <c r="H56">
        <v>10883.336914</v>
      </c>
      <c r="I56">
        <v>10800.431640999999</v>
      </c>
      <c r="J56">
        <v>10839.728515999999</v>
      </c>
      <c r="K56">
        <v>10808.466796999999</v>
      </c>
      <c r="L56">
        <v>10568.257812</v>
      </c>
      <c r="M56">
        <v>10559.828125</v>
      </c>
      <c r="N56">
        <v>10560.813477</v>
      </c>
      <c r="O56">
        <v>10545.848633</v>
      </c>
      <c r="P56">
        <v>10643.297852</v>
      </c>
    </row>
    <row r="57" spans="1:16" ht="13.15" x14ac:dyDescent="0.4">
      <c r="A57" s="27">
        <v>8</v>
      </c>
      <c r="B57">
        <v>9332.28125</v>
      </c>
      <c r="C57">
        <v>9714.2597659999992</v>
      </c>
      <c r="D57">
        <v>9560.9394530000009</v>
      </c>
      <c r="E57">
        <v>9625.2138670000004</v>
      </c>
      <c r="F57">
        <v>9596.6728519999997</v>
      </c>
      <c r="G57">
        <v>9230.8388670000004</v>
      </c>
      <c r="H57">
        <v>9252.78125</v>
      </c>
      <c r="I57">
        <v>9199.1572269999997</v>
      </c>
      <c r="J57">
        <v>9230.546875</v>
      </c>
      <c r="K57">
        <v>9197.0693360000005</v>
      </c>
      <c r="L57">
        <v>9002.3623050000006</v>
      </c>
      <c r="M57">
        <v>8993.8369139999995</v>
      </c>
      <c r="N57">
        <v>8994.6748050000006</v>
      </c>
      <c r="O57">
        <v>9017.5722659999992</v>
      </c>
      <c r="P57">
        <v>9093.3310550000006</v>
      </c>
    </row>
    <row r="58" spans="1:16" ht="13.15" x14ac:dyDescent="0.4">
      <c r="A58" s="27">
        <v>9</v>
      </c>
      <c r="B58">
        <v>7981.7641599999997</v>
      </c>
      <c r="C58">
        <v>8287.2705079999996</v>
      </c>
      <c r="D58">
        <v>8145.7109380000002</v>
      </c>
      <c r="E58">
        <v>8210.1943360000005</v>
      </c>
      <c r="F58">
        <v>8143.4946289999998</v>
      </c>
      <c r="G58">
        <v>7874.3901370000003</v>
      </c>
      <c r="H58">
        <v>7884.1909180000002</v>
      </c>
      <c r="I58">
        <v>7845.4335940000001</v>
      </c>
      <c r="J58">
        <v>7907.3540039999998</v>
      </c>
      <c r="K58">
        <v>7868.626953</v>
      </c>
      <c r="L58">
        <v>7721.0859380000002</v>
      </c>
      <c r="M58">
        <v>7698.8745120000003</v>
      </c>
      <c r="N58">
        <v>7701.7548829999996</v>
      </c>
      <c r="O58">
        <v>7707.1206050000001</v>
      </c>
      <c r="P58">
        <v>7751.8989259999998</v>
      </c>
    </row>
    <row r="59" spans="1:16" ht="13.15" x14ac:dyDescent="0.4">
      <c r="A59" s="27">
        <v>10</v>
      </c>
      <c r="B59">
        <v>6715.8388670000004</v>
      </c>
      <c r="C59">
        <v>6921.4101559999999</v>
      </c>
      <c r="D59">
        <v>6860.6010740000002</v>
      </c>
      <c r="E59">
        <v>6911.0126950000003</v>
      </c>
      <c r="F59">
        <v>6871.4960940000001</v>
      </c>
      <c r="G59">
        <v>6655.013672</v>
      </c>
      <c r="H59">
        <v>6642.2373049999997</v>
      </c>
      <c r="I59">
        <v>6643.9052730000003</v>
      </c>
      <c r="J59">
        <v>6673.3657229999999</v>
      </c>
      <c r="K59">
        <v>6641.8002930000002</v>
      </c>
      <c r="L59">
        <v>6564.1762699999999</v>
      </c>
      <c r="M59">
        <v>6490.888672</v>
      </c>
      <c r="N59">
        <v>6520.7763670000004</v>
      </c>
      <c r="O59">
        <v>6520.1098629999997</v>
      </c>
      <c r="P59">
        <v>6548.8007809999999</v>
      </c>
    </row>
    <row r="60" spans="1:16" ht="13.15" x14ac:dyDescent="0.4">
      <c r="A60" s="27">
        <v>11</v>
      </c>
      <c r="B60">
        <v>5611.453125</v>
      </c>
      <c r="C60">
        <v>5767.841797</v>
      </c>
      <c r="D60">
        <v>5697.2563479999999</v>
      </c>
      <c r="E60">
        <v>5761.3608400000003</v>
      </c>
      <c r="F60">
        <v>5713.4887699999999</v>
      </c>
      <c r="G60">
        <v>5571.7250979999999</v>
      </c>
      <c r="H60">
        <v>5543.888672</v>
      </c>
      <c r="I60">
        <v>5545.0200199999999</v>
      </c>
      <c r="J60">
        <v>5604.7763670000004</v>
      </c>
      <c r="K60">
        <v>5534.9711909999996</v>
      </c>
      <c r="L60">
        <v>5513.4462890000004</v>
      </c>
      <c r="M60">
        <v>5435.626953</v>
      </c>
      <c r="N60">
        <v>5474.9560549999997</v>
      </c>
      <c r="O60">
        <v>5461.4858400000003</v>
      </c>
      <c r="P60">
        <v>5470.2041019999997</v>
      </c>
    </row>
    <row r="61" spans="1:16" ht="13.15" x14ac:dyDescent="0.4">
      <c r="A61" s="27">
        <v>12</v>
      </c>
      <c r="B61">
        <v>4622.2412109999996</v>
      </c>
      <c r="C61">
        <v>4746.5141599999997</v>
      </c>
      <c r="D61">
        <v>4667.9990230000003</v>
      </c>
      <c r="E61">
        <v>4744.3930659999996</v>
      </c>
      <c r="F61">
        <v>4699.6342770000001</v>
      </c>
      <c r="G61">
        <v>4598.1928710000002</v>
      </c>
      <c r="H61">
        <v>4608.595703</v>
      </c>
      <c r="I61">
        <v>4550.6513670000004</v>
      </c>
      <c r="J61">
        <v>4645.4208980000003</v>
      </c>
      <c r="K61">
        <v>4580.1528319999998</v>
      </c>
      <c r="L61">
        <v>4554.1479490000002</v>
      </c>
      <c r="M61">
        <v>4495.9907229999999</v>
      </c>
      <c r="N61">
        <v>4524.0786129999997</v>
      </c>
      <c r="O61">
        <v>4519.0898440000001</v>
      </c>
      <c r="P61">
        <v>4518.7924800000001</v>
      </c>
    </row>
    <row r="62" spans="1:16" ht="13.15" x14ac:dyDescent="0.4">
      <c r="A62" s="27">
        <v>13</v>
      </c>
      <c r="B62">
        <v>3725.0205080000001</v>
      </c>
      <c r="C62">
        <v>3803.7814939999998</v>
      </c>
      <c r="D62">
        <v>3759.4624020000001</v>
      </c>
      <c r="E62">
        <v>3802.9182129999999</v>
      </c>
      <c r="F62">
        <v>3797.482422</v>
      </c>
      <c r="G62">
        <v>3710.0539549999999</v>
      </c>
      <c r="H62">
        <v>3713.6523440000001</v>
      </c>
      <c r="I62">
        <v>3667.8786620000001</v>
      </c>
      <c r="J62">
        <v>3742.8500979999999</v>
      </c>
      <c r="K62">
        <v>3694.9375</v>
      </c>
      <c r="L62">
        <v>3686.0356449999999</v>
      </c>
      <c r="M62">
        <v>3634.8811040000001</v>
      </c>
      <c r="N62">
        <v>3622.3310550000001</v>
      </c>
      <c r="O62">
        <v>3656.0341800000001</v>
      </c>
      <c r="P62">
        <v>3645.632568</v>
      </c>
    </row>
    <row r="63" spans="1:16" ht="13.15" x14ac:dyDescent="0.4">
      <c r="A63" s="27">
        <v>14</v>
      </c>
      <c r="B63">
        <v>2967.6357419999999</v>
      </c>
      <c r="C63">
        <v>3038.2014159999999</v>
      </c>
      <c r="D63">
        <v>2978.1208499999998</v>
      </c>
      <c r="E63">
        <v>3023.243164</v>
      </c>
      <c r="F63">
        <v>3023.6748050000001</v>
      </c>
      <c r="G63">
        <v>2976.9516600000002</v>
      </c>
      <c r="H63">
        <v>2945.3461910000001</v>
      </c>
      <c r="I63">
        <v>2900.4494629999999</v>
      </c>
      <c r="J63">
        <v>2972.639893</v>
      </c>
      <c r="K63">
        <v>2940.873047</v>
      </c>
      <c r="L63">
        <v>2925.085693</v>
      </c>
      <c r="M63">
        <v>2914.9536130000001</v>
      </c>
      <c r="N63">
        <v>2888.7021479999999</v>
      </c>
      <c r="O63">
        <v>2906.3215329999998</v>
      </c>
      <c r="P63">
        <v>2921.3374020000001</v>
      </c>
    </row>
    <row r="64" spans="1:16" ht="13.15" x14ac:dyDescent="0.4">
      <c r="A64" s="27">
        <v>15</v>
      </c>
      <c r="B64">
        <v>2299.2827149999998</v>
      </c>
      <c r="C64">
        <v>2353.919922</v>
      </c>
      <c r="D64">
        <v>2300.5820309999999</v>
      </c>
      <c r="E64">
        <v>2330.0830080000001</v>
      </c>
      <c r="F64">
        <v>2348.4650879999999</v>
      </c>
      <c r="G64">
        <v>2313.7387699999999</v>
      </c>
      <c r="H64">
        <v>2269.1208499999998</v>
      </c>
      <c r="I64">
        <v>2239.827393</v>
      </c>
      <c r="J64">
        <v>2297.0024410000001</v>
      </c>
      <c r="K64">
        <v>2271.2817380000001</v>
      </c>
      <c r="L64">
        <v>2259.991943</v>
      </c>
      <c r="M64">
        <v>2247.3771969999998</v>
      </c>
      <c r="N64">
        <v>2229.908203</v>
      </c>
      <c r="O64">
        <v>2258.6176759999998</v>
      </c>
      <c r="P64">
        <v>2272.8166500000002</v>
      </c>
    </row>
    <row r="65" spans="1:16" ht="13.15" x14ac:dyDescent="0.4">
      <c r="A65" s="27">
        <v>16</v>
      </c>
      <c r="B65">
        <v>1751.529053</v>
      </c>
      <c r="C65">
        <v>1801.878784</v>
      </c>
      <c r="D65">
        <v>1765.0676269999999</v>
      </c>
      <c r="E65">
        <v>1774.182251</v>
      </c>
      <c r="F65">
        <v>1795.150879</v>
      </c>
      <c r="G65">
        <v>1773.0789789999999</v>
      </c>
      <c r="H65">
        <v>1742.087158</v>
      </c>
      <c r="I65">
        <v>1714.9525149999999</v>
      </c>
      <c r="J65">
        <v>1756.822754</v>
      </c>
      <c r="K65">
        <v>1742.9613039999999</v>
      </c>
      <c r="L65">
        <v>1735.241211</v>
      </c>
      <c r="M65">
        <v>1722.0135499999999</v>
      </c>
      <c r="N65">
        <v>1712.4914550000001</v>
      </c>
      <c r="O65">
        <v>1754.138062</v>
      </c>
      <c r="P65">
        <v>1738.6800539999999</v>
      </c>
    </row>
    <row r="66" spans="1:16" ht="13.15" x14ac:dyDescent="0.4">
      <c r="A66" s="27">
        <v>17</v>
      </c>
      <c r="B66">
        <v>1317.2229</v>
      </c>
      <c r="C66">
        <v>1366.483643</v>
      </c>
      <c r="D66">
        <v>1326.6724850000001</v>
      </c>
      <c r="E66">
        <v>1331.2086179999999</v>
      </c>
      <c r="F66">
        <v>1352.4995120000001</v>
      </c>
      <c r="G66">
        <v>1326.4254149999999</v>
      </c>
      <c r="H66">
        <v>1299.4782709999999</v>
      </c>
      <c r="I66">
        <v>1295.0108640000001</v>
      </c>
      <c r="J66">
        <v>1312.661255</v>
      </c>
      <c r="K66">
        <v>1286.5157469999999</v>
      </c>
      <c r="L66">
        <v>1315.440552</v>
      </c>
      <c r="M66">
        <v>1298.466187</v>
      </c>
      <c r="N66">
        <v>1286.493408</v>
      </c>
      <c r="O66">
        <v>1319.9311520000001</v>
      </c>
      <c r="P66">
        <v>1320.3726810000001</v>
      </c>
    </row>
    <row r="67" spans="1:16" ht="13.15" x14ac:dyDescent="0.4">
      <c r="A67" s="27">
        <v>18</v>
      </c>
      <c r="B67">
        <v>972.44146699999999</v>
      </c>
      <c r="C67">
        <v>1013.634827</v>
      </c>
      <c r="D67">
        <v>991.66265899999996</v>
      </c>
      <c r="E67">
        <v>992.01141399999995</v>
      </c>
      <c r="F67">
        <v>999.08569299999999</v>
      </c>
      <c r="G67">
        <v>988.05163600000003</v>
      </c>
      <c r="H67">
        <v>982.67871100000002</v>
      </c>
      <c r="I67">
        <v>973.96472200000005</v>
      </c>
      <c r="J67">
        <v>972.158142</v>
      </c>
      <c r="K67">
        <v>960.80767800000001</v>
      </c>
      <c r="L67">
        <v>990.26721199999997</v>
      </c>
      <c r="M67">
        <v>970.55200200000002</v>
      </c>
      <c r="N67">
        <v>966.21752900000001</v>
      </c>
      <c r="O67">
        <v>983.199341</v>
      </c>
      <c r="P67">
        <v>983.00146500000005</v>
      </c>
    </row>
    <row r="68" spans="1:16" ht="13.15" x14ac:dyDescent="0.4">
      <c r="A68" s="27">
        <v>19</v>
      </c>
      <c r="B68">
        <v>729.76269500000001</v>
      </c>
      <c r="C68">
        <v>756.22357199999999</v>
      </c>
      <c r="D68">
        <v>739.36096199999997</v>
      </c>
      <c r="E68">
        <v>736.833618</v>
      </c>
      <c r="F68">
        <v>747.806152</v>
      </c>
      <c r="G68">
        <v>738.51629600000001</v>
      </c>
      <c r="H68">
        <v>728.57690400000001</v>
      </c>
      <c r="I68">
        <v>731.618652</v>
      </c>
      <c r="J68">
        <v>737.17175299999997</v>
      </c>
      <c r="K68">
        <v>705.73516800000004</v>
      </c>
      <c r="L68">
        <v>755.296875</v>
      </c>
      <c r="M68">
        <v>728.99603300000001</v>
      </c>
      <c r="N68">
        <v>725.75146500000005</v>
      </c>
      <c r="O68">
        <v>738.17230199999995</v>
      </c>
      <c r="P68">
        <v>746.80035399999997</v>
      </c>
    </row>
    <row r="69" spans="1:16" ht="13.15" x14ac:dyDescent="0.4">
      <c r="A69" s="27">
        <v>20</v>
      </c>
      <c r="B69">
        <v>551.20636000000002</v>
      </c>
      <c r="C69">
        <v>570.96227999999996</v>
      </c>
      <c r="D69">
        <v>554.31182899999999</v>
      </c>
      <c r="E69">
        <v>548.82977300000005</v>
      </c>
      <c r="F69">
        <v>564.546875</v>
      </c>
      <c r="G69">
        <v>560.34710700000005</v>
      </c>
      <c r="H69">
        <v>547.932861</v>
      </c>
      <c r="I69">
        <v>555.68872099999999</v>
      </c>
      <c r="J69">
        <v>556.07940699999995</v>
      </c>
      <c r="K69">
        <v>533.07067900000004</v>
      </c>
      <c r="L69">
        <v>575.382385</v>
      </c>
      <c r="M69">
        <v>541.43981900000006</v>
      </c>
      <c r="N69">
        <v>550.16973900000005</v>
      </c>
      <c r="O69">
        <v>558.47204599999998</v>
      </c>
      <c r="P69">
        <v>553.75128199999995</v>
      </c>
    </row>
    <row r="70" spans="1:16" ht="13.15" x14ac:dyDescent="0.4">
      <c r="A70" s="27">
        <v>21</v>
      </c>
      <c r="B70">
        <v>424.93447900000001</v>
      </c>
      <c r="C70">
        <v>423.75134300000002</v>
      </c>
      <c r="D70">
        <v>413.12313799999998</v>
      </c>
      <c r="E70">
        <v>417.393463</v>
      </c>
      <c r="F70">
        <v>428.09042399999998</v>
      </c>
      <c r="G70">
        <v>418.59921300000002</v>
      </c>
      <c r="H70">
        <v>414.46734600000002</v>
      </c>
      <c r="I70">
        <v>415.77758799999998</v>
      </c>
      <c r="J70">
        <v>420.208527</v>
      </c>
      <c r="K70">
        <v>394.071594</v>
      </c>
      <c r="L70">
        <v>428.15722699999998</v>
      </c>
      <c r="M70">
        <v>416.95193499999999</v>
      </c>
      <c r="N70">
        <v>412.73098800000002</v>
      </c>
      <c r="O70">
        <v>424.72726399999999</v>
      </c>
      <c r="P70">
        <v>418.51376299999998</v>
      </c>
    </row>
    <row r="71" spans="1:16" ht="13.15" x14ac:dyDescent="0.4">
      <c r="A71" s="27">
        <v>22</v>
      </c>
      <c r="B71">
        <v>327.27105699999998</v>
      </c>
      <c r="C71">
        <v>316.66992199999999</v>
      </c>
      <c r="D71">
        <v>314.54168700000002</v>
      </c>
      <c r="E71">
        <v>320.47998000000001</v>
      </c>
      <c r="F71">
        <v>326.372162</v>
      </c>
      <c r="G71">
        <v>324.83889799999997</v>
      </c>
      <c r="H71">
        <v>312.04031400000002</v>
      </c>
      <c r="I71">
        <v>305.22280899999998</v>
      </c>
      <c r="J71">
        <v>314.485321</v>
      </c>
      <c r="K71">
        <v>298.65176400000001</v>
      </c>
      <c r="L71">
        <v>325.17336999999998</v>
      </c>
      <c r="M71">
        <v>313.69296300000002</v>
      </c>
      <c r="N71">
        <v>311.36209100000002</v>
      </c>
      <c r="O71">
        <v>323.955017</v>
      </c>
      <c r="P71">
        <v>318.58248900000001</v>
      </c>
    </row>
    <row r="72" spans="1:16" ht="13.15" x14ac:dyDescent="0.4">
      <c r="A72" s="27">
        <v>23</v>
      </c>
      <c r="B72">
        <v>245.39164700000001</v>
      </c>
      <c r="C72">
        <v>240.777252</v>
      </c>
      <c r="D72">
        <v>232.87780799999999</v>
      </c>
      <c r="E72">
        <v>245.61120600000001</v>
      </c>
      <c r="F72">
        <v>248.783356</v>
      </c>
      <c r="G72">
        <v>245.84397899999999</v>
      </c>
      <c r="H72">
        <v>230.30561800000001</v>
      </c>
      <c r="I72">
        <v>234.018036</v>
      </c>
      <c r="J72">
        <v>239.94216900000001</v>
      </c>
      <c r="K72">
        <v>224.505157</v>
      </c>
      <c r="L72">
        <v>245.53907799999999</v>
      </c>
      <c r="M72">
        <v>239.082672</v>
      </c>
      <c r="N72">
        <v>243.990128</v>
      </c>
      <c r="O72">
        <v>243.79057299999999</v>
      </c>
      <c r="P72">
        <v>235.58174099999999</v>
      </c>
    </row>
    <row r="73" spans="1:16" ht="13.15" x14ac:dyDescent="0.4">
      <c r="A73" s="27">
        <v>24</v>
      </c>
      <c r="B73">
        <v>182.255707</v>
      </c>
      <c r="C73">
        <v>185.469177</v>
      </c>
      <c r="D73">
        <v>174.81500199999999</v>
      </c>
      <c r="E73">
        <v>184.884308</v>
      </c>
      <c r="F73">
        <v>181.595215</v>
      </c>
      <c r="G73">
        <v>186.04409799999999</v>
      </c>
      <c r="H73">
        <v>173.81556699999999</v>
      </c>
      <c r="I73">
        <v>177.38732899999999</v>
      </c>
      <c r="J73">
        <v>183.776703</v>
      </c>
      <c r="K73">
        <v>161.304993</v>
      </c>
      <c r="L73">
        <v>186.05914300000001</v>
      </c>
      <c r="M73">
        <v>183.02191199999999</v>
      </c>
      <c r="N73">
        <v>190.29986600000001</v>
      </c>
      <c r="O73">
        <v>182.99748199999999</v>
      </c>
      <c r="P73">
        <v>177.77027899999999</v>
      </c>
    </row>
    <row r="74" spans="1:16" ht="13.15" x14ac:dyDescent="0.4">
      <c r="A74" s="27">
        <v>25</v>
      </c>
      <c r="B74">
        <v>135.150375</v>
      </c>
      <c r="C74">
        <v>135.15130600000001</v>
      </c>
      <c r="D74">
        <v>127.195145</v>
      </c>
      <c r="E74">
        <v>136.42756700000001</v>
      </c>
      <c r="F74">
        <v>132.92021199999999</v>
      </c>
      <c r="G74">
        <v>137.81044</v>
      </c>
      <c r="H74">
        <v>128.913208</v>
      </c>
      <c r="I74">
        <v>132.83230599999999</v>
      </c>
      <c r="J74">
        <v>134.42543000000001</v>
      </c>
      <c r="K74">
        <v>117.10618599999999</v>
      </c>
      <c r="L74">
        <v>142.55522199999999</v>
      </c>
      <c r="M74">
        <v>135.411484</v>
      </c>
      <c r="N74">
        <v>138.26799</v>
      </c>
      <c r="O74">
        <v>131.89007599999999</v>
      </c>
      <c r="P74">
        <v>130.90168800000001</v>
      </c>
    </row>
    <row r="75" spans="1:16" ht="13.15" x14ac:dyDescent="0.4">
      <c r="A75" s="27">
        <v>26</v>
      </c>
      <c r="B75">
        <v>98.896529999999998</v>
      </c>
      <c r="C75">
        <v>101.25952100000001</v>
      </c>
      <c r="D75">
        <v>93.777702000000005</v>
      </c>
      <c r="E75">
        <v>99.201141000000007</v>
      </c>
      <c r="F75">
        <v>95.061867000000007</v>
      </c>
      <c r="G75">
        <v>101.389107</v>
      </c>
      <c r="H75">
        <v>94.977790999999996</v>
      </c>
      <c r="I75">
        <v>102.434944</v>
      </c>
      <c r="J75">
        <v>97.050621000000007</v>
      </c>
      <c r="K75">
        <v>86.332245</v>
      </c>
      <c r="L75">
        <v>105.93328099999999</v>
      </c>
      <c r="M75">
        <v>100.16739699999999</v>
      </c>
      <c r="N75">
        <v>99.710494999999995</v>
      </c>
      <c r="O75">
        <v>96.856773000000004</v>
      </c>
      <c r="P75">
        <v>93.324234000000004</v>
      </c>
    </row>
    <row r="76" spans="1:16" ht="13.15" x14ac:dyDescent="0.4">
      <c r="A76" s="27">
        <v>27</v>
      </c>
      <c r="B76">
        <v>74.973929999999996</v>
      </c>
      <c r="C76">
        <v>70.694534000000004</v>
      </c>
      <c r="D76">
        <v>67.043746999999996</v>
      </c>
      <c r="E76">
        <v>74.660812000000007</v>
      </c>
      <c r="F76">
        <v>67.604172000000005</v>
      </c>
      <c r="G76">
        <v>74.319198999999998</v>
      </c>
      <c r="H76">
        <v>65.387755999999996</v>
      </c>
      <c r="I76">
        <v>73.911392000000006</v>
      </c>
      <c r="J76">
        <v>69.174377000000007</v>
      </c>
      <c r="K76">
        <v>60.721724999999999</v>
      </c>
      <c r="L76">
        <v>74.472815999999995</v>
      </c>
      <c r="M76">
        <v>75.640808000000007</v>
      </c>
      <c r="N76">
        <v>73.383606</v>
      </c>
      <c r="O76">
        <v>70.890915000000007</v>
      </c>
      <c r="P76">
        <v>67.928482000000002</v>
      </c>
    </row>
    <row r="77" spans="1:16" ht="13.15" x14ac:dyDescent="0.4">
      <c r="A77" s="27">
        <v>28</v>
      </c>
      <c r="B77">
        <v>54.010821999999997</v>
      </c>
      <c r="C77">
        <v>51.565421999999998</v>
      </c>
      <c r="D77">
        <v>48.455292</v>
      </c>
      <c r="E77">
        <v>53.447994000000001</v>
      </c>
      <c r="F77">
        <v>44.722763</v>
      </c>
      <c r="G77">
        <v>52.417183000000001</v>
      </c>
      <c r="H77">
        <v>48.833897</v>
      </c>
      <c r="I77">
        <v>53.715885</v>
      </c>
      <c r="J77">
        <v>48.525311000000002</v>
      </c>
      <c r="K77">
        <v>42.339976999999998</v>
      </c>
      <c r="L77">
        <v>51.614821999999997</v>
      </c>
      <c r="M77">
        <v>54.618023000000001</v>
      </c>
      <c r="N77">
        <v>53.482967000000002</v>
      </c>
      <c r="O77">
        <v>50.489170000000001</v>
      </c>
      <c r="P77">
        <v>49.965629999999997</v>
      </c>
    </row>
    <row r="78" spans="1:16" ht="13.15" x14ac:dyDescent="0.4">
      <c r="A78" s="27">
        <v>29</v>
      </c>
      <c r="B78">
        <v>38.226837000000003</v>
      </c>
      <c r="C78">
        <v>38.674067999999998</v>
      </c>
      <c r="D78">
        <v>34.252879999999998</v>
      </c>
      <c r="E78">
        <v>37.642361000000001</v>
      </c>
      <c r="F78">
        <v>29.745836000000001</v>
      </c>
      <c r="G78">
        <v>37.405689000000002</v>
      </c>
      <c r="H78">
        <v>38.694656000000002</v>
      </c>
      <c r="I78">
        <v>37.892600999999999</v>
      </c>
      <c r="J78">
        <v>33.864471000000002</v>
      </c>
      <c r="K78">
        <v>28.708570000000002</v>
      </c>
      <c r="L78">
        <v>37.359299</v>
      </c>
      <c r="M78">
        <v>37.923457999999997</v>
      </c>
      <c r="N78">
        <v>39.179386000000001</v>
      </c>
      <c r="O78">
        <v>35.033301999999999</v>
      </c>
      <c r="P78">
        <v>34.480412000000001</v>
      </c>
    </row>
    <row r="79" spans="1:16" ht="13.15" x14ac:dyDescent="0.4">
      <c r="A79" s="27">
        <v>30</v>
      </c>
      <c r="B79">
        <v>25.155725</v>
      </c>
      <c r="C79">
        <v>27.238185999999999</v>
      </c>
      <c r="D79">
        <v>23.60107</v>
      </c>
      <c r="E79">
        <v>26.82798</v>
      </c>
      <c r="F79">
        <v>18.513144</v>
      </c>
      <c r="G79">
        <v>24.609006999999998</v>
      </c>
      <c r="H79">
        <v>26.072334000000001</v>
      </c>
      <c r="I79">
        <v>26.857942999999999</v>
      </c>
      <c r="J79">
        <v>23.333447</v>
      </c>
      <c r="K79">
        <v>19.414428999999998</v>
      </c>
      <c r="L79">
        <v>27.773689000000001</v>
      </c>
      <c r="M79">
        <v>26.175429999999999</v>
      </c>
      <c r="N79">
        <v>24.668500999999999</v>
      </c>
      <c r="O79">
        <v>23.492920000000002</v>
      </c>
      <c r="P79">
        <v>23.537527000000001</v>
      </c>
    </row>
    <row r="80" spans="1:16" ht="13.15" x14ac:dyDescent="0.4">
      <c r="A80" s="27">
        <v>38</v>
      </c>
      <c r="B80">
        <v>17.756983000000002</v>
      </c>
      <c r="C80">
        <v>17.465707999999999</v>
      </c>
      <c r="D80">
        <v>16.499863000000001</v>
      </c>
      <c r="E80">
        <v>17.053446000000001</v>
      </c>
      <c r="F80">
        <v>11.024680999999999</v>
      </c>
      <c r="G80">
        <v>16.734124999999999</v>
      </c>
      <c r="H80">
        <v>18.002327000000001</v>
      </c>
      <c r="I80">
        <v>18.321697</v>
      </c>
      <c r="J80">
        <v>14.454348</v>
      </c>
      <c r="K80">
        <v>12.598725</v>
      </c>
      <c r="L80">
        <v>19.662787999999999</v>
      </c>
      <c r="M80">
        <v>18.549519</v>
      </c>
      <c r="N80">
        <v>16.376567999999999</v>
      </c>
      <c r="O80">
        <v>16.486259</v>
      </c>
      <c r="P80">
        <v>15.072276</v>
      </c>
    </row>
    <row r="81" spans="1:32" ht="13.15" x14ac:dyDescent="0.4">
      <c r="A81" s="27">
        <v>50</v>
      </c>
      <c r="B81">
        <v>12.577863000000001</v>
      </c>
      <c r="C81">
        <v>12.267580000000001</v>
      </c>
      <c r="D81">
        <v>10.860669</v>
      </c>
      <c r="E81">
        <v>11.022347999999999</v>
      </c>
      <c r="F81">
        <v>6.8644239999999996</v>
      </c>
      <c r="G81">
        <v>11.074052999999999</v>
      </c>
      <c r="H81">
        <v>12.001550999999999</v>
      </c>
      <c r="I81">
        <v>10.201854000000001</v>
      </c>
      <c r="J81">
        <v>8.4661179999999998</v>
      </c>
      <c r="K81">
        <v>6.4026310000000004</v>
      </c>
      <c r="L81">
        <v>14.255523</v>
      </c>
      <c r="M81">
        <v>12.366345000000001</v>
      </c>
      <c r="N81">
        <v>9.7430210000000006</v>
      </c>
      <c r="O81">
        <v>9.6856779999999993</v>
      </c>
      <c r="P81">
        <v>10.117006999999999</v>
      </c>
    </row>
    <row r="82" spans="1:32" ht="13.15" x14ac:dyDescent="0.4">
      <c r="A82" s="27">
        <v>70</v>
      </c>
      <c r="B82">
        <v>8.1386179999999992</v>
      </c>
      <c r="C82">
        <v>7.901154</v>
      </c>
      <c r="D82">
        <v>6.265771</v>
      </c>
      <c r="E82">
        <v>7.4868779999999999</v>
      </c>
      <c r="F82">
        <v>4.3682699999999999</v>
      </c>
      <c r="G82">
        <v>8.8592420000000001</v>
      </c>
      <c r="H82">
        <v>6.6215450000000002</v>
      </c>
      <c r="I82">
        <v>4.9968260000000004</v>
      </c>
      <c r="J82">
        <v>4.3363040000000002</v>
      </c>
      <c r="K82">
        <v>4.7503390000000003</v>
      </c>
      <c r="L82">
        <v>9.8313939999999995</v>
      </c>
      <c r="M82">
        <v>8.6564420000000002</v>
      </c>
      <c r="N82">
        <v>6.4262480000000002</v>
      </c>
      <c r="O82">
        <v>5.9762690000000003</v>
      </c>
      <c r="P82">
        <v>5.9876170000000002</v>
      </c>
    </row>
    <row r="85" spans="1:32" ht="13.15" x14ac:dyDescent="0.4">
      <c r="B85" s="27" t="s">
        <v>105</v>
      </c>
    </row>
    <row r="86" spans="1:32" x14ac:dyDescent="0.35">
      <c r="A86">
        <v>1</v>
      </c>
      <c r="B86">
        <v>4.0547430000000002</v>
      </c>
      <c r="C86">
        <v>17172.728515999999</v>
      </c>
      <c r="D86">
        <v>14791.320312</v>
      </c>
      <c r="E86">
        <v>12886.637694999999</v>
      </c>
      <c r="F86">
        <v>11006.863281</v>
      </c>
      <c r="G86">
        <v>9332.28125</v>
      </c>
      <c r="H86">
        <v>7981.7641599999997</v>
      </c>
      <c r="I86">
        <v>6715.8388670000004</v>
      </c>
      <c r="J86">
        <v>5611.453125</v>
      </c>
      <c r="K86">
        <v>4622.2412109999996</v>
      </c>
      <c r="L86">
        <v>3725.0205080000001</v>
      </c>
      <c r="M86">
        <v>2967.6357419999999</v>
      </c>
      <c r="N86">
        <v>2299.2827149999998</v>
      </c>
      <c r="O86">
        <v>1751.529053</v>
      </c>
      <c r="P86">
        <v>1317.2229</v>
      </c>
      <c r="Q86">
        <v>972.44146699999999</v>
      </c>
      <c r="R86">
        <v>729.76269500000001</v>
      </c>
      <c r="S86">
        <v>551.20636000000002</v>
      </c>
      <c r="T86">
        <v>424.93447900000001</v>
      </c>
      <c r="U86">
        <v>327.27105699999998</v>
      </c>
      <c r="V86">
        <v>245.39164700000001</v>
      </c>
      <c r="W86">
        <v>182.255707</v>
      </c>
      <c r="X86">
        <v>135.150375</v>
      </c>
      <c r="Y86">
        <v>98.896529999999998</v>
      </c>
      <c r="Z86">
        <v>74.973929999999996</v>
      </c>
      <c r="AA86">
        <v>54.010821999999997</v>
      </c>
      <c r="AB86">
        <v>38.226837000000003</v>
      </c>
      <c r="AC86">
        <v>25.155725</v>
      </c>
      <c r="AD86">
        <v>17.756983000000002</v>
      </c>
      <c r="AE86">
        <v>12.577863000000001</v>
      </c>
      <c r="AF86">
        <v>8.1386179999999992</v>
      </c>
    </row>
    <row r="87" spans="1:32" x14ac:dyDescent="0.35">
      <c r="A87">
        <v>2</v>
      </c>
      <c r="B87">
        <v>4.8094239999999999</v>
      </c>
      <c r="C87">
        <v>18013.798827999999</v>
      </c>
      <c r="D87">
        <v>15499.568359000001</v>
      </c>
      <c r="E87">
        <v>13455.248046999999</v>
      </c>
      <c r="F87">
        <v>11483.910156</v>
      </c>
      <c r="G87">
        <v>9714.2597659999992</v>
      </c>
      <c r="H87">
        <v>8287.2705079999996</v>
      </c>
      <c r="I87">
        <v>6921.4101559999999</v>
      </c>
      <c r="J87">
        <v>5767.841797</v>
      </c>
      <c r="K87">
        <v>4746.5141599999997</v>
      </c>
      <c r="L87">
        <v>3803.7814939999998</v>
      </c>
      <c r="M87">
        <v>3038.2014159999999</v>
      </c>
      <c r="N87">
        <v>2353.919922</v>
      </c>
      <c r="O87">
        <v>1801.878784</v>
      </c>
      <c r="P87">
        <v>1366.483643</v>
      </c>
      <c r="Q87">
        <v>1013.634827</v>
      </c>
      <c r="R87">
        <v>756.22357199999999</v>
      </c>
      <c r="S87">
        <v>570.96227999999996</v>
      </c>
      <c r="T87">
        <v>423.75134300000002</v>
      </c>
      <c r="U87">
        <v>316.66992199999999</v>
      </c>
      <c r="V87">
        <v>240.777252</v>
      </c>
      <c r="W87">
        <v>185.469177</v>
      </c>
      <c r="X87">
        <v>135.15130600000001</v>
      </c>
      <c r="Y87">
        <v>101.25952100000001</v>
      </c>
      <c r="Z87">
        <v>70.694534000000004</v>
      </c>
      <c r="AA87">
        <v>51.565421999999998</v>
      </c>
      <c r="AB87">
        <v>38.674067999999998</v>
      </c>
      <c r="AC87">
        <v>27.238185999999999</v>
      </c>
      <c r="AD87">
        <v>17.465707999999999</v>
      </c>
      <c r="AE87">
        <v>12.267580000000001</v>
      </c>
      <c r="AF87">
        <v>7.901154</v>
      </c>
    </row>
    <row r="88" spans="1:32" x14ac:dyDescent="0.35">
      <c r="A88">
        <v>3</v>
      </c>
      <c r="B88">
        <v>4.7879189999999996</v>
      </c>
      <c r="C88">
        <v>17694.746093999998</v>
      </c>
      <c r="D88">
        <v>15225.614258</v>
      </c>
      <c r="E88">
        <v>13232.889648</v>
      </c>
      <c r="F88">
        <v>11296.975586</v>
      </c>
      <c r="G88">
        <v>9560.9394530000009</v>
      </c>
      <c r="H88">
        <v>8145.7109380000002</v>
      </c>
      <c r="I88">
        <v>6860.6010740000002</v>
      </c>
      <c r="J88">
        <v>5697.2563479999999</v>
      </c>
      <c r="K88">
        <v>4667.9990230000003</v>
      </c>
      <c r="L88">
        <v>3759.4624020000001</v>
      </c>
      <c r="M88">
        <v>2978.1208499999998</v>
      </c>
      <c r="N88">
        <v>2300.5820309999999</v>
      </c>
      <c r="O88">
        <v>1765.0676269999999</v>
      </c>
      <c r="P88">
        <v>1326.6724850000001</v>
      </c>
      <c r="Q88">
        <v>991.66265899999996</v>
      </c>
      <c r="R88">
        <v>739.36096199999997</v>
      </c>
      <c r="S88">
        <v>554.31182899999999</v>
      </c>
      <c r="T88">
        <v>413.12313799999998</v>
      </c>
      <c r="U88">
        <v>314.54168700000002</v>
      </c>
      <c r="V88">
        <v>232.87780799999999</v>
      </c>
      <c r="W88">
        <v>174.81500199999999</v>
      </c>
      <c r="X88">
        <v>127.195145</v>
      </c>
      <c r="Y88">
        <v>93.777702000000005</v>
      </c>
      <c r="Z88">
        <v>67.043746999999996</v>
      </c>
      <c r="AA88">
        <v>48.455292</v>
      </c>
      <c r="AB88">
        <v>34.252879999999998</v>
      </c>
      <c r="AC88">
        <v>23.60107</v>
      </c>
      <c r="AD88">
        <v>16.499863000000001</v>
      </c>
      <c r="AE88">
        <v>10.860669</v>
      </c>
      <c r="AF88">
        <v>6.265771</v>
      </c>
    </row>
    <row r="89" spans="1:32" x14ac:dyDescent="0.35">
      <c r="A89">
        <v>4</v>
      </c>
      <c r="B89">
        <v>4.8084129999999998</v>
      </c>
      <c r="C89">
        <v>17755.755859000001</v>
      </c>
      <c r="D89">
        <v>15256.802734000001</v>
      </c>
      <c r="E89">
        <v>13263.212890999999</v>
      </c>
      <c r="F89">
        <v>11344.700194999999</v>
      </c>
      <c r="G89">
        <v>9625.2138670000004</v>
      </c>
      <c r="H89">
        <v>8210.1943360000005</v>
      </c>
      <c r="I89">
        <v>6911.0126950000003</v>
      </c>
      <c r="J89">
        <v>5761.3608400000003</v>
      </c>
      <c r="K89">
        <v>4744.3930659999996</v>
      </c>
      <c r="L89">
        <v>3802.9182129999999</v>
      </c>
      <c r="M89">
        <v>3023.243164</v>
      </c>
      <c r="N89">
        <v>2330.0830080000001</v>
      </c>
      <c r="O89">
        <v>1774.182251</v>
      </c>
      <c r="P89">
        <v>1331.2086179999999</v>
      </c>
      <c r="Q89">
        <v>992.01141399999995</v>
      </c>
      <c r="R89">
        <v>736.833618</v>
      </c>
      <c r="S89">
        <v>548.82977300000005</v>
      </c>
      <c r="T89">
        <v>417.393463</v>
      </c>
      <c r="U89">
        <v>320.47998000000001</v>
      </c>
      <c r="V89">
        <v>245.61120600000001</v>
      </c>
      <c r="W89">
        <v>184.884308</v>
      </c>
      <c r="X89">
        <v>136.42756700000001</v>
      </c>
      <c r="Y89">
        <v>99.201141000000007</v>
      </c>
      <c r="Z89">
        <v>74.660812000000007</v>
      </c>
      <c r="AA89">
        <v>53.447994000000001</v>
      </c>
      <c r="AB89">
        <v>37.642361000000001</v>
      </c>
      <c r="AC89">
        <v>26.82798</v>
      </c>
      <c r="AD89">
        <v>17.053446000000001</v>
      </c>
      <c r="AE89">
        <v>11.022347999999999</v>
      </c>
      <c r="AF89">
        <v>7.4868779999999999</v>
      </c>
    </row>
    <row r="90" spans="1:32" x14ac:dyDescent="0.35">
      <c r="A90">
        <v>5</v>
      </c>
      <c r="B90">
        <v>4.8073949999999996</v>
      </c>
      <c r="C90">
        <v>17871.007812</v>
      </c>
      <c r="D90">
        <v>15308.497069999999</v>
      </c>
      <c r="E90">
        <v>13219.839844</v>
      </c>
      <c r="F90">
        <v>11314.650390999999</v>
      </c>
      <c r="G90">
        <v>9596.6728519999997</v>
      </c>
      <c r="H90">
        <v>8143.4946289999998</v>
      </c>
      <c r="I90">
        <v>6871.4960940000001</v>
      </c>
      <c r="J90">
        <v>5713.4887699999999</v>
      </c>
      <c r="K90">
        <v>4699.6342770000001</v>
      </c>
      <c r="L90">
        <v>3797.482422</v>
      </c>
      <c r="M90">
        <v>3023.6748050000001</v>
      </c>
      <c r="N90">
        <v>2348.4650879999999</v>
      </c>
      <c r="O90">
        <v>1795.150879</v>
      </c>
      <c r="P90">
        <v>1352.4995120000001</v>
      </c>
      <c r="Q90">
        <v>999.08569299999999</v>
      </c>
      <c r="R90">
        <v>747.806152</v>
      </c>
      <c r="S90">
        <v>564.546875</v>
      </c>
      <c r="T90">
        <v>428.09042399999998</v>
      </c>
      <c r="U90">
        <v>326.372162</v>
      </c>
      <c r="V90">
        <v>248.783356</v>
      </c>
      <c r="W90">
        <v>181.595215</v>
      </c>
      <c r="X90">
        <v>132.92021199999999</v>
      </c>
      <c r="Y90">
        <v>95.061867000000007</v>
      </c>
      <c r="Z90">
        <v>67.604172000000005</v>
      </c>
      <c r="AA90">
        <v>44.722763</v>
      </c>
      <c r="AB90">
        <v>29.745836000000001</v>
      </c>
      <c r="AC90">
        <v>18.513144</v>
      </c>
      <c r="AD90">
        <v>11.024680999999999</v>
      </c>
      <c r="AE90">
        <v>6.8644239999999996</v>
      </c>
      <c r="AF90">
        <v>4.3682699999999999</v>
      </c>
    </row>
    <row r="91" spans="1:32" x14ac:dyDescent="0.35">
      <c r="A91">
        <v>1</v>
      </c>
      <c r="B91">
        <v>4.0635529999999997</v>
      </c>
      <c r="C91">
        <v>16827.638672000001</v>
      </c>
      <c r="D91">
        <v>14510.455078000001</v>
      </c>
      <c r="E91">
        <v>12624.913086</v>
      </c>
      <c r="F91">
        <v>10846.912109000001</v>
      </c>
      <c r="G91">
        <v>9230.8388670000004</v>
      </c>
      <c r="H91">
        <v>7874.3901370000003</v>
      </c>
      <c r="I91">
        <v>6655.013672</v>
      </c>
      <c r="J91">
        <v>5571.7250979999999</v>
      </c>
      <c r="K91">
        <v>4598.1928710000002</v>
      </c>
      <c r="L91">
        <v>3710.0539549999999</v>
      </c>
      <c r="M91">
        <v>2976.9516600000002</v>
      </c>
      <c r="N91">
        <v>2313.7387699999999</v>
      </c>
      <c r="O91">
        <v>1773.0789789999999</v>
      </c>
      <c r="P91">
        <v>1326.4254149999999</v>
      </c>
      <c r="Q91">
        <v>988.05163600000003</v>
      </c>
      <c r="R91">
        <v>738.51629600000001</v>
      </c>
      <c r="S91">
        <v>560.34710700000005</v>
      </c>
      <c r="T91">
        <v>418.59921300000002</v>
      </c>
      <c r="U91">
        <v>324.83889799999997</v>
      </c>
      <c r="V91">
        <v>245.84397899999999</v>
      </c>
      <c r="W91">
        <v>186.04409799999999</v>
      </c>
      <c r="X91">
        <v>137.81044</v>
      </c>
      <c r="Y91">
        <v>101.389107</v>
      </c>
      <c r="Z91">
        <v>74.319198999999998</v>
      </c>
      <c r="AA91">
        <v>52.417183000000001</v>
      </c>
      <c r="AB91">
        <v>37.405689000000002</v>
      </c>
      <c r="AC91">
        <v>24.609006999999998</v>
      </c>
      <c r="AD91">
        <v>16.734124999999999</v>
      </c>
      <c r="AE91">
        <v>11.074052999999999</v>
      </c>
      <c r="AF91">
        <v>8.8592420000000001</v>
      </c>
    </row>
    <row r="92" spans="1:32" x14ac:dyDescent="0.35">
      <c r="A92">
        <v>2</v>
      </c>
      <c r="B92">
        <v>4.8327090000000004</v>
      </c>
      <c r="C92">
        <v>16932.119140999999</v>
      </c>
      <c r="D92">
        <v>14560.984375</v>
      </c>
      <c r="E92">
        <v>12696.606444999999</v>
      </c>
      <c r="F92">
        <v>10883.336914</v>
      </c>
      <c r="G92">
        <v>9252.78125</v>
      </c>
      <c r="H92">
        <v>7884.1909180000002</v>
      </c>
      <c r="I92">
        <v>6642.2373049999997</v>
      </c>
      <c r="J92">
        <v>5543.888672</v>
      </c>
      <c r="K92">
        <v>4608.595703</v>
      </c>
      <c r="L92">
        <v>3713.6523440000001</v>
      </c>
      <c r="M92">
        <v>2945.3461910000001</v>
      </c>
      <c r="N92">
        <v>2269.1208499999998</v>
      </c>
      <c r="O92">
        <v>1742.087158</v>
      </c>
      <c r="P92">
        <v>1299.4782709999999</v>
      </c>
      <c r="Q92">
        <v>982.67871100000002</v>
      </c>
      <c r="R92">
        <v>728.57690400000001</v>
      </c>
      <c r="S92">
        <v>547.932861</v>
      </c>
      <c r="T92">
        <v>414.46734600000002</v>
      </c>
      <c r="U92">
        <v>312.04031400000002</v>
      </c>
      <c r="V92">
        <v>230.30561800000001</v>
      </c>
      <c r="W92">
        <v>173.81556699999999</v>
      </c>
      <c r="X92">
        <v>128.913208</v>
      </c>
      <c r="Y92">
        <v>94.977790999999996</v>
      </c>
      <c r="Z92">
        <v>65.387755999999996</v>
      </c>
      <c r="AA92">
        <v>48.833897</v>
      </c>
      <c r="AB92">
        <v>38.694656000000002</v>
      </c>
      <c r="AC92">
        <v>26.072334000000001</v>
      </c>
      <c r="AD92">
        <v>18.002327000000001</v>
      </c>
      <c r="AE92">
        <v>12.001550999999999</v>
      </c>
      <c r="AF92">
        <v>6.6215450000000002</v>
      </c>
    </row>
    <row r="93" spans="1:32" x14ac:dyDescent="0.35">
      <c r="A93">
        <v>3</v>
      </c>
      <c r="B93">
        <v>4.8030489999999997</v>
      </c>
      <c r="C93">
        <v>16784.130859000001</v>
      </c>
      <c r="D93">
        <v>14468.518555000001</v>
      </c>
      <c r="E93">
        <v>12583.465819999999</v>
      </c>
      <c r="F93">
        <v>10800.431640999999</v>
      </c>
      <c r="G93">
        <v>9199.1572269999997</v>
      </c>
      <c r="H93">
        <v>7845.4335940000001</v>
      </c>
      <c r="I93">
        <v>6643.9052730000003</v>
      </c>
      <c r="J93">
        <v>5545.0200199999999</v>
      </c>
      <c r="K93">
        <v>4550.6513670000004</v>
      </c>
      <c r="L93">
        <v>3667.8786620000001</v>
      </c>
      <c r="M93">
        <v>2900.4494629999999</v>
      </c>
      <c r="N93">
        <v>2239.827393</v>
      </c>
      <c r="O93">
        <v>1714.9525149999999</v>
      </c>
      <c r="P93">
        <v>1295.0108640000001</v>
      </c>
      <c r="Q93">
        <v>973.96472200000005</v>
      </c>
      <c r="R93">
        <v>731.618652</v>
      </c>
      <c r="S93">
        <v>555.68872099999999</v>
      </c>
      <c r="T93">
        <v>415.77758799999998</v>
      </c>
      <c r="U93">
        <v>305.22280899999998</v>
      </c>
      <c r="V93">
        <v>234.018036</v>
      </c>
      <c r="W93">
        <v>177.38732899999999</v>
      </c>
      <c r="X93">
        <v>132.83230599999999</v>
      </c>
      <c r="Y93">
        <v>102.434944</v>
      </c>
      <c r="Z93">
        <v>73.911392000000006</v>
      </c>
      <c r="AA93">
        <v>53.715885</v>
      </c>
      <c r="AB93">
        <v>37.892600999999999</v>
      </c>
      <c r="AC93">
        <v>26.857942999999999</v>
      </c>
      <c r="AD93">
        <v>18.321697</v>
      </c>
      <c r="AE93">
        <v>10.201854000000001</v>
      </c>
      <c r="AF93">
        <v>4.9968260000000004</v>
      </c>
    </row>
    <row r="94" spans="1:32" x14ac:dyDescent="0.35">
      <c r="A94">
        <v>4</v>
      </c>
      <c r="B94">
        <v>4.8428339999999999</v>
      </c>
      <c r="C94">
        <v>16826.306640999999</v>
      </c>
      <c r="D94">
        <v>14562.755859000001</v>
      </c>
      <c r="E94">
        <v>12660.976562</v>
      </c>
      <c r="F94">
        <v>10839.728515999999</v>
      </c>
      <c r="G94">
        <v>9230.546875</v>
      </c>
      <c r="H94">
        <v>7907.3540039999998</v>
      </c>
      <c r="I94">
        <v>6673.3657229999999</v>
      </c>
      <c r="J94">
        <v>5604.7763670000004</v>
      </c>
      <c r="K94">
        <v>4645.4208980000003</v>
      </c>
      <c r="L94">
        <v>3742.8500979999999</v>
      </c>
      <c r="M94">
        <v>2972.639893</v>
      </c>
      <c r="N94">
        <v>2297.0024410000001</v>
      </c>
      <c r="O94">
        <v>1756.822754</v>
      </c>
      <c r="P94">
        <v>1312.661255</v>
      </c>
      <c r="Q94">
        <v>972.158142</v>
      </c>
      <c r="R94">
        <v>737.17175299999997</v>
      </c>
      <c r="S94">
        <v>556.07940699999995</v>
      </c>
      <c r="T94">
        <v>420.208527</v>
      </c>
      <c r="U94">
        <v>314.485321</v>
      </c>
      <c r="V94">
        <v>239.94216900000001</v>
      </c>
      <c r="W94">
        <v>183.776703</v>
      </c>
      <c r="X94">
        <v>134.42543000000001</v>
      </c>
      <c r="Y94">
        <v>97.050621000000007</v>
      </c>
      <c r="Z94">
        <v>69.174377000000007</v>
      </c>
      <c r="AA94">
        <v>48.525311000000002</v>
      </c>
      <c r="AB94">
        <v>33.864471000000002</v>
      </c>
      <c r="AC94">
        <v>23.333447</v>
      </c>
      <c r="AD94">
        <v>14.454348</v>
      </c>
      <c r="AE94">
        <v>8.4661179999999998</v>
      </c>
      <c r="AF94">
        <v>4.3363040000000002</v>
      </c>
    </row>
    <row r="95" spans="1:32" x14ac:dyDescent="0.35">
      <c r="A95">
        <v>5</v>
      </c>
      <c r="B95">
        <v>4.8417599999999998</v>
      </c>
      <c r="C95">
        <v>16767.251952999999</v>
      </c>
      <c r="D95">
        <v>14458.172852</v>
      </c>
      <c r="E95">
        <v>12591.703125</v>
      </c>
      <c r="F95">
        <v>10808.466796999999</v>
      </c>
      <c r="G95">
        <v>9197.0693360000005</v>
      </c>
      <c r="H95">
        <v>7868.626953</v>
      </c>
      <c r="I95">
        <v>6641.8002930000002</v>
      </c>
      <c r="J95">
        <v>5534.9711909999996</v>
      </c>
      <c r="K95">
        <v>4580.1528319999998</v>
      </c>
      <c r="L95">
        <v>3694.9375</v>
      </c>
      <c r="M95">
        <v>2940.873047</v>
      </c>
      <c r="N95">
        <v>2271.2817380000001</v>
      </c>
      <c r="O95">
        <v>1742.9613039999999</v>
      </c>
      <c r="P95">
        <v>1286.5157469999999</v>
      </c>
      <c r="Q95">
        <v>960.80767800000001</v>
      </c>
      <c r="R95">
        <v>705.73516800000004</v>
      </c>
      <c r="S95">
        <v>533.07067900000004</v>
      </c>
      <c r="T95">
        <v>394.071594</v>
      </c>
      <c r="U95">
        <v>298.65176400000001</v>
      </c>
      <c r="V95">
        <v>224.505157</v>
      </c>
      <c r="W95">
        <v>161.304993</v>
      </c>
      <c r="X95">
        <v>117.10618599999999</v>
      </c>
      <c r="Y95">
        <v>86.332245</v>
      </c>
      <c r="Z95">
        <v>60.721724999999999</v>
      </c>
      <c r="AA95">
        <v>42.339976999999998</v>
      </c>
      <c r="AB95">
        <v>28.708570000000002</v>
      </c>
      <c r="AC95">
        <v>19.414428999999998</v>
      </c>
      <c r="AD95">
        <v>12.598725</v>
      </c>
      <c r="AE95">
        <v>6.4026310000000004</v>
      </c>
      <c r="AF95">
        <v>4.7503390000000003</v>
      </c>
    </row>
    <row r="96" spans="1:32" x14ac:dyDescent="0.35">
      <c r="A96">
        <v>1</v>
      </c>
      <c r="B96">
        <v>4.0685989999999999</v>
      </c>
      <c r="C96">
        <v>16408.597656000002</v>
      </c>
      <c r="D96">
        <v>14150.326171999999</v>
      </c>
      <c r="E96">
        <v>12326.111328000001</v>
      </c>
      <c r="F96">
        <v>10568.257812</v>
      </c>
      <c r="G96">
        <v>9002.3623050000006</v>
      </c>
      <c r="H96">
        <v>7721.0859380000002</v>
      </c>
      <c r="I96">
        <v>6564.1762699999999</v>
      </c>
      <c r="J96">
        <v>5513.4462890000004</v>
      </c>
      <c r="K96">
        <v>4554.1479490000002</v>
      </c>
      <c r="L96">
        <v>3686.0356449999999</v>
      </c>
      <c r="M96">
        <v>2925.085693</v>
      </c>
      <c r="N96">
        <v>2259.991943</v>
      </c>
      <c r="O96">
        <v>1735.241211</v>
      </c>
      <c r="P96">
        <v>1315.440552</v>
      </c>
      <c r="Q96">
        <v>990.26721199999997</v>
      </c>
      <c r="R96">
        <v>755.296875</v>
      </c>
      <c r="S96">
        <v>575.382385</v>
      </c>
      <c r="T96">
        <v>428.15722699999998</v>
      </c>
      <c r="U96">
        <v>325.17336999999998</v>
      </c>
      <c r="V96">
        <v>245.53907799999999</v>
      </c>
      <c r="W96">
        <v>186.05914300000001</v>
      </c>
      <c r="X96">
        <v>142.55522199999999</v>
      </c>
      <c r="Y96">
        <v>105.93328099999999</v>
      </c>
      <c r="Z96">
        <v>74.472815999999995</v>
      </c>
      <c r="AA96">
        <v>51.614821999999997</v>
      </c>
      <c r="AB96">
        <v>37.359299</v>
      </c>
      <c r="AC96">
        <v>27.773689000000001</v>
      </c>
      <c r="AD96">
        <v>19.662787999999999</v>
      </c>
      <c r="AE96">
        <v>14.255523</v>
      </c>
      <c r="AF96">
        <v>9.8313939999999995</v>
      </c>
    </row>
    <row r="97" spans="1:32" x14ac:dyDescent="0.35">
      <c r="A97">
        <v>2</v>
      </c>
      <c r="B97">
        <v>4.8518780000000001</v>
      </c>
      <c r="C97">
        <v>16392.826172000001</v>
      </c>
      <c r="D97">
        <v>14173.068359000001</v>
      </c>
      <c r="E97">
        <v>12313.169921999999</v>
      </c>
      <c r="F97">
        <v>10559.828125</v>
      </c>
      <c r="G97">
        <v>8993.8369139999995</v>
      </c>
      <c r="H97">
        <v>7698.8745120000003</v>
      </c>
      <c r="I97">
        <v>6490.888672</v>
      </c>
      <c r="J97">
        <v>5435.626953</v>
      </c>
      <c r="K97">
        <v>4495.9907229999999</v>
      </c>
      <c r="L97">
        <v>3634.8811040000001</v>
      </c>
      <c r="M97">
        <v>2914.9536130000001</v>
      </c>
      <c r="N97">
        <v>2247.3771969999998</v>
      </c>
      <c r="O97">
        <v>1722.0135499999999</v>
      </c>
      <c r="P97">
        <v>1298.466187</v>
      </c>
      <c r="Q97">
        <v>970.55200200000002</v>
      </c>
      <c r="R97">
        <v>728.99603300000001</v>
      </c>
      <c r="S97">
        <v>541.43981900000006</v>
      </c>
      <c r="T97">
        <v>416.95193499999999</v>
      </c>
      <c r="U97">
        <v>313.69296300000002</v>
      </c>
      <c r="V97">
        <v>239.082672</v>
      </c>
      <c r="W97">
        <v>183.02191199999999</v>
      </c>
      <c r="X97">
        <v>135.411484</v>
      </c>
      <c r="Y97">
        <v>100.16739699999999</v>
      </c>
      <c r="Z97">
        <v>75.640808000000007</v>
      </c>
      <c r="AA97">
        <v>54.618023000000001</v>
      </c>
      <c r="AB97">
        <v>37.923457999999997</v>
      </c>
      <c r="AC97">
        <v>26.175429999999999</v>
      </c>
      <c r="AD97">
        <v>18.549519</v>
      </c>
      <c r="AE97">
        <v>12.366345000000001</v>
      </c>
      <c r="AF97">
        <v>8.6564420000000002</v>
      </c>
    </row>
    <row r="98" spans="1:32" x14ac:dyDescent="0.35">
      <c r="A98">
        <v>3</v>
      </c>
      <c r="B98">
        <v>4.8239660000000004</v>
      </c>
      <c r="C98">
        <v>16398.333984000001</v>
      </c>
      <c r="D98">
        <v>14169.669921999999</v>
      </c>
      <c r="E98">
        <v>12321.190430000001</v>
      </c>
      <c r="F98">
        <v>10560.813477</v>
      </c>
      <c r="G98">
        <v>8994.6748050000006</v>
      </c>
      <c r="H98">
        <v>7701.7548829999996</v>
      </c>
      <c r="I98">
        <v>6520.7763670000004</v>
      </c>
      <c r="J98">
        <v>5474.9560549999997</v>
      </c>
      <c r="K98">
        <v>4524.0786129999997</v>
      </c>
      <c r="L98">
        <v>3622.3310550000001</v>
      </c>
      <c r="M98">
        <v>2888.7021479999999</v>
      </c>
      <c r="N98">
        <v>2229.908203</v>
      </c>
      <c r="O98">
        <v>1712.4914550000001</v>
      </c>
      <c r="P98">
        <v>1286.493408</v>
      </c>
      <c r="Q98">
        <v>966.21752900000001</v>
      </c>
      <c r="R98">
        <v>725.75146500000005</v>
      </c>
      <c r="S98">
        <v>550.16973900000005</v>
      </c>
      <c r="T98">
        <v>412.73098800000002</v>
      </c>
      <c r="U98">
        <v>311.36209100000002</v>
      </c>
      <c r="V98">
        <v>243.990128</v>
      </c>
      <c r="W98">
        <v>190.29986600000001</v>
      </c>
      <c r="X98">
        <v>138.26799</v>
      </c>
      <c r="Y98">
        <v>99.710494999999995</v>
      </c>
      <c r="Z98">
        <v>73.383606</v>
      </c>
      <c r="AA98">
        <v>53.482967000000002</v>
      </c>
      <c r="AB98">
        <v>39.179386000000001</v>
      </c>
      <c r="AC98">
        <v>24.668500999999999</v>
      </c>
      <c r="AD98">
        <v>16.376567999999999</v>
      </c>
      <c r="AE98">
        <v>9.7430210000000006</v>
      </c>
      <c r="AF98">
        <v>6.4262480000000002</v>
      </c>
    </row>
    <row r="99" spans="1:32" x14ac:dyDescent="0.35">
      <c r="A99">
        <v>4</v>
      </c>
      <c r="B99">
        <v>4.8525260000000001</v>
      </c>
      <c r="C99">
        <v>16291.309569999999</v>
      </c>
      <c r="D99">
        <v>14120.893555000001</v>
      </c>
      <c r="E99">
        <v>12285.972656</v>
      </c>
      <c r="F99">
        <v>10545.848633</v>
      </c>
      <c r="G99">
        <v>9017.5722659999992</v>
      </c>
      <c r="H99">
        <v>7707.1206050000001</v>
      </c>
      <c r="I99">
        <v>6520.1098629999997</v>
      </c>
      <c r="J99">
        <v>5461.4858400000003</v>
      </c>
      <c r="K99">
        <v>4519.0898440000001</v>
      </c>
      <c r="L99">
        <v>3656.0341800000001</v>
      </c>
      <c r="M99">
        <v>2906.3215329999998</v>
      </c>
      <c r="N99">
        <v>2258.6176759999998</v>
      </c>
      <c r="O99">
        <v>1754.138062</v>
      </c>
      <c r="P99">
        <v>1319.9311520000001</v>
      </c>
      <c r="Q99">
        <v>983.199341</v>
      </c>
      <c r="R99">
        <v>738.17230199999995</v>
      </c>
      <c r="S99">
        <v>558.47204599999998</v>
      </c>
      <c r="T99">
        <v>424.72726399999999</v>
      </c>
      <c r="U99">
        <v>323.955017</v>
      </c>
      <c r="V99">
        <v>243.79057299999999</v>
      </c>
      <c r="W99">
        <v>182.99748199999999</v>
      </c>
      <c r="X99">
        <v>131.89007599999999</v>
      </c>
      <c r="Y99">
        <v>96.856773000000004</v>
      </c>
      <c r="Z99">
        <v>70.890915000000007</v>
      </c>
      <c r="AA99">
        <v>50.489170000000001</v>
      </c>
      <c r="AB99">
        <v>35.033301999999999</v>
      </c>
      <c r="AC99">
        <v>23.492920000000002</v>
      </c>
      <c r="AD99">
        <v>16.486259</v>
      </c>
      <c r="AE99">
        <v>9.6856779999999993</v>
      </c>
      <c r="AF99">
        <v>5.9762690000000003</v>
      </c>
    </row>
    <row r="100" spans="1:32" x14ac:dyDescent="0.35">
      <c r="A100">
        <v>5</v>
      </c>
      <c r="B100">
        <v>4.8433289999999998</v>
      </c>
      <c r="C100">
        <v>16628.849609000001</v>
      </c>
      <c r="D100">
        <v>14335.592773</v>
      </c>
      <c r="E100">
        <v>12467.043944999999</v>
      </c>
      <c r="F100">
        <v>10643.297852</v>
      </c>
      <c r="G100">
        <v>9093.3310550000006</v>
      </c>
      <c r="H100">
        <v>7751.8989259999998</v>
      </c>
      <c r="I100">
        <v>6548.8007809999999</v>
      </c>
      <c r="J100">
        <v>5470.2041019999997</v>
      </c>
      <c r="K100">
        <v>4518.7924800000001</v>
      </c>
      <c r="L100">
        <v>3645.632568</v>
      </c>
      <c r="M100">
        <v>2921.3374020000001</v>
      </c>
      <c r="N100">
        <v>2272.8166500000002</v>
      </c>
      <c r="O100">
        <v>1738.6800539999999</v>
      </c>
      <c r="P100">
        <v>1320.3726810000001</v>
      </c>
      <c r="Q100">
        <v>983.00146500000005</v>
      </c>
      <c r="R100">
        <v>746.80035399999997</v>
      </c>
      <c r="S100">
        <v>553.75128199999995</v>
      </c>
      <c r="T100">
        <v>418.51376299999998</v>
      </c>
      <c r="U100">
        <v>318.58248900000001</v>
      </c>
      <c r="V100">
        <v>235.58174099999999</v>
      </c>
      <c r="W100">
        <v>177.77027899999999</v>
      </c>
      <c r="X100">
        <v>130.90168800000001</v>
      </c>
      <c r="Y100">
        <v>93.324234000000004</v>
      </c>
      <c r="Z100">
        <v>67.928482000000002</v>
      </c>
      <c r="AA100">
        <v>49.965629999999997</v>
      </c>
      <c r="AB100">
        <v>34.480412000000001</v>
      </c>
      <c r="AC100">
        <v>23.537527000000001</v>
      </c>
      <c r="AD100">
        <v>15.072276</v>
      </c>
      <c r="AE100">
        <v>10.117006999999999</v>
      </c>
      <c r="AF100">
        <v>5.9876170000000002</v>
      </c>
    </row>
  </sheetData>
  <mergeCells count="1">
    <mergeCell ref="A2:E2"/>
  </mergeCells>
  <conditionalFormatting sqref="H9:H40">
    <cfRule type="cellIs" dxfId="5" priority="1" operator="greaterThan">
      <formula>1000</formula>
    </cfRule>
  </conditionalFormatting>
  <conditionalFormatting sqref="K9:K40">
    <cfRule type="cellIs" dxfId="4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F253E-1300-4B2A-A53F-627FFA283EFA}">
  <sheetPr codeName="Sheet6"/>
  <dimension ref="A1:AW128"/>
  <sheetViews>
    <sheetView topLeftCell="B1" zoomScale="70" zoomScaleNormal="70" workbookViewId="0">
      <selection activeCell="H38" sqref="H38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28" t="s">
        <v>106</v>
      </c>
      <c r="O2" s="28"/>
    </row>
    <row r="3" spans="1:49" ht="13.9" x14ac:dyDescent="0.4">
      <c r="A3" t="str">
        <f>'6 - B1'!$A$3</f>
        <v>Serial #</v>
      </c>
      <c r="B3" s="136" t="str">
        <f>'6 - B1'!$B$3</f>
        <v>11171-00009</v>
      </c>
    </row>
    <row r="4" spans="1:49" ht="19.149999999999999" customHeight="1" x14ac:dyDescent="1.05">
      <c r="A4" s="27" t="str">
        <f>'6 - B1'!$A$4</f>
        <v>Date</v>
      </c>
      <c r="B4" s="136">
        <f>'6 - B1'!$B$4</f>
        <v>46181</v>
      </c>
      <c r="D4" t="s">
        <v>180</v>
      </c>
      <c r="E4" s="30">
        <f>'Clause 6'!$D$18</f>
        <v>1</v>
      </c>
      <c r="O4" s="28"/>
    </row>
    <row r="5" spans="1:49" ht="13.9" x14ac:dyDescent="0.4">
      <c r="A5" s="27" t="str">
        <f>'6 - B1'!$A$5</f>
        <v>RM</v>
      </c>
      <c r="B5" s="136" t="str">
        <f>'6 - B1'!$B$5</f>
        <v>Partistan 37D</v>
      </c>
      <c r="O5" s="29"/>
    </row>
    <row r="6" spans="1:49" ht="13.15" x14ac:dyDescent="0.4">
      <c r="B6" s="27"/>
      <c r="C6" s="27"/>
      <c r="D6" s="27"/>
      <c r="E6" s="27"/>
      <c r="F6" s="27"/>
    </row>
    <row r="7" spans="1:49" ht="14.65" x14ac:dyDescent="0.5">
      <c r="B7" s="14" t="s">
        <v>50</v>
      </c>
      <c r="C7" s="14" t="s">
        <v>51</v>
      </c>
      <c r="D7" s="14" t="s">
        <v>52</v>
      </c>
      <c r="E7" s="14" t="s">
        <v>53</v>
      </c>
      <c r="F7" s="14" t="s">
        <v>54</v>
      </c>
      <c r="G7" s="14" t="s">
        <v>55</v>
      </c>
      <c r="H7" s="14" t="s">
        <v>56</v>
      </c>
      <c r="I7" s="14" t="s">
        <v>57</v>
      </c>
      <c r="J7" s="14" t="s">
        <v>58</v>
      </c>
      <c r="K7" s="14" t="s">
        <v>59</v>
      </c>
      <c r="L7" s="14" t="s">
        <v>60</v>
      </c>
      <c r="M7" s="14" t="s">
        <v>61</v>
      </c>
      <c r="O7" s="80" t="s">
        <v>50</v>
      </c>
      <c r="P7" s="80" t="s">
        <v>51</v>
      </c>
      <c r="Q7" s="80" t="s">
        <v>52</v>
      </c>
      <c r="R7" s="80" t="s">
        <v>53</v>
      </c>
      <c r="S7" s="80" t="s">
        <v>54</v>
      </c>
    </row>
    <row r="8" spans="1:49" ht="13.15" x14ac:dyDescent="0.4">
      <c r="A8" s="11" t="s">
        <v>62</v>
      </c>
      <c r="B8" s="30">
        <f>G52/$E$4</f>
        <v>4.0635529999999997</v>
      </c>
      <c r="C8" s="30">
        <f t="shared" ref="C8:F23" si="0">H52/$E$4</f>
        <v>4.8327090000000004</v>
      </c>
      <c r="D8" s="30">
        <f t="shared" si="0"/>
        <v>4.8030489999999997</v>
      </c>
      <c r="E8" s="30">
        <f t="shared" si="0"/>
        <v>4.8428339999999999</v>
      </c>
      <c r="F8" s="30">
        <f t="shared" si="0"/>
        <v>4.8417599999999998</v>
      </c>
      <c r="G8" s="31">
        <f>AVERAGE(B$8:F$8)*5</f>
        <v>23.383904999999999</v>
      </c>
      <c r="I8" s="32"/>
      <c r="K8" s="32"/>
      <c r="O8" s="81"/>
      <c r="P8" s="81"/>
      <c r="Q8" s="81"/>
      <c r="R8" s="81"/>
      <c r="S8" s="81"/>
    </row>
    <row r="9" spans="1:49" ht="13.15" x14ac:dyDescent="0.4">
      <c r="A9" s="11" t="s">
        <v>63</v>
      </c>
      <c r="B9" s="30">
        <f t="shared" ref="B9:F9" si="1">G53/$E$4</f>
        <v>16827.638672000001</v>
      </c>
      <c r="C9" s="30">
        <f t="shared" si="0"/>
        <v>16932.119140999999</v>
      </c>
      <c r="D9" s="30">
        <f t="shared" si="0"/>
        <v>16784.130859000001</v>
      </c>
      <c r="E9" s="30">
        <f t="shared" si="0"/>
        <v>16826.306640999999</v>
      </c>
      <c r="F9" s="30">
        <f t="shared" si="0"/>
        <v>16767.251952999999</v>
      </c>
      <c r="G9" s="33">
        <f t="shared" ref="G9:G38" si="2">AVERAGE(B9:F9)</f>
        <v>16827.4894532</v>
      </c>
      <c r="H9" s="34">
        <f t="shared" ref="H9:H38" si="3">G9*G$8</f>
        <v>393492.41476213071</v>
      </c>
      <c r="I9" s="32">
        <f t="shared" ref="I9:I38" si="4">STDEVP(B9:F9)/AVERAGE(B9:F9)</f>
        <v>3.4093782645087905E-3</v>
      </c>
      <c r="J9" s="32">
        <f t="shared" ref="J9:J38" si="5">IF(H9&gt;$A$43, $C$43, IF(H9&gt;$A$44, $C$44, IF(H9&gt;$A$45,$C$45,IF(H9&gt;$A$46,$C$46, IF(H9&gt;$A$47,$C$47,IF(H9&gt;$A$48,$C$48,$C$49))))))/100</f>
        <v>0.11</v>
      </c>
      <c r="K9" s="32">
        <f t="shared" ref="K9:K38" si="6">(MAX(B9:F9)-MIN(B9:F9))/G9</f>
        <v>9.7974916851692462E-3</v>
      </c>
      <c r="L9" s="16">
        <f>G9/'Clause 6'!$H$11</f>
        <v>16827.4894532</v>
      </c>
      <c r="M9">
        <f t="shared" ref="M9:M38" si="7">COUNTA(B9:F9)</f>
        <v>5</v>
      </c>
      <c r="O9" s="82">
        <f>IF(ISNUMBER(B9), (B9/$G9-1), 0)</f>
        <v>8.8675616416455938E-6</v>
      </c>
      <c r="P9" s="82">
        <f t="shared" ref="P9:S38" si="8">IF(ISNUMBER(C9), (C9/$G9-1), 0)</f>
        <v>6.2177835910099954E-3</v>
      </c>
      <c r="Q9" s="82">
        <f t="shared" si="8"/>
        <v>-2.5766525850803301E-3</v>
      </c>
      <c r="R9" s="82">
        <f t="shared" si="8"/>
        <v>-7.0290473412004673E-5</v>
      </c>
      <c r="S9" s="82">
        <f t="shared" si="8"/>
        <v>-3.5797080941593062E-3</v>
      </c>
    </row>
    <row r="10" spans="1:49" ht="13.15" x14ac:dyDescent="0.4">
      <c r="A10" s="11" t="s">
        <v>64</v>
      </c>
      <c r="B10" s="30">
        <f t="shared" ref="B10:F38" si="9">G54/$E$4</f>
        <v>14510.455078000001</v>
      </c>
      <c r="C10" s="30">
        <f t="shared" si="0"/>
        <v>14560.984375</v>
      </c>
      <c r="D10" s="30">
        <f t="shared" si="0"/>
        <v>14468.518555000001</v>
      </c>
      <c r="E10" s="30">
        <f t="shared" si="0"/>
        <v>14562.755859000001</v>
      </c>
      <c r="F10" s="30">
        <f t="shared" si="0"/>
        <v>14458.172852</v>
      </c>
      <c r="G10" s="33">
        <f t="shared" si="2"/>
        <v>14512.1773438</v>
      </c>
      <c r="H10" s="34">
        <f t="shared" si="3"/>
        <v>339351.37635057152</v>
      </c>
      <c r="I10" s="32">
        <f t="shared" si="4"/>
        <v>3.0453522025413954E-3</v>
      </c>
      <c r="J10" s="32">
        <f t="shared" si="5"/>
        <v>0.11</v>
      </c>
      <c r="K10" s="32">
        <f t="shared" si="6"/>
        <v>7.206568974619223E-3</v>
      </c>
      <c r="L10" s="16">
        <f>G10/'Clause 6'!$H$11</f>
        <v>14512.1773438</v>
      </c>
      <c r="M10">
        <f t="shared" si="7"/>
        <v>5</v>
      </c>
      <c r="O10" s="82">
        <f t="shared" ref="O10:O38" si="10">IF(ISNUMBER(B10), (B10/$G10-1), 0)</f>
        <v>-1.1867728454506565E-4</v>
      </c>
      <c r="P10" s="82">
        <f t="shared" si="8"/>
        <v>3.3631776985452166E-3</v>
      </c>
      <c r="Q10" s="82">
        <f t="shared" si="8"/>
        <v>-3.0084244263078874E-3</v>
      </c>
      <c r="R10" s="82">
        <f t="shared" si="8"/>
        <v>3.4852464934636007E-3</v>
      </c>
      <c r="S10" s="82">
        <f t="shared" si="8"/>
        <v>-3.7213224811556422E-3</v>
      </c>
    </row>
    <row r="11" spans="1:49" ht="13.15" x14ac:dyDescent="0.4">
      <c r="A11" s="11" t="s">
        <v>65</v>
      </c>
      <c r="B11" s="30">
        <f t="shared" si="9"/>
        <v>12624.913086</v>
      </c>
      <c r="C11" s="30">
        <f t="shared" si="0"/>
        <v>12696.606444999999</v>
      </c>
      <c r="D11" s="30">
        <f t="shared" si="0"/>
        <v>12583.465819999999</v>
      </c>
      <c r="E11" s="30">
        <f t="shared" si="0"/>
        <v>12660.976562</v>
      </c>
      <c r="F11" s="30">
        <f t="shared" si="0"/>
        <v>12591.703125</v>
      </c>
      <c r="G11" s="33">
        <f t="shared" si="2"/>
        <v>12631.533007599999</v>
      </c>
      <c r="H11" s="34">
        <f t="shared" si="3"/>
        <v>295374.56785408262</v>
      </c>
      <c r="I11" s="32">
        <f t="shared" si="4"/>
        <v>3.3666295616871234E-3</v>
      </c>
      <c r="J11" s="32">
        <f t="shared" si="5"/>
        <v>0.11</v>
      </c>
      <c r="K11" s="32">
        <f t="shared" si="6"/>
        <v>8.9569987215270559E-3</v>
      </c>
      <c r="L11" s="16">
        <f>G11/'Clause 6'!$H$11</f>
        <v>12631.533007599999</v>
      </c>
      <c r="M11">
        <f t="shared" si="7"/>
        <v>5</v>
      </c>
      <c r="O11" s="82">
        <f t="shared" si="10"/>
        <v>-5.2407903268869571E-4</v>
      </c>
      <c r="P11" s="82">
        <f t="shared" si="8"/>
        <v>5.1516658635850643E-3</v>
      </c>
      <c r="Q11" s="82">
        <f t="shared" si="8"/>
        <v>-3.8053328579420453E-3</v>
      </c>
      <c r="R11" s="82">
        <f t="shared" si="8"/>
        <v>2.3309565341187444E-3</v>
      </c>
      <c r="S11" s="82">
        <f t="shared" si="8"/>
        <v>-3.1532105070726235E-3</v>
      </c>
    </row>
    <row r="12" spans="1:49" ht="13.15" x14ac:dyDescent="0.4">
      <c r="A12" s="11" t="s">
        <v>66</v>
      </c>
      <c r="B12" s="30">
        <f t="shared" si="9"/>
        <v>10846.912109000001</v>
      </c>
      <c r="C12" s="30">
        <f t="shared" si="0"/>
        <v>10883.336914</v>
      </c>
      <c r="D12" s="30">
        <f t="shared" si="0"/>
        <v>10800.431640999999</v>
      </c>
      <c r="E12" s="30">
        <f t="shared" si="0"/>
        <v>10839.728515999999</v>
      </c>
      <c r="F12" s="30">
        <f t="shared" si="0"/>
        <v>10808.466796999999</v>
      </c>
      <c r="G12" s="33">
        <f t="shared" si="2"/>
        <v>10835.775195400001</v>
      </c>
      <c r="H12" s="34">
        <f t="shared" si="3"/>
        <v>253382.73777059006</v>
      </c>
      <c r="I12" s="32">
        <f t="shared" si="4"/>
        <v>2.7366423235709527E-3</v>
      </c>
      <c r="J12" s="32">
        <f t="shared" si="5"/>
        <v>0.11</v>
      </c>
      <c r="K12" s="32">
        <f t="shared" si="6"/>
        <v>7.6510698593299734E-3</v>
      </c>
      <c r="L12" s="16">
        <f>G12/'Clause 6'!$H$11</f>
        <v>10835.775195400001</v>
      </c>
      <c r="M12">
        <f t="shared" si="7"/>
        <v>5</v>
      </c>
      <c r="O12" s="82">
        <f t="shared" si="10"/>
        <v>1.0277911270000217E-3</v>
      </c>
      <c r="P12" s="82">
        <f t="shared" si="8"/>
        <v>4.389323121080313E-3</v>
      </c>
      <c r="Q12" s="82">
        <f t="shared" si="8"/>
        <v>-3.2617467382496379E-3</v>
      </c>
      <c r="R12" s="82">
        <f t="shared" si="8"/>
        <v>3.648396657098818E-4</v>
      </c>
      <c r="S12" s="82">
        <f t="shared" si="8"/>
        <v>-2.5202071755415778E-3</v>
      </c>
    </row>
    <row r="13" spans="1:49" ht="13.15" x14ac:dyDescent="0.4">
      <c r="A13" s="11" t="s">
        <v>67</v>
      </c>
      <c r="B13" s="30">
        <f t="shared" si="9"/>
        <v>9230.8388670000004</v>
      </c>
      <c r="C13" s="30">
        <f t="shared" si="0"/>
        <v>9252.78125</v>
      </c>
      <c r="D13" s="30">
        <f t="shared" si="0"/>
        <v>9199.1572269999997</v>
      </c>
      <c r="E13" s="30">
        <f t="shared" si="0"/>
        <v>9230.546875</v>
      </c>
      <c r="F13" s="30">
        <f t="shared" si="0"/>
        <v>9197.0693360000005</v>
      </c>
      <c r="G13" s="33">
        <f t="shared" si="2"/>
        <v>9222.0787110000001</v>
      </c>
      <c r="H13" s="34">
        <f t="shared" si="3"/>
        <v>215648.21248054644</v>
      </c>
      <c r="I13" s="32">
        <f t="shared" si="4"/>
        <v>2.296148836113373E-3</v>
      </c>
      <c r="J13" s="32">
        <f t="shared" si="5"/>
        <v>0.11</v>
      </c>
      <c r="K13" s="32">
        <f t="shared" si="6"/>
        <v>6.0411449246845971E-3</v>
      </c>
      <c r="L13" s="16">
        <f>G13/'Clause 6'!$H$11</f>
        <v>9222.0787110000001</v>
      </c>
      <c r="M13">
        <f t="shared" si="7"/>
        <v>5</v>
      </c>
      <c r="O13" s="82">
        <f t="shared" si="10"/>
        <v>9.4991121573828607E-4</v>
      </c>
      <c r="P13" s="82">
        <f t="shared" si="8"/>
        <v>3.3292427837747773E-3</v>
      </c>
      <c r="Q13" s="82">
        <f t="shared" si="8"/>
        <v>-2.4855007984978528E-3</v>
      </c>
      <c r="R13" s="82">
        <f t="shared" si="8"/>
        <v>9.1824893989445044E-4</v>
      </c>
      <c r="S13" s="82">
        <f t="shared" si="8"/>
        <v>-2.7119021409097721E-3</v>
      </c>
    </row>
    <row r="14" spans="1:49" ht="13.15" x14ac:dyDescent="0.4">
      <c r="A14" s="11" t="s">
        <v>68</v>
      </c>
      <c r="B14" s="30">
        <f t="shared" si="9"/>
        <v>7874.3901370000003</v>
      </c>
      <c r="C14" s="30">
        <f t="shared" si="0"/>
        <v>7884.1909180000002</v>
      </c>
      <c r="D14" s="30">
        <f t="shared" si="0"/>
        <v>7845.4335940000001</v>
      </c>
      <c r="E14" s="30">
        <f t="shared" si="0"/>
        <v>7907.3540039999998</v>
      </c>
      <c r="F14" s="30">
        <f t="shared" si="0"/>
        <v>7868.626953</v>
      </c>
      <c r="G14" s="33">
        <f t="shared" si="2"/>
        <v>7875.9991212000004</v>
      </c>
      <c r="H14" s="34">
        <f t="shared" si="3"/>
        <v>184171.6152302243</v>
      </c>
      <c r="I14" s="32">
        <f t="shared" si="4"/>
        <v>2.5655227998357131E-3</v>
      </c>
      <c r="J14" s="32">
        <f t="shared" si="5"/>
        <v>0.11</v>
      </c>
      <c r="K14" s="32">
        <f t="shared" si="6"/>
        <v>7.861911745689152E-3</v>
      </c>
      <c r="L14" s="16">
        <f>G14/'Clause 6'!$H$11</f>
        <v>7875.9991212000004</v>
      </c>
      <c r="M14">
        <f t="shared" si="7"/>
        <v>5</v>
      </c>
      <c r="O14" s="82">
        <f t="shared" si="10"/>
        <v>-2.0428953523743409E-4</v>
      </c>
      <c r="P14" s="82">
        <f t="shared" si="8"/>
        <v>1.0400962054388785E-3</v>
      </c>
      <c r="Q14" s="82">
        <f t="shared" si="8"/>
        <v>-3.8808444147392374E-3</v>
      </c>
      <c r="R14" s="82">
        <f t="shared" si="8"/>
        <v>3.9810673309499389E-3</v>
      </c>
      <c r="S14" s="82">
        <f t="shared" si="8"/>
        <v>-9.3602958641225698E-4</v>
      </c>
    </row>
    <row r="15" spans="1:49" ht="13.15" x14ac:dyDescent="0.4">
      <c r="A15" s="11" t="s">
        <v>69</v>
      </c>
      <c r="B15" s="30">
        <f t="shared" si="9"/>
        <v>6655.013672</v>
      </c>
      <c r="C15" s="30">
        <f t="shared" si="0"/>
        <v>6642.2373049999997</v>
      </c>
      <c r="D15" s="30">
        <f t="shared" si="0"/>
        <v>6643.9052730000003</v>
      </c>
      <c r="E15" s="30">
        <f t="shared" si="0"/>
        <v>6673.3657229999999</v>
      </c>
      <c r="F15" s="30">
        <f t="shared" si="0"/>
        <v>6641.8002930000002</v>
      </c>
      <c r="G15" s="33">
        <f t="shared" si="2"/>
        <v>6651.2644532000004</v>
      </c>
      <c r="H15" s="34">
        <f t="shared" si="3"/>
        <v>155532.53610350576</v>
      </c>
      <c r="I15" s="32">
        <f t="shared" si="4"/>
        <v>1.8138397522360493E-3</v>
      </c>
      <c r="J15" s="32">
        <f t="shared" si="5"/>
        <v>0.11</v>
      </c>
      <c r="K15" s="32">
        <f t="shared" si="6"/>
        <v>4.7457788247786716E-3</v>
      </c>
      <c r="L15" s="16">
        <f>G15/'Clause 6'!$H$11</f>
        <v>6651.2644532000004</v>
      </c>
      <c r="M15">
        <f t="shared" si="7"/>
        <v>5</v>
      </c>
      <c r="O15" s="82">
        <f t="shared" si="10"/>
        <v>5.6368511978144298E-4</v>
      </c>
      <c r="P15" s="82">
        <f t="shared" si="8"/>
        <v>-1.3572078307091395E-3</v>
      </c>
      <c r="Q15" s="82">
        <f t="shared" si="8"/>
        <v>-1.1064332581843805E-3</v>
      </c>
      <c r="R15" s="82">
        <f t="shared" si="8"/>
        <v>3.3228673969452061E-3</v>
      </c>
      <c r="S15" s="82">
        <f t="shared" si="8"/>
        <v>-1.422911427833351E-3</v>
      </c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</row>
    <row r="16" spans="1:49" ht="13.15" x14ac:dyDescent="0.4">
      <c r="A16" s="11" t="s">
        <v>70</v>
      </c>
      <c r="B16" s="30">
        <f t="shared" si="9"/>
        <v>5571.7250979999999</v>
      </c>
      <c r="C16" s="30">
        <f t="shared" si="0"/>
        <v>5543.888672</v>
      </c>
      <c r="D16" s="30">
        <f t="shared" si="0"/>
        <v>5545.0200199999999</v>
      </c>
      <c r="E16" s="30">
        <f t="shared" si="0"/>
        <v>5604.7763670000004</v>
      </c>
      <c r="F16" s="30">
        <f t="shared" si="0"/>
        <v>5534.9711909999996</v>
      </c>
      <c r="G16" s="33">
        <f t="shared" si="2"/>
        <v>5560.0762696000002</v>
      </c>
      <c r="H16" s="34">
        <f t="shared" si="3"/>
        <v>130016.29528108079</v>
      </c>
      <c r="I16" s="32">
        <f t="shared" si="4"/>
        <v>4.5873525533775775E-3</v>
      </c>
      <c r="J16" s="32">
        <f t="shared" si="5"/>
        <v>0.11</v>
      </c>
      <c r="K16" s="32">
        <f t="shared" si="6"/>
        <v>1.2554715549796341E-2</v>
      </c>
      <c r="L16" s="16">
        <f>G16/'Clause 6'!$H$11</f>
        <v>5560.0762696000002</v>
      </c>
      <c r="M16">
        <f t="shared" si="7"/>
        <v>5</v>
      </c>
      <c r="O16" s="82">
        <f t="shared" si="10"/>
        <v>2.0950842821509941E-3</v>
      </c>
      <c r="P16" s="82">
        <f t="shared" si="8"/>
        <v>-2.9113984800004378E-3</v>
      </c>
      <c r="Q16" s="82">
        <f t="shared" si="8"/>
        <v>-2.7079214150930175E-3</v>
      </c>
      <c r="R16" s="82">
        <f t="shared" si="8"/>
        <v>8.0394755813693042E-3</v>
      </c>
      <c r="S16" s="82">
        <f t="shared" si="8"/>
        <v>-4.515239968427065E-3</v>
      </c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</row>
    <row r="17" spans="1:49" ht="13.15" x14ac:dyDescent="0.4">
      <c r="A17" s="11" t="s">
        <v>71</v>
      </c>
      <c r="B17" s="30">
        <f t="shared" si="9"/>
        <v>4598.1928710000002</v>
      </c>
      <c r="C17" s="30">
        <f t="shared" si="0"/>
        <v>4608.595703</v>
      </c>
      <c r="D17" s="30">
        <f t="shared" si="0"/>
        <v>4550.6513670000004</v>
      </c>
      <c r="E17" s="30">
        <f t="shared" si="0"/>
        <v>4645.4208980000003</v>
      </c>
      <c r="F17" s="30">
        <f t="shared" si="0"/>
        <v>4580.1528319999998</v>
      </c>
      <c r="G17" s="33">
        <f t="shared" si="2"/>
        <v>4596.6027341999998</v>
      </c>
      <c r="H17" s="34">
        <f t="shared" si="3"/>
        <v>107486.52165927304</v>
      </c>
      <c r="I17" s="32">
        <f t="shared" si="4"/>
        <v>6.8185803109420337E-3</v>
      </c>
      <c r="J17" s="32">
        <f t="shared" si="5"/>
        <v>0.11</v>
      </c>
      <c r="K17" s="32">
        <f t="shared" si="6"/>
        <v>2.0617298574638246E-2</v>
      </c>
      <c r="L17" s="16">
        <f>G17/'Clause 6'!$H$11</f>
        <v>4596.6027341999998</v>
      </c>
      <c r="M17">
        <f t="shared" si="7"/>
        <v>5</v>
      </c>
      <c r="O17" s="82">
        <f t="shared" si="10"/>
        <v>3.4593740028254771E-4</v>
      </c>
      <c r="P17" s="82">
        <f t="shared" si="8"/>
        <v>2.6090940404244201E-3</v>
      </c>
      <c r="Q17" s="82">
        <f t="shared" si="8"/>
        <v>-9.996810657163957E-3</v>
      </c>
      <c r="R17" s="82">
        <f t="shared" si="8"/>
        <v>1.0620487917474275E-2</v>
      </c>
      <c r="S17" s="82">
        <f t="shared" si="8"/>
        <v>-3.5787087010169527E-3</v>
      </c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</row>
    <row r="18" spans="1:49" ht="13.15" x14ac:dyDescent="0.4">
      <c r="A18" s="11" t="s">
        <v>72</v>
      </c>
      <c r="B18" s="30">
        <f t="shared" si="9"/>
        <v>3710.0539549999999</v>
      </c>
      <c r="C18" s="30">
        <f t="shared" si="0"/>
        <v>3713.6523440000001</v>
      </c>
      <c r="D18" s="30">
        <f t="shared" si="0"/>
        <v>3667.8786620000001</v>
      </c>
      <c r="E18" s="30">
        <f t="shared" si="0"/>
        <v>3742.8500979999999</v>
      </c>
      <c r="F18" s="30">
        <f t="shared" si="0"/>
        <v>3694.9375</v>
      </c>
      <c r="G18" s="33">
        <f t="shared" si="2"/>
        <v>3705.8745117999997</v>
      </c>
      <c r="H18" s="34">
        <f t="shared" si="3"/>
        <v>86657.817525852573</v>
      </c>
      <c r="I18" s="32">
        <f t="shared" si="4"/>
        <v>6.6190605411121295E-3</v>
      </c>
      <c r="J18" s="32">
        <f t="shared" si="5"/>
        <v>0.11</v>
      </c>
      <c r="K18" s="32">
        <f t="shared" si="6"/>
        <v>2.0230430296892338E-2</v>
      </c>
      <c r="L18" s="16">
        <f>G18/'Clause 6'!$H$11</f>
        <v>3705.8745117999997</v>
      </c>
      <c r="M18">
        <f t="shared" si="7"/>
        <v>5</v>
      </c>
      <c r="O18" s="82">
        <f t="shared" si="10"/>
        <v>1.1277886465643761E-3</v>
      </c>
      <c r="P18" s="82">
        <f t="shared" si="8"/>
        <v>2.0987845582021158E-3</v>
      </c>
      <c r="Q18" s="82">
        <f t="shared" si="8"/>
        <v>-1.0252870052403495E-2</v>
      </c>
      <c r="R18" s="82">
        <f t="shared" si="8"/>
        <v>9.9775602444889255E-3</v>
      </c>
      <c r="S18" s="82">
        <f t="shared" si="8"/>
        <v>-2.9512633968513668E-3</v>
      </c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</row>
    <row r="19" spans="1:49" ht="13.15" x14ac:dyDescent="0.4">
      <c r="A19" s="11" t="s">
        <v>73</v>
      </c>
      <c r="B19" s="30">
        <f t="shared" si="9"/>
        <v>2976.9516600000002</v>
      </c>
      <c r="C19" s="30">
        <f t="shared" si="0"/>
        <v>2945.3461910000001</v>
      </c>
      <c r="D19" s="30">
        <f t="shared" si="0"/>
        <v>2900.4494629999999</v>
      </c>
      <c r="E19" s="30">
        <f t="shared" si="0"/>
        <v>2972.639893</v>
      </c>
      <c r="F19" s="30">
        <f t="shared" si="0"/>
        <v>2940.873047</v>
      </c>
      <c r="G19" s="33">
        <f t="shared" si="2"/>
        <v>2947.2520508000002</v>
      </c>
      <c r="H19" s="34">
        <f t="shared" si="3"/>
        <v>68918.261966962382</v>
      </c>
      <c r="I19" s="32">
        <f t="shared" si="4"/>
        <v>9.3062213087394523E-3</v>
      </c>
      <c r="J19" s="32">
        <f t="shared" si="5"/>
        <v>0.11</v>
      </c>
      <c r="K19" s="32">
        <f t="shared" si="6"/>
        <v>2.5957127412714682E-2</v>
      </c>
      <c r="L19" s="16">
        <f>G19/'Clause 6'!$H$11</f>
        <v>2947.2520508000002</v>
      </c>
      <c r="M19">
        <f t="shared" si="7"/>
        <v>5</v>
      </c>
      <c r="O19" s="82">
        <f t="shared" si="10"/>
        <v>1.0077050991257552E-2</v>
      </c>
      <c r="P19" s="82">
        <f t="shared" si="8"/>
        <v>-6.4665653535900258E-4</v>
      </c>
      <c r="Q19" s="82">
        <f t="shared" si="8"/>
        <v>-1.5880076421457168E-2</v>
      </c>
      <c r="R19" s="82">
        <f t="shared" si="8"/>
        <v>8.61407228238531E-3</v>
      </c>
      <c r="S19" s="82">
        <f t="shared" si="8"/>
        <v>-2.1643903168270251E-3</v>
      </c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</row>
    <row r="20" spans="1:49" ht="13.15" x14ac:dyDescent="0.4">
      <c r="A20" s="11" t="s">
        <v>74</v>
      </c>
      <c r="B20" s="30">
        <f t="shared" si="9"/>
        <v>2313.7387699999999</v>
      </c>
      <c r="C20" s="30">
        <f t="shared" si="0"/>
        <v>2269.1208499999998</v>
      </c>
      <c r="D20" s="30">
        <f t="shared" si="0"/>
        <v>2239.827393</v>
      </c>
      <c r="E20" s="30">
        <f t="shared" si="0"/>
        <v>2297.0024410000001</v>
      </c>
      <c r="F20" s="30">
        <f t="shared" si="0"/>
        <v>2271.2817380000001</v>
      </c>
      <c r="G20" s="33">
        <f t="shared" si="2"/>
        <v>2278.1942383999999</v>
      </c>
      <c r="H20" s="34">
        <f t="shared" si="3"/>
        <v>53273.077642292948</v>
      </c>
      <c r="I20" s="32">
        <f t="shared" si="4"/>
        <v>1.113791846389392E-2</v>
      </c>
      <c r="J20" s="32">
        <f t="shared" si="5"/>
        <v>0.11</v>
      </c>
      <c r="K20" s="32">
        <f t="shared" si="6"/>
        <v>3.2442965465450675E-2</v>
      </c>
      <c r="L20" s="16">
        <f>G20/'Clause 6'!$H$11</f>
        <v>2278.1942383999999</v>
      </c>
      <c r="M20">
        <f t="shared" si="7"/>
        <v>5</v>
      </c>
      <c r="O20" s="82">
        <f t="shared" si="10"/>
        <v>1.5602063687494505E-2</v>
      </c>
      <c r="P20" s="82">
        <f t="shared" si="8"/>
        <v>-3.9827106253996769E-3</v>
      </c>
      <c r="Q20" s="82">
        <f t="shared" si="8"/>
        <v>-1.6840901777956052E-2</v>
      </c>
      <c r="R20" s="82">
        <f t="shared" si="8"/>
        <v>8.2557502266398242E-3</v>
      </c>
      <c r="S20" s="82">
        <f t="shared" si="8"/>
        <v>-3.0342015107783782E-3</v>
      </c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</row>
    <row r="21" spans="1:49" ht="13.15" x14ac:dyDescent="0.4">
      <c r="A21" s="11" t="s">
        <v>75</v>
      </c>
      <c r="B21" s="30">
        <f t="shared" si="9"/>
        <v>1773.0789789999999</v>
      </c>
      <c r="C21" s="30">
        <f t="shared" si="0"/>
        <v>1742.087158</v>
      </c>
      <c r="D21" s="30">
        <f t="shared" si="0"/>
        <v>1714.9525149999999</v>
      </c>
      <c r="E21" s="30">
        <f t="shared" si="0"/>
        <v>1756.822754</v>
      </c>
      <c r="F21" s="30">
        <f t="shared" si="0"/>
        <v>1742.9613039999999</v>
      </c>
      <c r="G21" s="33">
        <f t="shared" si="2"/>
        <v>1745.980542</v>
      </c>
      <c r="H21" s="34">
        <f t="shared" si="3"/>
        <v>40827.843125976506</v>
      </c>
      <c r="I21" s="32">
        <f t="shared" si="4"/>
        <v>1.098382630437349E-2</v>
      </c>
      <c r="J21" s="32">
        <f t="shared" si="5"/>
        <v>0.11</v>
      </c>
      <c r="K21" s="32">
        <f t="shared" si="6"/>
        <v>3.3291587507279299E-2</v>
      </c>
      <c r="L21" s="16">
        <f>G21/'Clause 6'!$H$11</f>
        <v>1745.980542</v>
      </c>
      <c r="M21">
        <f t="shared" si="7"/>
        <v>5</v>
      </c>
      <c r="O21" s="82">
        <f t="shared" si="10"/>
        <v>1.552046907061122E-2</v>
      </c>
      <c r="P21" s="82">
        <f t="shared" si="8"/>
        <v>-2.2299125942950582E-3</v>
      </c>
      <c r="Q21" s="82">
        <f t="shared" si="8"/>
        <v>-1.7771118436668121E-2</v>
      </c>
      <c r="R21" s="82">
        <f t="shared" si="8"/>
        <v>6.2098126177170254E-3</v>
      </c>
      <c r="S21" s="82">
        <f t="shared" si="8"/>
        <v>-1.7292506573650668E-3</v>
      </c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</row>
    <row r="22" spans="1:49" ht="13.15" x14ac:dyDescent="0.4">
      <c r="A22" s="11" t="s">
        <v>76</v>
      </c>
      <c r="B22" s="30">
        <f t="shared" si="9"/>
        <v>1326.4254149999999</v>
      </c>
      <c r="C22" s="30">
        <f t="shared" si="0"/>
        <v>1299.4782709999999</v>
      </c>
      <c r="D22" s="30">
        <f t="shared" si="0"/>
        <v>1295.0108640000001</v>
      </c>
      <c r="E22" s="30">
        <f t="shared" si="0"/>
        <v>1312.661255</v>
      </c>
      <c r="F22" s="30">
        <f t="shared" si="0"/>
        <v>1286.5157469999999</v>
      </c>
      <c r="G22" s="33">
        <f t="shared" si="2"/>
        <v>1304.0183104</v>
      </c>
      <c r="H22" s="34">
        <f t="shared" si="3"/>
        <v>30493.040288654112</v>
      </c>
      <c r="I22" s="32">
        <f t="shared" si="4"/>
        <v>1.0762658799285285E-2</v>
      </c>
      <c r="J22" s="32">
        <f t="shared" si="5"/>
        <v>0.11</v>
      </c>
      <c r="K22" s="32">
        <f t="shared" si="6"/>
        <v>3.0605143870838708E-2</v>
      </c>
      <c r="L22" s="16">
        <f>G22/'Clause 6'!$H$11</f>
        <v>1304.0183104</v>
      </c>
      <c r="M22">
        <f t="shared" si="7"/>
        <v>5</v>
      </c>
      <c r="O22" s="82">
        <f t="shared" si="10"/>
        <v>1.7183121142774871E-2</v>
      </c>
      <c r="P22" s="82">
        <f t="shared" si="8"/>
        <v>-3.4815764194349175E-3</v>
      </c>
      <c r="Q22" s="82">
        <f t="shared" si="8"/>
        <v>-6.9074539277266256E-3</v>
      </c>
      <c r="R22" s="82">
        <f t="shared" si="8"/>
        <v>6.6279319324502595E-3</v>
      </c>
      <c r="S22" s="82">
        <f t="shared" si="8"/>
        <v>-1.3422022728063809E-2</v>
      </c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</row>
    <row r="23" spans="1:49" ht="13.15" x14ac:dyDescent="0.4">
      <c r="A23" s="11" t="s">
        <v>77</v>
      </c>
      <c r="B23" s="30">
        <f t="shared" si="9"/>
        <v>988.05163600000003</v>
      </c>
      <c r="C23" s="30">
        <f t="shared" si="0"/>
        <v>982.67871100000002</v>
      </c>
      <c r="D23" s="30">
        <f t="shared" si="0"/>
        <v>973.96472200000005</v>
      </c>
      <c r="E23" s="30">
        <f t="shared" si="0"/>
        <v>972.158142</v>
      </c>
      <c r="F23" s="30">
        <f t="shared" si="0"/>
        <v>960.80767800000001</v>
      </c>
      <c r="G23" s="33">
        <f t="shared" si="2"/>
        <v>975.53217780000011</v>
      </c>
      <c r="H23" s="34">
        <f t="shared" si="3"/>
        <v>22811.75177011831</v>
      </c>
      <c r="I23" s="32">
        <f t="shared" si="4"/>
        <v>9.5992926139280271E-3</v>
      </c>
      <c r="J23" s="32">
        <f t="shared" si="5"/>
        <v>0.11</v>
      </c>
      <c r="K23" s="32">
        <f t="shared" si="6"/>
        <v>2.7927277664423156E-2</v>
      </c>
      <c r="L23" s="16">
        <f>G23/'Clause 6'!$H$11</f>
        <v>975.53217780000011</v>
      </c>
      <c r="M23">
        <f t="shared" si="7"/>
        <v>5</v>
      </c>
      <c r="O23" s="82">
        <f t="shared" si="10"/>
        <v>1.2833465143337053E-2</v>
      </c>
      <c r="P23" s="82">
        <f t="shared" si="8"/>
        <v>7.3257790595042671E-3</v>
      </c>
      <c r="Q23" s="82">
        <f t="shared" si="8"/>
        <v>-1.6067699617402509E-3</v>
      </c>
      <c r="R23" s="82">
        <f t="shared" si="8"/>
        <v>-3.4586617200154102E-3</v>
      </c>
      <c r="S23" s="82">
        <f t="shared" si="8"/>
        <v>-1.5093812521086214E-2</v>
      </c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ht="13.15" x14ac:dyDescent="0.4">
      <c r="A24" s="11" t="s">
        <v>78</v>
      </c>
      <c r="B24" s="30">
        <f t="shared" si="9"/>
        <v>738.51629600000001</v>
      </c>
      <c r="C24" s="30">
        <f t="shared" ref="C24:F38" si="11">H68/$E$4</f>
        <v>728.57690400000001</v>
      </c>
      <c r="D24" s="30">
        <f t="shared" ref="D24:F38" si="12">I68/$E$4</f>
        <v>731.618652</v>
      </c>
      <c r="E24" s="30">
        <f t="shared" ref="E24:F38" si="13">J68/$E$4</f>
        <v>737.17175299999997</v>
      </c>
      <c r="F24" s="30">
        <f t="shared" ref="F24:F38" si="14">K68/$E$4</f>
        <v>705.73516800000004</v>
      </c>
      <c r="G24" s="33">
        <f t="shared" si="2"/>
        <v>728.32375460000003</v>
      </c>
      <c r="H24" s="34">
        <f t="shared" si="3"/>
        <v>17031.053486809713</v>
      </c>
      <c r="I24" s="32">
        <f t="shared" si="4"/>
        <v>1.6284449235251533E-2</v>
      </c>
      <c r="J24" s="32">
        <f t="shared" si="5"/>
        <v>0.11</v>
      </c>
      <c r="K24" s="32">
        <f t="shared" si="6"/>
        <v>4.5009005669468471E-2</v>
      </c>
      <c r="L24" s="16">
        <f>G24/'Clause 6'!$H$11</f>
        <v>728.32375460000003</v>
      </c>
      <c r="M24">
        <f t="shared" si="7"/>
        <v>5</v>
      </c>
      <c r="O24" s="82">
        <f t="shared" si="10"/>
        <v>1.3994520068342009E-2</v>
      </c>
      <c r="P24" s="82">
        <f t="shared" si="8"/>
        <v>3.4757811811170214E-4</v>
      </c>
      <c r="Q24" s="82">
        <f t="shared" si="8"/>
        <v>4.5239460874231252E-3</v>
      </c>
      <c r="R24" s="82">
        <f t="shared" si="8"/>
        <v>1.2148441327249238E-2</v>
      </c>
      <c r="S24" s="82">
        <f t="shared" si="8"/>
        <v>-3.1014485601126407E-2</v>
      </c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</row>
    <row r="25" spans="1:49" ht="13.15" x14ac:dyDescent="0.4">
      <c r="A25" s="11" t="s">
        <v>79</v>
      </c>
      <c r="B25" s="30">
        <f t="shared" si="9"/>
        <v>560.34710700000005</v>
      </c>
      <c r="C25" s="30">
        <f t="shared" si="11"/>
        <v>547.932861</v>
      </c>
      <c r="D25" s="30">
        <f t="shared" si="12"/>
        <v>555.68872099999999</v>
      </c>
      <c r="E25" s="30">
        <f t="shared" si="13"/>
        <v>556.07940699999995</v>
      </c>
      <c r="F25" s="30">
        <f t="shared" si="14"/>
        <v>533.07067900000004</v>
      </c>
      <c r="G25" s="33">
        <f t="shared" si="2"/>
        <v>550.62375499999996</v>
      </c>
      <c r="H25" s="34">
        <f t="shared" si="3"/>
        <v>12875.733577663274</v>
      </c>
      <c r="I25" s="32">
        <f t="shared" si="4"/>
        <v>1.751994095694041E-2</v>
      </c>
      <c r="J25" s="32">
        <f t="shared" si="5"/>
        <v>0.11</v>
      </c>
      <c r="K25" s="32">
        <f t="shared" si="6"/>
        <v>4.9537325174065568E-2</v>
      </c>
      <c r="L25" s="16">
        <f>G25/'Clause 6'!$H$11</f>
        <v>550.62375499999996</v>
      </c>
      <c r="M25">
        <f t="shared" si="7"/>
        <v>5</v>
      </c>
      <c r="O25" s="82">
        <f t="shared" si="10"/>
        <v>1.7658794978796521E-2</v>
      </c>
      <c r="P25" s="82">
        <f t="shared" si="8"/>
        <v>-4.8869922075918115E-3</v>
      </c>
      <c r="Q25" s="82">
        <f t="shared" si="8"/>
        <v>9.198596962094463E-3</v>
      </c>
      <c r="R25" s="82">
        <f t="shared" si="8"/>
        <v>9.9081304619703658E-3</v>
      </c>
      <c r="S25" s="82">
        <f t="shared" si="8"/>
        <v>-3.1878530195268984E-2</v>
      </c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ht="13.15" x14ac:dyDescent="0.4">
      <c r="A26" s="11" t="s">
        <v>80</v>
      </c>
      <c r="B26" s="30">
        <f t="shared" si="9"/>
        <v>418.59921300000002</v>
      </c>
      <c r="C26" s="30">
        <f t="shared" si="11"/>
        <v>414.46734600000002</v>
      </c>
      <c r="D26" s="30">
        <f t="shared" si="12"/>
        <v>415.77758799999998</v>
      </c>
      <c r="E26" s="30">
        <f t="shared" si="13"/>
        <v>420.208527</v>
      </c>
      <c r="F26" s="30">
        <f t="shared" si="14"/>
        <v>394.071594</v>
      </c>
      <c r="G26" s="33">
        <f t="shared" si="2"/>
        <v>412.62485359999999</v>
      </c>
      <c r="H26" s="34">
        <f t="shared" si="3"/>
        <v>9648.7803772213065</v>
      </c>
      <c r="I26" s="32">
        <f t="shared" si="4"/>
        <v>2.301090808942341E-2</v>
      </c>
      <c r="J26" s="32">
        <f t="shared" si="5"/>
        <v>0.113</v>
      </c>
      <c r="K26" s="32">
        <f t="shared" si="6"/>
        <v>6.3343089423637186E-2</v>
      </c>
      <c r="L26" s="16">
        <f>G26/'Clause 6'!$H$11</f>
        <v>412.62485359999999</v>
      </c>
      <c r="M26">
        <f t="shared" si="7"/>
        <v>5</v>
      </c>
      <c r="O26" s="82">
        <f t="shared" si="10"/>
        <v>1.4478913104423841E-2</v>
      </c>
      <c r="P26" s="82">
        <f t="shared" si="8"/>
        <v>4.4652967069844784E-3</v>
      </c>
      <c r="Q26" s="82">
        <f t="shared" si="8"/>
        <v>7.6406798390682429E-3</v>
      </c>
      <c r="R26" s="82">
        <f t="shared" si="8"/>
        <v>1.8379099886580486E-2</v>
      </c>
      <c r="S26" s="82">
        <f t="shared" si="8"/>
        <v>-4.4963989537056825E-2</v>
      </c>
    </row>
    <row r="27" spans="1:49" ht="13.15" x14ac:dyDescent="0.4">
      <c r="A27" s="11" t="s">
        <v>81</v>
      </c>
      <c r="B27" s="30">
        <f t="shared" si="9"/>
        <v>324.83889799999997</v>
      </c>
      <c r="C27" s="30">
        <f t="shared" si="11"/>
        <v>312.04031400000002</v>
      </c>
      <c r="D27" s="30">
        <f t="shared" si="12"/>
        <v>305.22280899999998</v>
      </c>
      <c r="E27" s="30">
        <f t="shared" si="13"/>
        <v>314.485321</v>
      </c>
      <c r="F27" s="30">
        <f t="shared" si="14"/>
        <v>298.65176400000001</v>
      </c>
      <c r="G27" s="33">
        <f t="shared" si="2"/>
        <v>311.04782119999999</v>
      </c>
      <c r="H27" s="34">
        <f t="shared" si="3"/>
        <v>7273.5127013977853</v>
      </c>
      <c r="I27" s="32">
        <f t="shared" si="4"/>
        <v>2.8414984269741254E-2</v>
      </c>
      <c r="J27" s="32">
        <f t="shared" si="5"/>
        <v>0.113</v>
      </c>
      <c r="K27" s="32">
        <f t="shared" si="6"/>
        <v>8.4190057654067119E-2</v>
      </c>
      <c r="L27" s="16">
        <f>G27/'Clause 6'!$H$11</f>
        <v>311.04782119999999</v>
      </c>
      <c r="M27">
        <f t="shared" si="7"/>
        <v>5</v>
      </c>
      <c r="O27" s="82">
        <f t="shared" si="10"/>
        <v>4.4337480798916973E-2</v>
      </c>
      <c r="P27" s="82">
        <f t="shared" si="8"/>
        <v>3.1908045398649776E-3</v>
      </c>
      <c r="Q27" s="82">
        <f t="shared" si="8"/>
        <v>-1.8727063181241843E-2</v>
      </c>
      <c r="R27" s="82">
        <f t="shared" si="8"/>
        <v>1.1051354697610094E-2</v>
      </c>
      <c r="S27" s="82">
        <f t="shared" si="8"/>
        <v>-3.985257685515009E-2</v>
      </c>
    </row>
    <row r="28" spans="1:49" ht="13.15" x14ac:dyDescent="0.4">
      <c r="A28" s="11" t="s">
        <v>82</v>
      </c>
      <c r="B28" s="30">
        <f t="shared" si="9"/>
        <v>245.84397899999999</v>
      </c>
      <c r="C28" s="30">
        <f t="shared" si="11"/>
        <v>230.30561800000001</v>
      </c>
      <c r="D28" s="30">
        <f t="shared" si="12"/>
        <v>234.018036</v>
      </c>
      <c r="E28" s="30">
        <f t="shared" si="13"/>
        <v>239.94216900000001</v>
      </c>
      <c r="F28" s="30">
        <f t="shared" si="14"/>
        <v>224.505157</v>
      </c>
      <c r="G28" s="33">
        <f t="shared" si="2"/>
        <v>234.92299180000001</v>
      </c>
      <c r="H28" s="34">
        <f t="shared" si="3"/>
        <v>5493.4169225669784</v>
      </c>
      <c r="I28" s="32">
        <f t="shared" si="4"/>
        <v>3.1576124006251448E-2</v>
      </c>
      <c r="J28" s="32">
        <f t="shared" si="5"/>
        <v>0.113</v>
      </c>
      <c r="K28" s="32">
        <f t="shared" si="6"/>
        <v>9.0833263430284611E-2</v>
      </c>
      <c r="L28" s="16">
        <f>G28/'Clause 6'!$H$11</f>
        <v>234.92299180000001</v>
      </c>
      <c r="M28">
        <f t="shared" si="7"/>
        <v>5</v>
      </c>
      <c r="O28" s="82">
        <f t="shared" si="10"/>
        <v>4.6487519660474375E-2</v>
      </c>
      <c r="P28" s="82">
        <f t="shared" si="8"/>
        <v>-1.9654839931252721E-2</v>
      </c>
      <c r="Q28" s="82">
        <f t="shared" si="8"/>
        <v>-3.8521380690164087E-3</v>
      </c>
      <c r="R28" s="82">
        <f t="shared" si="8"/>
        <v>2.1365202109604686E-2</v>
      </c>
      <c r="S28" s="82">
        <f t="shared" si="8"/>
        <v>-4.4345743769810153E-2</v>
      </c>
    </row>
    <row r="29" spans="1:49" ht="13.15" x14ac:dyDescent="0.4">
      <c r="A29" s="11" t="s">
        <v>83</v>
      </c>
      <c r="B29" s="30">
        <f t="shared" si="9"/>
        <v>186.04409799999999</v>
      </c>
      <c r="C29" s="30">
        <f t="shared" si="11"/>
        <v>173.81556699999999</v>
      </c>
      <c r="D29" s="30">
        <f t="shared" si="12"/>
        <v>177.38732899999999</v>
      </c>
      <c r="E29" s="30">
        <f t="shared" si="13"/>
        <v>183.776703</v>
      </c>
      <c r="F29" s="30"/>
      <c r="G29" s="33">
        <f t="shared" si="2"/>
        <v>180.25592424999999</v>
      </c>
      <c r="H29" s="34">
        <f t="shared" si="3"/>
        <v>4215.0874083491963</v>
      </c>
      <c r="I29" s="32">
        <f t="shared" si="4"/>
        <v>2.7122065203757248E-2</v>
      </c>
      <c r="J29" s="32">
        <f t="shared" si="5"/>
        <v>0.11900000000000001</v>
      </c>
      <c r="K29" s="32">
        <f t="shared" si="6"/>
        <v>6.7839828570849345E-2</v>
      </c>
      <c r="L29" s="16">
        <f>G29/'Clause 6'!$H$11</f>
        <v>180.25592424999999</v>
      </c>
      <c r="M29">
        <f t="shared" si="7"/>
        <v>4</v>
      </c>
      <c r="O29" s="82">
        <f t="shared" si="10"/>
        <v>3.211086556008147E-2</v>
      </c>
      <c r="P29" s="82">
        <f t="shared" si="8"/>
        <v>-3.5728963010767778E-2</v>
      </c>
      <c r="Q29" s="82">
        <f t="shared" si="8"/>
        <v>-1.5914013710980668E-2</v>
      </c>
      <c r="R29" s="82">
        <f t="shared" si="8"/>
        <v>1.9532111161666865E-2</v>
      </c>
      <c r="S29" s="82">
        <f t="shared" si="8"/>
        <v>0</v>
      </c>
    </row>
    <row r="30" spans="1:49" ht="13.15" x14ac:dyDescent="0.4">
      <c r="A30" s="11" t="s">
        <v>84</v>
      </c>
      <c r="B30" s="30">
        <f t="shared" si="9"/>
        <v>137.81044</v>
      </c>
      <c r="C30" s="30">
        <f t="shared" si="11"/>
        <v>128.913208</v>
      </c>
      <c r="D30" s="30">
        <f t="shared" si="12"/>
        <v>132.83230599999999</v>
      </c>
      <c r="E30" s="30">
        <f t="shared" si="13"/>
        <v>134.42543000000001</v>
      </c>
      <c r="F30" s="30"/>
      <c r="G30" s="33">
        <f t="shared" si="2"/>
        <v>133.49534600000001</v>
      </c>
      <c r="H30" s="34">
        <f t="shared" si="3"/>
        <v>3121.6424888061301</v>
      </c>
      <c r="I30" s="32">
        <f t="shared" si="4"/>
        <v>2.3959371581152227E-2</v>
      </c>
      <c r="J30" s="32">
        <f t="shared" si="5"/>
        <v>0.11900000000000001</v>
      </c>
      <c r="K30" s="32">
        <f t="shared" si="6"/>
        <v>6.6648256037330336E-2</v>
      </c>
      <c r="L30" s="16">
        <f>G30/'Clause 6'!$H$11</f>
        <v>133.49534600000001</v>
      </c>
      <c r="M30">
        <f t="shared" si="7"/>
        <v>4</v>
      </c>
      <c r="O30" s="82">
        <f t="shared" si="10"/>
        <v>3.2323928356273735E-2</v>
      </c>
      <c r="P30" s="82">
        <f t="shared" si="8"/>
        <v>-3.4324327681056532E-2</v>
      </c>
      <c r="Q30" s="82">
        <f t="shared" si="8"/>
        <v>-4.9667649087933308E-3</v>
      </c>
      <c r="R30" s="82">
        <f t="shared" si="8"/>
        <v>6.9671642335755735E-3</v>
      </c>
      <c r="S30" s="82">
        <f t="shared" si="8"/>
        <v>0</v>
      </c>
    </row>
    <row r="31" spans="1:49" ht="13.15" x14ac:dyDescent="0.4">
      <c r="A31" s="11" t="s">
        <v>85</v>
      </c>
      <c r="B31" s="30">
        <f t="shared" si="9"/>
        <v>101.389107</v>
      </c>
      <c r="C31" s="30">
        <f t="shared" si="11"/>
        <v>94.977790999999996</v>
      </c>
      <c r="D31" s="30">
        <f t="shared" si="12"/>
        <v>102.434944</v>
      </c>
      <c r="E31" s="30">
        <f t="shared" si="13"/>
        <v>97.050621000000007</v>
      </c>
      <c r="F31" s="30"/>
      <c r="G31" s="33">
        <f t="shared" si="2"/>
        <v>98.963115749999986</v>
      </c>
      <c r="H31" s="34">
        <f t="shared" si="3"/>
        <v>2314.1440972020032</v>
      </c>
      <c r="I31" s="32">
        <f t="shared" si="4"/>
        <v>3.0930959373192721E-2</v>
      </c>
      <c r="J31" s="32">
        <f t="shared" si="5"/>
        <v>0.11900000000000001</v>
      </c>
      <c r="K31" s="32">
        <f t="shared" si="6"/>
        <v>7.535285185278745E-2</v>
      </c>
      <c r="L31" s="16">
        <f>G31/'Clause 6'!$H$11</f>
        <v>98.963115749999986</v>
      </c>
      <c r="M31">
        <f t="shared" si="7"/>
        <v>4</v>
      </c>
      <c r="O31" s="82">
        <f t="shared" si="10"/>
        <v>2.4514095293124427E-2</v>
      </c>
      <c r="P31" s="82">
        <f t="shared" si="8"/>
        <v>-4.0270809177711198E-2</v>
      </c>
      <c r="Q31" s="82">
        <f t="shared" si="8"/>
        <v>3.5082042675076197E-2</v>
      </c>
      <c r="R31" s="82">
        <f t="shared" si="8"/>
        <v>-1.9325328790489094E-2</v>
      </c>
      <c r="S31" s="82">
        <f t="shared" si="8"/>
        <v>0</v>
      </c>
    </row>
    <row r="32" spans="1:49" ht="13.15" x14ac:dyDescent="0.4">
      <c r="A32" s="11" t="s">
        <v>86</v>
      </c>
      <c r="B32" s="30">
        <f t="shared" si="9"/>
        <v>74.319198999999998</v>
      </c>
      <c r="C32" s="30">
        <f t="shared" si="11"/>
        <v>65.387755999999996</v>
      </c>
      <c r="D32" s="30">
        <f t="shared" si="12"/>
        <v>73.911392000000006</v>
      </c>
      <c r="E32" s="30">
        <f t="shared" si="13"/>
        <v>69.174377000000007</v>
      </c>
      <c r="F32" s="30"/>
      <c r="G32" s="33">
        <f t="shared" si="2"/>
        <v>70.698181000000005</v>
      </c>
      <c r="H32" s="34">
        <f t="shared" si="3"/>
        <v>1653.1995481768051</v>
      </c>
      <c r="I32" s="32">
        <f t="shared" si="4"/>
        <v>5.1951018602452465E-2</v>
      </c>
      <c r="J32" s="32">
        <f t="shared" si="5"/>
        <v>0.13400000000000001</v>
      </c>
      <c r="K32" s="32">
        <f t="shared" si="6"/>
        <v>0.12633200562826363</v>
      </c>
      <c r="L32" s="16">
        <f>G32/'Clause 6'!$H$11</f>
        <v>70.698181000000005</v>
      </c>
      <c r="M32">
        <f t="shared" si="7"/>
        <v>4</v>
      </c>
      <c r="O32" s="82">
        <f t="shared" si="10"/>
        <v>5.1217979710114436E-2</v>
      </c>
      <c r="P32" s="82">
        <f t="shared" si="8"/>
        <v>-7.5114025918149308E-2</v>
      </c>
      <c r="Q32" s="82">
        <f t="shared" si="8"/>
        <v>4.5449698345138456E-2</v>
      </c>
      <c r="R32" s="82">
        <f t="shared" si="8"/>
        <v>-2.1553652137103807E-2</v>
      </c>
      <c r="S32" s="82">
        <f t="shared" si="8"/>
        <v>0</v>
      </c>
    </row>
    <row r="33" spans="1:19" ht="13.15" x14ac:dyDescent="0.4">
      <c r="A33" s="11" t="s">
        <v>87</v>
      </c>
      <c r="B33" s="30">
        <f t="shared" si="9"/>
        <v>52.417183000000001</v>
      </c>
      <c r="C33" s="30">
        <f t="shared" si="11"/>
        <v>48.833897</v>
      </c>
      <c r="D33" s="30">
        <f t="shared" si="12"/>
        <v>53.715885</v>
      </c>
      <c r="E33" s="30">
        <f t="shared" si="13"/>
        <v>48.525311000000002</v>
      </c>
      <c r="F33" s="30"/>
      <c r="G33" s="33">
        <f t="shared" si="2"/>
        <v>50.873069000000001</v>
      </c>
      <c r="H33" s="34">
        <f t="shared" si="3"/>
        <v>1189.6110125544449</v>
      </c>
      <c r="I33" s="32">
        <f t="shared" si="4"/>
        <v>4.410314299215097E-2</v>
      </c>
      <c r="J33" s="32">
        <f t="shared" si="5"/>
        <v>0.13400000000000001</v>
      </c>
      <c r="K33" s="32">
        <f t="shared" si="6"/>
        <v>0.10202989719373914</v>
      </c>
      <c r="L33" s="16">
        <f>G33/'Clause 6'!$H$11</f>
        <v>50.873069000000001</v>
      </c>
      <c r="M33">
        <f t="shared" si="7"/>
        <v>4</v>
      </c>
      <c r="O33" s="82">
        <f t="shared" si="10"/>
        <v>3.035228717968641E-2</v>
      </c>
      <c r="P33" s="82">
        <f t="shared" si="8"/>
        <v>-4.0083526315269125E-2</v>
      </c>
      <c r="Q33" s="82">
        <f t="shared" si="8"/>
        <v>5.5880568164661026E-2</v>
      </c>
      <c r="R33" s="82">
        <f t="shared" si="8"/>
        <v>-4.6149329029078201E-2</v>
      </c>
      <c r="S33" s="82">
        <f t="shared" si="8"/>
        <v>0</v>
      </c>
    </row>
    <row r="34" spans="1:19" ht="13.15" x14ac:dyDescent="0.4">
      <c r="A34" s="11" t="s">
        <v>88</v>
      </c>
      <c r="B34" s="30">
        <f t="shared" si="9"/>
        <v>37.405689000000002</v>
      </c>
      <c r="C34" s="30">
        <f t="shared" si="11"/>
        <v>38.694656000000002</v>
      </c>
      <c r="D34" s="30">
        <f t="shared" si="12"/>
        <v>37.892600999999999</v>
      </c>
      <c r="E34" s="30">
        <f t="shared" si="13"/>
        <v>33.864471000000002</v>
      </c>
      <c r="F34" s="30"/>
      <c r="G34" s="33">
        <f t="shared" si="2"/>
        <v>36.96435425</v>
      </c>
      <c r="H34" s="34">
        <f t="shared" si="3"/>
        <v>864.37094816834622</v>
      </c>
      <c r="I34" s="32">
        <f t="shared" si="4"/>
        <v>4.9992687810858527E-2</v>
      </c>
      <c r="J34" s="32">
        <f t="shared" si="5"/>
        <v>0.156</v>
      </c>
      <c r="K34" s="32">
        <f t="shared" si="6"/>
        <v>0.13067142921886699</v>
      </c>
      <c r="L34" s="16">
        <f>G34/'Clause 6'!$H$11</f>
        <v>36.96435425</v>
      </c>
      <c r="M34">
        <f t="shared" si="7"/>
        <v>4</v>
      </c>
      <c r="O34" s="82">
        <f t="shared" si="10"/>
        <v>1.1939468684212251E-2</v>
      </c>
      <c r="P34" s="82">
        <f t="shared" si="8"/>
        <v>4.6810008861442487E-2</v>
      </c>
      <c r="Q34" s="82">
        <f t="shared" si="8"/>
        <v>2.5111942811769872E-2</v>
      </c>
      <c r="R34" s="82">
        <f t="shared" si="8"/>
        <v>-8.3861420357424388E-2</v>
      </c>
      <c r="S34" s="82">
        <f t="shared" si="8"/>
        <v>0</v>
      </c>
    </row>
    <row r="35" spans="1:19" ht="13.15" x14ac:dyDescent="0.4">
      <c r="A35" s="11" t="s">
        <v>89</v>
      </c>
      <c r="B35" s="30">
        <f t="shared" si="9"/>
        <v>24.609006999999998</v>
      </c>
      <c r="C35" s="30">
        <f t="shared" si="11"/>
        <v>26.072334000000001</v>
      </c>
      <c r="D35" s="30">
        <f t="shared" si="12"/>
        <v>26.857942999999999</v>
      </c>
      <c r="E35" s="30">
        <f t="shared" si="13"/>
        <v>23.333447</v>
      </c>
      <c r="F35" s="30"/>
      <c r="G35" s="33">
        <f t="shared" si="2"/>
        <v>25.218182750000004</v>
      </c>
      <c r="H35" s="34">
        <f t="shared" si="3"/>
        <v>589.69958969863876</v>
      </c>
      <c r="I35" s="32">
        <f t="shared" si="4"/>
        <v>5.3722335911416598E-2</v>
      </c>
      <c r="J35" s="32">
        <f t="shared" si="5"/>
        <v>0.156</v>
      </c>
      <c r="K35" s="32">
        <f t="shared" si="6"/>
        <v>0.13976011019271398</v>
      </c>
      <c r="L35" s="16">
        <f>G35/'Clause 6'!$H$11</f>
        <v>25.218182750000004</v>
      </c>
      <c r="M35">
        <f t="shared" si="7"/>
        <v>4</v>
      </c>
      <c r="O35" s="82">
        <f t="shared" si="10"/>
        <v>-2.4156211255944138E-2</v>
      </c>
      <c r="P35" s="82">
        <f t="shared" si="8"/>
        <v>3.3870452064988621E-2</v>
      </c>
      <c r="Q35" s="82">
        <f t="shared" si="8"/>
        <v>6.5022934691834289E-2</v>
      </c>
      <c r="R35" s="82">
        <f t="shared" si="8"/>
        <v>-7.4737175500879549E-2</v>
      </c>
      <c r="S35" s="82">
        <f t="shared" si="8"/>
        <v>0</v>
      </c>
    </row>
    <row r="36" spans="1:19" ht="13.15" x14ac:dyDescent="0.4">
      <c r="A36" s="11" t="s">
        <v>90</v>
      </c>
      <c r="B36" s="30">
        <f t="shared" si="9"/>
        <v>16.734124999999999</v>
      </c>
      <c r="C36" s="30">
        <f t="shared" si="11"/>
        <v>18.002327000000001</v>
      </c>
      <c r="D36" s="30">
        <f t="shared" si="12"/>
        <v>18.321697</v>
      </c>
      <c r="E36" s="30">
        <f t="shared" si="13"/>
        <v>14.454348</v>
      </c>
      <c r="F36" s="30"/>
      <c r="G36" s="33">
        <f t="shared" si="2"/>
        <v>16.878124249999999</v>
      </c>
      <c r="H36" s="34">
        <f t="shared" si="3"/>
        <v>394.67645404019618</v>
      </c>
      <c r="I36" s="32">
        <f t="shared" si="4"/>
        <v>9.0065007246118989E-2</v>
      </c>
      <c r="J36" s="32">
        <f t="shared" si="5"/>
        <v>0.193</v>
      </c>
      <c r="K36" s="32">
        <f t="shared" si="6"/>
        <v>0.22913381503279318</v>
      </c>
      <c r="L36" s="16">
        <f>G36/'Clause 6'!$H$11</f>
        <v>16.878124249999999</v>
      </c>
      <c r="M36">
        <f t="shared" si="7"/>
        <v>4</v>
      </c>
      <c r="O36" s="82">
        <f t="shared" si="10"/>
        <v>-8.5317093219052786E-3</v>
      </c>
      <c r="P36" s="82">
        <f t="shared" si="8"/>
        <v>6.6607090536142E-2</v>
      </c>
      <c r="Q36" s="82">
        <f t="shared" si="8"/>
        <v>8.5529216909278283E-2</v>
      </c>
      <c r="R36" s="82">
        <f t="shared" si="8"/>
        <v>-0.14360459812351478</v>
      </c>
      <c r="S36" s="82">
        <f t="shared" si="8"/>
        <v>0</v>
      </c>
    </row>
    <row r="37" spans="1:19" ht="13.15" x14ac:dyDescent="0.4">
      <c r="A37" s="11" t="s">
        <v>91</v>
      </c>
      <c r="B37" s="30">
        <f t="shared" si="9"/>
        <v>11.074052999999999</v>
      </c>
      <c r="C37" s="30">
        <f t="shared" si="11"/>
        <v>12.001550999999999</v>
      </c>
      <c r="D37" s="30">
        <f t="shared" si="12"/>
        <v>10.201854000000001</v>
      </c>
      <c r="E37" s="30">
        <f t="shared" si="13"/>
        <v>8.4661179999999998</v>
      </c>
      <c r="F37" s="30"/>
      <c r="G37" s="33">
        <f t="shared" si="2"/>
        <v>10.435893999999999</v>
      </c>
      <c r="H37" s="34">
        <f t="shared" si="3"/>
        <v>244.03195388606997</v>
      </c>
      <c r="I37" s="32">
        <f t="shared" si="4"/>
        <v>0.12487669961572609</v>
      </c>
      <c r="J37" s="32">
        <f t="shared" si="5"/>
        <v>0.193</v>
      </c>
      <c r="K37" s="32">
        <f t="shared" si="6"/>
        <v>0.33877624667326056</v>
      </c>
      <c r="L37" s="16">
        <f>G37/'Clause 6'!$H$11</f>
        <v>10.435893999999999</v>
      </c>
      <c r="M37">
        <f t="shared" si="7"/>
        <v>4</v>
      </c>
      <c r="O37" s="82">
        <f t="shared" si="10"/>
        <v>6.1150391140423643E-2</v>
      </c>
      <c r="P37" s="82">
        <f t="shared" si="8"/>
        <v>0.1500261501314597</v>
      </c>
      <c r="Q37" s="82">
        <f t="shared" si="8"/>
        <v>-2.2426444730082373E-2</v>
      </c>
      <c r="R37" s="82">
        <f t="shared" si="8"/>
        <v>-0.18875009654180075</v>
      </c>
      <c r="S37" s="82">
        <f t="shared" si="8"/>
        <v>0</v>
      </c>
    </row>
    <row r="38" spans="1:19" ht="13.15" x14ac:dyDescent="0.4">
      <c r="A38" s="11" t="s">
        <v>92</v>
      </c>
      <c r="B38" s="30"/>
      <c r="C38" s="30">
        <f t="shared" si="11"/>
        <v>6.6215450000000002</v>
      </c>
      <c r="D38" s="30">
        <f t="shared" si="12"/>
        <v>4.9968260000000004</v>
      </c>
      <c r="E38" s="30">
        <f t="shared" si="13"/>
        <v>4.3363040000000002</v>
      </c>
      <c r="F38" s="30">
        <f t="shared" si="14"/>
        <v>4.7503390000000003</v>
      </c>
      <c r="G38" s="33">
        <f t="shared" si="2"/>
        <v>5.1762534999999996</v>
      </c>
      <c r="H38" s="34">
        <f t="shared" si="3"/>
        <v>121.04102009991749</v>
      </c>
      <c r="I38" s="32">
        <f t="shared" si="4"/>
        <v>0.16752975157642608</v>
      </c>
      <c r="J38" s="32">
        <f t="shared" si="5"/>
        <v>0.27500000000000002</v>
      </c>
      <c r="K38" s="32">
        <f t="shared" si="6"/>
        <v>0.44148552616288989</v>
      </c>
      <c r="L38" s="16">
        <f>G38/'Clause 6'!$H$11</f>
        <v>5.1762534999999996</v>
      </c>
      <c r="M38">
        <f t="shared" si="7"/>
        <v>4</v>
      </c>
      <c r="O38" s="82">
        <f t="shared" si="10"/>
        <v>0</v>
      </c>
      <c r="P38" s="82">
        <f t="shared" si="8"/>
        <v>0.27921574938321725</v>
      </c>
      <c r="Q38" s="82">
        <f t="shared" si="8"/>
        <v>-3.4663584385888235E-2</v>
      </c>
      <c r="R38" s="82">
        <f t="shared" si="8"/>
        <v>-0.16226977677967269</v>
      </c>
      <c r="S38" s="82">
        <f t="shared" si="8"/>
        <v>-8.2282388217655766E-2</v>
      </c>
    </row>
    <row r="40" spans="1:19" x14ac:dyDescent="0.35">
      <c r="A40" t="s">
        <v>93</v>
      </c>
    </row>
    <row r="41" spans="1:19" ht="15" x14ac:dyDescent="0.5">
      <c r="A41" s="36"/>
      <c r="B41" s="37" t="s">
        <v>94</v>
      </c>
      <c r="C41" s="36"/>
      <c r="D41" s="38" t="s">
        <v>95</v>
      </c>
      <c r="E41" s="39"/>
      <c r="F41" s="39"/>
      <c r="G41" s="39"/>
      <c r="H41" s="40"/>
    </row>
    <row r="42" spans="1:19" ht="15" x14ac:dyDescent="0.5">
      <c r="A42" s="41" t="s">
        <v>96</v>
      </c>
      <c r="B42" s="42" t="s">
        <v>97</v>
      </c>
      <c r="C42" s="41" t="s">
        <v>98</v>
      </c>
      <c r="D42" s="41" t="s">
        <v>99</v>
      </c>
      <c r="E42" s="42" t="s">
        <v>100</v>
      </c>
      <c r="F42" s="42" t="s">
        <v>101</v>
      </c>
      <c r="G42" s="42" t="s">
        <v>102</v>
      </c>
      <c r="H42" s="43" t="s">
        <v>103</v>
      </c>
    </row>
    <row r="43" spans="1:19" x14ac:dyDescent="0.35">
      <c r="A43" s="44">
        <v>10000</v>
      </c>
      <c r="C43" s="44">
        <v>11</v>
      </c>
      <c r="D43" s="44">
        <v>7.8</v>
      </c>
      <c r="E43">
        <v>5.3</v>
      </c>
      <c r="F43">
        <v>4</v>
      </c>
      <c r="G43">
        <v>2.7</v>
      </c>
      <c r="H43" s="45">
        <v>1.8</v>
      </c>
    </row>
    <row r="44" spans="1:19" x14ac:dyDescent="0.35">
      <c r="A44" s="44">
        <v>5000</v>
      </c>
      <c r="B44">
        <v>10000</v>
      </c>
      <c r="C44" s="44">
        <v>11.3</v>
      </c>
      <c r="D44" s="44">
        <v>7.8</v>
      </c>
      <c r="E44">
        <v>5.3</v>
      </c>
      <c r="F44">
        <v>4</v>
      </c>
      <c r="G44">
        <v>2.7</v>
      </c>
      <c r="H44" s="45">
        <v>1.9</v>
      </c>
    </row>
    <row r="45" spans="1:19" x14ac:dyDescent="0.35">
      <c r="A45" s="44">
        <v>2000</v>
      </c>
      <c r="B45">
        <v>5000</v>
      </c>
      <c r="C45" s="44">
        <v>11.9</v>
      </c>
      <c r="D45" s="44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9" x14ac:dyDescent="0.35">
      <c r="A46" s="44">
        <v>1000</v>
      </c>
      <c r="B46">
        <v>2000</v>
      </c>
      <c r="C46" s="44">
        <v>13.4</v>
      </c>
      <c r="D46" s="44">
        <v>8</v>
      </c>
      <c r="E46">
        <v>5.6</v>
      </c>
      <c r="F46">
        <v>4.3</v>
      </c>
      <c r="G46">
        <v>3.1</v>
      </c>
      <c r="H46" s="45">
        <v>2.4</v>
      </c>
    </row>
    <row r="47" spans="1:19" x14ac:dyDescent="0.35">
      <c r="A47" s="44">
        <v>500</v>
      </c>
      <c r="B47">
        <v>1000</v>
      </c>
      <c r="C47" s="44">
        <v>15.6</v>
      </c>
      <c r="D47" s="44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9" x14ac:dyDescent="0.35">
      <c r="A48" s="44">
        <v>200</v>
      </c>
      <c r="B48">
        <v>500</v>
      </c>
      <c r="C48" s="44">
        <v>19.3</v>
      </c>
      <c r="D48" s="44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6">
        <v>100</v>
      </c>
      <c r="B49" s="47">
        <v>200</v>
      </c>
      <c r="C49" s="46">
        <v>27.5</v>
      </c>
      <c r="D49" s="46">
        <v>10</v>
      </c>
      <c r="E49" s="47">
        <v>8</v>
      </c>
      <c r="F49" s="47">
        <v>7</v>
      </c>
      <c r="G49" s="47">
        <v>6.1</v>
      </c>
      <c r="H49" s="48">
        <v>5.5</v>
      </c>
    </row>
    <row r="51" spans="1:16" x14ac:dyDescent="0.35">
      <c r="A51" s="49">
        <f>'6 - B1'!A51</f>
        <v>0</v>
      </c>
      <c r="B51" s="50" t="str">
        <f>'6 - B1'!B51</f>
        <v>Portion 1</v>
      </c>
      <c r="C51" s="50" t="str">
        <f>'6 - B1'!C51</f>
        <v>Portion 2</v>
      </c>
      <c r="D51" s="50" t="str">
        <f>'6 - B1'!D51</f>
        <v>Portion 3</v>
      </c>
      <c r="E51" s="50" t="str">
        <f>'6 - B1'!E51</f>
        <v>Portion 4</v>
      </c>
      <c r="F51" s="50" t="str">
        <f>'6 - B1'!F51</f>
        <v>Portion 5</v>
      </c>
      <c r="G51" s="50" t="str">
        <f>'6 - B1'!G51</f>
        <v>Portion 1</v>
      </c>
      <c r="H51" s="50" t="str">
        <f>'6 - B1'!H51</f>
        <v>Portion 2</v>
      </c>
      <c r="I51" s="50" t="str">
        <f>'6 - B1'!I51</f>
        <v>Portion 3</v>
      </c>
      <c r="J51" s="50" t="str">
        <f>'6 - B1'!J51</f>
        <v>Portion 4</v>
      </c>
      <c r="K51" s="50" t="str">
        <f>'6 - B1'!K51</f>
        <v>Portion 5</v>
      </c>
      <c r="L51" s="50" t="str">
        <f>'6 - B1'!L51</f>
        <v>Portion 1</v>
      </c>
      <c r="M51" s="50" t="str">
        <f>'6 - B1'!M51</f>
        <v>Portion 2</v>
      </c>
      <c r="N51" s="50" t="str">
        <f>'6 - B1'!N51</f>
        <v>Portion 3</v>
      </c>
      <c r="O51" s="50" t="str">
        <f>'6 - B1'!O51</f>
        <v>Portion 4</v>
      </c>
      <c r="P51" s="50" t="str">
        <f>'6 - B1'!P51</f>
        <v>Portion 5</v>
      </c>
    </row>
    <row r="52" spans="1:16" x14ac:dyDescent="0.35">
      <c r="A52" s="51" t="str">
        <f>'6 - B1'!A52</f>
        <v>NAME\mL</v>
      </c>
      <c r="B52" s="49">
        <f>'6 - B1'!B52</f>
        <v>4.0547430000000002</v>
      </c>
      <c r="C52" s="49">
        <f>'6 - B1'!C52</f>
        <v>4.8094239999999999</v>
      </c>
      <c r="D52" s="49">
        <f>'6 - B1'!D52</f>
        <v>4.7879189999999996</v>
      </c>
      <c r="E52" s="49">
        <f>'6 - B1'!E52</f>
        <v>4.8084129999999998</v>
      </c>
      <c r="F52" s="49">
        <f>'6 - B1'!F52</f>
        <v>4.8073949999999996</v>
      </c>
      <c r="G52" s="49">
        <f>'6 - B1'!G52</f>
        <v>4.0635529999999997</v>
      </c>
      <c r="H52" s="49">
        <f>'6 - B1'!H52</f>
        <v>4.8327090000000004</v>
      </c>
      <c r="I52" s="49">
        <f>'6 - B1'!I52</f>
        <v>4.8030489999999997</v>
      </c>
      <c r="J52" s="49">
        <f>'6 - B1'!J52</f>
        <v>4.8428339999999999</v>
      </c>
      <c r="K52" s="49">
        <f>'6 - B1'!K52</f>
        <v>4.8417599999999998</v>
      </c>
      <c r="L52" s="49">
        <f>'6 - B1'!L52</f>
        <v>4.0685989999999999</v>
      </c>
      <c r="M52" s="49">
        <f>'6 - B1'!M52</f>
        <v>4.8518780000000001</v>
      </c>
      <c r="N52" s="49">
        <f>'6 - B1'!N52</f>
        <v>4.8239660000000004</v>
      </c>
      <c r="O52" s="49">
        <f>'6 - B1'!O52</f>
        <v>4.8525260000000001</v>
      </c>
      <c r="P52" s="49">
        <f>'6 - B1'!P52</f>
        <v>4.8433289999999998</v>
      </c>
    </row>
    <row r="53" spans="1:16" x14ac:dyDescent="0.35">
      <c r="A53" s="51">
        <f>'6 - B1'!A53</f>
        <v>4</v>
      </c>
      <c r="B53" s="49">
        <f>'6 - B1'!B53</f>
        <v>17172.728515999999</v>
      </c>
      <c r="C53" s="49">
        <f>'6 - B1'!C53</f>
        <v>18013.798827999999</v>
      </c>
      <c r="D53" s="49">
        <f>'6 - B1'!D53</f>
        <v>17694.746093999998</v>
      </c>
      <c r="E53" s="49">
        <f>'6 - B1'!E53</f>
        <v>17755.755859000001</v>
      </c>
      <c r="F53" s="49">
        <f>'6 - B1'!F53</f>
        <v>17871.007812</v>
      </c>
      <c r="G53" s="49">
        <f>'6 - B1'!G53</f>
        <v>16827.638672000001</v>
      </c>
      <c r="H53" s="49">
        <f>'6 - B1'!H53</f>
        <v>16932.119140999999</v>
      </c>
      <c r="I53" s="49">
        <f>'6 - B1'!I53</f>
        <v>16784.130859000001</v>
      </c>
      <c r="J53" s="49">
        <f>'6 - B1'!J53</f>
        <v>16826.306640999999</v>
      </c>
      <c r="K53" s="49">
        <f>'6 - B1'!K53</f>
        <v>16767.251952999999</v>
      </c>
      <c r="L53" s="49">
        <f>'6 - B1'!L53</f>
        <v>16408.597656000002</v>
      </c>
      <c r="M53" s="49">
        <f>'6 - B1'!M53</f>
        <v>16392.826172000001</v>
      </c>
      <c r="N53" s="49">
        <f>'6 - B1'!N53</f>
        <v>16398.333984000001</v>
      </c>
      <c r="O53" s="49">
        <f>'6 - B1'!O53</f>
        <v>16291.309569999999</v>
      </c>
      <c r="P53" s="49">
        <f>'6 - B1'!P53</f>
        <v>16628.849609000001</v>
      </c>
    </row>
    <row r="54" spans="1:16" x14ac:dyDescent="0.35">
      <c r="A54" s="51">
        <f>'6 - B1'!A54</f>
        <v>5</v>
      </c>
      <c r="B54" s="49">
        <f>'6 - B1'!B54</f>
        <v>14791.320312</v>
      </c>
      <c r="C54" s="49">
        <f>'6 - B1'!C54</f>
        <v>15499.568359000001</v>
      </c>
      <c r="D54" s="49">
        <f>'6 - B1'!D54</f>
        <v>15225.614258</v>
      </c>
      <c r="E54" s="49">
        <f>'6 - B1'!E54</f>
        <v>15256.802734000001</v>
      </c>
      <c r="F54" s="49">
        <f>'6 - B1'!F54</f>
        <v>15308.497069999999</v>
      </c>
      <c r="G54" s="49">
        <f>'6 - B1'!G54</f>
        <v>14510.455078000001</v>
      </c>
      <c r="H54" s="49">
        <f>'6 - B1'!H54</f>
        <v>14560.984375</v>
      </c>
      <c r="I54" s="49">
        <f>'6 - B1'!I54</f>
        <v>14468.518555000001</v>
      </c>
      <c r="J54" s="49">
        <f>'6 - B1'!J54</f>
        <v>14562.755859000001</v>
      </c>
      <c r="K54" s="49">
        <f>'6 - B1'!K54</f>
        <v>14458.172852</v>
      </c>
      <c r="L54" s="49">
        <f>'6 - B1'!L54</f>
        <v>14150.326171999999</v>
      </c>
      <c r="M54" s="49">
        <f>'6 - B1'!M54</f>
        <v>14173.068359000001</v>
      </c>
      <c r="N54" s="49">
        <f>'6 - B1'!N54</f>
        <v>14169.669921999999</v>
      </c>
      <c r="O54" s="49">
        <f>'6 - B1'!O54</f>
        <v>14120.893555000001</v>
      </c>
      <c r="P54" s="49">
        <f>'6 - B1'!P54</f>
        <v>14335.592773</v>
      </c>
    </row>
    <row r="55" spans="1:16" x14ac:dyDescent="0.35">
      <c r="A55" s="51">
        <f>'6 - B1'!A55</f>
        <v>6</v>
      </c>
      <c r="B55" s="49">
        <f>'6 - B1'!B55</f>
        <v>12886.637694999999</v>
      </c>
      <c r="C55" s="49">
        <f>'6 - B1'!C55</f>
        <v>13455.248046999999</v>
      </c>
      <c r="D55" s="49">
        <f>'6 - B1'!D55</f>
        <v>13232.889648</v>
      </c>
      <c r="E55" s="49">
        <f>'6 - B1'!E55</f>
        <v>13263.212890999999</v>
      </c>
      <c r="F55" s="49">
        <f>'6 - B1'!F55</f>
        <v>13219.839844</v>
      </c>
      <c r="G55" s="49">
        <f>'6 - B1'!G55</f>
        <v>12624.913086</v>
      </c>
      <c r="H55" s="49">
        <f>'6 - B1'!H55</f>
        <v>12696.606444999999</v>
      </c>
      <c r="I55" s="49">
        <f>'6 - B1'!I55</f>
        <v>12583.465819999999</v>
      </c>
      <c r="J55" s="49">
        <f>'6 - B1'!J55</f>
        <v>12660.976562</v>
      </c>
      <c r="K55" s="49">
        <f>'6 - B1'!K55</f>
        <v>12591.703125</v>
      </c>
      <c r="L55" s="49">
        <f>'6 - B1'!L55</f>
        <v>12326.111328000001</v>
      </c>
      <c r="M55" s="49">
        <f>'6 - B1'!M55</f>
        <v>12313.169921999999</v>
      </c>
      <c r="N55" s="49">
        <f>'6 - B1'!N55</f>
        <v>12321.190430000001</v>
      </c>
      <c r="O55" s="49">
        <f>'6 - B1'!O55</f>
        <v>12285.972656</v>
      </c>
      <c r="P55" s="49">
        <f>'6 - B1'!P55</f>
        <v>12467.043944999999</v>
      </c>
    </row>
    <row r="56" spans="1:16" x14ac:dyDescent="0.35">
      <c r="A56" s="51">
        <f>'6 - B1'!A56</f>
        <v>7</v>
      </c>
      <c r="B56" s="49">
        <f>'6 - B1'!B56</f>
        <v>11006.863281</v>
      </c>
      <c r="C56" s="49">
        <f>'6 - B1'!C56</f>
        <v>11483.910156</v>
      </c>
      <c r="D56" s="49">
        <f>'6 - B1'!D56</f>
        <v>11296.975586</v>
      </c>
      <c r="E56" s="49">
        <f>'6 - B1'!E56</f>
        <v>11344.700194999999</v>
      </c>
      <c r="F56" s="49">
        <f>'6 - B1'!F56</f>
        <v>11314.650390999999</v>
      </c>
      <c r="G56" s="49">
        <f>'6 - B1'!G56</f>
        <v>10846.912109000001</v>
      </c>
      <c r="H56" s="49">
        <f>'6 - B1'!H56</f>
        <v>10883.336914</v>
      </c>
      <c r="I56" s="49">
        <f>'6 - B1'!I56</f>
        <v>10800.431640999999</v>
      </c>
      <c r="J56" s="49">
        <f>'6 - B1'!J56</f>
        <v>10839.728515999999</v>
      </c>
      <c r="K56" s="49">
        <f>'6 - B1'!K56</f>
        <v>10808.466796999999</v>
      </c>
      <c r="L56" s="49">
        <f>'6 - B1'!L56</f>
        <v>10568.257812</v>
      </c>
      <c r="M56" s="49">
        <f>'6 - B1'!M56</f>
        <v>10559.828125</v>
      </c>
      <c r="N56" s="49">
        <f>'6 - B1'!N56</f>
        <v>10560.813477</v>
      </c>
      <c r="O56" s="49">
        <f>'6 - B1'!O56</f>
        <v>10545.848633</v>
      </c>
      <c r="P56" s="49">
        <f>'6 - B1'!P56</f>
        <v>10643.297852</v>
      </c>
    </row>
    <row r="57" spans="1:16" x14ac:dyDescent="0.35">
      <c r="A57" s="51">
        <f>'6 - B1'!A57</f>
        <v>8</v>
      </c>
      <c r="B57" s="49">
        <f>'6 - B1'!B57</f>
        <v>9332.28125</v>
      </c>
      <c r="C57" s="49">
        <f>'6 - B1'!C57</f>
        <v>9714.2597659999992</v>
      </c>
      <c r="D57" s="49">
        <f>'6 - B1'!D57</f>
        <v>9560.9394530000009</v>
      </c>
      <c r="E57" s="49">
        <f>'6 - B1'!E57</f>
        <v>9625.2138670000004</v>
      </c>
      <c r="F57" s="49">
        <f>'6 - B1'!F57</f>
        <v>9596.6728519999997</v>
      </c>
      <c r="G57" s="49">
        <f>'6 - B1'!G57</f>
        <v>9230.8388670000004</v>
      </c>
      <c r="H57" s="49">
        <f>'6 - B1'!H57</f>
        <v>9252.78125</v>
      </c>
      <c r="I57" s="49">
        <f>'6 - B1'!I57</f>
        <v>9199.1572269999997</v>
      </c>
      <c r="J57" s="49">
        <f>'6 - B1'!J57</f>
        <v>9230.546875</v>
      </c>
      <c r="K57" s="49">
        <f>'6 - B1'!K57</f>
        <v>9197.0693360000005</v>
      </c>
      <c r="L57" s="49">
        <f>'6 - B1'!L57</f>
        <v>9002.3623050000006</v>
      </c>
      <c r="M57" s="49">
        <f>'6 - B1'!M57</f>
        <v>8993.8369139999995</v>
      </c>
      <c r="N57" s="49">
        <f>'6 - B1'!N57</f>
        <v>8994.6748050000006</v>
      </c>
      <c r="O57" s="49">
        <f>'6 - B1'!O57</f>
        <v>9017.5722659999992</v>
      </c>
      <c r="P57" s="49">
        <f>'6 - B1'!P57</f>
        <v>9093.3310550000006</v>
      </c>
    </row>
    <row r="58" spans="1:16" x14ac:dyDescent="0.35">
      <c r="A58" s="51">
        <f>'6 - B1'!A58</f>
        <v>9</v>
      </c>
      <c r="B58" s="49">
        <f>'6 - B1'!B58</f>
        <v>7981.7641599999997</v>
      </c>
      <c r="C58" s="49">
        <f>'6 - B1'!C58</f>
        <v>8287.2705079999996</v>
      </c>
      <c r="D58" s="49">
        <f>'6 - B1'!D58</f>
        <v>8145.7109380000002</v>
      </c>
      <c r="E58" s="49">
        <f>'6 - B1'!E58</f>
        <v>8210.1943360000005</v>
      </c>
      <c r="F58" s="49">
        <f>'6 - B1'!F58</f>
        <v>8143.4946289999998</v>
      </c>
      <c r="G58" s="49">
        <f>'6 - B1'!G58</f>
        <v>7874.3901370000003</v>
      </c>
      <c r="H58" s="49">
        <f>'6 - B1'!H58</f>
        <v>7884.1909180000002</v>
      </c>
      <c r="I58" s="49">
        <f>'6 - B1'!I58</f>
        <v>7845.4335940000001</v>
      </c>
      <c r="J58" s="49">
        <f>'6 - B1'!J58</f>
        <v>7907.3540039999998</v>
      </c>
      <c r="K58" s="49">
        <f>'6 - B1'!K58</f>
        <v>7868.626953</v>
      </c>
      <c r="L58" s="49">
        <f>'6 - B1'!L58</f>
        <v>7721.0859380000002</v>
      </c>
      <c r="M58" s="49">
        <f>'6 - B1'!M58</f>
        <v>7698.8745120000003</v>
      </c>
      <c r="N58" s="49">
        <f>'6 - B1'!N58</f>
        <v>7701.7548829999996</v>
      </c>
      <c r="O58" s="49">
        <f>'6 - B1'!O58</f>
        <v>7707.1206050000001</v>
      </c>
      <c r="P58" s="49">
        <f>'6 - B1'!P58</f>
        <v>7751.8989259999998</v>
      </c>
    </row>
    <row r="59" spans="1:16" x14ac:dyDescent="0.35">
      <c r="A59" s="51">
        <f>'6 - B1'!A59</f>
        <v>10</v>
      </c>
      <c r="B59" s="49">
        <f>'6 - B1'!B59</f>
        <v>6715.8388670000004</v>
      </c>
      <c r="C59" s="49">
        <f>'6 - B1'!C59</f>
        <v>6921.4101559999999</v>
      </c>
      <c r="D59" s="49">
        <f>'6 - B1'!D59</f>
        <v>6860.6010740000002</v>
      </c>
      <c r="E59" s="49">
        <f>'6 - B1'!E59</f>
        <v>6911.0126950000003</v>
      </c>
      <c r="F59" s="49">
        <f>'6 - B1'!F59</f>
        <v>6871.4960940000001</v>
      </c>
      <c r="G59" s="49">
        <f>'6 - B1'!G59</f>
        <v>6655.013672</v>
      </c>
      <c r="H59" s="49">
        <f>'6 - B1'!H59</f>
        <v>6642.2373049999997</v>
      </c>
      <c r="I59" s="49">
        <f>'6 - B1'!I59</f>
        <v>6643.9052730000003</v>
      </c>
      <c r="J59" s="49">
        <f>'6 - B1'!J59</f>
        <v>6673.3657229999999</v>
      </c>
      <c r="K59" s="49">
        <f>'6 - B1'!K59</f>
        <v>6641.8002930000002</v>
      </c>
      <c r="L59" s="49">
        <f>'6 - B1'!L59</f>
        <v>6564.1762699999999</v>
      </c>
      <c r="M59" s="49">
        <f>'6 - B1'!M59</f>
        <v>6490.888672</v>
      </c>
      <c r="N59" s="49">
        <f>'6 - B1'!N59</f>
        <v>6520.7763670000004</v>
      </c>
      <c r="O59" s="49">
        <f>'6 - B1'!O59</f>
        <v>6520.1098629999997</v>
      </c>
      <c r="P59" s="49">
        <f>'6 - B1'!P59</f>
        <v>6548.8007809999999</v>
      </c>
    </row>
    <row r="60" spans="1:16" x14ac:dyDescent="0.35">
      <c r="A60" s="51">
        <f>'6 - B1'!A60</f>
        <v>11</v>
      </c>
      <c r="B60" s="49">
        <f>'6 - B1'!B60</f>
        <v>5611.453125</v>
      </c>
      <c r="C60" s="49">
        <f>'6 - B1'!C60</f>
        <v>5767.841797</v>
      </c>
      <c r="D60" s="49">
        <f>'6 - B1'!D60</f>
        <v>5697.2563479999999</v>
      </c>
      <c r="E60" s="49">
        <f>'6 - B1'!E60</f>
        <v>5761.3608400000003</v>
      </c>
      <c r="F60" s="49">
        <f>'6 - B1'!F60</f>
        <v>5713.4887699999999</v>
      </c>
      <c r="G60" s="49">
        <f>'6 - B1'!G60</f>
        <v>5571.7250979999999</v>
      </c>
      <c r="H60" s="49">
        <f>'6 - B1'!H60</f>
        <v>5543.888672</v>
      </c>
      <c r="I60" s="49">
        <f>'6 - B1'!I60</f>
        <v>5545.0200199999999</v>
      </c>
      <c r="J60" s="49">
        <f>'6 - B1'!J60</f>
        <v>5604.7763670000004</v>
      </c>
      <c r="K60" s="49">
        <f>'6 - B1'!K60</f>
        <v>5534.9711909999996</v>
      </c>
      <c r="L60" s="49">
        <f>'6 - B1'!L60</f>
        <v>5513.4462890000004</v>
      </c>
      <c r="M60" s="49">
        <f>'6 - B1'!M60</f>
        <v>5435.626953</v>
      </c>
      <c r="N60" s="49">
        <f>'6 - B1'!N60</f>
        <v>5474.9560549999997</v>
      </c>
      <c r="O60" s="49">
        <f>'6 - B1'!O60</f>
        <v>5461.4858400000003</v>
      </c>
      <c r="P60" s="49">
        <f>'6 - B1'!P60</f>
        <v>5470.2041019999997</v>
      </c>
    </row>
    <row r="61" spans="1:16" x14ac:dyDescent="0.35">
      <c r="A61" s="51">
        <f>'6 - B1'!A61</f>
        <v>12</v>
      </c>
      <c r="B61" s="49">
        <f>'6 - B1'!B61</f>
        <v>4622.2412109999996</v>
      </c>
      <c r="C61" s="49">
        <f>'6 - B1'!C61</f>
        <v>4746.5141599999997</v>
      </c>
      <c r="D61" s="49">
        <f>'6 - B1'!D61</f>
        <v>4667.9990230000003</v>
      </c>
      <c r="E61" s="49">
        <f>'6 - B1'!E61</f>
        <v>4744.3930659999996</v>
      </c>
      <c r="F61" s="49">
        <f>'6 - B1'!F61</f>
        <v>4699.6342770000001</v>
      </c>
      <c r="G61" s="49">
        <f>'6 - B1'!G61</f>
        <v>4598.1928710000002</v>
      </c>
      <c r="H61" s="49">
        <f>'6 - B1'!H61</f>
        <v>4608.595703</v>
      </c>
      <c r="I61" s="49">
        <f>'6 - B1'!I61</f>
        <v>4550.6513670000004</v>
      </c>
      <c r="J61" s="49">
        <f>'6 - B1'!J61</f>
        <v>4645.4208980000003</v>
      </c>
      <c r="K61" s="49">
        <f>'6 - B1'!K61</f>
        <v>4580.1528319999998</v>
      </c>
      <c r="L61" s="49">
        <f>'6 - B1'!L61</f>
        <v>4554.1479490000002</v>
      </c>
      <c r="M61" s="49">
        <f>'6 - B1'!M61</f>
        <v>4495.9907229999999</v>
      </c>
      <c r="N61" s="49">
        <f>'6 - B1'!N61</f>
        <v>4524.0786129999997</v>
      </c>
      <c r="O61" s="49">
        <f>'6 - B1'!O61</f>
        <v>4519.0898440000001</v>
      </c>
      <c r="P61" s="49">
        <f>'6 - B1'!P61</f>
        <v>4518.7924800000001</v>
      </c>
    </row>
    <row r="62" spans="1:16" x14ac:dyDescent="0.35">
      <c r="A62" s="51">
        <f>'6 - B1'!A62</f>
        <v>13</v>
      </c>
      <c r="B62" s="49">
        <f>'6 - B1'!B62</f>
        <v>3725.0205080000001</v>
      </c>
      <c r="C62" s="49">
        <f>'6 - B1'!C62</f>
        <v>3803.7814939999998</v>
      </c>
      <c r="D62" s="49">
        <f>'6 - B1'!D62</f>
        <v>3759.4624020000001</v>
      </c>
      <c r="E62" s="49">
        <f>'6 - B1'!E62</f>
        <v>3802.9182129999999</v>
      </c>
      <c r="F62" s="49">
        <f>'6 - B1'!F62</f>
        <v>3797.482422</v>
      </c>
      <c r="G62" s="49">
        <f>'6 - B1'!G62</f>
        <v>3710.0539549999999</v>
      </c>
      <c r="H62" s="49">
        <f>'6 - B1'!H62</f>
        <v>3713.6523440000001</v>
      </c>
      <c r="I62" s="49">
        <f>'6 - B1'!I62</f>
        <v>3667.8786620000001</v>
      </c>
      <c r="J62" s="49">
        <f>'6 - B1'!J62</f>
        <v>3742.8500979999999</v>
      </c>
      <c r="K62" s="49">
        <f>'6 - B1'!K62</f>
        <v>3694.9375</v>
      </c>
      <c r="L62" s="49">
        <f>'6 - B1'!L62</f>
        <v>3686.0356449999999</v>
      </c>
      <c r="M62" s="49">
        <f>'6 - B1'!M62</f>
        <v>3634.8811040000001</v>
      </c>
      <c r="N62" s="49">
        <f>'6 - B1'!N62</f>
        <v>3622.3310550000001</v>
      </c>
      <c r="O62" s="49">
        <f>'6 - B1'!O62</f>
        <v>3656.0341800000001</v>
      </c>
      <c r="P62" s="49">
        <f>'6 - B1'!P62</f>
        <v>3645.632568</v>
      </c>
    </row>
    <row r="63" spans="1:16" x14ac:dyDescent="0.35">
      <c r="A63" s="51">
        <f>'6 - B1'!A63</f>
        <v>14</v>
      </c>
      <c r="B63" s="49">
        <f>'6 - B1'!B63</f>
        <v>2967.6357419999999</v>
      </c>
      <c r="C63" s="49">
        <f>'6 - B1'!C63</f>
        <v>3038.2014159999999</v>
      </c>
      <c r="D63" s="49">
        <f>'6 - B1'!D63</f>
        <v>2978.1208499999998</v>
      </c>
      <c r="E63" s="49">
        <f>'6 - B1'!E63</f>
        <v>3023.243164</v>
      </c>
      <c r="F63" s="49">
        <f>'6 - B1'!F63</f>
        <v>3023.6748050000001</v>
      </c>
      <c r="G63" s="49">
        <f>'6 - B1'!G63</f>
        <v>2976.9516600000002</v>
      </c>
      <c r="H63" s="49">
        <f>'6 - B1'!H63</f>
        <v>2945.3461910000001</v>
      </c>
      <c r="I63" s="49">
        <f>'6 - B1'!I63</f>
        <v>2900.4494629999999</v>
      </c>
      <c r="J63" s="49">
        <f>'6 - B1'!J63</f>
        <v>2972.639893</v>
      </c>
      <c r="K63" s="49">
        <f>'6 - B1'!K63</f>
        <v>2940.873047</v>
      </c>
      <c r="L63" s="49">
        <f>'6 - B1'!L63</f>
        <v>2925.085693</v>
      </c>
      <c r="M63" s="49">
        <f>'6 - B1'!M63</f>
        <v>2914.9536130000001</v>
      </c>
      <c r="N63" s="49">
        <f>'6 - B1'!N63</f>
        <v>2888.7021479999999</v>
      </c>
      <c r="O63" s="49">
        <f>'6 - B1'!O63</f>
        <v>2906.3215329999998</v>
      </c>
      <c r="P63" s="49">
        <f>'6 - B1'!P63</f>
        <v>2921.3374020000001</v>
      </c>
    </row>
    <row r="64" spans="1:16" x14ac:dyDescent="0.35">
      <c r="A64" s="51">
        <f>'6 - B1'!A64</f>
        <v>15</v>
      </c>
      <c r="B64" s="49">
        <f>'6 - B1'!B64</f>
        <v>2299.2827149999998</v>
      </c>
      <c r="C64" s="49">
        <f>'6 - B1'!C64</f>
        <v>2353.919922</v>
      </c>
      <c r="D64" s="49">
        <f>'6 - B1'!D64</f>
        <v>2300.5820309999999</v>
      </c>
      <c r="E64" s="49">
        <f>'6 - B1'!E64</f>
        <v>2330.0830080000001</v>
      </c>
      <c r="F64" s="49">
        <f>'6 - B1'!F64</f>
        <v>2348.4650879999999</v>
      </c>
      <c r="G64" s="49">
        <f>'6 - B1'!G64</f>
        <v>2313.7387699999999</v>
      </c>
      <c r="H64" s="49">
        <f>'6 - B1'!H64</f>
        <v>2269.1208499999998</v>
      </c>
      <c r="I64" s="49">
        <f>'6 - B1'!I64</f>
        <v>2239.827393</v>
      </c>
      <c r="J64" s="49">
        <f>'6 - B1'!J64</f>
        <v>2297.0024410000001</v>
      </c>
      <c r="K64" s="49">
        <f>'6 - B1'!K64</f>
        <v>2271.2817380000001</v>
      </c>
      <c r="L64" s="49">
        <f>'6 - B1'!L64</f>
        <v>2259.991943</v>
      </c>
      <c r="M64" s="49">
        <f>'6 - B1'!M64</f>
        <v>2247.3771969999998</v>
      </c>
      <c r="N64" s="49">
        <f>'6 - B1'!N64</f>
        <v>2229.908203</v>
      </c>
      <c r="O64" s="49">
        <f>'6 - B1'!O64</f>
        <v>2258.6176759999998</v>
      </c>
      <c r="P64" s="49">
        <f>'6 - B1'!P64</f>
        <v>2272.8166500000002</v>
      </c>
    </row>
    <row r="65" spans="1:16" x14ac:dyDescent="0.35">
      <c r="A65" s="51">
        <f>'6 - B1'!A65</f>
        <v>16</v>
      </c>
      <c r="B65" s="49">
        <f>'6 - B1'!B65</f>
        <v>1751.529053</v>
      </c>
      <c r="C65" s="49">
        <f>'6 - B1'!C65</f>
        <v>1801.878784</v>
      </c>
      <c r="D65" s="49">
        <f>'6 - B1'!D65</f>
        <v>1765.0676269999999</v>
      </c>
      <c r="E65" s="49">
        <f>'6 - B1'!E65</f>
        <v>1774.182251</v>
      </c>
      <c r="F65" s="49">
        <f>'6 - B1'!F65</f>
        <v>1795.150879</v>
      </c>
      <c r="G65" s="49">
        <f>'6 - B1'!G65</f>
        <v>1773.0789789999999</v>
      </c>
      <c r="H65" s="49">
        <f>'6 - B1'!H65</f>
        <v>1742.087158</v>
      </c>
      <c r="I65" s="49">
        <f>'6 - B1'!I65</f>
        <v>1714.9525149999999</v>
      </c>
      <c r="J65" s="49">
        <f>'6 - B1'!J65</f>
        <v>1756.822754</v>
      </c>
      <c r="K65" s="49">
        <f>'6 - B1'!K65</f>
        <v>1742.9613039999999</v>
      </c>
      <c r="L65" s="49">
        <f>'6 - B1'!L65</f>
        <v>1735.241211</v>
      </c>
      <c r="M65" s="49">
        <f>'6 - B1'!M65</f>
        <v>1722.0135499999999</v>
      </c>
      <c r="N65" s="49">
        <f>'6 - B1'!N65</f>
        <v>1712.4914550000001</v>
      </c>
      <c r="O65" s="49">
        <f>'6 - B1'!O65</f>
        <v>1754.138062</v>
      </c>
      <c r="P65" s="49">
        <f>'6 - B1'!P65</f>
        <v>1738.6800539999999</v>
      </c>
    </row>
    <row r="66" spans="1:16" x14ac:dyDescent="0.35">
      <c r="A66" s="51">
        <f>'6 - B1'!A66</f>
        <v>17</v>
      </c>
      <c r="B66" s="49">
        <f>'6 - B1'!B66</f>
        <v>1317.2229</v>
      </c>
      <c r="C66" s="49">
        <f>'6 - B1'!C66</f>
        <v>1366.483643</v>
      </c>
      <c r="D66" s="49">
        <f>'6 - B1'!D66</f>
        <v>1326.6724850000001</v>
      </c>
      <c r="E66" s="49">
        <f>'6 - B1'!E66</f>
        <v>1331.2086179999999</v>
      </c>
      <c r="F66" s="49">
        <f>'6 - B1'!F66</f>
        <v>1352.4995120000001</v>
      </c>
      <c r="G66" s="49">
        <f>'6 - B1'!G66</f>
        <v>1326.4254149999999</v>
      </c>
      <c r="H66" s="49">
        <f>'6 - B1'!H66</f>
        <v>1299.4782709999999</v>
      </c>
      <c r="I66" s="49">
        <f>'6 - B1'!I66</f>
        <v>1295.0108640000001</v>
      </c>
      <c r="J66" s="49">
        <f>'6 - B1'!J66</f>
        <v>1312.661255</v>
      </c>
      <c r="K66" s="49">
        <f>'6 - B1'!K66</f>
        <v>1286.5157469999999</v>
      </c>
      <c r="L66" s="49">
        <f>'6 - B1'!L66</f>
        <v>1315.440552</v>
      </c>
      <c r="M66" s="49">
        <f>'6 - B1'!M66</f>
        <v>1298.466187</v>
      </c>
      <c r="N66" s="49">
        <f>'6 - B1'!N66</f>
        <v>1286.493408</v>
      </c>
      <c r="O66" s="49">
        <f>'6 - B1'!O66</f>
        <v>1319.9311520000001</v>
      </c>
      <c r="P66" s="49">
        <f>'6 - B1'!P66</f>
        <v>1320.3726810000001</v>
      </c>
    </row>
    <row r="67" spans="1:16" x14ac:dyDescent="0.35">
      <c r="A67" s="51">
        <f>'6 - B1'!A67</f>
        <v>18</v>
      </c>
      <c r="B67" s="49">
        <f>'6 - B1'!B67</f>
        <v>972.44146699999999</v>
      </c>
      <c r="C67" s="49">
        <f>'6 - B1'!C67</f>
        <v>1013.634827</v>
      </c>
      <c r="D67" s="49">
        <f>'6 - B1'!D67</f>
        <v>991.66265899999996</v>
      </c>
      <c r="E67" s="49">
        <f>'6 - B1'!E67</f>
        <v>992.01141399999995</v>
      </c>
      <c r="F67" s="49">
        <f>'6 - B1'!F67</f>
        <v>999.08569299999999</v>
      </c>
      <c r="G67" s="49">
        <f>'6 - B1'!G67</f>
        <v>988.05163600000003</v>
      </c>
      <c r="H67" s="49">
        <f>'6 - B1'!H67</f>
        <v>982.67871100000002</v>
      </c>
      <c r="I67" s="49">
        <f>'6 - B1'!I67</f>
        <v>973.96472200000005</v>
      </c>
      <c r="J67" s="49">
        <f>'6 - B1'!J67</f>
        <v>972.158142</v>
      </c>
      <c r="K67" s="49">
        <f>'6 - B1'!K67</f>
        <v>960.80767800000001</v>
      </c>
      <c r="L67" s="49">
        <f>'6 - B1'!L67</f>
        <v>990.26721199999997</v>
      </c>
      <c r="M67" s="49">
        <f>'6 - B1'!M67</f>
        <v>970.55200200000002</v>
      </c>
      <c r="N67" s="49">
        <f>'6 - B1'!N67</f>
        <v>966.21752900000001</v>
      </c>
      <c r="O67" s="49">
        <f>'6 - B1'!O67</f>
        <v>983.199341</v>
      </c>
      <c r="P67" s="49">
        <f>'6 - B1'!P67</f>
        <v>983.00146500000005</v>
      </c>
    </row>
    <row r="68" spans="1:16" x14ac:dyDescent="0.35">
      <c r="A68" s="51">
        <f>'6 - B1'!A68</f>
        <v>19</v>
      </c>
      <c r="B68" s="49">
        <f>'6 - B1'!B68</f>
        <v>729.76269500000001</v>
      </c>
      <c r="C68" s="49">
        <f>'6 - B1'!C68</f>
        <v>756.22357199999999</v>
      </c>
      <c r="D68" s="49">
        <f>'6 - B1'!D68</f>
        <v>739.36096199999997</v>
      </c>
      <c r="E68" s="49">
        <f>'6 - B1'!E68</f>
        <v>736.833618</v>
      </c>
      <c r="F68" s="49">
        <f>'6 - B1'!F68</f>
        <v>747.806152</v>
      </c>
      <c r="G68" s="49">
        <f>'6 - B1'!G68</f>
        <v>738.51629600000001</v>
      </c>
      <c r="H68" s="49">
        <f>'6 - B1'!H68</f>
        <v>728.57690400000001</v>
      </c>
      <c r="I68" s="49">
        <f>'6 - B1'!I68</f>
        <v>731.618652</v>
      </c>
      <c r="J68" s="49">
        <f>'6 - B1'!J68</f>
        <v>737.17175299999997</v>
      </c>
      <c r="K68" s="49">
        <f>'6 - B1'!K68</f>
        <v>705.73516800000004</v>
      </c>
      <c r="L68" s="49">
        <f>'6 - B1'!L68</f>
        <v>755.296875</v>
      </c>
      <c r="M68" s="49">
        <f>'6 - B1'!M68</f>
        <v>728.99603300000001</v>
      </c>
      <c r="N68" s="49">
        <f>'6 - B1'!N68</f>
        <v>725.75146500000005</v>
      </c>
      <c r="O68" s="49">
        <f>'6 - B1'!O68</f>
        <v>738.17230199999995</v>
      </c>
      <c r="P68" s="49">
        <f>'6 - B1'!P68</f>
        <v>746.80035399999997</v>
      </c>
    </row>
    <row r="69" spans="1:16" x14ac:dyDescent="0.35">
      <c r="A69" s="51">
        <f>'6 - B1'!A69</f>
        <v>20</v>
      </c>
      <c r="B69" s="49">
        <f>'6 - B1'!B69</f>
        <v>551.20636000000002</v>
      </c>
      <c r="C69" s="49">
        <f>'6 - B1'!C69</f>
        <v>570.96227999999996</v>
      </c>
      <c r="D69" s="49">
        <f>'6 - B1'!D69</f>
        <v>554.31182899999999</v>
      </c>
      <c r="E69" s="49">
        <f>'6 - B1'!E69</f>
        <v>548.82977300000005</v>
      </c>
      <c r="F69" s="49">
        <f>'6 - B1'!F69</f>
        <v>564.546875</v>
      </c>
      <c r="G69" s="49">
        <f>'6 - B1'!G69</f>
        <v>560.34710700000005</v>
      </c>
      <c r="H69" s="49">
        <f>'6 - B1'!H69</f>
        <v>547.932861</v>
      </c>
      <c r="I69" s="49">
        <f>'6 - B1'!I69</f>
        <v>555.68872099999999</v>
      </c>
      <c r="J69" s="49">
        <f>'6 - B1'!J69</f>
        <v>556.07940699999995</v>
      </c>
      <c r="K69" s="49">
        <f>'6 - B1'!K69</f>
        <v>533.07067900000004</v>
      </c>
      <c r="L69" s="49">
        <f>'6 - B1'!L69</f>
        <v>575.382385</v>
      </c>
      <c r="M69" s="49">
        <f>'6 - B1'!M69</f>
        <v>541.43981900000006</v>
      </c>
      <c r="N69" s="49">
        <f>'6 - B1'!N69</f>
        <v>550.16973900000005</v>
      </c>
      <c r="O69" s="49">
        <f>'6 - B1'!O69</f>
        <v>558.47204599999998</v>
      </c>
      <c r="P69" s="49">
        <f>'6 - B1'!P69</f>
        <v>553.75128199999995</v>
      </c>
    </row>
    <row r="70" spans="1:16" x14ac:dyDescent="0.35">
      <c r="A70" s="51">
        <f>'6 - B1'!A70</f>
        <v>21</v>
      </c>
      <c r="B70" s="49">
        <f>'6 - B1'!B70</f>
        <v>424.93447900000001</v>
      </c>
      <c r="C70" s="49">
        <f>'6 - B1'!C70</f>
        <v>423.75134300000002</v>
      </c>
      <c r="D70" s="49">
        <f>'6 - B1'!D70</f>
        <v>413.12313799999998</v>
      </c>
      <c r="E70" s="49">
        <f>'6 - B1'!E70</f>
        <v>417.393463</v>
      </c>
      <c r="F70" s="49">
        <f>'6 - B1'!F70</f>
        <v>428.09042399999998</v>
      </c>
      <c r="G70" s="49">
        <f>'6 - B1'!G70</f>
        <v>418.59921300000002</v>
      </c>
      <c r="H70" s="49">
        <f>'6 - B1'!H70</f>
        <v>414.46734600000002</v>
      </c>
      <c r="I70" s="49">
        <f>'6 - B1'!I70</f>
        <v>415.77758799999998</v>
      </c>
      <c r="J70" s="49">
        <f>'6 - B1'!J70</f>
        <v>420.208527</v>
      </c>
      <c r="K70" s="49">
        <f>'6 - B1'!K70</f>
        <v>394.071594</v>
      </c>
      <c r="L70" s="49">
        <f>'6 - B1'!L70</f>
        <v>428.15722699999998</v>
      </c>
      <c r="M70" s="49">
        <f>'6 - B1'!M70</f>
        <v>416.95193499999999</v>
      </c>
      <c r="N70" s="49">
        <f>'6 - B1'!N70</f>
        <v>412.73098800000002</v>
      </c>
      <c r="O70" s="49">
        <f>'6 - B1'!O70</f>
        <v>424.72726399999999</v>
      </c>
      <c r="P70" s="49">
        <f>'6 - B1'!P70</f>
        <v>418.51376299999998</v>
      </c>
    </row>
    <row r="71" spans="1:16" x14ac:dyDescent="0.35">
      <c r="A71" s="51">
        <f>'6 - B1'!A71</f>
        <v>22</v>
      </c>
      <c r="B71" s="49">
        <f>'6 - B1'!B71</f>
        <v>327.27105699999998</v>
      </c>
      <c r="C71" s="49">
        <f>'6 - B1'!C71</f>
        <v>316.66992199999999</v>
      </c>
      <c r="D71" s="49">
        <f>'6 - B1'!D71</f>
        <v>314.54168700000002</v>
      </c>
      <c r="E71" s="49">
        <f>'6 - B1'!E71</f>
        <v>320.47998000000001</v>
      </c>
      <c r="F71" s="49">
        <f>'6 - B1'!F71</f>
        <v>326.372162</v>
      </c>
      <c r="G71" s="49">
        <f>'6 - B1'!G71</f>
        <v>324.83889799999997</v>
      </c>
      <c r="H71" s="49">
        <f>'6 - B1'!H71</f>
        <v>312.04031400000002</v>
      </c>
      <c r="I71" s="49">
        <f>'6 - B1'!I71</f>
        <v>305.22280899999998</v>
      </c>
      <c r="J71" s="49">
        <f>'6 - B1'!J71</f>
        <v>314.485321</v>
      </c>
      <c r="K71" s="49">
        <f>'6 - B1'!K71</f>
        <v>298.65176400000001</v>
      </c>
      <c r="L71" s="49">
        <f>'6 - B1'!L71</f>
        <v>325.17336999999998</v>
      </c>
      <c r="M71" s="49">
        <f>'6 - B1'!M71</f>
        <v>313.69296300000002</v>
      </c>
      <c r="N71" s="49">
        <f>'6 - B1'!N71</f>
        <v>311.36209100000002</v>
      </c>
      <c r="O71" s="49">
        <f>'6 - B1'!O71</f>
        <v>323.955017</v>
      </c>
      <c r="P71" s="49">
        <f>'6 - B1'!P71</f>
        <v>318.58248900000001</v>
      </c>
    </row>
    <row r="72" spans="1:16" x14ac:dyDescent="0.35">
      <c r="A72" s="51">
        <f>'6 - B1'!A72</f>
        <v>23</v>
      </c>
      <c r="B72" s="49">
        <f>'6 - B1'!B72</f>
        <v>245.39164700000001</v>
      </c>
      <c r="C72" s="49">
        <f>'6 - B1'!C72</f>
        <v>240.777252</v>
      </c>
      <c r="D72" s="49">
        <f>'6 - B1'!D72</f>
        <v>232.87780799999999</v>
      </c>
      <c r="E72" s="49">
        <f>'6 - B1'!E72</f>
        <v>245.61120600000001</v>
      </c>
      <c r="F72" s="49">
        <f>'6 - B1'!F72</f>
        <v>248.783356</v>
      </c>
      <c r="G72" s="49">
        <f>'6 - B1'!G72</f>
        <v>245.84397899999999</v>
      </c>
      <c r="H72" s="49">
        <f>'6 - B1'!H72</f>
        <v>230.30561800000001</v>
      </c>
      <c r="I72" s="49">
        <f>'6 - B1'!I72</f>
        <v>234.018036</v>
      </c>
      <c r="J72" s="49">
        <f>'6 - B1'!J72</f>
        <v>239.94216900000001</v>
      </c>
      <c r="K72" s="49">
        <f>'6 - B1'!K72</f>
        <v>224.505157</v>
      </c>
      <c r="L72" s="49">
        <f>'6 - B1'!L72</f>
        <v>245.53907799999999</v>
      </c>
      <c r="M72" s="49">
        <f>'6 - B1'!M72</f>
        <v>239.082672</v>
      </c>
      <c r="N72" s="49">
        <f>'6 - B1'!N72</f>
        <v>243.990128</v>
      </c>
      <c r="O72" s="49">
        <f>'6 - B1'!O72</f>
        <v>243.79057299999999</v>
      </c>
      <c r="P72" s="49">
        <f>'6 - B1'!P72</f>
        <v>235.58174099999999</v>
      </c>
    </row>
    <row r="73" spans="1:16" x14ac:dyDescent="0.35">
      <c r="A73" s="51">
        <f>'6 - B1'!A73</f>
        <v>24</v>
      </c>
      <c r="B73" s="49">
        <f>'6 - B1'!B73</f>
        <v>182.255707</v>
      </c>
      <c r="C73" s="49">
        <f>'6 - B1'!C73</f>
        <v>185.469177</v>
      </c>
      <c r="D73" s="49">
        <f>'6 - B1'!D73</f>
        <v>174.81500199999999</v>
      </c>
      <c r="E73" s="49">
        <f>'6 - B1'!E73</f>
        <v>184.884308</v>
      </c>
      <c r="F73" s="49">
        <f>'6 - B1'!F73</f>
        <v>181.595215</v>
      </c>
      <c r="G73" s="49">
        <f>'6 - B1'!G73</f>
        <v>186.04409799999999</v>
      </c>
      <c r="H73" s="49">
        <f>'6 - B1'!H73</f>
        <v>173.81556699999999</v>
      </c>
      <c r="I73" s="49">
        <f>'6 - B1'!I73</f>
        <v>177.38732899999999</v>
      </c>
      <c r="J73" s="49">
        <f>'6 - B1'!J73</f>
        <v>183.776703</v>
      </c>
      <c r="K73" s="49">
        <f>'6 - B1'!K73</f>
        <v>161.304993</v>
      </c>
      <c r="L73" s="49">
        <f>'6 - B1'!L73</f>
        <v>186.05914300000001</v>
      </c>
      <c r="M73" s="49">
        <f>'6 - B1'!M73</f>
        <v>183.02191199999999</v>
      </c>
      <c r="N73" s="49">
        <f>'6 - B1'!N73</f>
        <v>190.29986600000001</v>
      </c>
      <c r="O73" s="49">
        <f>'6 - B1'!O73</f>
        <v>182.99748199999999</v>
      </c>
      <c r="P73" s="49">
        <f>'6 - B1'!P73</f>
        <v>177.77027899999999</v>
      </c>
    </row>
    <row r="74" spans="1:16" x14ac:dyDescent="0.35">
      <c r="A74" s="51">
        <f>'6 - B1'!A74</f>
        <v>25</v>
      </c>
      <c r="B74" s="49">
        <f>'6 - B1'!B74</f>
        <v>135.150375</v>
      </c>
      <c r="C74" s="49">
        <f>'6 - B1'!C74</f>
        <v>135.15130600000001</v>
      </c>
      <c r="D74" s="49">
        <f>'6 - B1'!D74</f>
        <v>127.195145</v>
      </c>
      <c r="E74" s="49">
        <f>'6 - B1'!E74</f>
        <v>136.42756700000001</v>
      </c>
      <c r="F74" s="49">
        <f>'6 - B1'!F74</f>
        <v>132.92021199999999</v>
      </c>
      <c r="G74" s="49">
        <f>'6 - B1'!G74</f>
        <v>137.81044</v>
      </c>
      <c r="H74" s="49">
        <f>'6 - B1'!H74</f>
        <v>128.913208</v>
      </c>
      <c r="I74" s="49">
        <f>'6 - B1'!I74</f>
        <v>132.83230599999999</v>
      </c>
      <c r="J74" s="49">
        <f>'6 - B1'!J74</f>
        <v>134.42543000000001</v>
      </c>
      <c r="K74" s="49">
        <f>'6 - B1'!K74</f>
        <v>117.10618599999999</v>
      </c>
      <c r="L74" s="49">
        <f>'6 - B1'!L74</f>
        <v>142.55522199999999</v>
      </c>
      <c r="M74" s="49">
        <f>'6 - B1'!M74</f>
        <v>135.411484</v>
      </c>
      <c r="N74" s="49">
        <f>'6 - B1'!N74</f>
        <v>138.26799</v>
      </c>
      <c r="O74" s="49">
        <f>'6 - B1'!O74</f>
        <v>131.89007599999999</v>
      </c>
      <c r="P74" s="49">
        <f>'6 - B1'!P74</f>
        <v>130.90168800000001</v>
      </c>
    </row>
    <row r="75" spans="1:16" x14ac:dyDescent="0.35">
      <c r="A75" s="51">
        <f>'6 - B1'!A75</f>
        <v>26</v>
      </c>
      <c r="B75" s="49">
        <f>'6 - B1'!B75</f>
        <v>98.896529999999998</v>
      </c>
      <c r="C75" s="49">
        <f>'6 - B1'!C75</f>
        <v>101.25952100000001</v>
      </c>
      <c r="D75" s="49">
        <f>'6 - B1'!D75</f>
        <v>93.777702000000005</v>
      </c>
      <c r="E75" s="49">
        <f>'6 - B1'!E75</f>
        <v>99.201141000000007</v>
      </c>
      <c r="F75" s="49">
        <f>'6 - B1'!F75</f>
        <v>95.061867000000007</v>
      </c>
      <c r="G75" s="49">
        <f>'6 - B1'!G75</f>
        <v>101.389107</v>
      </c>
      <c r="H75" s="49">
        <f>'6 - B1'!H75</f>
        <v>94.977790999999996</v>
      </c>
      <c r="I75" s="49">
        <f>'6 - B1'!I75</f>
        <v>102.434944</v>
      </c>
      <c r="J75" s="49">
        <f>'6 - B1'!J75</f>
        <v>97.050621000000007</v>
      </c>
      <c r="K75" s="49">
        <f>'6 - B1'!K75</f>
        <v>86.332245</v>
      </c>
      <c r="L75" s="49">
        <f>'6 - B1'!L75</f>
        <v>105.93328099999999</v>
      </c>
      <c r="M75" s="49">
        <f>'6 - B1'!M75</f>
        <v>100.16739699999999</v>
      </c>
      <c r="N75" s="49">
        <f>'6 - B1'!N75</f>
        <v>99.710494999999995</v>
      </c>
      <c r="O75" s="49">
        <f>'6 - B1'!O75</f>
        <v>96.856773000000004</v>
      </c>
      <c r="P75" s="49">
        <f>'6 - B1'!P75</f>
        <v>93.324234000000004</v>
      </c>
    </row>
    <row r="76" spans="1:16" x14ac:dyDescent="0.35">
      <c r="A76" s="51">
        <f>'6 - B1'!A76</f>
        <v>27</v>
      </c>
      <c r="B76" s="49">
        <f>'6 - B1'!B76</f>
        <v>74.973929999999996</v>
      </c>
      <c r="C76" s="49">
        <f>'6 - B1'!C76</f>
        <v>70.694534000000004</v>
      </c>
      <c r="D76" s="49">
        <f>'6 - B1'!D76</f>
        <v>67.043746999999996</v>
      </c>
      <c r="E76" s="49">
        <f>'6 - B1'!E76</f>
        <v>74.660812000000007</v>
      </c>
      <c r="F76" s="49">
        <f>'6 - B1'!F76</f>
        <v>67.604172000000005</v>
      </c>
      <c r="G76" s="49">
        <f>'6 - B1'!G76</f>
        <v>74.319198999999998</v>
      </c>
      <c r="H76" s="49">
        <f>'6 - B1'!H76</f>
        <v>65.387755999999996</v>
      </c>
      <c r="I76" s="49">
        <f>'6 - B1'!I76</f>
        <v>73.911392000000006</v>
      </c>
      <c r="J76" s="49">
        <f>'6 - B1'!J76</f>
        <v>69.174377000000007</v>
      </c>
      <c r="K76" s="49">
        <f>'6 - B1'!K76</f>
        <v>60.721724999999999</v>
      </c>
      <c r="L76" s="49">
        <f>'6 - B1'!L76</f>
        <v>74.472815999999995</v>
      </c>
      <c r="M76" s="49">
        <f>'6 - B1'!M76</f>
        <v>75.640808000000007</v>
      </c>
      <c r="N76" s="49">
        <f>'6 - B1'!N76</f>
        <v>73.383606</v>
      </c>
      <c r="O76" s="49">
        <f>'6 - B1'!O76</f>
        <v>70.890915000000007</v>
      </c>
      <c r="P76" s="49">
        <f>'6 - B1'!P76</f>
        <v>67.928482000000002</v>
      </c>
    </row>
    <row r="77" spans="1:16" x14ac:dyDescent="0.35">
      <c r="A77" s="51">
        <f>'6 - B1'!A77</f>
        <v>28</v>
      </c>
      <c r="B77" s="49">
        <f>'6 - B1'!B77</f>
        <v>54.010821999999997</v>
      </c>
      <c r="C77" s="49">
        <f>'6 - B1'!C77</f>
        <v>51.565421999999998</v>
      </c>
      <c r="D77" s="49">
        <f>'6 - B1'!D77</f>
        <v>48.455292</v>
      </c>
      <c r="E77" s="49">
        <f>'6 - B1'!E77</f>
        <v>53.447994000000001</v>
      </c>
      <c r="F77" s="49">
        <f>'6 - B1'!F77</f>
        <v>44.722763</v>
      </c>
      <c r="G77" s="49">
        <f>'6 - B1'!G77</f>
        <v>52.417183000000001</v>
      </c>
      <c r="H77" s="49">
        <f>'6 - B1'!H77</f>
        <v>48.833897</v>
      </c>
      <c r="I77" s="49">
        <f>'6 - B1'!I77</f>
        <v>53.715885</v>
      </c>
      <c r="J77" s="49">
        <f>'6 - B1'!J77</f>
        <v>48.525311000000002</v>
      </c>
      <c r="K77" s="49">
        <f>'6 - B1'!K77</f>
        <v>42.339976999999998</v>
      </c>
      <c r="L77" s="49">
        <f>'6 - B1'!L77</f>
        <v>51.614821999999997</v>
      </c>
      <c r="M77" s="49">
        <f>'6 - B1'!M77</f>
        <v>54.618023000000001</v>
      </c>
      <c r="N77" s="49">
        <f>'6 - B1'!N77</f>
        <v>53.482967000000002</v>
      </c>
      <c r="O77" s="49">
        <f>'6 - B1'!O77</f>
        <v>50.489170000000001</v>
      </c>
      <c r="P77" s="49">
        <f>'6 - B1'!P77</f>
        <v>49.965629999999997</v>
      </c>
    </row>
    <row r="78" spans="1:16" x14ac:dyDescent="0.35">
      <c r="A78" s="51">
        <f>'6 - B1'!A78</f>
        <v>29</v>
      </c>
      <c r="B78" s="49">
        <f>'6 - B1'!B78</f>
        <v>38.226837000000003</v>
      </c>
      <c r="C78" s="49">
        <f>'6 - B1'!C78</f>
        <v>38.674067999999998</v>
      </c>
      <c r="D78" s="49">
        <f>'6 - B1'!D78</f>
        <v>34.252879999999998</v>
      </c>
      <c r="E78" s="49">
        <f>'6 - B1'!E78</f>
        <v>37.642361000000001</v>
      </c>
      <c r="F78" s="49">
        <f>'6 - B1'!F78</f>
        <v>29.745836000000001</v>
      </c>
      <c r="G78" s="49">
        <f>'6 - B1'!G78</f>
        <v>37.405689000000002</v>
      </c>
      <c r="H78" s="49">
        <f>'6 - B1'!H78</f>
        <v>38.694656000000002</v>
      </c>
      <c r="I78" s="49">
        <f>'6 - B1'!I78</f>
        <v>37.892600999999999</v>
      </c>
      <c r="J78" s="49">
        <f>'6 - B1'!J78</f>
        <v>33.864471000000002</v>
      </c>
      <c r="K78" s="49">
        <f>'6 - B1'!K78</f>
        <v>28.708570000000002</v>
      </c>
      <c r="L78" s="49">
        <f>'6 - B1'!L78</f>
        <v>37.359299</v>
      </c>
      <c r="M78" s="49">
        <f>'6 - B1'!M78</f>
        <v>37.923457999999997</v>
      </c>
      <c r="N78" s="49">
        <f>'6 - B1'!N78</f>
        <v>39.179386000000001</v>
      </c>
      <c r="O78" s="49">
        <f>'6 - B1'!O78</f>
        <v>35.033301999999999</v>
      </c>
      <c r="P78" s="49">
        <f>'6 - B1'!P78</f>
        <v>34.480412000000001</v>
      </c>
    </row>
    <row r="79" spans="1:16" x14ac:dyDescent="0.35">
      <c r="A79" s="51">
        <f>'6 - B1'!A79</f>
        <v>30</v>
      </c>
      <c r="B79" s="49">
        <f>'6 - B1'!B79</f>
        <v>25.155725</v>
      </c>
      <c r="C79" s="49">
        <f>'6 - B1'!C79</f>
        <v>27.238185999999999</v>
      </c>
      <c r="D79" s="49">
        <f>'6 - B1'!D79</f>
        <v>23.60107</v>
      </c>
      <c r="E79" s="49">
        <f>'6 - B1'!E79</f>
        <v>26.82798</v>
      </c>
      <c r="F79" s="49">
        <f>'6 - B1'!F79</f>
        <v>18.513144</v>
      </c>
      <c r="G79" s="49">
        <f>'6 - B1'!G79</f>
        <v>24.609006999999998</v>
      </c>
      <c r="H79" s="49">
        <f>'6 - B1'!H79</f>
        <v>26.072334000000001</v>
      </c>
      <c r="I79" s="49">
        <f>'6 - B1'!I79</f>
        <v>26.857942999999999</v>
      </c>
      <c r="J79" s="49">
        <f>'6 - B1'!J79</f>
        <v>23.333447</v>
      </c>
      <c r="K79" s="49">
        <f>'6 - B1'!K79</f>
        <v>19.414428999999998</v>
      </c>
      <c r="L79" s="49">
        <f>'6 - B1'!L79</f>
        <v>27.773689000000001</v>
      </c>
      <c r="M79" s="49">
        <f>'6 - B1'!M79</f>
        <v>26.175429999999999</v>
      </c>
      <c r="N79" s="49">
        <f>'6 - B1'!N79</f>
        <v>24.668500999999999</v>
      </c>
      <c r="O79" s="49">
        <f>'6 - B1'!O79</f>
        <v>23.492920000000002</v>
      </c>
      <c r="P79" s="49">
        <f>'6 - B1'!P79</f>
        <v>23.537527000000001</v>
      </c>
    </row>
    <row r="80" spans="1:16" x14ac:dyDescent="0.35">
      <c r="A80" s="51">
        <f>'6 - B1'!A80</f>
        <v>38</v>
      </c>
      <c r="B80" s="49">
        <f>'6 - B1'!B80</f>
        <v>17.756983000000002</v>
      </c>
      <c r="C80" s="49">
        <f>'6 - B1'!C80</f>
        <v>17.465707999999999</v>
      </c>
      <c r="D80" s="49">
        <f>'6 - B1'!D80</f>
        <v>16.499863000000001</v>
      </c>
      <c r="E80" s="49">
        <f>'6 - B1'!E80</f>
        <v>17.053446000000001</v>
      </c>
      <c r="F80" s="49">
        <f>'6 - B1'!F80</f>
        <v>11.024680999999999</v>
      </c>
      <c r="G80" s="49">
        <f>'6 - B1'!G80</f>
        <v>16.734124999999999</v>
      </c>
      <c r="H80" s="49">
        <f>'6 - B1'!H80</f>
        <v>18.002327000000001</v>
      </c>
      <c r="I80" s="49">
        <f>'6 - B1'!I80</f>
        <v>18.321697</v>
      </c>
      <c r="J80" s="49">
        <f>'6 - B1'!J80</f>
        <v>14.454348</v>
      </c>
      <c r="K80" s="49">
        <f>'6 - B1'!K80</f>
        <v>12.598725</v>
      </c>
      <c r="L80" s="49">
        <f>'6 - B1'!L80</f>
        <v>19.662787999999999</v>
      </c>
      <c r="M80" s="49">
        <f>'6 - B1'!M80</f>
        <v>18.549519</v>
      </c>
      <c r="N80" s="49">
        <f>'6 - B1'!N80</f>
        <v>16.376567999999999</v>
      </c>
      <c r="O80" s="49">
        <f>'6 - B1'!O80</f>
        <v>16.486259</v>
      </c>
      <c r="P80" s="49">
        <f>'6 - B1'!P80</f>
        <v>15.072276</v>
      </c>
    </row>
    <row r="81" spans="1:16" x14ac:dyDescent="0.35">
      <c r="A81" s="51">
        <f>'6 - B1'!A81</f>
        <v>50</v>
      </c>
      <c r="B81" s="49">
        <f>'6 - B1'!B81</f>
        <v>12.577863000000001</v>
      </c>
      <c r="C81" s="49">
        <f>'6 - B1'!C81</f>
        <v>12.267580000000001</v>
      </c>
      <c r="D81" s="49">
        <f>'6 - B1'!D81</f>
        <v>10.860669</v>
      </c>
      <c r="E81" s="49">
        <f>'6 - B1'!E81</f>
        <v>11.022347999999999</v>
      </c>
      <c r="F81" s="49">
        <f>'6 - B1'!F81</f>
        <v>6.8644239999999996</v>
      </c>
      <c r="G81" s="49">
        <f>'6 - B1'!G81</f>
        <v>11.074052999999999</v>
      </c>
      <c r="H81" s="49">
        <f>'6 - B1'!H81</f>
        <v>12.001550999999999</v>
      </c>
      <c r="I81" s="49">
        <f>'6 - B1'!I81</f>
        <v>10.201854000000001</v>
      </c>
      <c r="J81" s="49">
        <f>'6 - B1'!J81</f>
        <v>8.4661179999999998</v>
      </c>
      <c r="K81" s="49">
        <f>'6 - B1'!K81</f>
        <v>6.4026310000000004</v>
      </c>
      <c r="L81" s="49">
        <f>'6 - B1'!L81</f>
        <v>14.255523</v>
      </c>
      <c r="M81" s="49">
        <f>'6 - B1'!M81</f>
        <v>12.366345000000001</v>
      </c>
      <c r="N81" s="49">
        <f>'6 - B1'!N81</f>
        <v>9.7430210000000006</v>
      </c>
      <c r="O81" s="49">
        <f>'6 - B1'!O81</f>
        <v>9.6856779999999993</v>
      </c>
      <c r="P81" s="49">
        <f>'6 - B1'!P81</f>
        <v>10.117006999999999</v>
      </c>
    </row>
    <row r="82" spans="1:16" x14ac:dyDescent="0.35">
      <c r="A82" s="51">
        <f>'6 - B1'!A82</f>
        <v>70</v>
      </c>
      <c r="B82" s="49">
        <f>'6 - B1'!B82</f>
        <v>8.1386179999999992</v>
      </c>
      <c r="C82" s="49">
        <f>'6 - B1'!C82</f>
        <v>7.901154</v>
      </c>
      <c r="D82" s="49">
        <f>'6 - B1'!D82</f>
        <v>6.265771</v>
      </c>
      <c r="E82" s="49">
        <f>'6 - B1'!E82</f>
        <v>7.4868779999999999</v>
      </c>
      <c r="F82" s="49">
        <f>'6 - B1'!F82</f>
        <v>4.3682699999999999</v>
      </c>
      <c r="G82" s="49">
        <f>'6 - B1'!G82</f>
        <v>8.8592420000000001</v>
      </c>
      <c r="H82" s="49">
        <f>'6 - B1'!H82</f>
        <v>6.6215450000000002</v>
      </c>
      <c r="I82" s="49">
        <f>'6 - B1'!I82</f>
        <v>4.9968260000000004</v>
      </c>
      <c r="J82" s="49">
        <f>'6 - B1'!J82</f>
        <v>4.3363040000000002</v>
      </c>
      <c r="K82" s="49">
        <f>'6 - B1'!K82</f>
        <v>4.7503390000000003</v>
      </c>
      <c r="L82" s="49">
        <f>'6 - B1'!L82</f>
        <v>9.8313939999999995</v>
      </c>
      <c r="M82" s="49">
        <f>'6 - B1'!M82</f>
        <v>8.6564420000000002</v>
      </c>
      <c r="N82" s="49">
        <f>'6 - B1'!N82</f>
        <v>6.4262480000000002</v>
      </c>
      <c r="O82" s="49">
        <f>'6 - B1'!O82</f>
        <v>5.9762690000000003</v>
      </c>
      <c r="P82" s="49">
        <f>'6 - B1'!P82</f>
        <v>5.9876170000000002</v>
      </c>
    </row>
    <row r="114" spans="1:32" x14ac:dyDescent="0.35">
      <c r="A114">
        <v>1</v>
      </c>
      <c r="B114">
        <v>8.3108219999999999</v>
      </c>
      <c r="C114">
        <v>37791</v>
      </c>
      <c r="D114">
        <v>33118</v>
      </c>
      <c r="E114">
        <v>28973</v>
      </c>
      <c r="F114">
        <v>25265</v>
      </c>
      <c r="G114">
        <v>21894</v>
      </c>
      <c r="H114">
        <v>18858</v>
      </c>
      <c r="I114">
        <v>16165</v>
      </c>
      <c r="J114">
        <v>13721</v>
      </c>
      <c r="K114">
        <v>11466</v>
      </c>
      <c r="L114">
        <v>9440</v>
      </c>
      <c r="M114">
        <v>7658</v>
      </c>
      <c r="N114">
        <v>6186</v>
      </c>
      <c r="O114">
        <v>4911</v>
      </c>
      <c r="P114">
        <v>3839</v>
      </c>
      <c r="Q114">
        <v>3015</v>
      </c>
      <c r="R114">
        <v>2366</v>
      </c>
      <c r="S114">
        <v>1880</v>
      </c>
      <c r="T114">
        <v>1468</v>
      </c>
      <c r="U114">
        <v>1143</v>
      </c>
      <c r="V114">
        <v>885</v>
      </c>
      <c r="W114">
        <v>688</v>
      </c>
      <c r="X114">
        <v>524</v>
      </c>
      <c r="Y114">
        <v>419</v>
      </c>
      <c r="Z114">
        <v>313</v>
      </c>
      <c r="AA114">
        <v>227</v>
      </c>
      <c r="AB114">
        <v>173</v>
      </c>
      <c r="AC114">
        <v>128</v>
      </c>
      <c r="AD114">
        <v>88</v>
      </c>
      <c r="AE114">
        <v>67</v>
      </c>
      <c r="AF114">
        <v>39</v>
      </c>
    </row>
    <row r="115" spans="1:32" x14ac:dyDescent="0.35">
      <c r="A115">
        <v>2</v>
      </c>
      <c r="B115">
        <v>8.7017830000000007</v>
      </c>
      <c r="C115">
        <v>38763</v>
      </c>
      <c r="D115">
        <v>34044</v>
      </c>
      <c r="E115">
        <v>29855</v>
      </c>
      <c r="F115">
        <v>26059</v>
      </c>
      <c r="G115">
        <v>22802</v>
      </c>
      <c r="H115">
        <v>19548</v>
      </c>
      <c r="I115">
        <v>16737</v>
      </c>
      <c r="J115">
        <v>14195</v>
      </c>
      <c r="K115">
        <v>11889</v>
      </c>
      <c r="L115">
        <v>9778</v>
      </c>
      <c r="M115">
        <v>7980</v>
      </c>
      <c r="N115">
        <v>6417</v>
      </c>
      <c r="O115">
        <v>5096</v>
      </c>
      <c r="P115">
        <v>4000</v>
      </c>
      <c r="Q115">
        <v>3164</v>
      </c>
      <c r="R115">
        <v>2467</v>
      </c>
      <c r="S115">
        <v>1917</v>
      </c>
      <c r="T115">
        <v>1500</v>
      </c>
      <c r="U115">
        <v>1185</v>
      </c>
      <c r="V115">
        <v>930</v>
      </c>
      <c r="W115">
        <v>740</v>
      </c>
      <c r="X115">
        <v>546</v>
      </c>
      <c r="Y115">
        <v>402</v>
      </c>
      <c r="Z115">
        <v>307</v>
      </c>
      <c r="AA115">
        <v>222</v>
      </c>
      <c r="AB115">
        <v>167</v>
      </c>
      <c r="AC115">
        <v>116</v>
      </c>
      <c r="AD115">
        <v>76</v>
      </c>
      <c r="AE115">
        <v>52</v>
      </c>
      <c r="AF115">
        <v>39</v>
      </c>
    </row>
    <row r="116" spans="1:32" x14ac:dyDescent="0.35">
      <c r="A116">
        <v>3</v>
      </c>
      <c r="B116">
        <v>8.6421869999999998</v>
      </c>
      <c r="C116">
        <v>38258</v>
      </c>
      <c r="D116">
        <v>33531</v>
      </c>
      <c r="E116">
        <v>29252</v>
      </c>
      <c r="F116">
        <v>25540</v>
      </c>
      <c r="G116">
        <v>22192</v>
      </c>
      <c r="H116">
        <v>19117</v>
      </c>
      <c r="I116">
        <v>16341</v>
      </c>
      <c r="J116">
        <v>13826</v>
      </c>
      <c r="K116">
        <v>11548</v>
      </c>
      <c r="L116">
        <v>9533</v>
      </c>
      <c r="M116">
        <v>7770</v>
      </c>
      <c r="N116">
        <v>6176</v>
      </c>
      <c r="O116">
        <v>4867</v>
      </c>
      <c r="P116">
        <v>3825</v>
      </c>
      <c r="Q116">
        <v>3006</v>
      </c>
      <c r="R116">
        <v>2345</v>
      </c>
      <c r="S116">
        <v>1857</v>
      </c>
      <c r="T116">
        <v>1476</v>
      </c>
      <c r="U116">
        <v>1141</v>
      </c>
      <c r="V116">
        <v>876</v>
      </c>
      <c r="W116">
        <v>698</v>
      </c>
      <c r="X116">
        <v>529</v>
      </c>
      <c r="Y116">
        <v>390</v>
      </c>
      <c r="Z116">
        <v>291</v>
      </c>
      <c r="AA116">
        <v>203</v>
      </c>
      <c r="AB116">
        <v>154</v>
      </c>
      <c r="AC116">
        <v>107</v>
      </c>
      <c r="AD116">
        <v>81</v>
      </c>
      <c r="AE116">
        <v>59</v>
      </c>
      <c r="AF116">
        <v>49</v>
      </c>
    </row>
    <row r="117" spans="1:32" x14ac:dyDescent="0.35">
      <c r="A117">
        <v>4</v>
      </c>
      <c r="B117">
        <v>8.702553</v>
      </c>
      <c r="C117">
        <v>38686</v>
      </c>
      <c r="D117">
        <v>33954</v>
      </c>
      <c r="E117">
        <v>29625</v>
      </c>
      <c r="F117">
        <v>25742</v>
      </c>
      <c r="G117">
        <v>22323</v>
      </c>
      <c r="H117">
        <v>19289</v>
      </c>
      <c r="I117">
        <v>16521</v>
      </c>
      <c r="J117">
        <v>14091</v>
      </c>
      <c r="K117">
        <v>11761</v>
      </c>
      <c r="L117">
        <v>9677</v>
      </c>
      <c r="M117">
        <v>7854</v>
      </c>
      <c r="N117">
        <v>6299</v>
      </c>
      <c r="O117">
        <v>5008</v>
      </c>
      <c r="P117">
        <v>3944</v>
      </c>
      <c r="Q117">
        <v>3081</v>
      </c>
      <c r="R117">
        <v>2364</v>
      </c>
      <c r="S117">
        <v>1837</v>
      </c>
      <c r="T117">
        <v>1429</v>
      </c>
      <c r="U117">
        <v>1109</v>
      </c>
      <c r="V117">
        <v>870</v>
      </c>
      <c r="W117">
        <v>685</v>
      </c>
      <c r="X117">
        <v>512</v>
      </c>
      <c r="Y117">
        <v>393</v>
      </c>
      <c r="Z117">
        <v>276</v>
      </c>
      <c r="AA117">
        <v>199</v>
      </c>
      <c r="AB117">
        <v>148</v>
      </c>
      <c r="AC117">
        <v>93</v>
      </c>
      <c r="AD117">
        <v>66</v>
      </c>
      <c r="AE117">
        <v>45</v>
      </c>
      <c r="AF117">
        <v>28</v>
      </c>
    </row>
    <row r="118" spans="1:32" x14ac:dyDescent="0.35">
      <c r="A118">
        <v>5</v>
      </c>
      <c r="B118">
        <v>8.7037089999999999</v>
      </c>
      <c r="C118">
        <v>38724</v>
      </c>
      <c r="D118">
        <v>33856</v>
      </c>
      <c r="E118">
        <v>29545</v>
      </c>
      <c r="F118">
        <v>25720</v>
      </c>
      <c r="G118">
        <v>22284</v>
      </c>
      <c r="H118">
        <v>19237</v>
      </c>
      <c r="I118">
        <v>16544</v>
      </c>
      <c r="J118">
        <v>14086</v>
      </c>
      <c r="K118">
        <v>11866</v>
      </c>
      <c r="L118">
        <v>9783</v>
      </c>
      <c r="M118">
        <v>7950</v>
      </c>
      <c r="N118">
        <v>6369</v>
      </c>
      <c r="O118">
        <v>5075</v>
      </c>
      <c r="P118">
        <v>4010</v>
      </c>
      <c r="Q118">
        <v>3164</v>
      </c>
      <c r="R118">
        <v>2470</v>
      </c>
      <c r="S118">
        <v>1898</v>
      </c>
      <c r="T118">
        <v>1483</v>
      </c>
      <c r="U118">
        <v>1130</v>
      </c>
      <c r="V118">
        <v>878</v>
      </c>
      <c r="W118">
        <v>666</v>
      </c>
      <c r="X118">
        <v>510</v>
      </c>
      <c r="Y118">
        <v>378</v>
      </c>
      <c r="Z118">
        <v>276</v>
      </c>
      <c r="AA118">
        <v>207</v>
      </c>
      <c r="AB118">
        <v>152</v>
      </c>
      <c r="AC118">
        <v>108</v>
      </c>
      <c r="AD118">
        <v>70</v>
      </c>
      <c r="AE118">
        <v>46</v>
      </c>
      <c r="AF118">
        <v>33</v>
      </c>
    </row>
    <row r="119" spans="1:32" x14ac:dyDescent="0.35">
      <c r="A119">
        <v>1</v>
      </c>
      <c r="B119">
        <v>8.2913929999999993</v>
      </c>
      <c r="C119">
        <v>40656</v>
      </c>
      <c r="D119">
        <v>35387</v>
      </c>
      <c r="E119">
        <v>30744</v>
      </c>
      <c r="F119">
        <v>26608</v>
      </c>
      <c r="G119">
        <v>23018</v>
      </c>
      <c r="H119">
        <v>19687</v>
      </c>
      <c r="I119">
        <v>16773</v>
      </c>
      <c r="J119">
        <v>14091</v>
      </c>
      <c r="K119">
        <v>11757</v>
      </c>
      <c r="L119">
        <v>9609</v>
      </c>
      <c r="M119">
        <v>7740</v>
      </c>
      <c r="N119">
        <v>6118</v>
      </c>
      <c r="O119">
        <v>4729</v>
      </c>
      <c r="P119">
        <v>3634</v>
      </c>
      <c r="Q119">
        <v>2786</v>
      </c>
      <c r="R119">
        <v>2161</v>
      </c>
      <c r="S119">
        <v>1688</v>
      </c>
      <c r="T119">
        <v>1286</v>
      </c>
      <c r="U119">
        <v>1030</v>
      </c>
      <c r="V119">
        <v>803</v>
      </c>
      <c r="W119">
        <v>597</v>
      </c>
      <c r="X119">
        <v>461</v>
      </c>
      <c r="Y119">
        <v>358</v>
      </c>
      <c r="Z119">
        <v>268</v>
      </c>
      <c r="AA119">
        <v>209</v>
      </c>
      <c r="AB119">
        <v>153</v>
      </c>
      <c r="AC119">
        <v>99</v>
      </c>
      <c r="AD119">
        <v>73</v>
      </c>
      <c r="AE119">
        <v>53</v>
      </c>
      <c r="AF119">
        <v>36</v>
      </c>
    </row>
    <row r="120" spans="1:32" x14ac:dyDescent="0.35">
      <c r="A120">
        <v>2</v>
      </c>
      <c r="B120">
        <v>8.6831899999999997</v>
      </c>
      <c r="C120">
        <v>41394</v>
      </c>
      <c r="D120">
        <v>35966</v>
      </c>
      <c r="E120">
        <v>31215</v>
      </c>
      <c r="F120">
        <v>27155</v>
      </c>
      <c r="G120">
        <v>23517</v>
      </c>
      <c r="H120">
        <v>20199</v>
      </c>
      <c r="I120">
        <v>17259</v>
      </c>
      <c r="J120">
        <v>14601</v>
      </c>
      <c r="K120">
        <v>12117</v>
      </c>
      <c r="L120">
        <v>9948</v>
      </c>
      <c r="M120">
        <v>7975</v>
      </c>
      <c r="N120">
        <v>6363</v>
      </c>
      <c r="O120">
        <v>4943</v>
      </c>
      <c r="P120">
        <v>3877</v>
      </c>
      <c r="Q120">
        <v>3028</v>
      </c>
      <c r="R120">
        <v>2336</v>
      </c>
      <c r="S120">
        <v>1766</v>
      </c>
      <c r="T120">
        <v>1401</v>
      </c>
      <c r="U120">
        <v>1115</v>
      </c>
      <c r="V120">
        <v>872</v>
      </c>
      <c r="W120">
        <v>658</v>
      </c>
      <c r="X120">
        <v>498</v>
      </c>
      <c r="Y120">
        <v>392</v>
      </c>
      <c r="Z120">
        <v>288</v>
      </c>
      <c r="AA120">
        <v>225</v>
      </c>
      <c r="AB120">
        <v>177</v>
      </c>
      <c r="AC120">
        <v>126</v>
      </c>
      <c r="AD120">
        <v>84</v>
      </c>
      <c r="AE120">
        <v>64</v>
      </c>
      <c r="AF120">
        <v>51</v>
      </c>
    </row>
    <row r="121" spans="1:32" x14ac:dyDescent="0.35">
      <c r="A121">
        <v>3</v>
      </c>
      <c r="B121">
        <v>8.6780039999999996</v>
      </c>
      <c r="C121">
        <v>41924</v>
      </c>
      <c r="D121">
        <v>36607</v>
      </c>
      <c r="E121">
        <v>31884</v>
      </c>
      <c r="F121">
        <v>27690</v>
      </c>
      <c r="G121">
        <v>24020</v>
      </c>
      <c r="H121">
        <v>20560</v>
      </c>
      <c r="I121">
        <v>17541</v>
      </c>
      <c r="J121">
        <v>14818</v>
      </c>
      <c r="K121">
        <v>12334</v>
      </c>
      <c r="L121">
        <v>10105</v>
      </c>
      <c r="M121">
        <v>8062</v>
      </c>
      <c r="N121">
        <v>6403</v>
      </c>
      <c r="O121">
        <v>5027</v>
      </c>
      <c r="P121">
        <v>3878</v>
      </c>
      <c r="Q121">
        <v>2958</v>
      </c>
      <c r="R121">
        <v>2280</v>
      </c>
      <c r="S121">
        <v>1777</v>
      </c>
      <c r="T121">
        <v>1422</v>
      </c>
      <c r="U121">
        <v>1111</v>
      </c>
      <c r="V121">
        <v>839</v>
      </c>
      <c r="W121">
        <v>647</v>
      </c>
      <c r="X121">
        <v>491</v>
      </c>
      <c r="Y121">
        <v>368</v>
      </c>
      <c r="Z121">
        <v>290</v>
      </c>
      <c r="AA121">
        <v>217</v>
      </c>
      <c r="AB121">
        <v>153</v>
      </c>
      <c r="AC121">
        <v>108</v>
      </c>
      <c r="AD121">
        <v>71</v>
      </c>
      <c r="AE121">
        <v>46</v>
      </c>
      <c r="AF121">
        <v>29</v>
      </c>
    </row>
    <row r="122" spans="1:32" x14ac:dyDescent="0.35">
      <c r="A122">
        <v>4</v>
      </c>
      <c r="B122">
        <v>8.6292050000000007</v>
      </c>
      <c r="C122">
        <v>41300</v>
      </c>
      <c r="D122">
        <v>35962</v>
      </c>
      <c r="E122">
        <v>31074</v>
      </c>
      <c r="F122">
        <v>26934</v>
      </c>
      <c r="G122">
        <v>23276</v>
      </c>
      <c r="H122">
        <v>19911</v>
      </c>
      <c r="I122">
        <v>16847</v>
      </c>
      <c r="J122">
        <v>14119</v>
      </c>
      <c r="K122">
        <v>11698</v>
      </c>
      <c r="L122">
        <v>9534</v>
      </c>
      <c r="M122">
        <v>7689</v>
      </c>
      <c r="N122">
        <v>6142</v>
      </c>
      <c r="O122">
        <v>4692</v>
      </c>
      <c r="P122">
        <v>3623</v>
      </c>
      <c r="Q122">
        <v>2783</v>
      </c>
      <c r="R122">
        <v>2144</v>
      </c>
      <c r="S122">
        <v>1652</v>
      </c>
      <c r="T122">
        <v>1283</v>
      </c>
      <c r="U122">
        <v>1017</v>
      </c>
      <c r="V122">
        <v>798</v>
      </c>
      <c r="W122">
        <v>624</v>
      </c>
      <c r="X122">
        <v>460</v>
      </c>
      <c r="Y122">
        <v>334</v>
      </c>
      <c r="Z122">
        <v>245</v>
      </c>
      <c r="AA122">
        <v>179</v>
      </c>
      <c r="AB122">
        <v>130</v>
      </c>
      <c r="AC122">
        <v>105</v>
      </c>
      <c r="AD122">
        <v>79</v>
      </c>
      <c r="AE122">
        <v>52</v>
      </c>
      <c r="AF122">
        <v>36</v>
      </c>
    </row>
    <row r="123" spans="1:32" x14ac:dyDescent="0.35">
      <c r="A123">
        <v>5</v>
      </c>
      <c r="B123">
        <v>8.680911</v>
      </c>
      <c r="C123">
        <v>42116</v>
      </c>
      <c r="D123">
        <v>36815</v>
      </c>
      <c r="E123">
        <v>32097</v>
      </c>
      <c r="F123">
        <v>27837</v>
      </c>
      <c r="G123">
        <v>24035</v>
      </c>
      <c r="H123">
        <v>20600</v>
      </c>
      <c r="I123">
        <v>17503</v>
      </c>
      <c r="J123">
        <v>14804</v>
      </c>
      <c r="K123">
        <v>12201</v>
      </c>
      <c r="L123">
        <v>9913</v>
      </c>
      <c r="M123">
        <v>7942</v>
      </c>
      <c r="N123">
        <v>6295</v>
      </c>
      <c r="O123">
        <v>4949</v>
      </c>
      <c r="P123">
        <v>3809</v>
      </c>
      <c r="Q123">
        <v>2945</v>
      </c>
      <c r="R123">
        <v>2224</v>
      </c>
      <c r="S123">
        <v>1723</v>
      </c>
      <c r="T123">
        <v>1348</v>
      </c>
      <c r="U123">
        <v>1024</v>
      </c>
      <c r="V123">
        <v>814</v>
      </c>
      <c r="W123">
        <v>622</v>
      </c>
      <c r="X123">
        <v>468</v>
      </c>
      <c r="Y123">
        <v>352</v>
      </c>
      <c r="Z123">
        <v>272</v>
      </c>
      <c r="AA123">
        <v>207</v>
      </c>
      <c r="AB123">
        <v>159</v>
      </c>
      <c r="AC123">
        <v>109</v>
      </c>
      <c r="AD123">
        <v>79</v>
      </c>
      <c r="AE123">
        <v>54</v>
      </c>
      <c r="AF123">
        <v>32</v>
      </c>
    </row>
    <row r="124" spans="1:32" x14ac:dyDescent="0.35">
      <c r="A124">
        <v>1</v>
      </c>
      <c r="B124">
        <v>8.2857730000000007</v>
      </c>
      <c r="C124">
        <v>40465</v>
      </c>
      <c r="D124">
        <v>35389</v>
      </c>
      <c r="E124">
        <v>30798</v>
      </c>
      <c r="F124">
        <v>26814</v>
      </c>
      <c r="G124">
        <v>23218</v>
      </c>
      <c r="H124">
        <v>19960</v>
      </c>
      <c r="I124">
        <v>16979</v>
      </c>
      <c r="J124">
        <v>14347</v>
      </c>
      <c r="K124">
        <v>11955</v>
      </c>
      <c r="L124">
        <v>9837</v>
      </c>
      <c r="M124">
        <v>8007</v>
      </c>
      <c r="N124">
        <v>6427</v>
      </c>
      <c r="O124">
        <v>5056</v>
      </c>
      <c r="P124">
        <v>3923</v>
      </c>
      <c r="Q124">
        <v>3031</v>
      </c>
      <c r="R124">
        <v>2353</v>
      </c>
      <c r="S124">
        <v>1852</v>
      </c>
      <c r="T124">
        <v>1446</v>
      </c>
      <c r="U124">
        <v>1143</v>
      </c>
      <c r="V124">
        <v>889</v>
      </c>
      <c r="W124">
        <v>687</v>
      </c>
      <c r="X124">
        <v>543</v>
      </c>
      <c r="Y124">
        <v>417</v>
      </c>
      <c r="Z124">
        <v>326</v>
      </c>
      <c r="AA124">
        <v>238</v>
      </c>
      <c r="AB124">
        <v>182</v>
      </c>
      <c r="AC124">
        <v>118</v>
      </c>
      <c r="AD124">
        <v>81</v>
      </c>
      <c r="AE124">
        <v>62</v>
      </c>
      <c r="AF124">
        <v>42</v>
      </c>
    </row>
    <row r="125" spans="1:32" x14ac:dyDescent="0.35">
      <c r="A125">
        <v>2</v>
      </c>
      <c r="B125">
        <v>8.6803840000000001</v>
      </c>
      <c r="C125">
        <v>41004</v>
      </c>
      <c r="D125">
        <v>35820</v>
      </c>
      <c r="E125">
        <v>31278</v>
      </c>
      <c r="F125">
        <v>27279</v>
      </c>
      <c r="G125">
        <v>23654</v>
      </c>
      <c r="H125">
        <v>20386</v>
      </c>
      <c r="I125">
        <v>17414</v>
      </c>
      <c r="J125">
        <v>14817</v>
      </c>
      <c r="K125">
        <v>12312</v>
      </c>
      <c r="L125">
        <v>10119</v>
      </c>
      <c r="M125">
        <v>8211</v>
      </c>
      <c r="N125">
        <v>6547</v>
      </c>
      <c r="O125">
        <v>5104</v>
      </c>
      <c r="P125">
        <v>4004</v>
      </c>
      <c r="Q125">
        <v>3134</v>
      </c>
      <c r="R125">
        <v>2446</v>
      </c>
      <c r="S125">
        <v>1918</v>
      </c>
      <c r="T125">
        <v>1487</v>
      </c>
      <c r="U125">
        <v>1160</v>
      </c>
      <c r="V125">
        <v>908</v>
      </c>
      <c r="W125">
        <v>707</v>
      </c>
      <c r="X125">
        <v>540</v>
      </c>
      <c r="Y125">
        <v>395</v>
      </c>
      <c r="Z125">
        <v>303</v>
      </c>
      <c r="AA125">
        <v>223</v>
      </c>
      <c r="AB125">
        <v>174</v>
      </c>
      <c r="AC125">
        <v>125</v>
      </c>
      <c r="AD125">
        <v>96</v>
      </c>
      <c r="AE125">
        <v>65</v>
      </c>
      <c r="AF125">
        <v>47</v>
      </c>
    </row>
    <row r="126" spans="1:32" x14ac:dyDescent="0.35">
      <c r="A126">
        <v>3</v>
      </c>
      <c r="B126">
        <v>8.6232430000000004</v>
      </c>
      <c r="C126">
        <v>40640</v>
      </c>
      <c r="D126">
        <v>35495</v>
      </c>
      <c r="E126">
        <v>30899</v>
      </c>
      <c r="F126">
        <v>26901</v>
      </c>
      <c r="G126">
        <v>23380</v>
      </c>
      <c r="H126">
        <v>20036</v>
      </c>
      <c r="I126">
        <v>17054</v>
      </c>
      <c r="J126">
        <v>14445</v>
      </c>
      <c r="K126">
        <v>12026</v>
      </c>
      <c r="L126">
        <v>9821</v>
      </c>
      <c r="M126">
        <v>8000</v>
      </c>
      <c r="N126">
        <v>6357</v>
      </c>
      <c r="O126">
        <v>5075</v>
      </c>
      <c r="P126">
        <v>3933</v>
      </c>
      <c r="Q126">
        <v>3051</v>
      </c>
      <c r="R126">
        <v>2385</v>
      </c>
      <c r="S126">
        <v>1884</v>
      </c>
      <c r="T126">
        <v>1443</v>
      </c>
      <c r="U126">
        <v>1144</v>
      </c>
      <c r="V126">
        <v>881</v>
      </c>
      <c r="W126">
        <v>688</v>
      </c>
      <c r="X126">
        <v>535</v>
      </c>
      <c r="Y126">
        <v>416</v>
      </c>
      <c r="Z126">
        <v>318</v>
      </c>
      <c r="AA126">
        <v>241</v>
      </c>
      <c r="AB126">
        <v>184</v>
      </c>
      <c r="AC126">
        <v>129</v>
      </c>
      <c r="AD126">
        <v>100</v>
      </c>
      <c r="AE126">
        <v>74</v>
      </c>
      <c r="AF126">
        <v>55</v>
      </c>
    </row>
    <row r="127" spans="1:32" x14ac:dyDescent="0.35">
      <c r="A127">
        <v>4</v>
      </c>
      <c r="B127">
        <v>8.682366</v>
      </c>
      <c r="C127">
        <v>41419</v>
      </c>
      <c r="D127">
        <v>36219</v>
      </c>
      <c r="E127">
        <v>31609</v>
      </c>
      <c r="F127">
        <v>27487</v>
      </c>
      <c r="G127">
        <v>23730</v>
      </c>
      <c r="H127">
        <v>20330</v>
      </c>
      <c r="I127">
        <v>17291</v>
      </c>
      <c r="J127">
        <v>14587</v>
      </c>
      <c r="K127">
        <v>12219</v>
      </c>
      <c r="L127">
        <v>10051</v>
      </c>
      <c r="M127">
        <v>8220</v>
      </c>
      <c r="N127">
        <v>6531</v>
      </c>
      <c r="O127">
        <v>5130</v>
      </c>
      <c r="P127">
        <v>3996</v>
      </c>
      <c r="Q127">
        <v>3133</v>
      </c>
      <c r="R127">
        <v>2448</v>
      </c>
      <c r="S127">
        <v>1898</v>
      </c>
      <c r="T127">
        <v>1484</v>
      </c>
      <c r="U127">
        <v>1128</v>
      </c>
      <c r="V127">
        <v>875</v>
      </c>
      <c r="W127">
        <v>681</v>
      </c>
      <c r="X127">
        <v>491</v>
      </c>
      <c r="Y127">
        <v>386</v>
      </c>
      <c r="Z127">
        <v>278</v>
      </c>
      <c r="AA127">
        <v>204</v>
      </c>
      <c r="AB127">
        <v>147</v>
      </c>
      <c r="AC127">
        <v>111</v>
      </c>
      <c r="AD127">
        <v>86</v>
      </c>
      <c r="AE127">
        <v>54</v>
      </c>
      <c r="AF127">
        <v>38</v>
      </c>
    </row>
    <row r="128" spans="1:32" x14ac:dyDescent="0.35">
      <c r="A128">
        <v>5</v>
      </c>
      <c r="B128">
        <v>8.6785650000000008</v>
      </c>
      <c r="C128">
        <v>42303</v>
      </c>
      <c r="D128">
        <v>36885</v>
      </c>
      <c r="E128">
        <v>32062</v>
      </c>
      <c r="F128">
        <v>27854</v>
      </c>
      <c r="G128">
        <v>24227</v>
      </c>
      <c r="H128">
        <v>20796</v>
      </c>
      <c r="I128">
        <v>17725</v>
      </c>
      <c r="J128">
        <v>14946</v>
      </c>
      <c r="K128">
        <v>12464</v>
      </c>
      <c r="L128">
        <v>10136</v>
      </c>
      <c r="M128">
        <v>8254</v>
      </c>
      <c r="N128">
        <v>6566</v>
      </c>
      <c r="O128">
        <v>5187</v>
      </c>
      <c r="P128">
        <v>4010</v>
      </c>
      <c r="Q128">
        <v>3100</v>
      </c>
      <c r="R128">
        <v>2398</v>
      </c>
      <c r="S128">
        <v>1866</v>
      </c>
      <c r="T128">
        <v>1461</v>
      </c>
      <c r="U128">
        <v>1145</v>
      </c>
      <c r="V128">
        <v>887</v>
      </c>
      <c r="W128">
        <v>694</v>
      </c>
      <c r="X128">
        <v>529</v>
      </c>
      <c r="Y128">
        <v>393</v>
      </c>
      <c r="Z128">
        <v>295</v>
      </c>
      <c r="AA128">
        <v>215</v>
      </c>
      <c r="AB128">
        <v>155</v>
      </c>
      <c r="AC128">
        <v>119</v>
      </c>
      <c r="AD128">
        <v>83</v>
      </c>
      <c r="AE128">
        <v>54</v>
      </c>
      <c r="AF128">
        <v>31</v>
      </c>
    </row>
  </sheetData>
  <conditionalFormatting sqref="H9:H40">
    <cfRule type="cellIs" dxfId="3" priority="1" operator="greaterThan">
      <formula>1000</formula>
    </cfRule>
  </conditionalFormatting>
  <conditionalFormatting sqref="K9:K40">
    <cfRule type="cellIs" dxfId="2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4574-598C-44B0-9FF3-BF780664957E}">
  <sheetPr codeName="Sheet7"/>
  <dimension ref="A1:AW128"/>
  <sheetViews>
    <sheetView topLeftCell="B1" zoomScale="70" zoomScaleNormal="70" workbookViewId="0">
      <selection activeCell="B38" sqref="B38"/>
    </sheetView>
  </sheetViews>
  <sheetFormatPr defaultColWidth="11.53125" defaultRowHeight="12.75" x14ac:dyDescent="0.35"/>
  <sheetData>
    <row r="1" spans="1:49" x14ac:dyDescent="0.35">
      <c r="A1" t="str">
        <f>'6 - B1'!$A$1</f>
        <v>Data Preprocessing and Quality Assessment per ISO 11171 Clause 6.6</v>
      </c>
    </row>
    <row r="2" spans="1:49" ht="40.15" x14ac:dyDescent="1.05">
      <c r="A2" s="28" t="s">
        <v>107</v>
      </c>
      <c r="O2" s="28"/>
    </row>
    <row r="3" spans="1:49" ht="13.9" x14ac:dyDescent="0.4">
      <c r="A3" t="str">
        <f>'6 - B1'!$A$3</f>
        <v>Serial #</v>
      </c>
      <c r="B3" s="136" t="str">
        <f>'6 - B1'!$B$3</f>
        <v>11171-00009</v>
      </c>
    </row>
    <row r="4" spans="1:49" ht="17.100000000000001" customHeight="1" x14ac:dyDescent="1.05">
      <c r="A4" s="27" t="str">
        <f>'6 - B1'!$A$4</f>
        <v>Date</v>
      </c>
      <c r="B4" s="136">
        <f>'6 - B1'!$B$4</f>
        <v>46181</v>
      </c>
      <c r="D4" t="s">
        <v>180</v>
      </c>
      <c r="E4" s="30">
        <f>'Clause 6'!$D$18</f>
        <v>1</v>
      </c>
      <c r="O4" s="28"/>
    </row>
    <row r="5" spans="1:49" ht="13.9" x14ac:dyDescent="0.4">
      <c r="A5" s="27" t="str">
        <f>'6 - B1'!$A$5</f>
        <v>RM</v>
      </c>
      <c r="B5" s="136" t="str">
        <f>'6 - B1'!$B$5</f>
        <v>Partistan 37D</v>
      </c>
    </row>
    <row r="6" spans="1:49" ht="13.15" x14ac:dyDescent="0.4">
      <c r="B6" s="27"/>
      <c r="C6" s="27"/>
      <c r="D6" s="27"/>
      <c r="E6" s="27"/>
      <c r="F6" s="27"/>
    </row>
    <row r="7" spans="1:49" ht="14.65" x14ac:dyDescent="0.5">
      <c r="B7" s="14" t="s">
        <v>50</v>
      </c>
      <c r="C7" s="14" t="s">
        <v>51</v>
      </c>
      <c r="D7" s="14" t="s">
        <v>52</v>
      </c>
      <c r="E7" s="14" t="s">
        <v>53</v>
      </c>
      <c r="F7" s="14" t="s">
        <v>54</v>
      </c>
      <c r="G7" s="14" t="s">
        <v>55</v>
      </c>
      <c r="H7" s="14" t="s">
        <v>56</v>
      </c>
      <c r="I7" s="14" t="s">
        <v>57</v>
      </c>
      <c r="J7" s="14" t="s">
        <v>58</v>
      </c>
      <c r="K7" s="14" t="s">
        <v>59</v>
      </c>
      <c r="L7" s="14" t="s">
        <v>60</v>
      </c>
      <c r="M7" s="14" t="s">
        <v>61</v>
      </c>
      <c r="O7" s="80" t="s">
        <v>50</v>
      </c>
      <c r="P7" s="80" t="s">
        <v>51</v>
      </c>
      <c r="Q7" s="80" t="s">
        <v>52</v>
      </c>
      <c r="R7" s="80" t="s">
        <v>53</v>
      </c>
      <c r="S7" s="80" t="s">
        <v>54</v>
      </c>
    </row>
    <row r="8" spans="1:49" ht="13.15" x14ac:dyDescent="0.4">
      <c r="A8" s="11" t="s">
        <v>62</v>
      </c>
      <c r="B8" s="30">
        <f>L52/$E$4</f>
        <v>4.0685989999999999</v>
      </c>
      <c r="C8" s="30">
        <f t="shared" ref="C8:F23" si="0">M52/$E$4</f>
        <v>4.8518780000000001</v>
      </c>
      <c r="D8" s="30">
        <f t="shared" si="0"/>
        <v>4.8239660000000004</v>
      </c>
      <c r="E8" s="30">
        <f t="shared" si="0"/>
        <v>4.8525260000000001</v>
      </c>
      <c r="F8" s="30">
        <f t="shared" si="0"/>
        <v>4.8433289999999998</v>
      </c>
      <c r="G8" s="31">
        <f>AVERAGE(B$8:F$8)*5</f>
        <v>23.440298000000006</v>
      </c>
      <c r="I8" s="32"/>
      <c r="K8" s="32"/>
      <c r="O8" s="81"/>
      <c r="P8" s="81"/>
      <c r="Q8" s="81"/>
      <c r="R8" s="81"/>
      <c r="S8" s="81"/>
    </row>
    <row r="9" spans="1:49" x14ac:dyDescent="0.35">
      <c r="A9" s="11" t="s">
        <v>63</v>
      </c>
      <c r="B9" s="30">
        <f t="shared" ref="B9:F9" si="1">L53/$E$4</f>
        <v>16408.597656000002</v>
      </c>
      <c r="C9" s="30">
        <f t="shared" si="0"/>
        <v>16392.826172000001</v>
      </c>
      <c r="D9" s="30">
        <f t="shared" si="0"/>
        <v>16398.333984000001</v>
      </c>
      <c r="E9" s="30">
        <f t="shared" si="0"/>
        <v>16291.309569999999</v>
      </c>
      <c r="F9" s="30">
        <f t="shared" si="0"/>
        <v>16628.849609000001</v>
      </c>
      <c r="G9" s="22">
        <f t="shared" ref="G9:G38" si="2">AVERAGE(B9:F9)</f>
        <v>16423.983398199998</v>
      </c>
      <c r="H9" s="34">
        <f t="shared" ref="H9:H38" si="3">G9*G$8</f>
        <v>384983.06520086073</v>
      </c>
      <c r="I9" s="32">
        <f t="shared" ref="I9:I38" si="4">STDEVP(B9:F9)/G9</f>
        <v>6.749236789021582E-3</v>
      </c>
      <c r="J9" s="32">
        <f t="shared" ref="J9:J38" si="5">IF(H9&gt;$A$43, $C$43, IF(H9&gt;$A$44, $C$44, IF(H9&gt;$A$45,$C$45,IF(H9&gt;$A$46,$C$46, IF(H9&gt;$A$47,$C$47,IF(H9&gt;$A$48,$C$48,$C$49))))))/100</f>
        <v>0.11</v>
      </c>
      <c r="K9" s="32">
        <f t="shared" ref="K9:K38" si="6">(MAX(B9:F9)-MIN(B9:F9))/G9</f>
        <v>2.0551654907115552E-2</v>
      </c>
      <c r="L9" s="16">
        <f>G9/'Clause 6'!$I$11</f>
        <v>16423.983398199998</v>
      </c>
      <c r="M9">
        <f t="shared" ref="M9:M38" si="7">COUNTA(B9:F9)</f>
        <v>5</v>
      </c>
      <c r="O9" s="82">
        <f>IF(ISNUMBER(B9), (B9/$G9-1), 0)</f>
        <v>-9.367850555476176E-4</v>
      </c>
      <c r="P9" s="82">
        <f t="shared" ref="P9:S38" si="8">IF(ISNUMBER(C9), (C9/$G9-1), 0)</f>
        <v>-1.8970566058543747E-3</v>
      </c>
      <c r="Q9" s="82">
        <f t="shared" si="8"/>
        <v>-1.5617048299505498E-3</v>
      </c>
      <c r="R9" s="82">
        <f t="shared" si="8"/>
        <v>-8.0780542078811024E-3</v>
      </c>
      <c r="S9" s="82">
        <f t="shared" si="8"/>
        <v>1.2473600699234533E-2</v>
      </c>
    </row>
    <row r="10" spans="1:49" x14ac:dyDescent="0.35">
      <c r="A10" s="11" t="s">
        <v>64</v>
      </c>
      <c r="B10" s="30">
        <f t="shared" ref="B10:F38" si="9">L54/$E$4</f>
        <v>14150.326171999999</v>
      </c>
      <c r="C10" s="30">
        <f t="shared" si="0"/>
        <v>14173.068359000001</v>
      </c>
      <c r="D10" s="30">
        <f t="shared" si="0"/>
        <v>14169.669921999999</v>
      </c>
      <c r="E10" s="30">
        <f t="shared" si="0"/>
        <v>14120.893555000001</v>
      </c>
      <c r="F10" s="30">
        <f t="shared" si="0"/>
        <v>14335.592773</v>
      </c>
      <c r="G10" s="22">
        <f t="shared" si="2"/>
        <v>14189.9101562</v>
      </c>
      <c r="H10" s="34">
        <f t="shared" si="3"/>
        <v>332615.72265455464</v>
      </c>
      <c r="I10" s="32">
        <f t="shared" si="4"/>
        <v>5.296889468773212E-3</v>
      </c>
      <c r="J10" s="32">
        <f t="shared" si="5"/>
        <v>0.11</v>
      </c>
      <c r="K10" s="32">
        <f t="shared" si="6"/>
        <v>1.5130414191254847E-2</v>
      </c>
      <c r="L10" s="16">
        <f>G10/'Clause 6'!$I$11</f>
        <v>14189.9101562</v>
      </c>
      <c r="M10">
        <f t="shared" si="7"/>
        <v>5</v>
      </c>
      <c r="O10" s="82">
        <f t="shared" ref="O10:O38" si="10">IF(ISNUMBER(B10), (B10/$G10-1), 0)</f>
        <v>-2.7895866685742066E-3</v>
      </c>
      <c r="P10" s="82">
        <f t="shared" si="8"/>
        <v>-1.1868854005844254E-3</v>
      </c>
      <c r="Q10" s="82">
        <f t="shared" si="8"/>
        <v>-1.4263821248478026E-3</v>
      </c>
      <c r="R10" s="82">
        <f t="shared" si="8"/>
        <v>-4.8637799986240848E-3</v>
      </c>
      <c r="S10" s="82">
        <f t="shared" si="8"/>
        <v>1.0266634192630741E-2</v>
      </c>
    </row>
    <row r="11" spans="1:49" x14ac:dyDescent="0.35">
      <c r="A11" s="11" t="s">
        <v>65</v>
      </c>
      <c r="B11" s="30">
        <f t="shared" si="9"/>
        <v>12326.111328000001</v>
      </c>
      <c r="C11" s="30">
        <f t="shared" si="0"/>
        <v>12313.169921999999</v>
      </c>
      <c r="D11" s="30">
        <f t="shared" si="0"/>
        <v>12321.190430000001</v>
      </c>
      <c r="E11" s="30">
        <f t="shared" si="0"/>
        <v>12285.972656</v>
      </c>
      <c r="F11" s="30">
        <f t="shared" si="0"/>
        <v>12467.043944999999</v>
      </c>
      <c r="G11" s="22">
        <f t="shared" si="2"/>
        <v>12342.6976562</v>
      </c>
      <c r="H11" s="34">
        <f t="shared" si="3"/>
        <v>289316.51118522964</v>
      </c>
      <c r="I11" s="32">
        <f t="shared" si="4"/>
        <v>5.1610517975742938E-3</v>
      </c>
      <c r="J11" s="32">
        <f t="shared" si="5"/>
        <v>0.11</v>
      </c>
      <c r="K11" s="32">
        <f t="shared" si="6"/>
        <v>1.4670317141653677E-2</v>
      </c>
      <c r="L11" s="16">
        <f>G11/'Clause 6'!$I$11</f>
        <v>12342.6976562</v>
      </c>
      <c r="M11">
        <f t="shared" si="7"/>
        <v>5</v>
      </c>
      <c r="O11" s="82">
        <f t="shared" si="10"/>
        <v>-1.3438171023874013E-3</v>
      </c>
      <c r="P11" s="82">
        <f t="shared" si="8"/>
        <v>-2.3923241922051419E-3</v>
      </c>
      <c r="Q11" s="82">
        <f t="shared" si="8"/>
        <v>-1.7425061197375857E-3</v>
      </c>
      <c r="R11" s="82">
        <f t="shared" si="8"/>
        <v>-4.5958348636617741E-3</v>
      </c>
      <c r="S11" s="82">
        <f t="shared" si="8"/>
        <v>1.0074482277991903E-2</v>
      </c>
    </row>
    <row r="12" spans="1:49" x14ac:dyDescent="0.35">
      <c r="A12" s="11" t="s">
        <v>66</v>
      </c>
      <c r="B12" s="30">
        <f t="shared" si="9"/>
        <v>10568.257812</v>
      </c>
      <c r="C12" s="30">
        <f t="shared" si="0"/>
        <v>10559.828125</v>
      </c>
      <c r="D12" s="30">
        <f t="shared" si="0"/>
        <v>10560.813477</v>
      </c>
      <c r="E12" s="30">
        <f t="shared" si="0"/>
        <v>10545.848633</v>
      </c>
      <c r="F12" s="30">
        <f t="shared" si="0"/>
        <v>10643.297852</v>
      </c>
      <c r="G12" s="22">
        <f t="shared" si="2"/>
        <v>10575.609179800002</v>
      </c>
      <c r="H12" s="34">
        <f t="shared" si="3"/>
        <v>247895.43070604769</v>
      </c>
      <c r="I12" s="32">
        <f t="shared" si="4"/>
        <v>3.2726747439084376E-3</v>
      </c>
      <c r="J12" s="32">
        <f t="shared" si="5"/>
        <v>0.11</v>
      </c>
      <c r="K12" s="32">
        <f t="shared" si="6"/>
        <v>9.2145253614452291E-3</v>
      </c>
      <c r="L12" s="16">
        <f>G12/'Clause 6'!$I$11</f>
        <v>10575.609179800002</v>
      </c>
      <c r="M12">
        <f t="shared" si="7"/>
        <v>5</v>
      </c>
      <c r="O12" s="82">
        <f t="shared" si="10"/>
        <v>-6.9512476066568851E-4</v>
      </c>
      <c r="P12" s="82">
        <f t="shared" si="8"/>
        <v>-1.4922123663707598E-3</v>
      </c>
      <c r="Q12" s="82">
        <f t="shared" si="8"/>
        <v>-1.3990402395223089E-3</v>
      </c>
      <c r="R12" s="82">
        <f t="shared" si="8"/>
        <v>-2.8140739974437112E-3</v>
      </c>
      <c r="S12" s="82">
        <f t="shared" si="8"/>
        <v>6.4004513640014693E-3</v>
      </c>
    </row>
    <row r="13" spans="1:49" x14ac:dyDescent="0.35">
      <c r="A13" s="11" t="s">
        <v>67</v>
      </c>
      <c r="B13" s="30">
        <f t="shared" si="9"/>
        <v>9002.3623050000006</v>
      </c>
      <c r="C13" s="30">
        <f t="shared" si="0"/>
        <v>8993.8369139999995</v>
      </c>
      <c r="D13" s="30">
        <f t="shared" si="0"/>
        <v>8994.6748050000006</v>
      </c>
      <c r="E13" s="30">
        <f t="shared" si="0"/>
        <v>9017.5722659999992</v>
      </c>
      <c r="F13" s="30">
        <f t="shared" si="0"/>
        <v>9093.3310550000006</v>
      </c>
      <c r="G13" s="22">
        <f t="shared" si="2"/>
        <v>9020.3554690000019</v>
      </c>
      <c r="H13" s="34">
        <f t="shared" si="3"/>
        <v>211439.82025928985</v>
      </c>
      <c r="I13" s="32">
        <f t="shared" si="4"/>
        <v>4.1538383147322481E-3</v>
      </c>
      <c r="J13" s="32">
        <f t="shared" si="5"/>
        <v>0.11</v>
      </c>
      <c r="K13" s="32">
        <f t="shared" si="6"/>
        <v>1.1029957892671714E-2</v>
      </c>
      <c r="L13" s="16">
        <f>G13/'Clause 6'!$I$11</f>
        <v>9020.3554690000019</v>
      </c>
      <c r="M13">
        <f t="shared" si="7"/>
        <v>5</v>
      </c>
      <c r="O13" s="82">
        <f t="shared" si="10"/>
        <v>-1.9947289285702219E-3</v>
      </c>
      <c r="P13" s="82">
        <f t="shared" si="8"/>
        <v>-2.9398569813726683E-3</v>
      </c>
      <c r="Q13" s="82">
        <f t="shared" si="8"/>
        <v>-2.8469680699676481E-3</v>
      </c>
      <c r="R13" s="82">
        <f t="shared" si="8"/>
        <v>-3.0854693138948619E-4</v>
      </c>
      <c r="S13" s="82">
        <f t="shared" si="8"/>
        <v>8.0901009112990252E-3</v>
      </c>
    </row>
    <row r="14" spans="1:49" x14ac:dyDescent="0.35">
      <c r="A14" s="11" t="s">
        <v>68</v>
      </c>
      <c r="B14" s="30">
        <f t="shared" si="9"/>
        <v>7721.0859380000002</v>
      </c>
      <c r="C14" s="30">
        <f t="shared" si="0"/>
        <v>7698.8745120000003</v>
      </c>
      <c r="D14" s="30">
        <f t="shared" si="0"/>
        <v>7701.7548829999996</v>
      </c>
      <c r="E14" s="30">
        <f t="shared" si="0"/>
        <v>7707.1206050000001</v>
      </c>
      <c r="F14" s="30">
        <f t="shared" si="0"/>
        <v>7751.8989259999998</v>
      </c>
      <c r="G14" s="22">
        <f t="shared" si="2"/>
        <v>7716.1469727999993</v>
      </c>
      <c r="H14" s="34">
        <f t="shared" si="3"/>
        <v>180868.78445422993</v>
      </c>
      <c r="I14" s="32">
        <f t="shared" si="4"/>
        <v>2.51937413665837E-3</v>
      </c>
      <c r="J14" s="32">
        <f t="shared" si="5"/>
        <v>0.11</v>
      </c>
      <c r="K14" s="32">
        <f t="shared" si="6"/>
        <v>6.8718771411320429E-3</v>
      </c>
      <c r="L14" s="16">
        <f>G14/'Clause 6'!$I$11</f>
        <v>7716.1469727999993</v>
      </c>
      <c r="M14">
        <f t="shared" si="7"/>
        <v>5</v>
      </c>
      <c r="O14" s="82">
        <f t="shared" si="10"/>
        <v>6.400817943736925E-4</v>
      </c>
      <c r="P14" s="82">
        <f t="shared" si="8"/>
        <v>-2.2384826080795728E-3</v>
      </c>
      <c r="Q14" s="82">
        <f t="shared" si="8"/>
        <v>-1.865191247747422E-3</v>
      </c>
      <c r="R14" s="82">
        <f t="shared" si="8"/>
        <v>-1.1698024715985911E-3</v>
      </c>
      <c r="S14" s="82">
        <f t="shared" si="8"/>
        <v>4.6333945330523374E-3</v>
      </c>
    </row>
    <row r="15" spans="1:49" x14ac:dyDescent="0.35">
      <c r="A15" s="11" t="s">
        <v>69</v>
      </c>
      <c r="B15" s="30">
        <f t="shared" si="9"/>
        <v>6564.1762699999999</v>
      </c>
      <c r="C15" s="30">
        <f t="shared" si="0"/>
        <v>6490.888672</v>
      </c>
      <c r="D15" s="30">
        <f t="shared" si="0"/>
        <v>6520.7763670000004</v>
      </c>
      <c r="E15" s="30">
        <f t="shared" si="0"/>
        <v>6520.1098629999997</v>
      </c>
      <c r="F15" s="30">
        <f t="shared" si="0"/>
        <v>6548.8007809999999</v>
      </c>
      <c r="G15" s="22">
        <f t="shared" si="2"/>
        <v>6528.9503906</v>
      </c>
      <c r="H15" s="34">
        <f t="shared" si="3"/>
        <v>153040.54278288042</v>
      </c>
      <c r="I15" s="32">
        <f t="shared" si="4"/>
        <v>3.8920316998590815E-3</v>
      </c>
      <c r="J15" s="32">
        <f t="shared" si="5"/>
        <v>0.11</v>
      </c>
      <c r="K15" s="32">
        <f t="shared" si="6"/>
        <v>1.1225019890718587E-2</v>
      </c>
      <c r="L15" s="16">
        <f>G15/'Clause 6'!$I$11</f>
        <v>6528.9503906</v>
      </c>
      <c r="M15">
        <f t="shared" si="7"/>
        <v>5</v>
      </c>
      <c r="O15" s="82">
        <f t="shared" si="10"/>
        <v>5.3953357419771475E-3</v>
      </c>
      <c r="P15" s="82">
        <f t="shared" si="8"/>
        <v>-5.8296841487414097E-3</v>
      </c>
      <c r="Q15" s="82">
        <f t="shared" si="8"/>
        <v>-1.2519659533281047E-3</v>
      </c>
      <c r="R15" s="82">
        <f t="shared" si="8"/>
        <v>-1.3540503558930883E-3</v>
      </c>
      <c r="S15" s="82">
        <f t="shared" si="8"/>
        <v>3.0403647159855662E-3</v>
      </c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</row>
    <row r="16" spans="1:49" x14ac:dyDescent="0.35">
      <c r="A16" s="11" t="s">
        <v>70</v>
      </c>
      <c r="B16" s="30">
        <f t="shared" si="9"/>
        <v>5513.4462890000004</v>
      </c>
      <c r="C16" s="30">
        <f t="shared" si="0"/>
        <v>5435.626953</v>
      </c>
      <c r="D16" s="30">
        <f t="shared" si="0"/>
        <v>5474.9560549999997</v>
      </c>
      <c r="E16" s="30">
        <f t="shared" si="0"/>
        <v>5461.4858400000003</v>
      </c>
      <c r="F16" s="30">
        <f t="shared" si="0"/>
        <v>5470.2041019999997</v>
      </c>
      <c r="G16" s="22">
        <f t="shared" si="2"/>
        <v>5471.1438478</v>
      </c>
      <c r="H16" s="34">
        <f t="shared" si="3"/>
        <v>128245.24219329868</v>
      </c>
      <c r="I16" s="32">
        <f t="shared" si="4"/>
        <v>4.5946838319935231E-3</v>
      </c>
      <c r="J16" s="32">
        <f t="shared" si="5"/>
        <v>0.11</v>
      </c>
      <c r="K16" s="32">
        <f t="shared" si="6"/>
        <v>1.4223595314769943E-2</v>
      </c>
      <c r="L16" s="16">
        <f>G16/'Clause 6'!$I$11</f>
        <v>5471.1438478</v>
      </c>
      <c r="M16">
        <f t="shared" si="7"/>
        <v>5</v>
      </c>
      <c r="O16" s="82">
        <f t="shared" si="10"/>
        <v>7.7319190240283664E-3</v>
      </c>
      <c r="P16" s="82">
        <f t="shared" si="8"/>
        <v>-6.4916762907416548E-3</v>
      </c>
      <c r="Q16" s="82">
        <f t="shared" si="8"/>
        <v>6.9678431166320109E-4</v>
      </c>
      <c r="R16" s="82">
        <f t="shared" si="8"/>
        <v>-1.7652629995980051E-3</v>
      </c>
      <c r="S16" s="82">
        <f t="shared" si="8"/>
        <v>-1.7176404535190759E-4</v>
      </c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</row>
    <row r="17" spans="1:49" x14ac:dyDescent="0.35">
      <c r="A17" s="11" t="s">
        <v>71</v>
      </c>
      <c r="B17" s="30">
        <f t="shared" si="9"/>
        <v>4554.1479490000002</v>
      </c>
      <c r="C17" s="30">
        <f t="shared" si="0"/>
        <v>4495.9907229999999</v>
      </c>
      <c r="D17" s="30">
        <f t="shared" si="0"/>
        <v>4524.0786129999997</v>
      </c>
      <c r="E17" s="30">
        <f t="shared" si="0"/>
        <v>4519.0898440000001</v>
      </c>
      <c r="F17" s="30">
        <f t="shared" si="0"/>
        <v>4518.7924800000001</v>
      </c>
      <c r="G17" s="22">
        <f t="shared" si="2"/>
        <v>4522.4199218000003</v>
      </c>
      <c r="H17" s="34">
        <f t="shared" si="3"/>
        <v>106006.87064812872</v>
      </c>
      <c r="I17" s="32">
        <f t="shared" si="4"/>
        <v>4.1156579801150421E-3</v>
      </c>
      <c r="J17" s="32">
        <f t="shared" si="5"/>
        <v>0.11</v>
      </c>
      <c r="K17" s="32">
        <f t="shared" si="6"/>
        <v>1.2859758051139288E-2</v>
      </c>
      <c r="L17" s="16">
        <f>G17/'Clause 6'!$I$11</f>
        <v>4522.4199218000003</v>
      </c>
      <c r="M17">
        <f t="shared" si="7"/>
        <v>5</v>
      </c>
      <c r="O17" s="82">
        <f t="shared" si="10"/>
        <v>7.0157189621107285E-3</v>
      </c>
      <c r="P17" s="82">
        <f t="shared" si="8"/>
        <v>-5.8440390890285299E-3</v>
      </c>
      <c r="Q17" s="82">
        <f t="shared" si="8"/>
        <v>3.6677071759827484E-4</v>
      </c>
      <c r="R17" s="82">
        <f t="shared" si="8"/>
        <v>-7.3634864908234121E-4</v>
      </c>
      <c r="S17" s="82">
        <f t="shared" si="8"/>
        <v>-8.0210194159868742E-4</v>
      </c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</row>
    <row r="18" spans="1:49" x14ac:dyDescent="0.35">
      <c r="A18" s="11" t="s">
        <v>72</v>
      </c>
      <c r="B18" s="30">
        <f t="shared" si="9"/>
        <v>3686.0356449999999</v>
      </c>
      <c r="C18" s="30">
        <f t="shared" si="0"/>
        <v>3634.8811040000001</v>
      </c>
      <c r="D18" s="30">
        <f t="shared" si="0"/>
        <v>3622.3310550000001</v>
      </c>
      <c r="E18" s="30">
        <f t="shared" si="0"/>
        <v>3656.0341800000001</v>
      </c>
      <c r="F18" s="30">
        <f t="shared" si="0"/>
        <v>3645.632568</v>
      </c>
      <c r="G18" s="22">
        <f t="shared" si="2"/>
        <v>3648.9829104000005</v>
      </c>
      <c r="H18" s="34">
        <f t="shared" si="3"/>
        <v>85533.246816683328</v>
      </c>
      <c r="I18" s="32">
        <f t="shared" si="4"/>
        <v>5.9324261599965978E-3</v>
      </c>
      <c r="J18" s="32">
        <f t="shared" si="5"/>
        <v>0.11</v>
      </c>
      <c r="K18" s="32">
        <f t="shared" si="6"/>
        <v>1.7458177131615162E-2</v>
      </c>
      <c r="L18" s="16">
        <f>G18/'Clause 6'!$I$11</f>
        <v>3648.9829104000005</v>
      </c>
      <c r="M18">
        <f t="shared" si="7"/>
        <v>5</v>
      </c>
      <c r="O18" s="82">
        <f t="shared" si="10"/>
        <v>1.0154263670129948E-2</v>
      </c>
      <c r="P18" s="82">
        <f t="shared" si="8"/>
        <v>-3.8645854875912766E-3</v>
      </c>
      <c r="Q18" s="82">
        <f t="shared" si="8"/>
        <v>-7.3039134614852896E-3</v>
      </c>
      <c r="R18" s="82">
        <f t="shared" si="8"/>
        <v>1.9323931553372198E-3</v>
      </c>
      <c r="S18" s="82">
        <f t="shared" si="8"/>
        <v>-9.1815787639115687E-4</v>
      </c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</row>
    <row r="19" spans="1:49" x14ac:dyDescent="0.35">
      <c r="A19" s="11" t="s">
        <v>73</v>
      </c>
      <c r="B19" s="30">
        <f t="shared" si="9"/>
        <v>2925.085693</v>
      </c>
      <c r="C19" s="30">
        <f t="shared" si="0"/>
        <v>2914.9536130000001</v>
      </c>
      <c r="D19" s="30">
        <f t="shared" si="0"/>
        <v>2888.7021479999999</v>
      </c>
      <c r="E19" s="30">
        <f t="shared" si="0"/>
        <v>2906.3215329999998</v>
      </c>
      <c r="F19" s="30">
        <f t="shared" si="0"/>
        <v>2921.3374020000001</v>
      </c>
      <c r="G19" s="22">
        <f t="shared" si="2"/>
        <v>2911.2800778000005</v>
      </c>
      <c r="H19" s="34">
        <f t="shared" si="3"/>
        <v>68241.272585095212</v>
      </c>
      <c r="I19" s="32">
        <f t="shared" si="4"/>
        <v>4.4510714547566386E-3</v>
      </c>
      <c r="J19" s="32">
        <f t="shared" si="5"/>
        <v>0.11</v>
      </c>
      <c r="K19" s="32">
        <f t="shared" si="6"/>
        <v>1.249743893672178E-2</v>
      </c>
      <c r="L19" s="16">
        <f>G19/'Clause 6'!$I$11</f>
        <v>2911.2800778000005</v>
      </c>
      <c r="M19">
        <f t="shared" si="7"/>
        <v>5</v>
      </c>
      <c r="O19" s="82">
        <f t="shared" si="10"/>
        <v>4.742111659154391E-3</v>
      </c>
      <c r="P19" s="82">
        <f t="shared" si="8"/>
        <v>1.2618281655591979E-3</v>
      </c>
      <c r="Q19" s="82">
        <f t="shared" si="8"/>
        <v>-7.7553272775673365E-3</v>
      </c>
      <c r="R19" s="82">
        <f t="shared" si="8"/>
        <v>-1.7032180578612222E-3</v>
      </c>
      <c r="S19" s="82">
        <f t="shared" si="8"/>
        <v>3.4546055107138596E-3</v>
      </c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</row>
    <row r="20" spans="1:49" x14ac:dyDescent="0.35">
      <c r="A20" s="11" t="s">
        <v>74</v>
      </c>
      <c r="B20" s="30">
        <f t="shared" si="9"/>
        <v>2259.991943</v>
      </c>
      <c r="C20" s="30">
        <f t="shared" si="0"/>
        <v>2247.3771969999998</v>
      </c>
      <c r="D20" s="30">
        <f t="shared" si="0"/>
        <v>2229.908203</v>
      </c>
      <c r="E20" s="30">
        <f t="shared" si="0"/>
        <v>2258.6176759999998</v>
      </c>
      <c r="F20" s="30">
        <f t="shared" si="0"/>
        <v>2272.8166500000002</v>
      </c>
      <c r="G20" s="22">
        <f t="shared" si="2"/>
        <v>2253.7423337999999</v>
      </c>
      <c r="H20" s="34">
        <f t="shared" si="3"/>
        <v>52828.391919487483</v>
      </c>
      <c r="I20" s="32">
        <f t="shared" si="4"/>
        <v>6.3845545424466594E-3</v>
      </c>
      <c r="J20" s="32">
        <f t="shared" si="5"/>
        <v>0.11</v>
      </c>
      <c r="K20" s="32">
        <f t="shared" si="6"/>
        <v>1.9038754500232947E-2</v>
      </c>
      <c r="L20" s="16">
        <f>G20/'Clause 6'!$I$11</f>
        <v>2253.7423337999999</v>
      </c>
      <c r="M20">
        <f t="shared" si="7"/>
        <v>5</v>
      </c>
      <c r="O20" s="82">
        <f t="shared" si="10"/>
        <v>2.7729918838870216E-3</v>
      </c>
      <c r="P20" s="82">
        <f t="shared" si="8"/>
        <v>-2.8242522246400004E-3</v>
      </c>
      <c r="Q20" s="82">
        <f t="shared" si="8"/>
        <v>-1.0575357458815438E-2</v>
      </c>
      <c r="R20" s="82">
        <f t="shared" si="8"/>
        <v>2.1632207581510077E-3</v>
      </c>
      <c r="S20" s="82">
        <f t="shared" si="8"/>
        <v>8.4633970414176307E-3</v>
      </c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</row>
    <row r="21" spans="1:49" x14ac:dyDescent="0.35">
      <c r="A21" s="11" t="s">
        <v>75</v>
      </c>
      <c r="B21" s="30">
        <f t="shared" si="9"/>
        <v>1735.241211</v>
      </c>
      <c r="C21" s="30">
        <f t="shared" si="0"/>
        <v>1722.0135499999999</v>
      </c>
      <c r="D21" s="30">
        <f t="shared" si="0"/>
        <v>1712.4914550000001</v>
      </c>
      <c r="E21" s="30">
        <f t="shared" si="0"/>
        <v>1754.138062</v>
      </c>
      <c r="F21" s="30">
        <f t="shared" si="0"/>
        <v>1738.6800539999999</v>
      </c>
      <c r="G21" s="22">
        <f t="shared" si="2"/>
        <v>1732.5128663999999</v>
      </c>
      <c r="H21" s="34">
        <f t="shared" si="3"/>
        <v>40610.617877250195</v>
      </c>
      <c r="I21" s="32">
        <f t="shared" si="4"/>
        <v>8.261047020159968E-3</v>
      </c>
      <c r="J21" s="32">
        <f t="shared" si="5"/>
        <v>0.11</v>
      </c>
      <c r="K21" s="32">
        <f t="shared" si="6"/>
        <v>2.4038267078811175E-2</v>
      </c>
      <c r="L21" s="16">
        <f>G21/'Clause 6'!$I$11</f>
        <v>1732.5128663999999</v>
      </c>
      <c r="M21">
        <f t="shared" si="7"/>
        <v>5</v>
      </c>
      <c r="O21" s="82">
        <f t="shared" si="10"/>
        <v>1.5747903827516563E-3</v>
      </c>
      <c r="P21" s="82">
        <f t="shared" si="8"/>
        <v>-6.0601664805044475E-3</v>
      </c>
      <c r="Q21" s="82">
        <f t="shared" si="8"/>
        <v>-1.1556284393779093E-2</v>
      </c>
      <c r="R21" s="82">
        <f t="shared" si="8"/>
        <v>1.2481982685031978E-2</v>
      </c>
      <c r="S21" s="82">
        <f t="shared" si="8"/>
        <v>3.5596778065001278E-3</v>
      </c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</row>
    <row r="22" spans="1:49" x14ac:dyDescent="0.35">
      <c r="A22" s="11" t="s">
        <v>76</v>
      </c>
      <c r="B22" s="30">
        <f t="shared" si="9"/>
        <v>1315.440552</v>
      </c>
      <c r="C22" s="30">
        <f t="shared" si="0"/>
        <v>1298.466187</v>
      </c>
      <c r="D22" s="30">
        <f t="shared" si="0"/>
        <v>1286.493408</v>
      </c>
      <c r="E22" s="30">
        <f t="shared" si="0"/>
        <v>1319.9311520000001</v>
      </c>
      <c r="F22" s="30">
        <f t="shared" si="0"/>
        <v>1320.3726810000001</v>
      </c>
      <c r="G22" s="22">
        <f t="shared" si="2"/>
        <v>1308.1407960000001</v>
      </c>
      <c r="H22" s="34">
        <f t="shared" si="3"/>
        <v>30663.210084197217</v>
      </c>
      <c r="I22" s="32">
        <f t="shared" si="4"/>
        <v>1.0279567563711154E-2</v>
      </c>
      <c r="J22" s="32">
        <f t="shared" si="5"/>
        <v>0.11</v>
      </c>
      <c r="K22" s="32">
        <f t="shared" si="6"/>
        <v>2.5898797058845038E-2</v>
      </c>
      <c r="L22" s="16">
        <f>G22/'Clause 6'!$I$11</f>
        <v>1308.1407960000001</v>
      </c>
      <c r="M22">
        <f t="shared" si="7"/>
        <v>5</v>
      </c>
      <c r="O22" s="82">
        <f t="shared" si="10"/>
        <v>5.5802525403387815E-3</v>
      </c>
      <c r="P22" s="82">
        <f t="shared" si="8"/>
        <v>-7.3956939723789361E-3</v>
      </c>
      <c r="Q22" s="82">
        <f t="shared" si="8"/>
        <v>-1.6548209539976821E-2</v>
      </c>
      <c r="R22" s="82">
        <f t="shared" si="8"/>
        <v>9.013063453148229E-3</v>
      </c>
      <c r="S22" s="82">
        <f t="shared" si="8"/>
        <v>9.3505875188681919E-3</v>
      </c>
      <c r="T22" s="22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</row>
    <row r="23" spans="1:49" x14ac:dyDescent="0.35">
      <c r="A23" s="11" t="s">
        <v>77</v>
      </c>
      <c r="B23" s="30">
        <f t="shared" si="9"/>
        <v>990.26721199999997</v>
      </c>
      <c r="C23" s="30">
        <f t="shared" si="0"/>
        <v>970.55200200000002</v>
      </c>
      <c r="D23" s="30">
        <f t="shared" si="0"/>
        <v>966.21752900000001</v>
      </c>
      <c r="E23" s="30">
        <f t="shared" si="0"/>
        <v>983.199341</v>
      </c>
      <c r="F23" s="30">
        <f t="shared" si="0"/>
        <v>983.00146500000005</v>
      </c>
      <c r="G23" s="22">
        <f t="shared" si="2"/>
        <v>978.64750980000008</v>
      </c>
      <c r="H23" s="34">
        <f t="shared" si="3"/>
        <v>22939.789266669926</v>
      </c>
      <c r="I23" s="32">
        <f t="shared" si="4"/>
        <v>9.0790760353663246E-3</v>
      </c>
      <c r="J23" s="32">
        <f t="shared" si="5"/>
        <v>0.11</v>
      </c>
      <c r="K23" s="32">
        <f t="shared" si="6"/>
        <v>2.4574407801757795E-2</v>
      </c>
      <c r="L23" s="16">
        <f>G23/'Clause 6'!$I$11</f>
        <v>978.64750980000008</v>
      </c>
      <c r="M23">
        <f t="shared" si="7"/>
        <v>5</v>
      </c>
      <c r="O23" s="82">
        <f t="shared" si="10"/>
        <v>1.1873225123082864E-2</v>
      </c>
      <c r="P23" s="82">
        <f t="shared" si="8"/>
        <v>-8.2721385574817674E-3</v>
      </c>
      <c r="Q23" s="82">
        <f t="shared" si="8"/>
        <v>-1.2701182678674927E-2</v>
      </c>
      <c r="R23" s="82">
        <f t="shared" si="8"/>
        <v>4.6511447220973778E-3</v>
      </c>
      <c r="S23" s="82">
        <f t="shared" si="8"/>
        <v>4.4489513909760081E-3</v>
      </c>
      <c r="T23" s="35"/>
      <c r="U23" s="35"/>
      <c r="V23" s="35"/>
      <c r="W23" s="35"/>
      <c r="X23" s="35"/>
      <c r="Y23" s="35"/>
      <c r="Z23" s="35"/>
      <c r="AA23" s="35"/>
      <c r="AB23" s="35"/>
      <c r="AC23" s="35"/>
      <c r="AD23" s="35"/>
      <c r="AE23" s="35"/>
      <c r="AF23" s="35"/>
      <c r="AG23" s="35"/>
      <c r="AH23" s="35"/>
      <c r="AI23" s="35"/>
      <c r="AJ23" s="35"/>
      <c r="AK23" s="35"/>
      <c r="AL23" s="35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</row>
    <row r="24" spans="1:49" x14ac:dyDescent="0.35">
      <c r="A24" s="11" t="s">
        <v>78</v>
      </c>
      <c r="B24" s="30">
        <f t="shared" si="9"/>
        <v>755.296875</v>
      </c>
      <c r="C24" s="30">
        <f t="shared" ref="C24:F38" si="11">M68/$E$4</f>
        <v>728.99603300000001</v>
      </c>
      <c r="D24" s="30">
        <f t="shared" ref="D24:F38" si="12">N68/$E$4</f>
        <v>725.75146500000005</v>
      </c>
      <c r="E24" s="30">
        <f t="shared" ref="E24:F38" si="13">O68/$E$4</f>
        <v>738.17230199999995</v>
      </c>
      <c r="F24" s="30">
        <f t="shared" ref="F24:F38" si="14">P68/$E$4</f>
        <v>746.80035399999997</v>
      </c>
      <c r="G24" s="22">
        <f t="shared" si="2"/>
        <v>739.00340579999988</v>
      </c>
      <c r="H24" s="34">
        <f t="shared" si="3"/>
        <v>17322.46005496693</v>
      </c>
      <c r="I24" s="32">
        <f t="shared" si="4"/>
        <v>1.4856858208912129E-2</v>
      </c>
      <c r="J24" s="32">
        <f t="shared" si="5"/>
        <v>0.11</v>
      </c>
      <c r="K24" s="32">
        <f t="shared" si="6"/>
        <v>3.9980072849618187E-2</v>
      </c>
      <c r="L24" s="16">
        <f>G24/'Clause 6'!$I$11</f>
        <v>739.00340579999988</v>
      </c>
      <c r="M24">
        <f t="shared" si="7"/>
        <v>5</v>
      </c>
      <c r="O24" s="82">
        <f t="shared" si="10"/>
        <v>2.204789459983858E-2</v>
      </c>
      <c r="P24" s="82">
        <f t="shared" si="8"/>
        <v>-1.3541714045507636E-2</v>
      </c>
      <c r="Q24" s="82">
        <f t="shared" si="8"/>
        <v>-1.7932178249779662E-2</v>
      </c>
      <c r="R24" s="82">
        <f t="shared" si="8"/>
        <v>-1.1246278345635741E-3</v>
      </c>
      <c r="S24" s="82">
        <f t="shared" si="8"/>
        <v>1.055062553001318E-2</v>
      </c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</row>
    <row r="25" spans="1:49" x14ac:dyDescent="0.35">
      <c r="A25" s="11" t="s">
        <v>79</v>
      </c>
      <c r="B25" s="30">
        <f t="shared" si="9"/>
        <v>575.382385</v>
      </c>
      <c r="C25" s="30">
        <f t="shared" si="11"/>
        <v>541.43981900000006</v>
      </c>
      <c r="D25" s="30">
        <f t="shared" si="12"/>
        <v>550.16973900000005</v>
      </c>
      <c r="E25" s="30">
        <f t="shared" si="13"/>
        <v>558.47204599999998</v>
      </c>
      <c r="F25" s="30">
        <f t="shared" si="14"/>
        <v>553.75128199999995</v>
      </c>
      <c r="G25" s="22">
        <f t="shared" si="2"/>
        <v>555.84305419999998</v>
      </c>
      <c r="H25" s="34">
        <f t="shared" si="3"/>
        <v>13029.126831678155</v>
      </c>
      <c r="I25" s="32">
        <f t="shared" si="4"/>
        <v>2.0237922805082045E-2</v>
      </c>
      <c r="J25" s="32">
        <f t="shared" si="5"/>
        <v>0.11</v>
      </c>
      <c r="K25" s="32">
        <f t="shared" si="6"/>
        <v>6.1065017802285862E-2</v>
      </c>
      <c r="L25" s="16">
        <f>G25/'Clause 6'!$I$11</f>
        <v>555.84305419999998</v>
      </c>
      <c r="M25">
        <f t="shared" si="7"/>
        <v>5</v>
      </c>
      <c r="O25" s="82">
        <f t="shared" si="10"/>
        <v>3.5152604053174885E-2</v>
      </c>
      <c r="P25" s="82">
        <f t="shared" si="8"/>
        <v>-2.5912413749111018E-2</v>
      </c>
      <c r="Q25" s="82">
        <f t="shared" si="8"/>
        <v>-1.0206685425196649E-2</v>
      </c>
      <c r="R25" s="82">
        <f t="shared" si="8"/>
        <v>4.7297376123260904E-3</v>
      </c>
      <c r="S25" s="82">
        <f t="shared" si="8"/>
        <v>-3.7632424911931972E-3</v>
      </c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35"/>
      <c r="AJ25" s="35"/>
      <c r="AK25" s="35"/>
      <c r="AL25" s="35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</row>
    <row r="26" spans="1:49" x14ac:dyDescent="0.35">
      <c r="A26" s="11" t="s">
        <v>80</v>
      </c>
      <c r="B26" s="30">
        <f t="shared" si="9"/>
        <v>428.15722699999998</v>
      </c>
      <c r="C26" s="30">
        <f t="shared" si="11"/>
        <v>416.95193499999999</v>
      </c>
      <c r="D26" s="30">
        <f t="shared" si="12"/>
        <v>412.73098800000002</v>
      </c>
      <c r="E26" s="30">
        <f t="shared" si="13"/>
        <v>424.72726399999999</v>
      </c>
      <c r="F26" s="30">
        <f t="shared" si="14"/>
        <v>418.51376299999998</v>
      </c>
      <c r="G26" s="22">
        <f t="shared" si="2"/>
        <v>420.21623540000002</v>
      </c>
      <c r="H26" s="34">
        <f t="shared" si="3"/>
        <v>9849.9937822141528</v>
      </c>
      <c r="I26" s="32">
        <f t="shared" si="4"/>
        <v>1.316364435290175E-2</v>
      </c>
      <c r="J26" s="32">
        <f t="shared" si="5"/>
        <v>0.113</v>
      </c>
      <c r="K26" s="32">
        <f t="shared" si="6"/>
        <v>3.6710240348795317E-2</v>
      </c>
      <c r="L26" s="16">
        <f>G26/'Clause 6'!$I$11</f>
        <v>420.21623540000002</v>
      </c>
      <c r="M26">
        <f t="shared" si="7"/>
        <v>5</v>
      </c>
      <c r="O26" s="82">
        <f t="shared" si="10"/>
        <v>1.8897393606034818E-2</v>
      </c>
      <c r="P26" s="82">
        <f t="shared" si="8"/>
        <v>-7.7681444099673147E-3</v>
      </c>
      <c r="Q26" s="82">
        <f t="shared" si="8"/>
        <v>-1.7812846742760513E-2</v>
      </c>
      <c r="R26" s="82">
        <f t="shared" si="8"/>
        <v>1.0735017402899727E-2</v>
      </c>
      <c r="S26" s="82">
        <f t="shared" si="8"/>
        <v>-4.0514198562068282E-3</v>
      </c>
    </row>
    <row r="27" spans="1:49" x14ac:dyDescent="0.35">
      <c r="A27" s="11" t="s">
        <v>81</v>
      </c>
      <c r="B27" s="30">
        <f t="shared" si="9"/>
        <v>325.17336999999998</v>
      </c>
      <c r="C27" s="30">
        <f t="shared" si="11"/>
        <v>313.69296300000002</v>
      </c>
      <c r="D27" s="30">
        <f t="shared" si="12"/>
        <v>311.36209100000002</v>
      </c>
      <c r="E27" s="30">
        <f t="shared" si="13"/>
        <v>323.955017</v>
      </c>
      <c r="F27" s="30">
        <f t="shared" si="14"/>
        <v>318.58248900000001</v>
      </c>
      <c r="G27" s="22">
        <f t="shared" si="2"/>
        <v>318.55318599999998</v>
      </c>
      <c r="H27" s="34">
        <f t="shared" si="3"/>
        <v>7466.9816086894298</v>
      </c>
      <c r="I27" s="32">
        <f t="shared" si="4"/>
        <v>1.7098726854921871E-2</v>
      </c>
      <c r="J27" s="32">
        <f t="shared" si="5"/>
        <v>0.113</v>
      </c>
      <c r="K27" s="32">
        <f t="shared" si="6"/>
        <v>4.3356273322596617E-2</v>
      </c>
      <c r="L27" s="16">
        <f>G27/'Clause 6'!$I$11</f>
        <v>318.55318599999998</v>
      </c>
      <c r="M27">
        <f t="shared" si="7"/>
        <v>5</v>
      </c>
      <c r="O27" s="82">
        <f t="shared" si="10"/>
        <v>2.0782036692610584E-2</v>
      </c>
      <c r="P27" s="82">
        <f t="shared" si="8"/>
        <v>-1.5257179063341564E-2</v>
      </c>
      <c r="Q27" s="82">
        <f t="shared" si="8"/>
        <v>-2.2574236629986033E-2</v>
      </c>
      <c r="R27" s="82">
        <f t="shared" si="8"/>
        <v>1.6957391221948059E-2</v>
      </c>
      <c r="S27" s="82">
        <f t="shared" si="8"/>
        <v>9.1987778769286876E-5</v>
      </c>
    </row>
    <row r="28" spans="1:49" x14ac:dyDescent="0.35">
      <c r="A28" s="11" t="s">
        <v>82</v>
      </c>
      <c r="B28" s="30">
        <f t="shared" si="9"/>
        <v>245.53907799999999</v>
      </c>
      <c r="C28" s="30">
        <f t="shared" si="11"/>
        <v>239.082672</v>
      </c>
      <c r="D28" s="30">
        <f t="shared" si="12"/>
        <v>243.990128</v>
      </c>
      <c r="E28" s="30">
        <f t="shared" si="13"/>
        <v>243.79057299999999</v>
      </c>
      <c r="F28" s="30">
        <f t="shared" si="14"/>
        <v>235.58174099999999</v>
      </c>
      <c r="G28" s="22">
        <f t="shared" si="2"/>
        <v>241.59683840000002</v>
      </c>
      <c r="H28" s="34">
        <f t="shared" si="3"/>
        <v>5663.1018879538451</v>
      </c>
      <c r="I28" s="32">
        <f t="shared" si="4"/>
        <v>1.532975174993826E-2</v>
      </c>
      <c r="J28" s="32">
        <f t="shared" si="5"/>
        <v>0.113</v>
      </c>
      <c r="K28" s="32">
        <f t="shared" si="6"/>
        <v>4.1214682551077596E-2</v>
      </c>
      <c r="L28" s="16">
        <f>G28/'Clause 6'!$I$11</f>
        <v>241.59683840000002</v>
      </c>
      <c r="M28">
        <f t="shared" si="7"/>
        <v>5</v>
      </c>
      <c r="O28" s="82">
        <f t="shared" si="10"/>
        <v>1.6317430418824497E-2</v>
      </c>
      <c r="P28" s="82">
        <f t="shared" si="8"/>
        <v>-1.0406454060617465E-2</v>
      </c>
      <c r="Q28" s="82">
        <f t="shared" si="8"/>
        <v>9.9061296325306802E-3</v>
      </c>
      <c r="R28" s="82">
        <f t="shared" si="8"/>
        <v>9.0801461415148665E-3</v>
      </c>
      <c r="S28" s="82">
        <f t="shared" si="8"/>
        <v>-2.4897252132253245E-2</v>
      </c>
    </row>
    <row r="29" spans="1:49" x14ac:dyDescent="0.35">
      <c r="A29" s="11" t="s">
        <v>83</v>
      </c>
      <c r="B29" s="30">
        <f t="shared" si="9"/>
        <v>186.05914300000001</v>
      </c>
      <c r="C29" s="30">
        <f t="shared" si="11"/>
        <v>183.02191199999999</v>
      </c>
      <c r="D29" s="30">
        <f t="shared" si="12"/>
        <v>190.29986600000001</v>
      </c>
      <c r="E29" s="30">
        <f t="shared" si="13"/>
        <v>182.99748199999999</v>
      </c>
      <c r="F29" s="30">
        <f t="shared" si="14"/>
        <v>177.77027899999999</v>
      </c>
      <c r="G29" s="22">
        <f t="shared" si="2"/>
        <v>184.02973639999999</v>
      </c>
      <c r="H29" s="34">
        <f t="shared" si="3"/>
        <v>4313.7118620774481</v>
      </c>
      <c r="I29" s="32">
        <f t="shared" si="4"/>
        <v>2.2364340270798137E-2</v>
      </c>
      <c r="J29" s="32">
        <f t="shared" si="5"/>
        <v>0.11900000000000001</v>
      </c>
      <c r="K29" s="32">
        <f t="shared" si="6"/>
        <v>6.8084578313833966E-2</v>
      </c>
      <c r="L29" s="16">
        <f>G29/'Clause 6'!$I$11</f>
        <v>184.02973639999999</v>
      </c>
      <c r="M29">
        <f t="shared" si="7"/>
        <v>5</v>
      </c>
      <c r="O29" s="82">
        <f t="shared" si="10"/>
        <v>1.1027601515382068E-2</v>
      </c>
      <c r="P29" s="82">
        <f t="shared" si="8"/>
        <v>-5.4764214725028237E-3</v>
      </c>
      <c r="Q29" s="82">
        <f t="shared" si="8"/>
        <v>3.4071285014349639E-2</v>
      </c>
      <c r="R29" s="82">
        <f t="shared" si="8"/>
        <v>-5.6091717577442246E-3</v>
      </c>
      <c r="S29" s="82">
        <f t="shared" si="8"/>
        <v>-3.4013293299484437E-2</v>
      </c>
    </row>
    <row r="30" spans="1:49" x14ac:dyDescent="0.35">
      <c r="A30" s="11" t="s">
        <v>84</v>
      </c>
      <c r="B30" s="30">
        <f t="shared" si="9"/>
        <v>142.55522199999999</v>
      </c>
      <c r="C30" s="30">
        <f t="shared" si="11"/>
        <v>135.411484</v>
      </c>
      <c r="D30" s="30">
        <f t="shared" si="12"/>
        <v>138.26799</v>
      </c>
      <c r="E30" s="30">
        <f t="shared" si="13"/>
        <v>131.89007599999999</v>
      </c>
      <c r="F30" s="30">
        <f t="shared" si="14"/>
        <v>130.90168800000001</v>
      </c>
      <c r="G30" s="22">
        <f t="shared" si="2"/>
        <v>135.80529200000001</v>
      </c>
      <c r="H30" s="34">
        <f t="shared" si="3"/>
        <v>3183.3165144570171</v>
      </c>
      <c r="I30" s="32">
        <f t="shared" si="4"/>
        <v>3.1440568151355118E-2</v>
      </c>
      <c r="J30" s="32">
        <f t="shared" si="5"/>
        <v>0.11900000000000001</v>
      </c>
      <c r="K30" s="32">
        <f t="shared" si="6"/>
        <v>8.5810603021272386E-2</v>
      </c>
      <c r="L30" s="16">
        <f>G30/'Clause 6'!$I$11</f>
        <v>135.80529200000001</v>
      </c>
      <c r="M30">
        <f t="shared" si="7"/>
        <v>5</v>
      </c>
      <c r="O30" s="82">
        <f t="shared" si="10"/>
        <v>4.9702996846396674E-2</v>
      </c>
      <c r="P30" s="82">
        <f t="shared" si="8"/>
        <v>-2.8997986322948366E-3</v>
      </c>
      <c r="Q30" s="82">
        <f t="shared" si="8"/>
        <v>1.8134035601499177E-2</v>
      </c>
      <c r="R30" s="82">
        <f t="shared" si="8"/>
        <v>-2.8829627640725608E-2</v>
      </c>
      <c r="S30" s="82">
        <f t="shared" si="8"/>
        <v>-3.6107606174875739E-2</v>
      </c>
    </row>
    <row r="31" spans="1:49" x14ac:dyDescent="0.35">
      <c r="A31" s="11" t="s">
        <v>85</v>
      </c>
      <c r="B31" s="30"/>
      <c r="C31" s="30">
        <f t="shared" si="11"/>
        <v>100.16739699999999</v>
      </c>
      <c r="D31" s="30">
        <f t="shared" si="12"/>
        <v>99.710494999999995</v>
      </c>
      <c r="E31" s="30">
        <f t="shared" si="13"/>
        <v>96.856773000000004</v>
      </c>
      <c r="F31" s="30">
        <f t="shared" si="14"/>
        <v>93.324234000000004</v>
      </c>
      <c r="G31" s="22">
        <f t="shared" si="2"/>
        <v>97.514724749999985</v>
      </c>
      <c r="H31" s="34">
        <f t="shared" si="3"/>
        <v>2285.7742075279757</v>
      </c>
      <c r="I31" s="32">
        <f t="shared" si="4"/>
        <v>2.8014355244130408E-2</v>
      </c>
      <c r="J31" s="32">
        <f t="shared" si="5"/>
        <v>0.11900000000000001</v>
      </c>
      <c r="K31" s="32">
        <f t="shared" si="6"/>
        <v>7.0175689031004421E-2</v>
      </c>
      <c r="L31" s="16">
        <f>G31/'Clause 6'!$I$11</f>
        <v>97.514724749999985</v>
      </c>
      <c r="M31">
        <f t="shared" si="7"/>
        <v>4</v>
      </c>
      <c r="O31" s="82">
        <f t="shared" si="10"/>
        <v>0</v>
      </c>
      <c r="P31" s="82">
        <f t="shared" si="8"/>
        <v>2.7202786623258257E-2</v>
      </c>
      <c r="Q31" s="82">
        <f t="shared" si="8"/>
        <v>2.251731987788852E-2</v>
      </c>
      <c r="R31" s="82">
        <f t="shared" si="8"/>
        <v>-6.7472040934000166E-3</v>
      </c>
      <c r="S31" s="82">
        <f t="shared" si="8"/>
        <v>-4.2972902407746205E-2</v>
      </c>
    </row>
    <row r="32" spans="1:49" x14ac:dyDescent="0.35">
      <c r="A32" s="11" t="s">
        <v>86</v>
      </c>
      <c r="B32" s="30">
        <f t="shared" si="9"/>
        <v>74.472815999999995</v>
      </c>
      <c r="C32" s="30">
        <f t="shared" si="11"/>
        <v>75.640808000000007</v>
      </c>
      <c r="D32" s="30">
        <f t="shared" si="12"/>
        <v>73.383606</v>
      </c>
      <c r="E32" s="30">
        <f t="shared" si="13"/>
        <v>70.890915000000007</v>
      </c>
      <c r="F32" s="30"/>
      <c r="G32" s="22">
        <f t="shared" si="2"/>
        <v>73.597036250000002</v>
      </c>
      <c r="H32" s="34">
        <f t="shared" si="3"/>
        <v>1725.136461616803</v>
      </c>
      <c r="I32" s="32">
        <f t="shared" si="4"/>
        <v>2.3838846170355633E-2</v>
      </c>
      <c r="J32" s="32">
        <f t="shared" si="5"/>
        <v>0.13400000000000001</v>
      </c>
      <c r="K32" s="32">
        <f t="shared" si="6"/>
        <v>6.4539188560055638E-2</v>
      </c>
      <c r="L32" s="16">
        <f>G32/'Clause 6'!$I$11</f>
        <v>73.597036250000002</v>
      </c>
      <c r="M32">
        <f t="shared" si="7"/>
        <v>4</v>
      </c>
      <c r="O32" s="82">
        <f t="shared" si="10"/>
        <v>1.1899660565475534E-2</v>
      </c>
      <c r="P32" s="82">
        <f t="shared" si="8"/>
        <v>2.7769756149657487E-2</v>
      </c>
      <c r="Q32" s="82">
        <f t="shared" si="8"/>
        <v>-2.8999843047348151E-3</v>
      </c>
      <c r="R32" s="82">
        <f t="shared" si="8"/>
        <v>-3.6769432410398095E-2</v>
      </c>
      <c r="S32" s="82">
        <f t="shared" si="8"/>
        <v>0</v>
      </c>
    </row>
    <row r="33" spans="1:19" x14ac:dyDescent="0.35">
      <c r="A33" s="11" t="s">
        <v>87</v>
      </c>
      <c r="B33" s="30">
        <f t="shared" si="9"/>
        <v>51.614821999999997</v>
      </c>
      <c r="C33" s="30">
        <f t="shared" si="11"/>
        <v>54.618023000000001</v>
      </c>
      <c r="D33" s="30">
        <f t="shared" si="12"/>
        <v>53.482967000000002</v>
      </c>
      <c r="E33" s="30">
        <f t="shared" si="13"/>
        <v>50.489170000000001</v>
      </c>
      <c r="F33" s="30"/>
      <c r="G33" s="22">
        <f t="shared" si="2"/>
        <v>52.5512455</v>
      </c>
      <c r="H33" s="34">
        <f t="shared" si="3"/>
        <v>1231.8168547911594</v>
      </c>
      <c r="I33" s="32">
        <f t="shared" si="4"/>
        <v>3.0489135867204916E-2</v>
      </c>
      <c r="J33" s="32">
        <f t="shared" si="5"/>
        <v>0.13400000000000001</v>
      </c>
      <c r="K33" s="32">
        <f t="shared" si="6"/>
        <v>7.856812832342859E-2</v>
      </c>
      <c r="L33" s="16">
        <f>G33/'Clause 6'!$I$11</f>
        <v>52.5512455</v>
      </c>
      <c r="M33">
        <f t="shared" si="7"/>
        <v>4</v>
      </c>
      <c r="O33" s="82">
        <f t="shared" si="10"/>
        <v>-1.7819244645685961E-2</v>
      </c>
      <c r="P33" s="82">
        <f t="shared" si="8"/>
        <v>3.9328801445819295E-2</v>
      </c>
      <c r="Q33" s="82">
        <f t="shared" si="8"/>
        <v>1.7729770077476115E-2</v>
      </c>
      <c r="R33" s="82">
        <f t="shared" si="8"/>
        <v>-3.9239326877609337E-2</v>
      </c>
      <c r="S33" s="82">
        <f t="shared" si="8"/>
        <v>0</v>
      </c>
    </row>
    <row r="34" spans="1:19" x14ac:dyDescent="0.35">
      <c r="A34" s="11" t="s">
        <v>88</v>
      </c>
      <c r="B34" s="30">
        <f t="shared" si="9"/>
        <v>37.359299</v>
      </c>
      <c r="C34" s="30">
        <f t="shared" si="11"/>
        <v>37.923457999999997</v>
      </c>
      <c r="D34" s="30"/>
      <c r="E34" s="30">
        <f t="shared" si="13"/>
        <v>35.033301999999999</v>
      </c>
      <c r="F34" s="30">
        <f t="shared" si="14"/>
        <v>34.480412000000001</v>
      </c>
      <c r="G34" s="22">
        <f t="shared" si="2"/>
        <v>36.199117749999999</v>
      </c>
      <c r="H34" s="34">
        <f t="shared" si="3"/>
        <v>848.51810739708969</v>
      </c>
      <c r="I34" s="32">
        <f t="shared" si="4"/>
        <v>4.0582513769537393E-2</v>
      </c>
      <c r="J34" s="32">
        <f t="shared" si="5"/>
        <v>0.156</v>
      </c>
      <c r="K34" s="32">
        <f t="shared" si="6"/>
        <v>9.5114086033215417E-2</v>
      </c>
      <c r="L34" s="16">
        <f>G34/'Clause 6'!$I$11</f>
        <v>36.199117749999999</v>
      </c>
      <c r="M34">
        <f t="shared" si="7"/>
        <v>4</v>
      </c>
      <c r="O34" s="82">
        <f t="shared" si="10"/>
        <v>3.2049986908865957E-2</v>
      </c>
      <c r="P34" s="82">
        <f t="shared" si="8"/>
        <v>4.7634869498994759E-2</v>
      </c>
      <c r="Q34" s="82">
        <f t="shared" si="8"/>
        <v>0</v>
      </c>
      <c r="R34" s="82">
        <f t="shared" si="8"/>
        <v>-3.2205639873640335E-2</v>
      </c>
      <c r="S34" s="82">
        <f t="shared" si="8"/>
        <v>-4.7479216534220603E-2</v>
      </c>
    </row>
    <row r="35" spans="1:19" x14ac:dyDescent="0.35">
      <c r="A35" s="11" t="s">
        <v>89</v>
      </c>
      <c r="B35" s="30"/>
      <c r="C35" s="30">
        <f t="shared" si="11"/>
        <v>26.175429999999999</v>
      </c>
      <c r="D35" s="30">
        <f t="shared" si="12"/>
        <v>24.668500999999999</v>
      </c>
      <c r="E35" s="30">
        <f t="shared" si="13"/>
        <v>23.492920000000002</v>
      </c>
      <c r="F35" s="30">
        <f t="shared" si="14"/>
        <v>23.537527000000001</v>
      </c>
      <c r="G35" s="22">
        <f t="shared" si="2"/>
        <v>24.468594499999998</v>
      </c>
      <c r="H35" s="34">
        <f t="shared" si="3"/>
        <v>573.5511467211611</v>
      </c>
      <c r="I35" s="32">
        <f t="shared" si="4"/>
        <v>4.4639027285488693E-2</v>
      </c>
      <c r="J35" s="32">
        <f t="shared" si="5"/>
        <v>0.156</v>
      </c>
      <c r="K35" s="32">
        <f t="shared" si="6"/>
        <v>0.10963073502239767</v>
      </c>
      <c r="L35" s="16">
        <f>G35/'Clause 6'!$I$11</f>
        <v>24.468594499999998</v>
      </c>
      <c r="M35">
        <f t="shared" si="7"/>
        <v>4</v>
      </c>
      <c r="O35" s="82">
        <f t="shared" si="10"/>
        <v>0</v>
      </c>
      <c r="P35" s="82">
        <f t="shared" si="8"/>
        <v>6.9756172550082596E-2</v>
      </c>
      <c r="Q35" s="82">
        <f t="shared" si="8"/>
        <v>8.1699216520181306E-3</v>
      </c>
      <c r="R35" s="82">
        <f t="shared" si="8"/>
        <v>-3.9874562472315134E-2</v>
      </c>
      <c r="S35" s="82">
        <f t="shared" si="8"/>
        <v>-3.8051531729785149E-2</v>
      </c>
    </row>
    <row r="36" spans="1:19" x14ac:dyDescent="0.35">
      <c r="A36" s="11" t="s">
        <v>90</v>
      </c>
      <c r="B36" s="30">
        <f t="shared" si="9"/>
        <v>19.662787999999999</v>
      </c>
      <c r="C36" s="30">
        <f t="shared" si="11"/>
        <v>18.549519</v>
      </c>
      <c r="D36" s="30">
        <f t="shared" si="12"/>
        <v>16.376567999999999</v>
      </c>
      <c r="E36" s="30">
        <f t="shared" si="13"/>
        <v>16.486259</v>
      </c>
      <c r="F36" s="30"/>
      <c r="G36" s="22">
        <f t="shared" si="2"/>
        <v>17.768783499999998</v>
      </c>
      <c r="H36" s="34">
        <f t="shared" si="3"/>
        <v>416.50558033748302</v>
      </c>
      <c r="I36" s="32">
        <f t="shared" si="4"/>
        <v>7.8487458513646163E-2</v>
      </c>
      <c r="J36" s="32">
        <f t="shared" si="5"/>
        <v>0.193</v>
      </c>
      <c r="K36" s="32">
        <f t="shared" si="6"/>
        <v>0.18494344308939328</v>
      </c>
      <c r="L36" s="16">
        <f>G36/'Clause 6'!$I$11</f>
        <v>17.768783499999998</v>
      </c>
      <c r="M36">
        <f t="shared" si="7"/>
        <v>4</v>
      </c>
      <c r="O36" s="82">
        <f t="shared" si="10"/>
        <v>0.10659168085423532</v>
      </c>
      <c r="P36" s="82">
        <f t="shared" si="8"/>
        <v>4.3938601649347708E-2</v>
      </c>
      <c r="Q36" s="82">
        <f t="shared" si="8"/>
        <v>-7.8351762235158051E-2</v>
      </c>
      <c r="R36" s="82">
        <f t="shared" si="8"/>
        <v>-7.2178520268424529E-2</v>
      </c>
      <c r="S36" s="82">
        <f t="shared" si="8"/>
        <v>0</v>
      </c>
    </row>
    <row r="37" spans="1:19" x14ac:dyDescent="0.35">
      <c r="A37" s="11" t="s">
        <v>91</v>
      </c>
      <c r="B37" s="30"/>
      <c r="C37" s="30">
        <f t="shared" si="11"/>
        <v>12.366345000000001</v>
      </c>
      <c r="D37" s="30">
        <f t="shared" si="12"/>
        <v>9.7430210000000006</v>
      </c>
      <c r="E37" s="30">
        <f t="shared" si="13"/>
        <v>9.6856779999999993</v>
      </c>
      <c r="F37" s="30">
        <f t="shared" si="14"/>
        <v>10.117006999999999</v>
      </c>
      <c r="G37" s="22">
        <f t="shared" si="2"/>
        <v>10.47801275</v>
      </c>
      <c r="H37" s="34">
        <f t="shared" si="3"/>
        <v>245.60774130779956</v>
      </c>
      <c r="I37" s="32">
        <f t="shared" si="4"/>
        <v>0.1052431203810866</v>
      </c>
      <c r="J37" s="32">
        <f t="shared" si="5"/>
        <v>0.193</v>
      </c>
      <c r="K37" s="32">
        <f t="shared" si="6"/>
        <v>0.2558373485468417</v>
      </c>
      <c r="L37" s="16">
        <f>G37/'Clause 6'!$I$11</f>
        <v>10.47801275</v>
      </c>
      <c r="M37">
        <f t="shared" si="7"/>
        <v>4</v>
      </c>
      <c r="O37" s="82">
        <f t="shared" si="10"/>
        <v>0</v>
      </c>
      <c r="P37" s="82">
        <f t="shared" si="8"/>
        <v>0.18021854859834963</v>
      </c>
      <c r="Q37" s="82">
        <f t="shared" si="8"/>
        <v>-7.01461018932239E-2</v>
      </c>
      <c r="R37" s="82">
        <f t="shared" si="8"/>
        <v>-7.5618799948492188E-2</v>
      </c>
      <c r="S37" s="82">
        <f t="shared" si="8"/>
        <v>-3.4453646756633316E-2</v>
      </c>
    </row>
    <row r="38" spans="1:19" x14ac:dyDescent="0.35">
      <c r="A38" s="11" t="s">
        <v>92</v>
      </c>
      <c r="B38" s="30"/>
      <c r="C38" s="30">
        <f t="shared" si="11"/>
        <v>8.6564420000000002</v>
      </c>
      <c r="D38" s="30">
        <f t="shared" si="12"/>
        <v>6.4262480000000002</v>
      </c>
      <c r="E38" s="30">
        <f t="shared" si="13"/>
        <v>5.9762690000000003</v>
      </c>
      <c r="F38" s="30">
        <f t="shared" si="14"/>
        <v>5.9876170000000002</v>
      </c>
      <c r="G38" s="22">
        <f t="shared" si="2"/>
        <v>6.7616440000000004</v>
      </c>
      <c r="H38" s="34">
        <f t="shared" si="3"/>
        <v>158.49495032991206</v>
      </c>
      <c r="I38" s="32">
        <f t="shared" si="4"/>
        <v>0.16399932447557256</v>
      </c>
      <c r="J38" s="32">
        <f t="shared" si="5"/>
        <v>0.27500000000000002</v>
      </c>
      <c r="K38" s="32">
        <f t="shared" si="6"/>
        <v>0.3963788983862504</v>
      </c>
      <c r="L38" s="16">
        <f>G38/'Clause 6'!$I$11</f>
        <v>6.7616440000000004</v>
      </c>
      <c r="M38">
        <f t="shared" si="7"/>
        <v>4</v>
      </c>
      <c r="O38" s="82">
        <f t="shared" si="10"/>
        <v>0</v>
      </c>
      <c r="P38" s="82">
        <f t="shared" si="8"/>
        <v>0.28022741215006297</v>
      </c>
      <c r="Q38" s="82">
        <f t="shared" si="8"/>
        <v>-4.9602729750338859E-2</v>
      </c>
      <c r="R38" s="82">
        <f t="shared" si="8"/>
        <v>-0.11615148623618754</v>
      </c>
      <c r="S38" s="82">
        <f t="shared" si="8"/>
        <v>-0.11447319616353657</v>
      </c>
    </row>
    <row r="40" spans="1:19" x14ac:dyDescent="0.35">
      <c r="A40" t="s">
        <v>93</v>
      </c>
    </row>
    <row r="41" spans="1:19" ht="15" x14ac:dyDescent="0.5">
      <c r="A41" s="36"/>
      <c r="B41" s="37" t="s">
        <v>94</v>
      </c>
      <c r="C41" s="36"/>
      <c r="D41" s="38" t="s">
        <v>95</v>
      </c>
      <c r="E41" s="39"/>
      <c r="F41" s="39"/>
      <c r="G41" s="39"/>
      <c r="H41" s="40"/>
    </row>
    <row r="42" spans="1:19" ht="15" x14ac:dyDescent="0.5">
      <c r="A42" s="41" t="s">
        <v>96</v>
      </c>
      <c r="B42" s="42" t="s">
        <v>97</v>
      </c>
      <c r="C42" s="41" t="s">
        <v>98</v>
      </c>
      <c r="D42" s="41" t="s">
        <v>99</v>
      </c>
      <c r="E42" s="42" t="s">
        <v>100</v>
      </c>
      <c r="F42" s="42" t="s">
        <v>101</v>
      </c>
      <c r="G42" s="42" t="s">
        <v>102</v>
      </c>
      <c r="H42" s="43" t="s">
        <v>103</v>
      </c>
    </row>
    <row r="43" spans="1:19" x14ac:dyDescent="0.35">
      <c r="A43" s="44">
        <v>10000</v>
      </c>
      <c r="C43" s="44">
        <v>11</v>
      </c>
      <c r="D43" s="44">
        <v>7.8</v>
      </c>
      <c r="E43">
        <v>5.3</v>
      </c>
      <c r="F43">
        <v>4</v>
      </c>
      <c r="G43">
        <v>2.7</v>
      </c>
      <c r="H43" s="45">
        <v>1.8</v>
      </c>
    </row>
    <row r="44" spans="1:19" x14ac:dyDescent="0.35">
      <c r="A44" s="44">
        <v>5000</v>
      </c>
      <c r="B44">
        <v>10000</v>
      </c>
      <c r="C44" s="44">
        <v>11.3</v>
      </c>
      <c r="D44" s="44">
        <v>7.8</v>
      </c>
      <c r="E44">
        <v>5.3</v>
      </c>
      <c r="F44">
        <v>4</v>
      </c>
      <c r="G44">
        <v>2.7</v>
      </c>
      <c r="H44" s="45">
        <v>1.9</v>
      </c>
    </row>
    <row r="45" spans="1:19" x14ac:dyDescent="0.35">
      <c r="A45" s="44">
        <v>2000</v>
      </c>
      <c r="B45">
        <v>5000</v>
      </c>
      <c r="C45" s="44">
        <v>11.9</v>
      </c>
      <c r="D45" s="44">
        <v>7.9</v>
      </c>
      <c r="E45">
        <v>5.4</v>
      </c>
      <c r="F45">
        <v>4.0999999999999996</v>
      </c>
      <c r="G45">
        <v>2.9</v>
      </c>
      <c r="H45" s="45">
        <v>2.1</v>
      </c>
    </row>
    <row r="46" spans="1:19" x14ac:dyDescent="0.35">
      <c r="A46" s="44">
        <v>1000</v>
      </c>
      <c r="B46">
        <v>2000</v>
      </c>
      <c r="C46" s="44">
        <v>13.4</v>
      </c>
      <c r="D46" s="44">
        <v>8</v>
      </c>
      <c r="E46">
        <v>5.6</v>
      </c>
      <c r="F46">
        <v>4.3</v>
      </c>
      <c r="G46">
        <v>3.1</v>
      </c>
      <c r="H46" s="45">
        <v>2.4</v>
      </c>
    </row>
    <row r="47" spans="1:19" x14ac:dyDescent="0.35">
      <c r="A47" s="44">
        <v>500</v>
      </c>
      <c r="B47">
        <v>1000</v>
      </c>
      <c r="C47" s="44">
        <v>15.6</v>
      </c>
      <c r="D47" s="44">
        <v>8.1999999999999993</v>
      </c>
      <c r="E47">
        <v>5.9</v>
      </c>
      <c r="F47">
        <v>4.7</v>
      </c>
      <c r="G47">
        <v>3.6</v>
      </c>
      <c r="H47" s="45">
        <v>2.9</v>
      </c>
    </row>
    <row r="48" spans="1:19" x14ac:dyDescent="0.35">
      <c r="A48" s="44">
        <v>200</v>
      </c>
      <c r="B48">
        <v>500</v>
      </c>
      <c r="C48" s="44">
        <v>19.3</v>
      </c>
      <c r="D48" s="44">
        <v>8.9</v>
      </c>
      <c r="E48">
        <v>6.8</v>
      </c>
      <c r="F48">
        <v>5.7</v>
      </c>
      <c r="G48">
        <v>4.7</v>
      </c>
      <c r="H48" s="45">
        <v>4.0999999999999996</v>
      </c>
    </row>
    <row r="49" spans="1:16" x14ac:dyDescent="0.35">
      <c r="A49" s="46">
        <v>100</v>
      </c>
      <c r="B49" s="47">
        <v>200</v>
      </c>
      <c r="C49" s="46">
        <v>27.5</v>
      </c>
      <c r="D49" s="46">
        <v>10</v>
      </c>
      <c r="E49" s="47">
        <v>8</v>
      </c>
      <c r="F49" s="47">
        <v>7</v>
      </c>
      <c r="G49" s="47">
        <v>6.1</v>
      </c>
      <c r="H49" s="48">
        <v>5.5</v>
      </c>
    </row>
    <row r="51" spans="1:16" x14ac:dyDescent="0.35">
      <c r="A51" s="49">
        <f>'6 - B1'!A51</f>
        <v>0</v>
      </c>
      <c r="B51" s="50" t="str">
        <f>'6 - B1'!B51</f>
        <v>Portion 1</v>
      </c>
      <c r="C51" s="50" t="str">
        <f>'6 - B1'!C51</f>
        <v>Portion 2</v>
      </c>
      <c r="D51" s="50" t="str">
        <f>'6 - B1'!D51</f>
        <v>Portion 3</v>
      </c>
      <c r="E51" s="50" t="str">
        <f>'6 - B1'!E51</f>
        <v>Portion 4</v>
      </c>
      <c r="F51" s="50" t="str">
        <f>'6 - B1'!F51</f>
        <v>Portion 5</v>
      </c>
      <c r="G51" s="50" t="str">
        <f>'6 - B1'!G51</f>
        <v>Portion 1</v>
      </c>
      <c r="H51" s="50" t="str">
        <f>'6 - B1'!H51</f>
        <v>Portion 2</v>
      </c>
      <c r="I51" s="50" t="str">
        <f>'6 - B1'!I51</f>
        <v>Portion 3</v>
      </c>
      <c r="J51" s="50" t="str">
        <f>'6 - B1'!J51</f>
        <v>Portion 4</v>
      </c>
      <c r="K51" s="50" t="str">
        <f>'6 - B1'!K51</f>
        <v>Portion 5</v>
      </c>
      <c r="L51" s="50" t="str">
        <f>'6 - B1'!L51</f>
        <v>Portion 1</v>
      </c>
      <c r="M51" s="50" t="str">
        <f>'6 - B1'!M51</f>
        <v>Portion 2</v>
      </c>
      <c r="N51" s="50" t="str">
        <f>'6 - B1'!N51</f>
        <v>Portion 3</v>
      </c>
      <c r="O51" s="50" t="str">
        <f>'6 - B1'!O51</f>
        <v>Portion 4</v>
      </c>
      <c r="P51" s="50" t="str">
        <f>'6 - B1'!P51</f>
        <v>Portion 5</v>
      </c>
    </row>
    <row r="52" spans="1:16" x14ac:dyDescent="0.35">
      <c r="A52" s="49" t="str">
        <f>'6 - B1'!A52</f>
        <v>NAME\mL</v>
      </c>
      <c r="B52" s="49">
        <f>'6 - B1'!B52</f>
        <v>4.0547430000000002</v>
      </c>
      <c r="C52" s="49">
        <f>'6 - B1'!C52</f>
        <v>4.8094239999999999</v>
      </c>
      <c r="D52" s="49">
        <f>'6 - B1'!D52</f>
        <v>4.7879189999999996</v>
      </c>
      <c r="E52" s="49">
        <f>'6 - B1'!E52</f>
        <v>4.8084129999999998</v>
      </c>
      <c r="F52" s="49">
        <f>'6 - B1'!F52</f>
        <v>4.8073949999999996</v>
      </c>
      <c r="G52" s="49">
        <f>'6 - B1'!G52</f>
        <v>4.0635529999999997</v>
      </c>
      <c r="H52" s="49">
        <f>'6 - B1'!H52</f>
        <v>4.8327090000000004</v>
      </c>
      <c r="I52" s="49">
        <f>'6 - B1'!I52</f>
        <v>4.8030489999999997</v>
      </c>
      <c r="J52" s="49">
        <f>'6 - B1'!J52</f>
        <v>4.8428339999999999</v>
      </c>
      <c r="K52" s="49">
        <f>'6 - B1'!K52</f>
        <v>4.8417599999999998</v>
      </c>
      <c r="L52" s="49">
        <f>'6 - B1'!L52</f>
        <v>4.0685989999999999</v>
      </c>
      <c r="M52" s="49">
        <f>'6 - B1'!M52</f>
        <v>4.8518780000000001</v>
      </c>
      <c r="N52" s="49">
        <f>'6 - B1'!N52</f>
        <v>4.8239660000000004</v>
      </c>
      <c r="O52" s="49">
        <f>'6 - B1'!O52</f>
        <v>4.8525260000000001</v>
      </c>
      <c r="P52" s="49">
        <f>'6 - B1'!P52</f>
        <v>4.8433289999999998</v>
      </c>
    </row>
    <row r="53" spans="1:16" x14ac:dyDescent="0.35">
      <c r="A53" s="49">
        <f>'6 - B1'!A53</f>
        <v>4</v>
      </c>
      <c r="B53" s="49">
        <f>'6 - B1'!B53</f>
        <v>17172.728515999999</v>
      </c>
      <c r="C53" s="49">
        <f>'6 - B1'!C53</f>
        <v>18013.798827999999</v>
      </c>
      <c r="D53" s="49">
        <f>'6 - B1'!D53</f>
        <v>17694.746093999998</v>
      </c>
      <c r="E53" s="49">
        <f>'6 - B1'!E53</f>
        <v>17755.755859000001</v>
      </c>
      <c r="F53" s="49">
        <f>'6 - B1'!F53</f>
        <v>17871.007812</v>
      </c>
      <c r="G53" s="49">
        <f>'6 - B1'!G53</f>
        <v>16827.638672000001</v>
      </c>
      <c r="H53" s="49">
        <f>'6 - B1'!H53</f>
        <v>16932.119140999999</v>
      </c>
      <c r="I53" s="49">
        <f>'6 - B1'!I53</f>
        <v>16784.130859000001</v>
      </c>
      <c r="J53" s="49">
        <f>'6 - B1'!J53</f>
        <v>16826.306640999999</v>
      </c>
      <c r="K53" s="49">
        <f>'6 - B1'!K53</f>
        <v>16767.251952999999</v>
      </c>
      <c r="L53" s="49">
        <f>'6 - B1'!L53</f>
        <v>16408.597656000002</v>
      </c>
      <c r="M53" s="49">
        <f>'6 - B1'!M53</f>
        <v>16392.826172000001</v>
      </c>
      <c r="N53" s="49">
        <f>'6 - B1'!N53</f>
        <v>16398.333984000001</v>
      </c>
      <c r="O53" s="49">
        <f>'6 - B1'!O53</f>
        <v>16291.309569999999</v>
      </c>
      <c r="P53" s="49">
        <f>'6 - B1'!P53</f>
        <v>16628.849609000001</v>
      </c>
    </row>
    <row r="54" spans="1:16" x14ac:dyDescent="0.35">
      <c r="A54" s="49">
        <f>'6 - B1'!A54</f>
        <v>5</v>
      </c>
      <c r="B54" s="49">
        <f>'6 - B1'!B54</f>
        <v>14791.320312</v>
      </c>
      <c r="C54" s="49">
        <f>'6 - B1'!C54</f>
        <v>15499.568359000001</v>
      </c>
      <c r="D54" s="49">
        <f>'6 - B1'!D54</f>
        <v>15225.614258</v>
      </c>
      <c r="E54" s="49">
        <f>'6 - B1'!E54</f>
        <v>15256.802734000001</v>
      </c>
      <c r="F54" s="49">
        <f>'6 - B1'!F54</f>
        <v>15308.497069999999</v>
      </c>
      <c r="G54" s="49">
        <f>'6 - B1'!G54</f>
        <v>14510.455078000001</v>
      </c>
      <c r="H54" s="49">
        <f>'6 - B1'!H54</f>
        <v>14560.984375</v>
      </c>
      <c r="I54" s="49">
        <f>'6 - B1'!I54</f>
        <v>14468.518555000001</v>
      </c>
      <c r="J54" s="49">
        <f>'6 - B1'!J54</f>
        <v>14562.755859000001</v>
      </c>
      <c r="K54" s="49">
        <f>'6 - B1'!K54</f>
        <v>14458.172852</v>
      </c>
      <c r="L54" s="49">
        <f>'6 - B1'!L54</f>
        <v>14150.326171999999</v>
      </c>
      <c r="M54" s="49">
        <f>'6 - B1'!M54</f>
        <v>14173.068359000001</v>
      </c>
      <c r="N54" s="49">
        <f>'6 - B1'!N54</f>
        <v>14169.669921999999</v>
      </c>
      <c r="O54" s="49">
        <f>'6 - B1'!O54</f>
        <v>14120.893555000001</v>
      </c>
      <c r="P54" s="49">
        <f>'6 - B1'!P54</f>
        <v>14335.592773</v>
      </c>
    </row>
    <row r="55" spans="1:16" x14ac:dyDescent="0.35">
      <c r="A55" s="49">
        <f>'6 - B1'!A55</f>
        <v>6</v>
      </c>
      <c r="B55" s="49">
        <f>'6 - B1'!B55</f>
        <v>12886.637694999999</v>
      </c>
      <c r="C55" s="49">
        <f>'6 - B1'!C55</f>
        <v>13455.248046999999</v>
      </c>
      <c r="D55" s="49">
        <f>'6 - B1'!D55</f>
        <v>13232.889648</v>
      </c>
      <c r="E55" s="49">
        <f>'6 - B1'!E55</f>
        <v>13263.212890999999</v>
      </c>
      <c r="F55" s="49">
        <f>'6 - B1'!F55</f>
        <v>13219.839844</v>
      </c>
      <c r="G55" s="49">
        <f>'6 - B1'!G55</f>
        <v>12624.913086</v>
      </c>
      <c r="H55" s="49">
        <f>'6 - B1'!H55</f>
        <v>12696.606444999999</v>
      </c>
      <c r="I55" s="49">
        <f>'6 - B1'!I55</f>
        <v>12583.465819999999</v>
      </c>
      <c r="J55" s="49">
        <f>'6 - B1'!J55</f>
        <v>12660.976562</v>
      </c>
      <c r="K55" s="49">
        <f>'6 - B1'!K55</f>
        <v>12591.703125</v>
      </c>
      <c r="L55" s="49">
        <f>'6 - B1'!L55</f>
        <v>12326.111328000001</v>
      </c>
      <c r="M55" s="49">
        <f>'6 - B1'!M55</f>
        <v>12313.169921999999</v>
      </c>
      <c r="N55" s="49">
        <f>'6 - B1'!N55</f>
        <v>12321.190430000001</v>
      </c>
      <c r="O55" s="49">
        <f>'6 - B1'!O55</f>
        <v>12285.972656</v>
      </c>
      <c r="P55" s="49">
        <f>'6 - B1'!P55</f>
        <v>12467.043944999999</v>
      </c>
    </row>
    <row r="56" spans="1:16" x14ac:dyDescent="0.35">
      <c r="A56" s="49">
        <f>'6 - B1'!A56</f>
        <v>7</v>
      </c>
      <c r="B56" s="49">
        <f>'6 - B1'!B56</f>
        <v>11006.863281</v>
      </c>
      <c r="C56" s="49">
        <f>'6 - B1'!C56</f>
        <v>11483.910156</v>
      </c>
      <c r="D56" s="49">
        <f>'6 - B1'!D56</f>
        <v>11296.975586</v>
      </c>
      <c r="E56" s="49">
        <f>'6 - B1'!E56</f>
        <v>11344.700194999999</v>
      </c>
      <c r="F56" s="49">
        <f>'6 - B1'!F56</f>
        <v>11314.650390999999</v>
      </c>
      <c r="G56" s="49">
        <f>'6 - B1'!G56</f>
        <v>10846.912109000001</v>
      </c>
      <c r="H56" s="49">
        <f>'6 - B1'!H56</f>
        <v>10883.336914</v>
      </c>
      <c r="I56" s="49">
        <f>'6 - B1'!I56</f>
        <v>10800.431640999999</v>
      </c>
      <c r="J56" s="49">
        <f>'6 - B1'!J56</f>
        <v>10839.728515999999</v>
      </c>
      <c r="K56" s="49">
        <f>'6 - B1'!K56</f>
        <v>10808.466796999999</v>
      </c>
      <c r="L56" s="49">
        <f>'6 - B1'!L56</f>
        <v>10568.257812</v>
      </c>
      <c r="M56" s="49">
        <f>'6 - B1'!M56</f>
        <v>10559.828125</v>
      </c>
      <c r="N56" s="49">
        <f>'6 - B1'!N56</f>
        <v>10560.813477</v>
      </c>
      <c r="O56" s="49">
        <f>'6 - B1'!O56</f>
        <v>10545.848633</v>
      </c>
      <c r="P56" s="49">
        <f>'6 - B1'!P56</f>
        <v>10643.297852</v>
      </c>
    </row>
    <row r="57" spans="1:16" x14ac:dyDescent="0.35">
      <c r="A57" s="49">
        <f>'6 - B1'!A57</f>
        <v>8</v>
      </c>
      <c r="B57" s="49">
        <f>'6 - B1'!B57</f>
        <v>9332.28125</v>
      </c>
      <c r="C57" s="49">
        <f>'6 - B1'!C57</f>
        <v>9714.2597659999992</v>
      </c>
      <c r="D57" s="49">
        <f>'6 - B1'!D57</f>
        <v>9560.9394530000009</v>
      </c>
      <c r="E57" s="49">
        <f>'6 - B1'!E57</f>
        <v>9625.2138670000004</v>
      </c>
      <c r="F57" s="49">
        <f>'6 - B1'!F57</f>
        <v>9596.6728519999997</v>
      </c>
      <c r="G57" s="49">
        <f>'6 - B1'!G57</f>
        <v>9230.8388670000004</v>
      </c>
      <c r="H57" s="49">
        <f>'6 - B1'!H57</f>
        <v>9252.78125</v>
      </c>
      <c r="I57" s="49">
        <f>'6 - B1'!I57</f>
        <v>9199.1572269999997</v>
      </c>
      <c r="J57" s="49">
        <f>'6 - B1'!J57</f>
        <v>9230.546875</v>
      </c>
      <c r="K57" s="49">
        <f>'6 - B1'!K57</f>
        <v>9197.0693360000005</v>
      </c>
      <c r="L57" s="49">
        <f>'6 - B1'!L57</f>
        <v>9002.3623050000006</v>
      </c>
      <c r="M57" s="49">
        <f>'6 - B1'!M57</f>
        <v>8993.8369139999995</v>
      </c>
      <c r="N57" s="49">
        <f>'6 - B1'!N57</f>
        <v>8994.6748050000006</v>
      </c>
      <c r="O57" s="49">
        <f>'6 - B1'!O57</f>
        <v>9017.5722659999992</v>
      </c>
      <c r="P57" s="49">
        <f>'6 - B1'!P57</f>
        <v>9093.3310550000006</v>
      </c>
    </row>
    <row r="58" spans="1:16" x14ac:dyDescent="0.35">
      <c r="A58" s="49">
        <f>'6 - B1'!A58</f>
        <v>9</v>
      </c>
      <c r="B58" s="49">
        <f>'6 - B1'!B58</f>
        <v>7981.7641599999997</v>
      </c>
      <c r="C58" s="49">
        <f>'6 - B1'!C58</f>
        <v>8287.2705079999996</v>
      </c>
      <c r="D58" s="49">
        <f>'6 - B1'!D58</f>
        <v>8145.7109380000002</v>
      </c>
      <c r="E58" s="49">
        <f>'6 - B1'!E58</f>
        <v>8210.1943360000005</v>
      </c>
      <c r="F58" s="49">
        <f>'6 - B1'!F58</f>
        <v>8143.4946289999998</v>
      </c>
      <c r="G58" s="49">
        <f>'6 - B1'!G58</f>
        <v>7874.3901370000003</v>
      </c>
      <c r="H58" s="49">
        <f>'6 - B1'!H58</f>
        <v>7884.1909180000002</v>
      </c>
      <c r="I58" s="49">
        <f>'6 - B1'!I58</f>
        <v>7845.4335940000001</v>
      </c>
      <c r="J58" s="49">
        <f>'6 - B1'!J58</f>
        <v>7907.3540039999998</v>
      </c>
      <c r="K58" s="49">
        <f>'6 - B1'!K58</f>
        <v>7868.626953</v>
      </c>
      <c r="L58" s="49">
        <f>'6 - B1'!L58</f>
        <v>7721.0859380000002</v>
      </c>
      <c r="M58" s="49">
        <f>'6 - B1'!M58</f>
        <v>7698.8745120000003</v>
      </c>
      <c r="N58" s="49">
        <f>'6 - B1'!N58</f>
        <v>7701.7548829999996</v>
      </c>
      <c r="O58" s="49">
        <f>'6 - B1'!O58</f>
        <v>7707.1206050000001</v>
      </c>
      <c r="P58" s="49">
        <f>'6 - B1'!P58</f>
        <v>7751.8989259999998</v>
      </c>
    </row>
    <row r="59" spans="1:16" x14ac:dyDescent="0.35">
      <c r="A59" s="49">
        <f>'6 - B1'!A59</f>
        <v>10</v>
      </c>
      <c r="B59" s="49">
        <f>'6 - B1'!B59</f>
        <v>6715.8388670000004</v>
      </c>
      <c r="C59" s="49">
        <f>'6 - B1'!C59</f>
        <v>6921.4101559999999</v>
      </c>
      <c r="D59" s="49">
        <f>'6 - B1'!D59</f>
        <v>6860.6010740000002</v>
      </c>
      <c r="E59" s="49">
        <f>'6 - B1'!E59</f>
        <v>6911.0126950000003</v>
      </c>
      <c r="F59" s="49">
        <f>'6 - B1'!F59</f>
        <v>6871.4960940000001</v>
      </c>
      <c r="G59" s="49">
        <f>'6 - B1'!G59</f>
        <v>6655.013672</v>
      </c>
      <c r="H59" s="49">
        <f>'6 - B1'!H59</f>
        <v>6642.2373049999997</v>
      </c>
      <c r="I59" s="49">
        <f>'6 - B1'!I59</f>
        <v>6643.9052730000003</v>
      </c>
      <c r="J59" s="49">
        <f>'6 - B1'!J59</f>
        <v>6673.3657229999999</v>
      </c>
      <c r="K59" s="49">
        <f>'6 - B1'!K59</f>
        <v>6641.8002930000002</v>
      </c>
      <c r="L59" s="49">
        <f>'6 - B1'!L59</f>
        <v>6564.1762699999999</v>
      </c>
      <c r="M59" s="49">
        <f>'6 - B1'!M59</f>
        <v>6490.888672</v>
      </c>
      <c r="N59" s="49">
        <f>'6 - B1'!N59</f>
        <v>6520.7763670000004</v>
      </c>
      <c r="O59" s="49">
        <f>'6 - B1'!O59</f>
        <v>6520.1098629999997</v>
      </c>
      <c r="P59" s="49">
        <f>'6 - B1'!P59</f>
        <v>6548.8007809999999</v>
      </c>
    </row>
    <row r="60" spans="1:16" x14ac:dyDescent="0.35">
      <c r="A60" s="49">
        <f>'6 - B1'!A60</f>
        <v>11</v>
      </c>
      <c r="B60" s="49">
        <f>'6 - B1'!B60</f>
        <v>5611.453125</v>
      </c>
      <c r="C60" s="49">
        <f>'6 - B1'!C60</f>
        <v>5767.841797</v>
      </c>
      <c r="D60" s="49">
        <f>'6 - B1'!D60</f>
        <v>5697.2563479999999</v>
      </c>
      <c r="E60" s="49">
        <f>'6 - B1'!E60</f>
        <v>5761.3608400000003</v>
      </c>
      <c r="F60" s="49">
        <f>'6 - B1'!F60</f>
        <v>5713.4887699999999</v>
      </c>
      <c r="G60" s="49">
        <f>'6 - B1'!G60</f>
        <v>5571.7250979999999</v>
      </c>
      <c r="H60" s="49">
        <f>'6 - B1'!H60</f>
        <v>5543.888672</v>
      </c>
      <c r="I60" s="49">
        <f>'6 - B1'!I60</f>
        <v>5545.0200199999999</v>
      </c>
      <c r="J60" s="49">
        <f>'6 - B1'!J60</f>
        <v>5604.7763670000004</v>
      </c>
      <c r="K60" s="49">
        <f>'6 - B1'!K60</f>
        <v>5534.9711909999996</v>
      </c>
      <c r="L60" s="49">
        <f>'6 - B1'!L60</f>
        <v>5513.4462890000004</v>
      </c>
      <c r="M60" s="49">
        <f>'6 - B1'!M60</f>
        <v>5435.626953</v>
      </c>
      <c r="N60" s="49">
        <f>'6 - B1'!N60</f>
        <v>5474.9560549999997</v>
      </c>
      <c r="O60" s="49">
        <f>'6 - B1'!O60</f>
        <v>5461.4858400000003</v>
      </c>
      <c r="P60" s="49">
        <f>'6 - B1'!P60</f>
        <v>5470.2041019999997</v>
      </c>
    </row>
    <row r="61" spans="1:16" x14ac:dyDescent="0.35">
      <c r="A61" s="49">
        <f>'6 - B1'!A61</f>
        <v>12</v>
      </c>
      <c r="B61" s="49">
        <f>'6 - B1'!B61</f>
        <v>4622.2412109999996</v>
      </c>
      <c r="C61" s="49">
        <f>'6 - B1'!C61</f>
        <v>4746.5141599999997</v>
      </c>
      <c r="D61" s="49">
        <f>'6 - B1'!D61</f>
        <v>4667.9990230000003</v>
      </c>
      <c r="E61" s="49">
        <f>'6 - B1'!E61</f>
        <v>4744.3930659999996</v>
      </c>
      <c r="F61" s="49">
        <f>'6 - B1'!F61</f>
        <v>4699.6342770000001</v>
      </c>
      <c r="G61" s="49">
        <f>'6 - B1'!G61</f>
        <v>4598.1928710000002</v>
      </c>
      <c r="H61" s="49">
        <f>'6 - B1'!H61</f>
        <v>4608.595703</v>
      </c>
      <c r="I61" s="49">
        <f>'6 - B1'!I61</f>
        <v>4550.6513670000004</v>
      </c>
      <c r="J61" s="49">
        <f>'6 - B1'!J61</f>
        <v>4645.4208980000003</v>
      </c>
      <c r="K61" s="49">
        <f>'6 - B1'!K61</f>
        <v>4580.1528319999998</v>
      </c>
      <c r="L61" s="49">
        <f>'6 - B1'!L61</f>
        <v>4554.1479490000002</v>
      </c>
      <c r="M61" s="49">
        <f>'6 - B1'!M61</f>
        <v>4495.9907229999999</v>
      </c>
      <c r="N61" s="49">
        <f>'6 - B1'!N61</f>
        <v>4524.0786129999997</v>
      </c>
      <c r="O61" s="49">
        <f>'6 - B1'!O61</f>
        <v>4519.0898440000001</v>
      </c>
      <c r="P61" s="49">
        <f>'6 - B1'!P61</f>
        <v>4518.7924800000001</v>
      </c>
    </row>
    <row r="62" spans="1:16" x14ac:dyDescent="0.35">
      <c r="A62" s="49">
        <f>'6 - B1'!A62</f>
        <v>13</v>
      </c>
      <c r="B62" s="49">
        <f>'6 - B1'!B62</f>
        <v>3725.0205080000001</v>
      </c>
      <c r="C62" s="49">
        <f>'6 - B1'!C62</f>
        <v>3803.7814939999998</v>
      </c>
      <c r="D62" s="49">
        <f>'6 - B1'!D62</f>
        <v>3759.4624020000001</v>
      </c>
      <c r="E62" s="49">
        <f>'6 - B1'!E62</f>
        <v>3802.9182129999999</v>
      </c>
      <c r="F62" s="49">
        <f>'6 - B1'!F62</f>
        <v>3797.482422</v>
      </c>
      <c r="G62" s="49">
        <f>'6 - B1'!G62</f>
        <v>3710.0539549999999</v>
      </c>
      <c r="H62" s="49">
        <f>'6 - B1'!H62</f>
        <v>3713.6523440000001</v>
      </c>
      <c r="I62" s="49">
        <f>'6 - B1'!I62</f>
        <v>3667.8786620000001</v>
      </c>
      <c r="J62" s="49">
        <f>'6 - B1'!J62</f>
        <v>3742.8500979999999</v>
      </c>
      <c r="K62" s="49">
        <f>'6 - B1'!K62</f>
        <v>3694.9375</v>
      </c>
      <c r="L62" s="49">
        <f>'6 - B1'!L62</f>
        <v>3686.0356449999999</v>
      </c>
      <c r="M62" s="49">
        <f>'6 - B1'!M62</f>
        <v>3634.8811040000001</v>
      </c>
      <c r="N62" s="49">
        <f>'6 - B1'!N62</f>
        <v>3622.3310550000001</v>
      </c>
      <c r="O62" s="49">
        <f>'6 - B1'!O62</f>
        <v>3656.0341800000001</v>
      </c>
      <c r="P62" s="49">
        <f>'6 - B1'!P62</f>
        <v>3645.632568</v>
      </c>
    </row>
    <row r="63" spans="1:16" x14ac:dyDescent="0.35">
      <c r="A63" s="49">
        <f>'6 - B1'!A63</f>
        <v>14</v>
      </c>
      <c r="B63" s="49">
        <f>'6 - B1'!B63</f>
        <v>2967.6357419999999</v>
      </c>
      <c r="C63" s="49">
        <f>'6 - B1'!C63</f>
        <v>3038.2014159999999</v>
      </c>
      <c r="D63" s="49">
        <f>'6 - B1'!D63</f>
        <v>2978.1208499999998</v>
      </c>
      <c r="E63" s="49">
        <f>'6 - B1'!E63</f>
        <v>3023.243164</v>
      </c>
      <c r="F63" s="49">
        <f>'6 - B1'!F63</f>
        <v>3023.6748050000001</v>
      </c>
      <c r="G63" s="49">
        <f>'6 - B1'!G63</f>
        <v>2976.9516600000002</v>
      </c>
      <c r="H63" s="49">
        <f>'6 - B1'!H63</f>
        <v>2945.3461910000001</v>
      </c>
      <c r="I63" s="49">
        <f>'6 - B1'!I63</f>
        <v>2900.4494629999999</v>
      </c>
      <c r="J63" s="49">
        <f>'6 - B1'!J63</f>
        <v>2972.639893</v>
      </c>
      <c r="K63" s="49">
        <f>'6 - B1'!K63</f>
        <v>2940.873047</v>
      </c>
      <c r="L63" s="49">
        <f>'6 - B1'!L63</f>
        <v>2925.085693</v>
      </c>
      <c r="M63" s="49">
        <f>'6 - B1'!M63</f>
        <v>2914.9536130000001</v>
      </c>
      <c r="N63" s="49">
        <f>'6 - B1'!N63</f>
        <v>2888.7021479999999</v>
      </c>
      <c r="O63" s="49">
        <f>'6 - B1'!O63</f>
        <v>2906.3215329999998</v>
      </c>
      <c r="P63" s="49">
        <f>'6 - B1'!P63</f>
        <v>2921.3374020000001</v>
      </c>
    </row>
    <row r="64" spans="1:16" x14ac:dyDescent="0.35">
      <c r="A64" s="49">
        <f>'6 - B1'!A64</f>
        <v>15</v>
      </c>
      <c r="B64" s="49">
        <f>'6 - B1'!B64</f>
        <v>2299.2827149999998</v>
      </c>
      <c r="C64" s="49">
        <f>'6 - B1'!C64</f>
        <v>2353.919922</v>
      </c>
      <c r="D64" s="49">
        <f>'6 - B1'!D64</f>
        <v>2300.5820309999999</v>
      </c>
      <c r="E64" s="49">
        <f>'6 - B1'!E64</f>
        <v>2330.0830080000001</v>
      </c>
      <c r="F64" s="49">
        <f>'6 - B1'!F64</f>
        <v>2348.4650879999999</v>
      </c>
      <c r="G64" s="49">
        <f>'6 - B1'!G64</f>
        <v>2313.7387699999999</v>
      </c>
      <c r="H64" s="49">
        <f>'6 - B1'!H64</f>
        <v>2269.1208499999998</v>
      </c>
      <c r="I64" s="49">
        <f>'6 - B1'!I64</f>
        <v>2239.827393</v>
      </c>
      <c r="J64" s="49">
        <f>'6 - B1'!J64</f>
        <v>2297.0024410000001</v>
      </c>
      <c r="K64" s="49">
        <f>'6 - B1'!K64</f>
        <v>2271.2817380000001</v>
      </c>
      <c r="L64" s="49">
        <f>'6 - B1'!L64</f>
        <v>2259.991943</v>
      </c>
      <c r="M64" s="49">
        <f>'6 - B1'!M64</f>
        <v>2247.3771969999998</v>
      </c>
      <c r="N64" s="49">
        <f>'6 - B1'!N64</f>
        <v>2229.908203</v>
      </c>
      <c r="O64" s="49">
        <f>'6 - B1'!O64</f>
        <v>2258.6176759999998</v>
      </c>
      <c r="P64" s="49">
        <f>'6 - B1'!P64</f>
        <v>2272.8166500000002</v>
      </c>
    </row>
    <row r="65" spans="1:16" x14ac:dyDescent="0.35">
      <c r="A65" s="49">
        <f>'6 - B1'!A65</f>
        <v>16</v>
      </c>
      <c r="B65" s="49">
        <f>'6 - B1'!B65</f>
        <v>1751.529053</v>
      </c>
      <c r="C65" s="49">
        <f>'6 - B1'!C65</f>
        <v>1801.878784</v>
      </c>
      <c r="D65" s="49">
        <f>'6 - B1'!D65</f>
        <v>1765.0676269999999</v>
      </c>
      <c r="E65" s="49">
        <f>'6 - B1'!E65</f>
        <v>1774.182251</v>
      </c>
      <c r="F65" s="49">
        <f>'6 - B1'!F65</f>
        <v>1795.150879</v>
      </c>
      <c r="G65" s="49">
        <f>'6 - B1'!G65</f>
        <v>1773.0789789999999</v>
      </c>
      <c r="H65" s="49">
        <f>'6 - B1'!H65</f>
        <v>1742.087158</v>
      </c>
      <c r="I65" s="49">
        <f>'6 - B1'!I65</f>
        <v>1714.9525149999999</v>
      </c>
      <c r="J65" s="49">
        <f>'6 - B1'!J65</f>
        <v>1756.822754</v>
      </c>
      <c r="K65" s="49">
        <f>'6 - B1'!K65</f>
        <v>1742.9613039999999</v>
      </c>
      <c r="L65" s="49">
        <f>'6 - B1'!L65</f>
        <v>1735.241211</v>
      </c>
      <c r="M65" s="49">
        <f>'6 - B1'!M65</f>
        <v>1722.0135499999999</v>
      </c>
      <c r="N65" s="49">
        <f>'6 - B1'!N65</f>
        <v>1712.4914550000001</v>
      </c>
      <c r="O65" s="49">
        <f>'6 - B1'!O65</f>
        <v>1754.138062</v>
      </c>
      <c r="P65" s="49">
        <f>'6 - B1'!P65</f>
        <v>1738.6800539999999</v>
      </c>
    </row>
    <row r="66" spans="1:16" x14ac:dyDescent="0.35">
      <c r="A66" s="49">
        <f>'6 - B1'!A66</f>
        <v>17</v>
      </c>
      <c r="B66" s="49">
        <f>'6 - B1'!B66</f>
        <v>1317.2229</v>
      </c>
      <c r="C66" s="49">
        <f>'6 - B1'!C66</f>
        <v>1366.483643</v>
      </c>
      <c r="D66" s="49">
        <f>'6 - B1'!D66</f>
        <v>1326.6724850000001</v>
      </c>
      <c r="E66" s="49">
        <f>'6 - B1'!E66</f>
        <v>1331.2086179999999</v>
      </c>
      <c r="F66" s="49">
        <f>'6 - B1'!F66</f>
        <v>1352.4995120000001</v>
      </c>
      <c r="G66" s="49">
        <f>'6 - B1'!G66</f>
        <v>1326.4254149999999</v>
      </c>
      <c r="H66" s="49">
        <f>'6 - B1'!H66</f>
        <v>1299.4782709999999</v>
      </c>
      <c r="I66" s="49">
        <f>'6 - B1'!I66</f>
        <v>1295.0108640000001</v>
      </c>
      <c r="J66" s="49">
        <f>'6 - B1'!J66</f>
        <v>1312.661255</v>
      </c>
      <c r="K66" s="49">
        <f>'6 - B1'!K66</f>
        <v>1286.5157469999999</v>
      </c>
      <c r="L66" s="49">
        <f>'6 - B1'!L66</f>
        <v>1315.440552</v>
      </c>
      <c r="M66" s="49">
        <f>'6 - B1'!M66</f>
        <v>1298.466187</v>
      </c>
      <c r="N66" s="49">
        <f>'6 - B1'!N66</f>
        <v>1286.493408</v>
      </c>
      <c r="O66" s="49">
        <f>'6 - B1'!O66</f>
        <v>1319.9311520000001</v>
      </c>
      <c r="P66" s="49">
        <f>'6 - B1'!P66</f>
        <v>1320.3726810000001</v>
      </c>
    </row>
    <row r="67" spans="1:16" x14ac:dyDescent="0.35">
      <c r="A67" s="49">
        <f>'6 - B1'!A67</f>
        <v>18</v>
      </c>
      <c r="B67" s="49">
        <f>'6 - B1'!B67</f>
        <v>972.44146699999999</v>
      </c>
      <c r="C67" s="49">
        <f>'6 - B1'!C67</f>
        <v>1013.634827</v>
      </c>
      <c r="D67" s="49">
        <f>'6 - B1'!D67</f>
        <v>991.66265899999996</v>
      </c>
      <c r="E67" s="49">
        <f>'6 - B1'!E67</f>
        <v>992.01141399999995</v>
      </c>
      <c r="F67" s="49">
        <f>'6 - B1'!F67</f>
        <v>999.08569299999999</v>
      </c>
      <c r="G67" s="49">
        <f>'6 - B1'!G67</f>
        <v>988.05163600000003</v>
      </c>
      <c r="H67" s="49">
        <f>'6 - B1'!H67</f>
        <v>982.67871100000002</v>
      </c>
      <c r="I67" s="49">
        <f>'6 - B1'!I67</f>
        <v>973.96472200000005</v>
      </c>
      <c r="J67" s="49">
        <f>'6 - B1'!J67</f>
        <v>972.158142</v>
      </c>
      <c r="K67" s="49">
        <f>'6 - B1'!K67</f>
        <v>960.80767800000001</v>
      </c>
      <c r="L67" s="49">
        <f>'6 - B1'!L67</f>
        <v>990.26721199999997</v>
      </c>
      <c r="M67" s="49">
        <f>'6 - B1'!M67</f>
        <v>970.55200200000002</v>
      </c>
      <c r="N67" s="49">
        <f>'6 - B1'!N67</f>
        <v>966.21752900000001</v>
      </c>
      <c r="O67" s="49">
        <f>'6 - B1'!O67</f>
        <v>983.199341</v>
      </c>
      <c r="P67" s="49">
        <f>'6 - B1'!P67</f>
        <v>983.00146500000005</v>
      </c>
    </row>
    <row r="68" spans="1:16" x14ac:dyDescent="0.35">
      <c r="A68" s="49">
        <f>'6 - B1'!A68</f>
        <v>19</v>
      </c>
      <c r="B68" s="49">
        <f>'6 - B1'!B68</f>
        <v>729.76269500000001</v>
      </c>
      <c r="C68" s="49">
        <f>'6 - B1'!C68</f>
        <v>756.22357199999999</v>
      </c>
      <c r="D68" s="49">
        <f>'6 - B1'!D68</f>
        <v>739.36096199999997</v>
      </c>
      <c r="E68" s="49">
        <f>'6 - B1'!E68</f>
        <v>736.833618</v>
      </c>
      <c r="F68" s="49">
        <f>'6 - B1'!F68</f>
        <v>747.806152</v>
      </c>
      <c r="G68" s="49">
        <f>'6 - B1'!G68</f>
        <v>738.51629600000001</v>
      </c>
      <c r="H68" s="49">
        <f>'6 - B1'!H68</f>
        <v>728.57690400000001</v>
      </c>
      <c r="I68" s="49">
        <f>'6 - B1'!I68</f>
        <v>731.618652</v>
      </c>
      <c r="J68" s="49">
        <f>'6 - B1'!J68</f>
        <v>737.17175299999997</v>
      </c>
      <c r="K68" s="49">
        <f>'6 - B1'!K68</f>
        <v>705.73516800000004</v>
      </c>
      <c r="L68" s="49">
        <f>'6 - B1'!L68</f>
        <v>755.296875</v>
      </c>
      <c r="M68" s="49">
        <f>'6 - B1'!M68</f>
        <v>728.99603300000001</v>
      </c>
      <c r="N68" s="49">
        <f>'6 - B1'!N68</f>
        <v>725.75146500000005</v>
      </c>
      <c r="O68" s="49">
        <f>'6 - B1'!O68</f>
        <v>738.17230199999995</v>
      </c>
      <c r="P68" s="49">
        <f>'6 - B1'!P68</f>
        <v>746.80035399999997</v>
      </c>
    </row>
    <row r="69" spans="1:16" x14ac:dyDescent="0.35">
      <c r="A69" s="49">
        <f>'6 - B1'!A69</f>
        <v>20</v>
      </c>
      <c r="B69" s="49">
        <f>'6 - B1'!B69</f>
        <v>551.20636000000002</v>
      </c>
      <c r="C69" s="49">
        <f>'6 - B1'!C69</f>
        <v>570.96227999999996</v>
      </c>
      <c r="D69" s="49">
        <f>'6 - B1'!D69</f>
        <v>554.31182899999999</v>
      </c>
      <c r="E69" s="49">
        <f>'6 - B1'!E69</f>
        <v>548.82977300000005</v>
      </c>
      <c r="F69" s="49">
        <f>'6 - B1'!F69</f>
        <v>564.546875</v>
      </c>
      <c r="G69" s="49">
        <f>'6 - B1'!G69</f>
        <v>560.34710700000005</v>
      </c>
      <c r="H69" s="49">
        <f>'6 - B1'!H69</f>
        <v>547.932861</v>
      </c>
      <c r="I69" s="49">
        <f>'6 - B1'!I69</f>
        <v>555.68872099999999</v>
      </c>
      <c r="J69" s="49">
        <f>'6 - B1'!J69</f>
        <v>556.07940699999995</v>
      </c>
      <c r="K69" s="49">
        <f>'6 - B1'!K69</f>
        <v>533.07067900000004</v>
      </c>
      <c r="L69" s="49">
        <f>'6 - B1'!L69</f>
        <v>575.382385</v>
      </c>
      <c r="M69" s="49">
        <f>'6 - B1'!M69</f>
        <v>541.43981900000006</v>
      </c>
      <c r="N69" s="49">
        <f>'6 - B1'!N69</f>
        <v>550.16973900000005</v>
      </c>
      <c r="O69" s="49">
        <f>'6 - B1'!O69</f>
        <v>558.47204599999998</v>
      </c>
      <c r="P69" s="49">
        <f>'6 - B1'!P69</f>
        <v>553.75128199999995</v>
      </c>
    </row>
    <row r="70" spans="1:16" x14ac:dyDescent="0.35">
      <c r="A70" s="49">
        <f>'6 - B1'!A70</f>
        <v>21</v>
      </c>
      <c r="B70" s="49">
        <f>'6 - B1'!B70</f>
        <v>424.93447900000001</v>
      </c>
      <c r="C70" s="49">
        <f>'6 - B1'!C70</f>
        <v>423.75134300000002</v>
      </c>
      <c r="D70" s="49">
        <f>'6 - B1'!D70</f>
        <v>413.12313799999998</v>
      </c>
      <c r="E70" s="49">
        <f>'6 - B1'!E70</f>
        <v>417.393463</v>
      </c>
      <c r="F70" s="49">
        <f>'6 - B1'!F70</f>
        <v>428.09042399999998</v>
      </c>
      <c r="G70" s="49">
        <f>'6 - B1'!G70</f>
        <v>418.59921300000002</v>
      </c>
      <c r="H70" s="49">
        <f>'6 - B1'!H70</f>
        <v>414.46734600000002</v>
      </c>
      <c r="I70" s="49">
        <f>'6 - B1'!I70</f>
        <v>415.77758799999998</v>
      </c>
      <c r="J70" s="49">
        <f>'6 - B1'!J70</f>
        <v>420.208527</v>
      </c>
      <c r="K70" s="49">
        <f>'6 - B1'!K70</f>
        <v>394.071594</v>
      </c>
      <c r="L70" s="49">
        <f>'6 - B1'!L70</f>
        <v>428.15722699999998</v>
      </c>
      <c r="M70" s="49">
        <f>'6 - B1'!M70</f>
        <v>416.95193499999999</v>
      </c>
      <c r="N70" s="49">
        <f>'6 - B1'!N70</f>
        <v>412.73098800000002</v>
      </c>
      <c r="O70" s="49">
        <f>'6 - B1'!O70</f>
        <v>424.72726399999999</v>
      </c>
      <c r="P70" s="49">
        <f>'6 - B1'!P70</f>
        <v>418.51376299999998</v>
      </c>
    </row>
    <row r="71" spans="1:16" x14ac:dyDescent="0.35">
      <c r="A71" s="49">
        <f>'6 - B1'!A71</f>
        <v>22</v>
      </c>
      <c r="B71" s="49">
        <f>'6 - B1'!B71</f>
        <v>327.27105699999998</v>
      </c>
      <c r="C71" s="49">
        <f>'6 - B1'!C71</f>
        <v>316.66992199999999</v>
      </c>
      <c r="D71" s="49">
        <f>'6 - B1'!D71</f>
        <v>314.54168700000002</v>
      </c>
      <c r="E71" s="49">
        <f>'6 - B1'!E71</f>
        <v>320.47998000000001</v>
      </c>
      <c r="F71" s="49">
        <f>'6 - B1'!F71</f>
        <v>326.372162</v>
      </c>
      <c r="G71" s="49">
        <f>'6 - B1'!G71</f>
        <v>324.83889799999997</v>
      </c>
      <c r="H71" s="49">
        <f>'6 - B1'!H71</f>
        <v>312.04031400000002</v>
      </c>
      <c r="I71" s="49">
        <f>'6 - B1'!I71</f>
        <v>305.22280899999998</v>
      </c>
      <c r="J71" s="49">
        <f>'6 - B1'!J71</f>
        <v>314.485321</v>
      </c>
      <c r="K71" s="49">
        <f>'6 - B1'!K71</f>
        <v>298.65176400000001</v>
      </c>
      <c r="L71" s="49">
        <f>'6 - B1'!L71</f>
        <v>325.17336999999998</v>
      </c>
      <c r="M71" s="49">
        <f>'6 - B1'!M71</f>
        <v>313.69296300000002</v>
      </c>
      <c r="N71" s="49">
        <f>'6 - B1'!N71</f>
        <v>311.36209100000002</v>
      </c>
      <c r="O71" s="49">
        <f>'6 - B1'!O71</f>
        <v>323.955017</v>
      </c>
      <c r="P71" s="49">
        <f>'6 - B1'!P71</f>
        <v>318.58248900000001</v>
      </c>
    </row>
    <row r="72" spans="1:16" x14ac:dyDescent="0.35">
      <c r="A72" s="49">
        <f>'6 - B1'!A72</f>
        <v>23</v>
      </c>
      <c r="B72" s="49">
        <f>'6 - B1'!B72</f>
        <v>245.39164700000001</v>
      </c>
      <c r="C72" s="49">
        <f>'6 - B1'!C72</f>
        <v>240.777252</v>
      </c>
      <c r="D72" s="49">
        <f>'6 - B1'!D72</f>
        <v>232.87780799999999</v>
      </c>
      <c r="E72" s="49">
        <f>'6 - B1'!E72</f>
        <v>245.61120600000001</v>
      </c>
      <c r="F72" s="49">
        <f>'6 - B1'!F72</f>
        <v>248.783356</v>
      </c>
      <c r="G72" s="49">
        <f>'6 - B1'!G72</f>
        <v>245.84397899999999</v>
      </c>
      <c r="H72" s="49">
        <f>'6 - B1'!H72</f>
        <v>230.30561800000001</v>
      </c>
      <c r="I72" s="49">
        <f>'6 - B1'!I72</f>
        <v>234.018036</v>
      </c>
      <c r="J72" s="49">
        <f>'6 - B1'!J72</f>
        <v>239.94216900000001</v>
      </c>
      <c r="K72" s="49">
        <f>'6 - B1'!K72</f>
        <v>224.505157</v>
      </c>
      <c r="L72" s="49">
        <f>'6 - B1'!L72</f>
        <v>245.53907799999999</v>
      </c>
      <c r="M72" s="49">
        <f>'6 - B1'!M72</f>
        <v>239.082672</v>
      </c>
      <c r="N72" s="49">
        <f>'6 - B1'!N72</f>
        <v>243.990128</v>
      </c>
      <c r="O72" s="49">
        <f>'6 - B1'!O72</f>
        <v>243.79057299999999</v>
      </c>
      <c r="P72" s="49">
        <f>'6 - B1'!P72</f>
        <v>235.58174099999999</v>
      </c>
    </row>
    <row r="73" spans="1:16" x14ac:dyDescent="0.35">
      <c r="A73" s="49">
        <f>'6 - B1'!A73</f>
        <v>24</v>
      </c>
      <c r="B73" s="49">
        <f>'6 - B1'!B73</f>
        <v>182.255707</v>
      </c>
      <c r="C73" s="49">
        <f>'6 - B1'!C73</f>
        <v>185.469177</v>
      </c>
      <c r="D73" s="49">
        <f>'6 - B1'!D73</f>
        <v>174.81500199999999</v>
      </c>
      <c r="E73" s="49">
        <f>'6 - B1'!E73</f>
        <v>184.884308</v>
      </c>
      <c r="F73" s="49">
        <f>'6 - B1'!F73</f>
        <v>181.595215</v>
      </c>
      <c r="G73" s="49">
        <f>'6 - B1'!G73</f>
        <v>186.04409799999999</v>
      </c>
      <c r="H73" s="49">
        <f>'6 - B1'!H73</f>
        <v>173.81556699999999</v>
      </c>
      <c r="I73" s="49">
        <f>'6 - B1'!I73</f>
        <v>177.38732899999999</v>
      </c>
      <c r="J73" s="49">
        <f>'6 - B1'!J73</f>
        <v>183.776703</v>
      </c>
      <c r="K73" s="49">
        <f>'6 - B1'!K73</f>
        <v>161.304993</v>
      </c>
      <c r="L73" s="49">
        <f>'6 - B1'!L73</f>
        <v>186.05914300000001</v>
      </c>
      <c r="M73" s="49">
        <f>'6 - B1'!M73</f>
        <v>183.02191199999999</v>
      </c>
      <c r="N73" s="49">
        <f>'6 - B1'!N73</f>
        <v>190.29986600000001</v>
      </c>
      <c r="O73" s="49">
        <f>'6 - B1'!O73</f>
        <v>182.99748199999999</v>
      </c>
      <c r="P73" s="49">
        <f>'6 - B1'!P73</f>
        <v>177.77027899999999</v>
      </c>
    </row>
    <row r="74" spans="1:16" x14ac:dyDescent="0.35">
      <c r="A74" s="49">
        <f>'6 - B1'!A74</f>
        <v>25</v>
      </c>
      <c r="B74" s="49">
        <f>'6 - B1'!B74</f>
        <v>135.150375</v>
      </c>
      <c r="C74" s="49">
        <f>'6 - B1'!C74</f>
        <v>135.15130600000001</v>
      </c>
      <c r="D74" s="49">
        <f>'6 - B1'!D74</f>
        <v>127.195145</v>
      </c>
      <c r="E74" s="49">
        <f>'6 - B1'!E74</f>
        <v>136.42756700000001</v>
      </c>
      <c r="F74" s="49">
        <f>'6 - B1'!F74</f>
        <v>132.92021199999999</v>
      </c>
      <c r="G74" s="49">
        <f>'6 - B1'!G74</f>
        <v>137.81044</v>
      </c>
      <c r="H74" s="49">
        <f>'6 - B1'!H74</f>
        <v>128.913208</v>
      </c>
      <c r="I74" s="49">
        <f>'6 - B1'!I74</f>
        <v>132.83230599999999</v>
      </c>
      <c r="J74" s="49">
        <f>'6 - B1'!J74</f>
        <v>134.42543000000001</v>
      </c>
      <c r="K74" s="49">
        <f>'6 - B1'!K74</f>
        <v>117.10618599999999</v>
      </c>
      <c r="L74" s="49">
        <f>'6 - B1'!L74</f>
        <v>142.55522199999999</v>
      </c>
      <c r="M74" s="49">
        <f>'6 - B1'!M74</f>
        <v>135.411484</v>
      </c>
      <c r="N74" s="49">
        <f>'6 - B1'!N74</f>
        <v>138.26799</v>
      </c>
      <c r="O74" s="49">
        <f>'6 - B1'!O74</f>
        <v>131.89007599999999</v>
      </c>
      <c r="P74" s="49">
        <f>'6 - B1'!P74</f>
        <v>130.90168800000001</v>
      </c>
    </row>
    <row r="75" spans="1:16" x14ac:dyDescent="0.35">
      <c r="A75" s="49">
        <f>'6 - B1'!A75</f>
        <v>26</v>
      </c>
      <c r="B75" s="49">
        <f>'6 - B1'!B75</f>
        <v>98.896529999999998</v>
      </c>
      <c r="C75" s="49">
        <f>'6 - B1'!C75</f>
        <v>101.25952100000001</v>
      </c>
      <c r="D75" s="49">
        <f>'6 - B1'!D75</f>
        <v>93.777702000000005</v>
      </c>
      <c r="E75" s="49">
        <f>'6 - B1'!E75</f>
        <v>99.201141000000007</v>
      </c>
      <c r="F75" s="49">
        <f>'6 - B1'!F75</f>
        <v>95.061867000000007</v>
      </c>
      <c r="G75" s="49">
        <f>'6 - B1'!G75</f>
        <v>101.389107</v>
      </c>
      <c r="H75" s="49">
        <f>'6 - B1'!H75</f>
        <v>94.977790999999996</v>
      </c>
      <c r="I75" s="49">
        <f>'6 - B1'!I75</f>
        <v>102.434944</v>
      </c>
      <c r="J75" s="49">
        <f>'6 - B1'!J75</f>
        <v>97.050621000000007</v>
      </c>
      <c r="K75" s="49">
        <f>'6 - B1'!K75</f>
        <v>86.332245</v>
      </c>
      <c r="L75" s="49">
        <f>'6 - B1'!L75</f>
        <v>105.93328099999999</v>
      </c>
      <c r="M75" s="49">
        <f>'6 - B1'!M75</f>
        <v>100.16739699999999</v>
      </c>
      <c r="N75" s="49">
        <f>'6 - B1'!N75</f>
        <v>99.710494999999995</v>
      </c>
      <c r="O75" s="49">
        <f>'6 - B1'!O75</f>
        <v>96.856773000000004</v>
      </c>
      <c r="P75" s="49">
        <f>'6 - B1'!P75</f>
        <v>93.324234000000004</v>
      </c>
    </row>
    <row r="76" spans="1:16" x14ac:dyDescent="0.35">
      <c r="A76" s="49">
        <f>'6 - B1'!A76</f>
        <v>27</v>
      </c>
      <c r="B76" s="49">
        <f>'6 - B1'!B76</f>
        <v>74.973929999999996</v>
      </c>
      <c r="C76" s="49">
        <f>'6 - B1'!C76</f>
        <v>70.694534000000004</v>
      </c>
      <c r="D76" s="49">
        <f>'6 - B1'!D76</f>
        <v>67.043746999999996</v>
      </c>
      <c r="E76" s="49">
        <f>'6 - B1'!E76</f>
        <v>74.660812000000007</v>
      </c>
      <c r="F76" s="49">
        <f>'6 - B1'!F76</f>
        <v>67.604172000000005</v>
      </c>
      <c r="G76" s="49">
        <f>'6 - B1'!G76</f>
        <v>74.319198999999998</v>
      </c>
      <c r="H76" s="49">
        <f>'6 - B1'!H76</f>
        <v>65.387755999999996</v>
      </c>
      <c r="I76" s="49">
        <f>'6 - B1'!I76</f>
        <v>73.911392000000006</v>
      </c>
      <c r="J76" s="49">
        <f>'6 - B1'!J76</f>
        <v>69.174377000000007</v>
      </c>
      <c r="K76" s="49">
        <f>'6 - B1'!K76</f>
        <v>60.721724999999999</v>
      </c>
      <c r="L76" s="49">
        <f>'6 - B1'!L76</f>
        <v>74.472815999999995</v>
      </c>
      <c r="M76" s="49">
        <f>'6 - B1'!M76</f>
        <v>75.640808000000007</v>
      </c>
      <c r="N76" s="49">
        <f>'6 - B1'!N76</f>
        <v>73.383606</v>
      </c>
      <c r="O76" s="49">
        <f>'6 - B1'!O76</f>
        <v>70.890915000000007</v>
      </c>
      <c r="P76" s="49">
        <f>'6 - B1'!P76</f>
        <v>67.928482000000002</v>
      </c>
    </row>
    <row r="77" spans="1:16" x14ac:dyDescent="0.35">
      <c r="A77" s="49">
        <f>'6 - B1'!A77</f>
        <v>28</v>
      </c>
      <c r="B77" s="49">
        <f>'6 - B1'!B77</f>
        <v>54.010821999999997</v>
      </c>
      <c r="C77" s="49">
        <f>'6 - B1'!C77</f>
        <v>51.565421999999998</v>
      </c>
      <c r="D77" s="49">
        <f>'6 - B1'!D77</f>
        <v>48.455292</v>
      </c>
      <c r="E77" s="49">
        <f>'6 - B1'!E77</f>
        <v>53.447994000000001</v>
      </c>
      <c r="F77" s="49">
        <f>'6 - B1'!F77</f>
        <v>44.722763</v>
      </c>
      <c r="G77" s="49">
        <f>'6 - B1'!G77</f>
        <v>52.417183000000001</v>
      </c>
      <c r="H77" s="49">
        <f>'6 - B1'!H77</f>
        <v>48.833897</v>
      </c>
      <c r="I77" s="49">
        <f>'6 - B1'!I77</f>
        <v>53.715885</v>
      </c>
      <c r="J77" s="49">
        <f>'6 - B1'!J77</f>
        <v>48.525311000000002</v>
      </c>
      <c r="K77" s="49">
        <f>'6 - B1'!K77</f>
        <v>42.339976999999998</v>
      </c>
      <c r="L77" s="49">
        <f>'6 - B1'!L77</f>
        <v>51.614821999999997</v>
      </c>
      <c r="M77" s="49">
        <f>'6 - B1'!M77</f>
        <v>54.618023000000001</v>
      </c>
      <c r="N77" s="49">
        <f>'6 - B1'!N77</f>
        <v>53.482967000000002</v>
      </c>
      <c r="O77" s="49">
        <f>'6 - B1'!O77</f>
        <v>50.489170000000001</v>
      </c>
      <c r="P77" s="49">
        <f>'6 - B1'!P77</f>
        <v>49.965629999999997</v>
      </c>
    </row>
    <row r="78" spans="1:16" x14ac:dyDescent="0.35">
      <c r="A78" s="49">
        <f>'6 - B1'!A78</f>
        <v>29</v>
      </c>
      <c r="B78" s="49">
        <f>'6 - B1'!B78</f>
        <v>38.226837000000003</v>
      </c>
      <c r="C78" s="49">
        <f>'6 - B1'!C78</f>
        <v>38.674067999999998</v>
      </c>
      <c r="D78" s="49">
        <f>'6 - B1'!D78</f>
        <v>34.252879999999998</v>
      </c>
      <c r="E78" s="49">
        <f>'6 - B1'!E78</f>
        <v>37.642361000000001</v>
      </c>
      <c r="F78" s="49">
        <f>'6 - B1'!F78</f>
        <v>29.745836000000001</v>
      </c>
      <c r="G78" s="49">
        <f>'6 - B1'!G78</f>
        <v>37.405689000000002</v>
      </c>
      <c r="H78" s="49">
        <f>'6 - B1'!H78</f>
        <v>38.694656000000002</v>
      </c>
      <c r="I78" s="49">
        <f>'6 - B1'!I78</f>
        <v>37.892600999999999</v>
      </c>
      <c r="J78" s="49">
        <f>'6 - B1'!J78</f>
        <v>33.864471000000002</v>
      </c>
      <c r="K78" s="49">
        <f>'6 - B1'!K78</f>
        <v>28.708570000000002</v>
      </c>
      <c r="L78" s="49">
        <f>'6 - B1'!L78</f>
        <v>37.359299</v>
      </c>
      <c r="M78" s="49">
        <f>'6 - B1'!M78</f>
        <v>37.923457999999997</v>
      </c>
      <c r="N78" s="49">
        <f>'6 - B1'!N78</f>
        <v>39.179386000000001</v>
      </c>
      <c r="O78" s="49">
        <f>'6 - B1'!O78</f>
        <v>35.033301999999999</v>
      </c>
      <c r="P78" s="49">
        <f>'6 - B1'!P78</f>
        <v>34.480412000000001</v>
      </c>
    </row>
    <row r="79" spans="1:16" x14ac:dyDescent="0.35">
      <c r="A79" s="49">
        <f>'6 - B1'!A79</f>
        <v>30</v>
      </c>
      <c r="B79" s="49">
        <f>'6 - B1'!B79</f>
        <v>25.155725</v>
      </c>
      <c r="C79" s="49">
        <f>'6 - B1'!C79</f>
        <v>27.238185999999999</v>
      </c>
      <c r="D79" s="49">
        <f>'6 - B1'!D79</f>
        <v>23.60107</v>
      </c>
      <c r="E79" s="49">
        <f>'6 - B1'!E79</f>
        <v>26.82798</v>
      </c>
      <c r="F79" s="49">
        <f>'6 - B1'!F79</f>
        <v>18.513144</v>
      </c>
      <c r="G79" s="49">
        <f>'6 - B1'!G79</f>
        <v>24.609006999999998</v>
      </c>
      <c r="H79" s="49">
        <f>'6 - B1'!H79</f>
        <v>26.072334000000001</v>
      </c>
      <c r="I79" s="49">
        <f>'6 - B1'!I79</f>
        <v>26.857942999999999</v>
      </c>
      <c r="J79" s="49">
        <f>'6 - B1'!J79</f>
        <v>23.333447</v>
      </c>
      <c r="K79" s="49">
        <f>'6 - B1'!K79</f>
        <v>19.414428999999998</v>
      </c>
      <c r="L79" s="49">
        <f>'6 - B1'!L79</f>
        <v>27.773689000000001</v>
      </c>
      <c r="M79" s="49">
        <f>'6 - B1'!M79</f>
        <v>26.175429999999999</v>
      </c>
      <c r="N79" s="49">
        <f>'6 - B1'!N79</f>
        <v>24.668500999999999</v>
      </c>
      <c r="O79" s="49">
        <f>'6 - B1'!O79</f>
        <v>23.492920000000002</v>
      </c>
      <c r="P79" s="49">
        <f>'6 - B1'!P79</f>
        <v>23.537527000000001</v>
      </c>
    </row>
    <row r="80" spans="1:16" x14ac:dyDescent="0.35">
      <c r="A80" s="49">
        <f>'6 - B1'!A80</f>
        <v>38</v>
      </c>
      <c r="B80" s="49">
        <f>'6 - B1'!B80</f>
        <v>17.756983000000002</v>
      </c>
      <c r="C80" s="49">
        <f>'6 - B1'!C80</f>
        <v>17.465707999999999</v>
      </c>
      <c r="D80" s="49">
        <f>'6 - B1'!D80</f>
        <v>16.499863000000001</v>
      </c>
      <c r="E80" s="49">
        <f>'6 - B1'!E80</f>
        <v>17.053446000000001</v>
      </c>
      <c r="F80" s="49">
        <f>'6 - B1'!F80</f>
        <v>11.024680999999999</v>
      </c>
      <c r="G80" s="49">
        <f>'6 - B1'!G80</f>
        <v>16.734124999999999</v>
      </c>
      <c r="H80" s="49">
        <f>'6 - B1'!H80</f>
        <v>18.002327000000001</v>
      </c>
      <c r="I80" s="49">
        <f>'6 - B1'!I80</f>
        <v>18.321697</v>
      </c>
      <c r="J80" s="49">
        <f>'6 - B1'!J80</f>
        <v>14.454348</v>
      </c>
      <c r="K80" s="49">
        <f>'6 - B1'!K80</f>
        <v>12.598725</v>
      </c>
      <c r="L80" s="49">
        <f>'6 - B1'!L80</f>
        <v>19.662787999999999</v>
      </c>
      <c r="M80" s="49">
        <f>'6 - B1'!M80</f>
        <v>18.549519</v>
      </c>
      <c r="N80" s="49">
        <f>'6 - B1'!N80</f>
        <v>16.376567999999999</v>
      </c>
      <c r="O80" s="49">
        <f>'6 - B1'!O80</f>
        <v>16.486259</v>
      </c>
      <c r="P80" s="49">
        <f>'6 - B1'!P80</f>
        <v>15.072276</v>
      </c>
    </row>
    <row r="81" spans="1:16" x14ac:dyDescent="0.35">
      <c r="A81" s="49">
        <f>'6 - B1'!A81</f>
        <v>50</v>
      </c>
      <c r="B81" s="49">
        <f>'6 - B1'!B81</f>
        <v>12.577863000000001</v>
      </c>
      <c r="C81" s="49">
        <f>'6 - B1'!C81</f>
        <v>12.267580000000001</v>
      </c>
      <c r="D81" s="49">
        <f>'6 - B1'!D81</f>
        <v>10.860669</v>
      </c>
      <c r="E81" s="49">
        <f>'6 - B1'!E81</f>
        <v>11.022347999999999</v>
      </c>
      <c r="F81" s="49">
        <f>'6 - B1'!F81</f>
        <v>6.8644239999999996</v>
      </c>
      <c r="G81" s="49">
        <f>'6 - B1'!G81</f>
        <v>11.074052999999999</v>
      </c>
      <c r="H81" s="49">
        <f>'6 - B1'!H81</f>
        <v>12.001550999999999</v>
      </c>
      <c r="I81" s="49">
        <f>'6 - B1'!I81</f>
        <v>10.201854000000001</v>
      </c>
      <c r="J81" s="49">
        <f>'6 - B1'!J81</f>
        <v>8.4661179999999998</v>
      </c>
      <c r="K81" s="49">
        <f>'6 - B1'!K81</f>
        <v>6.4026310000000004</v>
      </c>
      <c r="L81" s="49">
        <f>'6 - B1'!L81</f>
        <v>14.255523</v>
      </c>
      <c r="M81" s="49">
        <f>'6 - B1'!M81</f>
        <v>12.366345000000001</v>
      </c>
      <c r="N81" s="49">
        <f>'6 - B1'!N81</f>
        <v>9.7430210000000006</v>
      </c>
      <c r="O81" s="49">
        <f>'6 - B1'!O81</f>
        <v>9.6856779999999993</v>
      </c>
      <c r="P81" s="49">
        <f>'6 - B1'!P81</f>
        <v>10.117006999999999</v>
      </c>
    </row>
    <row r="82" spans="1:16" x14ac:dyDescent="0.35">
      <c r="A82" s="49">
        <f>'6 - B1'!A82</f>
        <v>70</v>
      </c>
      <c r="B82" s="49">
        <f>'6 - B1'!B82</f>
        <v>8.1386179999999992</v>
      </c>
      <c r="C82" s="49">
        <f>'6 - B1'!C82</f>
        <v>7.901154</v>
      </c>
      <c r="D82" s="49">
        <f>'6 - B1'!D82</f>
        <v>6.265771</v>
      </c>
      <c r="E82" s="49">
        <f>'6 - B1'!E82</f>
        <v>7.4868779999999999</v>
      </c>
      <c r="F82" s="49">
        <f>'6 - B1'!F82</f>
        <v>4.3682699999999999</v>
      </c>
      <c r="G82" s="49">
        <f>'6 - B1'!G82</f>
        <v>8.8592420000000001</v>
      </c>
      <c r="H82" s="49">
        <f>'6 - B1'!H82</f>
        <v>6.6215450000000002</v>
      </c>
      <c r="I82" s="49">
        <f>'6 - B1'!I82</f>
        <v>4.9968260000000004</v>
      </c>
      <c r="J82" s="49">
        <f>'6 - B1'!J82</f>
        <v>4.3363040000000002</v>
      </c>
      <c r="K82" s="49">
        <f>'6 - B1'!K82</f>
        <v>4.7503390000000003</v>
      </c>
      <c r="L82" s="49">
        <f>'6 - B1'!L82</f>
        <v>9.8313939999999995</v>
      </c>
      <c r="M82" s="49">
        <f>'6 - B1'!M82</f>
        <v>8.6564420000000002</v>
      </c>
      <c r="N82" s="49">
        <f>'6 - B1'!N82</f>
        <v>6.4262480000000002</v>
      </c>
      <c r="O82" s="49">
        <f>'6 - B1'!O82</f>
        <v>5.9762690000000003</v>
      </c>
      <c r="P82" s="49">
        <f>'6 - B1'!P82</f>
        <v>5.9876170000000002</v>
      </c>
    </row>
    <row r="114" spans="1:32" x14ac:dyDescent="0.35">
      <c r="A114">
        <v>1</v>
      </c>
      <c r="B114">
        <v>8.3108219999999999</v>
      </c>
      <c r="C114">
        <v>37791</v>
      </c>
      <c r="D114">
        <v>33118</v>
      </c>
      <c r="E114">
        <v>28973</v>
      </c>
      <c r="F114">
        <v>25265</v>
      </c>
      <c r="G114">
        <v>21894</v>
      </c>
      <c r="H114">
        <v>18858</v>
      </c>
      <c r="I114">
        <v>16165</v>
      </c>
      <c r="J114">
        <v>13721</v>
      </c>
      <c r="K114">
        <v>11466</v>
      </c>
      <c r="L114">
        <v>9440</v>
      </c>
      <c r="M114">
        <v>7658</v>
      </c>
      <c r="N114">
        <v>6186</v>
      </c>
      <c r="O114">
        <v>4911</v>
      </c>
      <c r="P114">
        <v>3839</v>
      </c>
      <c r="Q114">
        <v>3015</v>
      </c>
      <c r="R114">
        <v>2366</v>
      </c>
      <c r="S114">
        <v>1880</v>
      </c>
      <c r="T114">
        <v>1468</v>
      </c>
      <c r="U114">
        <v>1143</v>
      </c>
      <c r="V114">
        <v>885</v>
      </c>
      <c r="W114">
        <v>688</v>
      </c>
      <c r="X114">
        <v>524</v>
      </c>
      <c r="Y114">
        <v>419</v>
      </c>
      <c r="Z114">
        <v>313</v>
      </c>
      <c r="AA114">
        <v>227</v>
      </c>
      <c r="AB114">
        <v>173</v>
      </c>
      <c r="AC114">
        <v>128</v>
      </c>
      <c r="AD114">
        <v>88</v>
      </c>
      <c r="AE114">
        <v>67</v>
      </c>
      <c r="AF114">
        <v>39</v>
      </c>
    </row>
    <row r="115" spans="1:32" x14ac:dyDescent="0.35">
      <c r="A115">
        <v>2</v>
      </c>
      <c r="B115">
        <v>8.7017830000000007</v>
      </c>
      <c r="C115">
        <v>38763</v>
      </c>
      <c r="D115">
        <v>34044</v>
      </c>
      <c r="E115">
        <v>29855</v>
      </c>
      <c r="F115">
        <v>26059</v>
      </c>
      <c r="G115">
        <v>22802</v>
      </c>
      <c r="H115">
        <v>19548</v>
      </c>
      <c r="I115">
        <v>16737</v>
      </c>
      <c r="J115">
        <v>14195</v>
      </c>
      <c r="K115">
        <v>11889</v>
      </c>
      <c r="L115">
        <v>9778</v>
      </c>
      <c r="M115">
        <v>7980</v>
      </c>
      <c r="N115">
        <v>6417</v>
      </c>
      <c r="O115">
        <v>5096</v>
      </c>
      <c r="P115">
        <v>4000</v>
      </c>
      <c r="Q115">
        <v>3164</v>
      </c>
      <c r="R115">
        <v>2467</v>
      </c>
      <c r="S115">
        <v>1917</v>
      </c>
      <c r="T115">
        <v>1500</v>
      </c>
      <c r="U115">
        <v>1185</v>
      </c>
      <c r="V115">
        <v>930</v>
      </c>
      <c r="W115">
        <v>740</v>
      </c>
      <c r="X115">
        <v>546</v>
      </c>
      <c r="Y115">
        <v>402</v>
      </c>
      <c r="Z115">
        <v>307</v>
      </c>
      <c r="AA115">
        <v>222</v>
      </c>
      <c r="AB115">
        <v>167</v>
      </c>
      <c r="AC115">
        <v>116</v>
      </c>
      <c r="AD115">
        <v>76</v>
      </c>
      <c r="AE115">
        <v>52</v>
      </c>
      <c r="AF115">
        <v>39</v>
      </c>
    </row>
    <row r="116" spans="1:32" x14ac:dyDescent="0.35">
      <c r="A116">
        <v>3</v>
      </c>
      <c r="B116">
        <v>8.6421869999999998</v>
      </c>
      <c r="C116">
        <v>38258</v>
      </c>
      <c r="D116">
        <v>33531</v>
      </c>
      <c r="E116">
        <v>29252</v>
      </c>
      <c r="F116">
        <v>25540</v>
      </c>
      <c r="G116">
        <v>22192</v>
      </c>
      <c r="H116">
        <v>19117</v>
      </c>
      <c r="I116">
        <v>16341</v>
      </c>
      <c r="J116">
        <v>13826</v>
      </c>
      <c r="K116">
        <v>11548</v>
      </c>
      <c r="L116">
        <v>9533</v>
      </c>
      <c r="M116">
        <v>7770</v>
      </c>
      <c r="N116">
        <v>6176</v>
      </c>
      <c r="O116">
        <v>4867</v>
      </c>
      <c r="P116">
        <v>3825</v>
      </c>
      <c r="Q116">
        <v>3006</v>
      </c>
      <c r="R116">
        <v>2345</v>
      </c>
      <c r="S116">
        <v>1857</v>
      </c>
      <c r="T116">
        <v>1476</v>
      </c>
      <c r="U116">
        <v>1141</v>
      </c>
      <c r="V116">
        <v>876</v>
      </c>
      <c r="W116">
        <v>698</v>
      </c>
      <c r="X116">
        <v>529</v>
      </c>
      <c r="Y116">
        <v>390</v>
      </c>
      <c r="Z116">
        <v>291</v>
      </c>
      <c r="AA116">
        <v>203</v>
      </c>
      <c r="AB116">
        <v>154</v>
      </c>
      <c r="AC116">
        <v>107</v>
      </c>
      <c r="AD116">
        <v>81</v>
      </c>
      <c r="AE116">
        <v>59</v>
      </c>
      <c r="AF116">
        <v>49</v>
      </c>
    </row>
    <row r="117" spans="1:32" x14ac:dyDescent="0.35">
      <c r="A117">
        <v>4</v>
      </c>
      <c r="B117">
        <v>8.702553</v>
      </c>
      <c r="C117">
        <v>38686</v>
      </c>
      <c r="D117">
        <v>33954</v>
      </c>
      <c r="E117">
        <v>29625</v>
      </c>
      <c r="F117">
        <v>25742</v>
      </c>
      <c r="G117">
        <v>22323</v>
      </c>
      <c r="H117">
        <v>19289</v>
      </c>
      <c r="I117">
        <v>16521</v>
      </c>
      <c r="J117">
        <v>14091</v>
      </c>
      <c r="K117">
        <v>11761</v>
      </c>
      <c r="L117">
        <v>9677</v>
      </c>
      <c r="M117">
        <v>7854</v>
      </c>
      <c r="N117">
        <v>6299</v>
      </c>
      <c r="O117">
        <v>5008</v>
      </c>
      <c r="P117">
        <v>3944</v>
      </c>
      <c r="Q117">
        <v>3081</v>
      </c>
      <c r="R117">
        <v>2364</v>
      </c>
      <c r="S117">
        <v>1837</v>
      </c>
      <c r="T117">
        <v>1429</v>
      </c>
      <c r="U117">
        <v>1109</v>
      </c>
      <c r="V117">
        <v>870</v>
      </c>
      <c r="W117">
        <v>685</v>
      </c>
      <c r="X117">
        <v>512</v>
      </c>
      <c r="Y117">
        <v>393</v>
      </c>
      <c r="Z117">
        <v>276</v>
      </c>
      <c r="AA117">
        <v>199</v>
      </c>
      <c r="AB117">
        <v>148</v>
      </c>
      <c r="AC117">
        <v>93</v>
      </c>
      <c r="AD117">
        <v>66</v>
      </c>
      <c r="AE117">
        <v>45</v>
      </c>
      <c r="AF117">
        <v>28</v>
      </c>
    </row>
    <row r="118" spans="1:32" x14ac:dyDescent="0.35">
      <c r="A118">
        <v>5</v>
      </c>
      <c r="B118">
        <v>8.7037089999999999</v>
      </c>
      <c r="C118">
        <v>38724</v>
      </c>
      <c r="D118">
        <v>33856</v>
      </c>
      <c r="E118">
        <v>29545</v>
      </c>
      <c r="F118">
        <v>25720</v>
      </c>
      <c r="G118">
        <v>22284</v>
      </c>
      <c r="H118">
        <v>19237</v>
      </c>
      <c r="I118">
        <v>16544</v>
      </c>
      <c r="J118">
        <v>14086</v>
      </c>
      <c r="K118">
        <v>11866</v>
      </c>
      <c r="L118">
        <v>9783</v>
      </c>
      <c r="M118">
        <v>7950</v>
      </c>
      <c r="N118">
        <v>6369</v>
      </c>
      <c r="O118">
        <v>5075</v>
      </c>
      <c r="P118">
        <v>4010</v>
      </c>
      <c r="Q118">
        <v>3164</v>
      </c>
      <c r="R118">
        <v>2470</v>
      </c>
      <c r="S118">
        <v>1898</v>
      </c>
      <c r="T118">
        <v>1483</v>
      </c>
      <c r="U118">
        <v>1130</v>
      </c>
      <c r="V118">
        <v>878</v>
      </c>
      <c r="W118">
        <v>666</v>
      </c>
      <c r="X118">
        <v>510</v>
      </c>
      <c r="Y118">
        <v>378</v>
      </c>
      <c r="Z118">
        <v>276</v>
      </c>
      <c r="AA118">
        <v>207</v>
      </c>
      <c r="AB118">
        <v>152</v>
      </c>
      <c r="AC118">
        <v>108</v>
      </c>
      <c r="AD118">
        <v>70</v>
      </c>
      <c r="AE118">
        <v>46</v>
      </c>
      <c r="AF118">
        <v>33</v>
      </c>
    </row>
    <row r="119" spans="1:32" x14ac:dyDescent="0.35">
      <c r="A119">
        <v>1</v>
      </c>
      <c r="B119">
        <v>8.2913929999999993</v>
      </c>
      <c r="C119">
        <v>40656</v>
      </c>
      <c r="D119">
        <v>35387</v>
      </c>
      <c r="E119">
        <v>30744</v>
      </c>
      <c r="F119">
        <v>26608</v>
      </c>
      <c r="G119">
        <v>23018</v>
      </c>
      <c r="H119">
        <v>19687</v>
      </c>
      <c r="I119">
        <v>16773</v>
      </c>
      <c r="J119">
        <v>14091</v>
      </c>
      <c r="K119">
        <v>11757</v>
      </c>
      <c r="L119">
        <v>9609</v>
      </c>
      <c r="M119">
        <v>7740</v>
      </c>
      <c r="N119">
        <v>6118</v>
      </c>
      <c r="O119">
        <v>4729</v>
      </c>
      <c r="P119">
        <v>3634</v>
      </c>
      <c r="Q119">
        <v>2786</v>
      </c>
      <c r="R119">
        <v>2161</v>
      </c>
      <c r="S119">
        <v>1688</v>
      </c>
      <c r="T119">
        <v>1286</v>
      </c>
      <c r="U119">
        <v>1030</v>
      </c>
      <c r="V119">
        <v>803</v>
      </c>
      <c r="W119">
        <v>597</v>
      </c>
      <c r="X119">
        <v>461</v>
      </c>
      <c r="Y119">
        <v>358</v>
      </c>
      <c r="Z119">
        <v>268</v>
      </c>
      <c r="AA119">
        <v>209</v>
      </c>
      <c r="AB119">
        <v>153</v>
      </c>
      <c r="AC119">
        <v>99</v>
      </c>
      <c r="AD119">
        <v>73</v>
      </c>
      <c r="AE119">
        <v>53</v>
      </c>
      <c r="AF119">
        <v>36</v>
      </c>
    </row>
    <row r="120" spans="1:32" x14ac:dyDescent="0.35">
      <c r="A120">
        <v>2</v>
      </c>
      <c r="B120">
        <v>8.6831899999999997</v>
      </c>
      <c r="C120">
        <v>41394</v>
      </c>
      <c r="D120">
        <v>35966</v>
      </c>
      <c r="E120">
        <v>31215</v>
      </c>
      <c r="F120">
        <v>27155</v>
      </c>
      <c r="G120">
        <v>23517</v>
      </c>
      <c r="H120">
        <v>20199</v>
      </c>
      <c r="I120">
        <v>17259</v>
      </c>
      <c r="J120">
        <v>14601</v>
      </c>
      <c r="K120">
        <v>12117</v>
      </c>
      <c r="L120">
        <v>9948</v>
      </c>
      <c r="M120">
        <v>7975</v>
      </c>
      <c r="N120">
        <v>6363</v>
      </c>
      <c r="O120">
        <v>4943</v>
      </c>
      <c r="P120">
        <v>3877</v>
      </c>
      <c r="Q120">
        <v>3028</v>
      </c>
      <c r="R120">
        <v>2336</v>
      </c>
      <c r="S120">
        <v>1766</v>
      </c>
      <c r="T120">
        <v>1401</v>
      </c>
      <c r="U120">
        <v>1115</v>
      </c>
      <c r="V120">
        <v>872</v>
      </c>
      <c r="W120">
        <v>658</v>
      </c>
      <c r="X120">
        <v>498</v>
      </c>
      <c r="Y120">
        <v>392</v>
      </c>
      <c r="Z120">
        <v>288</v>
      </c>
      <c r="AA120">
        <v>225</v>
      </c>
      <c r="AB120">
        <v>177</v>
      </c>
      <c r="AC120">
        <v>126</v>
      </c>
      <c r="AD120">
        <v>84</v>
      </c>
      <c r="AE120">
        <v>64</v>
      </c>
      <c r="AF120">
        <v>51</v>
      </c>
    </row>
    <row r="121" spans="1:32" x14ac:dyDescent="0.35">
      <c r="A121">
        <v>3</v>
      </c>
      <c r="B121">
        <v>8.6780039999999996</v>
      </c>
      <c r="C121">
        <v>41924</v>
      </c>
      <c r="D121">
        <v>36607</v>
      </c>
      <c r="E121">
        <v>31884</v>
      </c>
      <c r="F121">
        <v>27690</v>
      </c>
      <c r="G121">
        <v>24020</v>
      </c>
      <c r="H121">
        <v>20560</v>
      </c>
      <c r="I121">
        <v>17541</v>
      </c>
      <c r="J121">
        <v>14818</v>
      </c>
      <c r="K121">
        <v>12334</v>
      </c>
      <c r="L121">
        <v>10105</v>
      </c>
      <c r="M121">
        <v>8062</v>
      </c>
      <c r="N121">
        <v>6403</v>
      </c>
      <c r="O121">
        <v>5027</v>
      </c>
      <c r="P121">
        <v>3878</v>
      </c>
      <c r="Q121">
        <v>2958</v>
      </c>
      <c r="R121">
        <v>2280</v>
      </c>
      <c r="S121">
        <v>1777</v>
      </c>
      <c r="T121">
        <v>1422</v>
      </c>
      <c r="U121">
        <v>1111</v>
      </c>
      <c r="V121">
        <v>839</v>
      </c>
      <c r="W121">
        <v>647</v>
      </c>
      <c r="X121">
        <v>491</v>
      </c>
      <c r="Y121">
        <v>368</v>
      </c>
      <c r="Z121">
        <v>290</v>
      </c>
      <c r="AA121">
        <v>217</v>
      </c>
      <c r="AB121">
        <v>153</v>
      </c>
      <c r="AC121">
        <v>108</v>
      </c>
      <c r="AD121">
        <v>71</v>
      </c>
      <c r="AE121">
        <v>46</v>
      </c>
      <c r="AF121">
        <v>29</v>
      </c>
    </row>
    <row r="122" spans="1:32" x14ac:dyDescent="0.35">
      <c r="A122">
        <v>4</v>
      </c>
      <c r="B122">
        <v>8.6292050000000007</v>
      </c>
      <c r="C122">
        <v>41300</v>
      </c>
      <c r="D122">
        <v>35962</v>
      </c>
      <c r="E122">
        <v>31074</v>
      </c>
      <c r="F122">
        <v>26934</v>
      </c>
      <c r="G122">
        <v>23276</v>
      </c>
      <c r="H122">
        <v>19911</v>
      </c>
      <c r="I122">
        <v>16847</v>
      </c>
      <c r="J122">
        <v>14119</v>
      </c>
      <c r="K122">
        <v>11698</v>
      </c>
      <c r="L122">
        <v>9534</v>
      </c>
      <c r="M122">
        <v>7689</v>
      </c>
      <c r="N122">
        <v>6142</v>
      </c>
      <c r="O122">
        <v>4692</v>
      </c>
      <c r="P122">
        <v>3623</v>
      </c>
      <c r="Q122">
        <v>2783</v>
      </c>
      <c r="R122">
        <v>2144</v>
      </c>
      <c r="S122">
        <v>1652</v>
      </c>
      <c r="T122">
        <v>1283</v>
      </c>
      <c r="U122">
        <v>1017</v>
      </c>
      <c r="V122">
        <v>798</v>
      </c>
      <c r="W122">
        <v>624</v>
      </c>
      <c r="X122">
        <v>460</v>
      </c>
      <c r="Y122">
        <v>334</v>
      </c>
      <c r="Z122">
        <v>245</v>
      </c>
      <c r="AA122">
        <v>179</v>
      </c>
      <c r="AB122">
        <v>130</v>
      </c>
      <c r="AC122">
        <v>105</v>
      </c>
      <c r="AD122">
        <v>79</v>
      </c>
      <c r="AE122">
        <v>52</v>
      </c>
      <c r="AF122">
        <v>36</v>
      </c>
    </row>
    <row r="123" spans="1:32" x14ac:dyDescent="0.35">
      <c r="A123">
        <v>5</v>
      </c>
      <c r="B123">
        <v>8.680911</v>
      </c>
      <c r="C123">
        <v>42116</v>
      </c>
      <c r="D123">
        <v>36815</v>
      </c>
      <c r="E123">
        <v>32097</v>
      </c>
      <c r="F123">
        <v>27837</v>
      </c>
      <c r="G123">
        <v>24035</v>
      </c>
      <c r="H123">
        <v>20600</v>
      </c>
      <c r="I123">
        <v>17503</v>
      </c>
      <c r="J123">
        <v>14804</v>
      </c>
      <c r="K123">
        <v>12201</v>
      </c>
      <c r="L123">
        <v>9913</v>
      </c>
      <c r="M123">
        <v>7942</v>
      </c>
      <c r="N123">
        <v>6295</v>
      </c>
      <c r="O123">
        <v>4949</v>
      </c>
      <c r="P123">
        <v>3809</v>
      </c>
      <c r="Q123">
        <v>2945</v>
      </c>
      <c r="R123">
        <v>2224</v>
      </c>
      <c r="S123">
        <v>1723</v>
      </c>
      <c r="T123">
        <v>1348</v>
      </c>
      <c r="U123">
        <v>1024</v>
      </c>
      <c r="V123">
        <v>814</v>
      </c>
      <c r="W123">
        <v>622</v>
      </c>
      <c r="X123">
        <v>468</v>
      </c>
      <c r="Y123">
        <v>352</v>
      </c>
      <c r="Z123">
        <v>272</v>
      </c>
      <c r="AA123">
        <v>207</v>
      </c>
      <c r="AB123">
        <v>159</v>
      </c>
      <c r="AC123">
        <v>109</v>
      </c>
      <c r="AD123">
        <v>79</v>
      </c>
      <c r="AE123">
        <v>54</v>
      </c>
      <c r="AF123">
        <v>32</v>
      </c>
    </row>
    <row r="124" spans="1:32" x14ac:dyDescent="0.35">
      <c r="A124">
        <v>1</v>
      </c>
      <c r="B124">
        <v>8.2857730000000007</v>
      </c>
      <c r="C124">
        <v>40465</v>
      </c>
      <c r="D124">
        <v>35389</v>
      </c>
      <c r="E124">
        <v>30798</v>
      </c>
      <c r="F124">
        <v>26814</v>
      </c>
      <c r="G124">
        <v>23218</v>
      </c>
      <c r="H124">
        <v>19960</v>
      </c>
      <c r="I124">
        <v>16979</v>
      </c>
      <c r="J124">
        <v>14347</v>
      </c>
      <c r="K124">
        <v>11955</v>
      </c>
      <c r="L124">
        <v>9837</v>
      </c>
      <c r="M124">
        <v>8007</v>
      </c>
      <c r="N124">
        <v>6427</v>
      </c>
      <c r="O124">
        <v>5056</v>
      </c>
      <c r="P124">
        <v>3923</v>
      </c>
      <c r="Q124">
        <v>3031</v>
      </c>
      <c r="R124">
        <v>2353</v>
      </c>
      <c r="S124">
        <v>1852</v>
      </c>
      <c r="T124">
        <v>1446</v>
      </c>
      <c r="U124">
        <v>1143</v>
      </c>
      <c r="V124">
        <v>889</v>
      </c>
      <c r="W124">
        <v>687</v>
      </c>
      <c r="X124">
        <v>543</v>
      </c>
      <c r="Y124">
        <v>417</v>
      </c>
      <c r="Z124">
        <v>326</v>
      </c>
      <c r="AA124">
        <v>238</v>
      </c>
      <c r="AB124">
        <v>182</v>
      </c>
      <c r="AC124">
        <v>118</v>
      </c>
      <c r="AD124">
        <v>81</v>
      </c>
      <c r="AE124">
        <v>62</v>
      </c>
      <c r="AF124">
        <v>42</v>
      </c>
    </row>
    <row r="125" spans="1:32" x14ac:dyDescent="0.35">
      <c r="A125">
        <v>2</v>
      </c>
      <c r="B125">
        <v>8.6803840000000001</v>
      </c>
      <c r="C125">
        <v>41004</v>
      </c>
      <c r="D125">
        <v>35820</v>
      </c>
      <c r="E125">
        <v>31278</v>
      </c>
      <c r="F125">
        <v>27279</v>
      </c>
      <c r="G125">
        <v>23654</v>
      </c>
      <c r="H125">
        <v>20386</v>
      </c>
      <c r="I125">
        <v>17414</v>
      </c>
      <c r="J125">
        <v>14817</v>
      </c>
      <c r="K125">
        <v>12312</v>
      </c>
      <c r="L125">
        <v>10119</v>
      </c>
      <c r="M125">
        <v>8211</v>
      </c>
      <c r="N125">
        <v>6547</v>
      </c>
      <c r="O125">
        <v>5104</v>
      </c>
      <c r="P125">
        <v>4004</v>
      </c>
      <c r="Q125">
        <v>3134</v>
      </c>
      <c r="R125">
        <v>2446</v>
      </c>
      <c r="S125">
        <v>1918</v>
      </c>
      <c r="T125">
        <v>1487</v>
      </c>
      <c r="U125">
        <v>1160</v>
      </c>
      <c r="V125">
        <v>908</v>
      </c>
      <c r="W125">
        <v>707</v>
      </c>
      <c r="X125">
        <v>540</v>
      </c>
      <c r="Y125">
        <v>395</v>
      </c>
      <c r="Z125">
        <v>303</v>
      </c>
      <c r="AA125">
        <v>223</v>
      </c>
      <c r="AB125">
        <v>174</v>
      </c>
      <c r="AC125">
        <v>125</v>
      </c>
      <c r="AD125">
        <v>96</v>
      </c>
      <c r="AE125">
        <v>65</v>
      </c>
      <c r="AF125">
        <v>47</v>
      </c>
    </row>
    <row r="126" spans="1:32" x14ac:dyDescent="0.35">
      <c r="A126">
        <v>3</v>
      </c>
      <c r="B126">
        <v>8.6232430000000004</v>
      </c>
      <c r="C126">
        <v>40640</v>
      </c>
      <c r="D126">
        <v>35495</v>
      </c>
      <c r="E126">
        <v>30899</v>
      </c>
      <c r="F126">
        <v>26901</v>
      </c>
      <c r="G126">
        <v>23380</v>
      </c>
      <c r="H126">
        <v>20036</v>
      </c>
      <c r="I126">
        <v>17054</v>
      </c>
      <c r="J126">
        <v>14445</v>
      </c>
      <c r="K126">
        <v>12026</v>
      </c>
      <c r="L126">
        <v>9821</v>
      </c>
      <c r="M126">
        <v>8000</v>
      </c>
      <c r="N126">
        <v>6357</v>
      </c>
      <c r="O126">
        <v>5075</v>
      </c>
      <c r="P126">
        <v>3933</v>
      </c>
      <c r="Q126">
        <v>3051</v>
      </c>
      <c r="R126">
        <v>2385</v>
      </c>
      <c r="S126">
        <v>1884</v>
      </c>
      <c r="T126">
        <v>1443</v>
      </c>
      <c r="U126">
        <v>1144</v>
      </c>
      <c r="V126">
        <v>881</v>
      </c>
      <c r="W126">
        <v>688</v>
      </c>
      <c r="X126">
        <v>535</v>
      </c>
      <c r="Y126">
        <v>416</v>
      </c>
      <c r="Z126">
        <v>318</v>
      </c>
      <c r="AA126">
        <v>241</v>
      </c>
      <c r="AB126">
        <v>184</v>
      </c>
      <c r="AC126">
        <v>129</v>
      </c>
      <c r="AD126">
        <v>100</v>
      </c>
      <c r="AE126">
        <v>74</v>
      </c>
      <c r="AF126">
        <v>55</v>
      </c>
    </row>
    <row r="127" spans="1:32" x14ac:dyDescent="0.35">
      <c r="A127">
        <v>4</v>
      </c>
      <c r="B127">
        <v>8.682366</v>
      </c>
      <c r="C127">
        <v>41419</v>
      </c>
      <c r="D127">
        <v>36219</v>
      </c>
      <c r="E127">
        <v>31609</v>
      </c>
      <c r="F127">
        <v>27487</v>
      </c>
      <c r="G127">
        <v>23730</v>
      </c>
      <c r="H127">
        <v>20330</v>
      </c>
      <c r="I127">
        <v>17291</v>
      </c>
      <c r="J127">
        <v>14587</v>
      </c>
      <c r="K127">
        <v>12219</v>
      </c>
      <c r="L127">
        <v>10051</v>
      </c>
      <c r="M127">
        <v>8220</v>
      </c>
      <c r="N127">
        <v>6531</v>
      </c>
      <c r="O127">
        <v>5130</v>
      </c>
      <c r="P127">
        <v>3996</v>
      </c>
      <c r="Q127">
        <v>3133</v>
      </c>
      <c r="R127">
        <v>2448</v>
      </c>
      <c r="S127">
        <v>1898</v>
      </c>
      <c r="T127">
        <v>1484</v>
      </c>
      <c r="U127">
        <v>1128</v>
      </c>
      <c r="V127">
        <v>875</v>
      </c>
      <c r="W127">
        <v>681</v>
      </c>
      <c r="X127">
        <v>491</v>
      </c>
      <c r="Y127">
        <v>386</v>
      </c>
      <c r="Z127">
        <v>278</v>
      </c>
      <c r="AA127">
        <v>204</v>
      </c>
      <c r="AB127">
        <v>147</v>
      </c>
      <c r="AC127">
        <v>111</v>
      </c>
      <c r="AD127">
        <v>86</v>
      </c>
      <c r="AE127">
        <v>54</v>
      </c>
      <c r="AF127">
        <v>38</v>
      </c>
    </row>
    <row r="128" spans="1:32" x14ac:dyDescent="0.35">
      <c r="A128">
        <v>5</v>
      </c>
      <c r="B128">
        <v>8.6785650000000008</v>
      </c>
      <c r="C128">
        <v>42303</v>
      </c>
      <c r="D128">
        <v>36885</v>
      </c>
      <c r="E128">
        <v>32062</v>
      </c>
      <c r="F128">
        <v>27854</v>
      </c>
      <c r="G128">
        <v>24227</v>
      </c>
      <c r="H128">
        <v>20796</v>
      </c>
      <c r="I128">
        <v>17725</v>
      </c>
      <c r="J128">
        <v>14946</v>
      </c>
      <c r="K128">
        <v>12464</v>
      </c>
      <c r="L128">
        <v>10136</v>
      </c>
      <c r="M128">
        <v>8254</v>
      </c>
      <c r="N128">
        <v>6566</v>
      </c>
      <c r="O128">
        <v>5187</v>
      </c>
      <c r="P128">
        <v>4010</v>
      </c>
      <c r="Q128">
        <v>3100</v>
      </c>
      <c r="R128">
        <v>2398</v>
      </c>
      <c r="S128">
        <v>1866</v>
      </c>
      <c r="T128">
        <v>1461</v>
      </c>
      <c r="U128">
        <v>1145</v>
      </c>
      <c r="V128">
        <v>887</v>
      </c>
      <c r="W128">
        <v>694</v>
      </c>
      <c r="X128">
        <v>529</v>
      </c>
      <c r="Y128">
        <v>393</v>
      </c>
      <c r="Z128">
        <v>295</v>
      </c>
      <c r="AA128">
        <v>215</v>
      </c>
      <c r="AB128">
        <v>155</v>
      </c>
      <c r="AC128">
        <v>119</v>
      </c>
      <c r="AD128">
        <v>83</v>
      </c>
      <c r="AE128">
        <v>54</v>
      </c>
      <c r="AF128">
        <v>31</v>
      </c>
    </row>
  </sheetData>
  <conditionalFormatting sqref="H9:H40">
    <cfRule type="cellIs" dxfId="1" priority="1" operator="greaterThan">
      <formula>1000</formula>
    </cfRule>
  </conditionalFormatting>
  <conditionalFormatting sqref="K9:K40">
    <cfRule type="cellIs" dxfId="0" priority="2" operator="lessThan">
      <formula>J11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A51F5-BE18-4B18-B11C-2814223A00CE}">
  <sheetPr codeName="Sheet8"/>
  <dimension ref="A1:AN51"/>
  <sheetViews>
    <sheetView topLeftCell="F1" zoomScale="70" zoomScaleNormal="70" workbookViewId="0">
      <selection activeCell="H33" sqref="H33"/>
    </sheetView>
  </sheetViews>
  <sheetFormatPr defaultColWidth="11.53125" defaultRowHeight="12.75" x14ac:dyDescent="0.35"/>
  <cols>
    <col min="11" max="11" width="27.6640625" customWidth="1"/>
    <col min="12" max="12" width="15.3984375" customWidth="1"/>
  </cols>
  <sheetData>
    <row r="1" spans="1:16" ht="37.25" customHeight="1" x14ac:dyDescent="0.7">
      <c r="B1" s="52"/>
      <c r="K1" s="164"/>
      <c r="L1" s="164"/>
      <c r="M1" s="164"/>
      <c r="N1" s="164"/>
      <c r="O1" s="164"/>
    </row>
    <row r="2" spans="1:16" ht="52.15" x14ac:dyDescent="0.5">
      <c r="B2" s="53" t="s">
        <v>108</v>
      </c>
      <c r="C2" s="53" t="s">
        <v>109</v>
      </c>
      <c r="D2" s="53" t="s">
        <v>110</v>
      </c>
      <c r="E2" s="53" t="s">
        <v>111</v>
      </c>
      <c r="F2" s="54" t="s">
        <v>112</v>
      </c>
      <c r="G2" s="55" t="s">
        <v>61</v>
      </c>
      <c r="H2" s="56" t="s">
        <v>113</v>
      </c>
      <c r="K2" s="57" t="s">
        <v>114</v>
      </c>
      <c r="L2" s="58" t="s">
        <v>115</v>
      </c>
      <c r="M2" s="58" t="s">
        <v>116</v>
      </c>
      <c r="O2" s="11"/>
      <c r="P2" s="11"/>
    </row>
    <row r="3" spans="1:16" ht="26.25" x14ac:dyDescent="0.45">
      <c r="B3" s="54" t="s">
        <v>117</v>
      </c>
      <c r="C3" s="54" t="s">
        <v>117</v>
      </c>
      <c r="D3" s="54" t="s">
        <v>117</v>
      </c>
      <c r="E3" s="54" t="s">
        <v>117</v>
      </c>
      <c r="F3" s="54"/>
      <c r="G3" s="59" t="s">
        <v>118</v>
      </c>
      <c r="H3" s="59" t="s">
        <v>119</v>
      </c>
      <c r="K3" s="60" t="s">
        <v>120</v>
      </c>
      <c r="L3" s="58" t="str">
        <f>"/ml"</f>
        <v>/ml</v>
      </c>
      <c r="M3" s="58"/>
      <c r="O3" s="61"/>
      <c r="P3" s="62"/>
    </row>
    <row r="4" spans="1:16" ht="13.9" x14ac:dyDescent="0.4">
      <c r="A4" s="81">
        <v>30</v>
      </c>
      <c r="B4" s="83">
        <f>'6 - B1'!$L38</f>
        <v>7.4481052500000002</v>
      </c>
      <c r="C4" s="83">
        <f>'6 - B2'!$L38</f>
        <v>5.1762534999999996</v>
      </c>
      <c r="D4" s="83">
        <f>'6 - B3'!$L38</f>
        <v>6.7616440000000004</v>
      </c>
      <c r="E4" s="84">
        <f t="shared" ref="E4:E33" si="0">AVERAGE(B4:D4)</f>
        <v>6.4620009166666668</v>
      </c>
      <c r="F4" s="85">
        <f>'Clause 6'!D22</f>
        <v>8000.0000000000264</v>
      </c>
      <c r="G4" s="81">
        <f>'6 - B1'!$M38+'6 - B2'!$M38+'6 - B3'!$M38</f>
        <v>12</v>
      </c>
      <c r="H4" s="22">
        <f>STDEVP('6 - B1'!$B38:F38,'6 - B2'!B38:F38,'6 - B3'!B38:F38)/SQRT(G4)</f>
        <v>0.38069268866756195</v>
      </c>
      <c r="K4" s="63">
        <v>4</v>
      </c>
      <c r="L4" s="64">
        <v>10563.4</v>
      </c>
      <c r="M4" s="79">
        <f>CubicSpline(L4,$E$4:$E$33,$F$4:$F$33)</f>
        <v>81.974406837954916</v>
      </c>
    </row>
    <row r="5" spans="1:16" ht="13.9" x14ac:dyDescent="0.4">
      <c r="A5" s="81">
        <v>29</v>
      </c>
      <c r="B5" s="83">
        <f>'6 - B1'!$L37</f>
        <v>11.682115000000001</v>
      </c>
      <c r="C5" s="83">
        <f>'6 - B2'!$L37</f>
        <v>10.435893999999999</v>
      </c>
      <c r="D5" s="83">
        <f>'6 - B3'!$L37</f>
        <v>10.47801275</v>
      </c>
      <c r="E5" s="84">
        <f t="shared" si="0"/>
        <v>10.865340583333333</v>
      </c>
      <c r="F5" s="85">
        <f>'Clause 6'!D23</f>
        <v>6698.8315145046445</v>
      </c>
      <c r="G5" s="81">
        <f>'6 - B1'!$M37+'6 - B2'!$M37+'6 - B3'!$M37</f>
        <v>12</v>
      </c>
      <c r="H5" s="22">
        <f>STDEVP('6 - B1'!$B37:F37,'6 - B2'!B37:F37,'6 - B3'!B37:F37)/SQRT(G5)</f>
        <v>0.35275623532483147</v>
      </c>
      <c r="K5" s="63">
        <v>5</v>
      </c>
      <c r="L5" s="64">
        <v>6899.8</v>
      </c>
      <c r="M5" s="79">
        <f t="shared" ref="M5:M9" si="1">CubicSpline(L5,$E$4:$E$33,$F$4:$F$33)</f>
        <v>130.48858048000619</v>
      </c>
    </row>
    <row r="6" spans="1:16" ht="13.9" x14ac:dyDescent="0.4">
      <c r="A6" s="81">
        <v>28</v>
      </c>
      <c r="B6" s="83">
        <f>'6 - B1'!$L36</f>
        <v>17.194000000000003</v>
      </c>
      <c r="C6" s="83">
        <f>'6 - B2'!$L36</f>
        <v>16.878124249999999</v>
      </c>
      <c r="D6" s="83">
        <f>'6 - B3'!$L36</f>
        <v>17.768783499999998</v>
      </c>
      <c r="E6" s="84">
        <f t="shared" si="0"/>
        <v>17.280302583333334</v>
      </c>
      <c r="F6" s="85">
        <f>'Clause 6'!D24</f>
        <v>5609.2929574650552</v>
      </c>
      <c r="G6" s="81">
        <f>'6 - B1'!$M36+'6 - B2'!$M36+'6 - B3'!$M36</f>
        <v>12</v>
      </c>
      <c r="H6" s="22">
        <f>STDEVP('6 - B1'!$B36:F36,'6 - B2'!B36:F36,'6 - B3'!B36:F36)/SQRT(G6)</f>
        <v>0.36843030936847965</v>
      </c>
      <c r="K6" s="63">
        <v>6</v>
      </c>
      <c r="L6" s="64">
        <v>4593.5</v>
      </c>
      <c r="M6" s="79">
        <f t="shared" si="1"/>
        <v>192.79839297874119</v>
      </c>
    </row>
    <row r="7" spans="1:16" ht="13.9" x14ac:dyDescent="0.4">
      <c r="A7" s="81">
        <v>27</v>
      </c>
      <c r="B7" s="83">
        <f>'6 - B1'!$L35</f>
        <v>25.705740249999998</v>
      </c>
      <c r="C7" s="83">
        <f>'6 - B2'!$L35</f>
        <v>25.218182750000004</v>
      </c>
      <c r="D7" s="83">
        <f>'6 - B3'!$L35</f>
        <v>24.468594499999998</v>
      </c>
      <c r="E7" s="84">
        <f t="shared" si="0"/>
        <v>25.130839166666664</v>
      </c>
      <c r="F7" s="85">
        <f>'Clause 6'!D25</f>
        <v>4696.9635546944683</v>
      </c>
      <c r="G7" s="81">
        <f>'6 - B1'!$M35+'6 - B2'!$M35+'6 - B3'!$M35</f>
        <v>12</v>
      </c>
      <c r="H7" s="22">
        <f>STDEVP('6 - B1'!$B35:F35,'6 - B2'!B35:F35,'6 - B3'!B35:F35)/SQRT(G7)</f>
        <v>0.40449374842207303</v>
      </c>
      <c r="K7" s="63">
        <v>7</v>
      </c>
      <c r="L7" s="64">
        <v>3202.3</v>
      </c>
      <c r="M7" s="79">
        <f t="shared" si="1"/>
        <v>258.15181628169762</v>
      </c>
    </row>
    <row r="8" spans="1:16" ht="13.9" x14ac:dyDescent="0.4">
      <c r="A8" s="81">
        <v>26</v>
      </c>
      <c r="B8" s="83">
        <f>'6 - B1'!$L34</f>
        <v>37.199036499999998</v>
      </c>
      <c r="C8" s="83">
        <f>'6 - B2'!$L34</f>
        <v>36.96435425</v>
      </c>
      <c r="D8" s="83">
        <f>'6 - B3'!$L34</f>
        <v>36.199117749999999</v>
      </c>
      <c r="E8" s="84">
        <f t="shared" si="0"/>
        <v>36.787502833333328</v>
      </c>
      <c r="F8" s="85">
        <f>'Clause 6'!D26</f>
        <v>3933.0209353333703</v>
      </c>
      <c r="G8" s="81">
        <f>'6 - B1'!$M34+'6 - B2'!$M34+'6 - B3'!$M34</f>
        <v>12</v>
      </c>
      <c r="H8" s="22">
        <f>STDEVP('6 - B1'!$B34:F34,'6 - B2'!B34:F34,'6 - B3'!B34:F34)/SQRT(G8)</f>
        <v>0.50406599843471278</v>
      </c>
      <c r="K8" s="63">
        <v>8</v>
      </c>
      <c r="L8" s="64">
        <v>2184.8000000000002</v>
      </c>
      <c r="M8" s="79">
        <f t="shared" si="1"/>
        <v>337.64384883082914</v>
      </c>
    </row>
    <row r="9" spans="1:16" ht="13.9" x14ac:dyDescent="0.4">
      <c r="A9" s="81">
        <v>25</v>
      </c>
      <c r="B9" s="83">
        <f>'6 - B1'!$L33</f>
        <v>51.869882500000003</v>
      </c>
      <c r="C9" s="83">
        <f>'6 - B2'!$L33</f>
        <v>50.873069000000001</v>
      </c>
      <c r="D9" s="83">
        <f>'6 - B3'!$L33</f>
        <v>52.5512455</v>
      </c>
      <c r="E9" s="84">
        <f t="shared" si="0"/>
        <v>51.764732333333335</v>
      </c>
      <c r="F9" s="85">
        <f>'Clause 6'!D27</f>
        <v>3293.3305736022035</v>
      </c>
      <c r="G9" s="81">
        <f>'6 - B1'!$M33+'6 - B2'!$M33+'6 - B3'!$M33</f>
        <v>12</v>
      </c>
      <c r="H9" s="22">
        <f>STDEVP('6 - B1'!$B33:F33,'6 - B2'!B33:F33,'6 - B3'!B33:F33)/SQRT(G9)</f>
        <v>0.61762242296100844</v>
      </c>
      <c r="K9" s="63">
        <v>9</v>
      </c>
      <c r="L9" s="64">
        <v>1501.7</v>
      </c>
      <c r="M9" s="79">
        <f t="shared" si="1"/>
        <v>431.02464472942899</v>
      </c>
    </row>
    <row r="10" spans="1:16" ht="13.9" x14ac:dyDescent="0.4">
      <c r="A10" s="81">
        <v>24</v>
      </c>
      <c r="B10" s="83">
        <f>'6 - B1'!$L32</f>
        <v>71.843255749999997</v>
      </c>
      <c r="C10" s="83">
        <f>'6 - B2'!$L32</f>
        <v>70.698181000000005</v>
      </c>
      <c r="D10" s="83">
        <f>'6 - B3'!$L32</f>
        <v>73.597036250000002</v>
      </c>
      <c r="E10" s="84">
        <f t="shared" si="0"/>
        <v>72.046157666666673</v>
      </c>
      <c r="F10" s="85">
        <f>'Clause 6'!D28</f>
        <v>2757.6833292660031</v>
      </c>
      <c r="G10" s="81">
        <f>'6 - B1'!$M32+'6 - B2'!$M32+'6 - B3'!$M32</f>
        <v>12</v>
      </c>
      <c r="H10" s="22">
        <f>STDEVP('6 - B1'!$B32:F32,'6 - B2'!B32:F32,'6 - B3'!B32:F32)/SQRT(G10)</f>
        <v>0.93325913192846932</v>
      </c>
      <c r="K10" s="63">
        <v>10</v>
      </c>
      <c r="L10" s="64">
        <v>1069.5</v>
      </c>
      <c r="M10" s="79">
        <f t="shared" ref="M10:M30" si="2">CubicSpline(L10,$E$4:$E$33,$F$4:$F$33)</f>
        <v>530.31282340835389</v>
      </c>
    </row>
    <row r="11" spans="1:16" ht="13.9" x14ac:dyDescent="0.4">
      <c r="A11" s="81">
        <v>23</v>
      </c>
      <c r="B11" s="83">
        <f>'6 - B1'!$L31</f>
        <v>98.283723500000008</v>
      </c>
      <c r="C11" s="83">
        <f>'6 - B2'!$L31</f>
        <v>98.963115749999986</v>
      </c>
      <c r="D11" s="83">
        <f>'6 - B3'!$L31</f>
        <v>97.514724749999985</v>
      </c>
      <c r="E11" s="84">
        <f t="shared" si="0"/>
        <v>98.253854666666655</v>
      </c>
      <c r="F11" s="85">
        <f>'Clause 6'!D29</f>
        <v>2309.156999138891</v>
      </c>
      <c r="G11" s="81">
        <f>'6 - B1'!$M31+'6 - B2'!$M31+'6 - B3'!$M31</f>
        <v>12</v>
      </c>
      <c r="H11" s="22">
        <f>STDEVP('6 - B1'!$B31:F31,'6 - B2'!B31:F31,'6 - B3'!B31:F31)/SQRT(G11)</f>
        <v>0.84124774152904114</v>
      </c>
      <c r="K11" s="63">
        <v>11</v>
      </c>
      <c r="L11" s="64">
        <v>779</v>
      </c>
      <c r="M11" s="79">
        <f t="shared" si="2"/>
        <v>643.88345722131908</v>
      </c>
    </row>
    <row r="12" spans="1:16" ht="13.9" x14ac:dyDescent="0.4">
      <c r="A12" s="81">
        <v>22</v>
      </c>
      <c r="B12" s="83">
        <f>'6 - B1'!$L30</f>
        <v>133.48109825</v>
      </c>
      <c r="C12" s="83">
        <f>'6 - B2'!$L30</f>
        <v>133.49534600000001</v>
      </c>
      <c r="D12" s="83">
        <f>'6 - B3'!$L30</f>
        <v>135.80529200000001</v>
      </c>
      <c r="E12" s="84">
        <f t="shared" si="0"/>
        <v>134.26057875000001</v>
      </c>
      <c r="F12" s="85">
        <f>'Clause 6'!D30</f>
        <v>1933.581709721316</v>
      </c>
      <c r="G12" s="81">
        <f>'6 - B1'!$M30+'6 - B2'!$M30+'6 - B3'!$M30</f>
        <v>13</v>
      </c>
      <c r="H12" s="22">
        <f>STDEVP('6 - B1'!$B30:F30,'6 - B2'!B30:F30,'6 - B3'!B30:F30)/SQRT(G12)</f>
        <v>1.0942757677248278</v>
      </c>
      <c r="K12" s="63">
        <v>12</v>
      </c>
      <c r="L12" s="64">
        <v>583.4</v>
      </c>
      <c r="M12" s="79">
        <f t="shared" si="2"/>
        <v>771.24855487033176</v>
      </c>
    </row>
    <row r="13" spans="1:16" ht="13.9" x14ac:dyDescent="0.4">
      <c r="A13" s="81">
        <v>21</v>
      </c>
      <c r="B13" s="83">
        <f>'6 - B1'!$L29</f>
        <v>181.85604850000001</v>
      </c>
      <c r="C13" s="83">
        <f>'6 - B2'!$L29</f>
        <v>180.25592424999999</v>
      </c>
      <c r="D13" s="83">
        <f>'6 - B3'!$L29</f>
        <v>184.02973639999999</v>
      </c>
      <c r="E13" s="84">
        <f t="shared" si="0"/>
        <v>182.04723638333334</v>
      </c>
      <c r="F13" s="85">
        <f>'Clause 6'!D31</f>
        <v>1619.09226161886</v>
      </c>
      <c r="G13" s="81">
        <f>'6 - B1'!$M29+'6 - B2'!$M29+'6 - B3'!$M29</f>
        <v>13</v>
      </c>
      <c r="H13" s="22">
        <f>STDEVP('6 - B1'!$B29:F29,'6 - B2'!B29:F29,'6 - B3'!B29:F29)/SQRT(G13)</f>
        <v>1.2976826982419589</v>
      </c>
      <c r="K13" s="63">
        <v>13</v>
      </c>
      <c r="L13" s="64">
        <v>453.2</v>
      </c>
      <c r="M13" s="79">
        <f t="shared" si="2"/>
        <v>903.3377827267409</v>
      </c>
    </row>
    <row r="14" spans="1:16" ht="13.9" x14ac:dyDescent="0.4">
      <c r="A14" s="81">
        <v>20</v>
      </c>
      <c r="B14" s="83">
        <f>'6 - B1'!$L28</f>
        <v>241.16447825</v>
      </c>
      <c r="C14" s="83">
        <f>'6 - B2'!$L28</f>
        <v>234.92299180000001</v>
      </c>
      <c r="D14" s="83">
        <f>'6 - B3'!$L28</f>
        <v>241.59683840000002</v>
      </c>
      <c r="E14" s="84">
        <f t="shared" si="0"/>
        <v>239.22810281666668</v>
      </c>
      <c r="F14" s="85">
        <f>'Clause 6'!D32</f>
        <v>1355.7532833778728</v>
      </c>
      <c r="G14" s="81">
        <f>'6 - B1'!$M28+'6 - B2'!$M28+'6 - B3'!$M28</f>
        <v>14</v>
      </c>
      <c r="H14" s="22">
        <f>STDEVP('6 - B1'!$B28:F28,'6 - B2'!B28:F28,'6 - B3'!B28:F28)/SQRT(G14)</f>
        <v>1.7285573630833067</v>
      </c>
      <c r="K14" s="63">
        <v>14</v>
      </c>
      <c r="L14" s="64">
        <v>364.1</v>
      </c>
      <c r="M14" s="79">
        <f t="shared" si="2"/>
        <v>1037.767984644426</v>
      </c>
    </row>
    <row r="15" spans="1:16" ht="13.9" x14ac:dyDescent="0.4">
      <c r="A15" s="81">
        <v>19</v>
      </c>
      <c r="B15" s="83">
        <f>'6 - B1'!$L27</f>
        <v>319.74066149999999</v>
      </c>
      <c r="C15" s="83">
        <f>'6 - B2'!$L27</f>
        <v>311.04782119999999</v>
      </c>
      <c r="D15" s="83">
        <f>'6 - B3'!$L27</f>
        <v>318.55318599999998</v>
      </c>
      <c r="E15" s="84">
        <f t="shared" si="0"/>
        <v>316.44722289999999</v>
      </c>
      <c r="F15" s="85">
        <f>'Clause 6'!D33</f>
        <v>1135.2453525731012</v>
      </c>
      <c r="G15" s="81">
        <f>'6 - B1'!$M27+'6 - B2'!$M27+'6 - B3'!$M27</f>
        <v>14</v>
      </c>
      <c r="H15" s="22">
        <f>STDEVP('6 - B1'!$B27:F27,'6 - B2'!B27:F27,'6 - B3'!B27:F27)/SQRT(G15)</f>
        <v>2.0741322763948626</v>
      </c>
      <c r="K15" s="63">
        <v>15</v>
      </c>
      <c r="L15" s="64">
        <v>296.89999999999998</v>
      </c>
      <c r="M15" s="79">
        <f t="shared" si="2"/>
        <v>1181.7448346982901</v>
      </c>
    </row>
    <row r="16" spans="1:16" ht="13.9" x14ac:dyDescent="0.4">
      <c r="A16" s="81">
        <v>18</v>
      </c>
      <c r="B16" s="83">
        <f>'6 - B1'!$L26</f>
        <v>419.80060575000005</v>
      </c>
      <c r="C16" s="83">
        <f>'6 - B2'!$L26</f>
        <v>412.62485359999999</v>
      </c>
      <c r="D16" s="83">
        <f>'6 - B3'!$L26</f>
        <v>420.21623540000002</v>
      </c>
      <c r="E16" s="84">
        <f t="shared" si="0"/>
        <v>417.54723158333331</v>
      </c>
      <c r="F16" s="85">
        <f>'Clause 6'!D34</f>
        <v>950.60216806395022</v>
      </c>
      <c r="G16" s="81">
        <f>'6 - B1'!$M26+'6 - B2'!$M26+'6 - B3'!$M26</f>
        <v>14</v>
      </c>
      <c r="H16" s="22">
        <f>STDEVP('6 - B1'!$B26:F26,'6 - B2'!B26:F26,'6 - B3'!B26:F26)/SQRT(G16)</f>
        <v>2.1102491177378075</v>
      </c>
      <c r="K16" s="63">
        <v>16</v>
      </c>
      <c r="L16" s="64">
        <v>246.4</v>
      </c>
      <c r="M16" s="79">
        <f t="shared" si="2"/>
        <v>1330.9415214375024</v>
      </c>
    </row>
    <row r="17" spans="1:13" ht="13.9" x14ac:dyDescent="0.4">
      <c r="A17" s="81">
        <v>17</v>
      </c>
      <c r="B17" s="83">
        <f>'6 - B1'!$L25</f>
        <v>556.3275605</v>
      </c>
      <c r="C17" s="83">
        <f>'6 - B2'!$L25</f>
        <v>550.62375499999996</v>
      </c>
      <c r="D17" s="83">
        <f>'6 - B3'!$L25</f>
        <v>555.84305419999998</v>
      </c>
      <c r="E17" s="84">
        <f t="shared" si="0"/>
        <v>554.26478989999998</v>
      </c>
      <c r="F17" s="85">
        <f>'Clause 6'!D35</f>
        <v>795.99047014790119</v>
      </c>
      <c r="G17" s="81">
        <f>'6 - B1'!$M25+'6 - B2'!$M25+'6 - B3'!$M25</f>
        <v>14</v>
      </c>
      <c r="H17" s="22">
        <f>STDEVP('6 - B1'!$B25:F25,'6 - B2'!B25:F25,'6 - B3'!B25:F25)/SQRT(G17)</f>
        <v>2.7610292322205763</v>
      </c>
      <c r="K17" s="63">
        <v>17</v>
      </c>
      <c r="L17" s="64">
        <v>208.5</v>
      </c>
      <c r="M17" s="79">
        <f t="shared" si="2"/>
        <v>1483.9512553062566</v>
      </c>
    </row>
    <row r="18" spans="1:13" ht="13.9" x14ac:dyDescent="0.4">
      <c r="A18" s="81">
        <v>16</v>
      </c>
      <c r="B18" s="83">
        <f>'6 - B1'!$L24</f>
        <v>740.54521175000002</v>
      </c>
      <c r="C18" s="83">
        <f>'6 - B2'!$L24</f>
        <v>728.32375460000003</v>
      </c>
      <c r="D18" s="83">
        <f>'6 - B3'!$L24</f>
        <v>739.00340579999988</v>
      </c>
      <c r="E18" s="84">
        <f t="shared" si="0"/>
        <v>735.95745738333335</v>
      </c>
      <c r="F18" s="85">
        <f>'Clause 6'!D36</f>
        <v>666.52575583401392</v>
      </c>
      <c r="G18" s="81">
        <f>'6 - B1'!$M24+'6 - B2'!$M24+'6 - B3'!$M24</f>
        <v>14</v>
      </c>
      <c r="H18" s="22">
        <f>STDEVP('6 - B1'!$B24:F24,'6 - B2'!B24:F24,'6 - B3'!B24:F24)/SQRT(G18)</f>
        <v>3.2761943327089202</v>
      </c>
      <c r="K18" s="63">
        <v>18</v>
      </c>
      <c r="L18" s="64">
        <v>178.7</v>
      </c>
      <c r="M18" s="79">
        <f t="shared" si="2"/>
        <v>1637.4313975213163</v>
      </c>
    </row>
    <row r="19" spans="1:13" ht="13.9" x14ac:dyDescent="0.4">
      <c r="A19" s="81">
        <v>15</v>
      </c>
      <c r="B19" s="83">
        <f>'6 - B1'!$L23</f>
        <v>992.43759175000002</v>
      </c>
      <c r="C19" s="83">
        <f>'6 - B2'!$L23</f>
        <v>975.53217780000011</v>
      </c>
      <c r="D19" s="83">
        <f>'6 - B3'!$L23</f>
        <v>978.64750980000008</v>
      </c>
      <c r="E19" s="84">
        <f t="shared" si="0"/>
        <v>982.20575978333329</v>
      </c>
      <c r="F19" s="85">
        <f>'Clause 6'!D37</f>
        <v>558.1179673012382</v>
      </c>
      <c r="G19" s="81">
        <f>'6 - B1'!$M23+'6 - B2'!$M23+'6 - B3'!$M23</f>
        <v>14</v>
      </c>
      <c r="H19" s="22">
        <f>STDEVP('6 - B1'!$B23:F23,'6 - B2'!B23:F23,'6 - B3'!B23:F23)/SQRT(G19)</f>
        <v>3.4849675218790339</v>
      </c>
      <c r="K19" s="63">
        <v>19</v>
      </c>
      <c r="L19" s="64">
        <v>153.30000000000001</v>
      </c>
      <c r="M19" s="79">
        <f t="shared" si="2"/>
        <v>1792.7156842382319</v>
      </c>
    </row>
    <row r="20" spans="1:13" ht="13.9" x14ac:dyDescent="0.4">
      <c r="A20" s="81">
        <v>14</v>
      </c>
      <c r="B20" s="83">
        <f>'6 - B1'!$L22</f>
        <v>1335.3969115</v>
      </c>
      <c r="C20" s="83">
        <f>'6 - B2'!$L22</f>
        <v>1304.0183104</v>
      </c>
      <c r="D20" s="83">
        <f>'6 - B3'!$L22</f>
        <v>1308.1407960000001</v>
      </c>
      <c r="E20" s="84">
        <f t="shared" si="0"/>
        <v>1315.8520059666666</v>
      </c>
      <c r="F20" s="85">
        <f>'Clause 6'!D38</f>
        <v>467.34227852109939</v>
      </c>
      <c r="G20" s="81">
        <f>'6 - B1'!$M22+'6 - B2'!$M22+'6 - B3'!$M22</f>
        <v>14</v>
      </c>
      <c r="H20" s="22">
        <f>STDEVP('6 - B1'!$B22:F22,'6 - B2'!B22:F22,'6 - B3'!B22:F22)/SQRT(G20)</f>
        <v>5.4292997290478873</v>
      </c>
      <c r="K20" s="63">
        <v>20</v>
      </c>
      <c r="L20" s="64">
        <v>130.4</v>
      </c>
      <c r="M20" s="79">
        <f t="shared" si="2"/>
        <v>1965.6518900041413</v>
      </c>
    </row>
    <row r="21" spans="1:13" ht="13.9" x14ac:dyDescent="0.4">
      <c r="A21" s="81">
        <v>13</v>
      </c>
      <c r="B21" s="83">
        <f>'6 - B1'!$L21</f>
        <v>1773.1644287499998</v>
      </c>
      <c r="C21" s="83">
        <f>'6 - B2'!$L21</f>
        <v>1745.980542</v>
      </c>
      <c r="D21" s="83">
        <f>'6 - B3'!$L21</f>
        <v>1732.5128663999999</v>
      </c>
      <c r="E21" s="84">
        <f t="shared" si="0"/>
        <v>1750.5526123833333</v>
      </c>
      <c r="F21" s="85">
        <f>'Clause 6'!D39</f>
        <v>391.33089792719215</v>
      </c>
      <c r="G21" s="81">
        <f>'6 - B1'!$M21+'6 - B2'!$M21+'6 - B3'!$M21</f>
        <v>14</v>
      </c>
      <c r="H21" s="22">
        <f>STDEVP('6 - B1'!$B21:F21,'6 - B2'!B21:F21,'6 - B3'!B21:F21)/SQRT(G21)</f>
        <v>6.3738329675404737</v>
      </c>
      <c r="K21" s="63">
        <v>21</v>
      </c>
      <c r="L21" s="64">
        <v>109.4</v>
      </c>
      <c r="M21" s="79">
        <f t="shared" si="2"/>
        <v>2173.8237870578837</v>
      </c>
    </row>
    <row r="22" spans="1:13" ht="13.9" x14ac:dyDescent="0.4">
      <c r="A22" s="81">
        <v>12</v>
      </c>
      <c r="B22" s="83">
        <f>'6 - B1'!$L20</f>
        <v>2320.966919</v>
      </c>
      <c r="C22" s="83">
        <f>'6 - B2'!$L20</f>
        <v>2278.1942383999999</v>
      </c>
      <c r="D22" s="83">
        <f>'6 - B3'!$L20</f>
        <v>2253.7423337999999</v>
      </c>
      <c r="E22" s="84">
        <f t="shared" si="0"/>
        <v>2284.3011637333334</v>
      </c>
      <c r="F22" s="85">
        <f>'Clause 6'!D40</f>
        <v>327.6824689542583</v>
      </c>
      <c r="G22" s="81">
        <f>'6 - B1'!$M20+'6 - B2'!$M20+'6 - B3'!$M20</f>
        <v>14</v>
      </c>
      <c r="H22" s="22">
        <f>STDEVP('6 - B1'!$B20:F20,'6 - B2'!B20:F20,'6 - B3'!B20:F20)/SQRT(G22)</f>
        <v>9.1602628351746169</v>
      </c>
      <c r="K22" s="63">
        <v>22</v>
      </c>
      <c r="L22" s="64">
        <v>91.3</v>
      </c>
      <c r="M22" s="79">
        <f t="shared" si="2"/>
        <v>2407.6264844036559</v>
      </c>
    </row>
    <row r="23" spans="1:13" ht="13.9" x14ac:dyDescent="0.4">
      <c r="A23" s="81">
        <v>11</v>
      </c>
      <c r="B23" s="83">
        <f>'6 - B1'!$L19</f>
        <v>3001.8002929999998</v>
      </c>
      <c r="C23" s="83">
        <f>'6 - B2'!$L19</f>
        <v>2947.2520508000002</v>
      </c>
      <c r="D23" s="83">
        <f>'6 - B3'!$L19</f>
        <v>2911.2800778000005</v>
      </c>
      <c r="E23" s="84">
        <f t="shared" si="0"/>
        <v>2953.4441405333332</v>
      </c>
      <c r="F23" s="85">
        <f>'Clause 6'!D41</f>
        <v>274.38620622268348</v>
      </c>
      <c r="G23" s="81">
        <f>'6 - B1'!$M19+'6 - B2'!$M19+'6 - B3'!$M19</f>
        <v>14</v>
      </c>
      <c r="H23" s="22">
        <f>STDEVP('6 - B1'!$B19:F19,'6 - B2'!B19:F19,'6 - B3'!B19:F19)/SQRT(G23)</f>
        <v>11.601542462174148</v>
      </c>
      <c r="K23" s="63">
        <v>23</v>
      </c>
      <c r="L23" s="64">
        <v>76.099999999999994</v>
      </c>
      <c r="M23" s="79">
        <f t="shared" si="2"/>
        <v>2675.5147675837388</v>
      </c>
    </row>
    <row r="24" spans="1:13" ht="13.9" x14ac:dyDescent="0.4">
      <c r="A24" s="81">
        <v>10</v>
      </c>
      <c r="B24" s="83">
        <f>'6 - B1'!$L18</f>
        <v>3772.7956542500006</v>
      </c>
      <c r="C24" s="83">
        <f>'6 - B2'!$L18</f>
        <v>3705.8745117999997</v>
      </c>
      <c r="D24" s="83">
        <f>'6 - B3'!$L18</f>
        <v>3648.9829104000005</v>
      </c>
      <c r="E24" s="84">
        <f t="shared" si="0"/>
        <v>3709.2176921499999</v>
      </c>
      <c r="F24" s="85">
        <f>'Clause 6'!D42</f>
        <v>229.75837067373456</v>
      </c>
      <c r="G24" s="81">
        <f>'6 - B1'!$M18+'6 - B2'!$M18+'6 - B3'!$M18</f>
        <v>14</v>
      </c>
      <c r="H24" s="22">
        <f>STDEVP('6 - B1'!$B18:F18,'6 - B2'!B18:F18,'6 - B3'!B18:F18)/SQRT(G24)</f>
        <v>14.941408596131549</v>
      </c>
      <c r="K24" s="63">
        <v>24</v>
      </c>
      <c r="L24" s="64">
        <v>63.1</v>
      </c>
      <c r="M24" s="79">
        <f t="shared" si="2"/>
        <v>2964.4579147087734</v>
      </c>
    </row>
    <row r="25" spans="1:13" ht="13.9" x14ac:dyDescent="0.4">
      <c r="A25" s="81">
        <v>9</v>
      </c>
      <c r="B25" s="83">
        <f>'6 - B1'!$L17</f>
        <v>4695.286865</v>
      </c>
      <c r="C25" s="83">
        <f>'6 - B2'!$L17</f>
        <v>4596.6027341999998</v>
      </c>
      <c r="D25" s="83">
        <f>'6 - B3'!$L17</f>
        <v>4522.4199218000003</v>
      </c>
      <c r="E25" s="84">
        <f t="shared" si="0"/>
        <v>4604.7698403333334</v>
      </c>
      <c r="F25" s="85">
        <f>'Clause 6'!D43</f>
        <v>192.38907677380595</v>
      </c>
      <c r="G25" s="81">
        <f>'6 - B1'!$M17+'6 - B2'!$M17+'6 - B3'!$M17</f>
        <v>14</v>
      </c>
      <c r="H25" s="22">
        <f>STDEVP('6 - B1'!$B17:F17,'6 - B2'!B17:F17,'6 - B3'!B17:F17)/SQRT(G25)</f>
        <v>20.725238585814616</v>
      </c>
      <c r="K25" s="63">
        <v>25</v>
      </c>
      <c r="L25" s="64">
        <v>52.1</v>
      </c>
      <c r="M25" s="79">
        <f t="shared" si="2"/>
        <v>3282.4255366327325</v>
      </c>
    </row>
    <row r="26" spans="1:13" ht="13.9" x14ac:dyDescent="0.4">
      <c r="A26" s="81">
        <v>8</v>
      </c>
      <c r="B26" s="83">
        <f>'6 - B1'!$L16</f>
        <v>5709.4780275000003</v>
      </c>
      <c r="C26" s="83">
        <f>'6 - B2'!$L16</f>
        <v>5560.0762696000002</v>
      </c>
      <c r="D26" s="83">
        <f>'6 - B3'!$L16</f>
        <v>5471.1438478</v>
      </c>
      <c r="E26" s="84">
        <f t="shared" si="0"/>
        <v>5580.2327149666671</v>
      </c>
      <c r="F26" s="85">
        <f>'Clause 6'!D44</f>
        <v>161.09775131735259</v>
      </c>
      <c r="G26" s="81">
        <f>'6 - B1'!$M16+'6 - B2'!$M16+'6 - B3'!$M16</f>
        <v>14</v>
      </c>
      <c r="H26" s="22">
        <f>STDEVP('6 - B1'!$B16:F16,'6 - B2'!B16:F16,'6 - B3'!B16:F16)/SQRT(G26)</f>
        <v>27.611220879869819</v>
      </c>
      <c r="K26" s="63">
        <v>26</v>
      </c>
      <c r="L26" s="64">
        <v>43</v>
      </c>
      <c r="M26" s="79">
        <f t="shared" si="2"/>
        <v>3633.3294209823316</v>
      </c>
    </row>
    <row r="27" spans="1:13" ht="13.9" x14ac:dyDescent="0.4">
      <c r="A27" s="81">
        <v>7</v>
      </c>
      <c r="B27" s="83">
        <f>'6 - B1'!$L15</f>
        <v>6852.2156980000009</v>
      </c>
      <c r="C27" s="83">
        <f>'6 - B2'!$L15</f>
        <v>6651.2644532000004</v>
      </c>
      <c r="D27" s="83">
        <f>'6 - B3'!$L15</f>
        <v>6528.9503906</v>
      </c>
      <c r="E27" s="84">
        <f t="shared" si="0"/>
        <v>6677.4768472666665</v>
      </c>
      <c r="F27" s="85">
        <f>'Clause 6'!D45</f>
        <v>134.89583668006375</v>
      </c>
      <c r="G27" s="81">
        <f>'6 - B1'!$M15+'6 - B2'!$M15+'6 - B3'!$M15</f>
        <v>14</v>
      </c>
      <c r="H27" s="22">
        <f>STDEVP('6 - B1'!$B15:F15,'6 - B2'!B15:F15,'6 - B3'!B15:F15)/SQRT(G27)</f>
        <v>36.739561644753735</v>
      </c>
      <c r="K27" s="63">
        <v>27</v>
      </c>
      <c r="L27" s="64">
        <v>35.700000000000003</v>
      </c>
      <c r="M27" s="79">
        <f t="shared" si="2"/>
        <v>3990.2560553220965</v>
      </c>
    </row>
    <row r="28" spans="1:13" ht="13.9" x14ac:dyDescent="0.4">
      <c r="A28" s="81">
        <v>6</v>
      </c>
      <c r="B28" s="83">
        <f>'6 - B1'!$L14</f>
        <v>8156.2349855000002</v>
      </c>
      <c r="C28" s="83">
        <f>'6 - B2'!$L14</f>
        <v>7875.9991212000004</v>
      </c>
      <c r="D28" s="83">
        <f>'6 - B3'!$L14</f>
        <v>7716.1469727999993</v>
      </c>
      <c r="E28" s="84">
        <f t="shared" si="0"/>
        <v>7916.1270265000012</v>
      </c>
      <c r="F28" s="85">
        <f>'Clause 6'!D46</f>
        <v>112.95556024098497</v>
      </c>
      <c r="G28" s="81">
        <f>'6 - B1'!$M14+'6 - B2'!$M14+'6 - B3'!$M14</f>
        <v>14</v>
      </c>
      <c r="H28" s="22">
        <f>STDEVP('6 - B1'!$B14:F14,'6 - B2'!B14:F14,'6 - B3'!B14:F14)/SQRT(G28)</f>
        <v>49.952242588158356</v>
      </c>
      <c r="K28" s="63">
        <v>28</v>
      </c>
      <c r="L28" s="64">
        <v>29.8</v>
      </c>
      <c r="M28" s="79">
        <f t="shared" si="2"/>
        <v>4344.809209142406</v>
      </c>
    </row>
    <row r="29" spans="1:13" ht="13.9" x14ac:dyDescent="0.4">
      <c r="A29" s="81">
        <v>5</v>
      </c>
      <c r="B29" s="83">
        <f>'6 - B1'!$L13</f>
        <v>9558.1735840000001</v>
      </c>
      <c r="C29" s="83">
        <f>'6 - B2'!$L13</f>
        <v>9222.0787110000001</v>
      </c>
      <c r="D29" s="83">
        <f>'6 - B3'!$L13</f>
        <v>9020.3554690000019</v>
      </c>
      <c r="E29" s="84">
        <f t="shared" si="0"/>
        <v>9266.8692546666662</v>
      </c>
      <c r="F29" s="85">
        <f>'Clause 6'!D47</f>
        <v>94.583783335104428</v>
      </c>
      <c r="G29" s="81">
        <f>'6 - B1'!$M13+'6 - B2'!$M13+'6 - B3'!$M13</f>
        <v>14</v>
      </c>
      <c r="H29" s="22">
        <f>STDEVP('6 - B1'!$B13:F13,'6 - B2'!B13:F13,'6 - B3'!B13:F13)/SQRT(G29)</f>
        <v>61.295606225419697</v>
      </c>
      <c r="K29" s="63">
        <v>29</v>
      </c>
      <c r="L29" s="64">
        <v>25.2</v>
      </c>
      <c r="M29" s="79">
        <f t="shared" si="2"/>
        <v>4691.1764987482156</v>
      </c>
    </row>
    <row r="30" spans="1:13" ht="13.9" x14ac:dyDescent="0.4">
      <c r="A30" s="81">
        <v>4</v>
      </c>
      <c r="B30" s="83">
        <f>'6 - B1'!$L12</f>
        <v>11283.112304499999</v>
      </c>
      <c r="C30" s="83">
        <f>'6 - B2'!$L12</f>
        <v>10835.775195400001</v>
      </c>
      <c r="D30" s="83">
        <f>'6 - B3'!$L12</f>
        <v>10575.609179800002</v>
      </c>
      <c r="E30" s="84">
        <f t="shared" si="0"/>
        <v>10898.165559900001</v>
      </c>
      <c r="F30" s="85">
        <f>'Clause 6'!D48</f>
        <v>79.200103570784336</v>
      </c>
      <c r="G30" s="81">
        <f>'6 - B1'!$M12+'6 - B2'!$M12+'6 - B3'!$M12</f>
        <v>14</v>
      </c>
      <c r="H30" s="22">
        <f>STDEVP('6 - B1'!$B12:F12,'6 - B2'!B12:F12,'6 - B3'!B12:F12)/SQRT(G30)</f>
        <v>79.949983979238169</v>
      </c>
      <c r="K30" s="63">
        <v>30</v>
      </c>
      <c r="L30" s="64">
        <v>21.1</v>
      </c>
      <c r="M30" s="79">
        <f t="shared" si="2"/>
        <v>5112.5373890771079</v>
      </c>
    </row>
    <row r="31" spans="1:13" ht="13.9" x14ac:dyDescent="0.4">
      <c r="A31" s="81">
        <v>3</v>
      </c>
      <c r="B31" s="83">
        <f>'6 - B1'!$L11</f>
        <v>13209.49707025</v>
      </c>
      <c r="C31" s="83">
        <f>'6 - B2'!$L11</f>
        <v>12631.533007599999</v>
      </c>
      <c r="D31" s="83">
        <f>'6 - B3'!$L11</f>
        <v>12342.6976562</v>
      </c>
      <c r="E31" s="84">
        <f t="shared" si="0"/>
        <v>12727.909244683333</v>
      </c>
      <c r="F31" s="85">
        <f>'Clause 6'!D49</f>
        <v>66.318518719000025</v>
      </c>
      <c r="G31" s="81">
        <f>'6 - B1'!$M11+'6 - B2'!$M11+'6 - B3'!$M11</f>
        <v>14</v>
      </c>
      <c r="H31" s="22">
        <f>STDEVP('6 - B1'!$B11:F11,'6 - B2'!B11:F11,'6 - B3'!B11:F11)/SQRT(G31)</f>
        <v>98.377621070286892</v>
      </c>
    </row>
    <row r="32" spans="1:13" ht="13.9" x14ac:dyDescent="0.4">
      <c r="A32" s="81">
        <v>2</v>
      </c>
      <c r="B32" s="83">
        <f>'6 - B1'!$L10</f>
        <v>15193.326415750002</v>
      </c>
      <c r="C32" s="83">
        <f>'6 - B2'!$L10</f>
        <v>14512.1773438</v>
      </c>
      <c r="D32" s="83">
        <f>'6 - B3'!$L10</f>
        <v>14189.9101562</v>
      </c>
      <c r="E32" s="84">
        <f t="shared" si="0"/>
        <v>14631.804638583335</v>
      </c>
      <c r="F32" s="85">
        <f>'Clause 6'!D50</f>
        <v>55.532072898762756</v>
      </c>
      <c r="G32" s="81">
        <f>'6 - B1'!$M10+'6 - B2'!$M10+'6 - B3'!$M10</f>
        <v>14</v>
      </c>
      <c r="H32" s="22">
        <f>STDEVP('6 - B1'!$B10:F10,'6 - B2'!B10:F10,'6 - B3'!B10:F10)/SQRT(G32)</f>
        <v>114.84438431249151</v>
      </c>
      <c r="K32" s="27" t="s">
        <v>121</v>
      </c>
    </row>
    <row r="33" spans="1:40" ht="13.9" x14ac:dyDescent="0.4">
      <c r="A33" s="81">
        <v>1</v>
      </c>
      <c r="B33" s="83">
        <f>'6 - B1'!$L9</f>
        <v>17659.25732425</v>
      </c>
      <c r="C33" s="83">
        <f>'6 - B2'!$L9</f>
        <v>16827.4894532</v>
      </c>
      <c r="D33" s="83">
        <f>'6 - B3'!$L9</f>
        <v>16423.983398199998</v>
      </c>
      <c r="E33" s="84">
        <f t="shared" si="0"/>
        <v>16970.24339188333</v>
      </c>
      <c r="F33" s="85">
        <f>'Clause 6'!D51</f>
        <v>46.5</v>
      </c>
      <c r="G33" s="81">
        <f>'6 - B1'!$M9+'6 - B2'!$M9+'6 - B3'!$M9</f>
        <v>14</v>
      </c>
      <c r="H33" s="22">
        <f>STDEVP('6 - B1'!$B9:F9,'6 - B2'!B9:F9,'6 - B3'!B9:F9)/SQRT(G33)</f>
        <v>141.2376184154401</v>
      </c>
    </row>
    <row r="34" spans="1:40" x14ac:dyDescent="0.35">
      <c r="B34" s="22"/>
      <c r="C34" s="22"/>
      <c r="D34" s="22"/>
      <c r="E34" s="22"/>
      <c r="F34" s="22"/>
    </row>
    <row r="35" spans="1:40" x14ac:dyDescent="0.35">
      <c r="B35" s="22"/>
      <c r="C35" s="22"/>
      <c r="D35" s="22"/>
      <c r="E35" s="22"/>
      <c r="F35" s="22"/>
    </row>
    <row r="36" spans="1:40" x14ac:dyDescent="0.35">
      <c r="B36" s="22"/>
      <c r="C36" s="22"/>
      <c r="D36" s="22"/>
      <c r="E36" s="22"/>
      <c r="F36" s="22"/>
    </row>
    <row r="37" spans="1:40" x14ac:dyDescent="0.35">
      <c r="B37" s="22"/>
      <c r="C37" s="22"/>
      <c r="D37" s="22"/>
      <c r="E37" s="22"/>
      <c r="F37" s="22"/>
    </row>
    <row r="38" spans="1:40" x14ac:dyDescent="0.35">
      <c r="B38" s="22"/>
      <c r="C38" s="22"/>
      <c r="D38" s="22"/>
      <c r="E38" s="22"/>
      <c r="F38" s="22"/>
    </row>
    <row r="42" spans="1:40" x14ac:dyDescent="0.35"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65"/>
      <c r="AK42" s="65"/>
      <c r="AL42" s="65"/>
      <c r="AM42" s="65"/>
      <c r="AN42" s="65"/>
    </row>
    <row r="45" spans="1:40" x14ac:dyDescent="0.35">
      <c r="M45" s="65"/>
    </row>
    <row r="46" spans="1:40" x14ac:dyDescent="0.35">
      <c r="M46" s="65"/>
    </row>
    <row r="47" spans="1:40" x14ac:dyDescent="0.35">
      <c r="M47" s="65"/>
    </row>
    <row r="48" spans="1:40" x14ac:dyDescent="0.35">
      <c r="M48" s="65"/>
    </row>
    <row r="49" spans="13:13" x14ac:dyDescent="0.35">
      <c r="M49" s="65"/>
    </row>
    <row r="50" spans="13:13" x14ac:dyDescent="0.35">
      <c r="M50" s="65"/>
    </row>
    <row r="51" spans="13:13" x14ac:dyDescent="0.35">
      <c r="M51" s="65"/>
    </row>
  </sheetData>
  <mergeCells count="1">
    <mergeCell ref="K1:O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827513-DD05-4B0F-8D1C-79E5C353CFA9}">
  <sheetPr codeName="Sheet9"/>
  <dimension ref="A1:Q87"/>
  <sheetViews>
    <sheetView zoomScale="70" zoomScaleNormal="70" workbookViewId="0">
      <selection activeCell="N47" sqref="N47"/>
    </sheetView>
  </sheetViews>
  <sheetFormatPr defaultColWidth="11.53125" defaultRowHeight="12.75" x14ac:dyDescent="0.35"/>
  <cols>
    <col min="1" max="1" width="30.265625" customWidth="1"/>
    <col min="10" max="10" width="6.53125" customWidth="1"/>
    <col min="11" max="11" width="14.73046875" customWidth="1"/>
  </cols>
  <sheetData>
    <row r="1" spans="1:17" ht="13.15" x14ac:dyDescent="0.4">
      <c r="A1" s="7" t="s">
        <v>18</v>
      </c>
      <c r="B1" s="7"/>
      <c r="C1" s="17"/>
      <c r="D1" s="66"/>
    </row>
    <row r="2" spans="1:17" ht="13.15" x14ac:dyDescent="0.4">
      <c r="A2" s="7" t="s">
        <v>24</v>
      </c>
      <c r="B2" s="7"/>
      <c r="C2" s="7"/>
      <c r="D2" s="68" t="s">
        <v>191</v>
      </c>
    </row>
    <row r="3" spans="1:17" ht="13.15" x14ac:dyDescent="0.4">
      <c r="A3" s="7" t="s">
        <v>8</v>
      </c>
      <c r="B3" s="7"/>
      <c r="C3" s="7"/>
      <c r="D3" s="67"/>
    </row>
    <row r="4" spans="1:17" ht="13.15" x14ac:dyDescent="0.4">
      <c r="A4" s="7" t="s">
        <v>28</v>
      </c>
      <c r="B4" s="7"/>
      <c r="C4" s="7"/>
      <c r="D4" s="68" t="s">
        <v>191</v>
      </c>
    </row>
    <row r="5" spans="1:17" ht="13.15" x14ac:dyDescent="0.4">
      <c r="A5" s="7" t="s">
        <v>26</v>
      </c>
      <c r="B5" s="7"/>
      <c r="C5" s="7"/>
      <c r="D5" s="66"/>
    </row>
    <row r="6" spans="1:17" ht="13.15" x14ac:dyDescent="0.4">
      <c r="A6" s="17" t="s">
        <v>30</v>
      </c>
      <c r="B6" s="7"/>
      <c r="C6" s="7"/>
      <c r="D6" s="68" t="s">
        <v>122</v>
      </c>
    </row>
    <row r="7" spans="1:17" ht="13.15" x14ac:dyDescent="0.4">
      <c r="A7" s="7" t="s">
        <v>16</v>
      </c>
      <c r="B7" s="7"/>
      <c r="C7" s="7"/>
      <c r="D7" s="69" t="s">
        <v>17</v>
      </c>
    </row>
    <row r="8" spans="1:17" ht="13.9" x14ac:dyDescent="0.4">
      <c r="A8" s="7" t="s">
        <v>184</v>
      </c>
      <c r="D8" s="144">
        <f>'Clause 6'!$B$19</f>
        <v>20000</v>
      </c>
    </row>
    <row r="10" spans="1:17" x14ac:dyDescent="0.35">
      <c r="A10" s="70" t="s">
        <v>123</v>
      </c>
      <c r="B10" s="70"/>
      <c r="C10" s="70"/>
      <c r="D10" s="70"/>
    </row>
    <row r="11" spans="1:17" ht="13.5" thickBot="1" x14ac:dyDescent="0.45">
      <c r="A11" s="70"/>
      <c r="B11" s="70"/>
      <c r="C11" s="70"/>
      <c r="D11" s="70"/>
      <c r="H11" s="27"/>
    </row>
    <row r="12" spans="1:17" ht="13.15" x14ac:dyDescent="0.4">
      <c r="A12" s="148">
        <v>49.4</v>
      </c>
      <c r="B12" s="127" t="s">
        <v>124</v>
      </c>
      <c r="C12" s="127" t="s">
        <v>125</v>
      </c>
      <c r="D12" s="128"/>
      <c r="F12" s="108">
        <v>39</v>
      </c>
      <c r="G12" s="71" t="s">
        <v>124</v>
      </c>
      <c r="H12" s="71" t="s">
        <v>125</v>
      </c>
      <c r="I12" s="39"/>
      <c r="J12" s="40"/>
      <c r="M12" s="108">
        <v>69.7</v>
      </c>
      <c r="N12" s="71" t="s">
        <v>124</v>
      </c>
      <c r="O12" s="71" t="s">
        <v>125</v>
      </c>
      <c r="P12" s="39"/>
      <c r="Q12" s="40"/>
    </row>
    <row r="13" spans="1:17" x14ac:dyDescent="0.35">
      <c r="A13" s="129">
        <f>(4/3)*(3.1415936)*((A12*0.000001/2)^3)</f>
        <v>6.3121832711697054E-14</v>
      </c>
      <c r="B13" s="70" t="s">
        <v>126</v>
      </c>
      <c r="C13" s="70" t="s">
        <v>127</v>
      </c>
      <c r="D13" s="130"/>
      <c r="F13" s="72">
        <f>(4/3)*(3.1415936)*((F12*0.000001/2)^3)</f>
        <v>3.1059365126399994E-14</v>
      </c>
      <c r="G13" s="70" t="s">
        <v>126</v>
      </c>
      <c r="H13" s="70" t="s">
        <v>127</v>
      </c>
      <c r="J13" s="45"/>
      <c r="M13" s="72">
        <f>(4/3)*(3.1415936)*((M12*0.000001/2)^3)</f>
        <v>1.7729524472000214E-13</v>
      </c>
      <c r="N13" s="70" t="s">
        <v>126</v>
      </c>
      <c r="O13" s="70" t="s">
        <v>127</v>
      </c>
      <c r="Q13" s="45"/>
    </row>
    <row r="14" spans="1:17" ht="13.15" x14ac:dyDescent="0.4">
      <c r="A14" s="149">
        <v>1.05</v>
      </c>
      <c r="B14" t="s">
        <v>186</v>
      </c>
      <c r="C14" t="s">
        <v>185</v>
      </c>
      <c r="D14" s="130"/>
      <c r="F14" s="108">
        <v>2.5</v>
      </c>
      <c r="G14" t="s">
        <v>186</v>
      </c>
      <c r="J14" s="45"/>
      <c r="M14" s="108">
        <v>1.05</v>
      </c>
      <c r="N14" t="s">
        <v>186</v>
      </c>
      <c r="O14" t="s">
        <v>185</v>
      </c>
      <c r="Q14" s="45"/>
    </row>
    <row r="15" spans="1:17" x14ac:dyDescent="0.35">
      <c r="A15" s="129">
        <f>A13*A14*1000</f>
        <v>6.6277924347281912E-11</v>
      </c>
      <c r="B15" s="70" t="s">
        <v>128</v>
      </c>
      <c r="C15" s="70" t="s">
        <v>129</v>
      </c>
      <c r="D15" s="130"/>
      <c r="F15" s="72">
        <f>F13*F14*1000</f>
        <v>7.7648412815999973E-11</v>
      </c>
      <c r="G15" s="70" t="s">
        <v>128</v>
      </c>
      <c r="H15" s="70" t="s">
        <v>129</v>
      </c>
      <c r="J15" s="45"/>
      <c r="M15" s="72">
        <f>M13*M14*1000</f>
        <v>1.8616000695600225E-10</v>
      </c>
      <c r="N15" s="70" t="s">
        <v>128</v>
      </c>
      <c r="O15" s="70" t="s">
        <v>129</v>
      </c>
      <c r="Q15" s="45"/>
    </row>
    <row r="16" spans="1:17" x14ac:dyDescent="0.35">
      <c r="A16" s="129">
        <f>0.000001/A15</f>
        <v>15087.980045364991</v>
      </c>
      <c r="B16" s="70" t="s">
        <v>43</v>
      </c>
      <c r="C16" s="70" t="s">
        <v>130</v>
      </c>
      <c r="D16" s="130"/>
      <c r="F16" s="72">
        <f>0.000001/F15</f>
        <v>12878.563305210835</v>
      </c>
      <c r="G16" s="70" t="s">
        <v>43</v>
      </c>
      <c r="H16" s="70" t="s">
        <v>130</v>
      </c>
      <c r="J16" s="45"/>
      <c r="M16" s="72">
        <f>0.000001/M15</f>
        <v>5371.7230480999269</v>
      </c>
      <c r="N16" s="70" t="s">
        <v>43</v>
      </c>
      <c r="O16" s="70" t="s">
        <v>130</v>
      </c>
      <c r="Q16" s="45"/>
    </row>
    <row r="17" spans="1:17" ht="13.15" x14ac:dyDescent="0.4">
      <c r="A17" s="73">
        <v>2000</v>
      </c>
      <c r="B17" s="70"/>
      <c r="C17" s="70" t="s">
        <v>131</v>
      </c>
      <c r="D17" s="130"/>
      <c r="F17" s="73">
        <v>1000</v>
      </c>
      <c r="G17" s="70"/>
      <c r="H17" s="70" t="s">
        <v>131</v>
      </c>
      <c r="J17" s="45"/>
      <c r="M17" s="73">
        <v>500</v>
      </c>
      <c r="N17" s="70"/>
      <c r="O17" s="70" t="s">
        <v>131</v>
      </c>
      <c r="Q17" s="45"/>
    </row>
    <row r="18" spans="1:17" x14ac:dyDescent="0.35">
      <c r="A18" s="131">
        <f>A17/A16*1000</f>
        <v>132.55584869456382</v>
      </c>
      <c r="B18" s="70" t="s">
        <v>132</v>
      </c>
      <c r="C18" s="70" t="s">
        <v>133</v>
      </c>
      <c r="D18" s="130"/>
      <c r="F18" s="74">
        <f>F17/F16*1000</f>
        <v>77.648412815999976</v>
      </c>
      <c r="G18" s="70" t="s">
        <v>136</v>
      </c>
      <c r="H18" s="70" t="s">
        <v>133</v>
      </c>
      <c r="J18" s="45"/>
      <c r="M18" s="74">
        <f>M17/M16*1000</f>
        <v>93.080003478001117</v>
      </c>
      <c r="N18" s="70" t="s">
        <v>132</v>
      </c>
      <c r="O18" s="70" t="s">
        <v>133</v>
      </c>
      <c r="Q18" s="45"/>
    </row>
    <row r="19" spans="1:17" ht="13.15" x14ac:dyDescent="0.4">
      <c r="A19" s="149">
        <v>0.1</v>
      </c>
      <c r="B19" s="70" t="s">
        <v>134</v>
      </c>
      <c r="C19" s="70" t="s">
        <v>135</v>
      </c>
      <c r="D19" s="130"/>
      <c r="F19" s="108">
        <v>0.1</v>
      </c>
      <c r="G19" s="70" t="s">
        <v>134</v>
      </c>
      <c r="H19" s="70" t="s">
        <v>135</v>
      </c>
      <c r="J19" s="45"/>
      <c r="M19" s="108">
        <v>0.1</v>
      </c>
      <c r="N19" s="70" t="s">
        <v>134</v>
      </c>
      <c r="O19" s="70" t="s">
        <v>135</v>
      </c>
      <c r="Q19" s="45"/>
    </row>
    <row r="20" spans="1:17" ht="13.9" x14ac:dyDescent="0.4">
      <c r="A20" s="150">
        <f>A19*A18</f>
        <v>13.255584869456383</v>
      </c>
      <c r="B20" s="70" t="s">
        <v>136</v>
      </c>
      <c r="C20" s="70" t="s">
        <v>137</v>
      </c>
      <c r="D20" s="130"/>
      <c r="F20" s="145">
        <f>F19*F18</f>
        <v>7.7648412815999981</v>
      </c>
      <c r="G20" s="70" t="s">
        <v>136</v>
      </c>
      <c r="H20" s="70" t="s">
        <v>137</v>
      </c>
      <c r="J20" s="45"/>
      <c r="M20" s="145">
        <f>M19*M18</f>
        <v>9.3080003478001121</v>
      </c>
      <c r="N20" s="70" t="s">
        <v>136</v>
      </c>
      <c r="O20" s="70" t="s">
        <v>137</v>
      </c>
      <c r="Q20" s="45"/>
    </row>
    <row r="21" spans="1:17" ht="13.15" x14ac:dyDescent="0.4">
      <c r="A21" s="149">
        <v>50</v>
      </c>
      <c r="B21" s="70" t="s">
        <v>136</v>
      </c>
      <c r="C21" s="70" t="s">
        <v>138</v>
      </c>
      <c r="D21" s="130"/>
      <c r="F21" s="108">
        <v>50</v>
      </c>
      <c r="G21" s="70" t="s">
        <v>136</v>
      </c>
      <c r="H21" s="70" t="s">
        <v>138</v>
      </c>
      <c r="J21" s="45"/>
      <c r="M21" s="108">
        <v>50</v>
      </c>
      <c r="N21" s="70" t="s">
        <v>136</v>
      </c>
      <c r="O21" s="70" t="s">
        <v>138</v>
      </c>
      <c r="Q21" s="45"/>
    </row>
    <row r="22" spans="1:17" ht="13.9" x14ac:dyDescent="0.4">
      <c r="A22" s="151">
        <f>A21/A20*A17</f>
        <v>7543.9900226824948</v>
      </c>
      <c r="B22" s="70" t="s">
        <v>139</v>
      </c>
      <c r="C22" s="70" t="s">
        <v>140</v>
      </c>
      <c r="D22" s="12"/>
      <c r="F22" s="146">
        <f>F21/F20*F17</f>
        <v>6439.2816526054166</v>
      </c>
      <c r="G22" s="70" t="s">
        <v>139</v>
      </c>
      <c r="H22" s="70" t="s">
        <v>140</v>
      </c>
      <c r="J22" s="45"/>
      <c r="M22" s="146">
        <f>M21/M20*M17</f>
        <v>2685.8615240499635</v>
      </c>
      <c r="N22" s="70" t="s">
        <v>139</v>
      </c>
      <c r="O22" s="70" t="s">
        <v>140</v>
      </c>
      <c r="Q22" s="45"/>
    </row>
    <row r="23" spans="1:17" x14ac:dyDescent="0.35">
      <c r="A23" s="132">
        <f>A21*A16</f>
        <v>754399.00226824952</v>
      </c>
      <c r="C23" t="s">
        <v>141</v>
      </c>
      <c r="D23" s="12"/>
      <c r="F23" s="75">
        <f>F21*F16</f>
        <v>643928.16526054172</v>
      </c>
      <c r="H23" t="s">
        <v>141</v>
      </c>
      <c r="J23" s="45"/>
      <c r="M23" s="75">
        <f>M21*M16</f>
        <v>268586.15240499633</v>
      </c>
      <c r="O23" t="s">
        <v>141</v>
      </c>
      <c r="Q23" s="45"/>
    </row>
    <row r="24" spans="1:17" x14ac:dyDescent="0.35">
      <c r="A24" s="132">
        <f>A22/A17*A19*1000</f>
        <v>377.19950113412477</v>
      </c>
      <c r="B24" t="s">
        <v>7</v>
      </c>
      <c r="C24" t="s">
        <v>142</v>
      </c>
      <c r="D24" s="12"/>
      <c r="F24" s="75">
        <f>F22/F17*F19*1000</f>
        <v>643.92816526054173</v>
      </c>
      <c r="G24" t="s">
        <v>7</v>
      </c>
      <c r="H24" t="s">
        <v>142</v>
      </c>
      <c r="J24" s="45"/>
      <c r="M24" s="75">
        <f>M22/M17*M19*1000</f>
        <v>537.17230480999262</v>
      </c>
      <c r="N24" t="s">
        <v>7</v>
      </c>
      <c r="O24" t="s">
        <v>142</v>
      </c>
      <c r="Q24" s="45"/>
    </row>
    <row r="25" spans="1:17" x14ac:dyDescent="0.35">
      <c r="A25" s="132">
        <f>A24-A19*1000</f>
        <v>277.19950113412477</v>
      </c>
      <c r="B25" t="s">
        <v>7</v>
      </c>
      <c r="C25" t="s">
        <v>143</v>
      </c>
      <c r="D25" s="12"/>
      <c r="F25" s="75">
        <f>F24-F19*1000</f>
        <v>543.92816526054173</v>
      </c>
      <c r="G25" t="s">
        <v>7</v>
      </c>
      <c r="H25" t="s">
        <v>143</v>
      </c>
      <c r="J25" s="45"/>
      <c r="M25" s="75">
        <f>M24-M19*1000</f>
        <v>437.17230480999262</v>
      </c>
      <c r="N25" t="s">
        <v>7</v>
      </c>
      <c r="O25" t="s">
        <v>143</v>
      </c>
      <c r="Q25" s="45"/>
    </row>
    <row r="26" spans="1:17" ht="13.9" x14ac:dyDescent="0.4">
      <c r="A26" s="152">
        <f>A23/(A24)</f>
        <v>2000</v>
      </c>
      <c r="C26" t="s">
        <v>33</v>
      </c>
      <c r="D26" s="12"/>
      <c r="F26" s="147">
        <f>F23/(F24)</f>
        <v>1000</v>
      </c>
      <c r="H26" t="s">
        <v>33</v>
      </c>
      <c r="J26" s="45"/>
      <c r="M26" s="147">
        <f>M23/(M24)</f>
        <v>500.00000000000006</v>
      </c>
      <c r="O26" t="s">
        <v>33</v>
      </c>
      <c r="Q26" s="45"/>
    </row>
    <row r="27" spans="1:17" x14ac:dyDescent="0.35">
      <c r="A27" s="15"/>
      <c r="D27" s="12"/>
      <c r="F27" s="44"/>
      <c r="J27" s="45"/>
      <c r="M27" s="44"/>
      <c r="Q27" s="45"/>
    </row>
    <row r="28" spans="1:17" x14ac:dyDescent="0.35">
      <c r="A28" s="15" t="s">
        <v>144</v>
      </c>
      <c r="D28" s="12"/>
      <c r="F28" s="44" t="s">
        <v>144</v>
      </c>
      <c r="J28" s="45"/>
      <c r="M28" s="44" t="s">
        <v>144</v>
      </c>
      <c r="Q28" s="45"/>
    </row>
    <row r="29" spans="1:17" x14ac:dyDescent="0.35">
      <c r="A29" s="15">
        <v>100</v>
      </c>
      <c r="B29" t="s">
        <v>7</v>
      </c>
      <c r="C29" t="s">
        <v>145</v>
      </c>
      <c r="D29" s="12"/>
      <c r="F29" s="44">
        <v>100</v>
      </c>
      <c r="G29" t="s">
        <v>7</v>
      </c>
      <c r="H29" t="s">
        <v>145</v>
      </c>
      <c r="J29" s="45"/>
      <c r="M29" s="44">
        <v>100</v>
      </c>
      <c r="N29" t="s">
        <v>7</v>
      </c>
      <c r="O29" t="s">
        <v>145</v>
      </c>
      <c r="Q29" s="45"/>
    </row>
    <row r="30" spans="1:17" x14ac:dyDescent="0.35">
      <c r="A30" s="15">
        <f>$D$8*0.25</f>
        <v>5000</v>
      </c>
      <c r="B30" t="s">
        <v>119</v>
      </c>
      <c r="C30" t="s">
        <v>146</v>
      </c>
      <c r="D30" s="12"/>
      <c r="F30" s="15">
        <f>$D$8*0.25</f>
        <v>5000</v>
      </c>
      <c r="G30" t="s">
        <v>119</v>
      </c>
      <c r="H30" t="s">
        <v>147</v>
      </c>
      <c r="J30" s="45"/>
      <c r="M30" s="15">
        <f>$D$8*0.25</f>
        <v>5000</v>
      </c>
      <c r="N30" t="s">
        <v>119</v>
      </c>
      <c r="O30" t="s">
        <v>147</v>
      </c>
      <c r="Q30" s="45"/>
    </row>
    <row r="31" spans="1:17" x14ac:dyDescent="0.35">
      <c r="A31" s="15">
        <f>A29*A30</f>
        <v>500000</v>
      </c>
      <c r="B31" t="s">
        <v>148</v>
      </c>
      <c r="C31" t="s">
        <v>149</v>
      </c>
      <c r="D31" s="12"/>
      <c r="F31" s="44">
        <f>F29*F30</f>
        <v>500000</v>
      </c>
      <c r="G31" t="s">
        <v>148</v>
      </c>
      <c r="H31" t="s">
        <v>149</v>
      </c>
      <c r="J31" s="45"/>
      <c r="M31" s="44">
        <f>M29*M30</f>
        <v>500000</v>
      </c>
      <c r="N31" t="s">
        <v>148</v>
      </c>
      <c r="O31" t="s">
        <v>149</v>
      </c>
      <c r="Q31" s="45"/>
    </row>
    <row r="32" spans="1:17" x14ac:dyDescent="0.35">
      <c r="A32" s="132">
        <f>A31/A22</f>
        <v>66.277924347281925</v>
      </c>
      <c r="B32" t="s">
        <v>7</v>
      </c>
      <c r="C32" t="s">
        <v>150</v>
      </c>
      <c r="D32" s="12"/>
      <c r="F32" s="75">
        <f>F31/F26</f>
        <v>500</v>
      </c>
      <c r="G32" t="s">
        <v>7</v>
      </c>
      <c r="H32" t="s">
        <v>150</v>
      </c>
      <c r="J32" s="45"/>
      <c r="M32" s="75">
        <f>M31/M26</f>
        <v>999.99999999999989</v>
      </c>
      <c r="N32" t="s">
        <v>7</v>
      </c>
      <c r="O32" t="s">
        <v>150</v>
      </c>
      <c r="Q32" s="45"/>
    </row>
    <row r="33" spans="1:17" x14ac:dyDescent="0.35">
      <c r="A33" s="132">
        <f>A29-A32</f>
        <v>33.722075652718075</v>
      </c>
      <c r="B33" t="s">
        <v>7</v>
      </c>
      <c r="C33" t="s">
        <v>151</v>
      </c>
      <c r="D33" s="12"/>
      <c r="F33" s="75">
        <f>F29-F32</f>
        <v>-400</v>
      </c>
      <c r="G33" t="s">
        <v>7</v>
      </c>
      <c r="H33" t="s">
        <v>151</v>
      </c>
      <c r="J33" s="45"/>
      <c r="M33" s="75">
        <f>M29-M32</f>
        <v>-899.99999999999989</v>
      </c>
      <c r="N33" t="s">
        <v>7</v>
      </c>
      <c r="O33" t="s">
        <v>151</v>
      </c>
      <c r="Q33" s="45"/>
    </row>
    <row r="34" spans="1:17" ht="13.15" thickBot="1" x14ac:dyDescent="0.4">
      <c r="A34" s="23"/>
      <c r="B34" s="133"/>
      <c r="C34" s="133"/>
      <c r="D34" s="25"/>
      <c r="F34" s="46"/>
      <c r="G34" s="47"/>
      <c r="H34" s="47"/>
      <c r="I34" s="47"/>
      <c r="J34" s="48"/>
      <c r="M34" s="46"/>
      <c r="N34" s="47"/>
      <c r="O34" s="47"/>
      <c r="P34" s="47"/>
      <c r="Q34" s="48"/>
    </row>
    <row r="39" spans="1:17" x14ac:dyDescent="0.35">
      <c r="C39" s="29"/>
      <c r="F39" s="29"/>
      <c r="M39" s="162"/>
    </row>
    <row r="40" spans="1:17" ht="13.15" x14ac:dyDescent="0.4">
      <c r="A40" t="s">
        <v>153</v>
      </c>
      <c r="C40" s="27">
        <f>A12</f>
        <v>49.4</v>
      </c>
      <c r="D40" t="s">
        <v>154</v>
      </c>
      <c r="G40" s="27">
        <f>F12</f>
        <v>39</v>
      </c>
      <c r="H40" t="s">
        <v>154</v>
      </c>
      <c r="N40" s="27">
        <v>70</v>
      </c>
    </row>
    <row r="42" spans="1:17" ht="13.15" x14ac:dyDescent="0.4">
      <c r="A42" t="s">
        <v>155</v>
      </c>
      <c r="B42" s="135">
        <f>0.56*C42</f>
        <v>8831.76</v>
      </c>
      <c r="C42" s="108">
        <v>15771</v>
      </c>
      <c r="D42" s="135">
        <f>1.56*C42</f>
        <v>24602.760000000002</v>
      </c>
      <c r="F42" s="135">
        <f>0.56*G42</f>
        <v>5952.8</v>
      </c>
      <c r="G42" s="158">
        <v>10630</v>
      </c>
      <c r="H42" s="135">
        <f>1.56*G42</f>
        <v>16582.8</v>
      </c>
      <c r="M42" s="135">
        <f>0.56*N42</f>
        <v>13766.480000000001</v>
      </c>
      <c r="N42" s="158">
        <v>24583</v>
      </c>
      <c r="O42" s="135">
        <f>1.56*N42</f>
        <v>38349.480000000003</v>
      </c>
    </row>
    <row r="43" spans="1:17" x14ac:dyDescent="0.35">
      <c r="B43" s="46"/>
      <c r="C43" s="47"/>
      <c r="D43" s="48"/>
      <c r="F43" s="46"/>
      <c r="G43" s="47"/>
      <c r="H43" s="48"/>
      <c r="M43" s="46"/>
      <c r="N43" s="47"/>
      <c r="O43" s="48"/>
    </row>
    <row r="44" spans="1:17" ht="13.15" x14ac:dyDescent="0.4">
      <c r="A44" t="s">
        <v>156</v>
      </c>
      <c r="B44" s="108"/>
      <c r="C44" s="108"/>
      <c r="D44" s="76"/>
      <c r="F44" s="108"/>
      <c r="G44" s="108"/>
      <c r="H44" s="76"/>
      <c r="M44" s="108"/>
      <c r="N44" s="108"/>
      <c r="O44" s="76"/>
    </row>
    <row r="46" spans="1:17" ht="13.9" x14ac:dyDescent="0.4">
      <c r="A46" t="s">
        <v>157</v>
      </c>
      <c r="B46" s="134" t="e">
        <f>(1-B44/C44)</f>
        <v>#DIV/0!</v>
      </c>
      <c r="F46" s="134" t="e">
        <f>(1-F44/G44)</f>
        <v>#DIV/0!</v>
      </c>
      <c r="M46" s="134" t="e">
        <f>(1-M44/N44)</f>
        <v>#DIV/0!</v>
      </c>
    </row>
    <row r="50" spans="1:10" ht="13.15" x14ac:dyDescent="0.4">
      <c r="A50" s="27" t="s">
        <v>152</v>
      </c>
    </row>
    <row r="52" spans="1:10" ht="13.15" x14ac:dyDescent="0.4">
      <c r="F52" s="27" t="s">
        <v>187</v>
      </c>
    </row>
    <row r="53" spans="1:10" ht="13.15" x14ac:dyDescent="0.4">
      <c r="F53" s="153">
        <v>70</v>
      </c>
      <c r="G53" s="71" t="s">
        <v>124</v>
      </c>
      <c r="H53" s="71" t="s">
        <v>125</v>
      </c>
      <c r="I53" s="39"/>
      <c r="J53" s="40"/>
    </row>
    <row r="54" spans="1:10" x14ac:dyDescent="0.35">
      <c r="F54" s="72">
        <f>(4/3)*(3.1415936)*((F53*0.000001/2)^3)</f>
        <v>1.7959443413333326E-13</v>
      </c>
      <c r="G54" s="70" t="s">
        <v>126</v>
      </c>
      <c r="H54" s="70" t="s">
        <v>127</v>
      </c>
      <c r="J54" s="45"/>
    </row>
    <row r="55" spans="1:10" ht="13.15" x14ac:dyDescent="0.4">
      <c r="F55" s="154">
        <v>1.05</v>
      </c>
      <c r="G55" t="s">
        <v>186</v>
      </c>
      <c r="J55" s="45"/>
    </row>
    <row r="56" spans="1:10" x14ac:dyDescent="0.35">
      <c r="F56" s="72">
        <f>F54*F55*1000</f>
        <v>1.8857415583999992E-10</v>
      </c>
      <c r="G56" s="70" t="s">
        <v>128</v>
      </c>
      <c r="H56" s="70" t="s">
        <v>129</v>
      </c>
      <c r="J56" s="45"/>
    </row>
    <row r="57" spans="1:10" x14ac:dyDescent="0.35">
      <c r="F57" s="72">
        <f>0.000001/F56</f>
        <v>5302.9536075371479</v>
      </c>
      <c r="G57" s="70" t="s">
        <v>43</v>
      </c>
      <c r="H57" s="70" t="s">
        <v>130</v>
      </c>
      <c r="J57" s="45"/>
    </row>
    <row r="58" spans="1:10" ht="13.15" x14ac:dyDescent="0.4">
      <c r="F58" s="73">
        <v>5</v>
      </c>
      <c r="G58" s="70"/>
      <c r="H58" s="70" t="s">
        <v>131</v>
      </c>
      <c r="J58" s="45"/>
    </row>
    <row r="59" spans="1:10" x14ac:dyDescent="0.35">
      <c r="F59" s="74">
        <f>F58/F57*1000</f>
        <v>0.94287077919999973</v>
      </c>
      <c r="G59" s="70" t="s">
        <v>136</v>
      </c>
      <c r="H59" s="70" t="s">
        <v>133</v>
      </c>
      <c r="J59" s="45"/>
    </row>
    <row r="60" spans="1:10" ht="13.15" x14ac:dyDescent="0.4">
      <c r="F60" s="154">
        <v>12.5</v>
      </c>
      <c r="G60" s="70" t="s">
        <v>134</v>
      </c>
      <c r="H60" s="70" t="s">
        <v>135</v>
      </c>
      <c r="J60" s="45"/>
    </row>
    <row r="61" spans="1:10" ht="13.9" x14ac:dyDescent="0.4">
      <c r="F61" s="155">
        <f>F60*F59</f>
        <v>11.785884739999997</v>
      </c>
      <c r="G61" s="70" t="s">
        <v>136</v>
      </c>
      <c r="H61" s="70" t="s">
        <v>137</v>
      </c>
      <c r="J61" s="45"/>
    </row>
    <row r="62" spans="1:10" ht="13.15" x14ac:dyDescent="0.4">
      <c r="F62" s="154">
        <v>57.59</v>
      </c>
      <c r="G62" s="70" t="s">
        <v>136</v>
      </c>
      <c r="H62" s="70" t="s">
        <v>138</v>
      </c>
      <c r="J62" s="45"/>
    </row>
    <row r="63" spans="1:10" ht="13.9" x14ac:dyDescent="0.4">
      <c r="F63" s="156">
        <f>F62/F61*F58</f>
        <v>24.431767860645145</v>
      </c>
      <c r="G63" s="70" t="s">
        <v>139</v>
      </c>
      <c r="H63" s="70" t="s">
        <v>140</v>
      </c>
      <c r="J63" s="45"/>
    </row>
    <row r="64" spans="1:10" x14ac:dyDescent="0.35">
      <c r="F64" s="75">
        <f>F62*F57</f>
        <v>305397.09825806436</v>
      </c>
      <c r="H64" t="s">
        <v>141</v>
      </c>
      <c r="J64" s="45"/>
    </row>
    <row r="65" spans="6:10" x14ac:dyDescent="0.35">
      <c r="F65" s="75">
        <f>F63/F58*F60*1000</f>
        <v>61079.419651612865</v>
      </c>
      <c r="G65" t="s">
        <v>7</v>
      </c>
      <c r="H65" t="s">
        <v>142</v>
      </c>
      <c r="J65" s="45"/>
    </row>
    <row r="66" spans="6:10" x14ac:dyDescent="0.35">
      <c r="F66" s="75">
        <f>F65-F60*1000</f>
        <v>48579.419651612865</v>
      </c>
      <c r="G66" t="s">
        <v>7</v>
      </c>
      <c r="H66" t="s">
        <v>143</v>
      </c>
      <c r="J66" s="45"/>
    </row>
    <row r="67" spans="6:10" ht="13.9" x14ac:dyDescent="0.4">
      <c r="F67" s="157">
        <f>F64/(F65)</f>
        <v>5.0000000000000009</v>
      </c>
      <c r="H67" t="s">
        <v>33</v>
      </c>
      <c r="J67" s="45"/>
    </row>
    <row r="68" spans="6:10" x14ac:dyDescent="0.35">
      <c r="F68" s="44"/>
      <c r="J68" s="45"/>
    </row>
    <row r="69" spans="6:10" x14ac:dyDescent="0.35">
      <c r="F69" s="44" t="s">
        <v>144</v>
      </c>
      <c r="J69" s="45"/>
    </row>
    <row r="70" spans="6:10" x14ac:dyDescent="0.35">
      <c r="F70" s="44">
        <v>100</v>
      </c>
      <c r="G70" t="s">
        <v>7</v>
      </c>
      <c r="H70" t="s">
        <v>145</v>
      </c>
      <c r="J70" s="45"/>
    </row>
    <row r="71" spans="6:10" x14ac:dyDescent="0.35">
      <c r="F71" s="44">
        <f>$D$8*0.25</f>
        <v>5000</v>
      </c>
      <c r="G71" t="s">
        <v>119</v>
      </c>
      <c r="H71" t="s">
        <v>147</v>
      </c>
      <c r="J71" s="45"/>
    </row>
    <row r="72" spans="6:10" x14ac:dyDescent="0.35">
      <c r="F72" s="44">
        <f>F70*F71</f>
        <v>500000</v>
      </c>
      <c r="G72" t="s">
        <v>148</v>
      </c>
      <c r="H72" t="s">
        <v>149</v>
      </c>
      <c r="J72" s="45"/>
    </row>
    <row r="73" spans="6:10" x14ac:dyDescent="0.35">
      <c r="F73" s="75">
        <f>F72/F67</f>
        <v>99999.999999999985</v>
      </c>
      <c r="G73" t="s">
        <v>7</v>
      </c>
      <c r="H73" t="s">
        <v>150</v>
      </c>
      <c r="J73" s="45"/>
    </row>
    <row r="74" spans="6:10" x14ac:dyDescent="0.35">
      <c r="F74" s="75">
        <f>F70-F73</f>
        <v>-99899.999999999985</v>
      </c>
      <c r="G74" t="s">
        <v>7</v>
      </c>
      <c r="H74" t="s">
        <v>151</v>
      </c>
      <c r="J74" s="45"/>
    </row>
    <row r="75" spans="6:10" x14ac:dyDescent="0.35">
      <c r="F75" s="46"/>
      <c r="G75" s="47"/>
      <c r="H75" s="47"/>
      <c r="I75" s="47"/>
      <c r="J75" s="48"/>
    </row>
    <row r="80" spans="6:10" x14ac:dyDescent="0.35">
      <c r="F80" s="29"/>
    </row>
    <row r="81" spans="6:8" ht="13.15" x14ac:dyDescent="0.4">
      <c r="G81" s="27">
        <f>F53</f>
        <v>70</v>
      </c>
      <c r="H81" t="s">
        <v>154</v>
      </c>
    </row>
    <row r="83" spans="6:8" ht="13.15" x14ac:dyDescent="0.4">
      <c r="F83" s="135">
        <f>0.56*G83</f>
        <v>7039.2000000000007</v>
      </c>
      <c r="G83" s="108">
        <v>12570</v>
      </c>
      <c r="H83" s="135">
        <f>1.56*G83</f>
        <v>19609.2</v>
      </c>
    </row>
    <row r="84" spans="6:8" x14ac:dyDescent="0.35">
      <c r="F84" s="46"/>
      <c r="G84" s="47"/>
      <c r="H84" s="48"/>
    </row>
    <row r="85" spans="6:8" ht="13.15" x14ac:dyDescent="0.4">
      <c r="F85" s="108">
        <v>109028</v>
      </c>
      <c r="G85" s="108">
        <v>109325</v>
      </c>
      <c r="H85" s="76"/>
    </row>
    <row r="87" spans="6:8" ht="13.9" x14ac:dyDescent="0.4">
      <c r="F87" s="134">
        <f>(1-F85/G85)</f>
        <v>2.716670477932781E-3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A7697-56E9-4518-B6B7-99AA00E08D63}">
  <sheetPr codeName="Sheet10"/>
  <dimension ref="A1:AJ44"/>
  <sheetViews>
    <sheetView tabSelected="1" zoomScale="70" zoomScaleNormal="70" workbookViewId="0">
      <selection activeCell="J39" sqref="J39"/>
    </sheetView>
  </sheetViews>
  <sheetFormatPr defaultColWidth="11.53125" defaultRowHeight="12.75" x14ac:dyDescent="0.35"/>
  <sheetData>
    <row r="1" spans="1:4" ht="14.25" x14ac:dyDescent="0.45">
      <c r="A1" s="165" t="s">
        <v>158</v>
      </c>
      <c r="B1" s="166"/>
      <c r="C1" s="165" t="s">
        <v>159</v>
      </c>
      <c r="D1" s="166"/>
    </row>
    <row r="2" spans="1:4" ht="92.85" customHeight="1" x14ac:dyDescent="0.45">
      <c r="A2" s="167" t="s">
        <v>160</v>
      </c>
      <c r="B2" s="168"/>
      <c r="C2" s="167" t="s">
        <v>161</v>
      </c>
      <c r="D2" s="168"/>
    </row>
    <row r="3" spans="1:4" ht="57" x14ac:dyDescent="0.45">
      <c r="A3" s="86" t="s">
        <v>162</v>
      </c>
      <c r="B3" s="87" t="s">
        <v>163</v>
      </c>
      <c r="C3" s="86" t="s">
        <v>114</v>
      </c>
      <c r="D3" s="88" t="s">
        <v>116</v>
      </c>
    </row>
    <row r="4" spans="1:4" ht="14.25" x14ac:dyDescent="0.45">
      <c r="A4" s="89" t="s">
        <v>120</v>
      </c>
      <c r="B4" s="88" t="s">
        <v>164</v>
      </c>
      <c r="C4" s="89" t="s">
        <v>120</v>
      </c>
      <c r="D4" s="88" t="s">
        <v>164</v>
      </c>
    </row>
    <row r="5" spans="1:4" x14ac:dyDescent="0.35">
      <c r="A5" s="95">
        <v>4</v>
      </c>
      <c r="B5" s="90">
        <f>'6 - Thresholds'!$M4</f>
        <v>81.974406837954916</v>
      </c>
      <c r="C5" s="91">
        <v>4</v>
      </c>
      <c r="D5" s="96">
        <f>CubicSpline(C5,$A$5:$A$34,$B$5:$B$34)</f>
        <v>81.974406837954916</v>
      </c>
    </row>
    <row r="6" spans="1:4" x14ac:dyDescent="0.35">
      <c r="A6" s="97">
        <v>5</v>
      </c>
      <c r="B6" s="85">
        <f>'6 - Thresholds'!$M5</f>
        <v>130.48858048000619</v>
      </c>
      <c r="C6" s="81">
        <v>5</v>
      </c>
      <c r="D6" s="98">
        <f t="shared" ref="D6:D30" si="0">CubicSpline(C6,$A$5:$A$34,$B$5:$B$34)</f>
        <v>130.48858048000619</v>
      </c>
    </row>
    <row r="7" spans="1:4" x14ac:dyDescent="0.35">
      <c r="A7" s="97">
        <v>6</v>
      </c>
      <c r="B7" s="85">
        <f>'6 - Thresholds'!$M6</f>
        <v>192.79839297874119</v>
      </c>
      <c r="C7" s="92">
        <v>6</v>
      </c>
      <c r="D7" s="98">
        <f t="shared" si="0"/>
        <v>192.79839297874128</v>
      </c>
    </row>
    <row r="8" spans="1:4" x14ac:dyDescent="0.35">
      <c r="A8" s="97">
        <v>7</v>
      </c>
      <c r="B8" s="85">
        <f>'6 - Thresholds'!$M7</f>
        <v>258.15181628169762</v>
      </c>
      <c r="C8" s="81">
        <v>7</v>
      </c>
      <c r="D8" s="98">
        <f t="shared" si="0"/>
        <v>258.15181628169773</v>
      </c>
    </row>
    <row r="9" spans="1:4" x14ac:dyDescent="0.35">
      <c r="A9" s="97">
        <v>8</v>
      </c>
      <c r="B9" s="85">
        <f>'6 - Thresholds'!$M8</f>
        <v>337.64384883082914</v>
      </c>
      <c r="C9" s="81">
        <v>8</v>
      </c>
      <c r="D9" s="98">
        <f t="shared" si="0"/>
        <v>337.64384883082914</v>
      </c>
    </row>
    <row r="10" spans="1:4" x14ac:dyDescent="0.35">
      <c r="A10" s="97">
        <v>9</v>
      </c>
      <c r="B10" s="85">
        <f>'6 - Thresholds'!$M9</f>
        <v>431.02464472942899</v>
      </c>
      <c r="C10" s="81">
        <v>9</v>
      </c>
      <c r="D10" s="98">
        <f t="shared" si="0"/>
        <v>431.02464472942893</v>
      </c>
    </row>
    <row r="11" spans="1:4" x14ac:dyDescent="0.35">
      <c r="A11" s="97">
        <v>10</v>
      </c>
      <c r="B11" s="85">
        <f>'6 - Thresholds'!$M10</f>
        <v>530.31282340835389</v>
      </c>
      <c r="C11" s="81">
        <v>10</v>
      </c>
      <c r="D11" s="98">
        <f t="shared" si="0"/>
        <v>530.31282340835401</v>
      </c>
    </row>
    <row r="12" spans="1:4" x14ac:dyDescent="0.35">
      <c r="A12" s="97">
        <v>11</v>
      </c>
      <c r="B12" s="85">
        <f>'6 - Thresholds'!$M11</f>
        <v>643.88345722131908</v>
      </c>
      <c r="C12" s="81">
        <v>11</v>
      </c>
      <c r="D12" s="98">
        <f t="shared" si="0"/>
        <v>643.88345722131919</v>
      </c>
    </row>
    <row r="13" spans="1:4" x14ac:dyDescent="0.35">
      <c r="A13" s="97">
        <v>12</v>
      </c>
      <c r="B13" s="85">
        <f>'6 - Thresholds'!$M12</f>
        <v>771.24855487033176</v>
      </c>
      <c r="C13" s="81">
        <v>12</v>
      </c>
      <c r="D13" s="98">
        <f t="shared" si="0"/>
        <v>771.2485548703321</v>
      </c>
    </row>
    <row r="14" spans="1:4" x14ac:dyDescent="0.35">
      <c r="A14" s="97">
        <v>13</v>
      </c>
      <c r="B14" s="85">
        <f>'6 - Thresholds'!$M13</f>
        <v>903.3377827267409</v>
      </c>
      <c r="C14" s="81">
        <v>13</v>
      </c>
      <c r="D14" s="98">
        <f t="shared" si="0"/>
        <v>903.33778272674078</v>
      </c>
    </row>
    <row r="15" spans="1:4" x14ac:dyDescent="0.35">
      <c r="A15" s="97">
        <v>14</v>
      </c>
      <c r="B15" s="85">
        <f>'6 - Thresholds'!$M14</f>
        <v>1037.767984644426</v>
      </c>
      <c r="C15" s="92">
        <v>14</v>
      </c>
      <c r="D15" s="98">
        <f t="shared" si="0"/>
        <v>1037.7679846444257</v>
      </c>
    </row>
    <row r="16" spans="1:4" x14ac:dyDescent="0.35">
      <c r="A16" s="97">
        <v>15</v>
      </c>
      <c r="B16" s="85">
        <f>'6 - Thresholds'!$M15</f>
        <v>1181.7448346982901</v>
      </c>
      <c r="C16" s="81">
        <v>15</v>
      </c>
      <c r="D16" s="98">
        <f t="shared" si="0"/>
        <v>1181.7448346982899</v>
      </c>
    </row>
    <row r="17" spans="1:36" x14ac:dyDescent="0.35">
      <c r="A17" s="97">
        <v>16</v>
      </c>
      <c r="B17" s="85">
        <f>'6 - Thresholds'!$M16</f>
        <v>1330.9415214375024</v>
      </c>
      <c r="C17" s="81">
        <v>16</v>
      </c>
      <c r="D17" s="98">
        <f t="shared" si="0"/>
        <v>1330.9415214375022</v>
      </c>
    </row>
    <row r="18" spans="1:36" x14ac:dyDescent="0.35">
      <c r="A18" s="97">
        <v>17</v>
      </c>
      <c r="B18" s="85">
        <f>'6 - Thresholds'!$M17</f>
        <v>1483.9512553062566</v>
      </c>
      <c r="C18" s="81">
        <v>17</v>
      </c>
      <c r="D18" s="98">
        <f t="shared" si="0"/>
        <v>1483.9512553062564</v>
      </c>
    </row>
    <row r="19" spans="1:36" x14ac:dyDescent="0.35">
      <c r="A19" s="97">
        <v>18</v>
      </c>
      <c r="B19" s="85">
        <f>'6 - Thresholds'!$M18</f>
        <v>1637.4313975213163</v>
      </c>
      <c r="C19" s="81">
        <v>18</v>
      </c>
      <c r="D19" s="98">
        <f t="shared" si="0"/>
        <v>1637.4313975213165</v>
      </c>
    </row>
    <row r="20" spans="1:36" x14ac:dyDescent="0.35">
      <c r="A20" s="97">
        <v>19</v>
      </c>
      <c r="B20" s="85">
        <f>'6 - Thresholds'!$M19</f>
        <v>1792.7156842382319</v>
      </c>
      <c r="C20" s="81">
        <v>19</v>
      </c>
      <c r="D20" s="98">
        <f t="shared" si="0"/>
        <v>1792.7156842382315</v>
      </c>
      <c r="G20" s="85">
        <f>'6 - Curve'!$D$5</f>
        <v>81.974406837954916</v>
      </c>
      <c r="H20" s="85">
        <f>'6 - Curve'!$D$6</f>
        <v>130.48858048000619</v>
      </c>
      <c r="I20" s="85">
        <f>'6 - Curve'!$D$7</f>
        <v>192.79839297874128</v>
      </c>
      <c r="J20" s="85">
        <f>'6 - Curve'!$D$8</f>
        <v>258.15181628169773</v>
      </c>
      <c r="K20" s="85">
        <f>'6 - Curve'!$D$9</f>
        <v>337.64384883082914</v>
      </c>
      <c r="L20" s="85">
        <f>'6 - Curve'!$D$10</f>
        <v>431.02464472942893</v>
      </c>
      <c r="M20" s="85">
        <f>'6 - Curve'!$D$11</f>
        <v>530.31282340835401</v>
      </c>
      <c r="N20" s="85">
        <f>'6 - Curve'!$D$12</f>
        <v>643.88345722131919</v>
      </c>
      <c r="O20" s="85">
        <f>'6 - Curve'!$D$13</f>
        <v>771.2485548703321</v>
      </c>
      <c r="P20" s="85">
        <f>'6 - Curve'!$D$14</f>
        <v>903.33778272674078</v>
      </c>
      <c r="Q20" s="85">
        <f>'6 - Curve'!$D$15</f>
        <v>1037.7679846444257</v>
      </c>
      <c r="R20" s="85">
        <f>'6 - Curve'!$D$16</f>
        <v>1181.7448346982899</v>
      </c>
      <c r="S20" s="85">
        <f>'6 - Curve'!$D$17</f>
        <v>1330.9415214375022</v>
      </c>
      <c r="T20" s="85">
        <f>'6 - Curve'!$D$18</f>
        <v>1483.9512553062564</v>
      </c>
      <c r="U20" s="85">
        <f>'6 - Curve'!$D$19</f>
        <v>1637.4313975213165</v>
      </c>
      <c r="V20" s="85">
        <f>'6 - Curve'!$D$20</f>
        <v>1792.7156842382315</v>
      </c>
      <c r="W20" s="85">
        <f>'6 - Curve'!$D$21</f>
        <v>1965.651890004141</v>
      </c>
      <c r="X20" s="85">
        <f>'6 - Curve'!$D$22</f>
        <v>2173.8237870578914</v>
      </c>
      <c r="Y20" s="85">
        <f>'6 - Curve'!$D$23</f>
        <v>2407.6264844036577</v>
      </c>
      <c r="Z20" s="85">
        <f>'6 - Curve'!$D$24</f>
        <v>2675.5147675837366</v>
      </c>
      <c r="AA20" s="85">
        <f>'6 - Curve'!$D$25</f>
        <v>2964.4579147087752</v>
      </c>
      <c r="AB20" s="85">
        <f>'6 - Curve'!$D$26</f>
        <v>3282.4255366327325</v>
      </c>
      <c r="AC20" s="85">
        <f>'6 - Curve'!$D$27</f>
        <v>3633.3294209823334</v>
      </c>
      <c r="AD20" s="85">
        <f>'6 - Curve'!$D$28</f>
        <v>3990.2560553221019</v>
      </c>
      <c r="AE20" s="85">
        <f>'6 - Curve'!$D$29</f>
        <v>4344.8092091424078</v>
      </c>
      <c r="AF20" s="85">
        <f>'6 - Curve'!$D$30</f>
        <v>4691.1764987482547</v>
      </c>
      <c r="AG20" s="85">
        <f>'6 - Curve'!$D$31</f>
        <v>5112.5373890771189</v>
      </c>
      <c r="AH20" s="106">
        <f>'6 - Curve'!$D$32</f>
        <v>10057.660312083664</v>
      </c>
      <c r="AI20" s="106">
        <f>'6 - Curve'!$D$33</f>
        <v>16045.385258941113</v>
      </c>
      <c r="AJ20" s="106">
        <f>'6 - Curve'!$D$34</f>
        <v>24583</v>
      </c>
    </row>
    <row r="21" spans="1:36" ht="13.5" thickBot="1" x14ac:dyDescent="0.45">
      <c r="A21" s="97">
        <v>20</v>
      </c>
      <c r="B21" s="85">
        <f>'6 - Thresholds'!$M20</f>
        <v>1965.6518900041413</v>
      </c>
      <c r="C21" s="81">
        <v>20</v>
      </c>
      <c r="D21" s="98">
        <f t="shared" si="0"/>
        <v>1965.651890004141</v>
      </c>
      <c r="G21" s="27">
        <v>0</v>
      </c>
      <c r="H21">
        <v>1</v>
      </c>
      <c r="I21" s="27">
        <v>2</v>
      </c>
      <c r="J21">
        <v>3</v>
      </c>
      <c r="K21">
        <v>4</v>
      </c>
      <c r="L21">
        <v>5</v>
      </c>
      <c r="M21" s="27">
        <v>6</v>
      </c>
      <c r="N21">
        <v>7</v>
      </c>
      <c r="O21">
        <v>8</v>
      </c>
      <c r="P21">
        <v>9</v>
      </c>
      <c r="Q21" s="27">
        <v>10</v>
      </c>
      <c r="R21">
        <v>11</v>
      </c>
      <c r="S21">
        <v>12</v>
      </c>
      <c r="T21">
        <v>13</v>
      </c>
      <c r="U21">
        <v>14</v>
      </c>
      <c r="V21">
        <v>15</v>
      </c>
      <c r="W21">
        <v>16</v>
      </c>
      <c r="X21" s="27">
        <v>17</v>
      </c>
      <c r="Y21">
        <v>18</v>
      </c>
      <c r="Z21">
        <v>19</v>
      </c>
      <c r="AA21">
        <v>20</v>
      </c>
      <c r="AB21" s="27">
        <v>21</v>
      </c>
      <c r="AC21">
        <v>22</v>
      </c>
      <c r="AD21">
        <v>23</v>
      </c>
      <c r="AE21">
        <v>24</v>
      </c>
      <c r="AF21">
        <v>25</v>
      </c>
      <c r="AG21">
        <v>26</v>
      </c>
      <c r="AH21" s="27">
        <v>27</v>
      </c>
      <c r="AI21" s="27">
        <v>28</v>
      </c>
      <c r="AJ21" s="27">
        <v>29</v>
      </c>
    </row>
    <row r="22" spans="1:36" x14ac:dyDescent="0.35">
      <c r="A22" s="97">
        <v>21</v>
      </c>
      <c r="B22" s="85">
        <f>'6 - Thresholds'!$M21</f>
        <v>2173.8237870578837</v>
      </c>
      <c r="C22" s="92">
        <v>21</v>
      </c>
      <c r="D22" s="98">
        <f t="shared" si="0"/>
        <v>2173.8237870578914</v>
      </c>
      <c r="F22" s="11" t="s">
        <v>171</v>
      </c>
      <c r="G22" s="101">
        <v>4</v>
      </c>
      <c r="H22" s="102">
        <v>5</v>
      </c>
      <c r="I22" s="102">
        <v>6</v>
      </c>
      <c r="J22" s="102">
        <v>7</v>
      </c>
      <c r="K22" s="102">
        <v>8</v>
      </c>
      <c r="L22" s="102">
        <v>9</v>
      </c>
      <c r="M22" s="102">
        <v>10</v>
      </c>
      <c r="N22" s="102">
        <v>11</v>
      </c>
      <c r="O22" s="102">
        <v>12</v>
      </c>
      <c r="P22" s="102">
        <v>13</v>
      </c>
      <c r="Q22" s="102">
        <v>14</v>
      </c>
      <c r="R22" s="102">
        <v>15</v>
      </c>
      <c r="S22" s="102">
        <v>16</v>
      </c>
      <c r="T22" s="102">
        <v>17</v>
      </c>
      <c r="U22" s="102">
        <v>18</v>
      </c>
      <c r="V22" s="102">
        <v>19</v>
      </c>
      <c r="W22" s="102">
        <v>20</v>
      </c>
      <c r="X22" s="102">
        <v>21</v>
      </c>
      <c r="Y22" s="102">
        <v>22</v>
      </c>
      <c r="Z22" s="102">
        <v>23</v>
      </c>
      <c r="AA22" s="102">
        <v>24</v>
      </c>
      <c r="AB22" s="102">
        <v>25</v>
      </c>
      <c r="AC22" s="102">
        <v>26</v>
      </c>
      <c r="AD22" s="102">
        <v>27</v>
      </c>
      <c r="AE22" s="102">
        <v>28</v>
      </c>
      <c r="AF22" s="102">
        <v>29</v>
      </c>
      <c r="AG22" s="102">
        <v>30</v>
      </c>
      <c r="AH22" s="102">
        <v>38</v>
      </c>
      <c r="AI22" s="102">
        <v>50</v>
      </c>
      <c r="AJ22" s="5">
        <v>70</v>
      </c>
    </row>
    <row r="23" spans="1:36" ht="14.25" thickBot="1" x14ac:dyDescent="0.45">
      <c r="A23" s="97">
        <v>22</v>
      </c>
      <c r="B23" s="85">
        <f>'6 - Thresholds'!$M22</f>
        <v>2407.6264844036559</v>
      </c>
      <c r="C23" s="81">
        <v>22</v>
      </c>
      <c r="D23" s="98">
        <f t="shared" si="0"/>
        <v>2407.6264844036577</v>
      </c>
      <c r="F23" s="11" t="s">
        <v>172</v>
      </c>
      <c r="G23" s="103">
        <f t="shared" ref="G23:AJ23" si="1">INT(G20+0.5)</f>
        <v>82</v>
      </c>
      <c r="H23" s="104">
        <f t="shared" si="1"/>
        <v>130</v>
      </c>
      <c r="I23" s="104">
        <f t="shared" si="1"/>
        <v>193</v>
      </c>
      <c r="J23" s="104">
        <f t="shared" si="1"/>
        <v>258</v>
      </c>
      <c r="K23" s="104">
        <f t="shared" si="1"/>
        <v>338</v>
      </c>
      <c r="L23" s="104">
        <f t="shared" si="1"/>
        <v>431</v>
      </c>
      <c r="M23" s="104">
        <f t="shared" si="1"/>
        <v>530</v>
      </c>
      <c r="N23" s="104">
        <f t="shared" si="1"/>
        <v>644</v>
      </c>
      <c r="O23" s="104">
        <f t="shared" si="1"/>
        <v>771</v>
      </c>
      <c r="P23" s="104">
        <f t="shared" si="1"/>
        <v>903</v>
      </c>
      <c r="Q23" s="104">
        <f t="shared" si="1"/>
        <v>1038</v>
      </c>
      <c r="R23" s="104">
        <f t="shared" si="1"/>
        <v>1182</v>
      </c>
      <c r="S23" s="104">
        <f t="shared" si="1"/>
        <v>1331</v>
      </c>
      <c r="T23" s="104">
        <f t="shared" si="1"/>
        <v>1484</v>
      </c>
      <c r="U23" s="104">
        <f t="shared" si="1"/>
        <v>1637</v>
      </c>
      <c r="V23" s="104">
        <f t="shared" si="1"/>
        <v>1793</v>
      </c>
      <c r="W23" s="104">
        <f t="shared" si="1"/>
        <v>1966</v>
      </c>
      <c r="X23" s="104">
        <f t="shared" si="1"/>
        <v>2174</v>
      </c>
      <c r="Y23" s="104">
        <f t="shared" si="1"/>
        <v>2408</v>
      </c>
      <c r="Z23" s="104">
        <f t="shared" si="1"/>
        <v>2676</v>
      </c>
      <c r="AA23" s="104">
        <f t="shared" si="1"/>
        <v>2964</v>
      </c>
      <c r="AB23" s="104">
        <f t="shared" si="1"/>
        <v>3282</v>
      </c>
      <c r="AC23" s="104">
        <f t="shared" si="1"/>
        <v>3633</v>
      </c>
      <c r="AD23" s="104">
        <f t="shared" si="1"/>
        <v>3990</v>
      </c>
      <c r="AE23" s="104">
        <f t="shared" si="1"/>
        <v>4345</v>
      </c>
      <c r="AF23" s="104">
        <f t="shared" si="1"/>
        <v>4691</v>
      </c>
      <c r="AG23" s="104">
        <f t="shared" si="1"/>
        <v>5113</v>
      </c>
      <c r="AH23" s="104">
        <f t="shared" si="1"/>
        <v>10058</v>
      </c>
      <c r="AI23" s="104">
        <f t="shared" si="1"/>
        <v>16045</v>
      </c>
      <c r="AJ23" s="105">
        <f t="shared" si="1"/>
        <v>24583</v>
      </c>
    </row>
    <row r="24" spans="1:36" ht="13.9" x14ac:dyDescent="0.5">
      <c r="A24" s="97">
        <v>23</v>
      </c>
      <c r="B24" s="85">
        <f>'6 - Thresholds'!$M23</f>
        <v>2675.5147675837388</v>
      </c>
      <c r="C24" s="81">
        <v>23</v>
      </c>
      <c r="D24" s="98">
        <f t="shared" si="0"/>
        <v>2675.5147675837366</v>
      </c>
      <c r="G24" s="143" t="s">
        <v>181</v>
      </c>
    </row>
    <row r="25" spans="1:36" x14ac:dyDescent="0.35">
      <c r="A25" s="97">
        <v>24</v>
      </c>
      <c r="B25" s="85">
        <f>'6 - Thresholds'!$M24</f>
        <v>2964.4579147087734</v>
      </c>
      <c r="C25" s="81">
        <v>24</v>
      </c>
      <c r="D25" s="98">
        <f t="shared" si="0"/>
        <v>2964.4579147087752</v>
      </c>
    </row>
    <row r="26" spans="1:36" x14ac:dyDescent="0.35">
      <c r="A26" s="97">
        <v>25</v>
      </c>
      <c r="B26" s="85">
        <f>'6 - Thresholds'!$M25</f>
        <v>3282.4255366327325</v>
      </c>
      <c r="C26" s="92">
        <v>25</v>
      </c>
      <c r="D26" s="98">
        <f t="shared" si="0"/>
        <v>3282.4255366327325</v>
      </c>
      <c r="G26" t="s">
        <v>193</v>
      </c>
    </row>
    <row r="27" spans="1:36" ht="14.25" thickBot="1" x14ac:dyDescent="0.45">
      <c r="A27" s="97">
        <v>26</v>
      </c>
      <c r="B27" s="85">
        <f>'6 - Thresholds'!$M26</f>
        <v>3633.3294209823316</v>
      </c>
      <c r="C27" s="81">
        <v>26</v>
      </c>
      <c r="D27" s="98">
        <f t="shared" si="0"/>
        <v>3633.3294209823334</v>
      </c>
      <c r="F27" s="77"/>
      <c r="G27" s="159">
        <v>81</v>
      </c>
      <c r="H27" s="160">
        <v>131</v>
      </c>
      <c r="I27" s="160">
        <v>192</v>
      </c>
      <c r="J27" s="160">
        <v>257</v>
      </c>
      <c r="K27" s="160">
        <v>339</v>
      </c>
      <c r="L27" s="160">
        <v>432</v>
      </c>
      <c r="M27" s="160">
        <v>533</v>
      </c>
      <c r="N27" s="160">
        <v>647</v>
      </c>
      <c r="O27" s="160">
        <v>776</v>
      </c>
      <c r="P27" s="160">
        <v>907</v>
      </c>
      <c r="Q27" s="160">
        <v>1043</v>
      </c>
      <c r="R27" s="160">
        <v>1192</v>
      </c>
      <c r="S27" s="160">
        <v>1349</v>
      </c>
      <c r="T27" s="160">
        <v>1501</v>
      </c>
      <c r="U27" s="160">
        <v>1649</v>
      </c>
      <c r="V27" s="160">
        <v>1810</v>
      </c>
      <c r="W27" s="160">
        <v>1982</v>
      </c>
      <c r="X27" s="160">
        <v>2176</v>
      </c>
      <c r="Y27" s="160">
        <v>2391</v>
      </c>
      <c r="Z27" s="160">
        <v>2639</v>
      </c>
      <c r="AA27" s="160">
        <v>2910</v>
      </c>
      <c r="AB27" s="160">
        <v>3212</v>
      </c>
      <c r="AC27" s="160">
        <v>3513</v>
      </c>
      <c r="AD27" s="160">
        <v>3816</v>
      </c>
      <c r="AE27" s="160">
        <v>4129</v>
      </c>
      <c r="AF27" s="160">
        <v>4450</v>
      </c>
      <c r="AG27" s="160">
        <v>4815</v>
      </c>
      <c r="AH27" s="160">
        <v>9426</v>
      </c>
      <c r="AI27" s="160">
        <v>15895</v>
      </c>
      <c r="AJ27" s="161">
        <v>25000</v>
      </c>
    </row>
    <row r="28" spans="1:36" x14ac:dyDescent="0.35">
      <c r="A28" s="97">
        <v>27</v>
      </c>
      <c r="B28" s="85">
        <f>'6 - Thresholds'!$M27</f>
        <v>3990.2560553220965</v>
      </c>
      <c r="C28" s="81">
        <v>27</v>
      </c>
      <c r="D28" s="98">
        <f t="shared" si="0"/>
        <v>3990.2560553221019</v>
      </c>
      <c r="F28" s="77"/>
    </row>
    <row r="29" spans="1:36" x14ac:dyDescent="0.35">
      <c r="A29" s="97">
        <v>28</v>
      </c>
      <c r="B29" s="85">
        <f>'6 - Thresholds'!$M28</f>
        <v>4344.809209142406</v>
      </c>
      <c r="C29" s="81">
        <v>28</v>
      </c>
      <c r="D29" s="98">
        <f t="shared" si="0"/>
        <v>4344.8092091424078</v>
      </c>
      <c r="G29">
        <v>81</v>
      </c>
      <c r="H29">
        <v>130</v>
      </c>
      <c r="I29">
        <v>192</v>
      </c>
      <c r="J29">
        <v>258</v>
      </c>
      <c r="K29">
        <v>340</v>
      </c>
      <c r="L29">
        <v>435</v>
      </c>
      <c r="M29">
        <v>538</v>
      </c>
      <c r="N29">
        <v>657</v>
      </c>
      <c r="O29">
        <v>791</v>
      </c>
      <c r="P29">
        <v>926</v>
      </c>
      <c r="Q29">
        <v>1068</v>
      </c>
      <c r="R29">
        <v>1216</v>
      </c>
      <c r="S29">
        <v>1366</v>
      </c>
      <c r="T29">
        <v>1518</v>
      </c>
      <c r="U29">
        <v>1668</v>
      </c>
      <c r="V29">
        <v>1832</v>
      </c>
      <c r="W29">
        <v>2019</v>
      </c>
      <c r="X29">
        <v>2246</v>
      </c>
      <c r="Y29">
        <v>2493</v>
      </c>
      <c r="Z29">
        <v>2752</v>
      </c>
      <c r="AA29">
        <v>3012</v>
      </c>
      <c r="AB29">
        <v>3300</v>
      </c>
      <c r="AC29">
        <v>3673</v>
      </c>
      <c r="AD29">
        <v>4058</v>
      </c>
      <c r="AE29">
        <v>4453</v>
      </c>
      <c r="AF29">
        <v>4838</v>
      </c>
      <c r="AG29">
        <v>5288</v>
      </c>
      <c r="AH29">
        <v>10072</v>
      </c>
      <c r="AI29">
        <v>16030</v>
      </c>
      <c r="AJ29">
        <v>24934</v>
      </c>
    </row>
    <row r="30" spans="1:36" x14ac:dyDescent="0.35">
      <c r="A30" s="97">
        <v>29</v>
      </c>
      <c r="B30" s="85">
        <f>'6 - Thresholds'!$M29</f>
        <v>4691.1764987482156</v>
      </c>
      <c r="C30" s="81">
        <v>29</v>
      </c>
      <c r="D30" s="98">
        <f t="shared" si="0"/>
        <v>4691.1764987482547</v>
      </c>
    </row>
    <row r="31" spans="1:36" x14ac:dyDescent="0.35">
      <c r="A31" s="97">
        <v>30</v>
      </c>
      <c r="B31" s="85">
        <f>'6 - Thresholds'!$M30</f>
        <v>5112.5373890771079</v>
      </c>
      <c r="C31" s="81">
        <v>30</v>
      </c>
      <c r="D31" s="98">
        <f>CubicSpline(C31,$A$5:$A$34,$B$5:$B$34)</f>
        <v>5112.5373890771189</v>
      </c>
    </row>
    <row r="32" spans="1:36" x14ac:dyDescent="0.35">
      <c r="A32" s="97">
        <f>'6 - Spheres'!$G$40</f>
        <v>39</v>
      </c>
      <c r="B32" s="81">
        <f>'6 - Spheres'!$G$42</f>
        <v>10630</v>
      </c>
      <c r="C32" s="92">
        <v>38</v>
      </c>
      <c r="D32" s="98">
        <f t="shared" ref="D32:D34" si="2">CubicSpline(C32,$A$5:$A$34,$B$5:$B$34)</f>
        <v>10057.660312083664</v>
      </c>
    </row>
    <row r="33" spans="1:4" x14ac:dyDescent="0.35">
      <c r="A33" s="97">
        <f>'6 - Spheres'!$C$40</f>
        <v>49.4</v>
      </c>
      <c r="B33" s="81">
        <f>'6 - Spheres'!$C$42</f>
        <v>15771</v>
      </c>
      <c r="C33" s="92">
        <v>50</v>
      </c>
      <c r="D33" s="98">
        <f t="shared" si="2"/>
        <v>16045.385258941113</v>
      </c>
    </row>
    <row r="34" spans="1:4" x14ac:dyDescent="0.35">
      <c r="A34" s="99">
        <f>'6 - Spheres'!$N$40</f>
        <v>70</v>
      </c>
      <c r="B34" s="93">
        <f>'6 - Spheres'!$N$42</f>
        <v>24583</v>
      </c>
      <c r="C34" s="94">
        <v>70</v>
      </c>
      <c r="D34" s="100">
        <f t="shared" si="2"/>
        <v>24583</v>
      </c>
    </row>
    <row r="36" spans="1:4" ht="40.15" x14ac:dyDescent="0.35">
      <c r="A36" s="78" t="s">
        <v>165</v>
      </c>
    </row>
    <row r="39" spans="1:4" ht="13.15" x14ac:dyDescent="0.4">
      <c r="A39" t="s">
        <v>166</v>
      </c>
    </row>
    <row r="40" spans="1:4" ht="13.15" x14ac:dyDescent="0.4">
      <c r="A40" t="s">
        <v>167</v>
      </c>
    </row>
    <row r="41" spans="1:4" x14ac:dyDescent="0.35">
      <c r="A41" t="s">
        <v>168</v>
      </c>
    </row>
    <row r="42" spans="1:4" x14ac:dyDescent="0.35">
      <c r="A42" t="s">
        <v>169</v>
      </c>
    </row>
    <row r="44" spans="1:4" x14ac:dyDescent="0.35">
      <c r="A44" t="s">
        <v>170</v>
      </c>
    </row>
  </sheetData>
  <mergeCells count="4">
    <mergeCell ref="A1:B1"/>
    <mergeCell ref="C1:D1"/>
    <mergeCell ref="A2:B2"/>
    <mergeCell ref="C2:D2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 r:id="rId1"/>
  <headerFooter>
    <oddHeader>&amp;CISO11171:2020 Summary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Clause 6</vt:lpstr>
      <vt:lpstr>6 - B1</vt:lpstr>
      <vt:lpstr>6 - B2</vt:lpstr>
      <vt:lpstr>6 - B3</vt:lpstr>
      <vt:lpstr>6 - Thresholds</vt:lpstr>
      <vt:lpstr>6 - Spheres</vt:lpstr>
      <vt:lpstr>6 - Curve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Devereux</dc:creator>
  <cp:lastModifiedBy>John Devereux</cp:lastModifiedBy>
  <dcterms:created xsi:type="dcterms:W3CDTF">2025-12-19T10:12:42Z</dcterms:created>
  <dcterms:modified xsi:type="dcterms:W3CDTF">2026-06-09T14:11:29Z</dcterms:modified>
</cp:coreProperties>
</file>