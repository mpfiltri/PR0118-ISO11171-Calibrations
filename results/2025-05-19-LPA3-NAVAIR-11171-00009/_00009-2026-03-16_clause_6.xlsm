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results\2025-05-19-LPA3-NAVAIR-11171-00009\"/>
    </mc:Choice>
  </mc:AlternateContent>
  <xr:revisionPtr revIDLastSave="0" documentId="13_ncr:1_{F2C13B44-C682-4FE6-8BA5-04EE4D59E4E7}" xr6:coauthVersionLast="47" xr6:coauthVersionMax="47" xr10:uidLastSave="{00000000-0000-0000-0000-000000000000}"/>
  <bookViews>
    <workbookView xWindow="-103" yWindow="-18617" windowWidth="33120" windowHeight="18274" activeTab="6"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6" i="6" l="1"/>
  <c r="E32" i="2" l="1"/>
  <c r="B31" i="2"/>
  <c r="E31" i="2"/>
  <c r="F38" i="4"/>
  <c r="E38" i="4"/>
  <c r="D38" i="4"/>
  <c r="C38" i="4"/>
  <c r="B38" i="4"/>
  <c r="F37" i="4"/>
  <c r="E37" i="4"/>
  <c r="D37" i="4"/>
  <c r="C37" i="4"/>
  <c r="B37" i="4"/>
  <c r="F36" i="4"/>
  <c r="E36" i="4"/>
  <c r="D36" i="4"/>
  <c r="C36" i="4"/>
  <c r="B36" i="4"/>
  <c r="F35" i="4"/>
  <c r="G35" i="4" s="1"/>
  <c r="E35" i="4"/>
  <c r="D35" i="4"/>
  <c r="C35" i="4"/>
  <c r="B35" i="4"/>
  <c r="F34" i="4"/>
  <c r="E34" i="4"/>
  <c r="D34" i="4"/>
  <c r="C34" i="4"/>
  <c r="B34" i="4"/>
  <c r="F33" i="4"/>
  <c r="E33" i="4"/>
  <c r="D33" i="4"/>
  <c r="C33" i="4"/>
  <c r="B33" i="4"/>
  <c r="F32" i="4"/>
  <c r="E32" i="4"/>
  <c r="G32" i="4" s="1"/>
  <c r="D32" i="4"/>
  <c r="C32" i="4"/>
  <c r="B32" i="4"/>
  <c r="F31" i="4"/>
  <c r="E31" i="4"/>
  <c r="D31" i="4"/>
  <c r="C31" i="4"/>
  <c r="B31" i="4"/>
  <c r="F30" i="4"/>
  <c r="E30" i="4"/>
  <c r="D30" i="4"/>
  <c r="C30" i="4"/>
  <c r="B30" i="4"/>
  <c r="F29" i="4"/>
  <c r="E29" i="4"/>
  <c r="D29" i="4"/>
  <c r="G29" i="4" s="1"/>
  <c r="C29" i="4"/>
  <c r="B29" i="4"/>
  <c r="F28" i="4"/>
  <c r="E28" i="4"/>
  <c r="D28" i="4"/>
  <c r="C28" i="4"/>
  <c r="B28" i="4"/>
  <c r="F27" i="4"/>
  <c r="E27" i="4"/>
  <c r="D27" i="4"/>
  <c r="C27" i="4"/>
  <c r="B27" i="4"/>
  <c r="F26" i="4"/>
  <c r="E26" i="4"/>
  <c r="D26" i="4"/>
  <c r="C26" i="4"/>
  <c r="G26" i="4" s="1"/>
  <c r="B26" i="4"/>
  <c r="F25" i="4"/>
  <c r="E25" i="4"/>
  <c r="D25" i="4"/>
  <c r="C25" i="4"/>
  <c r="B25" i="4"/>
  <c r="F24" i="4"/>
  <c r="E24" i="4"/>
  <c r="D24" i="4"/>
  <c r="C24" i="4"/>
  <c r="B24" i="4"/>
  <c r="F23" i="4"/>
  <c r="E23" i="4"/>
  <c r="D23" i="4"/>
  <c r="C23" i="4"/>
  <c r="B23" i="4"/>
  <c r="G23" i="4" s="1"/>
  <c r="F22" i="4"/>
  <c r="E22" i="4"/>
  <c r="D22" i="4"/>
  <c r="C22" i="4"/>
  <c r="B22" i="4"/>
  <c r="F21" i="4"/>
  <c r="E21" i="4"/>
  <c r="D21" i="4"/>
  <c r="C21" i="4"/>
  <c r="B21" i="4"/>
  <c r="F20" i="4"/>
  <c r="E20" i="4"/>
  <c r="D20" i="4"/>
  <c r="C20" i="4"/>
  <c r="B20" i="4"/>
  <c r="F19" i="4"/>
  <c r="G19" i="4" s="1"/>
  <c r="E19" i="4"/>
  <c r="D19" i="4"/>
  <c r="C19" i="4"/>
  <c r="B19" i="4"/>
  <c r="F18" i="4"/>
  <c r="E18" i="4"/>
  <c r="D18" i="4"/>
  <c r="C18" i="4"/>
  <c r="B18" i="4"/>
  <c r="F17" i="4"/>
  <c r="E17" i="4"/>
  <c r="D17" i="4"/>
  <c r="C17" i="4"/>
  <c r="B17" i="4"/>
  <c r="F16" i="4"/>
  <c r="E16" i="4"/>
  <c r="G16" i="4" s="1"/>
  <c r="D16" i="4"/>
  <c r="C16" i="4"/>
  <c r="B16" i="4"/>
  <c r="F15" i="4"/>
  <c r="E15" i="4"/>
  <c r="D15" i="4"/>
  <c r="C15" i="4"/>
  <c r="B15" i="4"/>
  <c r="F14" i="4"/>
  <c r="E14" i="4"/>
  <c r="D14" i="4"/>
  <c r="C14" i="4"/>
  <c r="B14" i="4"/>
  <c r="F13" i="4"/>
  <c r="E13" i="4"/>
  <c r="D13" i="4"/>
  <c r="G13" i="4" s="1"/>
  <c r="C13" i="4"/>
  <c r="B13" i="4"/>
  <c r="F12" i="4"/>
  <c r="E12" i="4"/>
  <c r="D12" i="4"/>
  <c r="C12" i="4"/>
  <c r="B12" i="4"/>
  <c r="F11" i="4"/>
  <c r="E11" i="4"/>
  <c r="D11" i="4"/>
  <c r="C11" i="4"/>
  <c r="B11" i="4"/>
  <c r="F10" i="4"/>
  <c r="E10" i="4"/>
  <c r="D10" i="4"/>
  <c r="C10" i="4"/>
  <c r="G10" i="4" s="1"/>
  <c r="B10" i="4"/>
  <c r="F9" i="4"/>
  <c r="E9" i="4"/>
  <c r="D9" i="4"/>
  <c r="C9" i="4"/>
  <c r="B9" i="4"/>
  <c r="F38" i="3"/>
  <c r="E38" i="3"/>
  <c r="D38" i="3"/>
  <c r="C38" i="3"/>
  <c r="B38" i="3"/>
  <c r="F37" i="3"/>
  <c r="E37" i="3"/>
  <c r="D37" i="3"/>
  <c r="C37" i="3"/>
  <c r="B37" i="3"/>
  <c r="F36" i="3"/>
  <c r="E36" i="3"/>
  <c r="D36" i="3"/>
  <c r="C36" i="3"/>
  <c r="B36" i="3"/>
  <c r="G36" i="3" s="1"/>
  <c r="F35" i="3"/>
  <c r="E35" i="3"/>
  <c r="D35" i="3"/>
  <c r="C35" i="3"/>
  <c r="B35" i="3"/>
  <c r="F34" i="3"/>
  <c r="E34" i="3"/>
  <c r="D34" i="3"/>
  <c r="C34" i="3"/>
  <c r="B34" i="3"/>
  <c r="F33" i="3"/>
  <c r="E33" i="3"/>
  <c r="D33" i="3"/>
  <c r="C33" i="3"/>
  <c r="B33" i="3"/>
  <c r="F32" i="3"/>
  <c r="G32" i="3" s="1"/>
  <c r="E32" i="3"/>
  <c r="D32" i="3"/>
  <c r="C32" i="3"/>
  <c r="B32" i="3"/>
  <c r="F31" i="3"/>
  <c r="E31" i="3"/>
  <c r="D31" i="3"/>
  <c r="C31" i="3"/>
  <c r="B31" i="3"/>
  <c r="F30" i="3"/>
  <c r="E30" i="3"/>
  <c r="D30" i="3"/>
  <c r="C30" i="3"/>
  <c r="B30" i="3"/>
  <c r="F29" i="3"/>
  <c r="E29" i="3"/>
  <c r="G29" i="3" s="1"/>
  <c r="D29" i="3"/>
  <c r="C29" i="3"/>
  <c r="B29" i="3"/>
  <c r="F28" i="3"/>
  <c r="E28" i="3"/>
  <c r="D28" i="3"/>
  <c r="C28" i="3"/>
  <c r="B28" i="3"/>
  <c r="F27" i="3"/>
  <c r="E27" i="3"/>
  <c r="D27" i="3"/>
  <c r="C27" i="3"/>
  <c r="B27" i="3"/>
  <c r="F26" i="3"/>
  <c r="E26" i="3"/>
  <c r="D26" i="3"/>
  <c r="C26" i="3"/>
  <c r="G26" i="3" s="1"/>
  <c r="B26" i="3"/>
  <c r="F25" i="3"/>
  <c r="E25" i="3"/>
  <c r="D25" i="3"/>
  <c r="C25" i="3"/>
  <c r="B25" i="3"/>
  <c r="F24" i="3"/>
  <c r="E24" i="3"/>
  <c r="D24" i="3"/>
  <c r="C24" i="3"/>
  <c r="B24" i="3"/>
  <c r="F23" i="3"/>
  <c r="E23" i="3"/>
  <c r="D23" i="3"/>
  <c r="C23" i="3"/>
  <c r="B23" i="3"/>
  <c r="G23" i="3" s="1"/>
  <c r="F22" i="3"/>
  <c r="E22" i="3"/>
  <c r="D22" i="3"/>
  <c r="C22" i="3"/>
  <c r="B22" i="3"/>
  <c r="F21" i="3"/>
  <c r="E21" i="3"/>
  <c r="D21" i="3"/>
  <c r="C21" i="3"/>
  <c r="B21" i="3"/>
  <c r="F20" i="3"/>
  <c r="E20" i="3"/>
  <c r="D20" i="3"/>
  <c r="C20" i="3"/>
  <c r="B20" i="3"/>
  <c r="G20" i="3" s="1"/>
  <c r="F19" i="3"/>
  <c r="E19" i="3"/>
  <c r="D19" i="3"/>
  <c r="C19" i="3"/>
  <c r="B19" i="3"/>
  <c r="G19" i="3" s="1"/>
  <c r="F18" i="3"/>
  <c r="E18" i="3"/>
  <c r="D18" i="3"/>
  <c r="C18" i="3"/>
  <c r="B18" i="3"/>
  <c r="F17" i="3"/>
  <c r="E17" i="3"/>
  <c r="D17" i="3"/>
  <c r="C17" i="3"/>
  <c r="B17" i="3"/>
  <c r="F16" i="3"/>
  <c r="E16" i="3"/>
  <c r="D16" i="3"/>
  <c r="C16" i="3"/>
  <c r="B16" i="3"/>
  <c r="F15" i="3"/>
  <c r="E15" i="3"/>
  <c r="D15" i="3"/>
  <c r="C15" i="3"/>
  <c r="B15" i="3"/>
  <c r="F14" i="3"/>
  <c r="E14" i="3"/>
  <c r="D14" i="3"/>
  <c r="C14" i="3"/>
  <c r="B14" i="3"/>
  <c r="F13" i="3"/>
  <c r="E13" i="3"/>
  <c r="D13" i="3"/>
  <c r="G13" i="3" s="1"/>
  <c r="C13" i="3"/>
  <c r="B13" i="3"/>
  <c r="F12" i="3"/>
  <c r="E12" i="3"/>
  <c r="G12" i="3" s="1"/>
  <c r="D12" i="3"/>
  <c r="C12" i="3"/>
  <c r="B12" i="3"/>
  <c r="F11" i="3"/>
  <c r="E11" i="3"/>
  <c r="D11" i="3"/>
  <c r="C11" i="3"/>
  <c r="B11" i="3"/>
  <c r="G11" i="3" s="1"/>
  <c r="F10" i="3"/>
  <c r="E10" i="3"/>
  <c r="D10" i="3"/>
  <c r="C10" i="3"/>
  <c r="G10" i="3" s="1"/>
  <c r="B10" i="3"/>
  <c r="F9" i="3"/>
  <c r="E9" i="3"/>
  <c r="D9" i="3"/>
  <c r="C9" i="3"/>
  <c r="B9" i="3"/>
  <c r="H9" i="2"/>
  <c r="F38" i="2"/>
  <c r="E38" i="2"/>
  <c r="D38" i="2"/>
  <c r="C38" i="2"/>
  <c r="B38" i="2"/>
  <c r="G38" i="2" s="1"/>
  <c r="F37" i="2"/>
  <c r="E37" i="2"/>
  <c r="D37" i="2"/>
  <c r="G37" i="2" s="1"/>
  <c r="C37" i="2"/>
  <c r="B37" i="2"/>
  <c r="F36" i="2"/>
  <c r="E36" i="2"/>
  <c r="D36" i="2"/>
  <c r="C36" i="2"/>
  <c r="B36" i="2"/>
  <c r="G36" i="2" s="1"/>
  <c r="F35" i="2"/>
  <c r="E35" i="2"/>
  <c r="D35" i="2"/>
  <c r="C35" i="2"/>
  <c r="B35" i="2"/>
  <c r="F34" i="2"/>
  <c r="E34" i="2"/>
  <c r="D34" i="2"/>
  <c r="C34" i="2"/>
  <c r="B34" i="2"/>
  <c r="F33" i="2"/>
  <c r="E33" i="2"/>
  <c r="D33" i="2"/>
  <c r="C33" i="2"/>
  <c r="B33" i="2"/>
  <c r="F32" i="2"/>
  <c r="G32" i="2" s="1"/>
  <c r="D32" i="2"/>
  <c r="C32" i="2"/>
  <c r="B32" i="2"/>
  <c r="F31" i="2"/>
  <c r="D31" i="2"/>
  <c r="C31" i="2"/>
  <c r="F30" i="2"/>
  <c r="D30" i="2"/>
  <c r="C30" i="2"/>
  <c r="G30" i="2" s="1"/>
  <c r="B30" i="2"/>
  <c r="E29" i="2"/>
  <c r="G29" i="2" s="1"/>
  <c r="D29" i="2"/>
  <c r="C29" i="2"/>
  <c r="B29" i="2"/>
  <c r="E28" i="2"/>
  <c r="D28" i="2"/>
  <c r="C28" i="2"/>
  <c r="G28" i="2" s="1"/>
  <c r="B28" i="2"/>
  <c r="F27" i="2"/>
  <c r="E27" i="2"/>
  <c r="D27" i="2"/>
  <c r="C27" i="2"/>
  <c r="B27" i="2"/>
  <c r="F26" i="2"/>
  <c r="E26" i="2"/>
  <c r="D26" i="2"/>
  <c r="G26" i="2" s="1"/>
  <c r="C26" i="2"/>
  <c r="B26" i="2"/>
  <c r="F25" i="2"/>
  <c r="E25" i="2"/>
  <c r="D25" i="2"/>
  <c r="C25" i="2"/>
  <c r="B25" i="2"/>
  <c r="F24" i="2"/>
  <c r="E24" i="2"/>
  <c r="D24" i="2"/>
  <c r="C24" i="2"/>
  <c r="B24" i="2"/>
  <c r="F23" i="2"/>
  <c r="E23" i="2"/>
  <c r="D23" i="2"/>
  <c r="C23" i="2"/>
  <c r="G23" i="2" s="1"/>
  <c r="B23" i="2"/>
  <c r="F22" i="2"/>
  <c r="E22" i="2"/>
  <c r="D22" i="2"/>
  <c r="C22" i="2"/>
  <c r="B22" i="2"/>
  <c r="G22" i="2" s="1"/>
  <c r="F21" i="2"/>
  <c r="E21" i="2"/>
  <c r="D21" i="2"/>
  <c r="C21" i="2"/>
  <c r="B21" i="2"/>
  <c r="G21" i="2" s="1"/>
  <c r="F20" i="2"/>
  <c r="E20" i="2"/>
  <c r="D20" i="2"/>
  <c r="C20" i="2"/>
  <c r="B20" i="2"/>
  <c r="G20" i="2" s="1"/>
  <c r="F19" i="2"/>
  <c r="E19" i="2"/>
  <c r="D19" i="2"/>
  <c r="C19" i="2"/>
  <c r="B19" i="2"/>
  <c r="G19" i="2" s="1"/>
  <c r="F18" i="2"/>
  <c r="E18" i="2"/>
  <c r="D18" i="2"/>
  <c r="C18" i="2"/>
  <c r="B18" i="2"/>
  <c r="F17" i="2"/>
  <c r="E17" i="2"/>
  <c r="D17" i="2"/>
  <c r="C17" i="2"/>
  <c r="B17" i="2"/>
  <c r="F16" i="2"/>
  <c r="G16" i="2" s="1"/>
  <c r="E16" i="2"/>
  <c r="D16" i="2"/>
  <c r="C16" i="2"/>
  <c r="B16" i="2"/>
  <c r="F15" i="2"/>
  <c r="E15" i="2"/>
  <c r="D15" i="2"/>
  <c r="C15" i="2"/>
  <c r="B15" i="2"/>
  <c r="G15" i="2" s="1"/>
  <c r="F14" i="2"/>
  <c r="E14" i="2"/>
  <c r="D14" i="2"/>
  <c r="C14" i="2"/>
  <c r="B14" i="2"/>
  <c r="G14" i="2" s="1"/>
  <c r="F13" i="2"/>
  <c r="E13" i="2"/>
  <c r="D13" i="2"/>
  <c r="G13" i="2" s="1"/>
  <c r="C13" i="2"/>
  <c r="B13" i="2"/>
  <c r="F12" i="2"/>
  <c r="E12" i="2"/>
  <c r="D12" i="2"/>
  <c r="C12" i="2"/>
  <c r="G12" i="2" s="1"/>
  <c r="B12" i="2"/>
  <c r="F11" i="2"/>
  <c r="E11" i="2"/>
  <c r="D11" i="2"/>
  <c r="C11" i="2"/>
  <c r="B11" i="2"/>
  <c r="F10" i="2"/>
  <c r="E10" i="2"/>
  <c r="D10" i="2"/>
  <c r="C10" i="2"/>
  <c r="G10" i="2" s="1"/>
  <c r="B10" i="2"/>
  <c r="F9" i="2"/>
  <c r="E9" i="2"/>
  <c r="D9" i="2"/>
  <c r="C9" i="2"/>
  <c r="B9" i="2"/>
  <c r="G9" i="2" s="1"/>
  <c r="G11" i="2"/>
  <c r="G17" i="2"/>
  <c r="G18" i="2"/>
  <c r="G24" i="2"/>
  <c r="G25" i="2"/>
  <c r="G27" i="2"/>
  <c r="G31" i="2"/>
  <c r="G33" i="2"/>
  <c r="G34" i="2"/>
  <c r="G35" i="2"/>
  <c r="G9" i="3"/>
  <c r="G14" i="3"/>
  <c r="G15" i="3"/>
  <c r="G16" i="3"/>
  <c r="G17" i="3"/>
  <c r="G18" i="3"/>
  <c r="G21" i="3"/>
  <c r="G22" i="3"/>
  <c r="G24" i="3"/>
  <c r="G25" i="3"/>
  <c r="G27" i="3"/>
  <c r="G28" i="3"/>
  <c r="G30" i="3"/>
  <c r="G31" i="3"/>
  <c r="G33" i="3"/>
  <c r="G34" i="3"/>
  <c r="G35" i="3"/>
  <c r="G37" i="3"/>
  <c r="G38" i="3"/>
  <c r="G9" i="4"/>
  <c r="G11" i="4"/>
  <c r="G12" i="4"/>
  <c r="G14" i="4"/>
  <c r="G15" i="4"/>
  <c r="G17" i="4"/>
  <c r="G18" i="4"/>
  <c r="G20" i="4"/>
  <c r="G21" i="4"/>
  <c r="G22" i="4"/>
  <c r="G24" i="4"/>
  <c r="G25" i="4"/>
  <c r="G27" i="4"/>
  <c r="G28" i="4"/>
  <c r="G30" i="4"/>
  <c r="G31" i="4"/>
  <c r="G33" i="4"/>
  <c r="G34" i="4"/>
  <c r="G36" i="4"/>
  <c r="G37" i="4"/>
  <c r="G38" i="4"/>
  <c r="M17" i="6" l="1"/>
  <c r="A17" i="6"/>
  <c r="F17" i="6"/>
  <c r="F87" i="6"/>
  <c r="H83" i="6"/>
  <c r="F83" i="6"/>
  <c r="G81" i="6"/>
  <c r="F72" i="6"/>
  <c r="F71" i="6"/>
  <c r="F54" i="6"/>
  <c r="F56" i="6" s="1"/>
  <c r="F57" i="6" s="1"/>
  <c r="F64" i="6" s="1"/>
  <c r="B32" i="7"/>
  <c r="M15" i="6"/>
  <c r="A15" i="6"/>
  <c r="F15" i="6"/>
  <c r="B33" i="7"/>
  <c r="M30" i="6"/>
  <c r="D8" i="6"/>
  <c r="F30" i="6" s="1"/>
  <c r="F59" i="6" l="1"/>
  <c r="F61" i="6" s="1"/>
  <c r="F63" i="6" s="1"/>
  <c r="F65" i="6" s="1"/>
  <c r="F66" i="6" s="1"/>
  <c r="A30" i="6"/>
  <c r="C18" i="1"/>
  <c r="F67" i="6" l="1"/>
  <c r="F73" i="6" s="1"/>
  <c r="F74" i="6" s="1"/>
  <c r="C17" i="1"/>
  <c r="D18" i="1" s="1"/>
  <c r="E4" i="3" s="1"/>
  <c r="B4" i="2"/>
  <c r="B3" i="2"/>
  <c r="B5" i="2"/>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E4" i="2" l="1"/>
  <c r="E4" i="4"/>
  <c r="B34" i="7"/>
  <c r="A34" i="7"/>
  <c r="M46" i="6"/>
  <c r="O42" i="6"/>
  <c r="M42" i="6"/>
  <c r="H42" i="6"/>
  <c r="F42" i="6"/>
  <c r="D42" i="6"/>
  <c r="B42" i="6"/>
  <c r="G40" i="6"/>
  <c r="A32" i="7" s="1"/>
  <c r="C40" i="6"/>
  <c r="A33" i="7" s="1"/>
  <c r="M31" i="6"/>
  <c r="F31" i="6"/>
  <c r="A31" i="6"/>
  <c r="M13" i="6"/>
  <c r="M16" i="6" s="1"/>
  <c r="F13" i="6"/>
  <c r="F16" i="6" s="1"/>
  <c r="A13" i="6"/>
  <c r="A16"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F8" i="3" s="1"/>
  <c r="J52" i="3"/>
  <c r="E8" i="3" s="1"/>
  <c r="I52" i="3"/>
  <c r="D8" i="3" s="1"/>
  <c r="H52" i="3"/>
  <c r="C8" i="3" s="1"/>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A18" i="6" l="1"/>
  <c r="A20" i="6" s="1"/>
  <c r="A22" i="6" s="1"/>
  <c r="A24" i="6" s="1"/>
  <c r="A25" i="6" s="1"/>
  <c r="A23" i="6"/>
  <c r="F8" i="4"/>
  <c r="E8" i="4"/>
  <c r="D8" i="4"/>
  <c r="C8" i="4"/>
  <c r="B8" i="4"/>
  <c r="D8" i="2"/>
  <c r="C8" i="2"/>
  <c r="E8" i="2"/>
  <c r="F8" i="2"/>
  <c r="B8" i="2"/>
  <c r="C22" i="1"/>
  <c r="H22" i="1"/>
  <c r="E3" i="2"/>
  <c r="F46" i="6"/>
  <c r="D50" i="1"/>
  <c r="F32" i="5" s="1"/>
  <c r="B56" i="1"/>
  <c r="G8" i="3"/>
  <c r="M9" i="3"/>
  <c r="I9" i="3"/>
  <c r="O9" i="3"/>
  <c r="M10" i="3"/>
  <c r="I10" i="3"/>
  <c r="R10" i="3"/>
  <c r="M11" i="3"/>
  <c r="I11" i="3"/>
  <c r="S11" i="3"/>
  <c r="M12" i="3"/>
  <c r="I12" i="3"/>
  <c r="I13" i="3"/>
  <c r="O13" i="3"/>
  <c r="M13" i="3"/>
  <c r="I14" i="3"/>
  <c r="O14" i="3"/>
  <c r="M14" i="3"/>
  <c r="I15" i="3"/>
  <c r="O15" i="3"/>
  <c r="M15" i="3"/>
  <c r="I16" i="3"/>
  <c r="O16" i="3"/>
  <c r="M16" i="3"/>
  <c r="O17" i="3"/>
  <c r="M17" i="3"/>
  <c r="I17" i="3"/>
  <c r="O18" i="3"/>
  <c r="M18" i="3"/>
  <c r="I18" i="3"/>
  <c r="M19" i="3"/>
  <c r="I19" i="3"/>
  <c r="P19" i="3"/>
  <c r="M20" i="3"/>
  <c r="I20" i="3"/>
  <c r="R20" i="3"/>
  <c r="M21" i="3"/>
  <c r="I21" i="3"/>
  <c r="P21" i="3"/>
  <c r="M23" i="3"/>
  <c r="I23" i="3"/>
  <c r="P23" i="3"/>
  <c r="M24" i="3"/>
  <c r="I24" i="3"/>
  <c r="O24" i="3"/>
  <c r="M25" i="3"/>
  <c r="I25" i="3"/>
  <c r="O25" i="3"/>
  <c r="M26" i="3"/>
  <c r="I26" i="3"/>
  <c r="O26" i="3"/>
  <c r="M27" i="3"/>
  <c r="I27" i="3"/>
  <c r="S27" i="3"/>
  <c r="M28" i="3"/>
  <c r="I28" i="3"/>
  <c r="O28" i="3"/>
  <c r="I29" i="3"/>
  <c r="R29" i="3"/>
  <c r="M29" i="3"/>
  <c r="I30" i="3"/>
  <c r="O30" i="3"/>
  <c r="M30" i="3"/>
  <c r="I31" i="3"/>
  <c r="P31" i="3"/>
  <c r="M31" i="3"/>
  <c r="I32" i="3"/>
  <c r="P32" i="3"/>
  <c r="M32" i="3"/>
  <c r="I33" i="3"/>
  <c r="M33" i="3"/>
  <c r="I34" i="3"/>
  <c r="P34" i="3"/>
  <c r="M34" i="3"/>
  <c r="I35" i="3"/>
  <c r="M35" i="3"/>
  <c r="I36" i="3"/>
  <c r="P36" i="3"/>
  <c r="M36" i="3"/>
  <c r="I37" i="3"/>
  <c r="M37" i="3"/>
  <c r="I38" i="3"/>
  <c r="M38" i="3"/>
  <c r="F23" i="6"/>
  <c r="F18" i="6"/>
  <c r="F20" i="6" s="1"/>
  <c r="F22" i="6" s="1"/>
  <c r="F24" i="6" s="1"/>
  <c r="F25" i="6" s="1"/>
  <c r="M18" i="6"/>
  <c r="M20" i="6" s="1"/>
  <c r="M22" i="6" s="1"/>
  <c r="M24" i="6" s="1"/>
  <c r="M25" i="6" s="1"/>
  <c r="M23" i="6"/>
  <c r="A32" i="6"/>
  <c r="A33" i="6" s="1"/>
  <c r="B23" i="1"/>
  <c r="Q22" i="3"/>
  <c r="I22" i="3"/>
  <c r="M22" i="3"/>
  <c r="H23" i="1" l="1"/>
  <c r="C56" i="1"/>
  <c r="A26" i="6"/>
  <c r="F26" i="6"/>
  <c r="F32" i="6" s="1"/>
  <c r="F33" i="6" s="1"/>
  <c r="I21" i="4"/>
  <c r="M20" i="4"/>
  <c r="S14" i="4"/>
  <c r="M18" i="4"/>
  <c r="S37" i="4"/>
  <c r="M13" i="4"/>
  <c r="M28" i="4"/>
  <c r="M16" i="4"/>
  <c r="M10" i="4"/>
  <c r="M37" i="4"/>
  <c r="M34" i="4"/>
  <c r="P35" i="4"/>
  <c r="S24" i="4"/>
  <c r="R26" i="4"/>
  <c r="P11" i="4"/>
  <c r="I28" i="4"/>
  <c r="P27" i="4"/>
  <c r="R32" i="4"/>
  <c r="G8" i="4"/>
  <c r="O34" i="4"/>
  <c r="O12" i="4"/>
  <c r="G8" i="2"/>
  <c r="M33" i="4"/>
  <c r="M35" i="4"/>
  <c r="S16" i="4"/>
  <c r="O29" i="4"/>
  <c r="O19" i="4"/>
  <c r="M26" i="4"/>
  <c r="M9" i="4"/>
  <c r="M30" i="4"/>
  <c r="M17" i="4"/>
  <c r="R15" i="4"/>
  <c r="M12" i="4"/>
  <c r="K30" i="4"/>
  <c r="I36" i="4"/>
  <c r="M38" i="4"/>
  <c r="M25" i="4"/>
  <c r="M30" i="2"/>
  <c r="L23" i="4"/>
  <c r="D19" i="5" s="1"/>
  <c r="S17" i="4"/>
  <c r="P22" i="4"/>
  <c r="Q9" i="4"/>
  <c r="M29" i="4"/>
  <c r="M27" i="4"/>
  <c r="P10" i="4"/>
  <c r="M32" i="4"/>
  <c r="M31" i="4"/>
  <c r="M11" i="4"/>
  <c r="P31" i="4"/>
  <c r="M19" i="4"/>
  <c r="M15" i="4"/>
  <c r="M24" i="4"/>
  <c r="Q25" i="4"/>
  <c r="S13" i="4"/>
  <c r="M21" i="4"/>
  <c r="I29" i="2"/>
  <c r="K29" i="2"/>
  <c r="M29" i="2"/>
  <c r="M23" i="4"/>
  <c r="I14" i="2"/>
  <c r="I24" i="2"/>
  <c r="M15" i="2"/>
  <c r="I15" i="2"/>
  <c r="O15" i="2"/>
  <c r="K10" i="2"/>
  <c r="M10" i="2"/>
  <c r="I10" i="2"/>
  <c r="R33" i="4"/>
  <c r="P37" i="2"/>
  <c r="M37" i="2"/>
  <c r="I37" i="2"/>
  <c r="M9" i="2"/>
  <c r="K35" i="2"/>
  <c r="M35" i="2"/>
  <c r="I35" i="2"/>
  <c r="M22" i="4"/>
  <c r="Q38" i="2"/>
  <c r="I38" i="2"/>
  <c r="M38" i="2"/>
  <c r="I30" i="2"/>
  <c r="K30" i="2"/>
  <c r="K9" i="2"/>
  <c r="I9" i="2"/>
  <c r="I19" i="2"/>
  <c r="R19" i="2"/>
  <c r="M19" i="2"/>
  <c r="M14" i="4"/>
  <c r="O33" i="2"/>
  <c r="M33" i="2"/>
  <c r="I33" i="2"/>
  <c r="I27" i="2"/>
  <c r="Q27" i="2"/>
  <c r="M27" i="2"/>
  <c r="I18" i="2"/>
  <c r="P18" i="2"/>
  <c r="M18" i="2"/>
  <c r="M32" i="2"/>
  <c r="I32" i="2"/>
  <c r="P18" i="4"/>
  <c r="Q16" i="2"/>
  <c r="M16" i="2"/>
  <c r="I16" i="2"/>
  <c r="M20" i="2"/>
  <c r="R20" i="2"/>
  <c r="I20" i="2"/>
  <c r="I36" i="2"/>
  <c r="K36" i="2"/>
  <c r="M36" i="2"/>
  <c r="P26" i="2"/>
  <c r="I26" i="2"/>
  <c r="M26" i="2"/>
  <c r="M11" i="2"/>
  <c r="K11" i="2"/>
  <c r="I11" i="2"/>
  <c r="I34" i="2"/>
  <c r="M34" i="2"/>
  <c r="I21" i="2"/>
  <c r="K21" i="2"/>
  <c r="M22" i="2"/>
  <c r="O22" i="2"/>
  <c r="I22" i="2"/>
  <c r="K20" i="4"/>
  <c r="M36" i="4"/>
  <c r="I17" i="2"/>
  <c r="M17" i="2"/>
  <c r="P12" i="2"/>
  <c r="M12" i="2"/>
  <c r="I12" i="2"/>
  <c r="I25" i="2"/>
  <c r="M25" i="2"/>
  <c r="O25" i="2"/>
  <c r="P13" i="2"/>
  <c r="M13" i="2"/>
  <c r="I13" i="2"/>
  <c r="M24" i="2"/>
  <c r="K24" i="2"/>
  <c r="K14" i="2"/>
  <c r="M14" i="2"/>
  <c r="O38" i="4"/>
  <c r="M21" i="2"/>
  <c r="Q23" i="2"/>
  <c r="M23" i="2"/>
  <c r="I23" i="2"/>
  <c r="O28" i="2"/>
  <c r="I28" i="2"/>
  <c r="M28" i="2"/>
  <c r="M31" i="2"/>
  <c r="K31" i="2"/>
  <c r="I31" i="2"/>
  <c r="Q13" i="3"/>
  <c r="Q11" i="3"/>
  <c r="Q16" i="3"/>
  <c r="P16" i="3"/>
  <c r="D49" i="1"/>
  <c r="D48" i="1" s="1"/>
  <c r="S13" i="3"/>
  <c r="R13" i="3"/>
  <c r="Q21" i="3"/>
  <c r="S29" i="3"/>
  <c r="O29" i="3"/>
  <c r="O35" i="3"/>
  <c r="Q35" i="3"/>
  <c r="O34" i="3"/>
  <c r="Q34" i="3"/>
  <c r="P33" i="3"/>
  <c r="Q33" i="3"/>
  <c r="O38" i="3"/>
  <c r="S38" i="3"/>
  <c r="Q37" i="3"/>
  <c r="S37" i="3"/>
  <c r="Q32" i="3"/>
  <c r="S36" i="3"/>
  <c r="Q31" i="3"/>
  <c r="Q20" i="3"/>
  <c r="O33" i="3"/>
  <c r="P15" i="3"/>
  <c r="O20" i="3"/>
  <c r="P17" i="3"/>
  <c r="O37" i="3"/>
  <c r="S9" i="3"/>
  <c r="P35" i="3"/>
  <c r="O31" i="3"/>
  <c r="P20" i="3"/>
  <c r="S19" i="3"/>
  <c r="Q19" i="3"/>
  <c r="S20" i="3"/>
  <c r="R19" i="3"/>
  <c r="R30" i="3"/>
  <c r="Q30" i="3"/>
  <c r="P38" i="3"/>
  <c r="O36" i="3"/>
  <c r="O32" i="3"/>
  <c r="P30" i="3"/>
  <c r="Q15" i="3"/>
  <c r="S18" i="3"/>
  <c r="Q38" i="3"/>
  <c r="P22" i="3"/>
  <c r="R21" i="3"/>
  <c r="R28" i="3"/>
  <c r="S14" i="3"/>
  <c r="Q18" i="3"/>
  <c r="R18" i="3"/>
  <c r="Q14" i="3"/>
  <c r="R14" i="3"/>
  <c r="P14" i="3"/>
  <c r="S28" i="3"/>
  <c r="O21" i="3"/>
  <c r="R15" i="3"/>
  <c r="S38" i="2"/>
  <c r="L12" i="3"/>
  <c r="C30" i="5" s="1"/>
  <c r="K12" i="3"/>
  <c r="H12" i="3"/>
  <c r="J12" i="3" s="1"/>
  <c r="Q12" i="3"/>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S17" i="3"/>
  <c r="S16" i="3"/>
  <c r="S37" i="2"/>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6" i="3"/>
  <c r="J36" i="3" s="1"/>
  <c r="R36" i="3"/>
  <c r="L36" i="3"/>
  <c r="C6" i="5" s="1"/>
  <c r="K36" i="3"/>
  <c r="H32" i="3"/>
  <c r="J32" i="3" s="1"/>
  <c r="S32" i="3"/>
  <c r="R32" i="3"/>
  <c r="L32" i="3"/>
  <c r="C10" i="5" s="1"/>
  <c r="K32" i="3"/>
  <c r="H15" i="3"/>
  <c r="J15" i="3" s="1"/>
  <c r="S15" i="3"/>
  <c r="L15" i="3"/>
  <c r="C27" i="5" s="1"/>
  <c r="K15" i="3"/>
  <c r="M26" i="6"/>
  <c r="M32" i="6" s="1"/>
  <c r="M33" i="6" s="1"/>
  <c r="O19" i="3"/>
  <c r="O11" i="3"/>
  <c r="S22" i="3"/>
  <c r="R22" i="3"/>
  <c r="L22" i="3"/>
  <c r="C20" i="5" s="1"/>
  <c r="K22" i="3"/>
  <c r="H22" i="3"/>
  <c r="J22" i="3" s="1"/>
  <c r="P37" i="3"/>
  <c r="L27" i="3"/>
  <c r="C15" i="5" s="1"/>
  <c r="K27" i="3"/>
  <c r="H27" i="3"/>
  <c r="J27" i="3" s="1"/>
  <c r="R27" i="3"/>
  <c r="Q27" i="3"/>
  <c r="P27" i="3"/>
  <c r="S23" i="3"/>
  <c r="R23" i="3"/>
  <c r="Q23" i="3"/>
  <c r="L23" i="3"/>
  <c r="C19" i="5" s="1"/>
  <c r="K23" i="3"/>
  <c r="H23" i="3"/>
  <c r="J23" i="3" s="1"/>
  <c r="P10" i="3"/>
  <c r="L10" i="3"/>
  <c r="C32" i="5" s="1"/>
  <c r="K10" i="3"/>
  <c r="H10" i="3"/>
  <c r="J10" i="3" s="1"/>
  <c r="S10" i="3"/>
  <c r="Q10" i="3"/>
  <c r="C23" i="1"/>
  <c r="B24" i="1"/>
  <c r="H24" i="1" s="1"/>
  <c r="Q29" i="3"/>
  <c r="H35" i="3"/>
  <c r="J35" i="3" s="1"/>
  <c r="S35" i="3"/>
  <c r="R35" i="3"/>
  <c r="L35" i="3"/>
  <c r="C7" i="5" s="1"/>
  <c r="K35" i="3"/>
  <c r="H31" i="3"/>
  <c r="J31" i="3" s="1"/>
  <c r="S31" i="3"/>
  <c r="R31" i="3"/>
  <c r="L31" i="3"/>
  <c r="C11" i="5" s="1"/>
  <c r="K31" i="3"/>
  <c r="K14" i="3"/>
  <c r="H14" i="3"/>
  <c r="J14" i="3" s="1"/>
  <c r="L14" i="3"/>
  <c r="C28" i="5" s="1"/>
  <c r="O27" i="3"/>
  <c r="O23" i="3"/>
  <c r="P18" i="3"/>
  <c r="L18" i="3"/>
  <c r="C24" i="5" s="1"/>
  <c r="K18" i="3"/>
  <c r="H18" i="3"/>
  <c r="J18" i="3" s="1"/>
  <c r="O10" i="3"/>
  <c r="Q36" i="3"/>
  <c r="S36" i="2"/>
  <c r="R17" i="3"/>
  <c r="P26" i="3"/>
  <c r="L26" i="3"/>
  <c r="C16" i="5" s="1"/>
  <c r="K26" i="3"/>
  <c r="H26" i="3"/>
  <c r="J26" i="3" s="1"/>
  <c r="S26" i="3"/>
  <c r="R26" i="3"/>
  <c r="Q26" i="3"/>
  <c r="S21" i="3"/>
  <c r="L21" i="3"/>
  <c r="C21" i="5" s="1"/>
  <c r="K21" i="3"/>
  <c r="H21" i="3"/>
  <c r="J21" i="3" s="1"/>
  <c r="Q9" i="3"/>
  <c r="P9" i="3"/>
  <c r="L9" i="3"/>
  <c r="C33" i="5" s="1"/>
  <c r="K9" i="3"/>
  <c r="H9" i="3"/>
  <c r="J9" i="3" s="1"/>
  <c r="R9" i="3"/>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K34" i="2" l="1"/>
  <c r="P34" i="2"/>
  <c r="K32" i="2"/>
  <c r="P32" i="2"/>
  <c r="S29" i="4"/>
  <c r="G14" i="5"/>
  <c r="H14" i="5" s="1"/>
  <c r="G28" i="5"/>
  <c r="H28" i="5" s="1"/>
  <c r="L29" i="4"/>
  <c r="D13" i="5" s="1"/>
  <c r="K9" i="4"/>
  <c r="I17" i="4"/>
  <c r="Q31" i="2"/>
  <c r="L22" i="4"/>
  <c r="D20" i="5" s="1"/>
  <c r="G21" i="5"/>
  <c r="H21" i="5" s="1"/>
  <c r="Q35" i="2"/>
  <c r="I24" i="4"/>
  <c r="S32" i="4"/>
  <c r="L21" i="4"/>
  <c r="D21" i="5" s="1"/>
  <c r="S19" i="4"/>
  <c r="O21" i="4"/>
  <c r="K37" i="4"/>
  <c r="K21" i="4"/>
  <c r="L19" i="4"/>
  <c r="D23" i="5" s="1"/>
  <c r="P21" i="4"/>
  <c r="S10" i="4"/>
  <c r="L16" i="4"/>
  <c r="D26" i="5" s="1"/>
  <c r="Q24" i="4"/>
  <c r="Q21" i="4"/>
  <c r="K16" i="4"/>
  <c r="I37" i="4"/>
  <c r="R37" i="4"/>
  <c r="L37" i="4"/>
  <c r="D5" i="5" s="1"/>
  <c r="O36" i="4"/>
  <c r="Q37" i="4"/>
  <c r="R37" i="2"/>
  <c r="I32" i="4"/>
  <c r="K32" i="4"/>
  <c r="O22" i="4"/>
  <c r="S21" i="4"/>
  <c r="P32" i="4"/>
  <c r="R21" i="4"/>
  <c r="O32" i="4"/>
  <c r="K22" i="4"/>
  <c r="G13" i="5"/>
  <c r="H13" i="5" s="1"/>
  <c r="K19" i="4"/>
  <c r="O37" i="4"/>
  <c r="P37" i="4"/>
  <c r="G25" i="5"/>
  <c r="H25" i="5" s="1"/>
  <c r="K17" i="4"/>
  <c r="L17" i="4"/>
  <c r="D25" i="5" s="1"/>
  <c r="Q17" i="4"/>
  <c r="O17" i="4"/>
  <c r="P17" i="4"/>
  <c r="G7" i="5"/>
  <c r="H7" i="5" s="1"/>
  <c r="G26" i="5"/>
  <c r="H26" i="5" s="1"/>
  <c r="Q33" i="2"/>
  <c r="R10" i="4"/>
  <c r="R17" i="4"/>
  <c r="I22" i="4"/>
  <c r="S31" i="2"/>
  <c r="S33" i="2"/>
  <c r="Q22" i="4"/>
  <c r="P29" i="2"/>
  <c r="I16" i="4"/>
  <c r="L11" i="4"/>
  <c r="D31" i="5" s="1"/>
  <c r="O16" i="4"/>
  <c r="R33" i="2"/>
  <c r="P9" i="4"/>
  <c r="G5" i="5"/>
  <c r="H5" i="5" s="1"/>
  <c r="S22" i="4"/>
  <c r="R24" i="2"/>
  <c r="Q29" i="2"/>
  <c r="O24" i="4"/>
  <c r="S24" i="2"/>
  <c r="I29" i="4"/>
  <c r="R29" i="2"/>
  <c r="O9" i="4"/>
  <c r="P16" i="4"/>
  <c r="S29" i="2"/>
  <c r="S35" i="2"/>
  <c r="P24" i="4"/>
  <c r="K29" i="4"/>
  <c r="Q16" i="4"/>
  <c r="R16" i="4"/>
  <c r="R9" i="4"/>
  <c r="Q36" i="4"/>
  <c r="K24" i="4"/>
  <c r="Q24" i="2"/>
  <c r="Q29" i="4"/>
  <c r="I9" i="4"/>
  <c r="P29" i="4"/>
  <c r="L9" i="4"/>
  <c r="D33" i="5" s="1"/>
  <c r="G32" i="5"/>
  <c r="H32" i="5" s="1"/>
  <c r="H22" i="4"/>
  <c r="J22" i="4" s="1"/>
  <c r="L24" i="4"/>
  <c r="D18" i="5" s="1"/>
  <c r="R29" i="4"/>
  <c r="R22" i="4"/>
  <c r="I19" i="4"/>
  <c r="H17" i="4"/>
  <c r="J17" i="4" s="1"/>
  <c r="R19" i="4"/>
  <c r="P26" i="4"/>
  <c r="H35" i="4"/>
  <c r="J35" i="4" s="1"/>
  <c r="K35" i="4"/>
  <c r="S26" i="4"/>
  <c r="S11" i="4"/>
  <c r="Q35" i="4"/>
  <c r="H21" i="4"/>
  <c r="J21" i="4" s="1"/>
  <c r="I26" i="4"/>
  <c r="R35" i="4"/>
  <c r="R36" i="4"/>
  <c r="K11" i="4"/>
  <c r="K14" i="4"/>
  <c r="G8" i="5"/>
  <c r="H8" i="5" s="1"/>
  <c r="K36" i="4"/>
  <c r="I14" i="4"/>
  <c r="P19" i="4"/>
  <c r="S36" i="4"/>
  <c r="Q19" i="4"/>
  <c r="G24" i="5"/>
  <c r="H24" i="5" s="1"/>
  <c r="L32" i="4"/>
  <c r="D10" i="5" s="1"/>
  <c r="K26" i="4"/>
  <c r="Q32" i="4"/>
  <c r="O10" i="4"/>
  <c r="Q26" i="4"/>
  <c r="O26" i="4"/>
  <c r="G22" i="5"/>
  <c r="H22" i="5" s="1"/>
  <c r="R24" i="4"/>
  <c r="K10" i="4"/>
  <c r="L26" i="4"/>
  <c r="D16" i="5" s="1"/>
  <c r="I38" i="4"/>
  <c r="Q36" i="2"/>
  <c r="I10" i="4"/>
  <c r="K38" i="4"/>
  <c r="O35" i="4"/>
  <c r="G10" i="5"/>
  <c r="H10" i="5" s="1"/>
  <c r="H32" i="4"/>
  <c r="J32" i="4" s="1"/>
  <c r="L36" i="4"/>
  <c r="D6" i="5" s="1"/>
  <c r="H38" i="4"/>
  <c r="J38" i="4" s="1"/>
  <c r="H19" i="4"/>
  <c r="J19" i="4" s="1"/>
  <c r="S35" i="4"/>
  <c r="P36" i="4"/>
  <c r="O11" i="4"/>
  <c r="Q38" i="4"/>
  <c r="I35" i="4"/>
  <c r="R38" i="4"/>
  <c r="R14" i="4"/>
  <c r="S28" i="4"/>
  <c r="L38" i="4"/>
  <c r="D4" i="5" s="1"/>
  <c r="L35" i="4"/>
  <c r="D7" i="5" s="1"/>
  <c r="Q14" i="4"/>
  <c r="R11" i="4"/>
  <c r="H37" i="4"/>
  <c r="J37" i="4" s="1"/>
  <c r="P14" i="4"/>
  <c r="H26" i="4"/>
  <c r="J26" i="4" s="1"/>
  <c r="G29" i="5"/>
  <c r="H29" i="5" s="1"/>
  <c r="H24" i="4"/>
  <c r="J24" i="4" s="1"/>
  <c r="H29" i="4"/>
  <c r="J29" i="4" s="1"/>
  <c r="O14" i="4"/>
  <c r="H16" i="4"/>
  <c r="J16" i="4" s="1"/>
  <c r="L14" i="4"/>
  <c r="D28" i="5" s="1"/>
  <c r="G11" i="5"/>
  <c r="H11" i="5" s="1"/>
  <c r="H36" i="4"/>
  <c r="J36" i="4" s="1"/>
  <c r="Q37" i="2"/>
  <c r="H14" i="4"/>
  <c r="J14" i="4" s="1"/>
  <c r="H9" i="4"/>
  <c r="J9" i="4" s="1"/>
  <c r="Q11" i="4"/>
  <c r="G17" i="5"/>
  <c r="H17" i="5" s="1"/>
  <c r="I11" i="4"/>
  <c r="H11" i="4"/>
  <c r="J11" i="4" s="1"/>
  <c r="Q10" i="4"/>
  <c r="O27" i="2"/>
  <c r="R28" i="4"/>
  <c r="L10" i="4"/>
  <c r="D32" i="5" s="1"/>
  <c r="G15" i="5"/>
  <c r="H15" i="5" s="1"/>
  <c r="L28" i="4"/>
  <c r="D14" i="5" s="1"/>
  <c r="Q15" i="2"/>
  <c r="Q27" i="4"/>
  <c r="O28" i="4"/>
  <c r="Q28" i="4"/>
  <c r="I15" i="4"/>
  <c r="S27" i="4"/>
  <c r="P28" i="4"/>
  <c r="O27" i="4"/>
  <c r="K15" i="4"/>
  <c r="K28" i="4"/>
  <c r="L15" i="4"/>
  <c r="D27" i="5" s="1"/>
  <c r="K27" i="4"/>
  <c r="H28" i="4"/>
  <c r="J28" i="4" s="1"/>
  <c r="R20" i="4"/>
  <c r="L27" i="4"/>
  <c r="D15" i="5" s="1"/>
  <c r="R31" i="4"/>
  <c r="O11" i="2"/>
  <c r="R27" i="4"/>
  <c r="G19" i="5"/>
  <c r="H19" i="5" s="1"/>
  <c r="G12" i="5"/>
  <c r="H12" i="5" s="1"/>
  <c r="H27" i="4"/>
  <c r="J27" i="4" s="1"/>
  <c r="I27" i="4"/>
  <c r="G18" i="5"/>
  <c r="H18" i="5" s="1"/>
  <c r="H10" i="4"/>
  <c r="J10" i="4" s="1"/>
  <c r="R36" i="2"/>
  <c r="K18" i="2"/>
  <c r="G9" i="5"/>
  <c r="H9" i="5" s="1"/>
  <c r="G4" i="5"/>
  <c r="H4" i="5" s="1"/>
  <c r="S9" i="2"/>
  <c r="P30" i="2"/>
  <c r="R18" i="2"/>
  <c r="P34" i="4"/>
  <c r="I25" i="4"/>
  <c r="P24" i="2"/>
  <c r="Q30" i="2"/>
  <c r="S34" i="4"/>
  <c r="H25" i="4"/>
  <c r="J25" i="4" s="1"/>
  <c r="Q18" i="2"/>
  <c r="I34" i="4"/>
  <c r="K34" i="4"/>
  <c r="L34" i="4"/>
  <c r="D8" i="5" s="1"/>
  <c r="S30" i="2"/>
  <c r="Q33" i="4"/>
  <c r="S9" i="4"/>
  <c r="O24" i="2"/>
  <c r="G33" i="5"/>
  <c r="H33" i="5" s="1"/>
  <c r="H34" i="4"/>
  <c r="J34" i="4" s="1"/>
  <c r="Q34" i="4"/>
  <c r="L33" i="4"/>
  <c r="D9" i="5" s="1"/>
  <c r="O37" i="2"/>
  <c r="K33" i="4"/>
  <c r="I33" i="4"/>
  <c r="H13" i="4"/>
  <c r="J13" i="4" s="1"/>
  <c r="R34" i="4"/>
  <c r="S25" i="4"/>
  <c r="K37" i="2"/>
  <c r="R30" i="2"/>
  <c r="H12" i="4"/>
  <c r="J12" i="4" s="1"/>
  <c r="Q12" i="2"/>
  <c r="K23" i="4"/>
  <c r="L25" i="4"/>
  <c r="D17" i="5" s="1"/>
  <c r="S23" i="4"/>
  <c r="K13" i="4"/>
  <c r="K23" i="2"/>
  <c r="R13" i="4"/>
  <c r="O25" i="4"/>
  <c r="H23" i="4"/>
  <c r="J23" i="4" s="1"/>
  <c r="R27" i="2"/>
  <c r="S27" i="2"/>
  <c r="S12" i="4"/>
  <c r="Q13" i="4"/>
  <c r="S38" i="4"/>
  <c r="G23" i="5"/>
  <c r="H23" i="5" s="1"/>
  <c r="S23" i="2"/>
  <c r="P12" i="4"/>
  <c r="P13" i="4"/>
  <c r="G30" i="5"/>
  <c r="H30" i="5" s="1"/>
  <c r="Q12" i="4"/>
  <c r="Q23" i="4"/>
  <c r="R23" i="4"/>
  <c r="S15" i="2"/>
  <c r="G31" i="5"/>
  <c r="H31" i="5" s="1"/>
  <c r="O13" i="4"/>
  <c r="P23" i="4"/>
  <c r="I23" i="4"/>
  <c r="K25" i="4"/>
  <c r="P25" i="4"/>
  <c r="P38" i="4"/>
  <c r="L13" i="4"/>
  <c r="D29" i="5" s="1"/>
  <c r="G16" i="5"/>
  <c r="H16" i="5" s="1"/>
  <c r="K12" i="4"/>
  <c r="I12" i="4"/>
  <c r="I13" i="4"/>
  <c r="R34" i="2"/>
  <c r="R12" i="4"/>
  <c r="O23" i="4"/>
  <c r="R25" i="4"/>
  <c r="Q34" i="2"/>
  <c r="R38" i="2"/>
  <c r="S34" i="2"/>
  <c r="L12" i="4"/>
  <c r="D30" i="5" s="1"/>
  <c r="G6" i="5"/>
  <c r="H6" i="5" s="1"/>
  <c r="G20" i="5"/>
  <c r="H20" i="5" s="1"/>
  <c r="H15" i="4"/>
  <c r="J15" i="4" s="1"/>
  <c r="S26" i="2"/>
  <c r="S15" i="4"/>
  <c r="H30" i="4"/>
  <c r="J30" i="4" s="1"/>
  <c r="I31" i="4"/>
  <c r="O15" i="4"/>
  <c r="S31" i="4"/>
  <c r="O18" i="2"/>
  <c r="O9" i="2"/>
  <c r="P15" i="4"/>
  <c r="Q30" i="4"/>
  <c r="O29" i="2"/>
  <c r="O31" i="4"/>
  <c r="Q15" i="4"/>
  <c r="P30" i="4"/>
  <c r="O34" i="2"/>
  <c r="O30" i="4"/>
  <c r="Q31" i="4"/>
  <c r="Q13" i="2"/>
  <c r="K31" i="4"/>
  <c r="Q32" i="2"/>
  <c r="L30" i="4"/>
  <c r="D12" i="5" s="1"/>
  <c r="L31" i="4"/>
  <c r="D11" i="5" s="1"/>
  <c r="Q26" i="2"/>
  <c r="S32" i="2"/>
  <c r="I30" i="4"/>
  <c r="Q9" i="2"/>
  <c r="H31" i="4"/>
  <c r="J31" i="4" s="1"/>
  <c r="O35" i="2"/>
  <c r="R30" i="4"/>
  <c r="S30" i="4"/>
  <c r="R26" i="2"/>
  <c r="G27" i="5"/>
  <c r="H27" i="5" s="1"/>
  <c r="L20" i="4"/>
  <c r="D22" i="5" s="1"/>
  <c r="P20" i="4"/>
  <c r="Q20" i="4"/>
  <c r="K25" i="2"/>
  <c r="R10" i="2"/>
  <c r="P33" i="2"/>
  <c r="P10" i="2"/>
  <c r="R13" i="2"/>
  <c r="P19" i="2"/>
  <c r="R11" i="2"/>
  <c r="R31" i="2"/>
  <c r="P15" i="2"/>
  <c r="K15" i="2"/>
  <c r="S19" i="2"/>
  <c r="S10" i="2"/>
  <c r="K26" i="2"/>
  <c r="O20" i="4"/>
  <c r="S25" i="2"/>
  <c r="P25" i="2"/>
  <c r="K22" i="2"/>
  <c r="S11" i="2"/>
  <c r="Q21" i="2"/>
  <c r="S21" i="2"/>
  <c r="S22" i="2"/>
  <c r="Q25" i="2"/>
  <c r="R28" i="2"/>
  <c r="P38" i="2"/>
  <c r="O21" i="2"/>
  <c r="K33" i="2"/>
  <c r="K38" i="2"/>
  <c r="Q28" i="2"/>
  <c r="P11" i="2"/>
  <c r="O13" i="2"/>
  <c r="O38" i="2"/>
  <c r="Q22" i="2"/>
  <c r="Q10" i="2"/>
  <c r="R25" i="2"/>
  <c r="S28" i="2"/>
  <c r="S20" i="4"/>
  <c r="Q19" i="2"/>
  <c r="R12" i="2"/>
  <c r="H20" i="4"/>
  <c r="J20" i="4" s="1"/>
  <c r="Q11" i="2"/>
  <c r="P21" i="2"/>
  <c r="K13" i="2"/>
  <c r="K28" i="2"/>
  <c r="P22" i="2"/>
  <c r="O10" i="2"/>
  <c r="I20" i="4"/>
  <c r="R21" i="2"/>
  <c r="S13" i="2"/>
  <c r="R15" i="2"/>
  <c r="H17" i="2"/>
  <c r="J17" i="2" s="1"/>
  <c r="L17" i="2"/>
  <c r="B25" i="5" s="1"/>
  <c r="R18" i="4"/>
  <c r="O33" i="4"/>
  <c r="L31" i="2"/>
  <c r="B11" i="5" s="1"/>
  <c r="H31" i="2"/>
  <c r="J31" i="2" s="1"/>
  <c r="H26" i="2"/>
  <c r="J26" i="2" s="1"/>
  <c r="L26" i="2"/>
  <c r="B16" i="5" s="1"/>
  <c r="O16" i="2"/>
  <c r="R14" i="2"/>
  <c r="H19" i="2"/>
  <c r="J19" i="2" s="1"/>
  <c r="L19" i="2"/>
  <c r="B23" i="5" s="1"/>
  <c r="E23" i="5" s="1"/>
  <c r="P31" i="2"/>
  <c r="R17" i="2"/>
  <c r="H24" i="2"/>
  <c r="J24" i="2" s="1"/>
  <c r="L24" i="2"/>
  <c r="B18" i="5" s="1"/>
  <c r="P20" i="2"/>
  <c r="L34" i="2"/>
  <c r="B8" i="5" s="1"/>
  <c r="H34" i="2"/>
  <c r="J34" i="2" s="1"/>
  <c r="L36" i="2"/>
  <c r="B6" i="5" s="1"/>
  <c r="O36" i="2"/>
  <c r="H36" i="2"/>
  <c r="J36" i="2" s="1"/>
  <c r="K27" i="2"/>
  <c r="H27" i="2"/>
  <c r="J27" i="2" s="1"/>
  <c r="L27" i="2"/>
  <c r="B15" i="5" s="1"/>
  <c r="Q17" i="2"/>
  <c r="P27" i="2"/>
  <c r="S14" i="2"/>
  <c r="S16" i="2"/>
  <c r="P14" i="2"/>
  <c r="H35" i="2"/>
  <c r="J35" i="2" s="1"/>
  <c r="L35" i="2"/>
  <c r="B7" i="5" s="1"/>
  <c r="L9" i="2"/>
  <c r="B33" i="5" s="1"/>
  <c r="E33" i="5" s="1"/>
  <c r="J9" i="2"/>
  <c r="P35" i="2"/>
  <c r="S12" i="2"/>
  <c r="R35" i="2"/>
  <c r="H28" i="2"/>
  <c r="J28" i="2" s="1"/>
  <c r="L28" i="2"/>
  <c r="B14" i="5" s="1"/>
  <c r="S17" i="2"/>
  <c r="H32" i="2"/>
  <c r="J32" i="2" s="1"/>
  <c r="L32" i="2"/>
  <c r="B10" i="5" s="1"/>
  <c r="O32" i="2"/>
  <c r="R32" i="2"/>
  <c r="L16" i="2"/>
  <c r="B26" i="5" s="1"/>
  <c r="H16" i="2"/>
  <c r="J16" i="2" s="1"/>
  <c r="Q18" i="4"/>
  <c r="H18" i="4"/>
  <c r="J18" i="4" s="1"/>
  <c r="O14" i="2"/>
  <c r="K12" i="2"/>
  <c r="H30" i="2"/>
  <c r="J30" i="2" s="1"/>
  <c r="L30" i="2"/>
  <c r="B12" i="5" s="1"/>
  <c r="I18" i="4"/>
  <c r="H33" i="4"/>
  <c r="J33" i="4" s="1"/>
  <c r="S33" i="4"/>
  <c r="O12" i="2"/>
  <c r="H22" i="2"/>
  <c r="J22" i="2" s="1"/>
  <c r="L22" i="2"/>
  <c r="B20" i="5" s="1"/>
  <c r="H33" i="2"/>
  <c r="J33" i="2" s="1"/>
  <c r="L33" i="2"/>
  <c r="B9" i="5" s="1"/>
  <c r="O30" i="2"/>
  <c r="P9" i="2"/>
  <c r="P36" i="2"/>
  <c r="K18" i="4"/>
  <c r="H13" i="2"/>
  <c r="J13" i="2" s="1"/>
  <c r="L13" i="2"/>
  <c r="B29" i="5" s="1"/>
  <c r="L11" i="2"/>
  <c r="B31" i="5" s="1"/>
  <c r="H11" i="2"/>
  <c r="J11" i="2" s="1"/>
  <c r="H10" i="2"/>
  <c r="J10" i="2" s="1"/>
  <c r="L10" i="2"/>
  <c r="B32" i="5" s="1"/>
  <c r="R16" i="2"/>
  <c r="Q14" i="2"/>
  <c r="H14" i="2"/>
  <c r="J14" i="2" s="1"/>
  <c r="L14" i="2"/>
  <c r="B28" i="5" s="1"/>
  <c r="H12" i="2"/>
  <c r="J12" i="2" s="1"/>
  <c r="L12" i="2"/>
  <c r="B30" i="5" s="1"/>
  <c r="L20" i="2"/>
  <c r="B22" i="5" s="1"/>
  <c r="E22" i="5" s="1"/>
  <c r="Q20" i="2"/>
  <c r="H20" i="2"/>
  <c r="J20" i="2" s="1"/>
  <c r="O20" i="2"/>
  <c r="S18" i="4"/>
  <c r="H23" i="2"/>
  <c r="J23" i="2" s="1"/>
  <c r="L23" i="2"/>
  <c r="B19" i="5" s="1"/>
  <c r="E19" i="5" s="1"/>
  <c r="O23" i="2"/>
  <c r="R23" i="2"/>
  <c r="P16" i="2"/>
  <c r="K17" i="2"/>
  <c r="L29" i="2"/>
  <c r="B13" i="5" s="1"/>
  <c r="E13" i="5" s="1"/>
  <c r="H29" i="2"/>
  <c r="J29" i="2" s="1"/>
  <c r="K20" i="2"/>
  <c r="L18" i="4"/>
  <c r="D24" i="5" s="1"/>
  <c r="O18" i="4"/>
  <c r="O31" i="2"/>
  <c r="R22" i="2"/>
  <c r="P17" i="2"/>
  <c r="L25" i="2"/>
  <c r="B17" i="5" s="1"/>
  <c r="H25" i="2"/>
  <c r="J25" i="2" s="1"/>
  <c r="O17" i="2"/>
  <c r="K16" i="2"/>
  <c r="S18" i="2"/>
  <c r="H18" i="2"/>
  <c r="J18" i="2" s="1"/>
  <c r="L18" i="2"/>
  <c r="B24" i="5" s="1"/>
  <c r="O19" i="2"/>
  <c r="S20" i="2"/>
  <c r="P33" i="4"/>
  <c r="P28" i="2"/>
  <c r="H21" i="2"/>
  <c r="J21" i="2" s="1"/>
  <c r="L21" i="2"/>
  <c r="B21" i="5" s="1"/>
  <c r="O26" i="2"/>
  <c r="K19" i="2"/>
  <c r="H38" i="2"/>
  <c r="J38" i="2" s="1"/>
  <c r="L38" i="2"/>
  <c r="B4" i="5" s="1"/>
  <c r="L37" i="2"/>
  <c r="B5" i="5" s="1"/>
  <c r="H37" i="2"/>
  <c r="J37" i="2" s="1"/>
  <c r="H15" i="2"/>
  <c r="J15" i="2" s="1"/>
  <c r="L15" i="2"/>
  <c r="B27" i="5" s="1"/>
  <c r="R9" i="2"/>
  <c r="P23" i="2"/>
  <c r="F31" i="5"/>
  <c r="C24" i="1"/>
  <c r="B25" i="1"/>
  <c r="H25" i="1" s="1"/>
  <c r="D56" i="1"/>
  <c r="F30" i="5"/>
  <c r="D47" i="1"/>
  <c r="E20" i="5" l="1"/>
  <c r="E26" i="5"/>
  <c r="E21" i="5"/>
  <c r="E16" i="5"/>
  <c r="E5" i="5"/>
  <c r="E27" i="5"/>
  <c r="E31" i="5"/>
  <c r="E24" i="5"/>
  <c r="E25" i="5"/>
  <c r="E18" i="5"/>
  <c r="E6" i="5"/>
  <c r="E10" i="5"/>
  <c r="E9" i="5"/>
  <c r="E28" i="5"/>
  <c r="E15" i="5"/>
  <c r="E14" i="5"/>
  <c r="E7" i="5"/>
  <c r="E32" i="5"/>
  <c r="E4" i="5"/>
  <c r="E17" i="5"/>
  <c r="E30" i="5"/>
  <c r="E12" i="5"/>
  <c r="E8" i="5"/>
  <c r="E29" i="5"/>
  <c r="E11" i="5"/>
  <c r="F29" i="5"/>
  <c r="D46" i="1"/>
  <c r="C25" i="1"/>
  <c r="B26" i="1"/>
  <c r="H26" i="1" s="1"/>
  <c r="E56" i="1"/>
  <c r="B27" i="1" l="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15" i="5"/>
  <c r="M25" i="5"/>
  <c r="M30" i="5"/>
  <c r="M18" i="5"/>
  <c r="M27" i="5"/>
  <c r="M17" i="5"/>
  <c r="M4" i="5"/>
  <c r="M11" i="5"/>
  <c r="M16" i="5"/>
  <c r="M29" i="5"/>
  <c r="M7" i="5"/>
  <c r="M14" i="5"/>
  <c r="M28" i="5"/>
  <c r="M6" i="5"/>
  <c r="M26" i="5"/>
  <c r="M5" i="5"/>
  <c r="M12" i="5"/>
  <c r="M8" i="5"/>
  <c r="M9" i="5"/>
  <c r="M24" i="5"/>
  <c r="M19" i="5"/>
  <c r="M22" i="5"/>
  <c r="M13" i="5"/>
  <c r="M21" i="5"/>
  <c r="M20" i="5"/>
  <c r="M23" i="5"/>
  <c r="M10"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25" i="7"/>
  <c r="D29" i="7"/>
  <c r="G29" i="7"/>
  <c r="D18" i="7"/>
  <c r="G27" i="7"/>
  <c r="D17" i="7"/>
  <c r="G28" i="7"/>
  <c r="D31" i="7"/>
  <c r="D7" i="7"/>
  <c r="D9" i="7"/>
  <c r="D11" i="7"/>
  <c r="D16" i="7"/>
  <c r="D14" i="7"/>
  <c r="D23" i="7"/>
  <c r="D19" i="7"/>
  <c r="D22" i="7"/>
  <c r="D24" i="7"/>
  <c r="D6" i="7"/>
  <c r="D8" i="7"/>
  <c r="D30" i="7"/>
  <c r="D21" i="7"/>
  <c r="D34" i="7"/>
  <c r="D27" i="7"/>
  <c r="D12" i="7"/>
  <c r="D28" i="7"/>
  <c r="D13" i="7"/>
  <c r="D26" i="7"/>
  <c r="D32" i="7"/>
  <c r="D15" i="7"/>
  <c r="D33" i="7"/>
  <c r="D20" i="7"/>
  <c r="D10" i="7"/>
  <c r="D5"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47" i="1"/>
  <c r="I40" i="1"/>
  <c r="I22" i="1"/>
  <c r="I45" i="1"/>
  <c r="I27" i="1"/>
  <c r="I39" i="1"/>
  <c r="I29" i="1"/>
  <c r="I26" i="1"/>
  <c r="I49" i="1"/>
  <c r="I24" i="1"/>
  <c r="I25" i="1"/>
  <c r="I44" i="1"/>
  <c r="I48" i="1"/>
  <c r="I46" i="1"/>
  <c r="I42" i="1"/>
  <c r="I43" i="1"/>
  <c r="I38" i="1"/>
  <c r="I37" i="1"/>
  <c r="I28" i="1"/>
  <c r="I33" i="1"/>
  <c r="I30" i="1"/>
  <c r="I34" i="1"/>
  <c r="I35" i="1"/>
  <c r="I36" i="1"/>
  <c r="I41" i="1"/>
  <c r="I51" i="1"/>
  <c r="I32" i="1"/>
  <c r="I50" i="1"/>
  <c r="I23" i="1"/>
  <c r="I31" i="1"/>
</calcChain>
</file>

<file path=xl/sharedStrings.xml><?xml version="1.0" encoding="utf-8"?>
<sst xmlns="http://schemas.openxmlformats.org/spreadsheetml/2006/main" count="480" uniqueCount="194">
  <si>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</si>
  <si>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</si>
  <si>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</si>
  <si>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</si>
  <si>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</si>
  <si>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</si>
  <si>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</si>
  <si>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</si>
  <si>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</si>
  <si>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</si>
  <si>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</si>
  <si>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</si>
  <si>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</si>
  <si>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</si>
  <si>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</si>
  <si>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</si>
  <si>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</si>
  <si>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</si>
  <si>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</si>
  <si>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</si>
  <si>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</si>
  <si>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</si>
  <si>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</si>
  <si>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</si>
  <si>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</si>
  <si>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</si>
  <si>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</si>
  <si>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</si>
  <si>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</si>
  <si>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</si>
  <si>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</si>
  <si>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</si>
  <si>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</si>
  <si>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</si>
  <si>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</si>
  <si>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</si>
  <si>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</si>
  <si>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</si>
  <si>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</si>
  <si>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</si>
  <si>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</si>
  <si>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</si>
  <si>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</si>
  <si>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</si>
  <si>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</si>
  <si>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</si>
  <si>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</si>
  <si>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</si>
  <si>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</si>
  <si>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</si>
  <si>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</si>
  <si>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</si>
  <si>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</si>
  <si>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</si>
  <si>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</si>
  <si>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</si>
  <si>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</si>
  <si>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</si>
  <si>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</si>
  <si>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</si>
  <si>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</si>
  <si>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</si>
  <si>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</si>
  <si>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</si>
  <si>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</si>
  <si>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</si>
  <si>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</si>
  <si>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</si>
  <si>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</si>
  <si>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</si>
  <si>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</si>
  <si>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</si>
  <si>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</si>
  <si>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</si>
  <si>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</si>
  <si>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</si>
  <si>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</si>
  <si>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</si>
  <si>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</si>
  <si>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</si>
  <si>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</si>
  <si>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</si>
  <si>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</si>
  <si>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</si>
  <si>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</si>
  <si>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</si>
  <si>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</si>
  <si>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</si>
  <si>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</si>
  <si>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</si>
  <si>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</si>
  <si>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</si>
  <si>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</si>
  <si>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</si>
  <si>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</si>
  <si>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</si>
  <si>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</si>
  <si>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</si>
  <si>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</si>
  <si>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</si>
  <si>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</si>
  <si>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</si>
  <si>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</si>
  <si>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</si>
  <si>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</si>
  <si>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</si>
  <si>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</si>
  <si>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</si>
  <si>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</si>
  <si>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</si>
  <si>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</si>
  <si>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</si>
  <si>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</si>
  <si>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</si>
  <si>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</si>
  <si>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</si>
  <si>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</si>
  <si>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</si>
  <si>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</si>
  <si>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</si>
  <si>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</si>
  <si>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</si>
  <si>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</si>
  <si>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</si>
  <si>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</si>
  <si>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</si>
  <si>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</si>
  <si>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</si>
  <si>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</si>
  <si>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</si>
  <si>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</si>
  <si>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</si>
  <si>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</si>
  <si>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</si>
  <si>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</si>
  <si>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</si>
  <si>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</si>
  <si>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</si>
  <si>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</si>
  <si>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</si>
  <si>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</si>
  <si>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</si>
  <si>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</si>
  <si>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</si>
  <si>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</si>
  <si>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</si>
  <si>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</si>
  <si>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</si>
  <si>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</si>
  <si>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</si>
  <si>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</si>
  <si>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</si>
  <si>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</si>
  <si>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</si>
  <si>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</si>
  <si>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</si>
  <si>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</si>
  <si>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</si>
  <si>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</si>
  <si>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</si>
  <si>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</si>
  <si>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</si>
  <si>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</si>
  <si>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</si>
  <si>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</si>
  <si>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</si>
  <si>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</si>
  <si>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</si>
  <si>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</si>
  <si>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</si>
  <si>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</si>
  <si>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</si>
  <si>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</si>
  <si>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</si>
  <si>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</si>
  <si>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</si>
  <si>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</si>
  <si>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</si>
  <si>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</si>
  <si>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Ref Beam Flow Correction</t>
  </si>
  <si>
    <t>Final Beam Flow Correction</t>
  </si>
  <si>
    <t>Scale</t>
  </si>
  <si>
    <t>FINAL THRESHOLDS TO LOAD INTO INSTRUMENT</t>
  </si>
  <si>
    <t>ENSURE INITIAL CALIBRATION THRESHOLDS LOADED INTO INSTRUMENT PRIOR TO TAKING DATA</t>
  </si>
  <si>
    <t>Coincidence Limit / ml</t>
  </si>
  <si>
    <t>Stated Coincidence Limit / ml</t>
  </si>
  <si>
    <t>s</t>
  </si>
  <si>
    <t>density</t>
  </si>
  <si>
    <t>g/cc</t>
  </si>
  <si>
    <t>General purpose Sphere Concentration Calculator</t>
  </si>
  <si>
    <t>Partistan 37D</t>
  </si>
  <si>
    <t>LPA4</t>
  </si>
  <si>
    <t>LPA3-NAVAIR</t>
  </si>
  <si>
    <t>11171-00009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</si>
</sst>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2"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
      <i/>
      <sz val="11"/>
      <color rgb="FF7F7F7F"/>
      <name val="Arial"/>
      <family val="2"/>
      <scheme val="minor"/>
    </font>
    <font>
      <sz val="9"/>
      <color rgb="FFFF0000"/>
      <name val="Arial Black"/>
      <family val="2"/>
    </font>
  </fonts>
  <fills count="7">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7">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xf numFmtId="0" fontId="30" fillId="0" borderId="0" applyNumberFormat="0" applyFill="0" applyBorder="0" applyAlignment="0" applyProtection="0"/>
  </cellStyleXfs>
  <cellXfs count="165">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66" fontId="0" fillId="0" borderId="18" xfId="0" applyNumberForma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2" fontId="0" fillId="0" borderId="5" xfId="0" applyNumberForma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31" fillId="0" borderId="0" xfId="0" applyFont="1"/>
    <xf numFmtId="0" fontId="30" fillId="0" borderId="0" xfId="6" applyAlignment="1">
      <alignment horizontal="right"/>
    </xf>
    <xf numFmtId="2" fontId="2" fillId="2" borderId="1" xfId="2" applyNumberFormat="1" applyProtection="1">
      <protection locked="0"/>
    </xf>
    <xf numFmtId="1" fontId="2" fillId="2" borderId="1" xfId="2" applyNumberFormat="1" applyProtection="1">
      <protection locked="0"/>
    </xf>
    <xf numFmtId="0" fontId="2" fillId="2" borderId="1" xfId="2"/>
    <xf numFmtId="0" fontId="28" fillId="0" borderId="2" xfId="5" applyBorder="1"/>
    <xf numFmtId="0" fontId="28" fillId="0" borderId="5" xfId="5" applyBorder="1"/>
    <xf numFmtId="2" fontId="2" fillId="2" borderId="29" xfId="2" applyNumberFormat="1" applyBorder="1" applyProtection="1">
      <protection locked="0"/>
    </xf>
    <xf numFmtId="1" fontId="2" fillId="2" borderId="29" xfId="2" applyNumberFormat="1" applyBorder="1" applyProtection="1">
      <protection locked="0"/>
    </xf>
    <xf numFmtId="0" fontId="2" fillId="2" borderId="29" xfId="2" applyBorder="1"/>
    <xf numFmtId="0" fontId="28" fillId="0" borderId="12" xfId="5" applyBorder="1"/>
    <xf numFmtId="0" fontId="28" fillId="0" borderId="18" xfId="5" applyBorder="1"/>
    <xf numFmtId="2" fontId="2" fillId="2" borderId="30" xfId="2" applyNumberFormat="1" applyBorder="1" applyProtection="1">
      <protection locked="0"/>
    </xf>
    <xf numFmtId="1" fontId="2" fillId="2" borderId="30" xfId="2" applyNumberFormat="1" applyBorder="1" applyProtection="1">
      <protection locked="0"/>
    </xf>
    <xf numFmtId="0" fontId="2" fillId="2" borderId="30" xfId="2" applyBorder="1"/>
    <xf numFmtId="0" fontId="18" fillId="0" borderId="13" xfId="0" applyFont="1" applyBorder="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cellXfs>
  <cellStyles count="7">
    <cellStyle name="20% - Accent2" xfId="3" builtinId="34"/>
    <cellStyle name="Calculation" xfId="2" builtinId="22"/>
    <cellStyle name="Explanatory Text" xfId="6" builtinId="53"/>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-4.5506194672297884E-3</c:v>
                </c:pt>
                <c:pt idx="1">
                  <c:v>1.0274367211135615E-2</c:v>
                </c:pt>
                <c:pt idx="2">
                  <c:v>-5.5485000490294034E-3</c:v>
                </c:pt>
                <c:pt idx="3">
                  <c:v>-1.1965950505744893E-2</c:v>
                </c:pt>
                <c:pt idx="4">
                  <c:v>1.1790702810868581E-2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-3.4100895452022773E-3</c:v>
                </c:pt>
                <c:pt idx="1">
                  <c:v>1.0502894084699177E-2</c:v>
                </c:pt>
                <c:pt idx="2">
                  <c:v>-5.815057504344523E-3</c:v>
                </c:pt>
                <c:pt idx="3">
                  <c:v>-1.1318238227514987E-2</c:v>
                </c:pt>
                <c:pt idx="4">
                  <c:v>1.0040491192362389E-2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-3.821401797761137E-3</c:v>
                </c:pt>
                <c:pt idx="1">
                  <c:v>1.0311663597654341E-2</c:v>
                </c:pt>
                <c:pt idx="2">
                  <c:v>-7.483724716022877E-3</c:v>
                </c:pt>
                <c:pt idx="3">
                  <c:v>-8.6631306015868548E-3</c:v>
                </c:pt>
                <c:pt idx="4">
                  <c:v>9.6565935177164164E-3</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-2.3947718003777263E-3</c:v>
                </c:pt>
                <c:pt idx="1">
                  <c:v>1.0958261131224445E-2</c:v>
                </c:pt>
                <c:pt idx="2">
                  <c:v>-7.4586659148686563E-3</c:v>
                </c:pt>
                <c:pt idx="3">
                  <c:v>-1.0911662588829807E-2</c:v>
                </c:pt>
                <c:pt idx="4">
                  <c:v>9.8068391728520776E-3</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-1.027555038734751E-3</c:v>
                </c:pt>
                <c:pt idx="1">
                  <c:v>1.1036746009019494E-2</c:v>
                </c:pt>
                <c:pt idx="2">
                  <c:v>-9.9711882663510165E-3</c:v>
                </c:pt>
                <c:pt idx="3">
                  <c:v>-1.0425601789812666E-2</c:v>
                </c:pt>
                <c:pt idx="4">
                  <c:v>1.0387599085878385E-2</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2.9896107788718318E-4</c:v>
                </c:pt>
                <c:pt idx="1">
                  <c:v>1.0715985649567328E-2</c:v>
                </c:pt>
                <c:pt idx="2">
                  <c:v>-1.1447851379593921E-2</c:v>
                </c:pt>
                <c:pt idx="3">
                  <c:v>-1.0395461102887693E-2</c:v>
                </c:pt>
                <c:pt idx="4">
                  <c:v>1.0828365755026992E-2</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2.5817410632595905E-3</c:v>
                </c:pt>
                <c:pt idx="1">
                  <c:v>1.416963412772887E-2</c:v>
                </c:pt>
                <c:pt idx="2">
                  <c:v>-1.4226435207795429E-2</c:v>
                </c:pt>
                <c:pt idx="3">
                  <c:v>-1.4771116426099851E-2</c:v>
                </c:pt>
                <c:pt idx="4">
                  <c:v>1.2246176442906931E-2</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3.0863278216664014E-5</c:v>
                </c:pt>
                <c:pt idx="1">
                  <c:v>1.4186977024324809E-2</c:v>
                </c:pt>
                <c:pt idx="2">
                  <c:v>-1.4396294012781197E-2</c:v>
                </c:pt>
                <c:pt idx="3">
                  <c:v>-1.5647657053607267E-2</c:v>
                </c:pt>
                <c:pt idx="4">
                  <c:v>1.5826110763847101E-2</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-4.7406623017987037E-3</c:v>
                </c:pt>
                <c:pt idx="1">
                  <c:v>1.8937141358305265E-2</c:v>
                </c:pt>
                <c:pt idx="2">
                  <c:v>-1.4604604316818315E-2</c:v>
                </c:pt>
                <c:pt idx="3">
                  <c:v>-1.2050326411737533E-2</c:v>
                </c:pt>
                <c:pt idx="4">
                  <c:v>1.2458451672049842E-2</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-3.2886254756238076E-3</c:v>
                </c:pt>
                <c:pt idx="1">
                  <c:v>1.4448933212471093E-2</c:v>
                </c:pt>
                <c:pt idx="2">
                  <c:v>-1.4653216114824841E-2</c:v>
                </c:pt>
                <c:pt idx="3">
                  <c:v>-1.0195097756292126E-2</c:v>
                </c:pt>
                <c:pt idx="4">
                  <c:v>1.3688006134270347E-2</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-5.0251559339535845E-3</c:v>
                </c:pt>
                <c:pt idx="1">
                  <c:v>1.4800718543779734E-2</c:v>
                </c:pt>
                <c:pt idx="2">
                  <c:v>-9.6915100820799127E-3</c:v>
                </c:pt>
                <c:pt idx="3">
                  <c:v>-9.5777516445265665E-3</c:v>
                </c:pt>
                <c:pt idx="4">
                  <c:v>9.4936991167808849E-3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-1.3377748198647232E-2</c:v>
                </c:pt>
                <c:pt idx="1">
                  <c:v>1.7741865584006034E-2</c:v>
                </c:pt>
                <c:pt idx="2">
                  <c:v>-1.1972601230068824E-2</c:v>
                </c:pt>
                <c:pt idx="3">
                  <c:v>-5.7656549406888136E-3</c:v>
                </c:pt>
                <c:pt idx="4">
                  <c:v>1.3374138785399392E-2</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-7.8283531101578374E-3</c:v>
                </c:pt>
                <c:pt idx="1">
                  <c:v>1.2479225585911857E-2</c:v>
                </c:pt>
                <c:pt idx="2">
                  <c:v>-1.846811432200901E-2</c:v>
                </c:pt>
                <c:pt idx="3">
                  <c:v>-3.138952797538952E-4</c:v>
                </c:pt>
                <c:pt idx="4">
                  <c:v>1.4131137126009552E-2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-5.7017478233926111E-3</c:v>
                </c:pt>
                <c:pt idx="1">
                  <c:v>2.2746927209019718E-2</c:v>
                </c:pt>
                <c:pt idx="2">
                  <c:v>-2.1945374055670874E-2</c:v>
                </c:pt>
                <c:pt idx="3">
                  <c:v>1.6855682178285036E-4</c:v>
                </c:pt>
                <c:pt idx="4">
                  <c:v>4.7316378482613608E-3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-8.4395042321940839E-3</c:v>
                </c:pt>
                <c:pt idx="1">
                  <c:v>2.5243650386198802E-2</c:v>
                </c:pt>
                <c:pt idx="2">
                  <c:v>-1.9729093398370923E-2</c:v>
                </c:pt>
                <c:pt idx="3">
                  <c:v>-4.0912471678339335E-3</c:v>
                </c:pt>
                <c:pt idx="4">
                  <c:v>7.0161944122004716E-3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1.0624683331643681E-3</c:v>
                </c:pt>
                <c:pt idx="1">
                  <c:v>3.4183159542768626E-2</c:v>
                </c:pt>
                <c:pt idx="2">
                  <c:v>-1.7102619754494341E-2</c:v>
                </c:pt>
                <c:pt idx="3">
                  <c:v>-3.097347701536135E-3</c:v>
                </c:pt>
                <c:pt idx="4">
                  <c:v>-1.5045660419902185E-2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1.1540391361371194E-2</c:v>
                </c:pt>
                <c:pt idx="1">
                  <c:v>3.609849833814649E-2</c:v>
                </c:pt>
                <c:pt idx="2">
                  <c:v>-1.1593345150488266E-2</c:v>
                </c:pt>
                <c:pt idx="3">
                  <c:v>-1.465121220657728E-2</c:v>
                </c:pt>
                <c:pt idx="4">
                  <c:v>-2.139433234245236E-2</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1.3625882637798181E-2</c:v>
                </c:pt>
                <c:pt idx="1">
                  <c:v>3.716757619465838E-2</c:v>
                </c:pt>
                <c:pt idx="2">
                  <c:v>-1.0442859821882311E-2</c:v>
                </c:pt>
                <c:pt idx="3">
                  <c:v>-7.7749024076703144E-3</c:v>
                </c:pt>
                <c:pt idx="4">
                  <c:v>-3.2575696602904158E-2</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2.8335631274196027E-2</c:v>
                </c:pt>
                <c:pt idx="1">
                  <c:v>3.2626976670693919E-2</c:v>
                </c:pt>
                <c:pt idx="2">
                  <c:v>-1.6751928255004711E-2</c:v>
                </c:pt>
                <c:pt idx="3">
                  <c:v>8.1316111197193841E-4</c:v>
                </c:pt>
                <c:pt idx="4">
                  <c:v>-4.5023840801856618E-2</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3.3288490967672058E-2</c:v>
                </c:pt>
                <c:pt idx="1">
                  <c:v>2.5043494530565535E-2</c:v>
                </c:pt>
                <c:pt idx="2">
                  <c:v>-2.7661915159988393E-2</c:v>
                </c:pt>
                <c:pt idx="3">
                  <c:v>-3.0670070338248978E-2</c:v>
                </c:pt>
                <c:pt idx="4">
                  <c:v>0</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2.4136821461026248E-2</c:v>
                </c:pt>
                <c:pt idx="1">
                  <c:v>1.4343990673368667E-2</c:v>
                </c:pt>
                <c:pt idx="2">
                  <c:v>4.7564022048653953E-3</c:v>
                </c:pt>
                <c:pt idx="3">
                  <c:v>-4.3237214339260199E-2</c:v>
                </c:pt>
                <c:pt idx="4">
                  <c:v>0</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3.97671302708551E-2</c:v>
                </c:pt>
                <c:pt idx="1">
                  <c:v>5.3112199392564285E-3</c:v>
                </c:pt>
                <c:pt idx="2">
                  <c:v>7.7552848338695579E-3</c:v>
                </c:pt>
                <c:pt idx="3">
                  <c:v>0</c:v>
                </c:pt>
                <c:pt idx="4">
                  <c:v>-5.2833635043981531E-2</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7.0052786971465553E-2</c:v>
                </c:pt>
                <c:pt idx="1">
                  <c:v>6.049167890021967E-2</c:v>
                </c:pt>
                <c:pt idx="2">
                  <c:v>3.4830230673305929E-2</c:v>
                </c:pt>
                <c:pt idx="3">
                  <c:v>-8.5755710546671637E-2</c:v>
                </c:pt>
                <c:pt idx="4">
                  <c:v>-7.9618985998319736E-2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0.10135199626329028</c:v>
                </c:pt>
                <c:pt idx="1">
                  <c:v>8.7132669249702754E-2</c:v>
                </c:pt>
                <c:pt idx="2">
                  <c:v>2.241987957503544E-2</c:v>
                </c:pt>
                <c:pt idx="3">
                  <c:v>-0.13852290337068662</c:v>
                </c:pt>
                <c:pt idx="4">
                  <c:v>-7.238164171734085E-2</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8.0715601258056768E-2</c:v>
                </c:pt>
                <c:pt idx="1">
                  <c:v>0.11434702969752064</c:v>
                </c:pt>
                <c:pt idx="2">
                  <c:v>4.3705621273101514E-2</c:v>
                </c:pt>
                <c:pt idx="3">
                  <c:v>-0.17833601714877056</c:v>
                </c:pt>
                <c:pt idx="4">
                  <c:v>-6.0432235079908581E-2</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9.006555745353273E-2</c:v>
                </c:pt>
                <c:pt idx="1">
                  <c:v>0.20195788821113791</c:v>
                </c:pt>
                <c:pt idx="2">
                  <c:v>-1.3274092077153243E-2</c:v>
                </c:pt>
                <c:pt idx="3">
                  <c:v>-0.24895218788186568</c:v>
                </c:pt>
                <c:pt idx="4">
                  <c:v>-2.9797165705652384E-2</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1.5660644755783659E-2</c:v>
                </c:pt>
                <c:pt idx="1">
                  <c:v>0.17696017024272992</c:v>
                </c:pt>
                <c:pt idx="2">
                  <c:v>4.8730257700914548E-2</c:v>
                </c:pt>
                <c:pt idx="3">
                  <c:v>-0.17356839490867504</c:v>
                </c:pt>
                <c:pt idx="4">
                  <c:v>-6.7782677790752643E-2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6.5813147061269284E-2</c:v>
                </c:pt>
                <c:pt idx="1">
                  <c:v>0.23898186746211825</c:v>
                </c:pt>
                <c:pt idx="2">
                  <c:v>6.9072404761448158E-2</c:v>
                </c:pt>
                <c:pt idx="3">
                  <c:v>-0.21162590568630146</c:v>
                </c:pt>
                <c:pt idx="4">
                  <c:v>-0.16224151359853445</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0.2628971789520087</c:v>
                </c:pt>
                <c:pt idx="1">
                  <c:v>0.34944376330751958</c:v>
                </c:pt>
                <c:pt idx="2">
                  <c:v>-0.14737366934892027</c:v>
                </c:pt>
                <c:pt idx="3">
                  <c:v>-0.22286762809548022</c:v>
                </c:pt>
                <c:pt idx="4">
                  <c:v>-0.24209964481512769</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0.46184390215554627</c:v>
                </c:pt>
                <c:pt idx="1">
                  <c:v>0.39699474443660443</c:v>
                </c:pt>
                <c:pt idx="2">
                  <c:v>-0.20739771766906834</c:v>
                </c:pt>
                <c:pt idx="3">
                  <c:v>-0.44689487268659223</c:v>
                </c:pt>
                <c:pt idx="4">
                  <c:v>-0.20454605623648969</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-4.2496681270121073E-4</c:v>
                </c:pt>
                <c:pt idx="1">
                  <c:v>5.6866347242463533E-3</c:v>
                </c:pt>
                <c:pt idx="2">
                  <c:v>-8.3385631539232286E-3</c:v>
                </c:pt>
                <c:pt idx="3">
                  <c:v>-1.1055252794666015E-2</c:v>
                </c:pt>
                <c:pt idx="4">
                  <c:v>1.4132148037044434E-2</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7.2009315057308676E-4</c:v>
                </c:pt>
                <c:pt idx="1">
                  <c:v>5.913925918463514E-3</c:v>
                </c:pt>
                <c:pt idx="2">
                  <c:v>-8.6045678124686553E-3</c:v>
                </c:pt>
                <c:pt idx="3">
                  <c:v>-1.0407138212700007E-2</c:v>
                </c:pt>
                <c:pt idx="4">
                  <c:v>1.2377686956132727E-2</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3.0599510981876854E-4</c:v>
                </c:pt>
                <c:pt idx="1">
                  <c:v>5.7224768260260017E-3</c:v>
                </c:pt>
                <c:pt idx="2">
                  <c:v>-1.0269622783643295E-2</c:v>
                </c:pt>
                <c:pt idx="3">
                  <c:v>-7.7506562976956683E-3</c:v>
                </c:pt>
                <c:pt idx="4">
                  <c:v>1.1991807145494082E-2</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1.7382992944614539E-3</c:v>
                </c:pt>
                <c:pt idx="1">
                  <c:v>6.3658995267903418E-3</c:v>
                </c:pt>
                <c:pt idx="2">
                  <c:v>-1.0244868157758602E-2</c:v>
                </c:pt>
                <c:pt idx="3">
                  <c:v>-1.0001491837426379E-2</c:v>
                </c:pt>
                <c:pt idx="4">
                  <c:v>1.2142161173932742E-2</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3.1083413846721974E-3</c:v>
                </c:pt>
                <c:pt idx="1">
                  <c:v>6.4411794074070716E-3</c:v>
                </c:pt>
                <c:pt idx="2">
                  <c:v>-1.2753131656406791E-2</c:v>
                </c:pt>
                <c:pt idx="3">
                  <c:v>-9.5177870648996965E-3</c:v>
                </c:pt>
                <c:pt idx="4">
                  <c:v>1.2721397929226885E-2</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4.4379096853679467E-3</c:v>
                </c:pt>
                <c:pt idx="1">
                  <c:v>6.1194331552099079E-3</c:v>
                </c:pt>
                <c:pt idx="2">
                  <c:v>-1.422803985500698E-2</c:v>
                </c:pt>
                <c:pt idx="3">
                  <c:v>-9.4900246889093598E-3</c:v>
                </c:pt>
                <c:pt idx="4">
                  <c:v>1.3160721703338041E-2</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6.7299697935820912E-3</c:v>
                </c:pt>
                <c:pt idx="1">
                  <c:v>9.5572092414106802E-3</c:v>
                </c:pt>
                <c:pt idx="2">
                  <c:v>-1.6998970702587157E-2</c:v>
                </c:pt>
                <c:pt idx="3">
                  <c:v>-1.3869845486676913E-2</c:v>
                </c:pt>
                <c:pt idx="4">
                  <c:v>1.4581637154271743E-2</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4.1690794246553864E-3</c:v>
                </c:pt>
                <c:pt idx="1">
                  <c:v>9.5750179715312633E-3</c:v>
                </c:pt>
                <c:pt idx="2">
                  <c:v>-1.7167821491726243E-2</c:v>
                </c:pt>
                <c:pt idx="3">
                  <c:v>-1.4746656372799483E-2</c:v>
                </c:pt>
                <c:pt idx="4">
                  <c:v>1.8170380468339076E-2</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-6.1314883430951816E-4</c:v>
                </c:pt>
                <c:pt idx="1">
                  <c:v>1.4312758559972716E-2</c:v>
                </c:pt>
                <c:pt idx="2">
                  <c:v>-1.7366655292691768E-2</c:v>
                </c:pt>
                <c:pt idx="3">
                  <c:v>-1.1137085913500822E-2</c:v>
                </c:pt>
                <c:pt idx="4">
                  <c:v>1.4804131480528948E-2</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8.3868639633655206E-4</c:v>
                </c:pt>
                <c:pt idx="1">
                  <c:v>9.8386404590495857E-3</c:v>
                </c:pt>
                <c:pt idx="2">
                  <c:v>-1.742124073265594E-2</c:v>
                </c:pt>
                <c:pt idx="3">
                  <c:v>-9.2863028077121434E-3</c:v>
                </c:pt>
                <c:pt idx="4">
                  <c:v>1.6030216684981502E-2</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-8.9867015248468185E-4</c:v>
                </c:pt>
                <c:pt idx="1">
                  <c:v>1.0195262491021095E-2</c:v>
                </c:pt>
                <c:pt idx="2">
                  <c:v>-1.2467182002984245E-2</c:v>
                </c:pt>
                <c:pt idx="3">
                  <c:v>-8.6620745724884651E-3</c:v>
                </c:pt>
                <c:pt idx="4">
                  <c:v>1.1832664236935519E-2</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-9.2801413374715702E-3</c:v>
                </c:pt>
                <c:pt idx="1">
                  <c:v>1.3128954104245416E-2</c:v>
                </c:pt>
                <c:pt idx="2">
                  <c:v>-1.4736149350475181E-2</c:v>
                </c:pt>
                <c:pt idx="3">
                  <c:v>-4.8406656343146226E-3</c:v>
                </c:pt>
                <c:pt idx="4">
                  <c:v>1.5728002218015735E-2</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-3.7220249755166579E-3</c:v>
                </c:pt>
                <c:pt idx="1">
                  <c:v>7.8756739405441145E-3</c:v>
                </c:pt>
                <c:pt idx="2">
                  <c:v>-2.1227568822997256E-2</c:v>
                </c:pt>
                <c:pt idx="3">
                  <c:v>6.0177762387247924E-4</c:v>
                </c:pt>
                <c:pt idx="4">
                  <c:v>1.6472142234096987E-2</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-1.5767610693255829E-3</c:v>
                </c:pt>
                <c:pt idx="1">
                  <c:v>1.8106741775079316E-2</c:v>
                </c:pt>
                <c:pt idx="2">
                  <c:v>-2.4685423640968485E-2</c:v>
                </c:pt>
                <c:pt idx="3">
                  <c:v>1.094555185192192E-3</c:v>
                </c:pt>
                <c:pt idx="4">
                  <c:v>7.0608877500226708E-3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-4.3203908058264684E-3</c:v>
                </c:pt>
                <c:pt idx="1">
                  <c:v>2.0597759263255355E-2</c:v>
                </c:pt>
                <c:pt idx="2">
                  <c:v>-2.2469967295248305E-2</c:v>
                </c:pt>
                <c:pt idx="3">
                  <c:v>-3.1637016981230781E-3</c:v>
                </c:pt>
                <c:pt idx="4">
                  <c:v>9.3563005359429408E-3</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5.2328604444635829E-3</c:v>
                </c:pt>
                <c:pt idx="1">
                  <c:v>2.9508849996060516E-2</c:v>
                </c:pt>
                <c:pt idx="2">
                  <c:v>-1.9839325975950173E-2</c:v>
                </c:pt>
                <c:pt idx="3">
                  <c:v>-2.1571574979887265E-3</c:v>
                </c:pt>
                <c:pt idx="4">
                  <c:v>-1.2745226966584755E-2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1.5755667326920131E-2</c:v>
                </c:pt>
                <c:pt idx="1">
                  <c:v>3.1416784025040778E-2</c:v>
                </c:pt>
                <c:pt idx="2">
                  <c:v>-1.4344194344358296E-2</c:v>
                </c:pt>
                <c:pt idx="3">
                  <c:v>-1.372072118556833E-2</c:v>
                </c:pt>
                <c:pt idx="4">
                  <c:v>-1.9107535822033284E-2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1.785371240646505E-2</c:v>
                </c:pt>
                <c:pt idx="1">
                  <c:v>3.2484949853422984E-2</c:v>
                </c:pt>
                <c:pt idx="2">
                  <c:v>-1.3193165609111657E-2</c:v>
                </c:pt>
                <c:pt idx="3">
                  <c:v>-6.8341484302678612E-3</c:v>
                </c:pt>
                <c:pt idx="4">
                  <c:v>-3.0311348220508627E-2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3.2608624916709239E-2</c:v>
                </c:pt>
                <c:pt idx="1">
                  <c:v>2.7948732955669353E-2</c:v>
                </c:pt>
                <c:pt idx="2">
                  <c:v>-1.9500072471743013E-2</c:v>
                </c:pt>
                <c:pt idx="3">
                  <c:v>1.746351113606881E-3</c:v>
                </c:pt>
                <c:pt idx="4">
                  <c:v>-4.2803636514242238E-2</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5.6096227435576074E-2</c:v>
                </c:pt>
                <c:pt idx="1">
                  <c:v>3.86071734000899E-2</c:v>
                </c:pt>
                <c:pt idx="2">
                  <c:v>-1.307808164530222E-2</c:v>
                </c:pt>
                <c:pt idx="3">
                  <c:v>-1.245380761131909E-2</c:v>
                </c:pt>
                <c:pt idx="4">
                  <c:v>-6.9171511579043665E-2</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4.3794632142740708E-2</c:v>
                </c:pt>
                <c:pt idx="1">
                  <c:v>2.4871612253791087E-2</c:v>
                </c:pt>
                <c:pt idx="2">
                  <c:v>1.6954351130830991E-2</c:v>
                </c:pt>
                <c:pt idx="3">
                  <c:v>-2.8002271366153519E-2</c:v>
                </c:pt>
                <c:pt idx="4">
                  <c:v>-5.7618324161209156E-2</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6.0348689257755384E-2</c:v>
                </c:pt>
                <c:pt idx="1">
                  <c:v>1.6342939117359734E-2</c:v>
                </c:pt>
                <c:pt idx="2">
                  <c:v>2.0589985520282239E-2</c:v>
                </c:pt>
                <c:pt idx="3">
                  <c:v>-6.1435893612163617E-2</c:v>
                </c:pt>
                <c:pt idx="4">
                  <c:v>-3.5845720283233851E-2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7.455461874902336E-2</c:v>
                </c:pt>
                <c:pt idx="1">
                  <c:v>5.5741717410563885E-2</c:v>
                </c:pt>
                <c:pt idx="2">
                  <c:v>3.1991210868899556E-2</c:v>
                </c:pt>
                <c:pt idx="3">
                  <c:v>-8.4855979655119373E-2</c:v>
                </c:pt>
                <c:pt idx="4">
                  <c:v>-7.7431567373367094E-2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0.10598292546062416</c:v>
                </c:pt>
                <c:pt idx="1">
                  <c:v>8.2260855803238053E-2</c:v>
                </c:pt>
                <c:pt idx="2">
                  <c:v>1.9612526897744287E-2</c:v>
                </c:pt>
                <c:pt idx="3">
                  <c:v>-0.13767711505041436</c:v>
                </c:pt>
                <c:pt idx="4">
                  <c:v>-7.0179193111192584E-2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8.5320079315773567E-2</c:v>
                </c:pt>
                <c:pt idx="1">
                  <c:v>0.10941491864340103</c:v>
                </c:pt>
                <c:pt idx="2">
                  <c:v>4.0897673558754954E-2</c:v>
                </c:pt>
                <c:pt idx="3">
                  <c:v>-0.1774836029289254</c:v>
                </c:pt>
                <c:pt idx="4">
                  <c:v>-5.8149068589003816E-2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9.4752227579352644E-2</c:v>
                </c:pt>
                <c:pt idx="1">
                  <c:v>0.1966843101699145</c:v>
                </c:pt>
                <c:pt idx="2">
                  <c:v>-1.5890668589421009E-2</c:v>
                </c:pt>
                <c:pt idx="3">
                  <c:v>-0.24814394339305978</c:v>
                </c:pt>
                <c:pt idx="4">
                  <c:v>-2.7401925766785795E-2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2.0106432521332929E-2</c:v>
                </c:pt>
                <c:pt idx="1">
                  <c:v>0.17188704330296622</c:v>
                </c:pt>
                <c:pt idx="2">
                  <c:v>4.6030284571865865E-2</c:v>
                </c:pt>
                <c:pt idx="3">
                  <c:v>-0.17261493681892748</c:v>
                </c:pt>
                <c:pt idx="4">
                  <c:v>-6.5408823577237207E-2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7.0560816199383147E-2</c:v>
                </c:pt>
                <c:pt idx="1">
                  <c:v>0.23373630851819605</c:v>
                </c:pt>
                <c:pt idx="2">
                  <c:v>6.6402092500754462E-2</c:v>
                </c:pt>
                <c:pt idx="3">
                  <c:v>-0.21065563509693774</c:v>
                </c:pt>
                <c:pt idx="4">
                  <c:v>-0.16004358212139613</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0.26833820959456034</c:v>
                </c:pt>
                <c:pt idx="1">
                  <c:v>0.34353504288353043</c:v>
                </c:pt>
                <c:pt idx="2">
                  <c:v>-0.14962707991396074</c:v>
                </c:pt>
                <c:pt idx="3">
                  <c:v>-0.22202439266275598</c:v>
                </c:pt>
                <c:pt idx="4">
                  <c:v>-0.24022177990137394</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0.46794902509202374</c:v>
                </c:pt>
                <c:pt idx="1">
                  <c:v>0.39069493088123397</c:v>
                </c:pt>
                <c:pt idx="2">
                  <c:v>-0.20959643320908861</c:v>
                </c:pt>
                <c:pt idx="3">
                  <c:v>-0.44636752632340904</c:v>
                </c:pt>
                <c:pt idx="4">
                  <c:v>-0.20267999644076007</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-4.5506194672297884E-3</c:v>
                </c:pt>
                <c:pt idx="1">
                  <c:v>1.0274367211135615E-2</c:v>
                </c:pt>
                <c:pt idx="2">
                  <c:v>-5.5485000490294034E-3</c:v>
                </c:pt>
                <c:pt idx="3">
                  <c:v>-1.1965950505744893E-2</c:v>
                </c:pt>
                <c:pt idx="4">
                  <c:v>1.1790702810868581E-2</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-3.4100895452022773E-3</c:v>
                </c:pt>
                <c:pt idx="1">
                  <c:v>1.0502894084699177E-2</c:v>
                </c:pt>
                <c:pt idx="2">
                  <c:v>-5.815057504344523E-3</c:v>
                </c:pt>
                <c:pt idx="3">
                  <c:v>-1.1318238227514987E-2</c:v>
                </c:pt>
                <c:pt idx="4">
                  <c:v>1.0040491192362389E-2</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-3.821401797761137E-3</c:v>
                </c:pt>
                <c:pt idx="1">
                  <c:v>1.0311663597654341E-2</c:v>
                </c:pt>
                <c:pt idx="2">
                  <c:v>-7.483724716022877E-3</c:v>
                </c:pt>
                <c:pt idx="3">
                  <c:v>-8.6631306015868548E-3</c:v>
                </c:pt>
                <c:pt idx="4">
                  <c:v>9.6565935177164164E-3</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-2.3947718003777263E-3</c:v>
                </c:pt>
                <c:pt idx="1">
                  <c:v>1.0958261131224445E-2</c:v>
                </c:pt>
                <c:pt idx="2">
                  <c:v>-7.4586659148686563E-3</c:v>
                </c:pt>
                <c:pt idx="3">
                  <c:v>-1.0911662588829807E-2</c:v>
                </c:pt>
                <c:pt idx="4">
                  <c:v>9.8068391728520776E-3</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-1.027555038734751E-3</c:v>
                </c:pt>
                <c:pt idx="1">
                  <c:v>1.1036746009019494E-2</c:v>
                </c:pt>
                <c:pt idx="2">
                  <c:v>-9.9711882663510165E-3</c:v>
                </c:pt>
                <c:pt idx="3">
                  <c:v>-1.0425601789812666E-2</c:v>
                </c:pt>
                <c:pt idx="4">
                  <c:v>1.0387599085878385E-2</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2.9896107788718318E-4</c:v>
                </c:pt>
                <c:pt idx="1">
                  <c:v>1.0715985649567328E-2</c:v>
                </c:pt>
                <c:pt idx="2">
                  <c:v>-1.1447851379593921E-2</c:v>
                </c:pt>
                <c:pt idx="3">
                  <c:v>-1.0395461102887693E-2</c:v>
                </c:pt>
                <c:pt idx="4">
                  <c:v>1.0828365755026992E-2</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2.5817410632595905E-3</c:v>
                </c:pt>
                <c:pt idx="1">
                  <c:v>1.416963412772887E-2</c:v>
                </c:pt>
                <c:pt idx="2">
                  <c:v>-1.4226435207795429E-2</c:v>
                </c:pt>
                <c:pt idx="3">
                  <c:v>-1.4771116426099851E-2</c:v>
                </c:pt>
                <c:pt idx="4">
                  <c:v>1.2246176442906931E-2</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3.0863278216664014E-5</c:v>
                </c:pt>
                <c:pt idx="1">
                  <c:v>1.4186977024324809E-2</c:v>
                </c:pt>
                <c:pt idx="2">
                  <c:v>-1.4396294012781197E-2</c:v>
                </c:pt>
                <c:pt idx="3">
                  <c:v>-1.5647657053607267E-2</c:v>
                </c:pt>
                <c:pt idx="4">
                  <c:v>1.5826110763847101E-2</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-4.7406623017987037E-3</c:v>
                </c:pt>
                <c:pt idx="1">
                  <c:v>1.8937141358305265E-2</c:v>
                </c:pt>
                <c:pt idx="2">
                  <c:v>-1.4604604316818315E-2</c:v>
                </c:pt>
                <c:pt idx="3">
                  <c:v>-1.2050326411737533E-2</c:v>
                </c:pt>
                <c:pt idx="4">
                  <c:v>1.2458451672049842E-2</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-3.2886254756238076E-3</c:v>
                </c:pt>
                <c:pt idx="1">
                  <c:v>1.4448933212471093E-2</c:v>
                </c:pt>
                <c:pt idx="2">
                  <c:v>-1.4653216114824841E-2</c:v>
                </c:pt>
                <c:pt idx="3">
                  <c:v>-1.0195097756292126E-2</c:v>
                </c:pt>
                <c:pt idx="4">
                  <c:v>1.3688006134270347E-2</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-5.0251559339535845E-3</c:v>
                </c:pt>
                <c:pt idx="1">
                  <c:v>1.4800718543779734E-2</c:v>
                </c:pt>
                <c:pt idx="2">
                  <c:v>-9.6915100820799127E-3</c:v>
                </c:pt>
                <c:pt idx="3">
                  <c:v>-9.5777516445265665E-3</c:v>
                </c:pt>
                <c:pt idx="4">
                  <c:v>9.4936991167808849E-3</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-1.3377748198647232E-2</c:v>
                </c:pt>
                <c:pt idx="1">
                  <c:v>1.7741865584006034E-2</c:v>
                </c:pt>
                <c:pt idx="2">
                  <c:v>-1.1972601230068824E-2</c:v>
                </c:pt>
                <c:pt idx="3">
                  <c:v>-5.7656549406888136E-3</c:v>
                </c:pt>
                <c:pt idx="4">
                  <c:v>1.3374138785399392E-2</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-7.8283531101578374E-3</c:v>
                </c:pt>
                <c:pt idx="1">
                  <c:v>1.2479225585911857E-2</c:v>
                </c:pt>
                <c:pt idx="2">
                  <c:v>-1.846811432200901E-2</c:v>
                </c:pt>
                <c:pt idx="3">
                  <c:v>-3.138952797538952E-4</c:v>
                </c:pt>
                <c:pt idx="4">
                  <c:v>1.4131137126009552E-2</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-5.7017478233926111E-3</c:v>
                </c:pt>
                <c:pt idx="1">
                  <c:v>2.2746927209019718E-2</c:v>
                </c:pt>
                <c:pt idx="2">
                  <c:v>-2.1945374055670874E-2</c:v>
                </c:pt>
                <c:pt idx="3">
                  <c:v>1.6855682178285036E-4</c:v>
                </c:pt>
                <c:pt idx="4">
                  <c:v>4.7316378482613608E-3</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-8.4395042321940839E-3</c:v>
                </c:pt>
                <c:pt idx="1">
                  <c:v>2.5243650386198802E-2</c:v>
                </c:pt>
                <c:pt idx="2">
                  <c:v>-1.9729093398370923E-2</c:v>
                </c:pt>
                <c:pt idx="3">
                  <c:v>-4.0912471678339335E-3</c:v>
                </c:pt>
                <c:pt idx="4">
                  <c:v>7.0161944122004716E-3</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1.0624683331643681E-3</c:v>
                </c:pt>
                <c:pt idx="1">
                  <c:v>3.4183159542768626E-2</c:v>
                </c:pt>
                <c:pt idx="2">
                  <c:v>-1.7102619754494341E-2</c:v>
                </c:pt>
                <c:pt idx="3">
                  <c:v>-3.097347701536135E-3</c:v>
                </c:pt>
                <c:pt idx="4">
                  <c:v>-1.5045660419902185E-2</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1.1540391361371194E-2</c:v>
                </c:pt>
                <c:pt idx="1">
                  <c:v>3.609849833814649E-2</c:v>
                </c:pt>
                <c:pt idx="2">
                  <c:v>-1.1593345150488266E-2</c:v>
                </c:pt>
                <c:pt idx="3">
                  <c:v>-1.465121220657728E-2</c:v>
                </c:pt>
                <c:pt idx="4">
                  <c:v>-2.139433234245236E-2</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1.3625882637798181E-2</c:v>
                </c:pt>
                <c:pt idx="1">
                  <c:v>3.716757619465838E-2</c:v>
                </c:pt>
                <c:pt idx="2">
                  <c:v>-1.0442859821882311E-2</c:v>
                </c:pt>
                <c:pt idx="3">
                  <c:v>-7.7749024076703144E-3</c:v>
                </c:pt>
                <c:pt idx="4">
                  <c:v>-3.2575696602904158E-2</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2.8335631274196027E-2</c:v>
                </c:pt>
                <c:pt idx="1">
                  <c:v>3.2626976670693919E-2</c:v>
                </c:pt>
                <c:pt idx="2">
                  <c:v>-1.6751928255004711E-2</c:v>
                </c:pt>
                <c:pt idx="3">
                  <c:v>8.1316111197193841E-4</c:v>
                </c:pt>
                <c:pt idx="4">
                  <c:v>-4.5023840801856618E-2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5.1716848352411748E-2</c:v>
                </c:pt>
                <c:pt idx="1">
                  <c:v>4.3324805139591582E-2</c:v>
                </c:pt>
                <c:pt idx="2">
                  <c:v>-1.0320588044804513E-2</c:v>
                </c:pt>
                <c:pt idx="3">
                  <c:v>-1.3382392672544485E-2</c:v>
                </c:pt>
                <c:pt idx="4">
                  <c:v>-7.1338672774653666E-2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3.9453738431283192E-2</c:v>
                </c:pt>
                <c:pt idx="1">
                  <c:v>2.9514446767563873E-2</c:v>
                </c:pt>
                <c:pt idx="2">
                  <c:v>1.9783467012428169E-2</c:v>
                </c:pt>
                <c:pt idx="3">
                  <c:v>-2.8927938624233041E-2</c:v>
                </c:pt>
                <c:pt idx="4">
                  <c:v>-5.982371358704186E-2</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5.5963550757832881E-2</c:v>
                </c:pt>
                <c:pt idx="1">
                  <c:v>2.0970921774773554E-2</c:v>
                </c:pt>
                <c:pt idx="2">
                  <c:v>2.3453057792793164E-2</c:v>
                </c:pt>
                <c:pt idx="3">
                  <c:v>-6.2307876505997117E-2</c:v>
                </c:pt>
                <c:pt idx="4">
                  <c:v>-3.8079653819403148E-2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7.0052786971465553E-2</c:v>
                </c:pt>
                <c:pt idx="1">
                  <c:v>6.049167890021967E-2</c:v>
                </c:pt>
                <c:pt idx="2">
                  <c:v>3.4830230673305929E-2</c:v>
                </c:pt>
                <c:pt idx="3">
                  <c:v>-8.5755710546671637E-2</c:v>
                </c:pt>
                <c:pt idx="4">
                  <c:v>-7.9618985998319736E-2</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0.10135199626329028</c:v>
                </c:pt>
                <c:pt idx="1">
                  <c:v>8.7132669249702754E-2</c:v>
                </c:pt>
                <c:pt idx="2">
                  <c:v>2.241987957503544E-2</c:v>
                </c:pt>
                <c:pt idx="3">
                  <c:v>-0.13852290337068662</c:v>
                </c:pt>
                <c:pt idx="4">
                  <c:v>-7.238164171734085E-2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8.0715601258056768E-2</c:v>
                </c:pt>
                <c:pt idx="1">
                  <c:v>0.11434702969752064</c:v>
                </c:pt>
                <c:pt idx="2">
                  <c:v>4.3705621273101514E-2</c:v>
                </c:pt>
                <c:pt idx="3">
                  <c:v>-0.17833601714877056</c:v>
                </c:pt>
                <c:pt idx="4">
                  <c:v>-6.0432235079908581E-2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9.006555745353273E-2</c:v>
                </c:pt>
                <c:pt idx="1">
                  <c:v>0.20195788821113791</c:v>
                </c:pt>
                <c:pt idx="2">
                  <c:v>-1.3274092077153243E-2</c:v>
                </c:pt>
                <c:pt idx="3">
                  <c:v>-0.24895218788186568</c:v>
                </c:pt>
                <c:pt idx="4">
                  <c:v>-2.9797165705652384E-2</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1.5660644755783659E-2</c:v>
                </c:pt>
                <c:pt idx="1">
                  <c:v>0.17696017024272992</c:v>
                </c:pt>
                <c:pt idx="2">
                  <c:v>4.8730257700914548E-2</c:v>
                </c:pt>
                <c:pt idx="3">
                  <c:v>-0.17356839490867504</c:v>
                </c:pt>
                <c:pt idx="4">
                  <c:v>-6.7782677790752643E-2</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6.5813147061269284E-2</c:v>
                </c:pt>
                <c:pt idx="1">
                  <c:v>0.23898186746211825</c:v>
                </c:pt>
                <c:pt idx="2">
                  <c:v>6.9072404761448158E-2</c:v>
                </c:pt>
                <c:pt idx="3">
                  <c:v>-0.21162590568630146</c:v>
                </c:pt>
                <c:pt idx="4">
                  <c:v>-0.16224151359853445</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0.2628971789520087</c:v>
                </c:pt>
                <c:pt idx="1">
                  <c:v>0.34944376330751958</c:v>
                </c:pt>
                <c:pt idx="2">
                  <c:v>-0.14737366934892027</c:v>
                </c:pt>
                <c:pt idx="3">
                  <c:v>-0.22286762809548022</c:v>
                </c:pt>
                <c:pt idx="4">
                  <c:v>-0.24209964481512769</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0.46184390215554627</c:v>
                </c:pt>
                <c:pt idx="1">
                  <c:v>0.39699474443660443</c:v>
                </c:pt>
                <c:pt idx="2">
                  <c:v>-0.20739771766906834</c:v>
                </c:pt>
                <c:pt idx="3">
                  <c:v>-0.44689487268659223</c:v>
                </c:pt>
                <c:pt idx="4">
                  <c:v>-0.20454605623648969</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81.483698805177141</c:v>
                </c:pt>
                <c:pt idx="1">
                  <c:v>130.87164393660169</c:v>
                </c:pt>
                <c:pt idx="2">
                  <c:v>191.95285453882661</c:v>
                </c:pt>
                <c:pt idx="3">
                  <c:v>257.34973948711081</c:v>
                </c:pt>
                <c:pt idx="4">
                  <c:v>338.76311837698881</c:v>
                </c:pt>
                <c:pt idx="5">
                  <c:v>431.59982202821686</c:v>
                </c:pt>
                <c:pt idx="6">
                  <c:v>532.54635028956272</c:v>
                </c:pt>
                <c:pt idx="7">
                  <c:v>646.65396893385309</c:v>
                </c:pt>
                <c:pt idx="8">
                  <c:v>775.6378684467054</c:v>
                </c:pt>
                <c:pt idx="9">
                  <c:v>906.95045069269406</c:v>
                </c:pt>
                <c:pt idx="10">
                  <c:v>1042.5234115919416</c:v>
                </c:pt>
                <c:pt idx="11">
                  <c:v>1191.5802407392805</c:v>
                </c:pt>
                <c:pt idx="12">
                  <c:v>1349.1029590834441</c:v>
                </c:pt>
                <c:pt idx="13">
                  <c:v>1500.7978844484471</c:v>
                </c:pt>
                <c:pt idx="14">
                  <c:v>1649.4429937866628</c:v>
                </c:pt>
                <c:pt idx="15">
                  <c:v>1809.6906236907946</c:v>
                </c:pt>
                <c:pt idx="16">
                  <c:v>1982.3194930058253</c:v>
                </c:pt>
                <c:pt idx="17">
                  <c:v>2175.8477861349802</c:v>
                </c:pt>
                <c:pt idx="18">
                  <c:v>2391.4204688041928</c:v>
                </c:pt>
                <c:pt idx="19">
                  <c:v>2639.0025612781433</c:v>
                </c:pt>
                <c:pt idx="20">
                  <c:v>2910.3498904411827</c:v>
                </c:pt>
                <c:pt idx="21">
                  <c:v>3212.2219656283432</c:v>
                </c:pt>
                <c:pt idx="22">
                  <c:v>3513.1533581806716</c:v>
                </c:pt>
                <c:pt idx="23">
                  <c:v>3815.8615675185765</c:v>
                </c:pt>
                <c:pt idx="24">
                  <c:v>4128.557169286496</c:v>
                </c:pt>
                <c:pt idx="25">
                  <c:v>4450.4983515135063</c:v>
                </c:pt>
                <c:pt idx="26">
                  <c:v>4815.0375625393172</c:v>
                </c:pt>
                <c:pt idx="27">
                  <c:v>9426.4699617590704</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70" zoomScaleNormal="70" workbookViewId="0">
      <selection activeCell="Z55" sqref="Z55"/>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4" t="s">
        <v>178</v>
      </c>
      <c r="F2" s="124" t="s">
        <v>1</v>
      </c>
      <c r="L2" s="125" t="s">
        <v>177</v>
      </c>
      <c r="M2" s="4"/>
      <c r="N2" s="4"/>
      <c r="O2" s="4"/>
      <c r="P2" s="4" t="s">
        <v>2</v>
      </c>
      <c r="Q2" s="126">
        <v>0.89</v>
      </c>
      <c r="R2" s="5" t="s">
        <v>3</v>
      </c>
    </row>
    <row r="3" spans="1:1024" ht="16.149999999999999" thickTop="1" x14ac:dyDescent="0.5">
      <c r="A3" s="6" t="s">
        <v>4</v>
      </c>
      <c r="B3" s="108" t="s">
        <v>190</v>
      </c>
      <c r="C3" s="7"/>
      <c r="E3" s="8" t="s">
        <v>5</v>
      </c>
      <c r="F3" s="108">
        <v>1</v>
      </c>
      <c r="G3" s="9"/>
      <c r="H3" s="9"/>
      <c r="L3" s="10" t="s">
        <v>6</v>
      </c>
      <c r="M3" s="11"/>
      <c r="N3" s="11"/>
      <c r="O3" s="11"/>
      <c r="P3" s="108">
        <v>1</v>
      </c>
      <c r="Q3" s="108">
        <v>50</v>
      </c>
      <c r="R3" s="12" t="s">
        <v>7</v>
      </c>
    </row>
    <row r="4" spans="1:1024" ht="13.15" x14ac:dyDescent="0.4">
      <c r="A4" s="7" t="s">
        <v>8</v>
      </c>
      <c r="B4" s="139">
        <v>46098</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08" t="s">
        <v>17</v>
      </c>
      <c r="C5" s="7"/>
      <c r="L5" s="15">
        <v>1.5</v>
      </c>
      <c r="M5" s="16">
        <v>67392.070000000007</v>
      </c>
      <c r="N5" s="16"/>
      <c r="O5" s="16">
        <v>67392.070000000007</v>
      </c>
      <c r="P5" s="16">
        <f>O5*P$3</f>
        <v>67392.070000000007</v>
      </c>
      <c r="Q5" s="16">
        <f>P5*Q$2*Q$3</f>
        <v>2998947.1150000007</v>
      </c>
      <c r="R5" s="12"/>
    </row>
    <row r="6" spans="1:1024" ht="13.15" x14ac:dyDescent="0.4">
      <c r="A6" s="7" t="s">
        <v>18</v>
      </c>
      <c r="B6" s="108" t="s">
        <v>192</v>
      </c>
      <c r="C6" s="17"/>
      <c r="E6" s="11" t="s">
        <v>19</v>
      </c>
      <c r="F6" s="14" t="s">
        <v>20</v>
      </c>
      <c r="G6" s="14" t="s">
        <v>21</v>
      </c>
      <c r="H6" s="14" t="s">
        <v>22</v>
      </c>
      <c r="I6" s="14" t="s">
        <v>23</v>
      </c>
      <c r="L6" s="15">
        <v>2</v>
      </c>
      <c r="M6" s="16">
        <v>41165</v>
      </c>
      <c r="N6" s="16"/>
      <c r="O6" s="16">
        <v>41165</v>
      </c>
      <c r="P6" s="16">
        <f t="shared" ref="P6:P34" si="0">O6*P$3</f>
        <v>41165</v>
      </c>
      <c r="Q6" s="16">
        <f t="shared" ref="Q6:Q34" si="1">P6*Q$2*Q$3</f>
        <v>1831842.5</v>
      </c>
      <c r="R6" s="12"/>
    </row>
    <row r="7" spans="1:1024" ht="13.15" x14ac:dyDescent="0.4">
      <c r="A7" s="7" t="s">
        <v>24</v>
      </c>
      <c r="B7" s="108" t="s">
        <v>193</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799908.41500000004</v>
      </c>
      <c r="R7" s="12"/>
    </row>
    <row r="8" spans="1:1024" ht="13.15" x14ac:dyDescent="0.4">
      <c r="A8" s="7" t="s">
        <v>26</v>
      </c>
      <c r="B8" s="108" t="s">
        <v>191</v>
      </c>
      <c r="C8" s="7"/>
      <c r="E8" s="8" t="s">
        <v>27</v>
      </c>
      <c r="F8" s="108">
        <v>26.08</v>
      </c>
      <c r="G8" s="108">
        <v>26.08</v>
      </c>
      <c r="H8" s="108">
        <v>26.11</v>
      </c>
      <c r="I8" s="108">
        <v>26.16</v>
      </c>
      <c r="L8" s="15">
        <v>4</v>
      </c>
      <c r="M8" s="16">
        <v>10898.56</v>
      </c>
      <c r="N8" s="16">
        <v>10750.3</v>
      </c>
      <c r="O8" s="16">
        <v>10898.56</v>
      </c>
      <c r="P8" s="16">
        <f t="shared" si="0"/>
        <v>10898.56</v>
      </c>
      <c r="Q8" s="16">
        <f t="shared" si="1"/>
        <v>484985.92</v>
      </c>
      <c r="R8" s="12"/>
    </row>
    <row r="9" spans="1:1024" ht="13.15" x14ac:dyDescent="0.4">
      <c r="A9" s="7" t="s">
        <v>28</v>
      </c>
      <c r="B9" s="108" t="s">
        <v>193</v>
      </c>
      <c r="C9" s="7"/>
      <c r="E9" s="18" t="s">
        <v>29</v>
      </c>
      <c r="F9" s="19">
        <f>(1/$F$3-1)*F8</f>
        <v>0</v>
      </c>
      <c r="G9" s="19">
        <f>(1/$F$3-1)*G8</f>
        <v>0</v>
      </c>
      <c r="H9" s="19">
        <f>(1/$F$3-1)*H8</f>
        <v>0</v>
      </c>
      <c r="I9" s="19">
        <f>(1/$F$3-1)*I8</f>
        <v>0</v>
      </c>
      <c r="L9" s="15">
        <v>5</v>
      </c>
      <c r="M9" s="16">
        <v>6986.32</v>
      </c>
      <c r="N9" s="16">
        <v>7121.1</v>
      </c>
      <c r="O9" s="16">
        <v>6986.32</v>
      </c>
      <c r="P9" s="16">
        <f t="shared" si="0"/>
        <v>6986.32</v>
      </c>
      <c r="Q9" s="16">
        <f t="shared" si="1"/>
        <v>310891.24</v>
      </c>
      <c r="R9" s="12"/>
    </row>
    <row r="10" spans="1:1024" ht="13.15" x14ac:dyDescent="0.4">
      <c r="A10" s="17" t="s">
        <v>30</v>
      </c>
      <c r="B10" s="108" t="s">
        <v>31</v>
      </c>
      <c r="C10" s="7"/>
      <c r="E10" s="8" t="s">
        <v>32</v>
      </c>
      <c r="F10" s="108">
        <v>61</v>
      </c>
      <c r="G10" s="108">
        <v>61.18</v>
      </c>
      <c r="H10" s="108">
        <v>61.2</v>
      </c>
      <c r="I10" s="108">
        <v>61.09</v>
      </c>
      <c r="L10" s="15">
        <v>6</v>
      </c>
      <c r="M10" s="16">
        <v>4679.6499999999996</v>
      </c>
      <c r="N10" s="16">
        <v>4729.1000000000004</v>
      </c>
      <c r="O10" s="16">
        <v>4679.6499999999996</v>
      </c>
      <c r="P10" s="16">
        <f t="shared" si="0"/>
        <v>4679.6499999999996</v>
      </c>
      <c r="Q10" s="16">
        <f t="shared" si="1"/>
        <v>208244.42499999999</v>
      </c>
      <c r="R10" s="12"/>
    </row>
    <row r="11" spans="1:1024" ht="13.9" x14ac:dyDescent="0.4">
      <c r="B11" s="20"/>
      <c r="E11" s="8" t="s">
        <v>33</v>
      </c>
      <c r="F11" s="107">
        <f>IF($F3=1, 1, F8/(F8+F10))</f>
        <v>1</v>
      </c>
      <c r="G11" s="107">
        <f>IF($F3=1, 1, G8/(G8+G10))</f>
        <v>1</v>
      </c>
      <c r="H11" s="107">
        <f>IF($F3=1, 1, H8/(H8+H10))</f>
        <v>1</v>
      </c>
      <c r="I11" s="107">
        <f>IF($F3=1, 1, I8/(I8+I10))</f>
        <v>1</v>
      </c>
      <c r="L11" s="15">
        <v>7</v>
      </c>
      <c r="M11" s="16">
        <v>3163.23</v>
      </c>
      <c r="N11" s="16">
        <v>3199.3</v>
      </c>
      <c r="O11" s="16">
        <v>3163.23</v>
      </c>
      <c r="P11" s="16">
        <f t="shared" si="0"/>
        <v>3163.23</v>
      </c>
      <c r="Q11" s="16">
        <f t="shared" si="1"/>
        <v>140763.73499999999</v>
      </c>
      <c r="R11" s="12"/>
    </row>
    <row r="12" spans="1:1024" ht="13.15" x14ac:dyDescent="0.4">
      <c r="A12" s="7" t="s">
        <v>34</v>
      </c>
      <c r="B12" s="108">
        <v>30</v>
      </c>
      <c r="C12" s="7"/>
      <c r="L12" s="15">
        <v>8</v>
      </c>
      <c r="M12" s="16">
        <v>2175.4699999999998</v>
      </c>
      <c r="N12" s="16">
        <v>2280.6</v>
      </c>
      <c r="O12" s="16">
        <v>2175.4699999999998</v>
      </c>
      <c r="P12" s="16">
        <f t="shared" si="0"/>
        <v>2175.4699999999998</v>
      </c>
      <c r="Q12" s="16">
        <f t="shared" si="1"/>
        <v>96808.414999999994</v>
      </c>
      <c r="R12" s="12"/>
    </row>
    <row r="13" spans="1:1024" hidden="1" x14ac:dyDescent="0.35">
      <c r="B13" s="20"/>
      <c r="L13" s="21">
        <v>9</v>
      </c>
      <c r="M13" s="16">
        <v>1512.11</v>
      </c>
      <c r="N13" s="16">
        <v>1615</v>
      </c>
      <c r="O13" s="16">
        <v>1512.11</v>
      </c>
      <c r="P13" s="16">
        <f t="shared" si="0"/>
        <v>1512.11</v>
      </c>
      <c r="Q13" s="16">
        <f t="shared" si="1"/>
        <v>67288.89499999999</v>
      </c>
      <c r="R13" s="12"/>
    </row>
    <row r="14" spans="1:1024" x14ac:dyDescent="0.35">
      <c r="A14" t="s">
        <v>35</v>
      </c>
      <c r="B14" s="140">
        <f>B12*1.5</f>
        <v>45</v>
      </c>
      <c r="L14" s="15">
        <v>10</v>
      </c>
      <c r="M14" s="16">
        <v>1079.78</v>
      </c>
      <c r="N14" s="16">
        <v>1130.5</v>
      </c>
      <c r="O14" s="16">
        <v>1079.78</v>
      </c>
      <c r="P14" s="16">
        <f t="shared" si="0"/>
        <v>1079.78</v>
      </c>
      <c r="Q14" s="16">
        <f t="shared" si="1"/>
        <v>48050.21</v>
      </c>
      <c r="R14" s="12"/>
    </row>
    <row r="15" spans="1:1024" ht="13.15" x14ac:dyDescent="0.4">
      <c r="A15" t="s">
        <v>36</v>
      </c>
      <c r="B15" s="108">
        <v>8000</v>
      </c>
      <c r="L15" s="15">
        <v>11</v>
      </c>
      <c r="M15" s="16">
        <v>786.62</v>
      </c>
      <c r="N15" s="16">
        <v>816.2</v>
      </c>
      <c r="O15" s="16">
        <v>786.62</v>
      </c>
      <c r="P15" s="16">
        <f t="shared" si="0"/>
        <v>786.62</v>
      </c>
      <c r="Q15" s="16">
        <f t="shared" si="1"/>
        <v>35004.590000000004</v>
      </c>
      <c r="R15" s="12"/>
    </row>
    <row r="16" spans="1:1024" x14ac:dyDescent="0.35">
      <c r="A16" t="s">
        <v>37</v>
      </c>
      <c r="B16" s="141">
        <f>10^((LOG(B15)-LOG(B14))/(30-1))</f>
        <v>1.1955891959265454</v>
      </c>
      <c r="L16" s="15">
        <v>12</v>
      </c>
      <c r="M16" s="16">
        <v>586.05999999999995</v>
      </c>
      <c r="N16" s="16">
        <v>618.6</v>
      </c>
      <c r="O16" s="16">
        <v>586.05999999999995</v>
      </c>
      <c r="P16" s="16">
        <f t="shared" si="0"/>
        <v>586.05999999999995</v>
      </c>
      <c r="Q16" s="16">
        <f t="shared" si="1"/>
        <v>26079.67</v>
      </c>
      <c r="R16" s="12"/>
    </row>
    <row r="17" spans="1:18" ht="13.15" x14ac:dyDescent="0.4">
      <c r="A17" t="s">
        <v>179</v>
      </c>
      <c r="B17" s="108">
        <v>200</v>
      </c>
      <c r="C17" s="49">
        <f>1+B17/1000</f>
        <v>1.2</v>
      </c>
      <c r="D17" s="140" t="s">
        <v>181</v>
      </c>
      <c r="L17" s="15">
        <v>13</v>
      </c>
      <c r="M17" s="16">
        <v>449.93</v>
      </c>
      <c r="N17" s="16">
        <v>481.9</v>
      </c>
      <c r="O17" s="16">
        <v>449.93</v>
      </c>
      <c r="P17" s="16">
        <f t="shared" si="0"/>
        <v>449.93</v>
      </c>
      <c r="Q17" s="16">
        <f t="shared" si="1"/>
        <v>20021.885000000002</v>
      </c>
      <c r="R17" s="12"/>
    </row>
    <row r="18" spans="1:18" ht="13.5" thickBot="1" x14ac:dyDescent="0.45">
      <c r="A18" t="s">
        <v>180</v>
      </c>
      <c r="B18" s="108">
        <v>200</v>
      </c>
      <c r="C18" s="49">
        <f>1+B18/1000</f>
        <v>1.2</v>
      </c>
      <c r="D18" s="142">
        <f>C17/C18</f>
        <v>1</v>
      </c>
      <c r="L18" s="15">
        <v>14</v>
      </c>
      <c r="M18" s="16">
        <v>352.62</v>
      </c>
      <c r="N18" s="16">
        <v>384.7</v>
      </c>
      <c r="O18" s="16">
        <v>352.62</v>
      </c>
      <c r="P18" s="16">
        <f t="shared" si="0"/>
        <v>352.62</v>
      </c>
      <c r="Q18" s="16">
        <f t="shared" si="1"/>
        <v>15691.59</v>
      </c>
      <c r="R18" s="12"/>
    </row>
    <row r="19" spans="1:18" ht="13.15" x14ac:dyDescent="0.4">
      <c r="A19" t="s">
        <v>184</v>
      </c>
      <c r="B19" s="108">
        <v>20000</v>
      </c>
      <c r="L19" s="15">
        <v>15</v>
      </c>
      <c r="M19" s="16">
        <v>282.04000000000002</v>
      </c>
      <c r="N19" s="16">
        <v>314.60000000000002</v>
      </c>
      <c r="O19" s="16">
        <v>282.04000000000002</v>
      </c>
      <c r="P19" s="16">
        <f t="shared" si="0"/>
        <v>282.04000000000002</v>
      </c>
      <c r="Q19" s="16">
        <f t="shared" si="1"/>
        <v>12550.780000000002</v>
      </c>
      <c r="R19" s="12"/>
    </row>
    <row r="20" spans="1:18" x14ac:dyDescent="0.35">
      <c r="G20" t="s">
        <v>176</v>
      </c>
      <c r="L20" s="15">
        <v>16</v>
      </c>
      <c r="M20" s="16">
        <v>229.42</v>
      </c>
      <c r="N20" s="16">
        <v>261.8</v>
      </c>
      <c r="O20" s="16">
        <v>229.42</v>
      </c>
      <c r="P20" s="16">
        <f t="shared" si="0"/>
        <v>229.42</v>
      </c>
      <c r="Q20" s="16">
        <f t="shared" si="1"/>
        <v>10209.189999999999</v>
      </c>
      <c r="R20" s="12"/>
    </row>
    <row r="21" spans="1:18" ht="13.15" thickBot="1" x14ac:dyDescent="0.4">
      <c r="A21" s="11" t="s">
        <v>38</v>
      </c>
      <c r="B21" s="117" t="s">
        <v>39</v>
      </c>
      <c r="C21" s="117" t="s">
        <v>40</v>
      </c>
      <c r="D21" s="117" t="s">
        <v>41</v>
      </c>
      <c r="G21" s="11" t="s">
        <v>175</v>
      </c>
      <c r="H21" s="11" t="str">
        <f>B21</f>
        <v>Initial Value</v>
      </c>
      <c r="I21" s="11" t="s">
        <v>172</v>
      </c>
      <c r="L21" s="15">
        <v>17</v>
      </c>
      <c r="M21" s="16">
        <v>186.1</v>
      </c>
      <c r="N21" s="16">
        <v>221.2</v>
      </c>
      <c r="O21" s="16">
        <v>186.1</v>
      </c>
      <c r="P21" s="16">
        <f t="shared" si="0"/>
        <v>186.1</v>
      </c>
      <c r="Q21" s="16">
        <f t="shared" si="1"/>
        <v>8281.4499999999989</v>
      </c>
      <c r="R21" s="12"/>
    </row>
    <row r="22" spans="1:18" x14ac:dyDescent="0.35">
      <c r="A22">
        <v>4</v>
      </c>
      <c r="B22" s="83">
        <f>B12*1.5</f>
        <v>45</v>
      </c>
      <c r="C22" s="85">
        <f t="shared" ref="C22:C51" si="2">INT($B22+0.5)</f>
        <v>45</v>
      </c>
      <c r="D22" s="85">
        <f t="shared" ref="D22:D50" si="3">D23*B$16</f>
        <v>7999.9999999999909</v>
      </c>
      <c r="E22" s="11"/>
      <c r="F22" s="118">
        <f>'6 - Curve'!C5</f>
        <v>4</v>
      </c>
      <c r="G22" s="119">
        <f>'6 - Curve'!D5</f>
        <v>81.483698805177141</v>
      </c>
      <c r="H22" s="85">
        <f t="shared" ref="H22:H51" si="4">B22</f>
        <v>45</v>
      </c>
      <c r="I22" s="116">
        <f t="shared" ref="I22:I51" si="5">CubicSpline(B22,$G$22:$G$51, $F$22:$F$51)</f>
        <v>0</v>
      </c>
      <c r="L22" s="15">
        <v>18</v>
      </c>
      <c r="M22" s="16">
        <v>153.87</v>
      </c>
      <c r="N22" s="16">
        <v>188.7</v>
      </c>
      <c r="O22" s="16">
        <v>153.87</v>
      </c>
      <c r="P22" s="16">
        <f t="shared" si="0"/>
        <v>153.87</v>
      </c>
      <c r="Q22" s="16">
        <f t="shared" si="1"/>
        <v>6847.2150000000001</v>
      </c>
      <c r="R22" s="12"/>
    </row>
    <row r="23" spans="1:18" x14ac:dyDescent="0.35">
      <c r="A23">
        <v>5</v>
      </c>
      <c r="B23" s="83">
        <f t="shared" ref="B23:B51" si="6">B22*B$16</f>
        <v>53.801513816694545</v>
      </c>
      <c r="C23" s="85">
        <f t="shared" si="2"/>
        <v>54</v>
      </c>
      <c r="D23" s="85">
        <f t="shared" si="3"/>
        <v>6691.2615363676259</v>
      </c>
      <c r="F23" s="120">
        <f>'6 - Curve'!C6</f>
        <v>5</v>
      </c>
      <c r="G23" s="121">
        <f>'6 - Curve'!D6</f>
        <v>130.87164393660169</v>
      </c>
      <c r="H23" s="85">
        <f t="shared" si="4"/>
        <v>53.801513816694545</v>
      </c>
      <c r="I23" s="116">
        <f t="shared" si="5"/>
        <v>0</v>
      </c>
      <c r="L23" s="15">
        <v>19</v>
      </c>
      <c r="M23" s="16">
        <v>128.62</v>
      </c>
      <c r="N23" s="16">
        <v>161</v>
      </c>
      <c r="O23" s="16">
        <v>128.62</v>
      </c>
      <c r="P23" s="16">
        <f t="shared" si="0"/>
        <v>128.62</v>
      </c>
      <c r="Q23" s="16">
        <f t="shared" si="1"/>
        <v>5723.59</v>
      </c>
      <c r="R23" s="12"/>
    </row>
    <row r="24" spans="1:18" x14ac:dyDescent="0.35">
      <c r="A24">
        <v>6</v>
      </c>
      <c r="B24" s="83">
        <f t="shared" si="6"/>
        <v>64.324508643732756</v>
      </c>
      <c r="C24" s="85">
        <f t="shared" si="2"/>
        <v>64</v>
      </c>
      <c r="D24" s="85">
        <f t="shared" si="3"/>
        <v>5596.6226185091118</v>
      </c>
      <c r="F24" s="120">
        <f>'6 - Curve'!C7</f>
        <v>6</v>
      </c>
      <c r="G24" s="121">
        <f>'6 - Curve'!D7</f>
        <v>191.95285453882661</v>
      </c>
      <c r="H24" s="85">
        <f t="shared" si="4"/>
        <v>64.324508643732756</v>
      </c>
      <c r="I24" s="116">
        <f t="shared" si="5"/>
        <v>0</v>
      </c>
      <c r="L24" s="15">
        <v>20</v>
      </c>
      <c r="M24" s="16">
        <v>107.35</v>
      </c>
      <c r="N24" s="16">
        <v>136.4</v>
      </c>
      <c r="O24" s="16">
        <v>107.35</v>
      </c>
      <c r="P24" s="16">
        <f t="shared" si="0"/>
        <v>107.35</v>
      </c>
      <c r="Q24" s="16">
        <f t="shared" si="1"/>
        <v>4777.0749999999998</v>
      </c>
      <c r="R24" s="12"/>
    </row>
    <row r="25" spans="1:18" x14ac:dyDescent="0.35">
      <c r="A25">
        <v>7</v>
      </c>
      <c r="B25" s="83">
        <f t="shared" si="6"/>
        <v>76.905687567730567</v>
      </c>
      <c r="C25" s="85">
        <f t="shared" si="2"/>
        <v>77</v>
      </c>
      <c r="D25" s="85">
        <f t="shared" si="3"/>
        <v>4681.0582075993907</v>
      </c>
      <c r="F25" s="120">
        <f>'6 - Curve'!C8</f>
        <v>7</v>
      </c>
      <c r="G25" s="121">
        <f>'6 - Curve'!D8</f>
        <v>257.34973948711081</v>
      </c>
      <c r="H25" s="85">
        <f t="shared" si="4"/>
        <v>76.905687567730567</v>
      </c>
      <c r="I25" s="116">
        <f t="shared" si="5"/>
        <v>0</v>
      </c>
      <c r="L25" s="15">
        <v>21</v>
      </c>
      <c r="M25" s="16">
        <v>88.64</v>
      </c>
      <c r="N25" s="16">
        <v>114.4</v>
      </c>
      <c r="O25" s="16">
        <v>88.64</v>
      </c>
      <c r="P25" s="16">
        <f t="shared" si="0"/>
        <v>88.64</v>
      </c>
      <c r="Q25" s="16">
        <f t="shared" si="1"/>
        <v>3944.48</v>
      </c>
      <c r="R25" s="12"/>
    </row>
    <row r="26" spans="1:18" x14ac:dyDescent="0.35">
      <c r="A26">
        <v>8</v>
      </c>
      <c r="B26" s="83">
        <f t="shared" si="6"/>
        <v>91.947609161281108</v>
      </c>
      <c r="C26" s="85">
        <f t="shared" si="2"/>
        <v>92</v>
      </c>
      <c r="D26" s="85">
        <f t="shared" si="3"/>
        <v>3915.2730917509775</v>
      </c>
      <c r="F26" s="120">
        <f>'6 - Curve'!C9</f>
        <v>8</v>
      </c>
      <c r="G26" s="121">
        <f>'6 - Curve'!D9</f>
        <v>338.76311837698881</v>
      </c>
      <c r="H26" s="85">
        <f t="shared" si="4"/>
        <v>91.947609161281108</v>
      </c>
      <c r="I26" s="116">
        <f t="shared" si="5"/>
        <v>4.222581797144926</v>
      </c>
      <c r="L26" s="15">
        <v>22</v>
      </c>
      <c r="M26" s="16">
        <v>75.56</v>
      </c>
      <c r="N26" s="16">
        <v>95.3</v>
      </c>
      <c r="O26" s="16">
        <v>75.56</v>
      </c>
      <c r="P26" s="16">
        <f t="shared" si="0"/>
        <v>75.56</v>
      </c>
      <c r="Q26" s="16">
        <f t="shared" si="1"/>
        <v>3362.42</v>
      </c>
      <c r="R26" s="12"/>
    </row>
    <row r="27" spans="1:18" x14ac:dyDescent="0.35">
      <c r="A27">
        <v>9</v>
      </c>
      <c r="B27" s="83">
        <f t="shared" si="6"/>
        <v>109.93156810450434</v>
      </c>
      <c r="C27" s="85">
        <f t="shared" si="2"/>
        <v>110</v>
      </c>
      <c r="D27" s="85">
        <f t="shared" si="3"/>
        <v>3274.7645304010625</v>
      </c>
      <c r="F27" s="120">
        <f>'6 - Curve'!C10</f>
        <v>9</v>
      </c>
      <c r="G27" s="121">
        <f>'6 - Curve'!D10</f>
        <v>431.59982202821686</v>
      </c>
      <c r="H27" s="85">
        <f t="shared" si="4"/>
        <v>109.93156810450434</v>
      </c>
      <c r="I27" s="116">
        <f t="shared" si="5"/>
        <v>4.5963792209759511</v>
      </c>
      <c r="L27" s="15">
        <v>23</v>
      </c>
      <c r="M27" s="16">
        <v>61.94</v>
      </c>
      <c r="N27" s="16">
        <v>79</v>
      </c>
      <c r="O27" s="16">
        <v>61.94</v>
      </c>
      <c r="P27" s="16">
        <f t="shared" si="0"/>
        <v>61.94</v>
      </c>
      <c r="Q27" s="16">
        <f t="shared" si="1"/>
        <v>2756.33</v>
      </c>
      <c r="R27" s="12"/>
    </row>
    <row r="28" spans="1:18" x14ac:dyDescent="0.35">
      <c r="A28">
        <v>10</v>
      </c>
      <c r="B28" s="83">
        <f t="shared" si="6"/>
        <v>131.4329951170086</v>
      </c>
      <c r="C28" s="85">
        <f t="shared" si="2"/>
        <v>131</v>
      </c>
      <c r="D28" s="85">
        <f t="shared" si="3"/>
        <v>2739.0382428667058</v>
      </c>
      <c r="E28" s="22"/>
      <c r="F28" s="120">
        <f>'6 - Curve'!C11</f>
        <v>10</v>
      </c>
      <c r="G28" s="121">
        <f>'6 - Curve'!D11</f>
        <v>532.54635028956272</v>
      </c>
      <c r="H28" s="85">
        <f t="shared" si="4"/>
        <v>131.4329951170086</v>
      </c>
      <c r="I28" s="116">
        <f t="shared" si="5"/>
        <v>5.0101480963756959</v>
      </c>
      <c r="L28" s="15">
        <v>24</v>
      </c>
      <c r="M28" s="16">
        <v>50.86</v>
      </c>
      <c r="N28" s="16">
        <v>65.3</v>
      </c>
      <c r="O28" s="16">
        <v>50.86</v>
      </c>
      <c r="P28" s="16">
        <f t="shared" si="0"/>
        <v>50.86</v>
      </c>
      <c r="Q28" s="16">
        <f t="shared" si="1"/>
        <v>2263.27</v>
      </c>
      <c r="R28" s="12"/>
    </row>
    <row r="29" spans="1:18" x14ac:dyDescent="0.35">
      <c r="A29">
        <v>11</v>
      </c>
      <c r="B29" s="83">
        <f t="shared" si="6"/>
        <v>157.13986895016188</v>
      </c>
      <c r="C29" s="85">
        <f t="shared" si="2"/>
        <v>157</v>
      </c>
      <c r="D29" s="85">
        <f t="shared" si="3"/>
        <v>2290.9526551417471</v>
      </c>
      <c r="E29" s="22"/>
      <c r="F29" s="120">
        <f>'6 - Curve'!C12</f>
        <v>11</v>
      </c>
      <c r="G29" s="121">
        <f>'6 - Curve'!D12</f>
        <v>646.65396893385309</v>
      </c>
      <c r="H29" s="85">
        <f t="shared" si="4"/>
        <v>157.13986895016188</v>
      </c>
      <c r="I29" s="116">
        <f t="shared" si="5"/>
        <v>5.4484380458584383</v>
      </c>
      <c r="L29" s="15">
        <v>25</v>
      </c>
      <c r="M29" s="16">
        <v>41.61</v>
      </c>
      <c r="N29" s="16">
        <v>53.8</v>
      </c>
      <c r="O29" s="16">
        <v>41.61</v>
      </c>
      <c r="P29" s="16">
        <f t="shared" si="0"/>
        <v>41.61</v>
      </c>
      <c r="Q29" s="16">
        <f t="shared" si="1"/>
        <v>1851.645</v>
      </c>
      <c r="R29" s="12"/>
    </row>
    <row r="30" spans="1:18" x14ac:dyDescent="0.35">
      <c r="A30">
        <v>12</v>
      </c>
      <c r="B30" s="83">
        <f t="shared" si="6"/>
        <v>187.87472956612677</v>
      </c>
      <c r="C30" s="85">
        <f t="shared" si="2"/>
        <v>188</v>
      </c>
      <c r="D30" s="85">
        <f t="shared" si="3"/>
        <v>1916.1704228736594</v>
      </c>
      <c r="E30" s="22"/>
      <c r="F30" s="120">
        <f>'6 - Curve'!C13</f>
        <v>12</v>
      </c>
      <c r="G30" s="121">
        <f>'6 - Curve'!D13</f>
        <v>775.6378684467054</v>
      </c>
      <c r="H30" s="85">
        <f t="shared" si="4"/>
        <v>187.87472956612677</v>
      </c>
      <c r="I30" s="116">
        <f t="shared" si="5"/>
        <v>5.9356588408784052</v>
      </c>
      <c r="L30" s="15">
        <v>26</v>
      </c>
      <c r="M30" s="16">
        <v>33.44</v>
      </c>
      <c r="N30" s="16">
        <v>44.6</v>
      </c>
      <c r="O30" s="16">
        <v>33.44</v>
      </c>
      <c r="P30" s="16">
        <f t="shared" si="0"/>
        <v>33.44</v>
      </c>
      <c r="Q30" s="16">
        <f t="shared" si="1"/>
        <v>1488.08</v>
      </c>
      <c r="R30" s="12"/>
    </row>
    <row r="31" spans="1:18" x14ac:dyDescent="0.35">
      <c r="A31">
        <v>13</v>
      </c>
      <c r="B31" s="83">
        <f t="shared" si="6"/>
        <v>224.6209968568827</v>
      </c>
      <c r="C31" s="85">
        <f t="shared" si="2"/>
        <v>225</v>
      </c>
      <c r="D31" s="85">
        <f t="shared" si="3"/>
        <v>1602.6996809624775</v>
      </c>
      <c r="E31" s="22"/>
      <c r="F31" s="120">
        <f>'6 - Curve'!C14</f>
        <v>13</v>
      </c>
      <c r="G31" s="121">
        <f>'6 - Curve'!D14</f>
        <v>906.95045069269406</v>
      </c>
      <c r="H31" s="85">
        <f t="shared" si="4"/>
        <v>224.6209968568827</v>
      </c>
      <c r="I31" s="116">
        <f t="shared" si="5"/>
        <v>6.5174302811856624</v>
      </c>
      <c r="L31" s="15">
        <v>27</v>
      </c>
      <c r="M31" s="16">
        <v>26.08</v>
      </c>
      <c r="N31" s="16">
        <v>37</v>
      </c>
      <c r="O31" s="16">
        <v>26.08</v>
      </c>
      <c r="P31" s="16">
        <f t="shared" si="0"/>
        <v>26.08</v>
      </c>
      <c r="Q31" s="16">
        <f t="shared" si="1"/>
        <v>1160.56</v>
      </c>
      <c r="R31" s="12"/>
    </row>
    <row r="32" spans="1:18" x14ac:dyDescent="0.35">
      <c r="A32">
        <v>14</v>
      </c>
      <c r="B32" s="83">
        <f t="shared" si="6"/>
        <v>268.55443702033949</v>
      </c>
      <c r="C32" s="85">
        <f t="shared" si="2"/>
        <v>269</v>
      </c>
      <c r="D32" s="85">
        <f t="shared" si="3"/>
        <v>1340.5103411966129</v>
      </c>
      <c r="E32" s="22"/>
      <c r="F32" s="120">
        <f>'6 - Curve'!C15</f>
        <v>14</v>
      </c>
      <c r="G32" s="121">
        <f>'6 - Curve'!D15</f>
        <v>1042.5234115919416</v>
      </c>
      <c r="H32" s="85">
        <f t="shared" si="4"/>
        <v>268.55443702033949</v>
      </c>
      <c r="I32" s="116">
        <f t="shared" si="5"/>
        <v>7.1498642648825905</v>
      </c>
      <c r="L32" s="15">
        <v>28</v>
      </c>
      <c r="M32" s="16">
        <v>20.41</v>
      </c>
      <c r="N32" s="16">
        <v>30.7</v>
      </c>
      <c r="O32" s="16">
        <v>20.41</v>
      </c>
      <c r="P32" s="16">
        <f t="shared" si="0"/>
        <v>20.41</v>
      </c>
      <c r="Q32" s="16">
        <f t="shared" si="1"/>
        <v>908.245</v>
      </c>
      <c r="R32" s="12"/>
    </row>
    <row r="33" spans="1:18" x14ac:dyDescent="0.35">
      <c r="A33">
        <v>15</v>
      </c>
      <c r="B33" s="83">
        <f t="shared" si="6"/>
        <v>321.08078341965376</v>
      </c>
      <c r="C33" s="85">
        <f t="shared" si="2"/>
        <v>321</v>
      </c>
      <c r="D33" s="85">
        <f t="shared" si="3"/>
        <v>1121.2131606439937</v>
      </c>
      <c r="E33" s="22"/>
      <c r="F33" s="120">
        <f>'6 - Curve'!C16</f>
        <v>15</v>
      </c>
      <c r="G33" s="121">
        <f>'6 - Curve'!D16</f>
        <v>1191.5802407392805</v>
      </c>
      <c r="H33" s="85">
        <f t="shared" si="4"/>
        <v>321.08078341965376</v>
      </c>
      <c r="I33" s="116">
        <f t="shared" si="5"/>
        <v>7.7955617631235556</v>
      </c>
      <c r="L33" s="15">
        <v>29</v>
      </c>
      <c r="M33" s="16">
        <v>16.39</v>
      </c>
      <c r="N33" s="16">
        <v>25.2</v>
      </c>
      <c r="O33" s="16">
        <v>16.39</v>
      </c>
      <c r="P33" s="16">
        <f t="shared" si="0"/>
        <v>16.39</v>
      </c>
      <c r="Q33" s="16">
        <f t="shared" si="1"/>
        <v>729.35500000000002</v>
      </c>
      <c r="R33" s="12"/>
    </row>
    <row r="34" spans="1:18" ht="13.15" thickBot="1" x14ac:dyDescent="0.4">
      <c r="A34">
        <v>16</v>
      </c>
      <c r="B34" s="83">
        <f t="shared" si="6"/>
        <v>383.88071567616913</v>
      </c>
      <c r="C34" s="85">
        <f t="shared" si="2"/>
        <v>384</v>
      </c>
      <c r="D34" s="85">
        <f t="shared" si="3"/>
        <v>937.79131198579239</v>
      </c>
      <c r="E34" s="22"/>
      <c r="F34" s="120">
        <f>'6 - Curve'!C17</f>
        <v>16</v>
      </c>
      <c r="G34" s="121">
        <f>'6 - Curve'!D17</f>
        <v>1349.1029590834441</v>
      </c>
      <c r="H34" s="85">
        <f t="shared" si="4"/>
        <v>383.88071567616913</v>
      </c>
      <c r="I34" s="116">
        <f t="shared" si="5"/>
        <v>8.4994871048726921</v>
      </c>
      <c r="L34" s="23">
        <v>30</v>
      </c>
      <c r="M34" s="24">
        <v>13.94</v>
      </c>
      <c r="N34" s="24">
        <v>20.100000000000001</v>
      </c>
      <c r="O34" s="24">
        <v>13.94</v>
      </c>
      <c r="P34" s="24">
        <f t="shared" si="0"/>
        <v>13.94</v>
      </c>
      <c r="Q34" s="24">
        <f t="shared" si="1"/>
        <v>620.32999999999993</v>
      </c>
      <c r="R34" s="25"/>
    </row>
    <row r="35" spans="1:18" x14ac:dyDescent="0.35">
      <c r="A35">
        <v>17</v>
      </c>
      <c r="B35" s="83">
        <f t="shared" si="6"/>
        <v>458.96363618697785</v>
      </c>
      <c r="C35" s="85">
        <f t="shared" si="2"/>
        <v>459</v>
      </c>
      <c r="D35" s="85">
        <f t="shared" si="3"/>
        <v>784.375866878784</v>
      </c>
      <c r="E35" s="22"/>
      <c r="F35" s="120">
        <f>'6 - Curve'!C18</f>
        <v>17</v>
      </c>
      <c r="G35" s="121">
        <f>'6 - Curve'!D18</f>
        <v>1500.7978844484471</v>
      </c>
      <c r="H35" s="85">
        <f t="shared" si="4"/>
        <v>458.96363618697785</v>
      </c>
      <c r="I35" s="116">
        <f t="shared" si="5"/>
        <v>9.2803779578790113</v>
      </c>
    </row>
    <row r="36" spans="1:18" x14ac:dyDescent="0.35">
      <c r="A36">
        <v>18</v>
      </c>
      <c r="B36" s="83">
        <f t="shared" si="6"/>
        <v>548.73196474831241</v>
      </c>
      <c r="C36" s="85">
        <f t="shared" si="2"/>
        <v>549</v>
      </c>
      <c r="D36" s="85">
        <f t="shared" si="3"/>
        <v>656.05800851262836</v>
      </c>
      <c r="E36" s="22"/>
      <c r="F36" s="120">
        <f>'6 - Curve'!C19</f>
        <v>18</v>
      </c>
      <c r="G36" s="121">
        <f>'6 - Curve'!D19</f>
        <v>1649.4429937866628</v>
      </c>
      <c r="H36" s="85">
        <f t="shared" si="4"/>
        <v>548.73196474831241</v>
      </c>
      <c r="I36" s="116">
        <f t="shared" si="5"/>
        <v>10.149294572370483</v>
      </c>
    </row>
    <row r="37" spans="1:18" x14ac:dyDescent="0.35">
      <c r="A37">
        <v>19</v>
      </c>
      <c r="B37" s="83">
        <f t="shared" si="6"/>
        <v>656.05800851262836</v>
      </c>
      <c r="C37" s="85">
        <f t="shared" si="2"/>
        <v>656</v>
      </c>
      <c r="D37" s="85">
        <f t="shared" si="3"/>
        <v>548.73196474831241</v>
      </c>
      <c r="E37" s="22"/>
      <c r="F37" s="120">
        <f>'6 - Curve'!C20</f>
        <v>19</v>
      </c>
      <c r="G37" s="121">
        <f>'6 - Curve'!D20</f>
        <v>1809.6906236907946</v>
      </c>
      <c r="H37" s="85">
        <f t="shared" si="4"/>
        <v>656.05800851262836</v>
      </c>
      <c r="I37" s="116">
        <f t="shared" si="5"/>
        <v>11.076787571348028</v>
      </c>
    </row>
    <row r="38" spans="1:18" x14ac:dyDescent="0.35">
      <c r="A38">
        <v>20</v>
      </c>
      <c r="B38" s="83">
        <f t="shared" si="6"/>
        <v>784.375866878784</v>
      </c>
      <c r="C38" s="85">
        <f t="shared" si="2"/>
        <v>784</v>
      </c>
      <c r="D38" s="85">
        <f t="shared" si="3"/>
        <v>458.96363618697785</v>
      </c>
      <c r="E38" s="22"/>
      <c r="F38" s="120">
        <f>'6 - Curve'!C21</f>
        <v>20</v>
      </c>
      <c r="G38" s="121">
        <f>'6 - Curve'!D21</f>
        <v>1982.3194930058253</v>
      </c>
      <c r="H38" s="85">
        <f t="shared" si="4"/>
        <v>784.375866878784</v>
      </c>
      <c r="I38" s="116">
        <f t="shared" si="5"/>
        <v>12.067128202899568</v>
      </c>
    </row>
    <row r="39" spans="1:18" x14ac:dyDescent="0.35">
      <c r="A39">
        <v>21</v>
      </c>
      <c r="B39" s="83">
        <f t="shared" si="6"/>
        <v>937.79131198579239</v>
      </c>
      <c r="C39" s="85">
        <f t="shared" si="2"/>
        <v>938</v>
      </c>
      <c r="D39" s="85">
        <f t="shared" si="3"/>
        <v>383.88071567616913</v>
      </c>
      <c r="E39" s="22"/>
      <c r="F39" s="120">
        <f>'6 - Curve'!C22</f>
        <v>21</v>
      </c>
      <c r="G39" s="121">
        <f>'6 - Curve'!D22</f>
        <v>2175.8477861349802</v>
      </c>
      <c r="H39" s="85">
        <f t="shared" si="4"/>
        <v>937.79131198579239</v>
      </c>
      <c r="I39" s="116">
        <f t="shared" si="5"/>
        <v>13.231546355944566</v>
      </c>
    </row>
    <row r="40" spans="1:18" x14ac:dyDescent="0.35">
      <c r="A40">
        <v>22</v>
      </c>
      <c r="B40" s="83">
        <f t="shared" si="6"/>
        <v>1121.2131606439937</v>
      </c>
      <c r="C40" s="85">
        <f t="shared" si="2"/>
        <v>1121</v>
      </c>
      <c r="D40" s="85">
        <f t="shared" si="3"/>
        <v>321.08078341965376</v>
      </c>
      <c r="E40" s="22"/>
      <c r="F40" s="120">
        <f>'6 - Curve'!C23</f>
        <v>22</v>
      </c>
      <c r="G40" s="121">
        <f>'6 - Curve'!D23</f>
        <v>2391.4204688041928</v>
      </c>
      <c r="H40" s="85">
        <f t="shared" si="4"/>
        <v>1121.2131606439937</v>
      </c>
      <c r="I40" s="116">
        <f t="shared" si="5"/>
        <v>14.537124489506171</v>
      </c>
    </row>
    <row r="41" spans="1:18" x14ac:dyDescent="0.35">
      <c r="A41">
        <v>23</v>
      </c>
      <c r="B41" s="83">
        <f t="shared" si="6"/>
        <v>1340.5103411966129</v>
      </c>
      <c r="C41" s="85">
        <f t="shared" si="2"/>
        <v>1341</v>
      </c>
      <c r="D41" s="85">
        <f t="shared" si="3"/>
        <v>268.55443702033949</v>
      </c>
      <c r="E41" s="22"/>
      <c r="F41" s="120">
        <f>'6 - Curve'!C24</f>
        <v>23</v>
      </c>
      <c r="G41" s="121">
        <f>'6 - Curve'!D24</f>
        <v>2639.0025612781433</v>
      </c>
      <c r="H41" s="85">
        <f t="shared" si="4"/>
        <v>1340.5103411966129</v>
      </c>
      <c r="I41" s="116">
        <f t="shared" si="5"/>
        <v>15.9446102798157</v>
      </c>
    </row>
    <row r="42" spans="1:18" x14ac:dyDescent="0.35">
      <c r="A42">
        <v>24</v>
      </c>
      <c r="B42" s="83">
        <f t="shared" si="6"/>
        <v>1602.6996809624775</v>
      </c>
      <c r="C42" s="85">
        <f t="shared" si="2"/>
        <v>1603</v>
      </c>
      <c r="D42" s="85">
        <f t="shared" si="3"/>
        <v>224.6209968568827</v>
      </c>
      <c r="F42" s="120">
        <f>'6 - Curve'!C25</f>
        <v>24</v>
      </c>
      <c r="G42" s="121">
        <f>'6 - Curve'!D25</f>
        <v>2910.3498904411827</v>
      </c>
      <c r="H42" s="85">
        <f t="shared" si="4"/>
        <v>1602.6996809624775</v>
      </c>
      <c r="I42" s="116">
        <f t="shared" si="5"/>
        <v>17.690400177632878</v>
      </c>
    </row>
    <row r="43" spans="1:18" x14ac:dyDescent="0.35">
      <c r="A43">
        <v>25</v>
      </c>
      <c r="B43" s="83">
        <f t="shared" si="6"/>
        <v>1916.1704228736594</v>
      </c>
      <c r="C43" s="85">
        <f t="shared" si="2"/>
        <v>1916</v>
      </c>
      <c r="D43" s="85">
        <f t="shared" si="3"/>
        <v>187.87472956612677</v>
      </c>
      <c r="F43" s="120">
        <f>'6 - Curve'!C26</f>
        <v>25</v>
      </c>
      <c r="G43" s="121">
        <f>'6 - Curve'!D26</f>
        <v>3212.2219656283432</v>
      </c>
      <c r="H43" s="85">
        <f t="shared" si="4"/>
        <v>1916.1704228736594</v>
      </c>
      <c r="I43" s="116">
        <f t="shared" si="5"/>
        <v>19.628503218336654</v>
      </c>
    </row>
    <row r="44" spans="1:18" x14ac:dyDescent="0.35">
      <c r="A44">
        <v>26</v>
      </c>
      <c r="B44" s="83">
        <f t="shared" si="6"/>
        <v>2290.9526551417471</v>
      </c>
      <c r="C44" s="85">
        <f t="shared" si="2"/>
        <v>2291</v>
      </c>
      <c r="D44" s="85">
        <f t="shared" si="3"/>
        <v>157.13986895016188</v>
      </c>
      <c r="F44" s="120">
        <f>'6 - Curve'!C27</f>
        <v>26</v>
      </c>
      <c r="G44" s="121">
        <f>'6 - Curve'!D27</f>
        <v>3513.1533581806716</v>
      </c>
      <c r="H44" s="85">
        <f t="shared" si="4"/>
        <v>2290.9526551417471</v>
      </c>
      <c r="I44" s="116">
        <f t="shared" si="5"/>
        <v>21.549381574636822</v>
      </c>
    </row>
    <row r="45" spans="1:18" x14ac:dyDescent="0.35">
      <c r="A45">
        <v>27</v>
      </c>
      <c r="B45" s="83">
        <f t="shared" si="6"/>
        <v>2739.0382428667058</v>
      </c>
      <c r="C45" s="85">
        <f t="shared" si="2"/>
        <v>2739</v>
      </c>
      <c r="D45" s="85">
        <f t="shared" si="3"/>
        <v>131.4329951170086</v>
      </c>
      <c r="F45" s="120">
        <f>'6 - Curve'!C28</f>
        <v>27</v>
      </c>
      <c r="G45" s="121">
        <f>'6 - Curve'!D28</f>
        <v>3815.8615675185765</v>
      </c>
      <c r="H45" s="85">
        <f t="shared" si="4"/>
        <v>2739.0382428667058</v>
      </c>
      <c r="I45" s="116">
        <f t="shared" si="5"/>
        <v>23.379961722196224</v>
      </c>
    </row>
    <row r="46" spans="1:18" x14ac:dyDescent="0.35">
      <c r="A46">
        <v>28</v>
      </c>
      <c r="B46" s="83">
        <f t="shared" si="6"/>
        <v>3274.7645304010625</v>
      </c>
      <c r="C46" s="85">
        <f t="shared" si="2"/>
        <v>3275</v>
      </c>
      <c r="D46" s="85">
        <f t="shared" si="3"/>
        <v>109.93156810450434</v>
      </c>
      <c r="F46" s="120">
        <f>'6 - Curve'!C29</f>
        <v>28</v>
      </c>
      <c r="G46" s="121">
        <f>'6 - Curve'!D29</f>
        <v>4128.557169286496</v>
      </c>
      <c r="H46" s="85">
        <f t="shared" si="4"/>
        <v>3274.7645304010625</v>
      </c>
      <c r="I46" s="116">
        <f t="shared" si="5"/>
        <v>25.207727172072047</v>
      </c>
    </row>
    <row r="47" spans="1:18" x14ac:dyDescent="0.35">
      <c r="A47">
        <v>29</v>
      </c>
      <c r="B47" s="83">
        <f t="shared" si="6"/>
        <v>3915.2730917509775</v>
      </c>
      <c r="C47" s="85">
        <f t="shared" si="2"/>
        <v>3915</v>
      </c>
      <c r="D47" s="85">
        <f t="shared" si="3"/>
        <v>91.947609161281108</v>
      </c>
      <c r="F47" s="120">
        <f>'6 - Curve'!C30</f>
        <v>29</v>
      </c>
      <c r="G47" s="121">
        <f>'6 - Curve'!D30</f>
        <v>4450.4983515135063</v>
      </c>
      <c r="H47" s="85">
        <f t="shared" si="4"/>
        <v>3915.2730917509775</v>
      </c>
      <c r="I47" s="116">
        <f t="shared" si="5"/>
        <v>27.321322593680947</v>
      </c>
    </row>
    <row r="48" spans="1:18" x14ac:dyDescent="0.35">
      <c r="A48">
        <v>30</v>
      </c>
      <c r="B48" s="83">
        <f t="shared" si="6"/>
        <v>4681.0582075993907</v>
      </c>
      <c r="C48" s="85">
        <f t="shared" si="2"/>
        <v>4681</v>
      </c>
      <c r="D48" s="85">
        <f t="shared" si="3"/>
        <v>76.905687567730567</v>
      </c>
      <c r="F48" s="120">
        <f>'6 - Curve'!C31</f>
        <v>30</v>
      </c>
      <c r="G48" s="121">
        <f>'6 - Curve'!D31</f>
        <v>4815.0375625393172</v>
      </c>
      <c r="H48" s="85">
        <f t="shared" si="4"/>
        <v>4681.0582075993907</v>
      </c>
      <c r="I48" s="116">
        <f t="shared" si="5"/>
        <v>29.670876733326072</v>
      </c>
    </row>
    <row r="49" spans="1:31" x14ac:dyDescent="0.35">
      <c r="A49">
        <v>38</v>
      </c>
      <c r="B49" s="83">
        <f t="shared" si="6"/>
        <v>5596.6226185091118</v>
      </c>
      <c r="C49" s="85">
        <f t="shared" si="2"/>
        <v>5597</v>
      </c>
      <c r="D49" s="85">
        <f t="shared" si="3"/>
        <v>64.324508643732756</v>
      </c>
      <c r="F49" s="120">
        <f>'6 - Curve'!C32</f>
        <v>38</v>
      </c>
      <c r="G49" s="121">
        <f>'6 - Curve'!D32</f>
        <v>9426.4699617590704</v>
      </c>
      <c r="H49" s="85">
        <f t="shared" si="4"/>
        <v>5596.6226185091118</v>
      </c>
      <c r="I49" s="116">
        <f t="shared" si="5"/>
        <v>31.56011724471842</v>
      </c>
    </row>
    <row r="50" spans="1:31" x14ac:dyDescent="0.35">
      <c r="A50">
        <v>50</v>
      </c>
      <c r="B50" s="83">
        <f t="shared" si="6"/>
        <v>6691.2615363676259</v>
      </c>
      <c r="C50" s="85">
        <f t="shared" si="2"/>
        <v>6691</v>
      </c>
      <c r="D50" s="85">
        <f t="shared" si="3"/>
        <v>53.801513816694545</v>
      </c>
      <c r="F50" s="120">
        <f>'6 - Curve'!C33</f>
        <v>50</v>
      </c>
      <c r="G50" s="121">
        <f>'6 - Curve'!D33</f>
        <v>15895.418171796442</v>
      </c>
      <c r="H50" s="85">
        <f t="shared" si="4"/>
        <v>6691.2615363676259</v>
      </c>
      <c r="I50" s="116">
        <f t="shared" si="5"/>
        <v>33.486467988602172</v>
      </c>
    </row>
    <row r="51" spans="1:31" ht="13.15" thickBot="1" x14ac:dyDescent="0.4">
      <c r="A51">
        <v>70</v>
      </c>
      <c r="B51" s="83">
        <f t="shared" si="6"/>
        <v>7999.9999999999909</v>
      </c>
      <c r="C51" s="85">
        <f t="shared" si="2"/>
        <v>8000</v>
      </c>
      <c r="D51" s="85">
        <f>$B$12*1.5</f>
        <v>45</v>
      </c>
      <c r="E51" s="11"/>
      <c r="F51" s="122">
        <f>'6 - Curve'!C34</f>
        <v>70</v>
      </c>
      <c r="G51" s="123">
        <f>'6 - Curve'!D34</f>
        <v>24999.999999999996</v>
      </c>
      <c r="H51" s="85">
        <f t="shared" si="4"/>
        <v>7999.9999999999909</v>
      </c>
      <c r="I51" s="116">
        <f t="shared" si="5"/>
        <v>35.604862840706851</v>
      </c>
    </row>
    <row r="54" spans="1:31" ht="13.5" thickBot="1" x14ac:dyDescent="0.45">
      <c r="B54" s="109" t="s">
        <v>42</v>
      </c>
      <c r="E54" s="16"/>
    </row>
    <row r="55" spans="1:31" x14ac:dyDescent="0.35">
      <c r="A55" s="11" t="s">
        <v>174</v>
      </c>
      <c r="B55" s="110">
        <v>4</v>
      </c>
      <c r="C55" s="111">
        <v>5</v>
      </c>
      <c r="D55" s="111">
        <v>6</v>
      </c>
      <c r="E55" s="111">
        <v>7</v>
      </c>
      <c r="F55" s="111">
        <v>8</v>
      </c>
      <c r="G55" s="111">
        <v>9</v>
      </c>
      <c r="H55" s="111">
        <v>10</v>
      </c>
      <c r="I55" s="111">
        <v>11</v>
      </c>
      <c r="J55" s="111">
        <v>12</v>
      </c>
      <c r="K55" s="111">
        <v>13</v>
      </c>
      <c r="L55" s="111">
        <v>14</v>
      </c>
      <c r="M55" s="111">
        <v>15</v>
      </c>
      <c r="N55" s="111">
        <v>16</v>
      </c>
      <c r="O55" s="111">
        <v>17</v>
      </c>
      <c r="P55" s="111">
        <v>18</v>
      </c>
      <c r="Q55" s="111">
        <v>19</v>
      </c>
      <c r="R55" s="111">
        <v>20</v>
      </c>
      <c r="S55" s="111">
        <v>21</v>
      </c>
      <c r="T55" s="111">
        <v>22</v>
      </c>
      <c r="U55" s="111">
        <v>23</v>
      </c>
      <c r="V55" s="111">
        <v>24</v>
      </c>
      <c r="W55" s="111">
        <v>25</v>
      </c>
      <c r="X55" s="111">
        <v>26</v>
      </c>
      <c r="Y55" s="111">
        <v>27</v>
      </c>
      <c r="Z55" s="111">
        <v>28</v>
      </c>
      <c r="AA55" s="111">
        <v>29</v>
      </c>
      <c r="AB55" s="111">
        <v>30</v>
      </c>
      <c r="AC55" s="111">
        <v>38</v>
      </c>
      <c r="AD55" s="111">
        <v>50</v>
      </c>
      <c r="AE55" s="112">
        <v>70</v>
      </c>
    </row>
    <row r="56" spans="1:31" ht="14.25" thickBot="1" x14ac:dyDescent="0.45">
      <c r="A56" s="11" t="s">
        <v>44</v>
      </c>
      <c r="B56" s="113">
        <f>INT($B22+0.5)</f>
        <v>45</v>
      </c>
      <c r="C56" s="114">
        <f>INT($B23+0.5)</f>
        <v>54</v>
      </c>
      <c r="D56" s="114">
        <f>INT($B24+0.5)</f>
        <v>64</v>
      </c>
      <c r="E56" s="114">
        <f>INT($B25+0.5)</f>
        <v>77</v>
      </c>
      <c r="F56" s="114">
        <f>INT($B26+0.5)</f>
        <v>92</v>
      </c>
      <c r="G56" s="114">
        <f>INT($B27+0.5)</f>
        <v>110</v>
      </c>
      <c r="H56" s="114">
        <f>INT($B28+0.5)</f>
        <v>131</v>
      </c>
      <c r="I56" s="114">
        <f>INT($B29+0.5)</f>
        <v>157</v>
      </c>
      <c r="J56" s="114">
        <f>INT($B30+0.5)</f>
        <v>188</v>
      </c>
      <c r="K56" s="114">
        <f>INT($B31+0.5)</f>
        <v>225</v>
      </c>
      <c r="L56" s="114">
        <f>INT($B32+0.5)</f>
        <v>269</v>
      </c>
      <c r="M56" s="114">
        <f>INT($B33+0.5)</f>
        <v>321</v>
      </c>
      <c r="N56" s="114">
        <f>INT($B34+0.5)</f>
        <v>384</v>
      </c>
      <c r="O56" s="114">
        <f>INT($B35+0.5)</f>
        <v>459</v>
      </c>
      <c r="P56" s="114">
        <f>INT($B36+0.5)</f>
        <v>549</v>
      </c>
      <c r="Q56" s="114">
        <f>INT($B37+0.5)</f>
        <v>656</v>
      </c>
      <c r="R56" s="114">
        <f>INT($B38+0.5)</f>
        <v>784</v>
      </c>
      <c r="S56" s="114">
        <f>INT($B39+0.5)</f>
        <v>938</v>
      </c>
      <c r="T56" s="114">
        <f>INT($B40+0.5)</f>
        <v>1121</v>
      </c>
      <c r="U56" s="114">
        <f>INT($B41+0.5)</f>
        <v>1341</v>
      </c>
      <c r="V56" s="114">
        <f>INT($B42+0.5)</f>
        <v>1603</v>
      </c>
      <c r="W56" s="114">
        <f>INT($B43+0.5)</f>
        <v>1916</v>
      </c>
      <c r="X56" s="114">
        <f>INT($B44+0.5)</f>
        <v>2291</v>
      </c>
      <c r="Y56" s="114">
        <f>INT($B45+0.5)</f>
        <v>2739</v>
      </c>
      <c r="Z56" s="114">
        <f>INT($B46+0.5)</f>
        <v>3275</v>
      </c>
      <c r="AA56" s="114">
        <f>INT($B47+0.5)</f>
        <v>3915</v>
      </c>
      <c r="AB56" s="114">
        <f>INT($B48+0.5)</f>
        <v>4681</v>
      </c>
      <c r="AC56" s="114">
        <f>INT($B49+0.5)</f>
        <v>5597</v>
      </c>
      <c r="AD56" s="114">
        <f>INT($B50+0.5)</f>
        <v>6691</v>
      </c>
      <c r="AE56" s="115">
        <f>INT($B51+0.5)</f>
        <v>8000</v>
      </c>
    </row>
    <row r="58" spans="1:31" ht="36.4" x14ac:dyDescent="0.35">
      <c r="B58" s="1" t="s">
        <v>183</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zoomScale="70" zoomScaleNormal="70" workbookViewId="0">
      <selection activeCell="K33" sqref="K33"/>
    </sheetView>
  </sheetViews>
  <sheetFormatPr defaultColWidth="11.53125" defaultRowHeight="12.75" x14ac:dyDescent="0.35"/>
  <cols>
    <col min="12" max="12" width="12.3984375" customWidth="1"/>
  </cols>
  <sheetData>
    <row r="1" spans="1:49" x14ac:dyDescent="0.35">
      <c r="A1" t="s">
        <v>45</v>
      </c>
    </row>
    <row r="2" spans="1:49" ht="40.15" x14ac:dyDescent="0.4">
      <c r="A2" s="159" t="s">
        <v>46</v>
      </c>
      <c r="B2" s="159"/>
      <c r="C2" s="159"/>
      <c r="D2" s="159"/>
      <c r="E2" s="159"/>
      <c r="H2" s="26" t="s">
        <v>47</v>
      </c>
    </row>
    <row r="3" spans="1:49" ht="13.9" x14ac:dyDescent="0.4">
      <c r="A3" t="s">
        <v>48</v>
      </c>
      <c r="B3" s="136" t="str">
        <f>'Clause 6'!$B$7</f>
        <v>11171-00009</v>
      </c>
      <c r="D3" t="s">
        <v>49</v>
      </c>
      <c r="E3" s="27">
        <f>'Clause 6'!$G$11</f>
        <v>1</v>
      </c>
    </row>
    <row r="4" spans="1:49" ht="18.100000000000001" customHeight="1" x14ac:dyDescent="1.05">
      <c r="A4" s="27" t="s">
        <v>8</v>
      </c>
      <c r="B4" s="137">
        <f>'Clause 6'!$B$4</f>
        <v>46098</v>
      </c>
      <c r="D4" t="s">
        <v>181</v>
      </c>
      <c r="E4" s="30">
        <f>'Clause 6'!$D$18</f>
        <v>1</v>
      </c>
      <c r="O4" s="28"/>
    </row>
    <row r="5" spans="1:49" ht="13.9" x14ac:dyDescent="0.4">
      <c r="A5" s="27" t="s">
        <v>4</v>
      </c>
      <c r="B5" s="138" t="str">
        <f>'Clause 6'!$B$3</f>
        <v>Partistan 37D</v>
      </c>
      <c r="O5" s="29"/>
    </row>
    <row r="6" spans="1:49" ht="13.15" x14ac:dyDescent="0.4">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B52/$E$4</f>
        <v>4.4694779999999996</v>
      </c>
      <c r="C8" s="30">
        <f t="shared" ref="C8:F8" si="0">C52/$E$4</f>
        <v>4.4241450000000002</v>
      </c>
      <c r="D8" s="30">
        <f t="shared" si="0"/>
        <v>4.4558520000000001</v>
      </c>
      <c r="E8" s="30">
        <f t="shared" si="0"/>
        <v>4.4696800000000003</v>
      </c>
      <c r="F8" s="30">
        <f t="shared" si="0"/>
        <v>4.4398780000000002</v>
      </c>
      <c r="G8" s="31">
        <f>AVERAGE(B$8:F$8)*5</f>
        <v>22.259033000000002</v>
      </c>
      <c r="I8" s="32"/>
      <c r="K8" s="32"/>
      <c r="O8" s="81"/>
      <c r="P8" s="81"/>
      <c r="Q8" s="81"/>
      <c r="R8" s="81"/>
      <c r="S8" s="81"/>
    </row>
    <row r="9" spans="1:49" ht="13.15" x14ac:dyDescent="0.4">
      <c r="A9" s="11" t="s">
        <v>63</v>
      </c>
      <c r="B9" s="30">
        <f>B53*$E$4/B$8</f>
        <v>17465.574279591488</v>
      </c>
      <c r="C9" s="30">
        <f t="shared" ref="C9:F9" si="1">C53*$E$4/C$8</f>
        <v>17725.684849841044</v>
      </c>
      <c r="D9" s="30">
        <f t="shared" si="1"/>
        <v>17448.066048872359</v>
      </c>
      <c r="E9" s="30">
        <f t="shared" si="1"/>
        <v>17335.469205849186</v>
      </c>
      <c r="F9" s="30">
        <f t="shared" si="1"/>
        <v>17752.289589939181</v>
      </c>
      <c r="G9" s="33">
        <f>AVERAGE(B9:F9)</f>
        <v>17545.416794818651</v>
      </c>
      <c r="H9" s="34">
        <f>G9*G$8</f>
        <v>390544.01143462263</v>
      </c>
      <c r="I9" s="32">
        <f t="shared" ref="I9:I38" si="2">STDEVP(B9:F9)/AVERAGE(B9:F9)</f>
        <v>9.3729531760169387E-3</v>
      </c>
      <c r="J9" s="32">
        <f t="shared" ref="J9:J38" si="3">IF(H9&gt;$A$43, $C$43, IF(H9&gt;$A$44, $C$44, IF(H9&gt;$A$45,$C$45,IF(H9&gt;$A$46,$C$46, IF(H9&gt;$A$47,$C$47,IF(H9&gt;$A$48,$C$48,$C$49))))))/100</f>
        <v>0.11</v>
      </c>
      <c r="K9" s="32">
        <f>(MAX(B9:F9)-MIN(B9:F9))/G9</f>
        <v>2.3756653316613519E-2</v>
      </c>
      <c r="L9" s="16">
        <f>G9/'Clause 6'!$G$11</f>
        <v>17545.416794818651</v>
      </c>
      <c r="M9">
        <f t="shared" ref="M9:M38" si="4">COUNTA(B9:F9)</f>
        <v>5</v>
      </c>
      <c r="O9" s="82">
        <f>IF(ISNUMBER(B9), (B9/$G9-1), 0)</f>
        <v>-4.5506194672297884E-3</v>
      </c>
      <c r="P9" s="82">
        <f t="shared" ref="P9:S38" si="5">IF(ISNUMBER(C9), (C9/$G9-1), 0)</f>
        <v>1.0274367211135615E-2</v>
      </c>
      <c r="Q9" s="82">
        <f t="shared" si="5"/>
        <v>-5.5485000490294034E-3</v>
      </c>
      <c r="R9" s="82">
        <f t="shared" si="5"/>
        <v>-1.1965950505744893E-2</v>
      </c>
      <c r="S9" s="82">
        <f t="shared" si="5"/>
        <v>1.1790702810868581E-2</v>
      </c>
    </row>
    <row r="10" spans="1:49" ht="13.15" x14ac:dyDescent="0.4">
      <c r="A10" s="11" t="s">
        <v>64</v>
      </c>
      <c r="B10" s="30">
        <f t="shared" ref="B10:F10" si="6">B54*$E$4/B$8</f>
        <v>14971.994492421711</v>
      </c>
      <c r="C10" s="30">
        <f t="shared" si="6"/>
        <v>15181.012376402672</v>
      </c>
      <c r="D10" s="30">
        <f t="shared" si="6"/>
        <v>14935.864117569434</v>
      </c>
      <c r="E10" s="30">
        <f t="shared" si="6"/>
        <v>14853.1885951567</v>
      </c>
      <c r="F10" s="30">
        <f t="shared" si="6"/>
        <v>15174.06559369424</v>
      </c>
      <c r="G10" s="33">
        <f t="shared" ref="G10:G38" si="7">AVERAGE(B10:F10)</f>
        <v>15023.225035048952</v>
      </c>
      <c r="H10" s="34">
        <f t="shared" ref="H10:H38" si="8">G10*G$8</f>
        <v>334402.46182158083</v>
      </c>
      <c r="I10" s="32">
        <f t="shared" si="2"/>
        <v>8.7711842826180674E-3</v>
      </c>
      <c r="J10" s="32">
        <f t="shared" si="3"/>
        <v>0.11</v>
      </c>
      <c r="K10" s="32">
        <f t="shared" ref="K10:K38" si="9">(MAX(B10:F10)-MIN(B10:F10))/G10</f>
        <v>2.1821132312214199E-2</v>
      </c>
      <c r="L10" s="16">
        <f>G10/'Clause 6'!$G$11</f>
        <v>15023.225035048952</v>
      </c>
      <c r="M10">
        <f t="shared" si="4"/>
        <v>5</v>
      </c>
      <c r="O10" s="82">
        <f t="shared" ref="O10:O38" si="10">IF(ISNUMBER(B10), (B10/$G10-1), 0)</f>
        <v>-3.4100895452022773E-3</v>
      </c>
      <c r="P10" s="82">
        <f t="shared" si="5"/>
        <v>1.0502894084699177E-2</v>
      </c>
      <c r="Q10" s="82">
        <f t="shared" si="5"/>
        <v>-5.815057504344523E-3</v>
      </c>
      <c r="R10" s="82">
        <f t="shared" si="5"/>
        <v>-1.1318238227514987E-2</v>
      </c>
      <c r="S10" s="82">
        <f t="shared" si="5"/>
        <v>1.0040491192362389E-2</v>
      </c>
    </row>
    <row r="11" spans="1:49" ht="13.15" x14ac:dyDescent="0.4">
      <c r="A11" s="11" t="s">
        <v>65</v>
      </c>
      <c r="B11" s="30">
        <f t="shared" ref="B11:F11" si="11">B55*$E$4/B$8</f>
        <v>12963.48253643938</v>
      </c>
      <c r="C11" s="30">
        <f t="shared" si="11"/>
        <v>13147.399101973375</v>
      </c>
      <c r="D11" s="30">
        <f t="shared" si="11"/>
        <v>12915.823954655585</v>
      </c>
      <c r="E11" s="30">
        <f t="shared" si="11"/>
        <v>12900.476096722807</v>
      </c>
      <c r="F11" s="30">
        <f t="shared" si="11"/>
        <v>13138.874536642674</v>
      </c>
      <c r="G11" s="33">
        <f t="shared" si="7"/>
        <v>13013.211245286764</v>
      </c>
      <c r="H11" s="34">
        <f t="shared" si="8"/>
        <v>289661.49854480923</v>
      </c>
      <c r="I11" s="32">
        <f t="shared" si="2"/>
        <v>8.3095040003947993E-3</v>
      </c>
      <c r="J11" s="32">
        <f t="shared" si="3"/>
        <v>0.11</v>
      </c>
      <c r="K11" s="32">
        <f t="shared" si="9"/>
        <v>1.8974794199241241E-2</v>
      </c>
      <c r="L11" s="16">
        <f>G11/'Clause 6'!$G$11</f>
        <v>13013.211245286764</v>
      </c>
      <c r="M11">
        <f t="shared" si="4"/>
        <v>5</v>
      </c>
      <c r="O11" s="82">
        <f t="shared" si="10"/>
        <v>-3.821401797761137E-3</v>
      </c>
      <c r="P11" s="82">
        <f t="shared" si="5"/>
        <v>1.0311663597654341E-2</v>
      </c>
      <c r="Q11" s="82">
        <f t="shared" si="5"/>
        <v>-7.483724716022877E-3</v>
      </c>
      <c r="R11" s="82">
        <f t="shared" si="5"/>
        <v>-8.6631306015868548E-3</v>
      </c>
      <c r="S11" s="82">
        <f t="shared" si="5"/>
        <v>9.6565935177164164E-3</v>
      </c>
    </row>
    <row r="12" spans="1:49" ht="13.15" x14ac:dyDescent="0.4">
      <c r="A12" s="11" t="s">
        <v>66</v>
      </c>
      <c r="B12" s="30">
        <f t="shared" ref="B12:F12" si="12">B56*$E$4/B$8</f>
        <v>11091.45184292215</v>
      </c>
      <c r="C12" s="30">
        <f t="shared" si="12"/>
        <v>11239.911892580374</v>
      </c>
      <c r="D12" s="30">
        <f t="shared" si="12"/>
        <v>11035.151077728793</v>
      </c>
      <c r="E12" s="30">
        <f t="shared" si="12"/>
        <v>10996.760394480141</v>
      </c>
      <c r="F12" s="30">
        <f t="shared" si="12"/>
        <v>11227.110294472055</v>
      </c>
      <c r="G12" s="33">
        <f t="shared" si="7"/>
        <v>11118.077100436702</v>
      </c>
      <c r="H12" s="34">
        <f t="shared" si="8"/>
        <v>247477.64507516488</v>
      </c>
      <c r="I12" s="32">
        <f t="shared" si="2"/>
        <v>8.9071722924873135E-3</v>
      </c>
      <c r="J12" s="32">
        <f t="shared" si="3"/>
        <v>0.11</v>
      </c>
      <c r="K12" s="32">
        <f t="shared" si="9"/>
        <v>2.1869923720054273E-2</v>
      </c>
      <c r="L12" s="16">
        <f>G12/'Clause 6'!$G$11</f>
        <v>11118.077100436702</v>
      </c>
      <c r="M12">
        <f t="shared" si="4"/>
        <v>5</v>
      </c>
      <c r="O12" s="82">
        <f t="shared" si="10"/>
        <v>-2.3947718003777263E-3</v>
      </c>
      <c r="P12" s="82">
        <f t="shared" si="5"/>
        <v>1.0958261131224445E-2</v>
      </c>
      <c r="Q12" s="82">
        <f t="shared" si="5"/>
        <v>-7.4586659148686563E-3</v>
      </c>
      <c r="R12" s="82">
        <f t="shared" si="5"/>
        <v>-1.0911662588829807E-2</v>
      </c>
      <c r="S12" s="82">
        <f t="shared" si="5"/>
        <v>9.8068391728520776E-3</v>
      </c>
    </row>
    <row r="13" spans="1:49" ht="13.15" x14ac:dyDescent="0.4">
      <c r="A13" s="11" t="s">
        <v>67</v>
      </c>
      <c r="B13" s="30">
        <f t="shared" ref="B13:F13" si="13">B57*$E$4/B$8</f>
        <v>9510.7303358468271</v>
      </c>
      <c r="C13" s="30">
        <f t="shared" si="13"/>
        <v>9625.5886730656421</v>
      </c>
      <c r="D13" s="30">
        <f t="shared" si="13"/>
        <v>9425.5823577623305</v>
      </c>
      <c r="E13" s="30">
        <f t="shared" si="13"/>
        <v>9421.2561078197978</v>
      </c>
      <c r="F13" s="30">
        <f t="shared" si="13"/>
        <v>9619.4084612234838</v>
      </c>
      <c r="G13" s="33">
        <f t="shared" si="7"/>
        <v>9520.513187143617</v>
      </c>
      <c r="H13" s="34">
        <f t="shared" si="8"/>
        <v>211917.41720956497</v>
      </c>
      <c r="I13" s="32">
        <f t="shared" si="2"/>
        <v>9.3689446013618932E-3</v>
      </c>
      <c r="J13" s="32">
        <f t="shared" si="3"/>
        <v>0.11</v>
      </c>
      <c r="K13" s="32">
        <f t="shared" si="9"/>
        <v>2.1462347798832153E-2</v>
      </c>
      <c r="L13" s="16">
        <f>G13/'Clause 6'!$G$11</f>
        <v>9520.513187143617</v>
      </c>
      <c r="M13">
        <f t="shared" si="4"/>
        <v>5</v>
      </c>
      <c r="O13" s="82">
        <f t="shared" si="10"/>
        <v>-1.027555038734751E-3</v>
      </c>
      <c r="P13" s="82">
        <f t="shared" si="5"/>
        <v>1.1036746009019494E-2</v>
      </c>
      <c r="Q13" s="82">
        <f t="shared" si="5"/>
        <v>-9.9711882663510165E-3</v>
      </c>
      <c r="R13" s="82">
        <f t="shared" si="5"/>
        <v>-1.0425601789812666E-2</v>
      </c>
      <c r="S13" s="82">
        <f t="shared" si="5"/>
        <v>1.0387599085878385E-2</v>
      </c>
    </row>
    <row r="14" spans="1:49" ht="13.15" x14ac:dyDescent="0.4">
      <c r="A14" s="11" t="s">
        <v>68</v>
      </c>
      <c r="B14" s="30">
        <f t="shared" ref="B14:F14" si="14">B58*$E$4/B$8</f>
        <v>8111.9092654667957</v>
      </c>
      <c r="C14" s="30">
        <f t="shared" si="14"/>
        <v>8196.3859683622486</v>
      </c>
      <c r="D14" s="30">
        <f t="shared" si="14"/>
        <v>8016.6486678641932</v>
      </c>
      <c r="E14" s="30">
        <f t="shared" si="14"/>
        <v>8025.1830108643117</v>
      </c>
      <c r="F14" s="30">
        <f t="shared" si="14"/>
        <v>8197.2973131243689</v>
      </c>
      <c r="G14" s="33">
        <f t="shared" si="7"/>
        <v>8109.4848451363841</v>
      </c>
      <c r="H14" s="34">
        <f t="shared" si="8"/>
        <v>180509.29078089067</v>
      </c>
      <c r="I14" s="32">
        <f t="shared" si="2"/>
        <v>9.7086986135463595E-3</v>
      </c>
      <c r="J14" s="32">
        <f t="shared" si="3"/>
        <v>0.11</v>
      </c>
      <c r="K14" s="32">
        <f t="shared" si="9"/>
        <v>2.2276217134620913E-2</v>
      </c>
      <c r="L14" s="16">
        <f>G14/'Clause 6'!$G$11</f>
        <v>8109.4848451363841</v>
      </c>
      <c r="M14">
        <f t="shared" si="4"/>
        <v>5</v>
      </c>
      <c r="O14" s="82">
        <f t="shared" si="10"/>
        <v>2.9896107788718318E-4</v>
      </c>
      <c r="P14" s="82">
        <f t="shared" si="5"/>
        <v>1.0715985649567328E-2</v>
      </c>
      <c r="Q14" s="82">
        <f t="shared" si="5"/>
        <v>-1.1447851379593921E-2</v>
      </c>
      <c r="R14" s="82">
        <f t="shared" si="5"/>
        <v>-1.0395461102887693E-2</v>
      </c>
      <c r="S14" s="82">
        <f t="shared" si="5"/>
        <v>1.0828365755026992E-2</v>
      </c>
    </row>
    <row r="15" spans="1:49" ht="13.15" x14ac:dyDescent="0.4">
      <c r="A15" s="11" t="s">
        <v>69</v>
      </c>
      <c r="B15" s="30">
        <f t="shared" ref="B15:F15" si="15">B59*$E$4/B$8</f>
        <v>6894.7648920075235</v>
      </c>
      <c r="C15" s="30">
        <f t="shared" si="15"/>
        <v>6974.4549511826572</v>
      </c>
      <c r="D15" s="30">
        <f t="shared" si="15"/>
        <v>6779.1748918052035</v>
      </c>
      <c r="E15" s="30">
        <f t="shared" si="15"/>
        <v>6775.4291134935829</v>
      </c>
      <c r="F15" s="30">
        <f t="shared" si="15"/>
        <v>6961.2273130027443</v>
      </c>
      <c r="G15" s="33">
        <f t="shared" si="7"/>
        <v>6877.0102322983421</v>
      </c>
      <c r="H15" s="34">
        <f t="shared" si="8"/>
        <v>153075.59770206647</v>
      </c>
      <c r="I15" s="32">
        <f t="shared" si="2"/>
        <v>1.2473893497198289E-2</v>
      </c>
      <c r="J15" s="32">
        <f t="shared" si="3"/>
        <v>0.11</v>
      </c>
      <c r="K15" s="32">
        <f t="shared" si="9"/>
        <v>2.8940750553828755E-2</v>
      </c>
      <c r="L15" s="16">
        <f>G15/'Clause 6'!$G$11</f>
        <v>6877.0102322983421</v>
      </c>
      <c r="M15">
        <f t="shared" si="4"/>
        <v>5</v>
      </c>
      <c r="O15" s="82">
        <f t="shared" si="10"/>
        <v>2.5817410632595905E-3</v>
      </c>
      <c r="P15" s="82">
        <f t="shared" si="5"/>
        <v>1.416963412772887E-2</v>
      </c>
      <c r="Q15" s="82">
        <f t="shared" si="5"/>
        <v>-1.4226435207795429E-2</v>
      </c>
      <c r="R15" s="82">
        <f t="shared" si="5"/>
        <v>-1.4771116426099851E-2</v>
      </c>
      <c r="S15" s="82">
        <f t="shared" si="5"/>
        <v>1.2246176442906931E-2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B60*$E$4/B$8</f>
        <v>5724.6058712001723</v>
      </c>
      <c r="C16" s="30">
        <f t="shared" si="16"/>
        <v>5805.6415420380654</v>
      </c>
      <c r="D16" s="30">
        <f t="shared" si="16"/>
        <v>5642.018630780376</v>
      </c>
      <c r="E16" s="30">
        <f t="shared" si="16"/>
        <v>5634.8552916539884</v>
      </c>
      <c r="F16" s="30">
        <f t="shared" si="16"/>
        <v>5815.0246470736356</v>
      </c>
      <c r="G16" s="33">
        <f t="shared" si="7"/>
        <v>5724.4291965492475</v>
      </c>
      <c r="H16" s="34">
        <f t="shared" si="8"/>
        <v>127420.25839215321</v>
      </c>
      <c r="I16" s="32">
        <f t="shared" si="2"/>
        <v>1.3444995381999629E-2</v>
      </c>
      <c r="J16" s="32">
        <f t="shared" si="3"/>
        <v>0.11</v>
      </c>
      <c r="K16" s="32">
        <f t="shared" si="9"/>
        <v>3.1473767817454257E-2</v>
      </c>
      <c r="L16" s="16">
        <f>G16/'Clause 6'!$G$11</f>
        <v>5724.4291965492475</v>
      </c>
      <c r="M16">
        <f t="shared" si="4"/>
        <v>5</v>
      </c>
      <c r="O16" s="82">
        <f t="shared" si="10"/>
        <v>3.0863278216664014E-5</v>
      </c>
      <c r="P16" s="82">
        <f t="shared" si="5"/>
        <v>1.4186977024324809E-2</v>
      </c>
      <c r="Q16" s="82">
        <f t="shared" si="5"/>
        <v>-1.4396294012781197E-2</v>
      </c>
      <c r="R16" s="82">
        <f t="shared" si="5"/>
        <v>-1.5647657053607267E-2</v>
      </c>
      <c r="S16" s="82">
        <f t="shared" si="5"/>
        <v>1.5826110763847101E-2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B61*$E$4/B$8</f>
        <v>4689.5856742107244</v>
      </c>
      <c r="C17" s="30">
        <f t="shared" si="17"/>
        <v>4801.153669240045</v>
      </c>
      <c r="D17" s="30">
        <f t="shared" si="17"/>
        <v>4643.1075358876369</v>
      </c>
      <c r="E17" s="30">
        <f t="shared" si="17"/>
        <v>4655.1430974924378</v>
      </c>
      <c r="F17" s="30">
        <f t="shared" si="17"/>
        <v>4770.626580279908</v>
      </c>
      <c r="G17" s="33">
        <f t="shared" si="7"/>
        <v>4711.9233114221497</v>
      </c>
      <c r="H17" s="34">
        <f t="shared" si="8"/>
        <v>104882.85648241492</v>
      </c>
      <c r="I17" s="32">
        <f t="shared" si="2"/>
        <v>1.3377645935135093E-2</v>
      </c>
      <c r="J17" s="32">
        <f t="shared" si="3"/>
        <v>0.11</v>
      </c>
      <c r="K17" s="32">
        <f t="shared" si="9"/>
        <v>3.3541745675123628E-2</v>
      </c>
      <c r="L17" s="16">
        <f>G17/'Clause 6'!$G$11</f>
        <v>4711.9233114221497</v>
      </c>
      <c r="M17">
        <f t="shared" si="4"/>
        <v>5</v>
      </c>
      <c r="O17" s="82">
        <f t="shared" si="10"/>
        <v>-4.7406623017987037E-3</v>
      </c>
      <c r="P17" s="82">
        <f t="shared" si="5"/>
        <v>1.8937141358305265E-2</v>
      </c>
      <c r="Q17" s="82">
        <f t="shared" si="5"/>
        <v>-1.4604604316818315E-2</v>
      </c>
      <c r="R17" s="82">
        <f t="shared" si="5"/>
        <v>-1.2050326411737533E-2</v>
      </c>
      <c r="S17" s="82">
        <f t="shared" si="5"/>
        <v>1.2458451672049842E-2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B62*$E$4/B$8</f>
        <v>3802.4574681875606</v>
      </c>
      <c r="C18" s="30">
        <f t="shared" si="18"/>
        <v>3870.1263181925547</v>
      </c>
      <c r="D18" s="30">
        <f t="shared" si="18"/>
        <v>3759.1015141436474</v>
      </c>
      <c r="E18" s="30">
        <f t="shared" si="18"/>
        <v>3776.1092516690228</v>
      </c>
      <c r="F18" s="30">
        <f t="shared" si="18"/>
        <v>3867.2233786604043</v>
      </c>
      <c r="G18" s="33">
        <f t="shared" si="7"/>
        <v>3815.0035861706374</v>
      </c>
      <c r="H18" s="34">
        <f t="shared" si="8"/>
        <v>84918.290719690573</v>
      </c>
      <c r="I18" s="32">
        <f t="shared" si="2"/>
        <v>1.2046617792536685E-2</v>
      </c>
      <c r="J18" s="32">
        <f t="shared" si="3"/>
        <v>0.11</v>
      </c>
      <c r="K18" s="32">
        <f t="shared" si="9"/>
        <v>2.910214932729591E-2</v>
      </c>
      <c r="L18" s="16">
        <f>G18/'Clause 6'!$G$11</f>
        <v>3815.0035861706374</v>
      </c>
      <c r="M18">
        <f t="shared" si="4"/>
        <v>5</v>
      </c>
      <c r="O18" s="82">
        <f t="shared" si="10"/>
        <v>-3.2886254756238076E-3</v>
      </c>
      <c r="P18" s="82">
        <f t="shared" si="5"/>
        <v>1.4448933212471093E-2</v>
      </c>
      <c r="Q18" s="82">
        <f t="shared" si="5"/>
        <v>-1.4653216114824841E-2</v>
      </c>
      <c r="R18" s="82">
        <f t="shared" si="5"/>
        <v>-1.0195097756292126E-2</v>
      </c>
      <c r="S18" s="82">
        <f t="shared" si="5"/>
        <v>1.3688006134270347E-2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B63*$E$4/B$8</f>
        <v>3012.4323243116983</v>
      </c>
      <c r="C19" s="30">
        <f t="shared" si="19"/>
        <v>3072.4580681691036</v>
      </c>
      <c r="D19" s="30">
        <f t="shared" si="19"/>
        <v>2998.3042524751718</v>
      </c>
      <c r="E19" s="30">
        <f t="shared" si="19"/>
        <v>2998.648672835639</v>
      </c>
      <c r="F19" s="30">
        <f t="shared" si="19"/>
        <v>3056.3902882016127</v>
      </c>
      <c r="G19" s="33">
        <f t="shared" si="7"/>
        <v>3027.6467211986446</v>
      </c>
      <c r="H19" s="34">
        <f t="shared" si="8"/>
        <v>67392.488279502431</v>
      </c>
      <c r="I19" s="32">
        <f t="shared" si="2"/>
        <v>1.0199043864284437E-2</v>
      </c>
      <c r="J19" s="32">
        <f t="shared" si="3"/>
        <v>0.11</v>
      </c>
      <c r="K19" s="32">
        <f t="shared" si="9"/>
        <v>2.4492228625859747E-2</v>
      </c>
      <c r="L19" s="16">
        <f>G19/'Clause 6'!$G$11</f>
        <v>3027.6467211986446</v>
      </c>
      <c r="M19">
        <f t="shared" si="4"/>
        <v>5</v>
      </c>
      <c r="O19" s="82">
        <f t="shared" si="10"/>
        <v>-5.0251559339535845E-3</v>
      </c>
      <c r="P19" s="82">
        <f t="shared" si="5"/>
        <v>1.4800718543779734E-2</v>
      </c>
      <c r="Q19" s="82">
        <f t="shared" si="5"/>
        <v>-9.6915100820799127E-3</v>
      </c>
      <c r="R19" s="82">
        <f t="shared" si="5"/>
        <v>-9.5777516445265665E-3</v>
      </c>
      <c r="S19" s="82">
        <f t="shared" si="5"/>
        <v>9.4936991167808849E-3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B64*$E$4/B$8</f>
        <v>2335.1720268004456</v>
      </c>
      <c r="C20" s="30">
        <f t="shared" si="20"/>
        <v>2408.8270162935437</v>
      </c>
      <c r="D20" s="30">
        <f t="shared" si="20"/>
        <v>2338.4977777538393</v>
      </c>
      <c r="E20" s="30">
        <f t="shared" si="20"/>
        <v>2353.1885951567001</v>
      </c>
      <c r="F20" s="30">
        <f t="shared" si="20"/>
        <v>2398.4893278599097</v>
      </c>
      <c r="G20" s="33">
        <f t="shared" si="7"/>
        <v>2366.8349487728874</v>
      </c>
      <c r="H20" s="34">
        <f t="shared" si="8"/>
        <v>52683.457230289016</v>
      </c>
      <c r="I20" s="32">
        <f t="shared" si="2"/>
        <v>1.3032202320619532E-2</v>
      </c>
      <c r="J20" s="32">
        <f t="shared" si="3"/>
        <v>0.11</v>
      </c>
      <c r="K20" s="32">
        <f t="shared" si="9"/>
        <v>3.1119613782653242E-2</v>
      </c>
      <c r="L20" s="16">
        <f>G20/'Clause 6'!$G$11</f>
        <v>2366.8349487728874</v>
      </c>
      <c r="M20">
        <f t="shared" si="4"/>
        <v>5</v>
      </c>
      <c r="O20" s="82">
        <f t="shared" si="10"/>
        <v>-1.3377748198647232E-2</v>
      </c>
      <c r="P20" s="82">
        <f t="shared" si="5"/>
        <v>1.7741865584006034E-2</v>
      </c>
      <c r="Q20" s="82">
        <f t="shared" si="5"/>
        <v>-1.1972601230068824E-2</v>
      </c>
      <c r="R20" s="82">
        <f t="shared" si="5"/>
        <v>-5.7656549406888136E-3</v>
      </c>
      <c r="S20" s="82">
        <f t="shared" si="5"/>
        <v>1.3374138785399392E-2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B65*$E$4/B$8</f>
        <v>1791.2606349108332</v>
      </c>
      <c r="C21" s="30">
        <f t="shared" si="21"/>
        <v>1827.9238135278115</v>
      </c>
      <c r="D21" s="30">
        <f t="shared" si="21"/>
        <v>1772.051674965865</v>
      </c>
      <c r="E21" s="30">
        <f t="shared" si="21"/>
        <v>1804.8271912083189</v>
      </c>
      <c r="F21" s="30">
        <f t="shared" si="21"/>
        <v>1830.9061645387553</v>
      </c>
      <c r="G21" s="33">
        <f t="shared" si="7"/>
        <v>1805.3938958303165</v>
      </c>
      <c r="H21" s="34">
        <f t="shared" si="8"/>
        <v>40186.322305285583</v>
      </c>
      <c r="I21" s="32">
        <f t="shared" si="2"/>
        <v>1.2311563645393951E-2</v>
      </c>
      <c r="J21" s="32">
        <f t="shared" si="3"/>
        <v>0.11</v>
      </c>
      <c r="K21" s="32">
        <f t="shared" si="9"/>
        <v>3.2599251448018562E-2</v>
      </c>
      <c r="L21" s="16">
        <f>G21/'Clause 6'!$G$11</f>
        <v>1805.3938958303165</v>
      </c>
      <c r="M21">
        <f t="shared" si="4"/>
        <v>5</v>
      </c>
      <c r="O21" s="82">
        <f t="shared" si="10"/>
        <v>-7.8283531101578374E-3</v>
      </c>
      <c r="P21" s="82">
        <f t="shared" si="5"/>
        <v>1.2479225585911857E-2</v>
      </c>
      <c r="Q21" s="82">
        <f t="shared" si="5"/>
        <v>-1.846811432200901E-2</v>
      </c>
      <c r="R21" s="82">
        <f t="shared" si="5"/>
        <v>-3.138952797538952E-4</v>
      </c>
      <c r="S21" s="82">
        <f t="shared" si="5"/>
        <v>1.4131137126009552E-2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B66*$E$4/B$8</f>
        <v>1353.8493756989071</v>
      </c>
      <c r="C22" s="30">
        <f t="shared" si="22"/>
        <v>1392.585460015438</v>
      </c>
      <c r="D22" s="30">
        <f t="shared" si="22"/>
        <v>1331.7318438763225</v>
      </c>
      <c r="E22" s="30">
        <f t="shared" si="22"/>
        <v>1361.8424585205205</v>
      </c>
      <c r="F22" s="30">
        <f t="shared" si="22"/>
        <v>1368.0556087351949</v>
      </c>
      <c r="G22" s="33">
        <f t="shared" si="7"/>
        <v>1361.6129493692765</v>
      </c>
      <c r="H22" s="34">
        <f t="shared" si="8"/>
        <v>30308.187573238058</v>
      </c>
      <c r="I22" s="32">
        <f t="shared" si="2"/>
        <v>1.4518601008820242E-2</v>
      </c>
      <c r="J22" s="32">
        <f t="shared" si="3"/>
        <v>0.11</v>
      </c>
      <c r="K22" s="32">
        <f t="shared" si="9"/>
        <v>4.4692301264690516E-2</v>
      </c>
      <c r="L22" s="16">
        <f>G22/'Clause 6'!$G$11</f>
        <v>1361.6129493692765</v>
      </c>
      <c r="M22">
        <f t="shared" si="4"/>
        <v>5</v>
      </c>
      <c r="O22" s="82">
        <f t="shared" si="10"/>
        <v>-5.7017478233926111E-3</v>
      </c>
      <c r="P22" s="82">
        <f t="shared" si="5"/>
        <v>2.2746927209019718E-2</v>
      </c>
      <c r="Q22" s="82">
        <f t="shared" si="5"/>
        <v>-2.1945374055670874E-2</v>
      </c>
      <c r="R22" s="82">
        <f t="shared" si="5"/>
        <v>1.6855682178285036E-4</v>
      </c>
      <c r="S22" s="82">
        <f t="shared" si="5"/>
        <v>4.7316378482613608E-3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B67*$E$4/B$8</f>
        <v>1009.9613422417563</v>
      </c>
      <c r="C23" s="30">
        <f t="shared" si="23"/>
        <v>1044.2695707306157</v>
      </c>
      <c r="D23" s="30">
        <f t="shared" si="23"/>
        <v>998.46224695075148</v>
      </c>
      <c r="E23" s="30">
        <f t="shared" si="23"/>
        <v>1014.3902919224641</v>
      </c>
      <c r="F23" s="30">
        <f t="shared" si="23"/>
        <v>1025.7038594303717</v>
      </c>
      <c r="G23" s="33">
        <f t="shared" si="7"/>
        <v>1018.5574622551918</v>
      </c>
      <c r="H23" s="34">
        <f t="shared" si="8"/>
        <v>22672.10416473457</v>
      </c>
      <c r="I23" s="32">
        <f t="shared" si="2"/>
        <v>1.5255618835337994E-2</v>
      </c>
      <c r="J23" s="32">
        <f t="shared" si="3"/>
        <v>0.11</v>
      </c>
      <c r="K23" s="32">
        <f t="shared" si="9"/>
        <v>4.4972743784569627E-2</v>
      </c>
      <c r="L23" s="16">
        <f>G23/'Clause 6'!$G$11</f>
        <v>1018.5574622551918</v>
      </c>
      <c r="M23">
        <f t="shared" si="4"/>
        <v>5</v>
      </c>
      <c r="O23" s="82">
        <f t="shared" si="10"/>
        <v>-8.4395042321940839E-3</v>
      </c>
      <c r="P23" s="82">
        <f t="shared" si="5"/>
        <v>2.5243650386198802E-2</v>
      </c>
      <c r="Q23" s="82">
        <f t="shared" si="5"/>
        <v>-1.9729093398370923E-2</v>
      </c>
      <c r="R23" s="82">
        <f t="shared" si="5"/>
        <v>-4.0912471678339335E-3</v>
      </c>
      <c r="S23" s="82">
        <f t="shared" si="5"/>
        <v>7.0161944122004716E-3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B68*$E$4/B$8</f>
        <v>762.0576720592428</v>
      </c>
      <c r="C24" s="30">
        <f t="shared" si="24"/>
        <v>787.27076079106803</v>
      </c>
      <c r="D24" s="30">
        <f t="shared" si="24"/>
        <v>748.22951929283101</v>
      </c>
      <c r="E24" s="30">
        <f t="shared" si="24"/>
        <v>758.89101680657222</v>
      </c>
      <c r="F24" s="30">
        <f t="shared" si="24"/>
        <v>749.79537726036608</v>
      </c>
      <c r="G24" s="33">
        <f t="shared" si="7"/>
        <v>761.24886924201599</v>
      </c>
      <c r="H24" s="34">
        <f t="shared" si="8"/>
        <v>16944.663701670721</v>
      </c>
      <c r="I24" s="32">
        <f t="shared" si="2"/>
        <v>1.8428685780637711E-2</v>
      </c>
      <c r="J24" s="32">
        <f t="shared" si="3"/>
        <v>0.11</v>
      </c>
      <c r="K24" s="32">
        <f t="shared" si="9"/>
        <v>5.1285779297262947E-2</v>
      </c>
      <c r="L24" s="16">
        <f>G24/'Clause 6'!$G$11</f>
        <v>761.24886924201599</v>
      </c>
      <c r="M24">
        <f t="shared" si="4"/>
        <v>5</v>
      </c>
      <c r="O24" s="82">
        <f t="shared" si="10"/>
        <v>1.0624683331643681E-3</v>
      </c>
      <c r="P24" s="82">
        <f t="shared" si="5"/>
        <v>3.4183159542768626E-2</v>
      </c>
      <c r="Q24" s="82">
        <f t="shared" si="5"/>
        <v>-1.7102619754494341E-2</v>
      </c>
      <c r="R24" s="82">
        <f t="shared" si="5"/>
        <v>-3.097347701536135E-3</v>
      </c>
      <c r="S24" s="82">
        <f t="shared" si="5"/>
        <v>-1.5045660419902185E-2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B69*$E$4/B$8</f>
        <v>579.93349558941793</v>
      </c>
      <c r="C25" s="30">
        <f t="shared" si="25"/>
        <v>594.01308049351906</v>
      </c>
      <c r="D25" s="30">
        <f t="shared" si="25"/>
        <v>566.67052675896775</v>
      </c>
      <c r="E25" s="30">
        <f t="shared" si="25"/>
        <v>564.91739900843004</v>
      </c>
      <c r="F25" s="30">
        <f t="shared" si="25"/>
        <v>561.05145231468066</v>
      </c>
      <c r="G25" s="33">
        <f t="shared" si="7"/>
        <v>573.31719083300311</v>
      </c>
      <c r="H25" s="34">
        <f t="shared" si="8"/>
        <v>12761.486270219115</v>
      </c>
      <c r="I25" s="32">
        <f t="shared" si="2"/>
        <v>2.1180478475816285E-2</v>
      </c>
      <c r="J25" s="32">
        <f t="shared" si="3"/>
        <v>0.11</v>
      </c>
      <c r="K25" s="32">
        <f t="shared" si="9"/>
        <v>5.7492830680598794E-2</v>
      </c>
      <c r="L25" s="16">
        <f>G25/'Clause 6'!$G$11</f>
        <v>573.31719083300311</v>
      </c>
      <c r="M25">
        <f t="shared" si="4"/>
        <v>5</v>
      </c>
      <c r="O25" s="82">
        <f t="shared" si="10"/>
        <v>1.1540391361371194E-2</v>
      </c>
      <c r="P25" s="82">
        <f t="shared" si="5"/>
        <v>3.609849833814649E-2</v>
      </c>
      <c r="Q25" s="82">
        <f t="shared" si="5"/>
        <v>-1.1593345150488266E-2</v>
      </c>
      <c r="R25" s="82">
        <f t="shared" si="5"/>
        <v>-1.465121220657728E-2</v>
      </c>
      <c r="S25" s="82">
        <f t="shared" si="5"/>
        <v>-2.139433234245236E-2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B70*$E$4/B$8</f>
        <v>435.39760124112934</v>
      </c>
      <c r="C26" s="30">
        <f t="shared" si="26"/>
        <v>445.50981037013929</v>
      </c>
      <c r="D26" s="30">
        <f t="shared" si="26"/>
        <v>425.05900106197424</v>
      </c>
      <c r="E26" s="30">
        <f t="shared" si="26"/>
        <v>426.20500796477597</v>
      </c>
      <c r="F26" s="30">
        <f t="shared" si="26"/>
        <v>415.55195886013081</v>
      </c>
      <c r="G26" s="33">
        <f t="shared" si="7"/>
        <v>429.54467589962996</v>
      </c>
      <c r="H26" s="34">
        <f t="shared" si="8"/>
        <v>9561.2491158241683</v>
      </c>
      <c r="I26" s="32">
        <f t="shared" si="2"/>
        <v>2.3654901545842575E-2</v>
      </c>
      <c r="J26" s="32">
        <f t="shared" si="3"/>
        <v>0.113</v>
      </c>
      <c r="K26" s="32">
        <f t="shared" si="9"/>
        <v>6.9743272797562539E-2</v>
      </c>
      <c r="L26" s="16">
        <f>G26/'Clause 6'!$G$11</f>
        <v>429.54467589962996</v>
      </c>
      <c r="M26">
        <f t="shared" si="4"/>
        <v>5</v>
      </c>
      <c r="O26" s="82">
        <f t="shared" si="10"/>
        <v>1.3625882637798181E-2</v>
      </c>
      <c r="P26" s="82">
        <f t="shared" si="5"/>
        <v>3.716757619465838E-2</v>
      </c>
      <c r="Q26" s="82">
        <f t="shared" si="5"/>
        <v>-1.0442859821882311E-2</v>
      </c>
      <c r="R26" s="82">
        <f t="shared" si="5"/>
        <v>-7.7749024076703144E-3</v>
      </c>
      <c r="S26" s="82">
        <f t="shared" si="5"/>
        <v>-3.2575696602904158E-2</v>
      </c>
    </row>
    <row r="27" spans="1:49" ht="13.15" x14ac:dyDescent="0.4">
      <c r="A27" s="11" t="s">
        <v>81</v>
      </c>
      <c r="B27" s="30">
        <f t="shared" ref="B27:F27" si="27">B71*$E$4/B$8</f>
        <v>334.9384424758328</v>
      </c>
      <c r="C27" s="30">
        <f t="shared" si="27"/>
        <v>336.33617343012037</v>
      </c>
      <c r="D27" s="30">
        <f t="shared" si="27"/>
        <v>320.25300660793937</v>
      </c>
      <c r="E27" s="30">
        <f t="shared" si="27"/>
        <v>325.97411895258716</v>
      </c>
      <c r="F27" s="30">
        <f t="shared" si="27"/>
        <v>311.04458275655321</v>
      </c>
      <c r="G27" s="33">
        <f t="shared" si="7"/>
        <v>325.70926484460654</v>
      </c>
      <c r="H27" s="34">
        <f t="shared" si="8"/>
        <v>7249.9732745818374</v>
      </c>
      <c r="I27" s="32">
        <f t="shared" si="2"/>
        <v>2.8899350090211311E-2</v>
      </c>
      <c r="J27" s="32">
        <f t="shared" si="3"/>
        <v>0.113</v>
      </c>
      <c r="K27" s="32">
        <f t="shared" si="9"/>
        <v>7.765081747255051E-2</v>
      </c>
      <c r="L27" s="16">
        <f>G27/'Clause 6'!$G$11</f>
        <v>325.70926484460654</v>
      </c>
      <c r="M27">
        <f t="shared" si="4"/>
        <v>5</v>
      </c>
      <c r="O27" s="82">
        <f t="shared" si="10"/>
        <v>2.8335631274196027E-2</v>
      </c>
      <c r="P27" s="82">
        <f t="shared" si="5"/>
        <v>3.2626976670693919E-2</v>
      </c>
      <c r="Q27" s="82">
        <f t="shared" si="5"/>
        <v>-1.6751928255004711E-2</v>
      </c>
      <c r="R27" s="82">
        <f t="shared" si="5"/>
        <v>8.1316111197193841E-4</v>
      </c>
      <c r="S27" s="82">
        <f t="shared" si="5"/>
        <v>-4.5023840801856618E-2</v>
      </c>
    </row>
    <row r="28" spans="1:49" ht="13.15" x14ac:dyDescent="0.4">
      <c r="A28" s="11" t="s">
        <v>82</v>
      </c>
      <c r="B28" s="30">
        <f t="shared" ref="B28:E28" si="28">B72*$E$4/B$8</f>
        <v>260.43309755635897</v>
      </c>
      <c r="C28" s="30">
        <f t="shared" si="28"/>
        <v>258.35500418724973</v>
      </c>
      <c r="D28" s="30">
        <f t="shared" si="28"/>
        <v>245.07097632506645</v>
      </c>
      <c r="E28" s="30">
        <f t="shared" si="28"/>
        <v>244.31279196721016</v>
      </c>
      <c r="F28" s="30"/>
      <c r="G28" s="33">
        <f t="shared" si="7"/>
        <v>252.04296750897132</v>
      </c>
      <c r="H28" s="34">
        <f t="shared" si="8"/>
        <v>5610.2327312001207</v>
      </c>
      <c r="I28" s="32">
        <f t="shared" si="2"/>
        <v>2.9330594155585997E-2</v>
      </c>
      <c r="J28" s="32">
        <f t="shared" si="3"/>
        <v>0.113</v>
      </c>
      <c r="K28" s="32">
        <f t="shared" si="9"/>
        <v>6.3958561305921063E-2</v>
      </c>
      <c r="L28" s="16">
        <f>G28/'Clause 6'!$G$11</f>
        <v>252.04296750897132</v>
      </c>
      <c r="M28">
        <f t="shared" si="4"/>
        <v>4</v>
      </c>
      <c r="O28" s="82">
        <f t="shared" si="10"/>
        <v>3.3288490967672058E-2</v>
      </c>
      <c r="P28" s="82">
        <f t="shared" si="5"/>
        <v>2.5043494530565535E-2</v>
      </c>
      <c r="Q28" s="82">
        <f t="shared" si="5"/>
        <v>-2.7661915159988393E-2</v>
      </c>
      <c r="R28" s="82">
        <f t="shared" si="5"/>
        <v>-3.0670070338248978E-2</v>
      </c>
      <c r="S28" s="82">
        <f t="shared" si="5"/>
        <v>0</v>
      </c>
    </row>
    <row r="29" spans="1:49" ht="13.15" x14ac:dyDescent="0.4">
      <c r="A29" s="11" t="s">
        <v>83</v>
      </c>
      <c r="B29" s="30">
        <f t="shared" ref="B29:E29" si="29">B73*$E$4/B$8</f>
        <v>193.98238452007149</v>
      </c>
      <c r="C29" s="30">
        <f t="shared" si="29"/>
        <v>192.12751842446391</v>
      </c>
      <c r="D29" s="30">
        <f t="shared" si="29"/>
        <v>190.3115274026157</v>
      </c>
      <c r="E29" s="30">
        <f t="shared" si="29"/>
        <v>181.22102700864491</v>
      </c>
      <c r="F29" s="30"/>
      <c r="G29" s="33">
        <f t="shared" si="7"/>
        <v>189.41061433894899</v>
      </c>
      <c r="H29" s="34">
        <f t="shared" si="8"/>
        <v>4216.0971151209387</v>
      </c>
      <c r="I29" s="32">
        <f t="shared" si="2"/>
        <v>2.5886368441868767E-2</v>
      </c>
      <c r="J29" s="32">
        <f t="shared" si="3"/>
        <v>0.11900000000000001</v>
      </c>
      <c r="K29" s="32">
        <f t="shared" si="9"/>
        <v>6.737403580028635E-2</v>
      </c>
      <c r="L29" s="16">
        <f>G29/'Clause 6'!$G$11</f>
        <v>189.41061433894899</v>
      </c>
      <c r="M29">
        <f t="shared" si="4"/>
        <v>4</v>
      </c>
      <c r="O29" s="82">
        <f t="shared" si="10"/>
        <v>2.4136821461026248E-2</v>
      </c>
      <c r="P29" s="82">
        <f t="shared" si="5"/>
        <v>1.4343990673368667E-2</v>
      </c>
      <c r="Q29" s="82">
        <f t="shared" si="5"/>
        <v>4.7564022048653953E-3</v>
      </c>
      <c r="R29" s="82">
        <f t="shared" si="5"/>
        <v>-4.3237214339260199E-2</v>
      </c>
      <c r="S29" s="82">
        <f t="shared" si="5"/>
        <v>0</v>
      </c>
    </row>
    <row r="30" spans="1:49" ht="13.15" x14ac:dyDescent="0.4">
      <c r="A30" s="11" t="s">
        <v>84</v>
      </c>
      <c r="B30" s="30">
        <f t="shared" ref="B30:F30" si="30">B74*$E$4/B$8</f>
        <v>145.87833299548629</v>
      </c>
      <c r="C30" s="30">
        <f t="shared" si="30"/>
        <v>141.04420176101823</v>
      </c>
      <c r="D30" s="30">
        <f t="shared" si="30"/>
        <v>141.38710172599988</v>
      </c>
      <c r="E30" s="30"/>
      <c r="F30" s="30">
        <f t="shared" si="30"/>
        <v>132.88653426963532</v>
      </c>
      <c r="G30" s="33">
        <f t="shared" si="7"/>
        <v>140.29904268803494</v>
      </c>
      <c r="H30" s="34">
        <f t="shared" si="8"/>
        <v>3122.9210210613787</v>
      </c>
      <c r="I30" s="32">
        <f t="shared" si="2"/>
        <v>3.3395999543498457E-2</v>
      </c>
      <c r="J30" s="32">
        <f t="shared" si="3"/>
        <v>0.11900000000000001</v>
      </c>
      <c r="K30" s="32">
        <f t="shared" si="9"/>
        <v>9.2600765314836631E-2</v>
      </c>
      <c r="L30" s="16">
        <f>G30/'Clause 6'!$G$11</f>
        <v>140.29904268803494</v>
      </c>
      <c r="M30">
        <f t="shared" si="4"/>
        <v>4</v>
      </c>
      <c r="O30" s="82">
        <f t="shared" si="10"/>
        <v>3.97671302708551E-2</v>
      </c>
      <c r="P30" s="82">
        <f t="shared" si="5"/>
        <v>5.3112199392564285E-3</v>
      </c>
      <c r="Q30" s="82">
        <f t="shared" si="5"/>
        <v>7.7552848338695579E-3</v>
      </c>
      <c r="R30" s="82">
        <f t="shared" si="5"/>
        <v>0</v>
      </c>
      <c r="S30" s="82">
        <f t="shared" si="5"/>
        <v>-5.2833635043981531E-2</v>
      </c>
    </row>
    <row r="31" spans="1:49" ht="13.15" x14ac:dyDescent="0.4">
      <c r="A31" s="11" t="s">
        <v>85</v>
      </c>
      <c r="B31" s="30">
        <f t="shared" ref="B31:F31" si="31">B75*$E$4/B$8</f>
        <v>106.05265312862039</v>
      </c>
      <c r="C31" s="30">
        <f t="shared" si="31"/>
        <v>105.10505419691262</v>
      </c>
      <c r="D31" s="30">
        <f t="shared" si="31"/>
        <v>102.56175474409832</v>
      </c>
      <c r="E31" s="30">
        <f t="shared" si="31"/>
        <v>90.610513504322455</v>
      </c>
      <c r="F31" s="30">
        <f t="shared" si="31"/>
        <v>91.218722676614078</v>
      </c>
      <c r="G31" s="33">
        <f t="shared" si="7"/>
        <v>99.109739650113582</v>
      </c>
      <c r="H31" s="34">
        <f t="shared" si="8"/>
        <v>2206.0869654932867</v>
      </c>
      <c r="I31" s="32">
        <f t="shared" si="2"/>
        <v>6.8517159850883566E-2</v>
      </c>
      <c r="J31" s="32">
        <f t="shared" si="3"/>
        <v>0.11900000000000001</v>
      </c>
      <c r="K31" s="32">
        <f t="shared" si="9"/>
        <v>0.15580849751813711</v>
      </c>
      <c r="L31" s="16">
        <f>G31/'Clause 6'!$G$11</f>
        <v>99.109739650113582</v>
      </c>
      <c r="M31">
        <f t="shared" si="4"/>
        <v>5</v>
      </c>
      <c r="O31" s="82">
        <f t="shared" si="10"/>
        <v>7.0052786971465553E-2</v>
      </c>
      <c r="P31" s="82">
        <f t="shared" si="5"/>
        <v>6.049167890021967E-2</v>
      </c>
      <c r="Q31" s="82">
        <f t="shared" si="5"/>
        <v>3.4830230673305929E-2</v>
      </c>
      <c r="R31" s="82">
        <f t="shared" si="5"/>
        <v>-8.5755710546671637E-2</v>
      </c>
      <c r="S31" s="82">
        <f t="shared" si="5"/>
        <v>-7.9618985998319736E-2</v>
      </c>
    </row>
    <row r="32" spans="1:49" ht="13.15" x14ac:dyDescent="0.4">
      <c r="A32" s="11" t="s">
        <v>86</v>
      </c>
      <c r="B32" s="30">
        <f t="shared" ref="B32:F32" si="32">B76*$E$4/B$8</f>
        <v>78.085181312001097</v>
      </c>
      <c r="C32" s="30">
        <f t="shared" si="32"/>
        <v>77.077039744402583</v>
      </c>
      <c r="D32" s="30">
        <f t="shared" si="32"/>
        <v>72.48894263094914</v>
      </c>
      <c r="E32" s="30">
        <f t="shared" si="32"/>
        <v>61.07819799180254</v>
      </c>
      <c r="F32" s="30">
        <f t="shared" si="32"/>
        <v>65.767572892768669</v>
      </c>
      <c r="G32" s="33">
        <f t="shared" si="7"/>
        <v>70.899386914384792</v>
      </c>
      <c r="H32" s="34">
        <f t="shared" si="8"/>
        <v>1578.1517930070595</v>
      </c>
      <c r="I32" s="32">
        <f t="shared" si="2"/>
        <v>9.2514514551213303E-2</v>
      </c>
      <c r="J32" s="32">
        <f t="shared" si="3"/>
        <v>0.13400000000000001</v>
      </c>
      <c r="K32" s="32">
        <f t="shared" si="9"/>
        <v>0.23987489963397704</v>
      </c>
      <c r="L32" s="16">
        <f>G32/'Clause 6'!$G$11</f>
        <v>70.899386914384792</v>
      </c>
      <c r="M32">
        <f t="shared" si="4"/>
        <v>5</v>
      </c>
      <c r="O32" s="82">
        <f t="shared" si="10"/>
        <v>0.10135199626329028</v>
      </c>
      <c r="P32" s="82">
        <f t="shared" si="5"/>
        <v>8.7132669249702754E-2</v>
      </c>
      <c r="Q32" s="82">
        <f t="shared" si="5"/>
        <v>2.241987957503544E-2</v>
      </c>
      <c r="R32" s="82">
        <f t="shared" si="5"/>
        <v>-0.13852290337068662</v>
      </c>
      <c r="S32" s="82">
        <f t="shared" si="5"/>
        <v>-7.238164171734085E-2</v>
      </c>
    </row>
    <row r="33" spans="1:19" ht="13.15" x14ac:dyDescent="0.4">
      <c r="A33" s="11" t="s">
        <v>87</v>
      </c>
      <c r="B33" s="30">
        <f t="shared" ref="B33:F33" si="33">B77*$E$4/B$8</f>
        <v>54.145025436974969</v>
      </c>
      <c r="C33" s="30">
        <f t="shared" si="33"/>
        <v>55.829996530403044</v>
      </c>
      <c r="D33" s="30">
        <f t="shared" si="33"/>
        <v>52.290785241520588</v>
      </c>
      <c r="E33" s="30">
        <f t="shared" si="33"/>
        <v>41.166257987148967</v>
      </c>
      <c r="F33" s="30">
        <f t="shared" si="33"/>
        <v>47.073365529413195</v>
      </c>
      <c r="G33" s="33">
        <f t="shared" si="7"/>
        <v>50.101086145092154</v>
      </c>
      <c r="H33" s="34">
        <f t="shared" si="8"/>
        <v>1115.2017298394492</v>
      </c>
      <c r="I33" s="32">
        <f t="shared" si="2"/>
        <v>0.10672977360343563</v>
      </c>
      <c r="J33" s="32">
        <f t="shared" si="3"/>
        <v>0.13400000000000001</v>
      </c>
      <c r="K33" s="32">
        <f t="shared" si="9"/>
        <v>0.29268304684629121</v>
      </c>
      <c r="L33" s="16">
        <f>G33/'Clause 6'!$G$11</f>
        <v>50.101086145092154</v>
      </c>
      <c r="M33">
        <f t="shared" si="4"/>
        <v>5</v>
      </c>
      <c r="O33" s="82">
        <f t="shared" si="10"/>
        <v>8.0715601258056768E-2</v>
      </c>
      <c r="P33" s="82">
        <f t="shared" si="5"/>
        <v>0.11434702969752064</v>
      </c>
      <c r="Q33" s="82">
        <f t="shared" si="5"/>
        <v>4.3705621273101514E-2</v>
      </c>
      <c r="R33" s="82">
        <f t="shared" si="5"/>
        <v>-0.17833601714877056</v>
      </c>
      <c r="S33" s="82">
        <f t="shared" si="5"/>
        <v>-6.0432235079908581E-2</v>
      </c>
    </row>
    <row r="34" spans="1:19" ht="13.15" x14ac:dyDescent="0.4">
      <c r="A34" s="11" t="s">
        <v>88</v>
      </c>
      <c r="B34" s="30">
        <f t="shared" ref="B34:F34" si="34">B78*$E$4/B$8</f>
        <v>36.693323023404524</v>
      </c>
      <c r="C34" s="30">
        <f t="shared" si="34"/>
        <v>40.459795056445934</v>
      </c>
      <c r="D34" s="30">
        <f t="shared" si="34"/>
        <v>33.21474770706029</v>
      </c>
      <c r="E34" s="30">
        <f t="shared" si="34"/>
        <v>25.281451916020831</v>
      </c>
      <c r="F34" s="30">
        <f t="shared" si="34"/>
        <v>32.658555032368007</v>
      </c>
      <c r="G34" s="33">
        <f t="shared" si="7"/>
        <v>33.661574547059921</v>
      </c>
      <c r="H34" s="34">
        <f t="shared" si="8"/>
        <v>749.27409867496692</v>
      </c>
      <c r="I34" s="32">
        <f t="shared" si="2"/>
        <v>0.14962623948081252</v>
      </c>
      <c r="J34" s="32">
        <f t="shared" si="3"/>
        <v>0.156</v>
      </c>
      <c r="K34" s="32">
        <f t="shared" si="9"/>
        <v>0.4509100760930036</v>
      </c>
      <c r="L34" s="16">
        <f>G34/'Clause 6'!$G$11</f>
        <v>33.661574547059921</v>
      </c>
      <c r="M34">
        <f t="shared" si="4"/>
        <v>5</v>
      </c>
      <c r="O34" s="82">
        <f t="shared" si="10"/>
        <v>9.006555745353273E-2</v>
      </c>
      <c r="P34" s="82">
        <f t="shared" si="5"/>
        <v>0.20195788821113791</v>
      </c>
      <c r="Q34" s="82">
        <f t="shared" si="5"/>
        <v>-1.3274092077153243E-2</v>
      </c>
      <c r="R34" s="82">
        <f t="shared" si="5"/>
        <v>-0.24895218788186568</v>
      </c>
      <c r="S34" s="82">
        <f t="shared" si="5"/>
        <v>-2.9797165705652384E-2</v>
      </c>
    </row>
    <row r="35" spans="1:19" ht="13.15" x14ac:dyDescent="0.4">
      <c r="A35" s="11" t="s">
        <v>89</v>
      </c>
      <c r="B35" s="30">
        <f t="shared" ref="B35:F35" si="35">B79*$E$4/B$8</f>
        <v>22.821457002361353</v>
      </c>
      <c r="C35" s="30">
        <f t="shared" si="35"/>
        <v>26.445787830190916</v>
      </c>
      <c r="D35" s="30">
        <f t="shared" si="35"/>
        <v>23.56451695433331</v>
      </c>
      <c r="E35" s="30">
        <f t="shared" si="35"/>
        <v>18.569562026811763</v>
      </c>
      <c r="F35" s="30">
        <f t="shared" si="35"/>
        <v>20.946521503518788</v>
      </c>
      <c r="G35" s="33">
        <f t="shared" si="7"/>
        <v>22.469569063443224</v>
      </c>
      <c r="H35" s="34">
        <f t="shared" si="8"/>
        <v>500.15087927896184</v>
      </c>
      <c r="I35" s="32">
        <f t="shared" si="2"/>
        <v>0.11717958421308669</v>
      </c>
      <c r="J35" s="32">
        <f t="shared" si="3"/>
        <v>0.156</v>
      </c>
      <c r="K35" s="32">
        <f t="shared" si="9"/>
        <v>0.35052856515140501</v>
      </c>
      <c r="L35" s="16">
        <f>G35/'Clause 6'!$G$11</f>
        <v>22.469569063443224</v>
      </c>
      <c r="M35">
        <f t="shared" si="4"/>
        <v>5</v>
      </c>
      <c r="O35" s="82">
        <f t="shared" si="10"/>
        <v>1.5660644755783659E-2</v>
      </c>
      <c r="P35" s="82">
        <f t="shared" si="5"/>
        <v>0.17696017024272992</v>
      </c>
      <c r="Q35" s="82">
        <f t="shared" si="5"/>
        <v>4.8730257700914548E-2</v>
      </c>
      <c r="R35" s="82">
        <f t="shared" si="5"/>
        <v>-0.17356839490867504</v>
      </c>
      <c r="S35" s="82">
        <f t="shared" si="5"/>
        <v>-6.7782677790752643E-2</v>
      </c>
    </row>
    <row r="36" spans="1:19" ht="13.15" x14ac:dyDescent="0.4">
      <c r="A36" s="11" t="s">
        <v>90</v>
      </c>
      <c r="B36" s="30">
        <f t="shared" ref="B36:F36" si="36">B80*$E$4/B$8</f>
        <v>16.333003540905672</v>
      </c>
      <c r="C36" s="30">
        <f t="shared" si="36"/>
        <v>18.986719467829378</v>
      </c>
      <c r="D36" s="30">
        <f t="shared" si="36"/>
        <v>16.382949882536494</v>
      </c>
      <c r="E36" s="30">
        <f t="shared" si="36"/>
        <v>12.081401800576327</v>
      </c>
      <c r="F36" s="30">
        <f t="shared" si="36"/>
        <v>12.83819059893087</v>
      </c>
      <c r="G36" s="33">
        <f t="shared" si="7"/>
        <v>15.324453058155749</v>
      </c>
      <c r="H36" s="34">
        <f t="shared" si="8"/>
        <v>341.10750632843974</v>
      </c>
      <c r="I36" s="32">
        <f t="shared" si="2"/>
        <v>0.16572418839361358</v>
      </c>
      <c r="J36" s="32">
        <f t="shared" si="3"/>
        <v>0.193</v>
      </c>
      <c r="K36" s="32">
        <f t="shared" si="9"/>
        <v>0.45060777314841965</v>
      </c>
      <c r="L36" s="16">
        <f>G36/'Clause 6'!$G$11</f>
        <v>15.324453058155749</v>
      </c>
      <c r="M36">
        <f t="shared" si="4"/>
        <v>5</v>
      </c>
      <c r="O36" s="82">
        <f t="shared" si="10"/>
        <v>6.5813147061269284E-2</v>
      </c>
      <c r="P36" s="82">
        <f t="shared" si="5"/>
        <v>0.23898186746211825</v>
      </c>
      <c r="Q36" s="82">
        <f t="shared" si="5"/>
        <v>6.9072404761448158E-2</v>
      </c>
      <c r="R36" s="82">
        <f t="shared" si="5"/>
        <v>-0.21162590568630146</v>
      </c>
      <c r="S36" s="82">
        <f t="shared" si="5"/>
        <v>-0.16224151359853445</v>
      </c>
    </row>
    <row r="37" spans="1:19" ht="13.15" x14ac:dyDescent="0.4">
      <c r="A37" s="11" t="s">
        <v>91</v>
      </c>
      <c r="B37" s="30">
        <f t="shared" ref="B37:F37" si="37">B81*$E$4/B$8</f>
        <v>11.63446827571363</v>
      </c>
      <c r="C37" s="30">
        <f t="shared" si="37"/>
        <v>12.431780603935902</v>
      </c>
      <c r="D37" s="30">
        <f t="shared" si="37"/>
        <v>7.8548389847777704</v>
      </c>
      <c r="E37" s="30">
        <f t="shared" si="37"/>
        <v>7.1593492151563414</v>
      </c>
      <c r="F37" s="30">
        <f t="shared" si="37"/>
        <v>6.9821738345062627</v>
      </c>
      <c r="G37" s="33">
        <f t="shared" si="7"/>
        <v>9.2125221828179811</v>
      </c>
      <c r="H37" s="34">
        <f t="shared" si="8"/>
        <v>205.0618352805775</v>
      </c>
      <c r="I37" s="32">
        <f t="shared" si="2"/>
        <v>0.25346679723598003</v>
      </c>
      <c r="J37" s="32">
        <f t="shared" si="3"/>
        <v>0.193</v>
      </c>
      <c r="K37" s="32">
        <f t="shared" si="9"/>
        <v>0.59154340812264739</v>
      </c>
      <c r="L37" s="16">
        <f>G37/'Clause 6'!$G$11</f>
        <v>9.2125221828179811</v>
      </c>
      <c r="M37">
        <f t="shared" si="4"/>
        <v>5</v>
      </c>
      <c r="O37" s="82">
        <f t="shared" si="10"/>
        <v>0.2628971789520087</v>
      </c>
      <c r="P37" s="82">
        <f t="shared" si="5"/>
        <v>0.34944376330751958</v>
      </c>
      <c r="Q37" s="82">
        <f t="shared" si="5"/>
        <v>-0.14737366934892027</v>
      </c>
      <c r="R37" s="82">
        <f t="shared" si="5"/>
        <v>-0.22286762809548022</v>
      </c>
      <c r="S37" s="82">
        <f t="shared" si="5"/>
        <v>-0.24209964481512769</v>
      </c>
    </row>
    <row r="38" spans="1:19" ht="13.15" x14ac:dyDescent="0.4">
      <c r="A38" s="11" t="s">
        <v>92</v>
      </c>
      <c r="B38" s="30">
        <f t="shared" ref="B38:F38" si="38">B82*$E$4/B$8</f>
        <v>8.2783716577193136</v>
      </c>
      <c r="C38" s="30">
        <f t="shared" si="38"/>
        <v>7.9111331115955732</v>
      </c>
      <c r="D38" s="30">
        <f t="shared" si="38"/>
        <v>4.4884794198730118</v>
      </c>
      <c r="E38" s="30">
        <f t="shared" si="38"/>
        <v>3.1322152816308995</v>
      </c>
      <c r="F38" s="30">
        <f t="shared" si="38"/>
        <v>4.5046282803266218</v>
      </c>
      <c r="G38" s="33">
        <f t="shared" si="7"/>
        <v>5.6629655502290834</v>
      </c>
      <c r="H38" s="34">
        <f t="shared" si="8"/>
        <v>126.05213706041233</v>
      </c>
      <c r="I38" s="32">
        <f t="shared" si="2"/>
        <v>0.36206975756567999</v>
      </c>
      <c r="J38" s="32">
        <f t="shared" si="3"/>
        <v>0.27500000000000002</v>
      </c>
      <c r="K38" s="32">
        <f t="shared" si="9"/>
        <v>0.9087387748421385</v>
      </c>
      <c r="L38" s="16">
        <f>G38/'Clause 6'!$G$11</f>
        <v>5.6629655502290834</v>
      </c>
      <c r="M38">
        <f t="shared" si="4"/>
        <v>5</v>
      </c>
      <c r="O38" s="82">
        <f t="shared" si="10"/>
        <v>0.46184390215554627</v>
      </c>
      <c r="P38" s="82">
        <f t="shared" si="5"/>
        <v>0.39699474443660443</v>
      </c>
      <c r="Q38" s="82">
        <f t="shared" si="5"/>
        <v>-0.20739771766906834</v>
      </c>
      <c r="R38" s="82">
        <f t="shared" si="5"/>
        <v>-0.44689487268659223</v>
      </c>
      <c r="S38" s="82">
        <f t="shared" si="5"/>
        <v>-0.20454605623648969</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50</v>
      </c>
      <c r="C51" s="14" t="s">
        <v>51</v>
      </c>
      <c r="D51" s="14" t="s">
        <v>52</v>
      </c>
      <c r="E51" s="14" t="s">
        <v>53</v>
      </c>
      <c r="F51" s="14" t="s">
        <v>54</v>
      </c>
      <c r="G51" s="14" t="s">
        <v>50</v>
      </c>
      <c r="H51" s="14" t="s">
        <v>51</v>
      </c>
      <c r="I51" s="14" t="s">
        <v>52</v>
      </c>
      <c r="J51" s="14" t="s">
        <v>53</v>
      </c>
      <c r="K51" s="14" t="s">
        <v>54</v>
      </c>
      <c r="L51" s="14" t="s">
        <v>50</v>
      </c>
      <c r="M51" s="14" t="s">
        <v>51</v>
      </c>
      <c r="N51" s="14" t="s">
        <v>52</v>
      </c>
      <c r="O51" s="14" t="s">
        <v>53</v>
      </c>
      <c r="P51" s="14" t="s">
        <v>54</v>
      </c>
    </row>
    <row r="52" spans="1:16" ht="13.15" x14ac:dyDescent="0.4">
      <c r="A52" s="14" t="s">
        <v>104</v>
      </c>
      <c r="B52" s="108">
        <v>4.4694779999999996</v>
      </c>
      <c r="C52" s="108">
        <v>4.4241450000000002</v>
      </c>
      <c r="D52" s="108">
        <v>4.4558520000000001</v>
      </c>
      <c r="E52" s="108">
        <v>4.4696800000000003</v>
      </c>
      <c r="F52" s="108">
        <v>4.4398780000000002</v>
      </c>
      <c r="G52" s="108">
        <v>4.4625700000000004</v>
      </c>
      <c r="H52" s="108">
        <v>4.4558489999999997</v>
      </c>
      <c r="I52" s="108">
        <v>4.4799730000000002</v>
      </c>
      <c r="J52" s="108">
        <v>4.4771409999999996</v>
      </c>
      <c r="K52" s="108">
        <v>4.4411110000000003</v>
      </c>
      <c r="L52" s="108">
        <v>4.4694779999999996</v>
      </c>
      <c r="M52" s="108">
        <v>4.4241450000000002</v>
      </c>
      <c r="N52" s="108">
        <v>4.4558520000000001</v>
      </c>
      <c r="O52" s="108">
        <v>4.4696800000000003</v>
      </c>
      <c r="P52" s="108">
        <v>4.4398780000000002</v>
      </c>
    </row>
    <row r="53" spans="1:16" ht="13.15" x14ac:dyDescent="0.4">
      <c r="A53" s="27">
        <v>4</v>
      </c>
      <c r="B53" s="108">
        <v>78062</v>
      </c>
      <c r="C53" s="108">
        <v>78421</v>
      </c>
      <c r="D53" s="108">
        <v>77746</v>
      </c>
      <c r="E53" s="108">
        <v>77484</v>
      </c>
      <c r="F53" s="108">
        <v>78818</v>
      </c>
      <c r="G53" s="108">
        <v>77965</v>
      </c>
      <c r="H53" s="108">
        <v>75995</v>
      </c>
      <c r="I53" s="108">
        <v>73898</v>
      </c>
      <c r="J53" s="108">
        <v>79583</v>
      </c>
      <c r="K53" s="108">
        <v>77901</v>
      </c>
      <c r="L53" s="108">
        <v>78062</v>
      </c>
      <c r="M53" s="108">
        <v>78421</v>
      </c>
      <c r="N53" s="108">
        <v>77746</v>
      </c>
      <c r="O53" s="108">
        <v>77484</v>
      </c>
      <c r="P53" s="108">
        <v>78818</v>
      </c>
    </row>
    <row r="54" spans="1:16" ht="13.15" x14ac:dyDescent="0.4">
      <c r="A54" s="27">
        <v>5</v>
      </c>
      <c r="B54" s="108">
        <v>66917</v>
      </c>
      <c r="C54" s="108">
        <v>67163</v>
      </c>
      <c r="D54" s="108">
        <v>66552</v>
      </c>
      <c r="E54" s="108">
        <v>66389</v>
      </c>
      <c r="F54" s="108">
        <v>67371</v>
      </c>
      <c r="G54" s="108">
        <v>66902</v>
      </c>
      <c r="H54" s="108">
        <v>65058</v>
      </c>
      <c r="I54" s="108">
        <v>63376</v>
      </c>
      <c r="J54" s="108">
        <v>67831</v>
      </c>
      <c r="K54" s="108">
        <v>66691</v>
      </c>
      <c r="L54" s="108">
        <v>66917</v>
      </c>
      <c r="M54" s="108">
        <v>67163</v>
      </c>
      <c r="N54" s="108">
        <v>66552</v>
      </c>
      <c r="O54" s="108">
        <v>66389</v>
      </c>
      <c r="P54" s="108">
        <v>67371</v>
      </c>
    </row>
    <row r="55" spans="1:16" ht="13.15" x14ac:dyDescent="0.4">
      <c r="A55" s="27">
        <v>6</v>
      </c>
      <c r="B55" s="108">
        <v>57940</v>
      </c>
      <c r="C55" s="108">
        <v>58166</v>
      </c>
      <c r="D55" s="108">
        <v>57551</v>
      </c>
      <c r="E55" s="108">
        <v>57661</v>
      </c>
      <c r="F55" s="108">
        <v>58335</v>
      </c>
      <c r="G55" s="108">
        <v>58038</v>
      </c>
      <c r="H55" s="108">
        <v>56400</v>
      </c>
      <c r="I55" s="108">
        <v>55179</v>
      </c>
      <c r="J55" s="108">
        <v>58570</v>
      </c>
      <c r="K55" s="108">
        <v>57741</v>
      </c>
      <c r="L55" s="108">
        <v>57940</v>
      </c>
      <c r="M55" s="108">
        <v>58166</v>
      </c>
      <c r="N55" s="108">
        <v>57551</v>
      </c>
      <c r="O55" s="108">
        <v>57661</v>
      </c>
      <c r="P55" s="108">
        <v>58335</v>
      </c>
    </row>
    <row r="56" spans="1:16" ht="13.15" x14ac:dyDescent="0.4">
      <c r="A56" s="27">
        <v>7</v>
      </c>
      <c r="B56" s="108">
        <v>49573</v>
      </c>
      <c r="C56" s="108">
        <v>49727</v>
      </c>
      <c r="D56" s="108">
        <v>49171</v>
      </c>
      <c r="E56" s="108">
        <v>49152</v>
      </c>
      <c r="F56" s="108">
        <v>49847</v>
      </c>
      <c r="G56" s="108">
        <v>49638</v>
      </c>
      <c r="H56" s="108">
        <v>48280</v>
      </c>
      <c r="I56" s="108">
        <v>47247</v>
      </c>
      <c r="J56" s="108">
        <v>49742</v>
      </c>
      <c r="K56" s="108">
        <v>49295</v>
      </c>
      <c r="L56" s="108">
        <v>49573</v>
      </c>
      <c r="M56" s="108">
        <v>49727</v>
      </c>
      <c r="N56" s="108">
        <v>49171</v>
      </c>
      <c r="O56" s="108">
        <v>49152</v>
      </c>
      <c r="P56" s="108">
        <v>49847</v>
      </c>
    </row>
    <row r="57" spans="1:16" ht="13.15" x14ac:dyDescent="0.4">
      <c r="A57" s="27">
        <v>8</v>
      </c>
      <c r="B57" s="108">
        <v>42508</v>
      </c>
      <c r="C57" s="108">
        <v>42585</v>
      </c>
      <c r="D57" s="108">
        <v>41999</v>
      </c>
      <c r="E57" s="108">
        <v>42110</v>
      </c>
      <c r="F57" s="108">
        <v>42709</v>
      </c>
      <c r="G57" s="108">
        <v>42438</v>
      </c>
      <c r="H57" s="108">
        <v>41302</v>
      </c>
      <c r="I57" s="108">
        <v>40548</v>
      </c>
      <c r="J57" s="108">
        <v>42566</v>
      </c>
      <c r="K57" s="108">
        <v>42225</v>
      </c>
      <c r="L57" s="108">
        <v>42508</v>
      </c>
      <c r="M57" s="108">
        <v>42585</v>
      </c>
      <c r="N57" s="108">
        <v>41999</v>
      </c>
      <c r="O57" s="108">
        <v>42110</v>
      </c>
      <c r="P57" s="108">
        <v>42709</v>
      </c>
    </row>
    <row r="58" spans="1:16" ht="13.15" x14ac:dyDescent="0.4">
      <c r="A58" s="27">
        <v>9</v>
      </c>
      <c r="B58" s="108">
        <v>36256</v>
      </c>
      <c r="C58" s="108">
        <v>36262</v>
      </c>
      <c r="D58" s="108">
        <v>35721</v>
      </c>
      <c r="E58" s="108">
        <v>35870</v>
      </c>
      <c r="F58" s="108">
        <v>36395</v>
      </c>
      <c r="G58" s="108">
        <v>36173</v>
      </c>
      <c r="H58" s="108">
        <v>35273</v>
      </c>
      <c r="I58" s="108">
        <v>34628</v>
      </c>
      <c r="J58" s="108">
        <v>36115</v>
      </c>
      <c r="K58" s="108">
        <v>35950</v>
      </c>
      <c r="L58" s="108">
        <v>36256</v>
      </c>
      <c r="M58" s="108">
        <v>36262</v>
      </c>
      <c r="N58" s="108">
        <v>35721</v>
      </c>
      <c r="O58" s="108">
        <v>35870</v>
      </c>
      <c r="P58" s="108">
        <v>36395</v>
      </c>
    </row>
    <row r="59" spans="1:16" ht="13.15" x14ac:dyDescent="0.4">
      <c r="A59" s="27">
        <v>10</v>
      </c>
      <c r="B59" s="108">
        <v>30816</v>
      </c>
      <c r="C59" s="108">
        <v>30856</v>
      </c>
      <c r="D59" s="108">
        <v>30207</v>
      </c>
      <c r="E59" s="108">
        <v>30284</v>
      </c>
      <c r="F59" s="108">
        <v>30907</v>
      </c>
      <c r="G59" s="108">
        <v>30694</v>
      </c>
      <c r="H59" s="108">
        <v>30026</v>
      </c>
      <c r="I59" s="108">
        <v>29490</v>
      </c>
      <c r="J59" s="108">
        <v>30699</v>
      </c>
      <c r="K59" s="108">
        <v>30473</v>
      </c>
      <c r="L59" s="108">
        <v>30816</v>
      </c>
      <c r="M59" s="108">
        <v>30856</v>
      </c>
      <c r="N59" s="108">
        <v>30207</v>
      </c>
      <c r="O59" s="108">
        <v>30284</v>
      </c>
      <c r="P59" s="108">
        <v>30907</v>
      </c>
    </row>
    <row r="60" spans="1:16" ht="13.15" x14ac:dyDescent="0.4">
      <c r="A60" s="27">
        <v>11</v>
      </c>
      <c r="B60" s="108">
        <v>25586</v>
      </c>
      <c r="C60" s="108">
        <v>25685</v>
      </c>
      <c r="D60" s="108">
        <v>25140</v>
      </c>
      <c r="E60" s="108">
        <v>25186</v>
      </c>
      <c r="F60" s="108">
        <v>25818</v>
      </c>
      <c r="G60" s="108">
        <v>25615</v>
      </c>
      <c r="H60" s="108">
        <v>25098</v>
      </c>
      <c r="I60" s="108">
        <v>24616</v>
      </c>
      <c r="J60" s="108">
        <v>25488</v>
      </c>
      <c r="K60" s="108">
        <v>25298</v>
      </c>
      <c r="L60" s="108">
        <v>25586</v>
      </c>
      <c r="M60" s="108">
        <v>25685</v>
      </c>
      <c r="N60" s="108">
        <v>25140</v>
      </c>
      <c r="O60" s="108">
        <v>25186</v>
      </c>
      <c r="P60" s="108">
        <v>25818</v>
      </c>
    </row>
    <row r="61" spans="1:16" ht="13.15" x14ac:dyDescent="0.4">
      <c r="A61" s="27">
        <v>12</v>
      </c>
      <c r="B61" s="108">
        <v>20960</v>
      </c>
      <c r="C61" s="108">
        <v>21241</v>
      </c>
      <c r="D61" s="108">
        <v>20689</v>
      </c>
      <c r="E61" s="108">
        <v>20807</v>
      </c>
      <c r="F61" s="108">
        <v>21181</v>
      </c>
      <c r="G61" s="108">
        <v>21165</v>
      </c>
      <c r="H61" s="108">
        <v>20595</v>
      </c>
      <c r="I61" s="108">
        <v>20244</v>
      </c>
      <c r="J61" s="108">
        <v>20961</v>
      </c>
      <c r="K61" s="108">
        <v>20805</v>
      </c>
      <c r="L61" s="108">
        <v>20960</v>
      </c>
      <c r="M61" s="108">
        <v>21241</v>
      </c>
      <c r="N61" s="108">
        <v>20689</v>
      </c>
      <c r="O61" s="108">
        <v>20807</v>
      </c>
      <c r="P61" s="108">
        <v>21181</v>
      </c>
    </row>
    <row r="62" spans="1:16" ht="13.15" x14ac:dyDescent="0.4">
      <c r="A62" s="27">
        <v>13</v>
      </c>
      <c r="B62" s="108">
        <v>16995</v>
      </c>
      <c r="C62" s="108">
        <v>17122</v>
      </c>
      <c r="D62" s="108">
        <v>16750</v>
      </c>
      <c r="E62" s="108">
        <v>16878</v>
      </c>
      <c r="F62" s="108">
        <v>17170</v>
      </c>
      <c r="G62" s="108">
        <v>17110</v>
      </c>
      <c r="H62" s="108">
        <v>16780</v>
      </c>
      <c r="I62" s="108">
        <v>16448</v>
      </c>
      <c r="J62" s="108">
        <v>16920</v>
      </c>
      <c r="K62" s="108">
        <v>16835</v>
      </c>
      <c r="L62" s="108">
        <v>16995</v>
      </c>
      <c r="M62" s="108">
        <v>17122</v>
      </c>
      <c r="N62" s="108">
        <v>16750</v>
      </c>
      <c r="O62" s="108">
        <v>16878</v>
      </c>
      <c r="P62" s="108">
        <v>17170</v>
      </c>
    </row>
    <row r="63" spans="1:16" ht="13.15" x14ac:dyDescent="0.4">
      <c r="A63" s="27">
        <v>14</v>
      </c>
      <c r="B63" s="108">
        <v>13464</v>
      </c>
      <c r="C63" s="108">
        <v>13593</v>
      </c>
      <c r="D63" s="108">
        <v>13360</v>
      </c>
      <c r="E63" s="108">
        <v>13403</v>
      </c>
      <c r="F63" s="108">
        <v>13570</v>
      </c>
      <c r="G63" s="108">
        <v>13582</v>
      </c>
      <c r="H63" s="108">
        <v>13336</v>
      </c>
      <c r="I63" s="108">
        <v>13037</v>
      </c>
      <c r="J63" s="108">
        <v>13427</v>
      </c>
      <c r="K63" s="108">
        <v>13374</v>
      </c>
      <c r="L63" s="108">
        <v>13464</v>
      </c>
      <c r="M63" s="108">
        <v>13593</v>
      </c>
      <c r="N63" s="108">
        <v>13360</v>
      </c>
      <c r="O63" s="108">
        <v>13403</v>
      </c>
      <c r="P63" s="108">
        <v>13570</v>
      </c>
    </row>
    <row r="64" spans="1:16" ht="13.15" x14ac:dyDescent="0.4">
      <c r="A64" s="27">
        <v>15</v>
      </c>
      <c r="B64" s="108">
        <v>10437</v>
      </c>
      <c r="C64" s="108">
        <v>10657</v>
      </c>
      <c r="D64" s="108">
        <v>10420</v>
      </c>
      <c r="E64" s="108">
        <v>10518</v>
      </c>
      <c r="F64" s="108">
        <v>10649</v>
      </c>
      <c r="G64" s="108">
        <v>10636</v>
      </c>
      <c r="H64" s="108">
        <v>10345</v>
      </c>
      <c r="I64" s="108">
        <v>10183</v>
      </c>
      <c r="J64" s="108">
        <v>10509</v>
      </c>
      <c r="K64" s="108">
        <v>10359</v>
      </c>
      <c r="L64" s="108">
        <v>10437</v>
      </c>
      <c r="M64" s="108">
        <v>10657</v>
      </c>
      <c r="N64" s="108">
        <v>10420</v>
      </c>
      <c r="O64" s="108">
        <v>10518</v>
      </c>
      <c r="P64" s="108">
        <v>10649</v>
      </c>
    </row>
    <row r="65" spans="1:16" ht="13.15" x14ac:dyDescent="0.4">
      <c r="A65" s="27">
        <v>16</v>
      </c>
      <c r="B65" s="108">
        <v>8006</v>
      </c>
      <c r="C65" s="108">
        <v>8087</v>
      </c>
      <c r="D65" s="108">
        <v>7896</v>
      </c>
      <c r="E65" s="108">
        <v>8067</v>
      </c>
      <c r="F65" s="108">
        <v>8129</v>
      </c>
      <c r="G65" s="108">
        <v>8120</v>
      </c>
      <c r="H65" s="108">
        <v>7870</v>
      </c>
      <c r="I65" s="108">
        <v>7684</v>
      </c>
      <c r="J65" s="108">
        <v>7978</v>
      </c>
      <c r="K65" s="108">
        <v>7851</v>
      </c>
      <c r="L65" s="108">
        <v>8006</v>
      </c>
      <c r="M65" s="108">
        <v>8087</v>
      </c>
      <c r="N65" s="108">
        <v>7896</v>
      </c>
      <c r="O65" s="108">
        <v>8067</v>
      </c>
      <c r="P65" s="108">
        <v>8129</v>
      </c>
    </row>
    <row r="66" spans="1:16" ht="13.15" x14ac:dyDescent="0.4">
      <c r="A66" s="27">
        <v>17</v>
      </c>
      <c r="B66" s="108">
        <v>6051</v>
      </c>
      <c r="C66" s="108">
        <v>6161</v>
      </c>
      <c r="D66" s="108">
        <v>5934</v>
      </c>
      <c r="E66" s="108">
        <v>6087</v>
      </c>
      <c r="F66" s="108">
        <v>6074</v>
      </c>
      <c r="G66" s="108">
        <v>6172</v>
      </c>
      <c r="H66" s="108">
        <v>5927</v>
      </c>
      <c r="I66" s="108">
        <v>5794</v>
      </c>
      <c r="J66" s="108">
        <v>5990</v>
      </c>
      <c r="K66" s="108">
        <v>5879</v>
      </c>
      <c r="L66" s="108">
        <v>6051</v>
      </c>
      <c r="M66" s="108">
        <v>6161</v>
      </c>
      <c r="N66" s="108">
        <v>5934</v>
      </c>
      <c r="O66" s="108">
        <v>6087</v>
      </c>
      <c r="P66" s="108">
        <v>6074</v>
      </c>
    </row>
    <row r="67" spans="1:16" ht="13.15" x14ac:dyDescent="0.4">
      <c r="A67" s="27">
        <v>18</v>
      </c>
      <c r="B67" s="108">
        <v>4514</v>
      </c>
      <c r="C67" s="108">
        <v>4620</v>
      </c>
      <c r="D67" s="108">
        <v>4449</v>
      </c>
      <c r="E67" s="108">
        <v>4534</v>
      </c>
      <c r="F67" s="108">
        <v>4554</v>
      </c>
      <c r="G67" s="108">
        <v>4647</v>
      </c>
      <c r="H67" s="108">
        <v>4438</v>
      </c>
      <c r="I67" s="108">
        <v>4374</v>
      </c>
      <c r="J67" s="108">
        <v>4499</v>
      </c>
      <c r="K67" s="108">
        <v>4374</v>
      </c>
      <c r="L67" s="108">
        <v>4514</v>
      </c>
      <c r="M67" s="108">
        <v>4620</v>
      </c>
      <c r="N67" s="108">
        <v>4449</v>
      </c>
      <c r="O67" s="108">
        <v>4534</v>
      </c>
      <c r="P67" s="108">
        <v>4554</v>
      </c>
    </row>
    <row r="68" spans="1:16" ht="13.15" x14ac:dyDescent="0.4">
      <c r="A68" s="27">
        <v>19</v>
      </c>
      <c r="B68" s="108">
        <v>3406</v>
      </c>
      <c r="C68" s="108">
        <v>3483</v>
      </c>
      <c r="D68" s="108">
        <v>3334</v>
      </c>
      <c r="E68" s="108">
        <v>3392</v>
      </c>
      <c r="F68" s="108">
        <v>3329</v>
      </c>
      <c r="G68" s="108">
        <v>3520</v>
      </c>
      <c r="H68" s="108">
        <v>3308</v>
      </c>
      <c r="I68" s="108">
        <v>3324</v>
      </c>
      <c r="J68" s="108">
        <v>3365</v>
      </c>
      <c r="K68" s="108">
        <v>3266</v>
      </c>
      <c r="L68" s="108">
        <v>3406</v>
      </c>
      <c r="M68" s="108">
        <v>3483</v>
      </c>
      <c r="N68" s="108">
        <v>3334</v>
      </c>
      <c r="O68" s="108">
        <v>3392</v>
      </c>
      <c r="P68" s="108">
        <v>3329</v>
      </c>
    </row>
    <row r="69" spans="1:16" ht="13.15" x14ac:dyDescent="0.4">
      <c r="A69" s="27">
        <v>20</v>
      </c>
      <c r="B69" s="108">
        <v>2592</v>
      </c>
      <c r="C69" s="108">
        <v>2628</v>
      </c>
      <c r="D69" s="108">
        <v>2525</v>
      </c>
      <c r="E69" s="108">
        <v>2525</v>
      </c>
      <c r="F69" s="108">
        <v>2491</v>
      </c>
      <c r="G69" s="108">
        <v>2642</v>
      </c>
      <c r="H69" s="108">
        <v>2518</v>
      </c>
      <c r="I69" s="108">
        <v>2506</v>
      </c>
      <c r="J69" s="108">
        <v>2553</v>
      </c>
      <c r="K69" s="108">
        <v>2425</v>
      </c>
      <c r="L69" s="108">
        <v>2592</v>
      </c>
      <c r="M69" s="108">
        <v>2628</v>
      </c>
      <c r="N69" s="108">
        <v>2525</v>
      </c>
      <c r="O69" s="108">
        <v>2525</v>
      </c>
      <c r="P69" s="108">
        <v>2491</v>
      </c>
    </row>
    <row r="70" spans="1:16" ht="13.15" x14ac:dyDescent="0.4">
      <c r="A70" s="27">
        <v>21</v>
      </c>
      <c r="B70" s="108">
        <v>1946</v>
      </c>
      <c r="C70" s="108">
        <v>1971</v>
      </c>
      <c r="D70" s="108">
        <v>1894</v>
      </c>
      <c r="E70" s="108">
        <v>1905</v>
      </c>
      <c r="F70" s="108">
        <v>1845</v>
      </c>
      <c r="G70" s="108">
        <v>2018</v>
      </c>
      <c r="H70" s="108">
        <v>1904</v>
      </c>
      <c r="I70" s="108">
        <v>1876</v>
      </c>
      <c r="J70" s="108">
        <v>1936</v>
      </c>
      <c r="K70" s="108">
        <v>1755</v>
      </c>
      <c r="L70" s="108">
        <v>1946</v>
      </c>
      <c r="M70" s="108">
        <v>1971</v>
      </c>
      <c r="N70" s="108">
        <v>1894</v>
      </c>
      <c r="O70" s="108">
        <v>1905</v>
      </c>
      <c r="P70" s="108">
        <v>1845</v>
      </c>
    </row>
    <row r="71" spans="1:16" ht="13.15" x14ac:dyDescent="0.4">
      <c r="A71" s="27">
        <v>22</v>
      </c>
      <c r="B71" s="108">
        <v>1497</v>
      </c>
      <c r="C71" s="108">
        <v>1488</v>
      </c>
      <c r="D71" s="108">
        <v>1427</v>
      </c>
      <c r="E71" s="108">
        <v>1457</v>
      </c>
      <c r="F71" s="108">
        <v>1381</v>
      </c>
      <c r="G71" s="108">
        <v>1517</v>
      </c>
      <c r="H71" s="108">
        <v>1458</v>
      </c>
      <c r="I71" s="108">
        <v>1419</v>
      </c>
      <c r="J71" s="108">
        <v>1444</v>
      </c>
      <c r="K71" s="108">
        <v>1302</v>
      </c>
      <c r="L71" s="108">
        <v>1497</v>
      </c>
      <c r="M71" s="108">
        <v>1488</v>
      </c>
      <c r="N71" s="108">
        <v>1427</v>
      </c>
      <c r="O71" s="108">
        <v>1457</v>
      </c>
      <c r="P71" s="108">
        <v>1381</v>
      </c>
    </row>
    <row r="72" spans="1:16" ht="13.15" x14ac:dyDescent="0.4">
      <c r="A72" s="27">
        <v>23</v>
      </c>
      <c r="B72" s="108">
        <v>1164</v>
      </c>
      <c r="C72" s="108">
        <v>1143</v>
      </c>
      <c r="D72" s="108">
        <v>1092</v>
      </c>
      <c r="E72" s="108">
        <v>1092</v>
      </c>
      <c r="F72" s="108">
        <v>1021</v>
      </c>
      <c r="G72" s="108">
        <v>1152</v>
      </c>
      <c r="H72" s="108">
        <v>1110</v>
      </c>
      <c r="I72" s="108">
        <v>1106</v>
      </c>
      <c r="J72" s="108">
        <v>1091</v>
      </c>
      <c r="K72" s="108">
        <v>966</v>
      </c>
      <c r="L72" s="108">
        <v>1164</v>
      </c>
      <c r="M72" s="108">
        <v>1143</v>
      </c>
      <c r="N72" s="108">
        <v>1092</v>
      </c>
      <c r="O72" s="108">
        <v>1092</v>
      </c>
      <c r="P72" s="108">
        <v>1021</v>
      </c>
    </row>
    <row r="73" spans="1:16" ht="13.15" x14ac:dyDescent="0.4">
      <c r="A73" s="27">
        <v>24</v>
      </c>
      <c r="B73" s="108">
        <v>867</v>
      </c>
      <c r="C73" s="108">
        <v>850</v>
      </c>
      <c r="D73" s="108">
        <v>848</v>
      </c>
      <c r="E73" s="108">
        <v>810</v>
      </c>
      <c r="F73" s="108">
        <v>779</v>
      </c>
      <c r="G73" s="108">
        <v>858</v>
      </c>
      <c r="H73" s="108">
        <v>853</v>
      </c>
      <c r="I73" s="108">
        <v>815</v>
      </c>
      <c r="J73" s="108">
        <v>816</v>
      </c>
      <c r="K73" s="108">
        <v>724</v>
      </c>
      <c r="L73" s="108">
        <v>867</v>
      </c>
      <c r="M73" s="108">
        <v>850</v>
      </c>
      <c r="N73" s="108">
        <v>848</v>
      </c>
      <c r="O73" s="108">
        <v>810</v>
      </c>
      <c r="P73" s="108">
        <v>779</v>
      </c>
    </row>
    <row r="74" spans="1:16" ht="13.15" x14ac:dyDescent="0.4">
      <c r="A74" s="27">
        <v>25</v>
      </c>
      <c r="B74" s="108">
        <v>652</v>
      </c>
      <c r="C74" s="108">
        <v>624</v>
      </c>
      <c r="D74" s="108">
        <v>630</v>
      </c>
      <c r="E74" s="108">
        <v>579</v>
      </c>
      <c r="F74" s="108">
        <v>590</v>
      </c>
      <c r="G74" s="108">
        <v>628</v>
      </c>
      <c r="H74" s="108">
        <v>632</v>
      </c>
      <c r="I74" s="108">
        <v>599</v>
      </c>
      <c r="J74" s="108">
        <v>591</v>
      </c>
      <c r="K74" s="108">
        <v>564</v>
      </c>
      <c r="L74" s="108">
        <v>652</v>
      </c>
      <c r="M74" s="108">
        <v>624</v>
      </c>
      <c r="N74" s="108">
        <v>630</v>
      </c>
      <c r="O74" s="108">
        <v>579</v>
      </c>
      <c r="P74" s="108">
        <v>590</v>
      </c>
    </row>
    <row r="75" spans="1:16" ht="13.15" x14ac:dyDescent="0.4">
      <c r="A75" s="27">
        <v>26</v>
      </c>
      <c r="B75" s="108">
        <v>474</v>
      </c>
      <c r="C75" s="108">
        <v>465</v>
      </c>
      <c r="D75" s="108">
        <v>457</v>
      </c>
      <c r="E75" s="108">
        <v>405</v>
      </c>
      <c r="F75" s="108">
        <v>405</v>
      </c>
      <c r="G75" s="108">
        <v>466</v>
      </c>
      <c r="H75" s="108">
        <v>480</v>
      </c>
      <c r="I75" s="108">
        <v>455</v>
      </c>
      <c r="J75" s="108">
        <v>418</v>
      </c>
      <c r="K75" s="108">
        <v>393</v>
      </c>
      <c r="L75" s="108">
        <v>474</v>
      </c>
      <c r="M75" s="108">
        <v>465</v>
      </c>
      <c r="N75" s="108">
        <v>457</v>
      </c>
      <c r="O75" s="108">
        <v>405</v>
      </c>
      <c r="P75" s="108">
        <v>405</v>
      </c>
    </row>
    <row r="76" spans="1:16" ht="13.15" x14ac:dyDescent="0.4">
      <c r="A76" s="27">
        <v>27</v>
      </c>
      <c r="B76" s="108">
        <v>349</v>
      </c>
      <c r="C76" s="108">
        <v>341</v>
      </c>
      <c r="D76" s="108">
        <v>323</v>
      </c>
      <c r="E76" s="108">
        <v>273</v>
      </c>
      <c r="F76" s="108">
        <v>292</v>
      </c>
      <c r="G76" s="108">
        <v>354</v>
      </c>
      <c r="H76" s="108">
        <v>360</v>
      </c>
      <c r="I76" s="108">
        <v>325</v>
      </c>
      <c r="J76" s="108">
        <v>299</v>
      </c>
      <c r="K76" s="108">
        <v>273</v>
      </c>
      <c r="L76" s="108">
        <v>349</v>
      </c>
      <c r="M76" s="108">
        <v>341</v>
      </c>
      <c r="N76" s="108">
        <v>323</v>
      </c>
      <c r="O76" s="108">
        <v>273</v>
      </c>
      <c r="P76" s="108">
        <v>292</v>
      </c>
    </row>
    <row r="77" spans="1:16" ht="13.15" x14ac:dyDescent="0.4">
      <c r="A77" s="27">
        <v>28</v>
      </c>
      <c r="B77" s="108">
        <v>242</v>
      </c>
      <c r="C77" s="108">
        <v>247</v>
      </c>
      <c r="D77" s="108">
        <v>233</v>
      </c>
      <c r="E77" s="108">
        <v>184</v>
      </c>
      <c r="F77" s="108">
        <v>209</v>
      </c>
      <c r="G77" s="108">
        <v>242</v>
      </c>
      <c r="H77" s="108">
        <v>246</v>
      </c>
      <c r="I77" s="108">
        <v>235</v>
      </c>
      <c r="J77" s="108">
        <v>206</v>
      </c>
      <c r="K77" s="108">
        <v>188</v>
      </c>
      <c r="L77" s="108">
        <v>242</v>
      </c>
      <c r="M77" s="108">
        <v>247</v>
      </c>
      <c r="N77" s="108">
        <v>233</v>
      </c>
      <c r="O77" s="108">
        <v>184</v>
      </c>
      <c r="P77" s="108">
        <v>209</v>
      </c>
    </row>
    <row r="78" spans="1:16" ht="13.15" x14ac:dyDescent="0.4">
      <c r="A78" s="27">
        <v>29</v>
      </c>
      <c r="B78" s="108">
        <v>164</v>
      </c>
      <c r="C78" s="108">
        <v>179</v>
      </c>
      <c r="D78" s="108">
        <v>148</v>
      </c>
      <c r="E78" s="108">
        <v>113</v>
      </c>
      <c r="F78" s="108">
        <v>145</v>
      </c>
      <c r="G78" s="108">
        <v>171</v>
      </c>
      <c r="H78" s="108">
        <v>160</v>
      </c>
      <c r="I78" s="108">
        <v>157</v>
      </c>
      <c r="J78" s="108">
        <v>132</v>
      </c>
      <c r="K78" s="108">
        <v>124</v>
      </c>
      <c r="L78" s="108">
        <v>164</v>
      </c>
      <c r="M78" s="108">
        <v>179</v>
      </c>
      <c r="N78" s="108">
        <v>148</v>
      </c>
      <c r="O78" s="108">
        <v>113</v>
      </c>
      <c r="P78" s="108">
        <v>145</v>
      </c>
    </row>
    <row r="79" spans="1:16" ht="13.15" x14ac:dyDescent="0.4">
      <c r="A79" s="27">
        <v>30</v>
      </c>
      <c r="B79" s="108">
        <v>102</v>
      </c>
      <c r="C79" s="108">
        <v>117</v>
      </c>
      <c r="D79" s="108">
        <v>105</v>
      </c>
      <c r="E79" s="108">
        <v>83</v>
      </c>
      <c r="F79" s="108">
        <v>93</v>
      </c>
      <c r="G79" s="108">
        <v>111</v>
      </c>
      <c r="H79" s="108">
        <v>120</v>
      </c>
      <c r="I79" s="108">
        <v>101</v>
      </c>
      <c r="J79" s="108">
        <v>97</v>
      </c>
      <c r="K79" s="108">
        <v>73</v>
      </c>
      <c r="L79" s="108">
        <v>102</v>
      </c>
      <c r="M79" s="108">
        <v>117</v>
      </c>
      <c r="N79" s="108">
        <v>105</v>
      </c>
      <c r="O79" s="108">
        <v>83</v>
      </c>
      <c r="P79" s="108">
        <v>93</v>
      </c>
    </row>
    <row r="80" spans="1:16" ht="13.15" x14ac:dyDescent="0.4">
      <c r="A80" s="27">
        <v>38</v>
      </c>
      <c r="B80" s="108">
        <v>73</v>
      </c>
      <c r="C80" s="108">
        <v>84</v>
      </c>
      <c r="D80" s="108">
        <v>73</v>
      </c>
      <c r="E80" s="108">
        <v>54</v>
      </c>
      <c r="F80" s="108">
        <v>57</v>
      </c>
      <c r="G80" s="108">
        <v>71</v>
      </c>
      <c r="H80" s="108">
        <v>86</v>
      </c>
      <c r="I80" s="108">
        <v>81</v>
      </c>
      <c r="J80" s="108">
        <v>69</v>
      </c>
      <c r="K80" s="108">
        <v>51</v>
      </c>
      <c r="L80" s="108">
        <v>73</v>
      </c>
      <c r="M80" s="108">
        <v>84</v>
      </c>
      <c r="N80" s="108">
        <v>73</v>
      </c>
      <c r="O80" s="108">
        <v>54</v>
      </c>
      <c r="P80" s="108">
        <v>57</v>
      </c>
    </row>
    <row r="81" spans="1:32" ht="13.15" x14ac:dyDescent="0.4">
      <c r="A81" s="27">
        <v>50</v>
      </c>
      <c r="B81" s="108">
        <v>52</v>
      </c>
      <c r="C81" s="108">
        <v>55</v>
      </c>
      <c r="D81" s="108">
        <v>35</v>
      </c>
      <c r="E81" s="108">
        <v>32</v>
      </c>
      <c r="F81" s="108">
        <v>31</v>
      </c>
      <c r="G81" s="108">
        <v>53</v>
      </c>
      <c r="H81" s="108">
        <v>58</v>
      </c>
      <c r="I81" s="108">
        <v>52</v>
      </c>
      <c r="J81" s="108">
        <v>40</v>
      </c>
      <c r="K81" s="108">
        <v>31</v>
      </c>
      <c r="L81" s="108">
        <v>52</v>
      </c>
      <c r="M81" s="108">
        <v>55</v>
      </c>
      <c r="N81" s="108">
        <v>35</v>
      </c>
      <c r="O81" s="108">
        <v>32</v>
      </c>
      <c r="P81" s="108">
        <v>31</v>
      </c>
    </row>
    <row r="82" spans="1:32" ht="13.15" x14ac:dyDescent="0.4">
      <c r="A82" s="27">
        <v>70</v>
      </c>
      <c r="B82" s="108">
        <v>37</v>
      </c>
      <c r="C82" s="108">
        <v>35</v>
      </c>
      <c r="D82" s="108">
        <v>20</v>
      </c>
      <c r="E82" s="108">
        <v>14</v>
      </c>
      <c r="F82" s="108">
        <v>20</v>
      </c>
      <c r="G82" s="108">
        <v>41</v>
      </c>
      <c r="H82" s="108">
        <v>40</v>
      </c>
      <c r="I82" s="108">
        <v>32</v>
      </c>
      <c r="J82" s="108">
        <v>25</v>
      </c>
      <c r="K82" s="108">
        <v>20</v>
      </c>
      <c r="L82" s="108">
        <v>37</v>
      </c>
      <c r="M82" s="108">
        <v>35</v>
      </c>
      <c r="N82" s="108">
        <v>20</v>
      </c>
      <c r="O82" s="108">
        <v>14</v>
      </c>
      <c r="P82" s="108">
        <v>20</v>
      </c>
    </row>
    <row r="85" spans="1:32" ht="13.15" x14ac:dyDescent="0.4">
      <c r="B85" s="27" t="s">
        <v>105</v>
      </c>
    </row>
    <row r="86" spans="1:32" ht="13.15" x14ac:dyDescent="0.4">
      <c r="A86">
        <v>1</v>
      </c>
      <c r="B86" s="108">
        <v>4.4694779999999996</v>
      </c>
      <c r="C86" s="108">
        <v>78062</v>
      </c>
      <c r="D86" s="108">
        <v>66917</v>
      </c>
      <c r="E86" s="108">
        <v>57940</v>
      </c>
      <c r="F86" s="108">
        <v>49573</v>
      </c>
      <c r="G86" s="108">
        <v>42508</v>
      </c>
      <c r="H86" s="108">
        <v>36256</v>
      </c>
      <c r="I86" s="108">
        <v>30816</v>
      </c>
      <c r="J86" s="108">
        <v>25586</v>
      </c>
      <c r="K86" s="108">
        <v>20960</v>
      </c>
      <c r="L86" s="108">
        <v>16995</v>
      </c>
      <c r="M86" s="108">
        <v>13464</v>
      </c>
      <c r="N86" s="108">
        <v>10437</v>
      </c>
      <c r="O86" s="108">
        <v>8006</v>
      </c>
      <c r="P86" s="108">
        <v>6051</v>
      </c>
      <c r="Q86" s="108">
        <v>4514</v>
      </c>
      <c r="R86" s="108">
        <v>3406</v>
      </c>
      <c r="S86" s="108">
        <v>2592</v>
      </c>
      <c r="T86" s="108">
        <v>1946</v>
      </c>
      <c r="U86" s="108">
        <v>1497</v>
      </c>
      <c r="V86" s="108">
        <v>1164</v>
      </c>
      <c r="W86" s="108">
        <v>867</v>
      </c>
      <c r="X86" s="108">
        <v>652</v>
      </c>
      <c r="Y86" s="108">
        <v>474</v>
      </c>
      <c r="Z86" s="108">
        <v>349</v>
      </c>
      <c r="AA86" s="108">
        <v>242</v>
      </c>
      <c r="AB86" s="108">
        <v>164</v>
      </c>
      <c r="AC86" s="108">
        <v>102</v>
      </c>
      <c r="AD86" s="108">
        <v>73</v>
      </c>
      <c r="AE86" s="108">
        <v>52</v>
      </c>
      <c r="AF86" s="108">
        <v>37</v>
      </c>
    </row>
    <row r="87" spans="1:32" ht="13.15" x14ac:dyDescent="0.4">
      <c r="A87">
        <v>2</v>
      </c>
      <c r="B87" s="108">
        <v>4.4241450000000002</v>
      </c>
      <c r="C87" s="108">
        <v>78421</v>
      </c>
      <c r="D87" s="108">
        <v>67163</v>
      </c>
      <c r="E87" s="108">
        <v>58166</v>
      </c>
      <c r="F87" s="108">
        <v>49727</v>
      </c>
      <c r="G87" s="108">
        <v>42585</v>
      </c>
      <c r="H87" s="108">
        <v>36262</v>
      </c>
      <c r="I87" s="108">
        <v>30856</v>
      </c>
      <c r="J87" s="108">
        <v>25685</v>
      </c>
      <c r="K87" s="108">
        <v>21241</v>
      </c>
      <c r="L87" s="108">
        <v>17122</v>
      </c>
      <c r="M87" s="108">
        <v>13593</v>
      </c>
      <c r="N87" s="108">
        <v>10657</v>
      </c>
      <c r="O87" s="108">
        <v>8087</v>
      </c>
      <c r="P87" s="108">
        <v>6161</v>
      </c>
      <c r="Q87" s="108">
        <v>4620</v>
      </c>
      <c r="R87" s="108">
        <v>3483</v>
      </c>
      <c r="S87" s="108">
        <v>2628</v>
      </c>
      <c r="T87" s="108">
        <v>1971</v>
      </c>
      <c r="U87" s="108">
        <v>1488</v>
      </c>
      <c r="V87" s="108">
        <v>1143</v>
      </c>
      <c r="W87" s="108">
        <v>850</v>
      </c>
      <c r="X87" s="108">
        <v>624</v>
      </c>
      <c r="Y87" s="108">
        <v>465</v>
      </c>
      <c r="Z87" s="108">
        <v>341</v>
      </c>
      <c r="AA87" s="108">
        <v>247</v>
      </c>
      <c r="AB87" s="108">
        <v>179</v>
      </c>
      <c r="AC87" s="108">
        <v>117</v>
      </c>
      <c r="AD87" s="108">
        <v>84</v>
      </c>
      <c r="AE87" s="108">
        <v>55</v>
      </c>
      <c r="AF87" s="108">
        <v>35</v>
      </c>
    </row>
    <row r="88" spans="1:32" ht="13.15" x14ac:dyDescent="0.4">
      <c r="A88">
        <v>3</v>
      </c>
      <c r="B88" s="108">
        <v>4.4558520000000001</v>
      </c>
      <c r="C88" s="108">
        <v>77746</v>
      </c>
      <c r="D88" s="108">
        <v>66552</v>
      </c>
      <c r="E88" s="108">
        <v>57551</v>
      </c>
      <c r="F88" s="108">
        <v>49171</v>
      </c>
      <c r="G88" s="108">
        <v>41999</v>
      </c>
      <c r="H88" s="108">
        <v>35721</v>
      </c>
      <c r="I88" s="108">
        <v>30207</v>
      </c>
      <c r="J88" s="108">
        <v>25140</v>
      </c>
      <c r="K88" s="108">
        <v>20689</v>
      </c>
      <c r="L88" s="108">
        <v>16750</v>
      </c>
      <c r="M88" s="108">
        <v>13360</v>
      </c>
      <c r="N88" s="108">
        <v>10420</v>
      </c>
      <c r="O88" s="108">
        <v>7896</v>
      </c>
      <c r="P88" s="108">
        <v>5934</v>
      </c>
      <c r="Q88" s="108">
        <v>4449</v>
      </c>
      <c r="R88" s="108">
        <v>3334</v>
      </c>
      <c r="S88" s="108">
        <v>2525</v>
      </c>
      <c r="T88" s="108">
        <v>1894</v>
      </c>
      <c r="U88" s="108">
        <v>1427</v>
      </c>
      <c r="V88" s="108">
        <v>1092</v>
      </c>
      <c r="W88" s="108">
        <v>848</v>
      </c>
      <c r="X88" s="108">
        <v>630</v>
      </c>
      <c r="Y88" s="108">
        <v>457</v>
      </c>
      <c r="Z88" s="108">
        <v>323</v>
      </c>
      <c r="AA88" s="108">
        <v>233</v>
      </c>
      <c r="AB88" s="108">
        <v>148</v>
      </c>
      <c r="AC88" s="108">
        <v>105</v>
      </c>
      <c r="AD88" s="108">
        <v>73</v>
      </c>
      <c r="AE88" s="108">
        <v>35</v>
      </c>
      <c r="AF88" s="108">
        <v>20</v>
      </c>
    </row>
    <row r="89" spans="1:32" ht="13.15" x14ac:dyDescent="0.4">
      <c r="A89">
        <v>4</v>
      </c>
      <c r="B89" s="108">
        <v>4.4696800000000003</v>
      </c>
      <c r="C89" s="108">
        <v>77484</v>
      </c>
      <c r="D89" s="108">
        <v>66389</v>
      </c>
      <c r="E89" s="108">
        <v>57661</v>
      </c>
      <c r="F89" s="108">
        <v>49152</v>
      </c>
      <c r="G89" s="108">
        <v>42110</v>
      </c>
      <c r="H89" s="108">
        <v>35870</v>
      </c>
      <c r="I89" s="108">
        <v>30284</v>
      </c>
      <c r="J89" s="108">
        <v>25186</v>
      </c>
      <c r="K89" s="108">
        <v>20807</v>
      </c>
      <c r="L89" s="108">
        <v>16878</v>
      </c>
      <c r="M89" s="108">
        <v>13403</v>
      </c>
      <c r="N89" s="108">
        <v>10518</v>
      </c>
      <c r="O89" s="108">
        <v>8067</v>
      </c>
      <c r="P89" s="108">
        <v>6087</v>
      </c>
      <c r="Q89" s="108">
        <v>4534</v>
      </c>
      <c r="R89" s="108">
        <v>3392</v>
      </c>
      <c r="S89" s="108">
        <v>2525</v>
      </c>
      <c r="T89" s="108">
        <v>1905</v>
      </c>
      <c r="U89" s="108">
        <v>1457</v>
      </c>
      <c r="V89" s="108">
        <v>1092</v>
      </c>
      <c r="W89" s="108">
        <v>810</v>
      </c>
      <c r="X89" s="108">
        <v>579</v>
      </c>
      <c r="Y89" s="108">
        <v>405</v>
      </c>
      <c r="Z89" s="108">
        <v>273</v>
      </c>
      <c r="AA89" s="108">
        <v>184</v>
      </c>
      <c r="AB89" s="108">
        <v>113</v>
      </c>
      <c r="AC89" s="108">
        <v>83</v>
      </c>
      <c r="AD89" s="108">
        <v>54</v>
      </c>
      <c r="AE89" s="108">
        <v>32</v>
      </c>
      <c r="AF89" s="108">
        <v>14</v>
      </c>
    </row>
    <row r="90" spans="1:32" ht="13.15" x14ac:dyDescent="0.4">
      <c r="A90">
        <v>5</v>
      </c>
      <c r="B90" s="108">
        <v>4.4398780000000002</v>
      </c>
      <c r="C90" s="108">
        <v>78818</v>
      </c>
      <c r="D90" s="108">
        <v>67371</v>
      </c>
      <c r="E90" s="108">
        <v>58335</v>
      </c>
      <c r="F90" s="108">
        <v>49847</v>
      </c>
      <c r="G90" s="108">
        <v>42709</v>
      </c>
      <c r="H90" s="108">
        <v>36395</v>
      </c>
      <c r="I90" s="108">
        <v>30907</v>
      </c>
      <c r="J90" s="108">
        <v>25818</v>
      </c>
      <c r="K90" s="108">
        <v>21181</v>
      </c>
      <c r="L90" s="108">
        <v>17170</v>
      </c>
      <c r="M90" s="108">
        <v>13570</v>
      </c>
      <c r="N90" s="108">
        <v>10649</v>
      </c>
      <c r="O90" s="108">
        <v>8129</v>
      </c>
      <c r="P90" s="108">
        <v>6074</v>
      </c>
      <c r="Q90" s="108">
        <v>4554</v>
      </c>
      <c r="R90" s="108">
        <v>3329</v>
      </c>
      <c r="S90" s="108">
        <v>2491</v>
      </c>
      <c r="T90" s="108">
        <v>1845</v>
      </c>
      <c r="U90" s="108">
        <v>1381</v>
      </c>
      <c r="V90" s="108">
        <v>1021</v>
      </c>
      <c r="W90" s="108">
        <v>779</v>
      </c>
      <c r="X90" s="108">
        <v>590</v>
      </c>
      <c r="Y90" s="108">
        <v>405</v>
      </c>
      <c r="Z90" s="108">
        <v>292</v>
      </c>
      <c r="AA90" s="108">
        <v>209</v>
      </c>
      <c r="AB90" s="108">
        <v>145</v>
      </c>
      <c r="AC90" s="108">
        <v>93</v>
      </c>
      <c r="AD90" s="108">
        <v>57</v>
      </c>
      <c r="AE90" s="108">
        <v>31</v>
      </c>
      <c r="AF90" s="108">
        <v>20</v>
      </c>
    </row>
    <row r="91" spans="1:32" ht="13.15" x14ac:dyDescent="0.4">
      <c r="A91">
        <v>1</v>
      </c>
      <c r="B91" s="108">
        <v>4.4625700000000004</v>
      </c>
      <c r="C91" s="108">
        <v>77965</v>
      </c>
      <c r="D91" s="108">
        <v>66902</v>
      </c>
      <c r="E91" s="108">
        <v>58038</v>
      </c>
      <c r="F91" s="108">
        <v>49638</v>
      </c>
      <c r="G91" s="108">
        <v>42438</v>
      </c>
      <c r="H91" s="108">
        <v>36173</v>
      </c>
      <c r="I91" s="108">
        <v>30694</v>
      </c>
      <c r="J91" s="108">
        <v>25615</v>
      </c>
      <c r="K91" s="108">
        <v>21165</v>
      </c>
      <c r="L91" s="108">
        <v>17110</v>
      </c>
      <c r="M91" s="108">
        <v>13582</v>
      </c>
      <c r="N91" s="108">
        <v>10636</v>
      </c>
      <c r="O91" s="108">
        <v>8120</v>
      </c>
      <c r="P91" s="108">
        <v>6172</v>
      </c>
      <c r="Q91" s="108">
        <v>4647</v>
      </c>
      <c r="R91" s="108">
        <v>3520</v>
      </c>
      <c r="S91" s="108">
        <v>2642</v>
      </c>
      <c r="T91" s="108">
        <v>2018</v>
      </c>
      <c r="U91" s="108">
        <v>1517</v>
      </c>
      <c r="V91" s="108">
        <v>1152</v>
      </c>
      <c r="W91" s="108">
        <v>858</v>
      </c>
      <c r="X91" s="108">
        <v>628</v>
      </c>
      <c r="Y91" s="108">
        <v>466</v>
      </c>
      <c r="Z91" s="108">
        <v>354</v>
      </c>
      <c r="AA91" s="108">
        <v>242</v>
      </c>
      <c r="AB91" s="108">
        <v>171</v>
      </c>
      <c r="AC91" s="108">
        <v>111</v>
      </c>
      <c r="AD91" s="108">
        <v>71</v>
      </c>
      <c r="AE91" s="108">
        <v>53</v>
      </c>
      <c r="AF91" s="108">
        <v>41</v>
      </c>
    </row>
    <row r="92" spans="1:32" ht="13.15" x14ac:dyDescent="0.4">
      <c r="A92">
        <v>2</v>
      </c>
      <c r="B92" s="108">
        <v>4.4558489999999997</v>
      </c>
      <c r="C92" s="108">
        <v>75995</v>
      </c>
      <c r="D92" s="108">
        <v>65058</v>
      </c>
      <c r="E92" s="108">
        <v>56400</v>
      </c>
      <c r="F92" s="108">
        <v>48280</v>
      </c>
      <c r="G92" s="108">
        <v>41302</v>
      </c>
      <c r="H92" s="108">
        <v>35273</v>
      </c>
      <c r="I92" s="108">
        <v>30026</v>
      </c>
      <c r="J92" s="108">
        <v>25098</v>
      </c>
      <c r="K92" s="108">
        <v>20595</v>
      </c>
      <c r="L92" s="108">
        <v>16780</v>
      </c>
      <c r="M92" s="108">
        <v>13336</v>
      </c>
      <c r="N92" s="108">
        <v>10345</v>
      </c>
      <c r="O92" s="108">
        <v>7870</v>
      </c>
      <c r="P92" s="108">
        <v>5927</v>
      </c>
      <c r="Q92" s="108">
        <v>4438</v>
      </c>
      <c r="R92" s="108">
        <v>3308</v>
      </c>
      <c r="S92" s="108">
        <v>2518</v>
      </c>
      <c r="T92" s="108">
        <v>1904</v>
      </c>
      <c r="U92" s="108">
        <v>1458</v>
      </c>
      <c r="V92" s="108">
        <v>1110</v>
      </c>
      <c r="W92" s="108">
        <v>853</v>
      </c>
      <c r="X92" s="108">
        <v>632</v>
      </c>
      <c r="Y92" s="108">
        <v>480</v>
      </c>
      <c r="Z92" s="108">
        <v>360</v>
      </c>
      <c r="AA92" s="108">
        <v>246</v>
      </c>
      <c r="AB92" s="108">
        <v>160</v>
      </c>
      <c r="AC92" s="108">
        <v>120</v>
      </c>
      <c r="AD92" s="108">
        <v>86</v>
      </c>
      <c r="AE92" s="108">
        <v>58</v>
      </c>
      <c r="AF92" s="108">
        <v>40</v>
      </c>
    </row>
    <row r="93" spans="1:32" ht="13.15" x14ac:dyDescent="0.4">
      <c r="A93">
        <v>3</v>
      </c>
      <c r="B93" s="108">
        <v>4.4799730000000002</v>
      </c>
      <c r="C93" s="108">
        <v>73898</v>
      </c>
      <c r="D93" s="108">
        <v>63376</v>
      </c>
      <c r="E93" s="108">
        <v>55179</v>
      </c>
      <c r="F93" s="108">
        <v>47247</v>
      </c>
      <c r="G93" s="108">
        <v>40548</v>
      </c>
      <c r="H93" s="108">
        <v>34628</v>
      </c>
      <c r="I93" s="108">
        <v>29490</v>
      </c>
      <c r="J93" s="108">
        <v>24616</v>
      </c>
      <c r="K93" s="108">
        <v>20244</v>
      </c>
      <c r="L93" s="108">
        <v>16448</v>
      </c>
      <c r="M93" s="108">
        <v>13037</v>
      </c>
      <c r="N93" s="108">
        <v>10183</v>
      </c>
      <c r="O93" s="108">
        <v>7684</v>
      </c>
      <c r="P93" s="108">
        <v>5794</v>
      </c>
      <c r="Q93" s="108">
        <v>4374</v>
      </c>
      <c r="R93" s="108">
        <v>3324</v>
      </c>
      <c r="S93" s="108">
        <v>2506</v>
      </c>
      <c r="T93" s="108">
        <v>1876</v>
      </c>
      <c r="U93" s="108">
        <v>1419</v>
      </c>
      <c r="V93" s="108">
        <v>1106</v>
      </c>
      <c r="W93" s="108">
        <v>815</v>
      </c>
      <c r="X93" s="108">
        <v>599</v>
      </c>
      <c r="Y93" s="108">
        <v>455</v>
      </c>
      <c r="Z93" s="108">
        <v>325</v>
      </c>
      <c r="AA93" s="108">
        <v>235</v>
      </c>
      <c r="AB93" s="108">
        <v>157</v>
      </c>
      <c r="AC93" s="108">
        <v>101</v>
      </c>
      <c r="AD93" s="108">
        <v>81</v>
      </c>
      <c r="AE93" s="108">
        <v>52</v>
      </c>
      <c r="AF93" s="108">
        <v>32</v>
      </c>
    </row>
    <row r="94" spans="1:32" ht="13.15" x14ac:dyDescent="0.4">
      <c r="A94">
        <v>4</v>
      </c>
      <c r="B94" s="108">
        <v>4.4771409999999996</v>
      </c>
      <c r="C94" s="108">
        <v>79583</v>
      </c>
      <c r="D94" s="108">
        <v>67831</v>
      </c>
      <c r="E94" s="108">
        <v>58570</v>
      </c>
      <c r="F94" s="108">
        <v>49742</v>
      </c>
      <c r="G94" s="108">
        <v>42566</v>
      </c>
      <c r="H94" s="108">
        <v>36115</v>
      </c>
      <c r="I94" s="108">
        <v>30699</v>
      </c>
      <c r="J94" s="108">
        <v>25488</v>
      </c>
      <c r="K94" s="108">
        <v>20961</v>
      </c>
      <c r="L94" s="108">
        <v>16920</v>
      </c>
      <c r="M94" s="108">
        <v>13427</v>
      </c>
      <c r="N94" s="108">
        <v>10509</v>
      </c>
      <c r="O94" s="108">
        <v>7978</v>
      </c>
      <c r="P94" s="108">
        <v>5990</v>
      </c>
      <c r="Q94" s="108">
        <v>4499</v>
      </c>
      <c r="R94" s="108">
        <v>3365</v>
      </c>
      <c r="S94" s="108">
        <v>2553</v>
      </c>
      <c r="T94" s="108">
        <v>1936</v>
      </c>
      <c r="U94" s="108">
        <v>1444</v>
      </c>
      <c r="V94" s="108">
        <v>1091</v>
      </c>
      <c r="W94" s="108">
        <v>816</v>
      </c>
      <c r="X94" s="108">
        <v>591</v>
      </c>
      <c r="Y94" s="108">
        <v>418</v>
      </c>
      <c r="Z94" s="108">
        <v>299</v>
      </c>
      <c r="AA94" s="108">
        <v>206</v>
      </c>
      <c r="AB94" s="108">
        <v>132</v>
      </c>
      <c r="AC94" s="108">
        <v>97</v>
      </c>
      <c r="AD94" s="108">
        <v>69</v>
      </c>
      <c r="AE94" s="108">
        <v>40</v>
      </c>
      <c r="AF94" s="108">
        <v>25</v>
      </c>
    </row>
    <row r="95" spans="1:32" ht="13.15" x14ac:dyDescent="0.4">
      <c r="A95">
        <v>5</v>
      </c>
      <c r="B95" s="108">
        <v>4.4411110000000003</v>
      </c>
      <c r="C95" s="108">
        <v>77901</v>
      </c>
      <c r="D95" s="108">
        <v>66691</v>
      </c>
      <c r="E95" s="108">
        <v>57741</v>
      </c>
      <c r="F95" s="108">
        <v>49295</v>
      </c>
      <c r="G95" s="108">
        <v>42225</v>
      </c>
      <c r="H95" s="108">
        <v>35950</v>
      </c>
      <c r="I95" s="108">
        <v>30473</v>
      </c>
      <c r="J95" s="108">
        <v>25298</v>
      </c>
      <c r="K95" s="108">
        <v>20805</v>
      </c>
      <c r="L95" s="108">
        <v>16835</v>
      </c>
      <c r="M95" s="108">
        <v>13374</v>
      </c>
      <c r="N95" s="108">
        <v>10359</v>
      </c>
      <c r="O95" s="108">
        <v>7851</v>
      </c>
      <c r="P95" s="108">
        <v>5879</v>
      </c>
      <c r="Q95" s="108">
        <v>4374</v>
      </c>
      <c r="R95" s="108">
        <v>3266</v>
      </c>
      <c r="S95" s="108">
        <v>2425</v>
      </c>
      <c r="T95" s="108">
        <v>1755</v>
      </c>
      <c r="U95" s="108">
        <v>1302</v>
      </c>
      <c r="V95" s="108">
        <v>966</v>
      </c>
      <c r="W95" s="108">
        <v>724</v>
      </c>
      <c r="X95" s="108">
        <v>564</v>
      </c>
      <c r="Y95" s="108">
        <v>393</v>
      </c>
      <c r="Z95" s="108">
        <v>273</v>
      </c>
      <c r="AA95" s="108">
        <v>188</v>
      </c>
      <c r="AB95" s="108">
        <v>124</v>
      </c>
      <c r="AC95" s="108">
        <v>73</v>
      </c>
      <c r="AD95" s="108">
        <v>51</v>
      </c>
      <c r="AE95" s="108">
        <v>31</v>
      </c>
      <c r="AF95" s="108">
        <v>20</v>
      </c>
    </row>
    <row r="96" spans="1:32" ht="13.15" x14ac:dyDescent="0.4">
      <c r="A96">
        <v>1</v>
      </c>
      <c r="B96" s="108">
        <v>4.4694779999999996</v>
      </c>
      <c r="C96" s="108">
        <v>78062</v>
      </c>
      <c r="D96" s="108">
        <v>66917</v>
      </c>
      <c r="E96" s="108">
        <v>57940</v>
      </c>
      <c r="F96" s="108">
        <v>49573</v>
      </c>
      <c r="G96" s="108">
        <v>42508</v>
      </c>
      <c r="H96" s="108">
        <v>36256</v>
      </c>
      <c r="I96" s="108">
        <v>30816</v>
      </c>
      <c r="J96" s="108">
        <v>25586</v>
      </c>
      <c r="K96" s="108">
        <v>20960</v>
      </c>
      <c r="L96" s="108">
        <v>16995</v>
      </c>
      <c r="M96" s="108">
        <v>13464</v>
      </c>
      <c r="N96" s="108">
        <v>10437</v>
      </c>
      <c r="O96" s="108">
        <v>8006</v>
      </c>
      <c r="P96" s="108">
        <v>6051</v>
      </c>
      <c r="Q96" s="108">
        <v>4514</v>
      </c>
      <c r="R96" s="108">
        <v>3406</v>
      </c>
      <c r="S96" s="108">
        <v>2592</v>
      </c>
      <c r="T96" s="108">
        <v>1946</v>
      </c>
      <c r="U96" s="108">
        <v>1497</v>
      </c>
      <c r="V96" s="108">
        <v>1164</v>
      </c>
      <c r="W96" s="108">
        <v>867</v>
      </c>
      <c r="X96" s="108">
        <v>652</v>
      </c>
      <c r="Y96" s="108">
        <v>474</v>
      </c>
      <c r="Z96" s="108">
        <v>349</v>
      </c>
      <c r="AA96" s="108">
        <v>242</v>
      </c>
      <c r="AB96" s="108">
        <v>164</v>
      </c>
      <c r="AC96" s="108">
        <v>102</v>
      </c>
      <c r="AD96" s="108">
        <v>73</v>
      </c>
      <c r="AE96" s="108">
        <v>52</v>
      </c>
      <c r="AF96" s="108">
        <v>37</v>
      </c>
    </row>
    <row r="97" spans="1:32" ht="13.15" x14ac:dyDescent="0.4">
      <c r="A97">
        <v>2</v>
      </c>
      <c r="B97" s="108">
        <v>4.4241450000000002</v>
      </c>
      <c r="C97" s="108">
        <v>78421</v>
      </c>
      <c r="D97" s="108">
        <v>67163</v>
      </c>
      <c r="E97" s="108">
        <v>58166</v>
      </c>
      <c r="F97" s="108">
        <v>49727</v>
      </c>
      <c r="G97" s="108">
        <v>42585</v>
      </c>
      <c r="H97" s="108">
        <v>36262</v>
      </c>
      <c r="I97" s="108">
        <v>30856</v>
      </c>
      <c r="J97" s="108">
        <v>25685</v>
      </c>
      <c r="K97" s="108">
        <v>21241</v>
      </c>
      <c r="L97" s="108">
        <v>17122</v>
      </c>
      <c r="M97" s="108">
        <v>13593</v>
      </c>
      <c r="N97" s="108">
        <v>10657</v>
      </c>
      <c r="O97" s="108">
        <v>8087</v>
      </c>
      <c r="P97" s="108">
        <v>6161</v>
      </c>
      <c r="Q97" s="108">
        <v>4620</v>
      </c>
      <c r="R97" s="108">
        <v>3483</v>
      </c>
      <c r="S97" s="108">
        <v>2628</v>
      </c>
      <c r="T97" s="108">
        <v>1971</v>
      </c>
      <c r="U97" s="108">
        <v>1488</v>
      </c>
      <c r="V97" s="108">
        <v>1143</v>
      </c>
      <c r="W97" s="108">
        <v>850</v>
      </c>
      <c r="X97" s="108">
        <v>624</v>
      </c>
      <c r="Y97" s="108">
        <v>465</v>
      </c>
      <c r="Z97" s="108">
        <v>341</v>
      </c>
      <c r="AA97" s="108">
        <v>247</v>
      </c>
      <c r="AB97" s="108">
        <v>179</v>
      </c>
      <c r="AC97" s="108">
        <v>117</v>
      </c>
      <c r="AD97" s="108">
        <v>84</v>
      </c>
      <c r="AE97" s="108">
        <v>55</v>
      </c>
      <c r="AF97" s="108">
        <v>35</v>
      </c>
    </row>
    <row r="98" spans="1:32" ht="13.15" x14ac:dyDescent="0.4">
      <c r="A98">
        <v>3</v>
      </c>
      <c r="B98" s="108">
        <v>4.4558520000000001</v>
      </c>
      <c r="C98" s="108">
        <v>77746</v>
      </c>
      <c r="D98" s="108">
        <v>66552</v>
      </c>
      <c r="E98" s="108">
        <v>57551</v>
      </c>
      <c r="F98" s="108">
        <v>49171</v>
      </c>
      <c r="G98" s="108">
        <v>41999</v>
      </c>
      <c r="H98" s="108">
        <v>35721</v>
      </c>
      <c r="I98" s="108">
        <v>30207</v>
      </c>
      <c r="J98" s="108">
        <v>25140</v>
      </c>
      <c r="K98" s="108">
        <v>20689</v>
      </c>
      <c r="L98" s="108">
        <v>16750</v>
      </c>
      <c r="M98" s="108">
        <v>13360</v>
      </c>
      <c r="N98" s="108">
        <v>10420</v>
      </c>
      <c r="O98" s="108">
        <v>7896</v>
      </c>
      <c r="P98" s="108">
        <v>5934</v>
      </c>
      <c r="Q98" s="108">
        <v>4449</v>
      </c>
      <c r="R98" s="108">
        <v>3334</v>
      </c>
      <c r="S98" s="108">
        <v>2525</v>
      </c>
      <c r="T98" s="108">
        <v>1894</v>
      </c>
      <c r="U98" s="108">
        <v>1427</v>
      </c>
      <c r="V98" s="108">
        <v>1092</v>
      </c>
      <c r="W98" s="108">
        <v>848</v>
      </c>
      <c r="X98" s="108">
        <v>630</v>
      </c>
      <c r="Y98" s="108">
        <v>457</v>
      </c>
      <c r="Z98" s="108">
        <v>323</v>
      </c>
      <c r="AA98" s="108">
        <v>233</v>
      </c>
      <c r="AB98" s="108">
        <v>148</v>
      </c>
      <c r="AC98" s="108">
        <v>105</v>
      </c>
      <c r="AD98" s="108">
        <v>73</v>
      </c>
      <c r="AE98" s="108">
        <v>35</v>
      </c>
      <c r="AF98" s="108">
        <v>20</v>
      </c>
    </row>
    <row r="99" spans="1:32" ht="13.15" x14ac:dyDescent="0.4">
      <c r="A99">
        <v>4</v>
      </c>
      <c r="B99" s="108">
        <v>4.4696800000000003</v>
      </c>
      <c r="C99" s="108">
        <v>77484</v>
      </c>
      <c r="D99" s="108">
        <v>66389</v>
      </c>
      <c r="E99" s="108">
        <v>57661</v>
      </c>
      <c r="F99" s="108">
        <v>49152</v>
      </c>
      <c r="G99" s="108">
        <v>42110</v>
      </c>
      <c r="H99" s="108">
        <v>35870</v>
      </c>
      <c r="I99" s="108">
        <v>30284</v>
      </c>
      <c r="J99" s="108">
        <v>25186</v>
      </c>
      <c r="K99" s="108">
        <v>20807</v>
      </c>
      <c r="L99" s="108">
        <v>16878</v>
      </c>
      <c r="M99" s="108">
        <v>13403</v>
      </c>
      <c r="N99" s="108">
        <v>10518</v>
      </c>
      <c r="O99" s="108">
        <v>8067</v>
      </c>
      <c r="P99" s="108">
        <v>6087</v>
      </c>
      <c r="Q99" s="108">
        <v>4534</v>
      </c>
      <c r="R99" s="108">
        <v>3392</v>
      </c>
      <c r="S99" s="108">
        <v>2525</v>
      </c>
      <c r="T99" s="108">
        <v>1905</v>
      </c>
      <c r="U99" s="108">
        <v>1457</v>
      </c>
      <c r="V99" s="108">
        <v>1092</v>
      </c>
      <c r="W99" s="108">
        <v>810</v>
      </c>
      <c r="X99" s="108">
        <v>579</v>
      </c>
      <c r="Y99" s="108">
        <v>405</v>
      </c>
      <c r="Z99" s="108">
        <v>273</v>
      </c>
      <c r="AA99" s="108">
        <v>184</v>
      </c>
      <c r="AB99" s="108">
        <v>113</v>
      </c>
      <c r="AC99" s="108">
        <v>83</v>
      </c>
      <c r="AD99" s="108">
        <v>54</v>
      </c>
      <c r="AE99" s="108">
        <v>32</v>
      </c>
      <c r="AF99" s="108">
        <v>14</v>
      </c>
    </row>
    <row r="100" spans="1:32" ht="13.15" x14ac:dyDescent="0.4">
      <c r="A100">
        <v>0</v>
      </c>
      <c r="B100" s="108">
        <v>4.4398780000000002</v>
      </c>
      <c r="C100" s="108">
        <v>78818</v>
      </c>
      <c r="D100" s="108">
        <v>67371</v>
      </c>
      <c r="E100" s="108">
        <v>58335</v>
      </c>
      <c r="F100" s="108">
        <v>49847</v>
      </c>
      <c r="G100" s="108">
        <v>42709</v>
      </c>
      <c r="H100" s="108">
        <v>36395</v>
      </c>
      <c r="I100" s="108">
        <v>30907</v>
      </c>
      <c r="J100" s="108">
        <v>25818</v>
      </c>
      <c r="K100" s="108">
        <v>21181</v>
      </c>
      <c r="L100" s="108">
        <v>17170</v>
      </c>
      <c r="M100" s="108">
        <v>13570</v>
      </c>
      <c r="N100" s="108">
        <v>10649</v>
      </c>
      <c r="O100" s="108">
        <v>8129</v>
      </c>
      <c r="P100" s="108">
        <v>6074</v>
      </c>
      <c r="Q100" s="108">
        <v>4554</v>
      </c>
      <c r="R100" s="108">
        <v>3329</v>
      </c>
      <c r="S100" s="108">
        <v>2491</v>
      </c>
      <c r="T100" s="108">
        <v>1845</v>
      </c>
      <c r="U100" s="108">
        <v>1381</v>
      </c>
      <c r="V100" s="108">
        <v>1021</v>
      </c>
      <c r="W100" s="108">
        <v>779</v>
      </c>
      <c r="X100" s="108">
        <v>590</v>
      </c>
      <c r="Y100" s="108">
        <v>405</v>
      </c>
      <c r="Z100" s="108">
        <v>292</v>
      </c>
      <c r="AA100" s="108">
        <v>209</v>
      </c>
      <c r="AB100" s="108">
        <v>145</v>
      </c>
      <c r="AC100" s="108">
        <v>93</v>
      </c>
      <c r="AD100" s="108">
        <v>57</v>
      </c>
      <c r="AE100" s="108">
        <v>31</v>
      </c>
      <c r="AF100" s="108">
        <v>20</v>
      </c>
    </row>
    <row r="101" spans="1:32" x14ac:dyDescent="0.35">
      <c r="B101">
        <v>4.4625700000000004</v>
      </c>
      <c r="C101">
        <v>77965</v>
      </c>
      <c r="D101">
        <v>66902</v>
      </c>
      <c r="E101">
        <v>58038</v>
      </c>
      <c r="F101">
        <v>49638</v>
      </c>
      <c r="G101">
        <v>42438</v>
      </c>
      <c r="H101">
        <v>36173</v>
      </c>
      <c r="I101">
        <v>30694</v>
      </c>
      <c r="J101">
        <v>25615</v>
      </c>
      <c r="K101">
        <v>21165</v>
      </c>
      <c r="L101">
        <v>17110</v>
      </c>
      <c r="M101">
        <v>13582</v>
      </c>
      <c r="N101">
        <v>10636</v>
      </c>
      <c r="O101">
        <v>8120</v>
      </c>
      <c r="P101">
        <v>6172</v>
      </c>
      <c r="Q101">
        <v>4647</v>
      </c>
      <c r="R101">
        <v>3520</v>
      </c>
      <c r="S101">
        <v>2642</v>
      </c>
      <c r="T101">
        <v>2018</v>
      </c>
      <c r="U101">
        <v>1517</v>
      </c>
      <c r="V101">
        <v>1152</v>
      </c>
      <c r="W101">
        <v>858</v>
      </c>
      <c r="X101">
        <v>628</v>
      </c>
      <c r="Y101">
        <v>466</v>
      </c>
      <c r="Z101">
        <v>354</v>
      </c>
      <c r="AA101">
        <v>242</v>
      </c>
      <c r="AB101">
        <v>171</v>
      </c>
      <c r="AC101">
        <v>111</v>
      </c>
      <c r="AD101">
        <v>71</v>
      </c>
      <c r="AE101">
        <v>53</v>
      </c>
      <c r="AF101">
        <v>41</v>
      </c>
    </row>
    <row r="102" spans="1:32" x14ac:dyDescent="0.35">
      <c r="B102">
        <v>4.4558489999999997</v>
      </c>
      <c r="C102">
        <v>75995</v>
      </c>
      <c r="D102">
        <v>65058</v>
      </c>
      <c r="E102">
        <v>56400</v>
      </c>
      <c r="F102">
        <v>48280</v>
      </c>
      <c r="G102">
        <v>41302</v>
      </c>
      <c r="H102">
        <v>35273</v>
      </c>
      <c r="I102">
        <v>30026</v>
      </c>
      <c r="J102">
        <v>25098</v>
      </c>
      <c r="K102">
        <v>20595</v>
      </c>
      <c r="L102">
        <v>16780</v>
      </c>
      <c r="M102">
        <v>13336</v>
      </c>
      <c r="N102">
        <v>10345</v>
      </c>
      <c r="O102">
        <v>7870</v>
      </c>
      <c r="P102">
        <v>5927</v>
      </c>
      <c r="Q102">
        <v>4438</v>
      </c>
      <c r="R102">
        <v>3308</v>
      </c>
      <c r="S102">
        <v>2518</v>
      </c>
      <c r="T102">
        <v>1904</v>
      </c>
      <c r="U102">
        <v>1458</v>
      </c>
      <c r="V102">
        <v>1110</v>
      </c>
      <c r="W102">
        <v>853</v>
      </c>
      <c r="X102">
        <v>632</v>
      </c>
      <c r="Y102">
        <v>480</v>
      </c>
      <c r="Z102">
        <v>360</v>
      </c>
      <c r="AA102">
        <v>246</v>
      </c>
      <c r="AB102">
        <v>160</v>
      </c>
      <c r="AC102">
        <v>120</v>
      </c>
      <c r="AD102">
        <v>86</v>
      </c>
      <c r="AE102">
        <v>58</v>
      </c>
      <c r="AF102">
        <v>40</v>
      </c>
    </row>
    <row r="103" spans="1:32" x14ac:dyDescent="0.35">
      <c r="B103">
        <v>4.4799730000000002</v>
      </c>
      <c r="C103">
        <v>73898</v>
      </c>
      <c r="D103">
        <v>63376</v>
      </c>
      <c r="E103">
        <v>55179</v>
      </c>
      <c r="F103">
        <v>47247</v>
      </c>
      <c r="G103">
        <v>40548</v>
      </c>
      <c r="H103">
        <v>34628</v>
      </c>
      <c r="I103">
        <v>29490</v>
      </c>
      <c r="J103">
        <v>24616</v>
      </c>
      <c r="K103">
        <v>20244</v>
      </c>
      <c r="L103">
        <v>16448</v>
      </c>
      <c r="M103">
        <v>13037</v>
      </c>
      <c r="N103">
        <v>10183</v>
      </c>
      <c r="O103">
        <v>7684</v>
      </c>
      <c r="P103">
        <v>5794</v>
      </c>
      <c r="Q103">
        <v>4374</v>
      </c>
      <c r="R103">
        <v>3324</v>
      </c>
      <c r="S103">
        <v>2506</v>
      </c>
      <c r="T103">
        <v>1876</v>
      </c>
      <c r="U103">
        <v>1419</v>
      </c>
      <c r="V103">
        <v>1106</v>
      </c>
      <c r="W103">
        <v>815</v>
      </c>
      <c r="X103">
        <v>599</v>
      </c>
      <c r="Y103">
        <v>455</v>
      </c>
      <c r="Z103">
        <v>325</v>
      </c>
      <c r="AA103">
        <v>235</v>
      </c>
      <c r="AB103">
        <v>157</v>
      </c>
      <c r="AC103">
        <v>101</v>
      </c>
      <c r="AD103">
        <v>81</v>
      </c>
      <c r="AE103">
        <v>52</v>
      </c>
      <c r="AF103">
        <v>32</v>
      </c>
    </row>
    <row r="104" spans="1:32" x14ac:dyDescent="0.35">
      <c r="B104">
        <v>4.4771409999999996</v>
      </c>
      <c r="C104">
        <v>79583</v>
      </c>
      <c r="D104">
        <v>67831</v>
      </c>
      <c r="E104">
        <v>58570</v>
      </c>
      <c r="F104">
        <v>49742</v>
      </c>
      <c r="G104">
        <v>42566</v>
      </c>
      <c r="H104">
        <v>36115</v>
      </c>
      <c r="I104">
        <v>30699</v>
      </c>
      <c r="J104">
        <v>25488</v>
      </c>
      <c r="K104">
        <v>20961</v>
      </c>
      <c r="L104">
        <v>16920</v>
      </c>
      <c r="M104">
        <v>13427</v>
      </c>
      <c r="N104">
        <v>10509</v>
      </c>
      <c r="O104">
        <v>7978</v>
      </c>
      <c r="P104">
        <v>5990</v>
      </c>
      <c r="Q104">
        <v>4499</v>
      </c>
      <c r="R104">
        <v>3365</v>
      </c>
      <c r="S104">
        <v>2553</v>
      </c>
      <c r="T104">
        <v>1936</v>
      </c>
      <c r="U104">
        <v>1444</v>
      </c>
      <c r="V104">
        <v>1091</v>
      </c>
      <c r="W104">
        <v>816</v>
      </c>
      <c r="X104">
        <v>591</v>
      </c>
      <c r="Y104">
        <v>418</v>
      </c>
      <c r="Z104">
        <v>299</v>
      </c>
      <c r="AA104">
        <v>206</v>
      </c>
      <c r="AB104">
        <v>132</v>
      </c>
      <c r="AC104">
        <v>97</v>
      </c>
      <c r="AD104">
        <v>69</v>
      </c>
      <c r="AE104">
        <v>40</v>
      </c>
      <c r="AF104">
        <v>25</v>
      </c>
    </row>
    <row r="105" spans="1:32" x14ac:dyDescent="0.35">
      <c r="B105">
        <v>4.4411110000000003</v>
      </c>
      <c r="C105">
        <v>77901</v>
      </c>
      <c r="D105">
        <v>66691</v>
      </c>
      <c r="E105">
        <v>57741</v>
      </c>
      <c r="F105">
        <v>49295</v>
      </c>
      <c r="G105">
        <v>42225</v>
      </c>
      <c r="H105">
        <v>35950</v>
      </c>
      <c r="I105">
        <v>30473</v>
      </c>
      <c r="J105">
        <v>25298</v>
      </c>
      <c r="K105">
        <v>20805</v>
      </c>
      <c r="L105">
        <v>16835</v>
      </c>
      <c r="M105">
        <v>13374</v>
      </c>
      <c r="N105">
        <v>10359</v>
      </c>
      <c r="O105">
        <v>7851</v>
      </c>
      <c r="P105">
        <v>5879</v>
      </c>
      <c r="Q105">
        <v>4374</v>
      </c>
      <c r="R105">
        <v>3266</v>
      </c>
      <c r="S105">
        <v>2425</v>
      </c>
      <c r="T105">
        <v>1755</v>
      </c>
      <c r="U105">
        <v>1302</v>
      </c>
      <c r="V105">
        <v>966</v>
      </c>
      <c r="W105">
        <v>724</v>
      </c>
      <c r="X105">
        <v>564</v>
      </c>
      <c r="Y105">
        <v>393</v>
      </c>
      <c r="Z105">
        <v>273</v>
      </c>
      <c r="AA105">
        <v>188</v>
      </c>
      <c r="AB105">
        <v>124</v>
      </c>
      <c r="AC105">
        <v>73</v>
      </c>
      <c r="AD105">
        <v>51</v>
      </c>
      <c r="AE105">
        <v>31</v>
      </c>
      <c r="AF105">
        <v>20</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B9" sqref="B9:F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106</v>
      </c>
      <c r="O2" s="28"/>
    </row>
    <row r="3" spans="1:49" ht="13.9" x14ac:dyDescent="0.4">
      <c r="A3" t="str">
        <f>'6 - B1'!$A$3</f>
        <v>Serial #</v>
      </c>
      <c r="B3" s="136" t="str">
        <f>'6 - B1'!$B$3</f>
        <v>11171-00009</v>
      </c>
    </row>
    <row r="4" spans="1:49" ht="19.149999999999999" customHeight="1" x14ac:dyDescent="1.05">
      <c r="A4" s="27" t="str">
        <f>'6 - B1'!$A$4</f>
        <v>Date</v>
      </c>
      <c r="B4" s="136">
        <f>'6 - B1'!$B$4</f>
        <v>46098</v>
      </c>
      <c r="D4" t="s">
        <v>181</v>
      </c>
      <c r="E4" s="30">
        <f>'Clause 6'!$D$18</f>
        <v>1</v>
      </c>
      <c r="O4" s="28"/>
    </row>
    <row r="5" spans="1:49" ht="13.9" x14ac:dyDescent="0.4">
      <c r="A5" s="27" t="str">
        <f>'6 - B1'!$A$5</f>
        <v>RM</v>
      </c>
      <c r="B5" s="136" t="str">
        <f>'6 - B1'!$B$5</f>
        <v>Partistan 37D</v>
      </c>
      <c r="O5" s="29"/>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G52/$E$4</f>
        <v>4.4625700000000004</v>
      </c>
      <c r="C8" s="30">
        <f t="shared" ref="C8:F8" si="0">H52/$E$4</f>
        <v>4.4558489999999997</v>
      </c>
      <c r="D8" s="30">
        <f t="shared" si="0"/>
        <v>4.4799730000000002</v>
      </c>
      <c r="E8" s="30">
        <f t="shared" si="0"/>
        <v>4.4771409999999996</v>
      </c>
      <c r="F8" s="30">
        <f t="shared" si="0"/>
        <v>4.4411110000000003</v>
      </c>
      <c r="G8" s="31">
        <f>AVERAGE(B$8:F$8)*5</f>
        <v>22.316644</v>
      </c>
      <c r="I8" s="32"/>
      <c r="K8" s="32"/>
      <c r="O8" s="81"/>
      <c r="P8" s="81"/>
      <c r="Q8" s="81"/>
      <c r="R8" s="81"/>
      <c r="S8" s="81"/>
    </row>
    <row r="9" spans="1:49" ht="13.15" x14ac:dyDescent="0.4">
      <c r="A9" s="11" t="s">
        <v>63</v>
      </c>
      <c r="B9" s="30">
        <f t="shared" ref="B9:F18" si="1">B53*$E$4/B$8</f>
        <v>17492.610760167347</v>
      </c>
      <c r="C9" s="30">
        <f t="shared" si="1"/>
        <v>17599.564078585248</v>
      </c>
      <c r="D9" s="30">
        <f t="shared" si="1"/>
        <v>17354.122446720103</v>
      </c>
      <c r="E9" s="30">
        <f t="shared" si="1"/>
        <v>17306.580248421931</v>
      </c>
      <c r="F9" s="30">
        <f t="shared" si="1"/>
        <v>17747.360964407329</v>
      </c>
      <c r="G9" s="33">
        <f t="shared" ref="G9:G38" si="2">AVERAGE(B9:F9)</f>
        <v>17500.04769966039</v>
      </c>
      <c r="H9" s="34">
        <f t="shared" ref="H9:H38" si="3">G9*G$8</f>
        <v>390542.33449633984</v>
      </c>
      <c r="I9" s="32">
        <f t="shared" ref="I9:I38" si="4">STDEVP(B9:F9)/AVERAGE(B9:F9)</f>
        <v>9.2085424389072388E-3</v>
      </c>
      <c r="J9" s="32">
        <f t="shared" ref="J9:J38" si="5">IF(H9&gt;$A$43, $C$43, IF(H9&gt;$A$44, $C$44, IF(H9&gt;$A$45,$C$45,IF(H9&gt;$A$46,$C$46, IF(H9&gt;$A$47,$C$47,IF(H9&gt;$A$48,$C$48,$C$49))))))/100</f>
        <v>0.11</v>
      </c>
      <c r="K9" s="32">
        <f t="shared" ref="K9:K38" si="6">(MAX(B9:F9)-MIN(B9:F9))/G9</f>
        <v>2.5187400831710428E-2</v>
      </c>
      <c r="L9" s="16">
        <f>G9/'Clause 6'!$H$11</f>
        <v>17500.04769966039</v>
      </c>
      <c r="M9">
        <f t="shared" ref="M9:M38" si="7">COUNTA(B9:F9)</f>
        <v>5</v>
      </c>
      <c r="O9" s="82">
        <f>IF(ISNUMBER(B9), (B9/$G9-1), 0)</f>
        <v>-4.2496681270121073E-4</v>
      </c>
      <c r="P9" s="82">
        <f t="shared" ref="P9:S38" si="8">IF(ISNUMBER(C9), (C9/$G9-1), 0)</f>
        <v>5.6866347242463533E-3</v>
      </c>
      <c r="Q9" s="82">
        <f t="shared" si="8"/>
        <v>-8.3385631539232286E-3</v>
      </c>
      <c r="R9" s="82">
        <f t="shared" si="8"/>
        <v>-1.1055252794666015E-2</v>
      </c>
      <c r="S9" s="82">
        <f t="shared" si="8"/>
        <v>1.4132148037044434E-2</v>
      </c>
    </row>
    <row r="10" spans="1:49" ht="13.15" x14ac:dyDescent="0.4">
      <c r="A10" s="11" t="s">
        <v>64</v>
      </c>
      <c r="B10" s="30">
        <f t="shared" si="1"/>
        <v>14995.170944097234</v>
      </c>
      <c r="C10" s="30">
        <f t="shared" si="1"/>
        <v>15072.99731207229</v>
      </c>
      <c r="D10" s="30">
        <f t="shared" si="1"/>
        <v>14855.446673450933</v>
      </c>
      <c r="E10" s="30">
        <f t="shared" si="1"/>
        <v>14828.436272165654</v>
      </c>
      <c r="F10" s="30">
        <f t="shared" si="1"/>
        <v>15169.852768822935</v>
      </c>
      <c r="G10" s="33">
        <f t="shared" si="2"/>
        <v>14984.380794121807</v>
      </c>
      <c r="H10" s="34">
        <f t="shared" si="3"/>
        <v>334401.09174285369</v>
      </c>
      <c r="I10" s="32">
        <f t="shared" si="4"/>
        <v>8.6144912945130651E-3</v>
      </c>
      <c r="J10" s="32">
        <f t="shared" si="5"/>
        <v>0.11</v>
      </c>
      <c r="K10" s="32">
        <f t="shared" si="6"/>
        <v>2.2784825168832758E-2</v>
      </c>
      <c r="L10" s="16">
        <f>G10/'Clause 6'!$H$11</f>
        <v>14984.380794121807</v>
      </c>
      <c r="M10">
        <f t="shared" si="7"/>
        <v>5</v>
      </c>
      <c r="O10" s="82">
        <f t="shared" ref="O10:O38" si="9">IF(ISNUMBER(B10), (B10/$G10-1), 0)</f>
        <v>7.2009315057308676E-4</v>
      </c>
      <c r="P10" s="82">
        <f t="shared" si="8"/>
        <v>5.913925918463514E-3</v>
      </c>
      <c r="Q10" s="82">
        <f t="shared" si="8"/>
        <v>-8.6045678124686553E-3</v>
      </c>
      <c r="R10" s="82">
        <f t="shared" si="8"/>
        <v>-1.0407138212700007E-2</v>
      </c>
      <c r="S10" s="82">
        <f t="shared" si="8"/>
        <v>1.2377686956132727E-2</v>
      </c>
    </row>
    <row r="11" spans="1:49" ht="13.15" x14ac:dyDescent="0.4">
      <c r="A11" s="11" t="s">
        <v>65</v>
      </c>
      <c r="B11" s="30">
        <f t="shared" si="1"/>
        <v>12983.54983787369</v>
      </c>
      <c r="C11" s="30">
        <f t="shared" si="1"/>
        <v>13053.85348560959</v>
      </c>
      <c r="D11" s="30">
        <f t="shared" si="1"/>
        <v>12846.282778936391</v>
      </c>
      <c r="E11" s="30">
        <f t="shared" si="1"/>
        <v>12878.977901299068</v>
      </c>
      <c r="F11" s="30">
        <f t="shared" si="1"/>
        <v>13135.226748441999</v>
      </c>
      <c r="G11" s="33">
        <f t="shared" si="2"/>
        <v>12979.578150432148</v>
      </c>
      <c r="H11" s="34">
        <f t="shared" si="3"/>
        <v>289660.62485337269</v>
      </c>
      <c r="I11" s="32">
        <f t="shared" si="4"/>
        <v>8.2726251916752178E-3</v>
      </c>
      <c r="J11" s="32">
        <f t="shared" si="5"/>
        <v>0.11</v>
      </c>
      <c r="K11" s="32">
        <f t="shared" si="6"/>
        <v>2.2261429929137398E-2</v>
      </c>
      <c r="L11" s="16">
        <f>G11/'Clause 6'!$H$11</f>
        <v>12979.578150432148</v>
      </c>
      <c r="M11">
        <f t="shared" si="7"/>
        <v>5</v>
      </c>
      <c r="O11" s="82">
        <f t="shared" si="9"/>
        <v>3.0599510981876854E-4</v>
      </c>
      <c r="P11" s="82">
        <f t="shared" si="8"/>
        <v>5.7224768260260017E-3</v>
      </c>
      <c r="Q11" s="82">
        <f t="shared" si="8"/>
        <v>-1.0269622783643295E-2</v>
      </c>
      <c r="R11" s="82">
        <f t="shared" si="8"/>
        <v>-7.7506562976956683E-3</v>
      </c>
      <c r="S11" s="82">
        <f t="shared" si="8"/>
        <v>1.1991807145494082E-2</v>
      </c>
    </row>
    <row r="12" spans="1:49" ht="13.15" x14ac:dyDescent="0.4">
      <c r="A12" s="11" t="s">
        <v>66</v>
      </c>
      <c r="B12" s="30">
        <f t="shared" si="1"/>
        <v>11108.621265324689</v>
      </c>
      <c r="C12" s="30">
        <f t="shared" si="1"/>
        <v>11159.938319274284</v>
      </c>
      <c r="D12" s="30">
        <f t="shared" si="1"/>
        <v>10975.735791264813</v>
      </c>
      <c r="E12" s="30">
        <f t="shared" si="1"/>
        <v>10978.434675164353</v>
      </c>
      <c r="F12" s="30">
        <f t="shared" si="1"/>
        <v>11223.993275556499</v>
      </c>
      <c r="G12" s="33">
        <f t="shared" si="2"/>
        <v>11089.344665316929</v>
      </c>
      <c r="H12" s="34">
        <f t="shared" si="3"/>
        <v>247476.95708917704</v>
      </c>
      <c r="I12" s="32">
        <f t="shared" si="4"/>
        <v>8.8990516544184481E-3</v>
      </c>
      <c r="J12" s="32">
        <f t="shared" si="5"/>
        <v>0.11</v>
      </c>
      <c r="K12" s="32">
        <f t="shared" si="6"/>
        <v>2.2387029331691399E-2</v>
      </c>
      <c r="L12" s="16">
        <f>G12/'Clause 6'!$H$11</f>
        <v>11089.344665316929</v>
      </c>
      <c r="M12">
        <f t="shared" si="7"/>
        <v>5</v>
      </c>
      <c r="O12" s="82">
        <f t="shared" si="9"/>
        <v>1.7382992944614539E-3</v>
      </c>
      <c r="P12" s="82">
        <f t="shared" si="8"/>
        <v>6.3658995267903418E-3</v>
      </c>
      <c r="Q12" s="82">
        <f t="shared" si="8"/>
        <v>-1.0244868157758602E-2</v>
      </c>
      <c r="R12" s="82">
        <f t="shared" si="8"/>
        <v>-1.0001491837426379E-2</v>
      </c>
      <c r="S12" s="82">
        <f t="shared" si="8"/>
        <v>1.2142161173932742E-2</v>
      </c>
    </row>
    <row r="13" spans="1:49" ht="13.15" x14ac:dyDescent="0.4">
      <c r="A13" s="11" t="s">
        <v>67</v>
      </c>
      <c r="B13" s="30">
        <f t="shared" si="1"/>
        <v>9525.4528220285611</v>
      </c>
      <c r="C13" s="30">
        <f t="shared" si="1"/>
        <v>9557.1012392924458</v>
      </c>
      <c r="D13" s="30">
        <f t="shared" si="1"/>
        <v>9374.8332858256053</v>
      </c>
      <c r="E13" s="30">
        <f t="shared" si="1"/>
        <v>9405.5559116856057</v>
      </c>
      <c r="F13" s="30">
        <f t="shared" si="1"/>
        <v>9616.7377937637666</v>
      </c>
      <c r="G13" s="33">
        <f t="shared" si="2"/>
        <v>9495.9362105191976</v>
      </c>
      <c r="H13" s="34">
        <f t="shared" si="3"/>
        <v>211917.42785686598</v>
      </c>
      <c r="I13" s="32">
        <f t="shared" si="4"/>
        <v>9.6562433819185126E-3</v>
      </c>
      <c r="J13" s="32">
        <f t="shared" si="5"/>
        <v>0.11</v>
      </c>
      <c r="K13" s="32">
        <f t="shared" si="6"/>
        <v>2.5474529585633659E-2</v>
      </c>
      <c r="L13" s="16">
        <f>G13/'Clause 6'!$H$11</f>
        <v>9495.9362105191976</v>
      </c>
      <c r="M13">
        <f t="shared" si="7"/>
        <v>5</v>
      </c>
      <c r="O13" s="82">
        <f t="shared" si="9"/>
        <v>3.1083413846721974E-3</v>
      </c>
      <c r="P13" s="82">
        <f t="shared" si="8"/>
        <v>6.4411794074070716E-3</v>
      </c>
      <c r="Q13" s="82">
        <f t="shared" si="8"/>
        <v>-1.2753131656406791E-2</v>
      </c>
      <c r="R13" s="82">
        <f t="shared" si="8"/>
        <v>-9.5177870648996965E-3</v>
      </c>
      <c r="S13" s="82">
        <f t="shared" si="8"/>
        <v>1.2721397929226885E-2</v>
      </c>
    </row>
    <row r="14" spans="1:49" ht="13.15" x14ac:dyDescent="0.4">
      <c r="A14" s="11" t="s">
        <v>68</v>
      </c>
      <c r="B14" s="30">
        <f t="shared" si="1"/>
        <v>8124.466394924897</v>
      </c>
      <c r="C14" s="30">
        <f t="shared" si="1"/>
        <v>8138.0675153040429</v>
      </c>
      <c r="D14" s="30">
        <f t="shared" si="1"/>
        <v>7973.4855544888323</v>
      </c>
      <c r="E14" s="30">
        <f t="shared" si="1"/>
        <v>8011.8093220651308</v>
      </c>
      <c r="F14" s="30">
        <f t="shared" si="1"/>
        <v>8195.0214709787706</v>
      </c>
      <c r="G14" s="33">
        <f t="shared" si="2"/>
        <v>8088.5700515523349</v>
      </c>
      <c r="H14" s="34">
        <f t="shared" si="3"/>
        <v>180509.7383095551</v>
      </c>
      <c r="I14" s="32">
        <f t="shared" si="4"/>
        <v>1.0225896410399022E-2</v>
      </c>
      <c r="J14" s="32">
        <f t="shared" si="5"/>
        <v>0.11</v>
      </c>
      <c r="K14" s="32">
        <f t="shared" si="6"/>
        <v>2.7388761558345125E-2</v>
      </c>
      <c r="L14" s="16">
        <f>G14/'Clause 6'!$H$11</f>
        <v>8088.5700515523349</v>
      </c>
      <c r="M14">
        <f t="shared" si="7"/>
        <v>5</v>
      </c>
      <c r="O14" s="82">
        <f t="shared" si="9"/>
        <v>4.4379096853679467E-3</v>
      </c>
      <c r="P14" s="82">
        <f t="shared" si="8"/>
        <v>6.1194331552099079E-3</v>
      </c>
      <c r="Q14" s="82">
        <f t="shared" si="8"/>
        <v>-1.422803985500698E-2</v>
      </c>
      <c r="R14" s="82">
        <f t="shared" si="8"/>
        <v>-9.4900246889093598E-3</v>
      </c>
      <c r="S14" s="82">
        <f t="shared" si="8"/>
        <v>1.3160721703338041E-2</v>
      </c>
    </row>
    <row r="15" spans="1:49" ht="13.15" x14ac:dyDescent="0.4">
      <c r="A15" s="11" t="s">
        <v>69</v>
      </c>
      <c r="B15" s="30">
        <f t="shared" si="1"/>
        <v>6905.437897892918</v>
      </c>
      <c r="C15" s="30">
        <f t="shared" si="1"/>
        <v>6924.8307112741031</v>
      </c>
      <c r="D15" s="30">
        <f t="shared" si="1"/>
        <v>6742.6745652261743</v>
      </c>
      <c r="E15" s="30">
        <f t="shared" si="1"/>
        <v>6764.1380961644945</v>
      </c>
      <c r="F15" s="30">
        <f t="shared" si="1"/>
        <v>6959.2946449660903</v>
      </c>
      <c r="G15" s="33">
        <f t="shared" si="2"/>
        <v>6859.2751831047553</v>
      </c>
      <c r="H15" s="34">
        <f t="shared" si="3"/>
        <v>153076.00235938365</v>
      </c>
      <c r="I15" s="32">
        <f t="shared" si="4"/>
        <v>1.2888712137193425E-2</v>
      </c>
      <c r="J15" s="32">
        <f t="shared" si="5"/>
        <v>0.11</v>
      </c>
      <c r="K15" s="32">
        <f t="shared" si="6"/>
        <v>3.1580607856859004E-2</v>
      </c>
      <c r="L15" s="16">
        <f>G15/'Clause 6'!$H$11</f>
        <v>6859.2751831047553</v>
      </c>
      <c r="M15">
        <f t="shared" si="7"/>
        <v>5</v>
      </c>
      <c r="O15" s="82">
        <f t="shared" si="9"/>
        <v>6.7299697935820912E-3</v>
      </c>
      <c r="P15" s="82">
        <f t="shared" si="8"/>
        <v>9.5572092414106802E-3</v>
      </c>
      <c r="Q15" s="82">
        <f t="shared" si="8"/>
        <v>-1.6998970702587157E-2</v>
      </c>
      <c r="R15" s="82">
        <f t="shared" si="8"/>
        <v>-1.3869845486676913E-2</v>
      </c>
      <c r="S15" s="82">
        <f t="shared" si="8"/>
        <v>1.4581637154271743E-2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si="1"/>
        <v>5733.4674862243055</v>
      </c>
      <c r="C16" s="30">
        <f t="shared" si="1"/>
        <v>5764.3335759358097</v>
      </c>
      <c r="D16" s="30">
        <f t="shared" si="1"/>
        <v>5611.6409630147318</v>
      </c>
      <c r="E16" s="30">
        <f t="shared" si="1"/>
        <v>5625.4650009905881</v>
      </c>
      <c r="F16" s="30">
        <f t="shared" si="1"/>
        <v>5813.4102029874957</v>
      </c>
      <c r="G16" s="33">
        <f t="shared" si="2"/>
        <v>5709.6634458305862</v>
      </c>
      <c r="H16" s="34">
        <f t="shared" si="3"/>
        <v>127420.52648041448</v>
      </c>
      <c r="I16" s="32">
        <f t="shared" si="4"/>
        <v>1.3794367602160228E-2</v>
      </c>
      <c r="J16" s="32">
        <f t="shared" si="5"/>
        <v>0.11</v>
      </c>
      <c r="K16" s="32">
        <f t="shared" si="6"/>
        <v>3.5338201960065346E-2</v>
      </c>
      <c r="L16" s="16">
        <f>G16/'Clause 6'!$H$11</f>
        <v>5709.6634458305862</v>
      </c>
      <c r="M16">
        <f t="shared" si="7"/>
        <v>5</v>
      </c>
      <c r="O16" s="82">
        <f t="shared" si="9"/>
        <v>4.1690794246553864E-3</v>
      </c>
      <c r="P16" s="82">
        <f t="shared" si="8"/>
        <v>9.5750179715312633E-3</v>
      </c>
      <c r="Q16" s="82">
        <f t="shared" si="8"/>
        <v>-1.7167821491726243E-2</v>
      </c>
      <c r="R16" s="82">
        <f t="shared" si="8"/>
        <v>-1.4746656372799483E-2</v>
      </c>
      <c r="S16" s="82">
        <f t="shared" si="8"/>
        <v>1.8170380468339076E-2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si="1"/>
        <v>4696.8450915055673</v>
      </c>
      <c r="C17" s="30">
        <f t="shared" si="1"/>
        <v>4766.9927773584786</v>
      </c>
      <c r="D17" s="30">
        <f t="shared" si="1"/>
        <v>4618.1081894913204</v>
      </c>
      <c r="E17" s="30">
        <f t="shared" si="1"/>
        <v>4647.3854631783997</v>
      </c>
      <c r="F17" s="30">
        <f t="shared" si="1"/>
        <v>4769.3020958044053</v>
      </c>
      <c r="G17" s="33">
        <f t="shared" si="2"/>
        <v>4699.7267234676347</v>
      </c>
      <c r="H17" s="34">
        <f t="shared" si="3"/>
        <v>104882.12818491364</v>
      </c>
      <c r="I17" s="32">
        <f t="shared" si="4"/>
        <v>1.3038625055440135E-2</v>
      </c>
      <c r="J17" s="32">
        <f t="shared" si="5"/>
        <v>0.11</v>
      </c>
      <c r="K17" s="32">
        <f t="shared" si="6"/>
        <v>3.2170786773220793E-2</v>
      </c>
      <c r="L17" s="16">
        <f>G17/'Clause 6'!$H$11</f>
        <v>4699.7267234676347</v>
      </c>
      <c r="M17">
        <f t="shared" si="7"/>
        <v>5</v>
      </c>
      <c r="O17" s="82">
        <f t="shared" si="9"/>
        <v>-6.1314883430951816E-4</v>
      </c>
      <c r="P17" s="82">
        <f t="shared" si="8"/>
        <v>1.4312758559972716E-2</v>
      </c>
      <c r="Q17" s="82">
        <f t="shared" si="8"/>
        <v>-1.7366655292691768E-2</v>
      </c>
      <c r="R17" s="82">
        <f t="shared" si="8"/>
        <v>-1.1137085913500822E-2</v>
      </c>
      <c r="S17" s="82">
        <f t="shared" si="8"/>
        <v>1.4804131480528948E-2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si="1"/>
        <v>3808.3436226210456</v>
      </c>
      <c r="C18" s="30">
        <f t="shared" si="1"/>
        <v>3842.5898184610837</v>
      </c>
      <c r="D18" s="30">
        <f t="shared" si="1"/>
        <v>3738.8618190332841</v>
      </c>
      <c r="E18" s="30">
        <f t="shared" si="1"/>
        <v>3769.8164967330717</v>
      </c>
      <c r="F18" s="30">
        <f t="shared" si="1"/>
        <v>3866.1497089354439</v>
      </c>
      <c r="G18" s="33">
        <f t="shared" si="2"/>
        <v>3805.1522931567861</v>
      </c>
      <c r="H18" s="34">
        <f t="shared" si="3"/>
        <v>84918.22909216363</v>
      </c>
      <c r="I18" s="32">
        <f t="shared" si="4"/>
        <v>1.2200042101755069E-2</v>
      </c>
      <c r="J18" s="32">
        <f t="shared" si="5"/>
        <v>0.11</v>
      </c>
      <c r="K18" s="32">
        <f t="shared" si="6"/>
        <v>3.345145741763747E-2</v>
      </c>
      <c r="L18" s="16">
        <f>G18/'Clause 6'!$H$11</f>
        <v>3805.1522931567861</v>
      </c>
      <c r="M18">
        <f t="shared" si="7"/>
        <v>5</v>
      </c>
      <c r="O18" s="82">
        <f t="shared" si="9"/>
        <v>8.3868639633655206E-4</v>
      </c>
      <c r="P18" s="82">
        <f t="shared" si="8"/>
        <v>9.8386404590495857E-3</v>
      </c>
      <c r="Q18" s="82">
        <f t="shared" si="8"/>
        <v>-1.742124073265594E-2</v>
      </c>
      <c r="R18" s="82">
        <f t="shared" si="8"/>
        <v>-9.2863028077121434E-3</v>
      </c>
      <c r="S18" s="82">
        <f t="shared" si="8"/>
        <v>1.6030216684981502E-2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28" si="10">B63*$E$4/B$8</f>
        <v>3017.0955301541485</v>
      </c>
      <c r="C19" s="30">
        <f t="shared" si="10"/>
        <v>3050.5970915980324</v>
      </c>
      <c r="D19" s="30">
        <f t="shared" si="10"/>
        <v>2982.160829987145</v>
      </c>
      <c r="E19" s="30">
        <f t="shared" si="10"/>
        <v>2993.6515289556442</v>
      </c>
      <c r="F19" s="30">
        <f t="shared" si="10"/>
        <v>3055.5417326880593</v>
      </c>
      <c r="G19" s="33">
        <f t="shared" si="2"/>
        <v>3019.8093426766063</v>
      </c>
      <c r="H19" s="34">
        <f t="shared" si="3"/>
        <v>67392.010048387834</v>
      </c>
      <c r="I19" s="32">
        <f t="shared" si="4"/>
        <v>9.7491034587055721E-3</v>
      </c>
      <c r="J19" s="32">
        <f t="shared" si="5"/>
        <v>0.11</v>
      </c>
      <c r="K19" s="32">
        <f t="shared" si="6"/>
        <v>2.4299846239919612E-2</v>
      </c>
      <c r="L19" s="16">
        <f>G19/'Clause 6'!$H$11</f>
        <v>3019.8093426766063</v>
      </c>
      <c r="M19">
        <f t="shared" si="7"/>
        <v>5</v>
      </c>
      <c r="O19" s="82">
        <f t="shared" si="9"/>
        <v>-8.9867015248468185E-4</v>
      </c>
      <c r="P19" s="82">
        <f t="shared" si="8"/>
        <v>1.0195262491021095E-2</v>
      </c>
      <c r="Q19" s="82">
        <f t="shared" si="8"/>
        <v>-1.2467182002984245E-2</v>
      </c>
      <c r="R19" s="82">
        <f t="shared" si="8"/>
        <v>-8.6620745724884651E-3</v>
      </c>
      <c r="S19" s="82">
        <f t="shared" si="8"/>
        <v>1.1832664236935519E-2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si="10"/>
        <v>2338.7868425593324</v>
      </c>
      <c r="C20" s="30">
        <f t="shared" si="10"/>
        <v>2391.6878691356014</v>
      </c>
      <c r="D20" s="30">
        <f t="shared" si="10"/>
        <v>2325.9068748851832</v>
      </c>
      <c r="E20" s="30">
        <f t="shared" si="10"/>
        <v>2349.2670880814344</v>
      </c>
      <c r="F20" s="30">
        <f t="shared" si="10"/>
        <v>2397.8234275162226</v>
      </c>
      <c r="G20" s="33">
        <f t="shared" si="2"/>
        <v>2360.694420435555</v>
      </c>
      <c r="H20" s="34">
        <f t="shared" si="3"/>
        <v>52682.776973646607</v>
      </c>
      <c r="I20" s="32">
        <f t="shared" si="4"/>
        <v>1.2218401322165513E-2</v>
      </c>
      <c r="J20" s="32">
        <f t="shared" si="5"/>
        <v>0.11</v>
      </c>
      <c r="K20" s="32">
        <f t="shared" si="6"/>
        <v>3.0464151568490843E-2</v>
      </c>
      <c r="L20" s="16">
        <f>G20/'Clause 6'!$H$11</f>
        <v>2360.694420435555</v>
      </c>
      <c r="M20">
        <f t="shared" si="7"/>
        <v>5</v>
      </c>
      <c r="O20" s="82">
        <f t="shared" si="9"/>
        <v>-9.2801413374715702E-3</v>
      </c>
      <c r="P20" s="82">
        <f t="shared" si="8"/>
        <v>1.3128954104245416E-2</v>
      </c>
      <c r="Q20" s="82">
        <f t="shared" si="8"/>
        <v>-1.4736149350475181E-2</v>
      </c>
      <c r="R20" s="82">
        <f t="shared" si="8"/>
        <v>-4.8406656343146226E-3</v>
      </c>
      <c r="S20" s="82">
        <f t="shared" si="8"/>
        <v>1.5728002218015735E-2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si="10"/>
        <v>1794.0334829481665</v>
      </c>
      <c r="C21" s="30">
        <f t="shared" si="10"/>
        <v>1814.9178753588824</v>
      </c>
      <c r="D21" s="30">
        <f t="shared" si="10"/>
        <v>1762.5106222738395</v>
      </c>
      <c r="E21" s="30">
        <f t="shared" si="10"/>
        <v>1801.8195093699308</v>
      </c>
      <c r="F21" s="30">
        <f t="shared" si="10"/>
        <v>1830.3978441430534</v>
      </c>
      <c r="G21" s="33">
        <f t="shared" si="2"/>
        <v>1800.7358668187746</v>
      </c>
      <c r="H21" s="34">
        <f t="shared" si="3"/>
        <v>40186.381277826003</v>
      </c>
      <c r="I21" s="32">
        <f t="shared" si="4"/>
        <v>1.2634737782479965E-2</v>
      </c>
      <c r="J21" s="32">
        <f t="shared" si="5"/>
        <v>0.11</v>
      </c>
      <c r="K21" s="32">
        <f t="shared" si="6"/>
        <v>3.7699711057094173E-2</v>
      </c>
      <c r="L21" s="16">
        <f>G21/'Clause 6'!$H$11</f>
        <v>1800.7358668187746</v>
      </c>
      <c r="M21">
        <f t="shared" si="7"/>
        <v>5</v>
      </c>
      <c r="O21" s="82">
        <f t="shared" si="9"/>
        <v>-3.7220249755166579E-3</v>
      </c>
      <c r="P21" s="82">
        <f t="shared" si="8"/>
        <v>7.8756739405441145E-3</v>
      </c>
      <c r="Q21" s="82">
        <f t="shared" si="8"/>
        <v>-2.1227568822997256E-2</v>
      </c>
      <c r="R21" s="82">
        <f t="shared" si="8"/>
        <v>6.0177762387247924E-4</v>
      </c>
      <c r="S21" s="82">
        <f t="shared" si="8"/>
        <v>1.6472142234096987E-2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si="10"/>
        <v>1355.945116827299</v>
      </c>
      <c r="C22" s="30">
        <f t="shared" si="10"/>
        <v>1382.6770162094811</v>
      </c>
      <c r="D22" s="30">
        <f t="shared" si="10"/>
        <v>1324.5615542772243</v>
      </c>
      <c r="E22" s="30">
        <f t="shared" si="10"/>
        <v>1359.5729953557416</v>
      </c>
      <c r="F22" s="30">
        <f t="shared" si="10"/>
        <v>1367.6757910351712</v>
      </c>
      <c r="G22" s="33">
        <f t="shared" si="2"/>
        <v>1358.0864947409834</v>
      </c>
      <c r="H22" s="34">
        <f t="shared" si="3"/>
        <v>30307.932824342399</v>
      </c>
      <c r="I22" s="32">
        <f t="shared" si="4"/>
        <v>1.4076680009043897E-2</v>
      </c>
      <c r="J22" s="32">
        <f t="shared" si="5"/>
        <v>0.11</v>
      </c>
      <c r="K22" s="32">
        <f t="shared" si="6"/>
        <v>4.2792165416047821E-2</v>
      </c>
      <c r="L22" s="16">
        <f>G22/'Clause 6'!$H$11</f>
        <v>1358.0864947409834</v>
      </c>
      <c r="M22">
        <f t="shared" si="7"/>
        <v>5</v>
      </c>
      <c r="O22" s="82">
        <f t="shared" si="9"/>
        <v>-1.5767610693255829E-3</v>
      </c>
      <c r="P22" s="82">
        <f t="shared" si="8"/>
        <v>1.8106741775079316E-2</v>
      </c>
      <c r="Q22" s="82">
        <f t="shared" si="8"/>
        <v>-2.4685423640968485E-2</v>
      </c>
      <c r="R22" s="82">
        <f t="shared" si="8"/>
        <v>1.094555185192192E-3</v>
      </c>
      <c r="S22" s="82">
        <f t="shared" si="8"/>
        <v>7.0608877500226708E-3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si="10"/>
        <v>1011.5247491916092</v>
      </c>
      <c r="C23" s="30">
        <f t="shared" si="10"/>
        <v>1036.8394440655418</v>
      </c>
      <c r="D23" s="30">
        <f t="shared" si="10"/>
        <v>993.08634226143772</v>
      </c>
      <c r="E23" s="30">
        <f t="shared" si="10"/>
        <v>1012.6998457274409</v>
      </c>
      <c r="F23" s="30">
        <f t="shared" si="10"/>
        <v>1025.4190899529419</v>
      </c>
      <c r="G23" s="33">
        <f t="shared" si="2"/>
        <v>1015.9138942397942</v>
      </c>
      <c r="H23" s="34">
        <f t="shared" si="3"/>
        <v>22671.788712403137</v>
      </c>
      <c r="I23" s="32">
        <f t="shared" si="4"/>
        <v>1.4459476213094404E-2</v>
      </c>
      <c r="J23" s="32">
        <f t="shared" si="5"/>
        <v>0.11</v>
      </c>
      <c r="K23" s="32">
        <f t="shared" si="6"/>
        <v>4.3067726558503661E-2</v>
      </c>
      <c r="L23" s="16">
        <f>G23/'Clause 6'!$H$11</f>
        <v>1015.9138942397942</v>
      </c>
      <c r="M23">
        <f t="shared" si="7"/>
        <v>5</v>
      </c>
      <c r="O23" s="82">
        <f t="shared" si="9"/>
        <v>-4.3203908058264684E-3</v>
      </c>
      <c r="P23" s="82">
        <f t="shared" si="8"/>
        <v>2.0597759263255355E-2</v>
      </c>
      <c r="Q23" s="82">
        <f t="shared" si="8"/>
        <v>-2.2469967295248305E-2</v>
      </c>
      <c r="R23" s="82">
        <f t="shared" si="8"/>
        <v>-3.1637016981230781E-3</v>
      </c>
      <c r="S23" s="82">
        <f t="shared" si="8"/>
        <v>9.3563005359429408E-3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si="10"/>
        <v>763.23732736965462</v>
      </c>
      <c r="C24" s="30">
        <f t="shared" si="10"/>
        <v>781.66921724681424</v>
      </c>
      <c r="D24" s="30">
        <f t="shared" si="10"/>
        <v>744.2009137108638</v>
      </c>
      <c r="E24" s="30">
        <f t="shared" si="10"/>
        <v>757.62635128087334</v>
      </c>
      <c r="F24" s="30">
        <f t="shared" si="10"/>
        <v>749.58720914654009</v>
      </c>
      <c r="G24" s="33">
        <f t="shared" si="2"/>
        <v>759.26420375094915</v>
      </c>
      <c r="H24" s="34">
        <f t="shared" si="3"/>
        <v>16944.228937053398</v>
      </c>
      <c r="I24" s="32">
        <f t="shared" si="4"/>
        <v>1.7081264886431167E-2</v>
      </c>
      <c r="J24" s="32">
        <f t="shared" si="5"/>
        <v>0.11</v>
      </c>
      <c r="K24" s="32">
        <f t="shared" si="6"/>
        <v>4.9348175972010723E-2</v>
      </c>
      <c r="L24" s="16">
        <f>G24/'Clause 6'!$H$11</f>
        <v>759.26420375094915</v>
      </c>
      <c r="M24">
        <f t="shared" si="7"/>
        <v>5</v>
      </c>
      <c r="O24" s="82">
        <f t="shared" si="9"/>
        <v>5.2328604444635829E-3</v>
      </c>
      <c r="P24" s="82">
        <f t="shared" si="8"/>
        <v>2.9508849996060516E-2</v>
      </c>
      <c r="Q24" s="82">
        <f t="shared" si="8"/>
        <v>-1.9839325975950173E-2</v>
      </c>
      <c r="R24" s="82">
        <f t="shared" si="8"/>
        <v>-2.1571574979887265E-3</v>
      </c>
      <c r="S24" s="82">
        <f t="shared" si="8"/>
        <v>-1.2745226966584755E-2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si="10"/>
        <v>580.83122505641359</v>
      </c>
      <c r="C25" s="30">
        <f t="shared" si="10"/>
        <v>589.78659285806145</v>
      </c>
      <c r="D25" s="30">
        <f t="shared" si="10"/>
        <v>563.61946824233087</v>
      </c>
      <c r="E25" s="30">
        <f t="shared" si="10"/>
        <v>563.97598378072087</v>
      </c>
      <c r="F25" s="30">
        <f t="shared" si="10"/>
        <v>560.8956857867322</v>
      </c>
      <c r="G25" s="33">
        <f t="shared" si="2"/>
        <v>571.82179114485166</v>
      </c>
      <c r="H25" s="34">
        <f t="shared" si="3"/>
        <v>12761.143344422007</v>
      </c>
      <c r="I25" s="32">
        <f t="shared" si="4"/>
        <v>1.997181713226789E-2</v>
      </c>
      <c r="J25" s="32">
        <f t="shared" si="5"/>
        <v>0.11</v>
      </c>
      <c r="K25" s="32">
        <f t="shared" si="6"/>
        <v>5.0524319847074034E-2</v>
      </c>
      <c r="L25" s="16">
        <f>G25/'Clause 6'!$H$11</f>
        <v>571.82179114485166</v>
      </c>
      <c r="M25">
        <f t="shared" si="7"/>
        <v>5</v>
      </c>
      <c r="O25" s="82">
        <f t="shared" si="9"/>
        <v>1.5755667326920131E-2</v>
      </c>
      <c r="P25" s="82">
        <f t="shared" si="8"/>
        <v>3.1416784025040778E-2</v>
      </c>
      <c r="Q25" s="82">
        <f t="shared" si="8"/>
        <v>-1.4344194344358296E-2</v>
      </c>
      <c r="R25" s="82">
        <f t="shared" si="8"/>
        <v>-1.372072118556833E-2</v>
      </c>
      <c r="S25" s="82">
        <f t="shared" si="8"/>
        <v>-1.9107535822033284E-2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si="10"/>
        <v>436.07159103386613</v>
      </c>
      <c r="C26" s="30">
        <f t="shared" si="10"/>
        <v>442.33994464354606</v>
      </c>
      <c r="D26" s="30">
        <f t="shared" si="10"/>
        <v>422.77040508949494</v>
      </c>
      <c r="E26" s="30">
        <f t="shared" si="10"/>
        <v>425.49475211971213</v>
      </c>
      <c r="F26" s="30">
        <f t="shared" si="10"/>
        <v>415.43658782678477</v>
      </c>
      <c r="G26" s="33">
        <f t="shared" si="2"/>
        <v>428.42265614268081</v>
      </c>
      <c r="H26" s="34">
        <f t="shared" si="3"/>
        <v>9560.9558986706215</v>
      </c>
      <c r="I26" s="32">
        <f t="shared" si="4"/>
        <v>2.2421284745408686E-2</v>
      </c>
      <c r="J26" s="32">
        <f t="shared" si="5"/>
        <v>0.113</v>
      </c>
      <c r="K26" s="32">
        <f t="shared" si="6"/>
        <v>6.2796298073931597E-2</v>
      </c>
      <c r="L26" s="16">
        <f>G26/'Clause 6'!$H$11</f>
        <v>428.42265614268081</v>
      </c>
      <c r="M26">
        <f t="shared" si="7"/>
        <v>5</v>
      </c>
      <c r="O26" s="82">
        <f t="shared" si="9"/>
        <v>1.785371240646505E-2</v>
      </c>
      <c r="P26" s="82">
        <f t="shared" si="8"/>
        <v>3.2484949853422984E-2</v>
      </c>
      <c r="Q26" s="82">
        <f t="shared" si="8"/>
        <v>-1.3193165609111657E-2</v>
      </c>
      <c r="R26" s="82">
        <f t="shared" si="8"/>
        <v>-6.8341484302678612E-3</v>
      </c>
      <c r="S26" s="82">
        <f t="shared" si="8"/>
        <v>-3.0311348220508627E-2</v>
      </c>
    </row>
    <row r="27" spans="1:49" ht="13.15" x14ac:dyDescent="0.4">
      <c r="A27" s="11" t="s">
        <v>81</v>
      </c>
      <c r="B27" s="30">
        <f t="shared" si="10"/>
        <v>335.45692280457223</v>
      </c>
      <c r="C27" s="30">
        <f t="shared" si="10"/>
        <v>333.9430936730576</v>
      </c>
      <c r="D27" s="30">
        <f t="shared" si="10"/>
        <v>318.52870541853713</v>
      </c>
      <c r="E27" s="30">
        <f t="shared" si="10"/>
        <v>325.43089440337042</v>
      </c>
      <c r="F27" s="30">
        <f t="shared" si="10"/>
        <v>310.95822644378848</v>
      </c>
      <c r="G27" s="33">
        <f t="shared" si="2"/>
        <v>324.86356854866517</v>
      </c>
      <c r="H27" s="34">
        <f t="shared" si="3"/>
        <v>7249.8646078701577</v>
      </c>
      <c r="I27" s="32">
        <f t="shared" si="4"/>
        <v>2.8495290699498216E-2</v>
      </c>
      <c r="J27" s="32">
        <f t="shared" si="5"/>
        <v>0.113</v>
      </c>
      <c r="K27" s="32">
        <f t="shared" si="6"/>
        <v>7.5412261430951449E-2</v>
      </c>
      <c r="L27" s="16">
        <f>G27/'Clause 6'!$H$11</f>
        <v>324.86356854866517</v>
      </c>
      <c r="M27">
        <f t="shared" si="7"/>
        <v>5</v>
      </c>
      <c r="O27" s="82">
        <f t="shared" si="9"/>
        <v>3.2608624916709239E-2</v>
      </c>
      <c r="P27" s="82">
        <f t="shared" si="8"/>
        <v>2.7948732955669353E-2</v>
      </c>
      <c r="Q27" s="82">
        <f t="shared" si="8"/>
        <v>-1.9500072471743013E-2</v>
      </c>
      <c r="R27" s="82">
        <f t="shared" si="8"/>
        <v>1.746351113606881E-3</v>
      </c>
      <c r="S27" s="82">
        <f t="shared" si="8"/>
        <v>-4.2803636514242238E-2</v>
      </c>
    </row>
    <row r="28" spans="1:49" ht="13.15" x14ac:dyDescent="0.4">
      <c r="A28" s="11" t="s">
        <v>82</v>
      </c>
      <c r="B28" s="30">
        <f t="shared" si="10"/>
        <v>260.83624458551907</v>
      </c>
      <c r="C28" s="30">
        <f t="shared" si="10"/>
        <v>256.51677155128016</v>
      </c>
      <c r="D28" s="30">
        <f t="shared" si="10"/>
        <v>243.75146903787143</v>
      </c>
      <c r="E28" s="30">
        <f t="shared" si="10"/>
        <v>243.90565318358304</v>
      </c>
      <c r="F28" s="30">
        <f t="shared" si="10"/>
        <v>229.89742881904999</v>
      </c>
      <c r="G28" s="33">
        <f t="shared" si="2"/>
        <v>246.9815134354607</v>
      </c>
      <c r="H28" s="34">
        <f t="shared" si="3"/>
        <v>5511.7985099203934</v>
      </c>
      <c r="I28" s="32">
        <f t="shared" si="4"/>
        <v>4.4154574232165782E-2</v>
      </c>
      <c r="J28" s="32">
        <f t="shared" si="5"/>
        <v>0.113</v>
      </c>
      <c r="K28" s="32">
        <f t="shared" si="6"/>
        <v>0.12526773901461968</v>
      </c>
      <c r="L28" s="16">
        <f>G28/'Clause 6'!$H$11</f>
        <v>246.9815134354607</v>
      </c>
      <c r="M28">
        <f t="shared" si="7"/>
        <v>5</v>
      </c>
      <c r="O28" s="82">
        <f t="shared" si="9"/>
        <v>5.6096227435576074E-2</v>
      </c>
      <c r="P28" s="82">
        <f t="shared" si="8"/>
        <v>3.86071734000899E-2</v>
      </c>
      <c r="Q28" s="82">
        <f t="shared" si="8"/>
        <v>-1.307808164530222E-2</v>
      </c>
      <c r="R28" s="82">
        <f t="shared" si="8"/>
        <v>-1.245380761131909E-2</v>
      </c>
      <c r="S28" s="82">
        <f t="shared" si="8"/>
        <v>-6.9171511579043665E-2</v>
      </c>
    </row>
    <row r="29" spans="1:49" ht="13.15" x14ac:dyDescent="0.4">
      <c r="A29" s="11" t="s">
        <v>83</v>
      </c>
      <c r="B29" s="30">
        <f t="shared" ref="B29:F38" si="11">B73*$E$4/B$8</f>
        <v>194.2826667144717</v>
      </c>
      <c r="C29" s="30">
        <f t="shared" si="11"/>
        <v>190.76050377829233</v>
      </c>
      <c r="D29" s="30">
        <f t="shared" si="11"/>
        <v>189.28685507702835</v>
      </c>
      <c r="E29" s="30">
        <f t="shared" si="11"/>
        <v>180.91902846035003</v>
      </c>
      <c r="F29" s="30">
        <f t="shared" si="11"/>
        <v>175.40655930464246</v>
      </c>
      <c r="G29" s="33">
        <f t="shared" si="2"/>
        <v>186.13112266695697</v>
      </c>
      <c r="H29" s="34">
        <f t="shared" si="3"/>
        <v>4153.8220018788097</v>
      </c>
      <c r="I29" s="32">
        <f t="shared" si="4"/>
        <v>3.7223689778683414E-2</v>
      </c>
      <c r="J29" s="32">
        <f t="shared" si="5"/>
        <v>0.11900000000000001</v>
      </c>
      <c r="K29" s="32">
        <f t="shared" si="6"/>
        <v>0.10141295630394989</v>
      </c>
      <c r="L29" s="16">
        <f>G29/'Clause 6'!$H$11</f>
        <v>186.13112266695697</v>
      </c>
      <c r="M29">
        <f t="shared" si="7"/>
        <v>5</v>
      </c>
      <c r="O29" s="82">
        <f t="shared" si="9"/>
        <v>4.3794632142740708E-2</v>
      </c>
      <c r="P29" s="82">
        <f t="shared" si="8"/>
        <v>2.4871612253791087E-2</v>
      </c>
      <c r="Q29" s="82">
        <f t="shared" si="8"/>
        <v>1.6954351130830991E-2</v>
      </c>
      <c r="R29" s="82">
        <f t="shared" si="8"/>
        <v>-2.8002271366153519E-2</v>
      </c>
      <c r="S29" s="82">
        <f t="shared" si="8"/>
        <v>-5.7618324161209156E-2</v>
      </c>
    </row>
    <row r="30" spans="1:49" ht="13.15" x14ac:dyDescent="0.4">
      <c r="A30" s="11" t="s">
        <v>84</v>
      </c>
      <c r="B30" s="30">
        <f t="shared" si="11"/>
        <v>146.10415074721516</v>
      </c>
      <c r="C30" s="30">
        <f t="shared" si="11"/>
        <v>140.04065218547578</v>
      </c>
      <c r="D30" s="30">
        <f t="shared" si="11"/>
        <v>140.6258475218489</v>
      </c>
      <c r="E30" s="30">
        <f t="shared" si="11"/>
        <v>129.32360182536132</v>
      </c>
      <c r="F30" s="30">
        <f t="shared" si="11"/>
        <v>132.84964055165474</v>
      </c>
      <c r="G30" s="33">
        <f t="shared" si="2"/>
        <v>137.78877856631118</v>
      </c>
      <c r="H30" s="34">
        <f t="shared" si="3"/>
        <v>3074.9831184591972</v>
      </c>
      <c r="I30" s="32">
        <f t="shared" si="4"/>
        <v>4.3341177059229026E-2</v>
      </c>
      <c r="J30" s="32">
        <f t="shared" si="5"/>
        <v>0.11900000000000001</v>
      </c>
      <c r="K30" s="32">
        <f t="shared" si="6"/>
        <v>0.12178458286991894</v>
      </c>
      <c r="L30" s="16">
        <f>G30/'Clause 6'!$H$11</f>
        <v>137.78877856631118</v>
      </c>
      <c r="M30">
        <f t="shared" si="7"/>
        <v>5</v>
      </c>
      <c r="O30" s="82">
        <f t="shared" si="9"/>
        <v>6.0348689257755384E-2</v>
      </c>
      <c r="P30" s="82">
        <f t="shared" si="8"/>
        <v>1.6342939117359734E-2</v>
      </c>
      <c r="Q30" s="82">
        <f t="shared" si="8"/>
        <v>2.0589985520282239E-2</v>
      </c>
      <c r="R30" s="82">
        <f t="shared" si="8"/>
        <v>-6.1435893612163617E-2</v>
      </c>
      <c r="S30" s="82">
        <f t="shared" si="8"/>
        <v>-3.5845720283233851E-2</v>
      </c>
    </row>
    <row r="31" spans="1:49" ht="13.15" x14ac:dyDescent="0.4">
      <c r="A31" s="11" t="s">
        <v>85</v>
      </c>
      <c r="B31" s="30">
        <f t="shared" si="11"/>
        <v>106.21682124874231</v>
      </c>
      <c r="C31" s="30">
        <f t="shared" si="11"/>
        <v>104.3572167728305</v>
      </c>
      <c r="D31" s="30">
        <f t="shared" si="11"/>
        <v>102.00954336108721</v>
      </c>
      <c r="E31" s="30">
        <f t="shared" si="11"/>
        <v>90.459514230175017</v>
      </c>
      <c r="F31" s="30">
        <f t="shared" si="11"/>
        <v>91.193397327830795</v>
      </c>
      <c r="G31" s="33">
        <f t="shared" si="2"/>
        <v>98.847298588133157</v>
      </c>
      <c r="H31" s="34">
        <f t="shared" si="3"/>
        <v>2205.9399729530701</v>
      </c>
      <c r="I31" s="32">
        <f t="shared" si="4"/>
        <v>6.7653754838406577E-2</v>
      </c>
      <c r="J31" s="32">
        <f t="shared" si="5"/>
        <v>0.11900000000000001</v>
      </c>
      <c r="K31" s="32">
        <f t="shared" si="6"/>
        <v>0.15941059840414282</v>
      </c>
      <c r="L31" s="16">
        <f>G31/'Clause 6'!$H$11</f>
        <v>98.847298588133157</v>
      </c>
      <c r="M31">
        <f t="shared" si="7"/>
        <v>5</v>
      </c>
      <c r="O31" s="82">
        <f t="shared" si="9"/>
        <v>7.455461874902336E-2</v>
      </c>
      <c r="P31" s="82">
        <f t="shared" si="8"/>
        <v>5.5741717410563885E-2</v>
      </c>
      <c r="Q31" s="82">
        <f t="shared" si="8"/>
        <v>3.1991210868899556E-2</v>
      </c>
      <c r="R31" s="82">
        <f t="shared" si="8"/>
        <v>-8.4855979655119373E-2</v>
      </c>
      <c r="S31" s="82">
        <f t="shared" si="8"/>
        <v>-7.7431567373367094E-2</v>
      </c>
    </row>
    <row r="32" spans="1:49" ht="13.15" x14ac:dyDescent="0.4">
      <c r="A32" s="11" t="s">
        <v>86</v>
      </c>
      <c r="B32" s="30">
        <f t="shared" si="11"/>
        <v>78.206056151500135</v>
      </c>
      <c r="C32" s="30">
        <f t="shared" si="11"/>
        <v>76.528625633409035</v>
      </c>
      <c r="D32" s="30">
        <f t="shared" si="11"/>
        <v>72.09864880882094</v>
      </c>
      <c r="E32" s="30">
        <f t="shared" si="11"/>
        <v>60.97641329589576</v>
      </c>
      <c r="F32" s="30">
        <f t="shared" si="11"/>
        <v>65.749313628954553</v>
      </c>
      <c r="G32" s="33">
        <f t="shared" si="2"/>
        <v>70.711811503716092</v>
      </c>
      <c r="H32" s="34">
        <f t="shared" si="3"/>
        <v>1578.0503239235368</v>
      </c>
      <c r="I32" s="32">
        <f t="shared" si="4"/>
        <v>9.1939096419674626E-2</v>
      </c>
      <c r="J32" s="32">
        <f t="shared" si="5"/>
        <v>0.13400000000000001</v>
      </c>
      <c r="K32" s="32">
        <f t="shared" si="6"/>
        <v>0.2436600405110384</v>
      </c>
      <c r="L32" s="16">
        <f>G32/'Clause 6'!$H$11</f>
        <v>70.711811503716092</v>
      </c>
      <c r="M32">
        <f t="shared" si="7"/>
        <v>5</v>
      </c>
      <c r="O32" s="82">
        <f t="shared" si="9"/>
        <v>0.10598292546062416</v>
      </c>
      <c r="P32" s="82">
        <f t="shared" si="8"/>
        <v>8.2260855803238053E-2</v>
      </c>
      <c r="Q32" s="82">
        <f t="shared" si="8"/>
        <v>1.9612526897744287E-2</v>
      </c>
      <c r="R32" s="82">
        <f t="shared" si="8"/>
        <v>-0.13767711505041436</v>
      </c>
      <c r="S32" s="82">
        <f t="shared" si="8"/>
        <v>-7.0179193111192584E-2</v>
      </c>
    </row>
    <row r="33" spans="1:19" ht="13.15" x14ac:dyDescent="0.4">
      <c r="A33" s="11" t="s">
        <v>87</v>
      </c>
      <c r="B33" s="30">
        <f t="shared" si="11"/>
        <v>54.228841228260841</v>
      </c>
      <c r="C33" s="30">
        <f t="shared" si="11"/>
        <v>55.432758156750829</v>
      </c>
      <c r="D33" s="30">
        <f t="shared" si="11"/>
        <v>52.009242019985386</v>
      </c>
      <c r="E33" s="30">
        <f t="shared" si="11"/>
        <v>41.097655847783223</v>
      </c>
      <c r="F33" s="30">
        <f t="shared" si="11"/>
        <v>47.060296398806514</v>
      </c>
      <c r="G33" s="33">
        <f t="shared" si="2"/>
        <v>49.965758730317354</v>
      </c>
      <c r="H33" s="34">
        <f t="shared" si="3"/>
        <v>1115.0680497743845</v>
      </c>
      <c r="I33" s="32">
        <f t="shared" si="4"/>
        <v>0.10564611071413069</v>
      </c>
      <c r="J33" s="32">
        <f t="shared" si="5"/>
        <v>0.13400000000000001</v>
      </c>
      <c r="K33" s="32">
        <f t="shared" si="6"/>
        <v>0.28689852157232631</v>
      </c>
      <c r="L33" s="16">
        <f>G33/'Clause 6'!$H$11</f>
        <v>49.965758730317354</v>
      </c>
      <c r="M33">
        <f t="shared" si="7"/>
        <v>5</v>
      </c>
      <c r="O33" s="82">
        <f t="shared" si="9"/>
        <v>8.5320079315773567E-2</v>
      </c>
      <c r="P33" s="82">
        <f t="shared" si="8"/>
        <v>0.10941491864340103</v>
      </c>
      <c r="Q33" s="82">
        <f t="shared" si="8"/>
        <v>4.0897673558754954E-2</v>
      </c>
      <c r="R33" s="82">
        <f t="shared" si="8"/>
        <v>-0.1774836029289254</v>
      </c>
      <c r="S33" s="82">
        <f t="shared" si="8"/>
        <v>-5.8149068589003816E-2</v>
      </c>
    </row>
    <row r="34" spans="1:19" ht="13.15" x14ac:dyDescent="0.4">
      <c r="A34" s="11" t="s">
        <v>88</v>
      </c>
      <c r="B34" s="30">
        <f t="shared" si="11"/>
        <v>36.75012380758173</v>
      </c>
      <c r="C34" s="30">
        <f t="shared" si="11"/>
        <v>40.17191785448744</v>
      </c>
      <c r="D34" s="30">
        <f t="shared" si="11"/>
        <v>33.035913386085134</v>
      </c>
      <c r="E34" s="30">
        <f t="shared" si="11"/>
        <v>25.239321254345128</v>
      </c>
      <c r="F34" s="30">
        <f t="shared" si="11"/>
        <v>32.649487932186339</v>
      </c>
      <c r="G34" s="33">
        <f t="shared" si="2"/>
        <v>33.56935284693715</v>
      </c>
      <c r="H34" s="34">
        <f t="shared" si="3"/>
        <v>749.15529679548285</v>
      </c>
      <c r="I34" s="32">
        <f t="shared" si="4"/>
        <v>0.14848669841091508</v>
      </c>
      <c r="J34" s="32">
        <f t="shared" si="5"/>
        <v>0.156</v>
      </c>
      <c r="K34" s="32">
        <f t="shared" si="6"/>
        <v>0.44482825356297429</v>
      </c>
      <c r="L34" s="16">
        <f>G34/'Clause 6'!$H$11</f>
        <v>33.56935284693715</v>
      </c>
      <c r="M34">
        <f t="shared" si="7"/>
        <v>5</v>
      </c>
      <c r="O34" s="82">
        <f t="shared" si="9"/>
        <v>9.4752227579352644E-2</v>
      </c>
      <c r="P34" s="82">
        <f t="shared" si="8"/>
        <v>0.1966843101699145</v>
      </c>
      <c r="Q34" s="82">
        <f t="shared" si="8"/>
        <v>-1.5890668589421009E-2</v>
      </c>
      <c r="R34" s="82">
        <f t="shared" si="8"/>
        <v>-0.24814394339305978</v>
      </c>
      <c r="S34" s="82">
        <f t="shared" si="8"/>
        <v>-2.7401925766785795E-2</v>
      </c>
    </row>
    <row r="35" spans="1:19" ht="13.15" x14ac:dyDescent="0.4">
      <c r="A35" s="11" t="s">
        <v>89</v>
      </c>
      <c r="B35" s="30">
        <f t="shared" si="11"/>
        <v>22.856784319349611</v>
      </c>
      <c r="C35" s="30">
        <f t="shared" si="11"/>
        <v>26.257622284776708</v>
      </c>
      <c r="D35" s="30">
        <f t="shared" si="11"/>
        <v>23.437641253641484</v>
      </c>
      <c r="E35" s="30">
        <f t="shared" si="11"/>
        <v>18.538616496554386</v>
      </c>
      <c r="F35" s="30">
        <f t="shared" si="11"/>
        <v>20.940706053057443</v>
      </c>
      <c r="G35" s="33">
        <f t="shared" si="2"/>
        <v>22.406274081475924</v>
      </c>
      <c r="H35" s="34">
        <f t="shared" si="3"/>
        <v>500.03284204272518</v>
      </c>
      <c r="I35" s="32">
        <f t="shared" si="4"/>
        <v>0.11501516595362486</v>
      </c>
      <c r="J35" s="32">
        <f t="shared" si="5"/>
        <v>0.156</v>
      </c>
      <c r="K35" s="32">
        <f t="shared" si="6"/>
        <v>0.34450198012189376</v>
      </c>
      <c r="L35" s="16">
        <f>G35/'Clause 6'!$H$11</f>
        <v>22.406274081475924</v>
      </c>
      <c r="M35">
        <f t="shared" si="7"/>
        <v>5</v>
      </c>
      <c r="O35" s="82">
        <f t="shared" si="9"/>
        <v>2.0106432521332929E-2</v>
      </c>
      <c r="P35" s="82">
        <f t="shared" si="8"/>
        <v>0.17188704330296622</v>
      </c>
      <c r="Q35" s="82">
        <f t="shared" si="8"/>
        <v>4.6030284571865865E-2</v>
      </c>
      <c r="R35" s="82">
        <f t="shared" si="8"/>
        <v>-0.17261493681892748</v>
      </c>
      <c r="S35" s="82">
        <f t="shared" si="8"/>
        <v>-6.5408823577237207E-2</v>
      </c>
    </row>
    <row r="36" spans="1:19" ht="13.15" x14ac:dyDescent="0.4">
      <c r="A36" s="11" t="s">
        <v>90</v>
      </c>
      <c r="B36" s="30">
        <f t="shared" si="11"/>
        <v>16.358286816789427</v>
      </c>
      <c r="C36" s="30">
        <f t="shared" si="11"/>
        <v>18.851626255737123</v>
      </c>
      <c r="D36" s="30">
        <f t="shared" si="11"/>
        <v>16.294741062055508</v>
      </c>
      <c r="E36" s="30">
        <f t="shared" si="11"/>
        <v>12.061268564023337</v>
      </c>
      <c r="F36" s="30">
        <f t="shared" si="11"/>
        <v>12.834626290583595</v>
      </c>
      <c r="G36" s="33">
        <f t="shared" si="2"/>
        <v>15.280109797837799</v>
      </c>
      <c r="H36" s="34">
        <f t="shared" si="3"/>
        <v>341.00077063925812</v>
      </c>
      <c r="I36" s="32">
        <f t="shared" si="4"/>
        <v>0.16371345293973702</v>
      </c>
      <c r="J36" s="32">
        <f t="shared" si="5"/>
        <v>0.193</v>
      </c>
      <c r="K36" s="32">
        <f t="shared" si="6"/>
        <v>0.44439194361513368</v>
      </c>
      <c r="L36" s="16">
        <f>G36/'Clause 6'!$H$11</f>
        <v>15.280109797837799</v>
      </c>
      <c r="M36">
        <f t="shared" si="7"/>
        <v>5</v>
      </c>
      <c r="O36" s="82">
        <f t="shared" si="9"/>
        <v>7.0560816199383147E-2</v>
      </c>
      <c r="P36" s="82">
        <f t="shared" si="8"/>
        <v>0.23373630851819605</v>
      </c>
      <c r="Q36" s="82">
        <f t="shared" si="8"/>
        <v>6.6402092500754462E-2</v>
      </c>
      <c r="R36" s="82">
        <f t="shared" si="8"/>
        <v>-0.21065563509693774</v>
      </c>
      <c r="S36" s="82">
        <f t="shared" si="8"/>
        <v>-0.16004358212139613</v>
      </c>
    </row>
    <row r="37" spans="1:19" ht="13.15" x14ac:dyDescent="0.4">
      <c r="A37" s="11" t="s">
        <v>91</v>
      </c>
      <c r="B37" s="30">
        <f t="shared" si="11"/>
        <v>11.652478280452742</v>
      </c>
      <c r="C37" s="30">
        <f t="shared" si="11"/>
        <v>12.343326715065974</v>
      </c>
      <c r="D37" s="30">
        <f t="shared" si="11"/>
        <v>7.8125470845471607</v>
      </c>
      <c r="E37" s="30">
        <f t="shared" si="11"/>
        <v>7.1474184083101253</v>
      </c>
      <c r="F37" s="30">
        <f t="shared" si="11"/>
        <v>6.9802353510191475</v>
      </c>
      <c r="G37" s="33">
        <f t="shared" si="2"/>
        <v>9.1872011678790297</v>
      </c>
      <c r="H37" s="34">
        <f t="shared" si="3"/>
        <v>205.02749781994055</v>
      </c>
      <c r="I37" s="32">
        <f t="shared" si="4"/>
        <v>0.25274940867872742</v>
      </c>
      <c r="J37" s="32">
        <f t="shared" si="5"/>
        <v>0.193</v>
      </c>
      <c r="K37" s="32">
        <f t="shared" si="6"/>
        <v>0.58375682278490448</v>
      </c>
      <c r="L37" s="16">
        <f>G37/'Clause 6'!$H$11</f>
        <v>9.1872011678790297</v>
      </c>
      <c r="M37">
        <f t="shared" si="7"/>
        <v>5</v>
      </c>
      <c r="O37" s="82">
        <f t="shared" si="9"/>
        <v>0.26833820959456034</v>
      </c>
      <c r="P37" s="82">
        <f t="shared" si="8"/>
        <v>0.34353504288353043</v>
      </c>
      <c r="Q37" s="82">
        <f t="shared" si="8"/>
        <v>-0.14962707991396074</v>
      </c>
      <c r="R37" s="82">
        <f t="shared" si="8"/>
        <v>-0.22202439266275598</v>
      </c>
      <c r="S37" s="82">
        <f t="shared" si="8"/>
        <v>-0.24022177990137394</v>
      </c>
    </row>
    <row r="38" spans="1:19" ht="13.15" x14ac:dyDescent="0.4">
      <c r="A38" s="11" t="s">
        <v>92</v>
      </c>
      <c r="B38" s="30">
        <f t="shared" si="11"/>
        <v>8.2911864687836818</v>
      </c>
      <c r="C38" s="30">
        <f t="shared" si="11"/>
        <v>7.8548442732238017</v>
      </c>
      <c r="D38" s="30">
        <f t="shared" si="11"/>
        <v>4.4643126197412348</v>
      </c>
      <c r="E38" s="30">
        <f t="shared" si="11"/>
        <v>3.1269955536356799</v>
      </c>
      <c r="F38" s="30">
        <f t="shared" si="11"/>
        <v>4.5033776458188051</v>
      </c>
      <c r="G38" s="33">
        <f t="shared" si="2"/>
        <v>5.6481433122406406</v>
      </c>
      <c r="H38" s="34">
        <f t="shared" si="3"/>
        <v>126.04760356025523</v>
      </c>
      <c r="I38" s="32">
        <f t="shared" si="4"/>
        <v>0.36218024060628878</v>
      </c>
      <c r="J38" s="32">
        <f t="shared" si="5"/>
        <v>0.27500000000000002</v>
      </c>
      <c r="K38" s="32">
        <f t="shared" si="6"/>
        <v>0.91431655141543255</v>
      </c>
      <c r="L38" s="16">
        <f>G38/'Clause 6'!$H$11</f>
        <v>5.6481433122406406</v>
      </c>
      <c r="M38">
        <f t="shared" si="7"/>
        <v>5</v>
      </c>
      <c r="O38" s="82">
        <f t="shared" si="9"/>
        <v>0.46794902509202374</v>
      </c>
      <c r="P38" s="82">
        <f t="shared" si="8"/>
        <v>0.39069493088123397</v>
      </c>
      <c r="Q38" s="82">
        <f t="shared" si="8"/>
        <v>-0.20959643320908861</v>
      </c>
      <c r="R38" s="82">
        <f t="shared" si="8"/>
        <v>-0.44636752632340904</v>
      </c>
      <c r="S38" s="82">
        <f t="shared" si="8"/>
        <v>-0.20267999644076007</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4.4694779999999996</v>
      </c>
      <c r="C52" s="49">
        <f>'6 - B1'!C52</f>
        <v>4.4241450000000002</v>
      </c>
      <c r="D52" s="49">
        <f>'6 - B1'!D52</f>
        <v>4.4558520000000001</v>
      </c>
      <c r="E52" s="49">
        <f>'6 - B1'!E52</f>
        <v>4.4696800000000003</v>
      </c>
      <c r="F52" s="49">
        <f>'6 - B1'!F52</f>
        <v>4.4398780000000002</v>
      </c>
      <c r="G52" s="49">
        <f>'6 - B1'!G52</f>
        <v>4.4625700000000004</v>
      </c>
      <c r="H52" s="49">
        <f>'6 - B1'!H52</f>
        <v>4.4558489999999997</v>
      </c>
      <c r="I52" s="49">
        <f>'6 - B1'!I52</f>
        <v>4.4799730000000002</v>
      </c>
      <c r="J52" s="49">
        <f>'6 - B1'!J52</f>
        <v>4.4771409999999996</v>
      </c>
      <c r="K52" s="49">
        <f>'6 - B1'!K52</f>
        <v>4.4411110000000003</v>
      </c>
      <c r="L52" s="49">
        <f>'6 - B1'!L52</f>
        <v>4.4694779999999996</v>
      </c>
      <c r="M52" s="49">
        <f>'6 - B1'!M52</f>
        <v>4.4241450000000002</v>
      </c>
      <c r="N52" s="49">
        <f>'6 - B1'!N52</f>
        <v>4.4558520000000001</v>
      </c>
      <c r="O52" s="49">
        <f>'6 - B1'!O52</f>
        <v>4.4696800000000003</v>
      </c>
      <c r="P52" s="49">
        <f>'6 - B1'!P52</f>
        <v>4.4398780000000002</v>
      </c>
    </row>
    <row r="53" spans="1:16" x14ac:dyDescent="0.35">
      <c r="A53" s="51">
        <f>'6 - B1'!A53</f>
        <v>4</v>
      </c>
      <c r="B53" s="49">
        <f>'6 - B1'!B53</f>
        <v>78062</v>
      </c>
      <c r="C53" s="49">
        <f>'6 - B1'!C53</f>
        <v>78421</v>
      </c>
      <c r="D53" s="49">
        <f>'6 - B1'!D53</f>
        <v>77746</v>
      </c>
      <c r="E53" s="49">
        <f>'6 - B1'!E53</f>
        <v>77484</v>
      </c>
      <c r="F53" s="49">
        <f>'6 - B1'!F53</f>
        <v>78818</v>
      </c>
      <c r="G53" s="49">
        <f>'6 - B1'!G53</f>
        <v>77965</v>
      </c>
      <c r="H53" s="49">
        <f>'6 - B1'!H53</f>
        <v>75995</v>
      </c>
      <c r="I53" s="49">
        <f>'6 - B1'!I53</f>
        <v>73898</v>
      </c>
      <c r="J53" s="49">
        <f>'6 - B1'!J53</f>
        <v>79583</v>
      </c>
      <c r="K53" s="49">
        <f>'6 - B1'!K53</f>
        <v>77901</v>
      </c>
      <c r="L53" s="49">
        <f>'6 - B1'!L53</f>
        <v>78062</v>
      </c>
      <c r="M53" s="49">
        <f>'6 - B1'!M53</f>
        <v>78421</v>
      </c>
      <c r="N53" s="49">
        <f>'6 - B1'!N53</f>
        <v>77746</v>
      </c>
      <c r="O53" s="49">
        <f>'6 - B1'!O53</f>
        <v>77484</v>
      </c>
      <c r="P53" s="49">
        <f>'6 - B1'!P53</f>
        <v>78818</v>
      </c>
    </row>
    <row r="54" spans="1:16" x14ac:dyDescent="0.35">
      <c r="A54" s="51">
        <f>'6 - B1'!A54</f>
        <v>5</v>
      </c>
      <c r="B54" s="49">
        <f>'6 - B1'!B54</f>
        <v>66917</v>
      </c>
      <c r="C54" s="49">
        <f>'6 - B1'!C54</f>
        <v>67163</v>
      </c>
      <c r="D54" s="49">
        <f>'6 - B1'!D54</f>
        <v>66552</v>
      </c>
      <c r="E54" s="49">
        <f>'6 - B1'!E54</f>
        <v>66389</v>
      </c>
      <c r="F54" s="49">
        <f>'6 - B1'!F54</f>
        <v>67371</v>
      </c>
      <c r="G54" s="49">
        <f>'6 - B1'!G54</f>
        <v>66902</v>
      </c>
      <c r="H54" s="49">
        <f>'6 - B1'!H54</f>
        <v>65058</v>
      </c>
      <c r="I54" s="49">
        <f>'6 - B1'!I54</f>
        <v>63376</v>
      </c>
      <c r="J54" s="49">
        <f>'6 - B1'!J54</f>
        <v>67831</v>
      </c>
      <c r="K54" s="49">
        <f>'6 - B1'!K54</f>
        <v>66691</v>
      </c>
      <c r="L54" s="49">
        <f>'6 - B1'!L54</f>
        <v>66917</v>
      </c>
      <c r="M54" s="49">
        <f>'6 - B1'!M54</f>
        <v>67163</v>
      </c>
      <c r="N54" s="49">
        <f>'6 - B1'!N54</f>
        <v>66552</v>
      </c>
      <c r="O54" s="49">
        <f>'6 - B1'!O54</f>
        <v>66389</v>
      </c>
      <c r="P54" s="49">
        <f>'6 - B1'!P54</f>
        <v>67371</v>
      </c>
    </row>
    <row r="55" spans="1:16" x14ac:dyDescent="0.35">
      <c r="A55" s="51">
        <f>'6 - B1'!A55</f>
        <v>6</v>
      </c>
      <c r="B55" s="49">
        <f>'6 - B1'!B55</f>
        <v>57940</v>
      </c>
      <c r="C55" s="49">
        <f>'6 - B1'!C55</f>
        <v>58166</v>
      </c>
      <c r="D55" s="49">
        <f>'6 - B1'!D55</f>
        <v>57551</v>
      </c>
      <c r="E55" s="49">
        <f>'6 - B1'!E55</f>
        <v>57661</v>
      </c>
      <c r="F55" s="49">
        <f>'6 - B1'!F55</f>
        <v>58335</v>
      </c>
      <c r="G55" s="49">
        <f>'6 - B1'!G55</f>
        <v>58038</v>
      </c>
      <c r="H55" s="49">
        <f>'6 - B1'!H55</f>
        <v>56400</v>
      </c>
      <c r="I55" s="49">
        <f>'6 - B1'!I55</f>
        <v>55179</v>
      </c>
      <c r="J55" s="49">
        <f>'6 - B1'!J55</f>
        <v>58570</v>
      </c>
      <c r="K55" s="49">
        <f>'6 - B1'!K55</f>
        <v>57741</v>
      </c>
      <c r="L55" s="49">
        <f>'6 - B1'!L55</f>
        <v>57940</v>
      </c>
      <c r="M55" s="49">
        <f>'6 - B1'!M55</f>
        <v>58166</v>
      </c>
      <c r="N55" s="49">
        <f>'6 - B1'!N55</f>
        <v>57551</v>
      </c>
      <c r="O55" s="49">
        <f>'6 - B1'!O55</f>
        <v>57661</v>
      </c>
      <c r="P55" s="49">
        <f>'6 - B1'!P55</f>
        <v>58335</v>
      </c>
    </row>
    <row r="56" spans="1:16" x14ac:dyDescent="0.35">
      <c r="A56" s="51">
        <f>'6 - B1'!A56</f>
        <v>7</v>
      </c>
      <c r="B56" s="49">
        <f>'6 - B1'!B56</f>
        <v>49573</v>
      </c>
      <c r="C56" s="49">
        <f>'6 - B1'!C56</f>
        <v>49727</v>
      </c>
      <c r="D56" s="49">
        <f>'6 - B1'!D56</f>
        <v>49171</v>
      </c>
      <c r="E56" s="49">
        <f>'6 - B1'!E56</f>
        <v>49152</v>
      </c>
      <c r="F56" s="49">
        <f>'6 - B1'!F56</f>
        <v>49847</v>
      </c>
      <c r="G56" s="49">
        <f>'6 - B1'!G56</f>
        <v>49638</v>
      </c>
      <c r="H56" s="49">
        <f>'6 - B1'!H56</f>
        <v>48280</v>
      </c>
      <c r="I56" s="49">
        <f>'6 - B1'!I56</f>
        <v>47247</v>
      </c>
      <c r="J56" s="49">
        <f>'6 - B1'!J56</f>
        <v>49742</v>
      </c>
      <c r="K56" s="49">
        <f>'6 - B1'!K56</f>
        <v>49295</v>
      </c>
      <c r="L56" s="49">
        <f>'6 - B1'!L56</f>
        <v>49573</v>
      </c>
      <c r="M56" s="49">
        <f>'6 - B1'!M56</f>
        <v>49727</v>
      </c>
      <c r="N56" s="49">
        <f>'6 - B1'!N56</f>
        <v>49171</v>
      </c>
      <c r="O56" s="49">
        <f>'6 - B1'!O56</f>
        <v>49152</v>
      </c>
      <c r="P56" s="49">
        <f>'6 - B1'!P56</f>
        <v>49847</v>
      </c>
    </row>
    <row r="57" spans="1:16" x14ac:dyDescent="0.35">
      <c r="A57" s="51">
        <f>'6 - B1'!A57</f>
        <v>8</v>
      </c>
      <c r="B57" s="49">
        <f>'6 - B1'!B57</f>
        <v>42508</v>
      </c>
      <c r="C57" s="49">
        <f>'6 - B1'!C57</f>
        <v>42585</v>
      </c>
      <c r="D57" s="49">
        <f>'6 - B1'!D57</f>
        <v>41999</v>
      </c>
      <c r="E57" s="49">
        <f>'6 - B1'!E57</f>
        <v>42110</v>
      </c>
      <c r="F57" s="49">
        <f>'6 - B1'!F57</f>
        <v>42709</v>
      </c>
      <c r="G57" s="49">
        <f>'6 - B1'!G57</f>
        <v>42438</v>
      </c>
      <c r="H57" s="49">
        <f>'6 - B1'!H57</f>
        <v>41302</v>
      </c>
      <c r="I57" s="49">
        <f>'6 - B1'!I57</f>
        <v>40548</v>
      </c>
      <c r="J57" s="49">
        <f>'6 - B1'!J57</f>
        <v>42566</v>
      </c>
      <c r="K57" s="49">
        <f>'6 - B1'!K57</f>
        <v>42225</v>
      </c>
      <c r="L57" s="49">
        <f>'6 - B1'!L57</f>
        <v>42508</v>
      </c>
      <c r="M57" s="49">
        <f>'6 - B1'!M57</f>
        <v>42585</v>
      </c>
      <c r="N57" s="49">
        <f>'6 - B1'!N57</f>
        <v>41999</v>
      </c>
      <c r="O57" s="49">
        <f>'6 - B1'!O57</f>
        <v>42110</v>
      </c>
      <c r="P57" s="49">
        <f>'6 - B1'!P57</f>
        <v>42709</v>
      </c>
    </row>
    <row r="58" spans="1:16" x14ac:dyDescent="0.35">
      <c r="A58" s="51">
        <f>'6 - B1'!A58</f>
        <v>9</v>
      </c>
      <c r="B58" s="49">
        <f>'6 - B1'!B58</f>
        <v>36256</v>
      </c>
      <c r="C58" s="49">
        <f>'6 - B1'!C58</f>
        <v>36262</v>
      </c>
      <c r="D58" s="49">
        <f>'6 - B1'!D58</f>
        <v>35721</v>
      </c>
      <c r="E58" s="49">
        <f>'6 - B1'!E58</f>
        <v>35870</v>
      </c>
      <c r="F58" s="49">
        <f>'6 - B1'!F58</f>
        <v>36395</v>
      </c>
      <c r="G58" s="49">
        <f>'6 - B1'!G58</f>
        <v>36173</v>
      </c>
      <c r="H58" s="49">
        <f>'6 - B1'!H58</f>
        <v>35273</v>
      </c>
      <c r="I58" s="49">
        <f>'6 - B1'!I58</f>
        <v>34628</v>
      </c>
      <c r="J58" s="49">
        <f>'6 - B1'!J58</f>
        <v>36115</v>
      </c>
      <c r="K58" s="49">
        <f>'6 - B1'!K58</f>
        <v>35950</v>
      </c>
      <c r="L58" s="49">
        <f>'6 - B1'!L58</f>
        <v>36256</v>
      </c>
      <c r="M58" s="49">
        <f>'6 - B1'!M58</f>
        <v>36262</v>
      </c>
      <c r="N58" s="49">
        <f>'6 - B1'!N58</f>
        <v>35721</v>
      </c>
      <c r="O58" s="49">
        <f>'6 - B1'!O58</f>
        <v>35870</v>
      </c>
      <c r="P58" s="49">
        <f>'6 - B1'!P58</f>
        <v>36395</v>
      </c>
    </row>
    <row r="59" spans="1:16" x14ac:dyDescent="0.35">
      <c r="A59" s="51">
        <f>'6 - B1'!A59</f>
        <v>10</v>
      </c>
      <c r="B59" s="49">
        <f>'6 - B1'!B59</f>
        <v>30816</v>
      </c>
      <c r="C59" s="49">
        <f>'6 - B1'!C59</f>
        <v>30856</v>
      </c>
      <c r="D59" s="49">
        <f>'6 - B1'!D59</f>
        <v>30207</v>
      </c>
      <c r="E59" s="49">
        <f>'6 - B1'!E59</f>
        <v>30284</v>
      </c>
      <c r="F59" s="49">
        <f>'6 - B1'!F59</f>
        <v>30907</v>
      </c>
      <c r="G59" s="49">
        <f>'6 - B1'!G59</f>
        <v>30694</v>
      </c>
      <c r="H59" s="49">
        <f>'6 - B1'!H59</f>
        <v>30026</v>
      </c>
      <c r="I59" s="49">
        <f>'6 - B1'!I59</f>
        <v>29490</v>
      </c>
      <c r="J59" s="49">
        <f>'6 - B1'!J59</f>
        <v>30699</v>
      </c>
      <c r="K59" s="49">
        <f>'6 - B1'!K59</f>
        <v>30473</v>
      </c>
      <c r="L59" s="49">
        <f>'6 - B1'!L59</f>
        <v>30816</v>
      </c>
      <c r="M59" s="49">
        <f>'6 - B1'!M59</f>
        <v>30856</v>
      </c>
      <c r="N59" s="49">
        <f>'6 - B1'!N59</f>
        <v>30207</v>
      </c>
      <c r="O59" s="49">
        <f>'6 - B1'!O59</f>
        <v>30284</v>
      </c>
      <c r="P59" s="49">
        <f>'6 - B1'!P59</f>
        <v>30907</v>
      </c>
    </row>
    <row r="60" spans="1:16" x14ac:dyDescent="0.35">
      <c r="A60" s="51">
        <f>'6 - B1'!A60</f>
        <v>11</v>
      </c>
      <c r="B60" s="49">
        <f>'6 - B1'!B60</f>
        <v>25586</v>
      </c>
      <c r="C60" s="49">
        <f>'6 - B1'!C60</f>
        <v>25685</v>
      </c>
      <c r="D60" s="49">
        <f>'6 - B1'!D60</f>
        <v>25140</v>
      </c>
      <c r="E60" s="49">
        <f>'6 - B1'!E60</f>
        <v>25186</v>
      </c>
      <c r="F60" s="49">
        <f>'6 - B1'!F60</f>
        <v>25818</v>
      </c>
      <c r="G60" s="49">
        <f>'6 - B1'!G60</f>
        <v>25615</v>
      </c>
      <c r="H60" s="49">
        <f>'6 - B1'!H60</f>
        <v>25098</v>
      </c>
      <c r="I60" s="49">
        <f>'6 - B1'!I60</f>
        <v>24616</v>
      </c>
      <c r="J60" s="49">
        <f>'6 - B1'!J60</f>
        <v>25488</v>
      </c>
      <c r="K60" s="49">
        <f>'6 - B1'!K60</f>
        <v>25298</v>
      </c>
      <c r="L60" s="49">
        <f>'6 - B1'!L60</f>
        <v>25586</v>
      </c>
      <c r="M60" s="49">
        <f>'6 - B1'!M60</f>
        <v>25685</v>
      </c>
      <c r="N60" s="49">
        <f>'6 - B1'!N60</f>
        <v>25140</v>
      </c>
      <c r="O60" s="49">
        <f>'6 - B1'!O60</f>
        <v>25186</v>
      </c>
      <c r="P60" s="49">
        <f>'6 - B1'!P60</f>
        <v>25818</v>
      </c>
    </row>
    <row r="61" spans="1:16" x14ac:dyDescent="0.35">
      <c r="A61" s="51">
        <f>'6 - B1'!A61</f>
        <v>12</v>
      </c>
      <c r="B61" s="49">
        <f>'6 - B1'!B61</f>
        <v>20960</v>
      </c>
      <c r="C61" s="49">
        <f>'6 - B1'!C61</f>
        <v>21241</v>
      </c>
      <c r="D61" s="49">
        <f>'6 - B1'!D61</f>
        <v>20689</v>
      </c>
      <c r="E61" s="49">
        <f>'6 - B1'!E61</f>
        <v>20807</v>
      </c>
      <c r="F61" s="49">
        <f>'6 - B1'!F61</f>
        <v>21181</v>
      </c>
      <c r="G61" s="49">
        <f>'6 - B1'!G61</f>
        <v>21165</v>
      </c>
      <c r="H61" s="49">
        <f>'6 - B1'!H61</f>
        <v>20595</v>
      </c>
      <c r="I61" s="49">
        <f>'6 - B1'!I61</f>
        <v>20244</v>
      </c>
      <c r="J61" s="49">
        <f>'6 - B1'!J61</f>
        <v>20961</v>
      </c>
      <c r="K61" s="49">
        <f>'6 - B1'!K61</f>
        <v>20805</v>
      </c>
      <c r="L61" s="49">
        <f>'6 - B1'!L61</f>
        <v>20960</v>
      </c>
      <c r="M61" s="49">
        <f>'6 - B1'!M61</f>
        <v>21241</v>
      </c>
      <c r="N61" s="49">
        <f>'6 - B1'!N61</f>
        <v>20689</v>
      </c>
      <c r="O61" s="49">
        <f>'6 - B1'!O61</f>
        <v>20807</v>
      </c>
      <c r="P61" s="49">
        <f>'6 - B1'!P61</f>
        <v>21181</v>
      </c>
    </row>
    <row r="62" spans="1:16" x14ac:dyDescent="0.35">
      <c r="A62" s="51">
        <f>'6 - B1'!A62</f>
        <v>13</v>
      </c>
      <c r="B62" s="49">
        <f>'6 - B1'!B62</f>
        <v>16995</v>
      </c>
      <c r="C62" s="49">
        <f>'6 - B1'!C62</f>
        <v>17122</v>
      </c>
      <c r="D62" s="49">
        <f>'6 - B1'!D62</f>
        <v>16750</v>
      </c>
      <c r="E62" s="49">
        <f>'6 - B1'!E62</f>
        <v>16878</v>
      </c>
      <c r="F62" s="49">
        <f>'6 - B1'!F62</f>
        <v>17170</v>
      </c>
      <c r="G62" s="49">
        <f>'6 - B1'!G62</f>
        <v>17110</v>
      </c>
      <c r="H62" s="49">
        <f>'6 - B1'!H62</f>
        <v>16780</v>
      </c>
      <c r="I62" s="49">
        <f>'6 - B1'!I62</f>
        <v>16448</v>
      </c>
      <c r="J62" s="49">
        <f>'6 - B1'!J62</f>
        <v>16920</v>
      </c>
      <c r="K62" s="49">
        <f>'6 - B1'!K62</f>
        <v>16835</v>
      </c>
      <c r="L62" s="49">
        <f>'6 - B1'!L62</f>
        <v>16995</v>
      </c>
      <c r="M62" s="49">
        <f>'6 - B1'!M62</f>
        <v>17122</v>
      </c>
      <c r="N62" s="49">
        <f>'6 - B1'!N62</f>
        <v>16750</v>
      </c>
      <c r="O62" s="49">
        <f>'6 - B1'!O62</f>
        <v>16878</v>
      </c>
      <c r="P62" s="49">
        <f>'6 - B1'!P62</f>
        <v>17170</v>
      </c>
    </row>
    <row r="63" spans="1:16" x14ac:dyDescent="0.35">
      <c r="A63" s="51">
        <f>'6 - B1'!A63</f>
        <v>14</v>
      </c>
      <c r="B63" s="49">
        <f>'6 - B1'!B63</f>
        <v>13464</v>
      </c>
      <c r="C63" s="49">
        <f>'6 - B1'!C63</f>
        <v>13593</v>
      </c>
      <c r="D63" s="49">
        <f>'6 - B1'!D63</f>
        <v>13360</v>
      </c>
      <c r="E63" s="49">
        <f>'6 - B1'!E63</f>
        <v>13403</v>
      </c>
      <c r="F63" s="49">
        <f>'6 - B1'!F63</f>
        <v>13570</v>
      </c>
      <c r="G63" s="49">
        <f>'6 - B1'!G63</f>
        <v>13582</v>
      </c>
      <c r="H63" s="49">
        <f>'6 - B1'!H63</f>
        <v>13336</v>
      </c>
      <c r="I63" s="49">
        <f>'6 - B1'!I63</f>
        <v>13037</v>
      </c>
      <c r="J63" s="49">
        <f>'6 - B1'!J63</f>
        <v>13427</v>
      </c>
      <c r="K63" s="49">
        <f>'6 - B1'!K63</f>
        <v>13374</v>
      </c>
      <c r="L63" s="49">
        <f>'6 - B1'!L63</f>
        <v>13464</v>
      </c>
      <c r="M63" s="49">
        <f>'6 - B1'!M63</f>
        <v>13593</v>
      </c>
      <c r="N63" s="49">
        <f>'6 - B1'!N63</f>
        <v>13360</v>
      </c>
      <c r="O63" s="49">
        <f>'6 - B1'!O63</f>
        <v>13403</v>
      </c>
      <c r="P63" s="49">
        <f>'6 - B1'!P63</f>
        <v>13570</v>
      </c>
    </row>
    <row r="64" spans="1:16" x14ac:dyDescent="0.35">
      <c r="A64" s="51">
        <f>'6 - B1'!A64</f>
        <v>15</v>
      </c>
      <c r="B64" s="49">
        <f>'6 - B1'!B64</f>
        <v>10437</v>
      </c>
      <c r="C64" s="49">
        <f>'6 - B1'!C64</f>
        <v>10657</v>
      </c>
      <c r="D64" s="49">
        <f>'6 - B1'!D64</f>
        <v>10420</v>
      </c>
      <c r="E64" s="49">
        <f>'6 - B1'!E64</f>
        <v>10518</v>
      </c>
      <c r="F64" s="49">
        <f>'6 - B1'!F64</f>
        <v>10649</v>
      </c>
      <c r="G64" s="49">
        <f>'6 - B1'!G64</f>
        <v>10636</v>
      </c>
      <c r="H64" s="49">
        <f>'6 - B1'!H64</f>
        <v>10345</v>
      </c>
      <c r="I64" s="49">
        <f>'6 - B1'!I64</f>
        <v>10183</v>
      </c>
      <c r="J64" s="49">
        <f>'6 - B1'!J64</f>
        <v>10509</v>
      </c>
      <c r="K64" s="49">
        <f>'6 - B1'!K64</f>
        <v>10359</v>
      </c>
      <c r="L64" s="49">
        <f>'6 - B1'!L64</f>
        <v>10437</v>
      </c>
      <c r="M64" s="49">
        <f>'6 - B1'!M64</f>
        <v>10657</v>
      </c>
      <c r="N64" s="49">
        <f>'6 - B1'!N64</f>
        <v>10420</v>
      </c>
      <c r="O64" s="49">
        <f>'6 - B1'!O64</f>
        <v>10518</v>
      </c>
      <c r="P64" s="49">
        <f>'6 - B1'!P64</f>
        <v>10649</v>
      </c>
    </row>
    <row r="65" spans="1:16" x14ac:dyDescent="0.35">
      <c r="A65" s="51">
        <f>'6 - B1'!A65</f>
        <v>16</v>
      </c>
      <c r="B65" s="49">
        <f>'6 - B1'!B65</f>
        <v>8006</v>
      </c>
      <c r="C65" s="49">
        <f>'6 - B1'!C65</f>
        <v>8087</v>
      </c>
      <c r="D65" s="49">
        <f>'6 - B1'!D65</f>
        <v>7896</v>
      </c>
      <c r="E65" s="49">
        <f>'6 - B1'!E65</f>
        <v>8067</v>
      </c>
      <c r="F65" s="49">
        <f>'6 - B1'!F65</f>
        <v>8129</v>
      </c>
      <c r="G65" s="49">
        <f>'6 - B1'!G65</f>
        <v>8120</v>
      </c>
      <c r="H65" s="49">
        <f>'6 - B1'!H65</f>
        <v>7870</v>
      </c>
      <c r="I65" s="49">
        <f>'6 - B1'!I65</f>
        <v>7684</v>
      </c>
      <c r="J65" s="49">
        <f>'6 - B1'!J65</f>
        <v>7978</v>
      </c>
      <c r="K65" s="49">
        <f>'6 - B1'!K65</f>
        <v>7851</v>
      </c>
      <c r="L65" s="49">
        <f>'6 - B1'!L65</f>
        <v>8006</v>
      </c>
      <c r="M65" s="49">
        <f>'6 - B1'!M65</f>
        <v>8087</v>
      </c>
      <c r="N65" s="49">
        <f>'6 - B1'!N65</f>
        <v>7896</v>
      </c>
      <c r="O65" s="49">
        <f>'6 - B1'!O65</f>
        <v>8067</v>
      </c>
      <c r="P65" s="49">
        <f>'6 - B1'!P65</f>
        <v>8129</v>
      </c>
    </row>
    <row r="66" spans="1:16" x14ac:dyDescent="0.35">
      <c r="A66" s="51">
        <f>'6 - B1'!A66</f>
        <v>17</v>
      </c>
      <c r="B66" s="49">
        <f>'6 - B1'!B66</f>
        <v>6051</v>
      </c>
      <c r="C66" s="49">
        <f>'6 - B1'!C66</f>
        <v>6161</v>
      </c>
      <c r="D66" s="49">
        <f>'6 - B1'!D66</f>
        <v>5934</v>
      </c>
      <c r="E66" s="49">
        <f>'6 - B1'!E66</f>
        <v>6087</v>
      </c>
      <c r="F66" s="49">
        <f>'6 - B1'!F66</f>
        <v>6074</v>
      </c>
      <c r="G66" s="49">
        <f>'6 - B1'!G66</f>
        <v>6172</v>
      </c>
      <c r="H66" s="49">
        <f>'6 - B1'!H66</f>
        <v>5927</v>
      </c>
      <c r="I66" s="49">
        <f>'6 - B1'!I66</f>
        <v>5794</v>
      </c>
      <c r="J66" s="49">
        <f>'6 - B1'!J66</f>
        <v>5990</v>
      </c>
      <c r="K66" s="49">
        <f>'6 - B1'!K66</f>
        <v>5879</v>
      </c>
      <c r="L66" s="49">
        <f>'6 - B1'!L66</f>
        <v>6051</v>
      </c>
      <c r="M66" s="49">
        <f>'6 - B1'!M66</f>
        <v>6161</v>
      </c>
      <c r="N66" s="49">
        <f>'6 - B1'!N66</f>
        <v>5934</v>
      </c>
      <c r="O66" s="49">
        <f>'6 - B1'!O66</f>
        <v>6087</v>
      </c>
      <c r="P66" s="49">
        <f>'6 - B1'!P66</f>
        <v>6074</v>
      </c>
    </row>
    <row r="67" spans="1:16" x14ac:dyDescent="0.35">
      <c r="A67" s="51">
        <f>'6 - B1'!A67</f>
        <v>18</v>
      </c>
      <c r="B67" s="49">
        <f>'6 - B1'!B67</f>
        <v>4514</v>
      </c>
      <c r="C67" s="49">
        <f>'6 - B1'!C67</f>
        <v>4620</v>
      </c>
      <c r="D67" s="49">
        <f>'6 - B1'!D67</f>
        <v>4449</v>
      </c>
      <c r="E67" s="49">
        <f>'6 - B1'!E67</f>
        <v>4534</v>
      </c>
      <c r="F67" s="49">
        <f>'6 - B1'!F67</f>
        <v>4554</v>
      </c>
      <c r="G67" s="49">
        <f>'6 - B1'!G67</f>
        <v>4647</v>
      </c>
      <c r="H67" s="49">
        <f>'6 - B1'!H67</f>
        <v>4438</v>
      </c>
      <c r="I67" s="49">
        <f>'6 - B1'!I67</f>
        <v>4374</v>
      </c>
      <c r="J67" s="49">
        <f>'6 - B1'!J67</f>
        <v>4499</v>
      </c>
      <c r="K67" s="49">
        <f>'6 - B1'!K67</f>
        <v>4374</v>
      </c>
      <c r="L67" s="49">
        <f>'6 - B1'!L67</f>
        <v>4514</v>
      </c>
      <c r="M67" s="49">
        <f>'6 - B1'!M67</f>
        <v>4620</v>
      </c>
      <c r="N67" s="49">
        <f>'6 - B1'!N67</f>
        <v>4449</v>
      </c>
      <c r="O67" s="49">
        <f>'6 - B1'!O67</f>
        <v>4534</v>
      </c>
      <c r="P67" s="49">
        <f>'6 - B1'!P67</f>
        <v>4554</v>
      </c>
    </row>
    <row r="68" spans="1:16" x14ac:dyDescent="0.35">
      <c r="A68" s="51">
        <f>'6 - B1'!A68</f>
        <v>19</v>
      </c>
      <c r="B68" s="49">
        <f>'6 - B1'!B68</f>
        <v>3406</v>
      </c>
      <c r="C68" s="49">
        <f>'6 - B1'!C68</f>
        <v>3483</v>
      </c>
      <c r="D68" s="49">
        <f>'6 - B1'!D68</f>
        <v>3334</v>
      </c>
      <c r="E68" s="49">
        <f>'6 - B1'!E68</f>
        <v>3392</v>
      </c>
      <c r="F68" s="49">
        <f>'6 - B1'!F68</f>
        <v>3329</v>
      </c>
      <c r="G68" s="49">
        <f>'6 - B1'!G68</f>
        <v>3520</v>
      </c>
      <c r="H68" s="49">
        <f>'6 - B1'!H68</f>
        <v>3308</v>
      </c>
      <c r="I68" s="49">
        <f>'6 - B1'!I68</f>
        <v>3324</v>
      </c>
      <c r="J68" s="49">
        <f>'6 - B1'!J68</f>
        <v>3365</v>
      </c>
      <c r="K68" s="49">
        <f>'6 - B1'!K68</f>
        <v>3266</v>
      </c>
      <c r="L68" s="49">
        <f>'6 - B1'!L68</f>
        <v>3406</v>
      </c>
      <c r="M68" s="49">
        <f>'6 - B1'!M68</f>
        <v>3483</v>
      </c>
      <c r="N68" s="49">
        <f>'6 - B1'!N68</f>
        <v>3334</v>
      </c>
      <c r="O68" s="49">
        <f>'6 - B1'!O68</f>
        <v>3392</v>
      </c>
      <c r="P68" s="49">
        <f>'6 - B1'!P68</f>
        <v>3329</v>
      </c>
    </row>
    <row r="69" spans="1:16" x14ac:dyDescent="0.35">
      <c r="A69" s="51">
        <f>'6 - B1'!A69</f>
        <v>20</v>
      </c>
      <c r="B69" s="49">
        <f>'6 - B1'!B69</f>
        <v>2592</v>
      </c>
      <c r="C69" s="49">
        <f>'6 - B1'!C69</f>
        <v>2628</v>
      </c>
      <c r="D69" s="49">
        <f>'6 - B1'!D69</f>
        <v>2525</v>
      </c>
      <c r="E69" s="49">
        <f>'6 - B1'!E69</f>
        <v>2525</v>
      </c>
      <c r="F69" s="49">
        <f>'6 - B1'!F69</f>
        <v>2491</v>
      </c>
      <c r="G69" s="49">
        <f>'6 - B1'!G69</f>
        <v>2642</v>
      </c>
      <c r="H69" s="49">
        <f>'6 - B1'!H69</f>
        <v>2518</v>
      </c>
      <c r="I69" s="49">
        <f>'6 - B1'!I69</f>
        <v>2506</v>
      </c>
      <c r="J69" s="49">
        <f>'6 - B1'!J69</f>
        <v>2553</v>
      </c>
      <c r="K69" s="49">
        <f>'6 - B1'!K69</f>
        <v>2425</v>
      </c>
      <c r="L69" s="49">
        <f>'6 - B1'!L69</f>
        <v>2592</v>
      </c>
      <c r="M69" s="49">
        <f>'6 - B1'!M69</f>
        <v>2628</v>
      </c>
      <c r="N69" s="49">
        <f>'6 - B1'!N69</f>
        <v>2525</v>
      </c>
      <c r="O69" s="49">
        <f>'6 - B1'!O69</f>
        <v>2525</v>
      </c>
      <c r="P69" s="49">
        <f>'6 - B1'!P69</f>
        <v>2491</v>
      </c>
    </row>
    <row r="70" spans="1:16" x14ac:dyDescent="0.35">
      <c r="A70" s="51">
        <f>'6 - B1'!A70</f>
        <v>21</v>
      </c>
      <c r="B70" s="49">
        <f>'6 - B1'!B70</f>
        <v>1946</v>
      </c>
      <c r="C70" s="49">
        <f>'6 - B1'!C70</f>
        <v>1971</v>
      </c>
      <c r="D70" s="49">
        <f>'6 - B1'!D70</f>
        <v>1894</v>
      </c>
      <c r="E70" s="49">
        <f>'6 - B1'!E70</f>
        <v>1905</v>
      </c>
      <c r="F70" s="49">
        <f>'6 - B1'!F70</f>
        <v>1845</v>
      </c>
      <c r="G70" s="49">
        <f>'6 - B1'!G70</f>
        <v>2018</v>
      </c>
      <c r="H70" s="49">
        <f>'6 - B1'!H70</f>
        <v>1904</v>
      </c>
      <c r="I70" s="49">
        <f>'6 - B1'!I70</f>
        <v>1876</v>
      </c>
      <c r="J70" s="49">
        <f>'6 - B1'!J70</f>
        <v>1936</v>
      </c>
      <c r="K70" s="49">
        <f>'6 - B1'!K70</f>
        <v>1755</v>
      </c>
      <c r="L70" s="49">
        <f>'6 - B1'!L70</f>
        <v>1946</v>
      </c>
      <c r="M70" s="49">
        <f>'6 - B1'!M70</f>
        <v>1971</v>
      </c>
      <c r="N70" s="49">
        <f>'6 - B1'!N70</f>
        <v>1894</v>
      </c>
      <c r="O70" s="49">
        <f>'6 - B1'!O70</f>
        <v>1905</v>
      </c>
      <c r="P70" s="49">
        <f>'6 - B1'!P70</f>
        <v>1845</v>
      </c>
    </row>
    <row r="71" spans="1:16" x14ac:dyDescent="0.35">
      <c r="A71" s="51">
        <f>'6 - B1'!A71</f>
        <v>22</v>
      </c>
      <c r="B71" s="49">
        <f>'6 - B1'!B71</f>
        <v>1497</v>
      </c>
      <c r="C71" s="49">
        <f>'6 - B1'!C71</f>
        <v>1488</v>
      </c>
      <c r="D71" s="49">
        <f>'6 - B1'!D71</f>
        <v>1427</v>
      </c>
      <c r="E71" s="49">
        <f>'6 - B1'!E71</f>
        <v>1457</v>
      </c>
      <c r="F71" s="49">
        <f>'6 - B1'!F71</f>
        <v>1381</v>
      </c>
      <c r="G71" s="49">
        <f>'6 - B1'!G71</f>
        <v>1517</v>
      </c>
      <c r="H71" s="49">
        <f>'6 - B1'!H71</f>
        <v>1458</v>
      </c>
      <c r="I71" s="49">
        <f>'6 - B1'!I71</f>
        <v>1419</v>
      </c>
      <c r="J71" s="49">
        <f>'6 - B1'!J71</f>
        <v>1444</v>
      </c>
      <c r="K71" s="49">
        <f>'6 - B1'!K71</f>
        <v>1302</v>
      </c>
      <c r="L71" s="49">
        <f>'6 - B1'!L71</f>
        <v>1497</v>
      </c>
      <c r="M71" s="49">
        <f>'6 - B1'!M71</f>
        <v>1488</v>
      </c>
      <c r="N71" s="49">
        <f>'6 - B1'!N71</f>
        <v>1427</v>
      </c>
      <c r="O71" s="49">
        <f>'6 - B1'!O71</f>
        <v>1457</v>
      </c>
      <c r="P71" s="49">
        <f>'6 - B1'!P71</f>
        <v>1381</v>
      </c>
    </row>
    <row r="72" spans="1:16" x14ac:dyDescent="0.35">
      <c r="A72" s="51">
        <f>'6 - B1'!A72</f>
        <v>23</v>
      </c>
      <c r="B72" s="49">
        <f>'6 - B1'!B72</f>
        <v>1164</v>
      </c>
      <c r="C72" s="49">
        <f>'6 - B1'!C72</f>
        <v>1143</v>
      </c>
      <c r="D72" s="49">
        <f>'6 - B1'!D72</f>
        <v>1092</v>
      </c>
      <c r="E72" s="49">
        <f>'6 - B1'!E72</f>
        <v>1092</v>
      </c>
      <c r="F72" s="49">
        <f>'6 - B1'!F72</f>
        <v>1021</v>
      </c>
      <c r="G72" s="49">
        <f>'6 - B1'!G72</f>
        <v>1152</v>
      </c>
      <c r="H72" s="49">
        <f>'6 - B1'!H72</f>
        <v>1110</v>
      </c>
      <c r="I72" s="49">
        <f>'6 - B1'!I72</f>
        <v>1106</v>
      </c>
      <c r="J72" s="49">
        <f>'6 - B1'!J72</f>
        <v>1091</v>
      </c>
      <c r="K72" s="49">
        <f>'6 - B1'!K72</f>
        <v>966</v>
      </c>
      <c r="L72" s="49">
        <f>'6 - B1'!L72</f>
        <v>1164</v>
      </c>
      <c r="M72" s="49">
        <f>'6 - B1'!M72</f>
        <v>1143</v>
      </c>
      <c r="N72" s="49">
        <f>'6 - B1'!N72</f>
        <v>1092</v>
      </c>
      <c r="O72" s="49">
        <f>'6 - B1'!O72</f>
        <v>1092</v>
      </c>
      <c r="P72" s="49">
        <f>'6 - B1'!P72</f>
        <v>1021</v>
      </c>
    </row>
    <row r="73" spans="1:16" x14ac:dyDescent="0.35">
      <c r="A73" s="51">
        <f>'6 - B1'!A73</f>
        <v>24</v>
      </c>
      <c r="B73" s="49">
        <f>'6 - B1'!B73</f>
        <v>867</v>
      </c>
      <c r="C73" s="49">
        <f>'6 - B1'!C73</f>
        <v>850</v>
      </c>
      <c r="D73" s="49">
        <f>'6 - B1'!D73</f>
        <v>848</v>
      </c>
      <c r="E73" s="49">
        <f>'6 - B1'!E73</f>
        <v>810</v>
      </c>
      <c r="F73" s="49">
        <f>'6 - B1'!F73</f>
        <v>779</v>
      </c>
      <c r="G73" s="49">
        <f>'6 - B1'!G73</f>
        <v>858</v>
      </c>
      <c r="H73" s="49">
        <f>'6 - B1'!H73</f>
        <v>853</v>
      </c>
      <c r="I73" s="49">
        <f>'6 - B1'!I73</f>
        <v>815</v>
      </c>
      <c r="J73" s="49">
        <f>'6 - B1'!J73</f>
        <v>816</v>
      </c>
      <c r="K73" s="49">
        <f>'6 - B1'!K73</f>
        <v>724</v>
      </c>
      <c r="L73" s="49">
        <f>'6 - B1'!L73</f>
        <v>867</v>
      </c>
      <c r="M73" s="49">
        <f>'6 - B1'!M73</f>
        <v>850</v>
      </c>
      <c r="N73" s="49">
        <f>'6 - B1'!N73</f>
        <v>848</v>
      </c>
      <c r="O73" s="49">
        <f>'6 - B1'!O73</f>
        <v>810</v>
      </c>
      <c r="P73" s="49">
        <f>'6 - B1'!P73</f>
        <v>779</v>
      </c>
    </row>
    <row r="74" spans="1:16" x14ac:dyDescent="0.35">
      <c r="A74" s="51">
        <f>'6 - B1'!A74</f>
        <v>25</v>
      </c>
      <c r="B74" s="49">
        <f>'6 - B1'!B74</f>
        <v>652</v>
      </c>
      <c r="C74" s="49">
        <f>'6 - B1'!C74</f>
        <v>624</v>
      </c>
      <c r="D74" s="49">
        <f>'6 - B1'!D74</f>
        <v>630</v>
      </c>
      <c r="E74" s="49">
        <f>'6 - B1'!E74</f>
        <v>579</v>
      </c>
      <c r="F74" s="49">
        <f>'6 - B1'!F74</f>
        <v>590</v>
      </c>
      <c r="G74" s="49">
        <f>'6 - B1'!G74</f>
        <v>628</v>
      </c>
      <c r="H74" s="49">
        <f>'6 - B1'!H74</f>
        <v>632</v>
      </c>
      <c r="I74" s="49">
        <f>'6 - B1'!I74</f>
        <v>599</v>
      </c>
      <c r="J74" s="49">
        <f>'6 - B1'!J74</f>
        <v>591</v>
      </c>
      <c r="K74" s="49">
        <f>'6 - B1'!K74</f>
        <v>564</v>
      </c>
      <c r="L74" s="49">
        <f>'6 - B1'!L74</f>
        <v>652</v>
      </c>
      <c r="M74" s="49">
        <f>'6 - B1'!M74</f>
        <v>624</v>
      </c>
      <c r="N74" s="49">
        <f>'6 - B1'!N74</f>
        <v>630</v>
      </c>
      <c r="O74" s="49">
        <f>'6 - B1'!O74</f>
        <v>579</v>
      </c>
      <c r="P74" s="49">
        <f>'6 - B1'!P74</f>
        <v>590</v>
      </c>
    </row>
    <row r="75" spans="1:16" x14ac:dyDescent="0.35">
      <c r="A75" s="51">
        <f>'6 - B1'!A75</f>
        <v>26</v>
      </c>
      <c r="B75" s="49">
        <f>'6 - B1'!B75</f>
        <v>474</v>
      </c>
      <c r="C75" s="49">
        <f>'6 - B1'!C75</f>
        <v>465</v>
      </c>
      <c r="D75" s="49">
        <f>'6 - B1'!D75</f>
        <v>457</v>
      </c>
      <c r="E75" s="49">
        <f>'6 - B1'!E75</f>
        <v>405</v>
      </c>
      <c r="F75" s="49">
        <f>'6 - B1'!F75</f>
        <v>405</v>
      </c>
      <c r="G75" s="49">
        <f>'6 - B1'!G75</f>
        <v>466</v>
      </c>
      <c r="H75" s="49">
        <f>'6 - B1'!H75</f>
        <v>480</v>
      </c>
      <c r="I75" s="49">
        <f>'6 - B1'!I75</f>
        <v>455</v>
      </c>
      <c r="J75" s="49">
        <f>'6 - B1'!J75</f>
        <v>418</v>
      </c>
      <c r="K75" s="49">
        <f>'6 - B1'!K75</f>
        <v>393</v>
      </c>
      <c r="L75" s="49">
        <f>'6 - B1'!L75</f>
        <v>474</v>
      </c>
      <c r="M75" s="49">
        <f>'6 - B1'!M75</f>
        <v>465</v>
      </c>
      <c r="N75" s="49">
        <f>'6 - B1'!N75</f>
        <v>457</v>
      </c>
      <c r="O75" s="49">
        <f>'6 - B1'!O75</f>
        <v>405</v>
      </c>
      <c r="P75" s="49">
        <f>'6 - B1'!P75</f>
        <v>405</v>
      </c>
    </row>
    <row r="76" spans="1:16" x14ac:dyDescent="0.35">
      <c r="A76" s="51">
        <f>'6 - B1'!A76</f>
        <v>27</v>
      </c>
      <c r="B76" s="49">
        <f>'6 - B1'!B76</f>
        <v>349</v>
      </c>
      <c r="C76" s="49">
        <f>'6 - B1'!C76</f>
        <v>341</v>
      </c>
      <c r="D76" s="49">
        <f>'6 - B1'!D76</f>
        <v>323</v>
      </c>
      <c r="E76" s="49">
        <f>'6 - B1'!E76</f>
        <v>273</v>
      </c>
      <c r="F76" s="49">
        <f>'6 - B1'!F76</f>
        <v>292</v>
      </c>
      <c r="G76" s="49">
        <f>'6 - B1'!G76</f>
        <v>354</v>
      </c>
      <c r="H76" s="49">
        <f>'6 - B1'!H76</f>
        <v>360</v>
      </c>
      <c r="I76" s="49">
        <f>'6 - B1'!I76</f>
        <v>325</v>
      </c>
      <c r="J76" s="49">
        <f>'6 - B1'!J76</f>
        <v>299</v>
      </c>
      <c r="K76" s="49">
        <f>'6 - B1'!K76</f>
        <v>273</v>
      </c>
      <c r="L76" s="49">
        <f>'6 - B1'!L76</f>
        <v>349</v>
      </c>
      <c r="M76" s="49">
        <f>'6 - B1'!M76</f>
        <v>341</v>
      </c>
      <c r="N76" s="49">
        <f>'6 - B1'!N76</f>
        <v>323</v>
      </c>
      <c r="O76" s="49">
        <f>'6 - B1'!O76</f>
        <v>273</v>
      </c>
      <c r="P76" s="49">
        <f>'6 - B1'!P76</f>
        <v>292</v>
      </c>
    </row>
    <row r="77" spans="1:16" x14ac:dyDescent="0.35">
      <c r="A77" s="51">
        <f>'6 - B1'!A77</f>
        <v>28</v>
      </c>
      <c r="B77" s="49">
        <f>'6 - B1'!B77</f>
        <v>242</v>
      </c>
      <c r="C77" s="49">
        <f>'6 - B1'!C77</f>
        <v>247</v>
      </c>
      <c r="D77" s="49">
        <f>'6 - B1'!D77</f>
        <v>233</v>
      </c>
      <c r="E77" s="49">
        <f>'6 - B1'!E77</f>
        <v>184</v>
      </c>
      <c r="F77" s="49">
        <f>'6 - B1'!F77</f>
        <v>209</v>
      </c>
      <c r="G77" s="49">
        <f>'6 - B1'!G77</f>
        <v>242</v>
      </c>
      <c r="H77" s="49">
        <f>'6 - B1'!H77</f>
        <v>246</v>
      </c>
      <c r="I77" s="49">
        <f>'6 - B1'!I77</f>
        <v>235</v>
      </c>
      <c r="J77" s="49">
        <f>'6 - B1'!J77</f>
        <v>206</v>
      </c>
      <c r="K77" s="49">
        <f>'6 - B1'!K77</f>
        <v>188</v>
      </c>
      <c r="L77" s="49">
        <f>'6 - B1'!L77</f>
        <v>242</v>
      </c>
      <c r="M77" s="49">
        <f>'6 - B1'!M77</f>
        <v>247</v>
      </c>
      <c r="N77" s="49">
        <f>'6 - B1'!N77</f>
        <v>233</v>
      </c>
      <c r="O77" s="49">
        <f>'6 - B1'!O77</f>
        <v>184</v>
      </c>
      <c r="P77" s="49">
        <f>'6 - B1'!P77</f>
        <v>209</v>
      </c>
    </row>
    <row r="78" spans="1:16" x14ac:dyDescent="0.35">
      <c r="A78" s="51">
        <f>'6 - B1'!A78</f>
        <v>29</v>
      </c>
      <c r="B78" s="49">
        <f>'6 - B1'!B78</f>
        <v>164</v>
      </c>
      <c r="C78" s="49">
        <f>'6 - B1'!C78</f>
        <v>179</v>
      </c>
      <c r="D78" s="49">
        <f>'6 - B1'!D78</f>
        <v>148</v>
      </c>
      <c r="E78" s="49">
        <f>'6 - B1'!E78</f>
        <v>113</v>
      </c>
      <c r="F78" s="49">
        <f>'6 - B1'!F78</f>
        <v>145</v>
      </c>
      <c r="G78" s="49">
        <f>'6 - B1'!G78</f>
        <v>171</v>
      </c>
      <c r="H78" s="49">
        <f>'6 - B1'!H78</f>
        <v>160</v>
      </c>
      <c r="I78" s="49">
        <f>'6 - B1'!I78</f>
        <v>157</v>
      </c>
      <c r="J78" s="49">
        <f>'6 - B1'!J78</f>
        <v>132</v>
      </c>
      <c r="K78" s="49">
        <f>'6 - B1'!K78</f>
        <v>124</v>
      </c>
      <c r="L78" s="49">
        <f>'6 - B1'!L78</f>
        <v>164</v>
      </c>
      <c r="M78" s="49">
        <f>'6 - B1'!M78</f>
        <v>179</v>
      </c>
      <c r="N78" s="49">
        <f>'6 - B1'!N78</f>
        <v>148</v>
      </c>
      <c r="O78" s="49">
        <f>'6 - B1'!O78</f>
        <v>113</v>
      </c>
      <c r="P78" s="49">
        <f>'6 - B1'!P78</f>
        <v>145</v>
      </c>
    </row>
    <row r="79" spans="1:16" x14ac:dyDescent="0.35">
      <c r="A79" s="51">
        <f>'6 - B1'!A79</f>
        <v>30</v>
      </c>
      <c r="B79" s="49">
        <f>'6 - B1'!B79</f>
        <v>102</v>
      </c>
      <c r="C79" s="49">
        <f>'6 - B1'!C79</f>
        <v>117</v>
      </c>
      <c r="D79" s="49">
        <f>'6 - B1'!D79</f>
        <v>105</v>
      </c>
      <c r="E79" s="49">
        <f>'6 - B1'!E79</f>
        <v>83</v>
      </c>
      <c r="F79" s="49">
        <f>'6 - B1'!F79</f>
        <v>93</v>
      </c>
      <c r="G79" s="49">
        <f>'6 - B1'!G79</f>
        <v>111</v>
      </c>
      <c r="H79" s="49">
        <f>'6 - B1'!H79</f>
        <v>120</v>
      </c>
      <c r="I79" s="49">
        <f>'6 - B1'!I79</f>
        <v>101</v>
      </c>
      <c r="J79" s="49">
        <f>'6 - B1'!J79</f>
        <v>97</v>
      </c>
      <c r="K79" s="49">
        <f>'6 - B1'!K79</f>
        <v>73</v>
      </c>
      <c r="L79" s="49">
        <f>'6 - B1'!L79</f>
        <v>102</v>
      </c>
      <c r="M79" s="49">
        <f>'6 - B1'!M79</f>
        <v>117</v>
      </c>
      <c r="N79" s="49">
        <f>'6 - B1'!N79</f>
        <v>105</v>
      </c>
      <c r="O79" s="49">
        <f>'6 - B1'!O79</f>
        <v>83</v>
      </c>
      <c r="P79" s="49">
        <f>'6 - B1'!P79</f>
        <v>93</v>
      </c>
    </row>
    <row r="80" spans="1:16" x14ac:dyDescent="0.35">
      <c r="A80" s="51">
        <f>'6 - B1'!A80</f>
        <v>38</v>
      </c>
      <c r="B80" s="49">
        <f>'6 - B1'!B80</f>
        <v>73</v>
      </c>
      <c r="C80" s="49">
        <f>'6 - B1'!C80</f>
        <v>84</v>
      </c>
      <c r="D80" s="49">
        <f>'6 - B1'!D80</f>
        <v>73</v>
      </c>
      <c r="E80" s="49">
        <f>'6 - B1'!E80</f>
        <v>54</v>
      </c>
      <c r="F80" s="49">
        <f>'6 - B1'!F80</f>
        <v>57</v>
      </c>
      <c r="G80" s="49">
        <f>'6 - B1'!G80</f>
        <v>71</v>
      </c>
      <c r="H80" s="49">
        <f>'6 - B1'!H80</f>
        <v>86</v>
      </c>
      <c r="I80" s="49">
        <f>'6 - B1'!I80</f>
        <v>81</v>
      </c>
      <c r="J80" s="49">
        <f>'6 - B1'!J80</f>
        <v>69</v>
      </c>
      <c r="K80" s="49">
        <f>'6 - B1'!K80</f>
        <v>51</v>
      </c>
      <c r="L80" s="49">
        <f>'6 - B1'!L80</f>
        <v>73</v>
      </c>
      <c r="M80" s="49">
        <f>'6 - B1'!M80</f>
        <v>84</v>
      </c>
      <c r="N80" s="49">
        <f>'6 - B1'!N80</f>
        <v>73</v>
      </c>
      <c r="O80" s="49">
        <f>'6 - B1'!O80</f>
        <v>54</v>
      </c>
      <c r="P80" s="49">
        <f>'6 - B1'!P80</f>
        <v>57</v>
      </c>
    </row>
    <row r="81" spans="1:16" x14ac:dyDescent="0.35">
      <c r="A81" s="51">
        <f>'6 - B1'!A81</f>
        <v>50</v>
      </c>
      <c r="B81" s="49">
        <f>'6 - B1'!B81</f>
        <v>52</v>
      </c>
      <c r="C81" s="49">
        <f>'6 - B1'!C81</f>
        <v>55</v>
      </c>
      <c r="D81" s="49">
        <f>'6 - B1'!D81</f>
        <v>35</v>
      </c>
      <c r="E81" s="49">
        <f>'6 - B1'!E81</f>
        <v>32</v>
      </c>
      <c r="F81" s="49">
        <f>'6 - B1'!F81</f>
        <v>31</v>
      </c>
      <c r="G81" s="49">
        <f>'6 - B1'!G81</f>
        <v>53</v>
      </c>
      <c r="H81" s="49">
        <f>'6 - B1'!H81</f>
        <v>58</v>
      </c>
      <c r="I81" s="49">
        <f>'6 - B1'!I81</f>
        <v>52</v>
      </c>
      <c r="J81" s="49">
        <f>'6 - B1'!J81</f>
        <v>40</v>
      </c>
      <c r="K81" s="49">
        <f>'6 - B1'!K81</f>
        <v>31</v>
      </c>
      <c r="L81" s="49">
        <f>'6 - B1'!L81</f>
        <v>52</v>
      </c>
      <c r="M81" s="49">
        <f>'6 - B1'!M81</f>
        <v>55</v>
      </c>
      <c r="N81" s="49">
        <f>'6 - B1'!N81</f>
        <v>35</v>
      </c>
      <c r="O81" s="49">
        <f>'6 - B1'!O81</f>
        <v>32</v>
      </c>
      <c r="P81" s="49">
        <f>'6 - B1'!P81</f>
        <v>31</v>
      </c>
    </row>
    <row r="82" spans="1:16" x14ac:dyDescent="0.35">
      <c r="A82" s="51">
        <f>'6 - B1'!A82</f>
        <v>70</v>
      </c>
      <c r="B82" s="49">
        <f>'6 - B1'!B82</f>
        <v>37</v>
      </c>
      <c r="C82" s="49">
        <f>'6 - B1'!C82</f>
        <v>35</v>
      </c>
      <c r="D82" s="49">
        <f>'6 - B1'!D82</f>
        <v>20</v>
      </c>
      <c r="E82" s="49">
        <f>'6 - B1'!E82</f>
        <v>14</v>
      </c>
      <c r="F82" s="49">
        <f>'6 - B1'!F82</f>
        <v>20</v>
      </c>
      <c r="G82" s="49">
        <f>'6 - B1'!G82</f>
        <v>41</v>
      </c>
      <c r="H82" s="49">
        <f>'6 - B1'!H82</f>
        <v>40</v>
      </c>
      <c r="I82" s="49">
        <f>'6 - B1'!I82</f>
        <v>32</v>
      </c>
      <c r="J82" s="49">
        <f>'6 - B1'!J82</f>
        <v>25</v>
      </c>
      <c r="K82" s="49">
        <f>'6 - B1'!K82</f>
        <v>20</v>
      </c>
      <c r="L82" s="49">
        <f>'6 - B1'!L82</f>
        <v>37</v>
      </c>
      <c r="M82" s="49">
        <f>'6 - B1'!M82</f>
        <v>35</v>
      </c>
      <c r="N82" s="49">
        <f>'6 - B1'!N82</f>
        <v>20</v>
      </c>
      <c r="O82" s="49">
        <f>'6 - B1'!O82</f>
        <v>14</v>
      </c>
      <c r="P82" s="49">
        <f>'6 - B1'!P82</f>
        <v>20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B10" sqref="B10"/>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36" t="str">
        <f>'6 - B1'!$B$3</f>
        <v>11171-00009</v>
      </c>
    </row>
    <row r="4" spans="1:49" ht="17.100000000000001" customHeight="1" x14ac:dyDescent="1.05">
      <c r="A4" s="27" t="str">
        <f>'6 - B1'!$A$4</f>
        <v>Date</v>
      </c>
      <c r="B4" s="136">
        <f>'6 - B1'!$B$4</f>
        <v>46098</v>
      </c>
      <c r="D4" t="s">
        <v>181</v>
      </c>
      <c r="E4" s="30">
        <f>'Clause 6'!$D$18</f>
        <v>1</v>
      </c>
      <c r="O4" s="28"/>
    </row>
    <row r="5" spans="1:49" ht="13.9" x14ac:dyDescent="0.4">
      <c r="A5" s="27" t="str">
        <f>'6 - B1'!$A$5</f>
        <v>RM</v>
      </c>
      <c r="B5" s="136" t="str">
        <f>'6 - B1'!$B$5</f>
        <v>Partistan 37D</v>
      </c>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L52/$E$4</f>
        <v>4.4694779999999996</v>
      </c>
      <c r="C8" s="30">
        <f t="shared" ref="C8:F8" si="0">M52/$E$4</f>
        <v>4.4241450000000002</v>
      </c>
      <c r="D8" s="30">
        <f t="shared" si="0"/>
        <v>4.4558520000000001</v>
      </c>
      <c r="E8" s="30">
        <f t="shared" si="0"/>
        <v>4.4696800000000003</v>
      </c>
      <c r="F8" s="30">
        <f t="shared" si="0"/>
        <v>4.4398780000000002</v>
      </c>
      <c r="G8" s="31">
        <f>AVERAGE(B$8:F$8)*5</f>
        <v>22.259033000000002</v>
      </c>
      <c r="I8" s="32"/>
      <c r="K8" s="32"/>
      <c r="O8" s="81"/>
      <c r="P8" s="81"/>
      <c r="Q8" s="81"/>
      <c r="R8" s="81"/>
      <c r="S8" s="81"/>
    </row>
    <row r="9" spans="1:49" x14ac:dyDescent="0.35">
      <c r="A9" s="11" t="s">
        <v>63</v>
      </c>
      <c r="B9" s="30">
        <f t="shared" ref="B9:F18" si="1">B53*$E$4/B$8</f>
        <v>17465.574279591488</v>
      </c>
      <c r="C9" s="30">
        <f t="shared" si="1"/>
        <v>17725.684849841044</v>
      </c>
      <c r="D9" s="30">
        <f t="shared" si="1"/>
        <v>17448.066048872359</v>
      </c>
      <c r="E9" s="30">
        <f t="shared" si="1"/>
        <v>17335.469205849186</v>
      </c>
      <c r="F9" s="30">
        <f t="shared" si="1"/>
        <v>17752.289589939181</v>
      </c>
      <c r="G9" s="22">
        <f t="shared" ref="G9:G38" si="2">AVERAGE(B9:F9)</f>
        <v>17545.416794818651</v>
      </c>
      <c r="H9" s="34">
        <f t="shared" ref="H9:H38" si="3">G9*G$8</f>
        <v>390544.01143462263</v>
      </c>
      <c r="I9" s="32">
        <f t="shared" ref="I9:I38" si="4">STDEVP(B9:F9)/G9</f>
        <v>9.3729531760169387E-3</v>
      </c>
      <c r="J9" s="32">
        <f t="shared" ref="J9:J38" si="5">IF(H9&gt;$A$43, $C$43, IF(H9&gt;$A$44, $C$44, IF(H9&gt;$A$45,$C$45,IF(H9&gt;$A$46,$C$46, IF(H9&gt;$A$47,$C$47,IF(H9&gt;$A$48,$C$48,$C$49))))))/100</f>
        <v>0.11</v>
      </c>
      <c r="K9" s="32">
        <f t="shared" ref="K9:K38" si="6">(MAX(B9:F9)-MIN(B9:F9))/G9</f>
        <v>2.3756653316613519E-2</v>
      </c>
      <c r="L9" s="16">
        <f>G9/'Clause 6'!$I$11</f>
        <v>17545.416794818651</v>
      </c>
      <c r="M9">
        <f t="shared" ref="M9:M38" si="7">COUNTA(B9:F9)</f>
        <v>5</v>
      </c>
      <c r="O9" s="82">
        <f>IF(ISNUMBER(B9), (B9/$G9-1), 0)</f>
        <v>-4.5506194672297884E-3</v>
      </c>
      <c r="P9" s="82">
        <f t="shared" ref="P9:S38" si="8">IF(ISNUMBER(C9), (C9/$G9-1), 0)</f>
        <v>1.0274367211135615E-2</v>
      </c>
      <c r="Q9" s="82">
        <f t="shared" si="8"/>
        <v>-5.5485000490294034E-3</v>
      </c>
      <c r="R9" s="82">
        <f t="shared" si="8"/>
        <v>-1.1965950505744893E-2</v>
      </c>
      <c r="S9" s="82">
        <f t="shared" si="8"/>
        <v>1.1790702810868581E-2</v>
      </c>
    </row>
    <row r="10" spans="1:49" x14ac:dyDescent="0.35">
      <c r="A10" s="11" t="s">
        <v>64</v>
      </c>
      <c r="B10" s="30">
        <f t="shared" si="1"/>
        <v>14971.994492421711</v>
      </c>
      <c r="C10" s="30">
        <f t="shared" si="1"/>
        <v>15181.012376402672</v>
      </c>
      <c r="D10" s="30">
        <f t="shared" si="1"/>
        <v>14935.864117569434</v>
      </c>
      <c r="E10" s="30">
        <f t="shared" si="1"/>
        <v>14853.1885951567</v>
      </c>
      <c r="F10" s="30">
        <f t="shared" si="1"/>
        <v>15174.06559369424</v>
      </c>
      <c r="G10" s="22">
        <f t="shared" si="2"/>
        <v>15023.225035048952</v>
      </c>
      <c r="H10" s="34">
        <f t="shared" si="3"/>
        <v>334402.46182158083</v>
      </c>
      <c r="I10" s="32">
        <f t="shared" si="4"/>
        <v>8.7711842826180674E-3</v>
      </c>
      <c r="J10" s="32">
        <f t="shared" si="5"/>
        <v>0.11</v>
      </c>
      <c r="K10" s="32">
        <f t="shared" si="6"/>
        <v>2.1821132312214199E-2</v>
      </c>
      <c r="L10" s="16">
        <f>G10/'Clause 6'!$I$11</f>
        <v>15023.225035048952</v>
      </c>
      <c r="M10">
        <f t="shared" si="7"/>
        <v>5</v>
      </c>
      <c r="O10" s="82">
        <f t="shared" ref="O10:O38" si="9">IF(ISNUMBER(B10), (B10/$G10-1), 0)</f>
        <v>-3.4100895452022773E-3</v>
      </c>
      <c r="P10" s="82">
        <f t="shared" si="8"/>
        <v>1.0502894084699177E-2</v>
      </c>
      <c r="Q10" s="82">
        <f t="shared" si="8"/>
        <v>-5.815057504344523E-3</v>
      </c>
      <c r="R10" s="82">
        <f t="shared" si="8"/>
        <v>-1.1318238227514987E-2</v>
      </c>
      <c r="S10" s="82">
        <f t="shared" si="8"/>
        <v>1.0040491192362389E-2</v>
      </c>
    </row>
    <row r="11" spans="1:49" x14ac:dyDescent="0.35">
      <c r="A11" s="11" t="s">
        <v>65</v>
      </c>
      <c r="B11" s="30">
        <f t="shared" si="1"/>
        <v>12963.48253643938</v>
      </c>
      <c r="C11" s="30">
        <f t="shared" si="1"/>
        <v>13147.399101973375</v>
      </c>
      <c r="D11" s="30">
        <f t="shared" si="1"/>
        <v>12915.823954655585</v>
      </c>
      <c r="E11" s="30">
        <f t="shared" si="1"/>
        <v>12900.476096722807</v>
      </c>
      <c r="F11" s="30">
        <f t="shared" si="1"/>
        <v>13138.874536642674</v>
      </c>
      <c r="G11" s="22">
        <f t="shared" si="2"/>
        <v>13013.211245286764</v>
      </c>
      <c r="H11" s="34">
        <f t="shared" si="3"/>
        <v>289661.49854480923</v>
      </c>
      <c r="I11" s="32">
        <f t="shared" si="4"/>
        <v>8.3095040003947993E-3</v>
      </c>
      <c r="J11" s="32">
        <f t="shared" si="5"/>
        <v>0.11</v>
      </c>
      <c r="K11" s="32">
        <f t="shared" si="6"/>
        <v>1.8974794199241241E-2</v>
      </c>
      <c r="L11" s="16">
        <f>G11/'Clause 6'!$I$11</f>
        <v>13013.211245286764</v>
      </c>
      <c r="M11">
        <f t="shared" si="7"/>
        <v>5</v>
      </c>
      <c r="O11" s="82">
        <f t="shared" si="9"/>
        <v>-3.821401797761137E-3</v>
      </c>
      <c r="P11" s="82">
        <f t="shared" si="8"/>
        <v>1.0311663597654341E-2</v>
      </c>
      <c r="Q11" s="82">
        <f t="shared" si="8"/>
        <v>-7.483724716022877E-3</v>
      </c>
      <c r="R11" s="82">
        <f t="shared" si="8"/>
        <v>-8.6631306015868548E-3</v>
      </c>
      <c r="S11" s="82">
        <f t="shared" si="8"/>
        <v>9.6565935177164164E-3</v>
      </c>
    </row>
    <row r="12" spans="1:49" x14ac:dyDescent="0.35">
      <c r="A12" s="11" t="s">
        <v>66</v>
      </c>
      <c r="B12" s="30">
        <f t="shared" si="1"/>
        <v>11091.45184292215</v>
      </c>
      <c r="C12" s="30">
        <f t="shared" si="1"/>
        <v>11239.911892580374</v>
      </c>
      <c r="D12" s="30">
        <f t="shared" si="1"/>
        <v>11035.151077728793</v>
      </c>
      <c r="E12" s="30">
        <f t="shared" si="1"/>
        <v>10996.760394480141</v>
      </c>
      <c r="F12" s="30">
        <f t="shared" si="1"/>
        <v>11227.110294472055</v>
      </c>
      <c r="G12" s="22">
        <f t="shared" si="2"/>
        <v>11118.077100436702</v>
      </c>
      <c r="H12" s="34">
        <f t="shared" si="3"/>
        <v>247477.64507516488</v>
      </c>
      <c r="I12" s="32">
        <f t="shared" si="4"/>
        <v>8.9071722924873135E-3</v>
      </c>
      <c r="J12" s="32">
        <f t="shared" si="5"/>
        <v>0.11</v>
      </c>
      <c r="K12" s="32">
        <f t="shared" si="6"/>
        <v>2.1869923720054273E-2</v>
      </c>
      <c r="L12" s="16">
        <f>G12/'Clause 6'!$I$11</f>
        <v>11118.077100436702</v>
      </c>
      <c r="M12">
        <f t="shared" si="7"/>
        <v>5</v>
      </c>
      <c r="O12" s="82">
        <f t="shared" si="9"/>
        <v>-2.3947718003777263E-3</v>
      </c>
      <c r="P12" s="82">
        <f t="shared" si="8"/>
        <v>1.0958261131224445E-2</v>
      </c>
      <c r="Q12" s="82">
        <f t="shared" si="8"/>
        <v>-7.4586659148686563E-3</v>
      </c>
      <c r="R12" s="82">
        <f t="shared" si="8"/>
        <v>-1.0911662588829807E-2</v>
      </c>
      <c r="S12" s="82">
        <f t="shared" si="8"/>
        <v>9.8068391728520776E-3</v>
      </c>
    </row>
    <row r="13" spans="1:49" x14ac:dyDescent="0.35">
      <c r="A13" s="11" t="s">
        <v>67</v>
      </c>
      <c r="B13" s="30">
        <f t="shared" si="1"/>
        <v>9510.7303358468271</v>
      </c>
      <c r="C13" s="30">
        <f t="shared" si="1"/>
        <v>9625.5886730656421</v>
      </c>
      <c r="D13" s="30">
        <f t="shared" si="1"/>
        <v>9425.5823577623305</v>
      </c>
      <c r="E13" s="30">
        <f t="shared" si="1"/>
        <v>9421.2561078197978</v>
      </c>
      <c r="F13" s="30">
        <f t="shared" si="1"/>
        <v>9619.4084612234838</v>
      </c>
      <c r="G13" s="22">
        <f t="shared" si="2"/>
        <v>9520.513187143617</v>
      </c>
      <c r="H13" s="34">
        <f t="shared" si="3"/>
        <v>211917.41720956497</v>
      </c>
      <c r="I13" s="32">
        <f t="shared" si="4"/>
        <v>9.3689446013618932E-3</v>
      </c>
      <c r="J13" s="32">
        <f t="shared" si="5"/>
        <v>0.11</v>
      </c>
      <c r="K13" s="32">
        <f t="shared" si="6"/>
        <v>2.1462347798832153E-2</v>
      </c>
      <c r="L13" s="16">
        <f>G13/'Clause 6'!$I$11</f>
        <v>9520.513187143617</v>
      </c>
      <c r="M13">
        <f t="shared" si="7"/>
        <v>5</v>
      </c>
      <c r="O13" s="82">
        <f t="shared" si="9"/>
        <v>-1.027555038734751E-3</v>
      </c>
      <c r="P13" s="82">
        <f t="shared" si="8"/>
        <v>1.1036746009019494E-2</v>
      </c>
      <c r="Q13" s="82">
        <f t="shared" si="8"/>
        <v>-9.9711882663510165E-3</v>
      </c>
      <c r="R13" s="82">
        <f t="shared" si="8"/>
        <v>-1.0425601789812666E-2</v>
      </c>
      <c r="S13" s="82">
        <f t="shared" si="8"/>
        <v>1.0387599085878385E-2</v>
      </c>
    </row>
    <row r="14" spans="1:49" x14ac:dyDescent="0.35">
      <c r="A14" s="11" t="s">
        <v>68</v>
      </c>
      <c r="B14" s="30">
        <f t="shared" si="1"/>
        <v>8111.9092654667957</v>
      </c>
      <c r="C14" s="30">
        <f t="shared" si="1"/>
        <v>8196.3859683622486</v>
      </c>
      <c r="D14" s="30">
        <f t="shared" si="1"/>
        <v>8016.6486678641932</v>
      </c>
      <c r="E14" s="30">
        <f t="shared" si="1"/>
        <v>8025.1830108643117</v>
      </c>
      <c r="F14" s="30">
        <f t="shared" si="1"/>
        <v>8197.2973131243689</v>
      </c>
      <c r="G14" s="22">
        <f t="shared" si="2"/>
        <v>8109.4848451363841</v>
      </c>
      <c r="H14" s="34">
        <f t="shared" si="3"/>
        <v>180509.29078089067</v>
      </c>
      <c r="I14" s="32">
        <f t="shared" si="4"/>
        <v>9.7086986135463595E-3</v>
      </c>
      <c r="J14" s="32">
        <f t="shared" si="5"/>
        <v>0.11</v>
      </c>
      <c r="K14" s="32">
        <f t="shared" si="6"/>
        <v>2.2276217134620913E-2</v>
      </c>
      <c r="L14" s="16">
        <f>G14/'Clause 6'!$I$11</f>
        <v>8109.4848451363841</v>
      </c>
      <c r="M14">
        <f t="shared" si="7"/>
        <v>5</v>
      </c>
      <c r="O14" s="82">
        <f t="shared" si="9"/>
        <v>2.9896107788718318E-4</v>
      </c>
      <c r="P14" s="82">
        <f t="shared" si="8"/>
        <v>1.0715985649567328E-2</v>
      </c>
      <c r="Q14" s="82">
        <f t="shared" si="8"/>
        <v>-1.1447851379593921E-2</v>
      </c>
      <c r="R14" s="82">
        <f t="shared" si="8"/>
        <v>-1.0395461102887693E-2</v>
      </c>
      <c r="S14" s="82">
        <f t="shared" si="8"/>
        <v>1.0828365755026992E-2</v>
      </c>
    </row>
    <row r="15" spans="1:49" x14ac:dyDescent="0.35">
      <c r="A15" s="11" t="s">
        <v>69</v>
      </c>
      <c r="B15" s="30">
        <f t="shared" si="1"/>
        <v>6894.7648920075235</v>
      </c>
      <c r="C15" s="30">
        <f t="shared" si="1"/>
        <v>6974.4549511826572</v>
      </c>
      <c r="D15" s="30">
        <f t="shared" si="1"/>
        <v>6779.1748918052035</v>
      </c>
      <c r="E15" s="30">
        <f t="shared" si="1"/>
        <v>6775.4291134935829</v>
      </c>
      <c r="F15" s="30">
        <f t="shared" si="1"/>
        <v>6961.2273130027443</v>
      </c>
      <c r="G15" s="22">
        <f t="shared" si="2"/>
        <v>6877.0102322983421</v>
      </c>
      <c r="H15" s="34">
        <f t="shared" si="3"/>
        <v>153075.59770206647</v>
      </c>
      <c r="I15" s="32">
        <f t="shared" si="4"/>
        <v>1.2473893497198289E-2</v>
      </c>
      <c r="J15" s="32">
        <f t="shared" si="5"/>
        <v>0.11</v>
      </c>
      <c r="K15" s="32">
        <f t="shared" si="6"/>
        <v>2.8940750553828755E-2</v>
      </c>
      <c r="L15" s="16">
        <f>G15/'Clause 6'!$I$11</f>
        <v>6877.0102322983421</v>
      </c>
      <c r="M15">
        <f t="shared" si="7"/>
        <v>5</v>
      </c>
      <c r="O15" s="82">
        <f t="shared" si="9"/>
        <v>2.5817410632595905E-3</v>
      </c>
      <c r="P15" s="82">
        <f t="shared" si="8"/>
        <v>1.416963412772887E-2</v>
      </c>
      <c r="Q15" s="82">
        <f t="shared" si="8"/>
        <v>-1.4226435207795429E-2</v>
      </c>
      <c r="R15" s="82">
        <f t="shared" si="8"/>
        <v>-1.4771116426099851E-2</v>
      </c>
      <c r="S15" s="82">
        <f t="shared" si="8"/>
        <v>1.2246176442906931E-2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70</v>
      </c>
      <c r="B16" s="30">
        <f t="shared" si="1"/>
        <v>5724.6058712001723</v>
      </c>
      <c r="C16" s="30">
        <f t="shared" si="1"/>
        <v>5805.6415420380654</v>
      </c>
      <c r="D16" s="30">
        <f t="shared" si="1"/>
        <v>5642.018630780376</v>
      </c>
      <c r="E16" s="30">
        <f t="shared" si="1"/>
        <v>5634.8552916539884</v>
      </c>
      <c r="F16" s="30">
        <f t="shared" si="1"/>
        <v>5815.0246470736356</v>
      </c>
      <c r="G16" s="22">
        <f t="shared" si="2"/>
        <v>5724.4291965492475</v>
      </c>
      <c r="H16" s="34">
        <f t="shared" si="3"/>
        <v>127420.25839215321</v>
      </c>
      <c r="I16" s="32">
        <f t="shared" si="4"/>
        <v>1.3444995381999629E-2</v>
      </c>
      <c r="J16" s="32">
        <f t="shared" si="5"/>
        <v>0.11</v>
      </c>
      <c r="K16" s="32">
        <f t="shared" si="6"/>
        <v>3.1473767817454257E-2</v>
      </c>
      <c r="L16" s="16">
        <f>G16/'Clause 6'!$I$11</f>
        <v>5724.4291965492475</v>
      </c>
      <c r="M16">
        <f t="shared" si="7"/>
        <v>5</v>
      </c>
      <c r="O16" s="82">
        <f t="shared" si="9"/>
        <v>3.0863278216664014E-5</v>
      </c>
      <c r="P16" s="82">
        <f t="shared" si="8"/>
        <v>1.4186977024324809E-2</v>
      </c>
      <c r="Q16" s="82">
        <f t="shared" si="8"/>
        <v>-1.4396294012781197E-2</v>
      </c>
      <c r="R16" s="82">
        <f t="shared" si="8"/>
        <v>-1.5647657053607267E-2</v>
      </c>
      <c r="S16" s="82">
        <f t="shared" si="8"/>
        <v>1.5826110763847101E-2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71</v>
      </c>
      <c r="B17" s="30">
        <f t="shared" si="1"/>
        <v>4689.5856742107244</v>
      </c>
      <c r="C17" s="30">
        <f t="shared" si="1"/>
        <v>4801.153669240045</v>
      </c>
      <c r="D17" s="30">
        <f t="shared" si="1"/>
        <v>4643.1075358876369</v>
      </c>
      <c r="E17" s="30">
        <f t="shared" si="1"/>
        <v>4655.1430974924378</v>
      </c>
      <c r="F17" s="30">
        <f t="shared" si="1"/>
        <v>4770.626580279908</v>
      </c>
      <c r="G17" s="22">
        <f t="shared" si="2"/>
        <v>4711.9233114221497</v>
      </c>
      <c r="H17" s="34">
        <f t="shared" si="3"/>
        <v>104882.85648241492</v>
      </c>
      <c r="I17" s="32">
        <f t="shared" si="4"/>
        <v>1.3377645935135093E-2</v>
      </c>
      <c r="J17" s="32">
        <f t="shared" si="5"/>
        <v>0.11</v>
      </c>
      <c r="K17" s="32">
        <f t="shared" si="6"/>
        <v>3.3541745675123628E-2</v>
      </c>
      <c r="L17" s="16">
        <f>G17/'Clause 6'!$I$11</f>
        <v>4711.9233114221497</v>
      </c>
      <c r="M17">
        <f t="shared" si="7"/>
        <v>5</v>
      </c>
      <c r="O17" s="82">
        <f t="shared" si="9"/>
        <v>-4.7406623017987037E-3</v>
      </c>
      <c r="P17" s="82">
        <f t="shared" si="8"/>
        <v>1.8937141358305265E-2</v>
      </c>
      <c r="Q17" s="82">
        <f t="shared" si="8"/>
        <v>-1.4604604316818315E-2</v>
      </c>
      <c r="R17" s="82">
        <f t="shared" si="8"/>
        <v>-1.2050326411737533E-2</v>
      </c>
      <c r="S17" s="82">
        <f t="shared" si="8"/>
        <v>1.2458451672049842E-2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72</v>
      </c>
      <c r="B18" s="30">
        <f t="shared" si="1"/>
        <v>3802.4574681875606</v>
      </c>
      <c r="C18" s="30">
        <f t="shared" si="1"/>
        <v>3870.1263181925547</v>
      </c>
      <c r="D18" s="30">
        <f t="shared" si="1"/>
        <v>3759.1015141436474</v>
      </c>
      <c r="E18" s="30">
        <f t="shared" si="1"/>
        <v>3776.1092516690228</v>
      </c>
      <c r="F18" s="30">
        <f t="shared" si="1"/>
        <v>3867.2233786604043</v>
      </c>
      <c r="G18" s="22">
        <f t="shared" si="2"/>
        <v>3815.0035861706374</v>
      </c>
      <c r="H18" s="34">
        <f t="shared" si="3"/>
        <v>84918.290719690573</v>
      </c>
      <c r="I18" s="32">
        <f t="shared" si="4"/>
        <v>1.2046617792536685E-2</v>
      </c>
      <c r="J18" s="32">
        <f t="shared" si="5"/>
        <v>0.11</v>
      </c>
      <c r="K18" s="32">
        <f t="shared" si="6"/>
        <v>2.910214932729591E-2</v>
      </c>
      <c r="L18" s="16">
        <f>G18/'Clause 6'!$I$11</f>
        <v>3815.0035861706374</v>
      </c>
      <c r="M18">
        <f t="shared" si="7"/>
        <v>5</v>
      </c>
      <c r="O18" s="82">
        <f t="shared" si="9"/>
        <v>-3.2886254756238076E-3</v>
      </c>
      <c r="P18" s="82">
        <f t="shared" si="8"/>
        <v>1.4448933212471093E-2</v>
      </c>
      <c r="Q18" s="82">
        <f t="shared" si="8"/>
        <v>-1.4653216114824841E-2</v>
      </c>
      <c r="R18" s="82">
        <f t="shared" si="8"/>
        <v>-1.0195097756292126E-2</v>
      </c>
      <c r="S18" s="82">
        <f t="shared" si="8"/>
        <v>1.3688006134270347E-2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73</v>
      </c>
      <c r="B19" s="30">
        <f t="shared" ref="B19:F28" si="10">B63*$E$4/B$8</f>
        <v>3012.4323243116983</v>
      </c>
      <c r="C19" s="30">
        <f t="shared" si="10"/>
        <v>3072.4580681691036</v>
      </c>
      <c r="D19" s="30">
        <f t="shared" si="10"/>
        <v>2998.3042524751718</v>
      </c>
      <c r="E19" s="30">
        <f t="shared" si="10"/>
        <v>2998.648672835639</v>
      </c>
      <c r="F19" s="30">
        <f t="shared" si="10"/>
        <v>3056.3902882016127</v>
      </c>
      <c r="G19" s="22">
        <f t="shared" si="2"/>
        <v>3027.6467211986446</v>
      </c>
      <c r="H19" s="34">
        <f t="shared" si="3"/>
        <v>67392.488279502431</v>
      </c>
      <c r="I19" s="32">
        <f t="shared" si="4"/>
        <v>1.0199043864284437E-2</v>
      </c>
      <c r="J19" s="32">
        <f t="shared" si="5"/>
        <v>0.11</v>
      </c>
      <c r="K19" s="32">
        <f t="shared" si="6"/>
        <v>2.4492228625859747E-2</v>
      </c>
      <c r="L19" s="16">
        <f>G19/'Clause 6'!$I$11</f>
        <v>3027.6467211986446</v>
      </c>
      <c r="M19">
        <f t="shared" si="7"/>
        <v>5</v>
      </c>
      <c r="O19" s="82">
        <f t="shared" si="9"/>
        <v>-5.0251559339535845E-3</v>
      </c>
      <c r="P19" s="82">
        <f t="shared" si="8"/>
        <v>1.4800718543779734E-2</v>
      </c>
      <c r="Q19" s="82">
        <f t="shared" si="8"/>
        <v>-9.6915100820799127E-3</v>
      </c>
      <c r="R19" s="82">
        <f t="shared" si="8"/>
        <v>-9.5777516445265665E-3</v>
      </c>
      <c r="S19" s="82">
        <f t="shared" si="8"/>
        <v>9.4936991167808849E-3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74</v>
      </c>
      <c r="B20" s="30">
        <f t="shared" si="10"/>
        <v>2335.1720268004456</v>
      </c>
      <c r="C20" s="30">
        <f t="shared" si="10"/>
        <v>2408.8270162935437</v>
      </c>
      <c r="D20" s="30">
        <f t="shared" si="10"/>
        <v>2338.4977777538393</v>
      </c>
      <c r="E20" s="30">
        <f t="shared" si="10"/>
        <v>2353.1885951567001</v>
      </c>
      <c r="F20" s="30">
        <f t="shared" si="10"/>
        <v>2398.4893278599097</v>
      </c>
      <c r="G20" s="22">
        <f t="shared" si="2"/>
        <v>2366.8349487728874</v>
      </c>
      <c r="H20" s="34">
        <f t="shared" si="3"/>
        <v>52683.457230289016</v>
      </c>
      <c r="I20" s="32">
        <f t="shared" si="4"/>
        <v>1.3032202320619532E-2</v>
      </c>
      <c r="J20" s="32">
        <f t="shared" si="5"/>
        <v>0.11</v>
      </c>
      <c r="K20" s="32">
        <f t="shared" si="6"/>
        <v>3.1119613782653242E-2</v>
      </c>
      <c r="L20" s="16">
        <f>G20/'Clause 6'!$I$11</f>
        <v>2366.8349487728874</v>
      </c>
      <c r="M20">
        <f t="shared" si="7"/>
        <v>5</v>
      </c>
      <c r="O20" s="82">
        <f t="shared" si="9"/>
        <v>-1.3377748198647232E-2</v>
      </c>
      <c r="P20" s="82">
        <f t="shared" si="8"/>
        <v>1.7741865584006034E-2</v>
      </c>
      <c r="Q20" s="82">
        <f t="shared" si="8"/>
        <v>-1.1972601230068824E-2</v>
      </c>
      <c r="R20" s="82">
        <f t="shared" si="8"/>
        <v>-5.7656549406888136E-3</v>
      </c>
      <c r="S20" s="82">
        <f t="shared" si="8"/>
        <v>1.3374138785399392E-2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75</v>
      </c>
      <c r="B21" s="30">
        <f t="shared" si="10"/>
        <v>1791.2606349108332</v>
      </c>
      <c r="C21" s="30">
        <f t="shared" si="10"/>
        <v>1827.9238135278115</v>
      </c>
      <c r="D21" s="30">
        <f t="shared" si="10"/>
        <v>1772.051674965865</v>
      </c>
      <c r="E21" s="30">
        <f t="shared" si="10"/>
        <v>1804.8271912083189</v>
      </c>
      <c r="F21" s="30">
        <f t="shared" si="10"/>
        <v>1830.9061645387553</v>
      </c>
      <c r="G21" s="22">
        <f t="shared" si="2"/>
        <v>1805.3938958303165</v>
      </c>
      <c r="H21" s="34">
        <f t="shared" si="3"/>
        <v>40186.322305285583</v>
      </c>
      <c r="I21" s="32">
        <f t="shared" si="4"/>
        <v>1.2311563645393951E-2</v>
      </c>
      <c r="J21" s="32">
        <f t="shared" si="5"/>
        <v>0.11</v>
      </c>
      <c r="K21" s="32">
        <f t="shared" si="6"/>
        <v>3.2599251448018562E-2</v>
      </c>
      <c r="L21" s="16">
        <f>G21/'Clause 6'!$I$11</f>
        <v>1805.3938958303165</v>
      </c>
      <c r="M21">
        <f t="shared" si="7"/>
        <v>5</v>
      </c>
      <c r="O21" s="82">
        <f t="shared" si="9"/>
        <v>-7.8283531101578374E-3</v>
      </c>
      <c r="P21" s="82">
        <f t="shared" si="8"/>
        <v>1.2479225585911857E-2</v>
      </c>
      <c r="Q21" s="82">
        <f t="shared" si="8"/>
        <v>-1.846811432200901E-2</v>
      </c>
      <c r="R21" s="82">
        <f t="shared" si="8"/>
        <v>-3.138952797538952E-4</v>
      </c>
      <c r="S21" s="82">
        <f t="shared" si="8"/>
        <v>1.4131137126009552E-2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76</v>
      </c>
      <c r="B22" s="30">
        <f t="shared" si="10"/>
        <v>1353.8493756989071</v>
      </c>
      <c r="C22" s="30">
        <f t="shared" si="10"/>
        <v>1392.585460015438</v>
      </c>
      <c r="D22" s="30">
        <f t="shared" si="10"/>
        <v>1331.7318438763225</v>
      </c>
      <c r="E22" s="30">
        <f t="shared" si="10"/>
        <v>1361.8424585205205</v>
      </c>
      <c r="F22" s="30">
        <f t="shared" si="10"/>
        <v>1368.0556087351949</v>
      </c>
      <c r="G22" s="22">
        <f t="shared" si="2"/>
        <v>1361.6129493692765</v>
      </c>
      <c r="H22" s="34">
        <f t="shared" si="3"/>
        <v>30308.187573238058</v>
      </c>
      <c r="I22" s="32">
        <f t="shared" si="4"/>
        <v>1.4518601008820242E-2</v>
      </c>
      <c r="J22" s="32">
        <f t="shared" si="5"/>
        <v>0.11</v>
      </c>
      <c r="K22" s="32">
        <f t="shared" si="6"/>
        <v>4.4692301264690516E-2</v>
      </c>
      <c r="L22" s="16">
        <f>G22/'Clause 6'!$I$11</f>
        <v>1361.6129493692765</v>
      </c>
      <c r="M22">
        <f t="shared" si="7"/>
        <v>5</v>
      </c>
      <c r="O22" s="82">
        <f t="shared" si="9"/>
        <v>-5.7017478233926111E-3</v>
      </c>
      <c r="P22" s="82">
        <f t="shared" si="8"/>
        <v>2.2746927209019718E-2</v>
      </c>
      <c r="Q22" s="82">
        <f t="shared" si="8"/>
        <v>-2.1945374055670874E-2</v>
      </c>
      <c r="R22" s="82">
        <f t="shared" si="8"/>
        <v>1.6855682178285036E-4</v>
      </c>
      <c r="S22" s="82">
        <f t="shared" si="8"/>
        <v>4.7316378482613608E-3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77</v>
      </c>
      <c r="B23" s="30">
        <f t="shared" si="10"/>
        <v>1009.9613422417563</v>
      </c>
      <c r="C23" s="30">
        <f t="shared" si="10"/>
        <v>1044.2695707306157</v>
      </c>
      <c r="D23" s="30">
        <f t="shared" si="10"/>
        <v>998.46224695075148</v>
      </c>
      <c r="E23" s="30">
        <f t="shared" si="10"/>
        <v>1014.3902919224641</v>
      </c>
      <c r="F23" s="30">
        <f t="shared" si="10"/>
        <v>1025.7038594303717</v>
      </c>
      <c r="G23" s="22">
        <f t="shared" si="2"/>
        <v>1018.5574622551918</v>
      </c>
      <c r="H23" s="34">
        <f t="shared" si="3"/>
        <v>22672.10416473457</v>
      </c>
      <c r="I23" s="32">
        <f t="shared" si="4"/>
        <v>1.5255618835337994E-2</v>
      </c>
      <c r="J23" s="32">
        <f t="shared" si="5"/>
        <v>0.11</v>
      </c>
      <c r="K23" s="32">
        <f t="shared" si="6"/>
        <v>4.4972743784569627E-2</v>
      </c>
      <c r="L23" s="16">
        <f>G23/'Clause 6'!$I$11</f>
        <v>1018.5574622551918</v>
      </c>
      <c r="M23">
        <f t="shared" si="7"/>
        <v>5</v>
      </c>
      <c r="O23" s="82">
        <f t="shared" si="9"/>
        <v>-8.4395042321940839E-3</v>
      </c>
      <c r="P23" s="82">
        <f t="shared" si="8"/>
        <v>2.5243650386198802E-2</v>
      </c>
      <c r="Q23" s="82">
        <f t="shared" si="8"/>
        <v>-1.9729093398370923E-2</v>
      </c>
      <c r="R23" s="82">
        <f t="shared" si="8"/>
        <v>-4.0912471678339335E-3</v>
      </c>
      <c r="S23" s="82">
        <f t="shared" si="8"/>
        <v>7.0161944122004716E-3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78</v>
      </c>
      <c r="B24" s="30">
        <f t="shared" si="10"/>
        <v>762.0576720592428</v>
      </c>
      <c r="C24" s="30">
        <f t="shared" si="10"/>
        <v>787.27076079106803</v>
      </c>
      <c r="D24" s="30">
        <f t="shared" si="10"/>
        <v>748.22951929283101</v>
      </c>
      <c r="E24" s="30">
        <f t="shared" si="10"/>
        <v>758.89101680657222</v>
      </c>
      <c r="F24" s="30">
        <f t="shared" si="10"/>
        <v>749.79537726036608</v>
      </c>
      <c r="G24" s="22">
        <f t="shared" si="2"/>
        <v>761.24886924201599</v>
      </c>
      <c r="H24" s="34">
        <f t="shared" si="3"/>
        <v>16944.663701670721</v>
      </c>
      <c r="I24" s="32">
        <f t="shared" si="4"/>
        <v>1.8428685780637711E-2</v>
      </c>
      <c r="J24" s="32">
        <f t="shared" si="5"/>
        <v>0.11</v>
      </c>
      <c r="K24" s="32">
        <f t="shared" si="6"/>
        <v>5.1285779297262947E-2</v>
      </c>
      <c r="L24" s="16">
        <f>G24/'Clause 6'!$I$11</f>
        <v>761.24886924201599</v>
      </c>
      <c r="M24">
        <f t="shared" si="7"/>
        <v>5</v>
      </c>
      <c r="O24" s="82">
        <f t="shared" si="9"/>
        <v>1.0624683331643681E-3</v>
      </c>
      <c r="P24" s="82">
        <f t="shared" si="8"/>
        <v>3.4183159542768626E-2</v>
      </c>
      <c r="Q24" s="82">
        <f t="shared" si="8"/>
        <v>-1.7102619754494341E-2</v>
      </c>
      <c r="R24" s="82">
        <f t="shared" si="8"/>
        <v>-3.097347701536135E-3</v>
      </c>
      <c r="S24" s="82">
        <f t="shared" si="8"/>
        <v>-1.5045660419902185E-2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79</v>
      </c>
      <c r="B25" s="30">
        <f t="shared" si="10"/>
        <v>579.93349558941793</v>
      </c>
      <c r="C25" s="30">
        <f t="shared" si="10"/>
        <v>594.01308049351906</v>
      </c>
      <c r="D25" s="30">
        <f t="shared" si="10"/>
        <v>566.67052675896775</v>
      </c>
      <c r="E25" s="30">
        <f t="shared" si="10"/>
        <v>564.91739900843004</v>
      </c>
      <c r="F25" s="30">
        <f t="shared" si="10"/>
        <v>561.05145231468066</v>
      </c>
      <c r="G25" s="22">
        <f t="shared" si="2"/>
        <v>573.31719083300311</v>
      </c>
      <c r="H25" s="34">
        <f t="shared" si="3"/>
        <v>12761.486270219115</v>
      </c>
      <c r="I25" s="32">
        <f t="shared" si="4"/>
        <v>2.1180478475816285E-2</v>
      </c>
      <c r="J25" s="32">
        <f t="shared" si="5"/>
        <v>0.11</v>
      </c>
      <c r="K25" s="32">
        <f t="shared" si="6"/>
        <v>5.7492830680598794E-2</v>
      </c>
      <c r="L25" s="16">
        <f>G25/'Clause 6'!$I$11</f>
        <v>573.31719083300311</v>
      </c>
      <c r="M25">
        <f t="shared" si="7"/>
        <v>5</v>
      </c>
      <c r="O25" s="82">
        <f t="shared" si="9"/>
        <v>1.1540391361371194E-2</v>
      </c>
      <c r="P25" s="82">
        <f t="shared" si="8"/>
        <v>3.609849833814649E-2</v>
      </c>
      <c r="Q25" s="82">
        <f t="shared" si="8"/>
        <v>-1.1593345150488266E-2</v>
      </c>
      <c r="R25" s="82">
        <f t="shared" si="8"/>
        <v>-1.465121220657728E-2</v>
      </c>
      <c r="S25" s="82">
        <f t="shared" si="8"/>
        <v>-2.139433234245236E-2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80</v>
      </c>
      <c r="B26" s="30">
        <f t="shared" si="10"/>
        <v>435.39760124112934</v>
      </c>
      <c r="C26" s="30">
        <f t="shared" si="10"/>
        <v>445.50981037013929</v>
      </c>
      <c r="D26" s="30">
        <f t="shared" si="10"/>
        <v>425.05900106197424</v>
      </c>
      <c r="E26" s="30">
        <f t="shared" si="10"/>
        <v>426.20500796477597</v>
      </c>
      <c r="F26" s="30">
        <f t="shared" si="10"/>
        <v>415.55195886013081</v>
      </c>
      <c r="G26" s="22">
        <f t="shared" si="2"/>
        <v>429.54467589962996</v>
      </c>
      <c r="H26" s="34">
        <f t="shared" si="3"/>
        <v>9561.2491158241683</v>
      </c>
      <c r="I26" s="32">
        <f t="shared" si="4"/>
        <v>2.3654901545842575E-2</v>
      </c>
      <c r="J26" s="32">
        <f t="shared" si="5"/>
        <v>0.113</v>
      </c>
      <c r="K26" s="32">
        <f t="shared" si="6"/>
        <v>6.9743272797562539E-2</v>
      </c>
      <c r="L26" s="16">
        <f>G26/'Clause 6'!$I$11</f>
        <v>429.54467589962996</v>
      </c>
      <c r="M26">
        <f t="shared" si="7"/>
        <v>5</v>
      </c>
      <c r="O26" s="82">
        <f t="shared" si="9"/>
        <v>1.3625882637798181E-2</v>
      </c>
      <c r="P26" s="82">
        <f t="shared" si="8"/>
        <v>3.716757619465838E-2</v>
      </c>
      <c r="Q26" s="82">
        <f t="shared" si="8"/>
        <v>-1.0442859821882311E-2</v>
      </c>
      <c r="R26" s="82">
        <f t="shared" si="8"/>
        <v>-7.7749024076703144E-3</v>
      </c>
      <c r="S26" s="82">
        <f t="shared" si="8"/>
        <v>-3.2575696602904158E-2</v>
      </c>
    </row>
    <row r="27" spans="1:49" x14ac:dyDescent="0.35">
      <c r="A27" s="11" t="s">
        <v>81</v>
      </c>
      <c r="B27" s="30">
        <f t="shared" si="10"/>
        <v>334.9384424758328</v>
      </c>
      <c r="C27" s="30">
        <f t="shared" si="10"/>
        <v>336.33617343012037</v>
      </c>
      <c r="D27" s="30">
        <f t="shared" si="10"/>
        <v>320.25300660793937</v>
      </c>
      <c r="E27" s="30">
        <f t="shared" si="10"/>
        <v>325.97411895258716</v>
      </c>
      <c r="F27" s="30">
        <f t="shared" si="10"/>
        <v>311.04458275655321</v>
      </c>
      <c r="G27" s="22">
        <f t="shared" si="2"/>
        <v>325.70926484460654</v>
      </c>
      <c r="H27" s="34">
        <f t="shared" si="3"/>
        <v>7249.9732745818374</v>
      </c>
      <c r="I27" s="32">
        <f t="shared" si="4"/>
        <v>2.8899350090211311E-2</v>
      </c>
      <c r="J27" s="32">
        <f t="shared" si="5"/>
        <v>0.113</v>
      </c>
      <c r="K27" s="32">
        <f t="shared" si="6"/>
        <v>7.765081747255051E-2</v>
      </c>
      <c r="L27" s="16">
        <f>G27/'Clause 6'!$I$11</f>
        <v>325.70926484460654</v>
      </c>
      <c r="M27">
        <f t="shared" si="7"/>
        <v>5</v>
      </c>
      <c r="O27" s="82">
        <f t="shared" si="9"/>
        <v>2.8335631274196027E-2</v>
      </c>
      <c r="P27" s="82">
        <f t="shared" si="8"/>
        <v>3.2626976670693919E-2</v>
      </c>
      <c r="Q27" s="82">
        <f t="shared" si="8"/>
        <v>-1.6751928255004711E-2</v>
      </c>
      <c r="R27" s="82">
        <f t="shared" si="8"/>
        <v>8.1316111197193841E-4</v>
      </c>
      <c r="S27" s="82">
        <f t="shared" si="8"/>
        <v>-4.5023840801856618E-2</v>
      </c>
    </row>
    <row r="28" spans="1:49" x14ac:dyDescent="0.35">
      <c r="A28" s="11" t="s">
        <v>82</v>
      </c>
      <c r="B28" s="30">
        <f t="shared" si="10"/>
        <v>260.43309755635897</v>
      </c>
      <c r="C28" s="30">
        <f t="shared" si="10"/>
        <v>258.35500418724973</v>
      </c>
      <c r="D28" s="30">
        <f t="shared" si="10"/>
        <v>245.07097632506645</v>
      </c>
      <c r="E28" s="30">
        <f t="shared" si="10"/>
        <v>244.31279196721016</v>
      </c>
      <c r="F28" s="30">
        <f t="shared" si="10"/>
        <v>229.96127371067402</v>
      </c>
      <c r="G28" s="22">
        <f t="shared" si="2"/>
        <v>247.62662874931183</v>
      </c>
      <c r="H28" s="34">
        <f t="shared" si="3"/>
        <v>5511.9293010096817</v>
      </c>
      <c r="I28" s="32">
        <f t="shared" si="4"/>
        <v>4.4556661338955333E-2</v>
      </c>
      <c r="J28" s="32">
        <f t="shared" si="5"/>
        <v>0.113</v>
      </c>
      <c r="K28" s="32">
        <f t="shared" si="6"/>
        <v>0.12305552112706551</v>
      </c>
      <c r="L28" s="16">
        <f>G28/'Clause 6'!$I$11</f>
        <v>247.62662874931183</v>
      </c>
      <c r="M28">
        <f t="shared" si="7"/>
        <v>5</v>
      </c>
      <c r="O28" s="82">
        <f t="shared" si="9"/>
        <v>5.1716848352411748E-2</v>
      </c>
      <c r="P28" s="82">
        <f t="shared" si="8"/>
        <v>4.3324805139591582E-2</v>
      </c>
      <c r="Q28" s="82">
        <f t="shared" si="8"/>
        <v>-1.0320588044804513E-2</v>
      </c>
      <c r="R28" s="82">
        <f t="shared" si="8"/>
        <v>-1.3382392672544485E-2</v>
      </c>
      <c r="S28" s="82">
        <f t="shared" si="8"/>
        <v>-7.1338672774653666E-2</v>
      </c>
    </row>
    <row r="29" spans="1:49" x14ac:dyDescent="0.35">
      <c r="A29" s="11" t="s">
        <v>83</v>
      </c>
      <c r="B29" s="30">
        <f t="shared" ref="B29:F38" si="11">B73*$E$4/B$8</f>
        <v>193.98238452007149</v>
      </c>
      <c r="C29" s="30">
        <f t="shared" si="11"/>
        <v>192.12751842446391</v>
      </c>
      <c r="D29" s="30">
        <f t="shared" si="11"/>
        <v>190.3115274026157</v>
      </c>
      <c r="E29" s="30">
        <f t="shared" si="11"/>
        <v>181.22102700864491</v>
      </c>
      <c r="F29" s="30">
        <f t="shared" si="11"/>
        <v>175.4552715187219</v>
      </c>
      <c r="G29" s="22">
        <f t="shared" si="2"/>
        <v>186.61954577490357</v>
      </c>
      <c r="H29" s="34">
        <f t="shared" si="3"/>
        <v>4153.9706278485892</v>
      </c>
      <c r="I29" s="32">
        <f t="shared" si="4"/>
        <v>3.8038895755852613E-2</v>
      </c>
      <c r="J29" s="32">
        <f t="shared" si="5"/>
        <v>0.11900000000000001</v>
      </c>
      <c r="K29" s="32">
        <f t="shared" si="6"/>
        <v>9.9277452018324969E-2</v>
      </c>
      <c r="L29" s="16">
        <f>G29/'Clause 6'!$I$11</f>
        <v>186.61954577490357</v>
      </c>
      <c r="M29">
        <f t="shared" si="7"/>
        <v>5</v>
      </c>
      <c r="O29" s="82">
        <f t="shared" si="9"/>
        <v>3.9453738431283192E-2</v>
      </c>
      <c r="P29" s="82">
        <f t="shared" si="8"/>
        <v>2.9514446767563873E-2</v>
      </c>
      <c r="Q29" s="82">
        <f t="shared" si="8"/>
        <v>1.9783467012428169E-2</v>
      </c>
      <c r="R29" s="82">
        <f t="shared" si="8"/>
        <v>-2.8927938624233041E-2</v>
      </c>
      <c r="S29" s="82">
        <f t="shared" si="8"/>
        <v>-5.982371358704186E-2</v>
      </c>
    </row>
    <row r="30" spans="1:49" x14ac:dyDescent="0.35">
      <c r="A30" s="11" t="s">
        <v>84</v>
      </c>
      <c r="B30" s="30">
        <f t="shared" si="11"/>
        <v>145.87833299548629</v>
      </c>
      <c r="C30" s="30">
        <f t="shared" si="11"/>
        <v>141.04420176101823</v>
      </c>
      <c r="D30" s="30">
        <f t="shared" si="11"/>
        <v>141.38710172599988</v>
      </c>
      <c r="E30" s="30">
        <f t="shared" si="11"/>
        <v>129.53947486173507</v>
      </c>
      <c r="F30" s="30">
        <f t="shared" si="11"/>
        <v>132.88653426963532</v>
      </c>
      <c r="G30" s="22">
        <f t="shared" si="2"/>
        <v>138.14712912277497</v>
      </c>
      <c r="H30" s="34">
        <f t="shared" si="3"/>
        <v>3075.0215059991096</v>
      </c>
      <c r="I30" s="32">
        <f t="shared" si="4"/>
        <v>4.3483504925505907E-2</v>
      </c>
      <c r="J30" s="32">
        <f t="shared" si="5"/>
        <v>0.11900000000000001</v>
      </c>
      <c r="K30" s="32">
        <f t="shared" si="6"/>
        <v>0.11827142726383004</v>
      </c>
      <c r="L30" s="16">
        <f>G30/'Clause 6'!$I$11</f>
        <v>138.14712912277497</v>
      </c>
      <c r="M30">
        <f t="shared" si="7"/>
        <v>5</v>
      </c>
      <c r="O30" s="82">
        <f t="shared" si="9"/>
        <v>5.5963550757832881E-2</v>
      </c>
      <c r="P30" s="82">
        <f t="shared" si="8"/>
        <v>2.0970921774773554E-2</v>
      </c>
      <c r="Q30" s="82">
        <f t="shared" si="8"/>
        <v>2.3453057792793164E-2</v>
      </c>
      <c r="R30" s="82">
        <f t="shared" si="8"/>
        <v>-6.2307876505997117E-2</v>
      </c>
      <c r="S30" s="82">
        <f t="shared" si="8"/>
        <v>-3.8079653819403148E-2</v>
      </c>
    </row>
    <row r="31" spans="1:49" x14ac:dyDescent="0.35">
      <c r="A31" s="11" t="s">
        <v>85</v>
      </c>
      <c r="B31" s="30">
        <f t="shared" si="11"/>
        <v>106.05265312862039</v>
      </c>
      <c r="C31" s="30">
        <f t="shared" si="11"/>
        <v>105.10505419691262</v>
      </c>
      <c r="D31" s="30">
        <f t="shared" si="11"/>
        <v>102.56175474409832</v>
      </c>
      <c r="E31" s="30">
        <f t="shared" si="11"/>
        <v>90.610513504322455</v>
      </c>
      <c r="F31" s="30">
        <f t="shared" si="11"/>
        <v>91.218722676614078</v>
      </c>
      <c r="G31" s="22">
        <f t="shared" si="2"/>
        <v>99.109739650113582</v>
      </c>
      <c r="H31" s="34">
        <f t="shared" si="3"/>
        <v>2206.0869654932867</v>
      </c>
      <c r="I31" s="32">
        <f t="shared" si="4"/>
        <v>6.8517159850883566E-2</v>
      </c>
      <c r="J31" s="32">
        <f t="shared" si="5"/>
        <v>0.11900000000000001</v>
      </c>
      <c r="K31" s="32">
        <f t="shared" si="6"/>
        <v>0.15580849751813711</v>
      </c>
      <c r="L31" s="16">
        <f>G31/'Clause 6'!$I$11</f>
        <v>99.109739650113582</v>
      </c>
      <c r="M31">
        <f t="shared" si="7"/>
        <v>5</v>
      </c>
      <c r="O31" s="82">
        <f t="shared" si="9"/>
        <v>7.0052786971465553E-2</v>
      </c>
      <c r="P31" s="82">
        <f t="shared" si="8"/>
        <v>6.049167890021967E-2</v>
      </c>
      <c r="Q31" s="82">
        <f t="shared" si="8"/>
        <v>3.4830230673305929E-2</v>
      </c>
      <c r="R31" s="82">
        <f t="shared" si="8"/>
        <v>-8.5755710546671637E-2</v>
      </c>
      <c r="S31" s="82">
        <f t="shared" si="8"/>
        <v>-7.9618985998319736E-2</v>
      </c>
    </row>
    <row r="32" spans="1:49" x14ac:dyDescent="0.35">
      <c r="A32" s="11" t="s">
        <v>86</v>
      </c>
      <c r="B32" s="30">
        <f t="shared" si="11"/>
        <v>78.085181312001097</v>
      </c>
      <c r="C32" s="30">
        <f t="shared" si="11"/>
        <v>77.077039744402583</v>
      </c>
      <c r="D32" s="30">
        <f t="shared" si="11"/>
        <v>72.48894263094914</v>
      </c>
      <c r="E32" s="30">
        <f t="shared" si="11"/>
        <v>61.07819799180254</v>
      </c>
      <c r="F32" s="30">
        <f t="shared" si="11"/>
        <v>65.767572892768669</v>
      </c>
      <c r="G32" s="22">
        <f t="shared" si="2"/>
        <v>70.899386914384792</v>
      </c>
      <c r="H32" s="34">
        <f t="shared" si="3"/>
        <v>1578.1517930070595</v>
      </c>
      <c r="I32" s="32">
        <f t="shared" si="4"/>
        <v>9.2514514551213303E-2</v>
      </c>
      <c r="J32" s="32">
        <f t="shared" si="5"/>
        <v>0.13400000000000001</v>
      </c>
      <c r="K32" s="32">
        <f t="shared" si="6"/>
        <v>0.23987489963397704</v>
      </c>
      <c r="L32" s="16">
        <f>G32/'Clause 6'!$I$11</f>
        <v>70.899386914384792</v>
      </c>
      <c r="M32">
        <f t="shared" si="7"/>
        <v>5</v>
      </c>
      <c r="O32" s="82">
        <f t="shared" si="9"/>
        <v>0.10135199626329028</v>
      </c>
      <c r="P32" s="82">
        <f t="shared" si="8"/>
        <v>8.7132669249702754E-2</v>
      </c>
      <c r="Q32" s="82">
        <f t="shared" si="8"/>
        <v>2.241987957503544E-2</v>
      </c>
      <c r="R32" s="82">
        <f t="shared" si="8"/>
        <v>-0.13852290337068662</v>
      </c>
      <c r="S32" s="82">
        <f t="shared" si="8"/>
        <v>-7.238164171734085E-2</v>
      </c>
    </row>
    <row r="33" spans="1:19" x14ac:dyDescent="0.35">
      <c r="A33" s="11" t="s">
        <v>87</v>
      </c>
      <c r="B33" s="30">
        <f t="shared" si="11"/>
        <v>54.145025436974969</v>
      </c>
      <c r="C33" s="30">
        <f t="shared" si="11"/>
        <v>55.829996530403044</v>
      </c>
      <c r="D33" s="30">
        <f t="shared" si="11"/>
        <v>52.290785241520588</v>
      </c>
      <c r="E33" s="30">
        <f t="shared" si="11"/>
        <v>41.166257987148967</v>
      </c>
      <c r="F33" s="30">
        <f t="shared" si="11"/>
        <v>47.073365529413195</v>
      </c>
      <c r="G33" s="22">
        <f t="shared" si="2"/>
        <v>50.101086145092154</v>
      </c>
      <c r="H33" s="34">
        <f t="shared" si="3"/>
        <v>1115.2017298394492</v>
      </c>
      <c r="I33" s="32">
        <f t="shared" si="4"/>
        <v>0.10672977360343563</v>
      </c>
      <c r="J33" s="32">
        <f t="shared" si="5"/>
        <v>0.13400000000000001</v>
      </c>
      <c r="K33" s="32">
        <f t="shared" si="6"/>
        <v>0.29268304684629121</v>
      </c>
      <c r="L33" s="16">
        <f>G33/'Clause 6'!$I$11</f>
        <v>50.101086145092154</v>
      </c>
      <c r="M33">
        <f t="shared" si="7"/>
        <v>5</v>
      </c>
      <c r="O33" s="82">
        <f t="shared" si="9"/>
        <v>8.0715601258056768E-2</v>
      </c>
      <c r="P33" s="82">
        <f t="shared" si="8"/>
        <v>0.11434702969752064</v>
      </c>
      <c r="Q33" s="82">
        <f t="shared" si="8"/>
        <v>4.3705621273101514E-2</v>
      </c>
      <c r="R33" s="82">
        <f t="shared" si="8"/>
        <v>-0.17833601714877056</v>
      </c>
      <c r="S33" s="82">
        <f t="shared" si="8"/>
        <v>-6.0432235079908581E-2</v>
      </c>
    </row>
    <row r="34" spans="1:19" x14ac:dyDescent="0.35">
      <c r="A34" s="11" t="s">
        <v>88</v>
      </c>
      <c r="B34" s="30">
        <f t="shared" si="11"/>
        <v>36.693323023404524</v>
      </c>
      <c r="C34" s="30">
        <f t="shared" si="11"/>
        <v>40.459795056445934</v>
      </c>
      <c r="D34" s="30">
        <f t="shared" si="11"/>
        <v>33.21474770706029</v>
      </c>
      <c r="E34" s="30">
        <f t="shared" si="11"/>
        <v>25.281451916020831</v>
      </c>
      <c r="F34" s="30">
        <f t="shared" si="11"/>
        <v>32.658555032368007</v>
      </c>
      <c r="G34" s="22">
        <f t="shared" si="2"/>
        <v>33.661574547059921</v>
      </c>
      <c r="H34" s="34">
        <f t="shared" si="3"/>
        <v>749.27409867496692</v>
      </c>
      <c r="I34" s="32">
        <f t="shared" si="4"/>
        <v>0.14962623948081252</v>
      </c>
      <c r="J34" s="32">
        <f t="shared" si="5"/>
        <v>0.156</v>
      </c>
      <c r="K34" s="32">
        <f t="shared" si="6"/>
        <v>0.4509100760930036</v>
      </c>
      <c r="L34" s="16">
        <f>G34/'Clause 6'!$I$11</f>
        <v>33.661574547059921</v>
      </c>
      <c r="M34">
        <f t="shared" si="7"/>
        <v>5</v>
      </c>
      <c r="O34" s="82">
        <f t="shared" si="9"/>
        <v>9.006555745353273E-2</v>
      </c>
      <c r="P34" s="82">
        <f t="shared" si="8"/>
        <v>0.20195788821113791</v>
      </c>
      <c r="Q34" s="82">
        <f t="shared" si="8"/>
        <v>-1.3274092077153243E-2</v>
      </c>
      <c r="R34" s="82">
        <f t="shared" si="8"/>
        <v>-0.24895218788186568</v>
      </c>
      <c r="S34" s="82">
        <f t="shared" si="8"/>
        <v>-2.9797165705652384E-2</v>
      </c>
    </row>
    <row r="35" spans="1:19" x14ac:dyDescent="0.35">
      <c r="A35" s="11" t="s">
        <v>89</v>
      </c>
      <c r="B35" s="30">
        <f t="shared" si="11"/>
        <v>22.821457002361353</v>
      </c>
      <c r="C35" s="30">
        <f t="shared" si="11"/>
        <v>26.445787830190916</v>
      </c>
      <c r="D35" s="30">
        <f t="shared" si="11"/>
        <v>23.56451695433331</v>
      </c>
      <c r="E35" s="30">
        <f t="shared" si="11"/>
        <v>18.569562026811763</v>
      </c>
      <c r="F35" s="30">
        <f t="shared" si="11"/>
        <v>20.946521503518788</v>
      </c>
      <c r="G35" s="22">
        <f t="shared" si="2"/>
        <v>22.469569063443224</v>
      </c>
      <c r="H35" s="34">
        <f t="shared" si="3"/>
        <v>500.15087927896184</v>
      </c>
      <c r="I35" s="32">
        <f t="shared" si="4"/>
        <v>0.11717958421308669</v>
      </c>
      <c r="J35" s="32">
        <f t="shared" si="5"/>
        <v>0.156</v>
      </c>
      <c r="K35" s="32">
        <f t="shared" si="6"/>
        <v>0.35052856515140501</v>
      </c>
      <c r="L35" s="16">
        <f>G35/'Clause 6'!$I$11</f>
        <v>22.469569063443224</v>
      </c>
      <c r="M35">
        <f t="shared" si="7"/>
        <v>5</v>
      </c>
      <c r="O35" s="82">
        <f t="shared" si="9"/>
        <v>1.5660644755783659E-2</v>
      </c>
      <c r="P35" s="82">
        <f t="shared" si="8"/>
        <v>0.17696017024272992</v>
      </c>
      <c r="Q35" s="82">
        <f t="shared" si="8"/>
        <v>4.8730257700914548E-2</v>
      </c>
      <c r="R35" s="82">
        <f t="shared" si="8"/>
        <v>-0.17356839490867504</v>
      </c>
      <c r="S35" s="82">
        <f t="shared" si="8"/>
        <v>-6.7782677790752643E-2</v>
      </c>
    </row>
    <row r="36" spans="1:19" x14ac:dyDescent="0.35">
      <c r="A36" s="11" t="s">
        <v>90</v>
      </c>
      <c r="B36" s="30">
        <f t="shared" si="11"/>
        <v>16.333003540905672</v>
      </c>
      <c r="C36" s="30">
        <f t="shared" si="11"/>
        <v>18.986719467829378</v>
      </c>
      <c r="D36" s="30">
        <f t="shared" si="11"/>
        <v>16.382949882536494</v>
      </c>
      <c r="E36" s="30">
        <f t="shared" si="11"/>
        <v>12.081401800576327</v>
      </c>
      <c r="F36" s="30">
        <f t="shared" si="11"/>
        <v>12.83819059893087</v>
      </c>
      <c r="G36" s="22">
        <f t="shared" si="2"/>
        <v>15.324453058155749</v>
      </c>
      <c r="H36" s="34">
        <f t="shared" si="3"/>
        <v>341.10750632843974</v>
      </c>
      <c r="I36" s="32">
        <f t="shared" si="4"/>
        <v>0.16572418839361358</v>
      </c>
      <c r="J36" s="32">
        <f t="shared" si="5"/>
        <v>0.193</v>
      </c>
      <c r="K36" s="32">
        <f t="shared" si="6"/>
        <v>0.45060777314841965</v>
      </c>
      <c r="L36" s="16">
        <f>G36/'Clause 6'!$I$11</f>
        <v>15.324453058155749</v>
      </c>
      <c r="M36">
        <f t="shared" si="7"/>
        <v>5</v>
      </c>
      <c r="O36" s="82">
        <f t="shared" si="9"/>
        <v>6.5813147061269284E-2</v>
      </c>
      <c r="P36" s="82">
        <f t="shared" si="8"/>
        <v>0.23898186746211825</v>
      </c>
      <c r="Q36" s="82">
        <f t="shared" si="8"/>
        <v>6.9072404761448158E-2</v>
      </c>
      <c r="R36" s="82">
        <f t="shared" si="8"/>
        <v>-0.21162590568630146</v>
      </c>
      <c r="S36" s="82">
        <f t="shared" si="8"/>
        <v>-0.16224151359853445</v>
      </c>
    </row>
    <row r="37" spans="1:19" x14ac:dyDescent="0.35">
      <c r="A37" s="11" t="s">
        <v>91</v>
      </c>
      <c r="B37" s="30">
        <f t="shared" si="11"/>
        <v>11.63446827571363</v>
      </c>
      <c r="C37" s="30">
        <f t="shared" si="11"/>
        <v>12.431780603935902</v>
      </c>
      <c r="D37" s="30">
        <f t="shared" si="11"/>
        <v>7.8548389847777704</v>
      </c>
      <c r="E37" s="30">
        <f t="shared" si="11"/>
        <v>7.1593492151563414</v>
      </c>
      <c r="F37" s="30">
        <f t="shared" si="11"/>
        <v>6.9821738345062627</v>
      </c>
      <c r="G37" s="22">
        <f t="shared" si="2"/>
        <v>9.2125221828179811</v>
      </c>
      <c r="H37" s="34">
        <f t="shared" si="3"/>
        <v>205.0618352805775</v>
      </c>
      <c r="I37" s="32">
        <f t="shared" si="4"/>
        <v>0.25346679723598003</v>
      </c>
      <c r="J37" s="32">
        <f t="shared" si="5"/>
        <v>0.193</v>
      </c>
      <c r="K37" s="32">
        <f t="shared" si="6"/>
        <v>0.59154340812264739</v>
      </c>
      <c r="L37" s="16">
        <f>G37/'Clause 6'!$I$11</f>
        <v>9.2125221828179811</v>
      </c>
      <c r="M37">
        <f t="shared" si="7"/>
        <v>5</v>
      </c>
      <c r="O37" s="82">
        <f t="shared" si="9"/>
        <v>0.2628971789520087</v>
      </c>
      <c r="P37" s="82">
        <f t="shared" si="8"/>
        <v>0.34944376330751958</v>
      </c>
      <c r="Q37" s="82">
        <f t="shared" si="8"/>
        <v>-0.14737366934892027</v>
      </c>
      <c r="R37" s="82">
        <f t="shared" si="8"/>
        <v>-0.22286762809548022</v>
      </c>
      <c r="S37" s="82">
        <f t="shared" si="8"/>
        <v>-0.24209964481512769</v>
      </c>
    </row>
    <row r="38" spans="1:19" x14ac:dyDescent="0.35">
      <c r="A38" s="11" t="s">
        <v>92</v>
      </c>
      <c r="B38" s="30">
        <f t="shared" si="11"/>
        <v>8.2783716577193136</v>
      </c>
      <c r="C38" s="30">
        <f t="shared" si="11"/>
        <v>7.9111331115955732</v>
      </c>
      <c r="D38" s="30">
        <f t="shared" si="11"/>
        <v>4.4884794198730118</v>
      </c>
      <c r="E38" s="30">
        <f t="shared" si="11"/>
        <v>3.1322152816308995</v>
      </c>
      <c r="F38" s="30">
        <f t="shared" si="11"/>
        <v>4.5046282803266218</v>
      </c>
      <c r="G38" s="22">
        <f t="shared" si="2"/>
        <v>5.6629655502290834</v>
      </c>
      <c r="H38" s="34">
        <f t="shared" si="3"/>
        <v>126.05213706041233</v>
      </c>
      <c r="I38" s="32">
        <f t="shared" si="4"/>
        <v>0.36206975756567999</v>
      </c>
      <c r="J38" s="32">
        <f t="shared" si="5"/>
        <v>0.27500000000000002</v>
      </c>
      <c r="K38" s="32">
        <f t="shared" si="6"/>
        <v>0.9087387748421385</v>
      </c>
      <c r="L38" s="16">
        <f>G38/'Clause 6'!$I$11</f>
        <v>5.6629655502290834</v>
      </c>
      <c r="M38">
        <f t="shared" si="7"/>
        <v>5</v>
      </c>
      <c r="O38" s="82">
        <f t="shared" si="9"/>
        <v>0.46184390215554627</v>
      </c>
      <c r="P38" s="82">
        <f t="shared" si="8"/>
        <v>0.39699474443660443</v>
      </c>
      <c r="Q38" s="82">
        <f t="shared" si="8"/>
        <v>-0.20739771766906834</v>
      </c>
      <c r="R38" s="82">
        <f t="shared" si="8"/>
        <v>-0.44689487268659223</v>
      </c>
      <c r="S38" s="82">
        <f t="shared" si="8"/>
        <v>-0.20454605623648969</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4.4694779999999996</v>
      </c>
      <c r="C52" s="49">
        <f>'6 - B1'!C52</f>
        <v>4.4241450000000002</v>
      </c>
      <c r="D52" s="49">
        <f>'6 - B1'!D52</f>
        <v>4.4558520000000001</v>
      </c>
      <c r="E52" s="49">
        <f>'6 - B1'!E52</f>
        <v>4.4696800000000003</v>
      </c>
      <c r="F52" s="49">
        <f>'6 - B1'!F52</f>
        <v>4.4398780000000002</v>
      </c>
      <c r="G52" s="49">
        <f>'6 - B1'!G52</f>
        <v>4.4625700000000004</v>
      </c>
      <c r="H52" s="49">
        <f>'6 - B1'!H52</f>
        <v>4.4558489999999997</v>
      </c>
      <c r="I52" s="49">
        <f>'6 - B1'!I52</f>
        <v>4.4799730000000002</v>
      </c>
      <c r="J52" s="49">
        <f>'6 - B1'!J52</f>
        <v>4.4771409999999996</v>
      </c>
      <c r="K52" s="49">
        <f>'6 - B1'!K52</f>
        <v>4.4411110000000003</v>
      </c>
      <c r="L52" s="49">
        <f>'6 - B1'!L52</f>
        <v>4.4694779999999996</v>
      </c>
      <c r="M52" s="49">
        <f>'6 - B1'!M52</f>
        <v>4.4241450000000002</v>
      </c>
      <c r="N52" s="49">
        <f>'6 - B1'!N52</f>
        <v>4.4558520000000001</v>
      </c>
      <c r="O52" s="49">
        <f>'6 - B1'!O52</f>
        <v>4.4696800000000003</v>
      </c>
      <c r="P52" s="49">
        <f>'6 - B1'!P52</f>
        <v>4.4398780000000002</v>
      </c>
    </row>
    <row r="53" spans="1:16" x14ac:dyDescent="0.35">
      <c r="A53" s="49">
        <f>'6 - B1'!A53</f>
        <v>4</v>
      </c>
      <c r="B53" s="49">
        <f>'6 - B1'!B53</f>
        <v>78062</v>
      </c>
      <c r="C53" s="49">
        <f>'6 - B1'!C53</f>
        <v>78421</v>
      </c>
      <c r="D53" s="49">
        <f>'6 - B1'!D53</f>
        <v>77746</v>
      </c>
      <c r="E53" s="49">
        <f>'6 - B1'!E53</f>
        <v>77484</v>
      </c>
      <c r="F53" s="49">
        <f>'6 - B1'!F53</f>
        <v>78818</v>
      </c>
      <c r="G53" s="49">
        <f>'6 - B1'!G53</f>
        <v>77965</v>
      </c>
      <c r="H53" s="49">
        <f>'6 - B1'!H53</f>
        <v>75995</v>
      </c>
      <c r="I53" s="49">
        <f>'6 - B1'!I53</f>
        <v>73898</v>
      </c>
      <c r="J53" s="49">
        <f>'6 - B1'!J53</f>
        <v>79583</v>
      </c>
      <c r="K53" s="49">
        <f>'6 - B1'!K53</f>
        <v>77901</v>
      </c>
      <c r="L53" s="49">
        <f>'6 - B1'!L53</f>
        <v>78062</v>
      </c>
      <c r="M53" s="49">
        <f>'6 - B1'!M53</f>
        <v>78421</v>
      </c>
      <c r="N53" s="49">
        <f>'6 - B1'!N53</f>
        <v>77746</v>
      </c>
      <c r="O53" s="49">
        <f>'6 - B1'!O53</f>
        <v>77484</v>
      </c>
      <c r="P53" s="49">
        <f>'6 - B1'!P53</f>
        <v>78818</v>
      </c>
    </row>
    <row r="54" spans="1:16" x14ac:dyDescent="0.35">
      <c r="A54" s="49">
        <f>'6 - B1'!A54</f>
        <v>5</v>
      </c>
      <c r="B54" s="49">
        <f>'6 - B1'!B54</f>
        <v>66917</v>
      </c>
      <c r="C54" s="49">
        <f>'6 - B1'!C54</f>
        <v>67163</v>
      </c>
      <c r="D54" s="49">
        <f>'6 - B1'!D54</f>
        <v>66552</v>
      </c>
      <c r="E54" s="49">
        <f>'6 - B1'!E54</f>
        <v>66389</v>
      </c>
      <c r="F54" s="49">
        <f>'6 - B1'!F54</f>
        <v>67371</v>
      </c>
      <c r="G54" s="49">
        <f>'6 - B1'!G54</f>
        <v>66902</v>
      </c>
      <c r="H54" s="49">
        <f>'6 - B1'!H54</f>
        <v>65058</v>
      </c>
      <c r="I54" s="49">
        <f>'6 - B1'!I54</f>
        <v>63376</v>
      </c>
      <c r="J54" s="49">
        <f>'6 - B1'!J54</f>
        <v>67831</v>
      </c>
      <c r="K54" s="49">
        <f>'6 - B1'!K54</f>
        <v>66691</v>
      </c>
      <c r="L54" s="49">
        <f>'6 - B1'!L54</f>
        <v>66917</v>
      </c>
      <c r="M54" s="49">
        <f>'6 - B1'!M54</f>
        <v>67163</v>
      </c>
      <c r="N54" s="49">
        <f>'6 - B1'!N54</f>
        <v>66552</v>
      </c>
      <c r="O54" s="49">
        <f>'6 - B1'!O54</f>
        <v>66389</v>
      </c>
      <c r="P54" s="49">
        <f>'6 - B1'!P54</f>
        <v>67371</v>
      </c>
    </row>
    <row r="55" spans="1:16" x14ac:dyDescent="0.35">
      <c r="A55" s="49">
        <f>'6 - B1'!A55</f>
        <v>6</v>
      </c>
      <c r="B55" s="49">
        <f>'6 - B1'!B55</f>
        <v>57940</v>
      </c>
      <c r="C55" s="49">
        <f>'6 - B1'!C55</f>
        <v>58166</v>
      </c>
      <c r="D55" s="49">
        <f>'6 - B1'!D55</f>
        <v>57551</v>
      </c>
      <c r="E55" s="49">
        <f>'6 - B1'!E55</f>
        <v>57661</v>
      </c>
      <c r="F55" s="49">
        <f>'6 - B1'!F55</f>
        <v>58335</v>
      </c>
      <c r="G55" s="49">
        <f>'6 - B1'!G55</f>
        <v>58038</v>
      </c>
      <c r="H55" s="49">
        <f>'6 - B1'!H55</f>
        <v>56400</v>
      </c>
      <c r="I55" s="49">
        <f>'6 - B1'!I55</f>
        <v>55179</v>
      </c>
      <c r="J55" s="49">
        <f>'6 - B1'!J55</f>
        <v>58570</v>
      </c>
      <c r="K55" s="49">
        <f>'6 - B1'!K55</f>
        <v>57741</v>
      </c>
      <c r="L55" s="49">
        <f>'6 - B1'!L55</f>
        <v>57940</v>
      </c>
      <c r="M55" s="49">
        <f>'6 - B1'!M55</f>
        <v>58166</v>
      </c>
      <c r="N55" s="49">
        <f>'6 - B1'!N55</f>
        <v>57551</v>
      </c>
      <c r="O55" s="49">
        <f>'6 - B1'!O55</f>
        <v>57661</v>
      </c>
      <c r="P55" s="49">
        <f>'6 - B1'!P55</f>
        <v>58335</v>
      </c>
    </row>
    <row r="56" spans="1:16" x14ac:dyDescent="0.35">
      <c r="A56" s="49">
        <f>'6 - B1'!A56</f>
        <v>7</v>
      </c>
      <c r="B56" s="49">
        <f>'6 - B1'!B56</f>
        <v>49573</v>
      </c>
      <c r="C56" s="49">
        <f>'6 - B1'!C56</f>
        <v>49727</v>
      </c>
      <c r="D56" s="49">
        <f>'6 - B1'!D56</f>
        <v>49171</v>
      </c>
      <c r="E56" s="49">
        <f>'6 - B1'!E56</f>
        <v>49152</v>
      </c>
      <c r="F56" s="49">
        <f>'6 - B1'!F56</f>
        <v>49847</v>
      </c>
      <c r="G56" s="49">
        <f>'6 - B1'!G56</f>
        <v>49638</v>
      </c>
      <c r="H56" s="49">
        <f>'6 - B1'!H56</f>
        <v>48280</v>
      </c>
      <c r="I56" s="49">
        <f>'6 - B1'!I56</f>
        <v>47247</v>
      </c>
      <c r="J56" s="49">
        <f>'6 - B1'!J56</f>
        <v>49742</v>
      </c>
      <c r="K56" s="49">
        <f>'6 - B1'!K56</f>
        <v>49295</v>
      </c>
      <c r="L56" s="49">
        <f>'6 - B1'!L56</f>
        <v>49573</v>
      </c>
      <c r="M56" s="49">
        <f>'6 - B1'!M56</f>
        <v>49727</v>
      </c>
      <c r="N56" s="49">
        <f>'6 - B1'!N56</f>
        <v>49171</v>
      </c>
      <c r="O56" s="49">
        <f>'6 - B1'!O56</f>
        <v>49152</v>
      </c>
      <c r="P56" s="49">
        <f>'6 - B1'!P56</f>
        <v>49847</v>
      </c>
    </row>
    <row r="57" spans="1:16" x14ac:dyDescent="0.35">
      <c r="A57" s="49">
        <f>'6 - B1'!A57</f>
        <v>8</v>
      </c>
      <c r="B57" s="49">
        <f>'6 - B1'!B57</f>
        <v>42508</v>
      </c>
      <c r="C57" s="49">
        <f>'6 - B1'!C57</f>
        <v>42585</v>
      </c>
      <c r="D57" s="49">
        <f>'6 - B1'!D57</f>
        <v>41999</v>
      </c>
      <c r="E57" s="49">
        <f>'6 - B1'!E57</f>
        <v>42110</v>
      </c>
      <c r="F57" s="49">
        <f>'6 - B1'!F57</f>
        <v>42709</v>
      </c>
      <c r="G57" s="49">
        <f>'6 - B1'!G57</f>
        <v>42438</v>
      </c>
      <c r="H57" s="49">
        <f>'6 - B1'!H57</f>
        <v>41302</v>
      </c>
      <c r="I57" s="49">
        <f>'6 - B1'!I57</f>
        <v>40548</v>
      </c>
      <c r="J57" s="49">
        <f>'6 - B1'!J57</f>
        <v>42566</v>
      </c>
      <c r="K57" s="49">
        <f>'6 - B1'!K57</f>
        <v>42225</v>
      </c>
      <c r="L57" s="49">
        <f>'6 - B1'!L57</f>
        <v>42508</v>
      </c>
      <c r="M57" s="49">
        <f>'6 - B1'!M57</f>
        <v>42585</v>
      </c>
      <c r="N57" s="49">
        <f>'6 - B1'!N57</f>
        <v>41999</v>
      </c>
      <c r="O57" s="49">
        <f>'6 - B1'!O57</f>
        <v>42110</v>
      </c>
      <c r="P57" s="49">
        <f>'6 - B1'!P57</f>
        <v>42709</v>
      </c>
    </row>
    <row r="58" spans="1:16" x14ac:dyDescent="0.35">
      <c r="A58" s="49">
        <f>'6 - B1'!A58</f>
        <v>9</v>
      </c>
      <c r="B58" s="49">
        <f>'6 - B1'!B58</f>
        <v>36256</v>
      </c>
      <c r="C58" s="49">
        <f>'6 - B1'!C58</f>
        <v>36262</v>
      </c>
      <c r="D58" s="49">
        <f>'6 - B1'!D58</f>
        <v>35721</v>
      </c>
      <c r="E58" s="49">
        <f>'6 - B1'!E58</f>
        <v>35870</v>
      </c>
      <c r="F58" s="49">
        <f>'6 - B1'!F58</f>
        <v>36395</v>
      </c>
      <c r="G58" s="49">
        <f>'6 - B1'!G58</f>
        <v>36173</v>
      </c>
      <c r="H58" s="49">
        <f>'6 - B1'!H58</f>
        <v>35273</v>
      </c>
      <c r="I58" s="49">
        <f>'6 - B1'!I58</f>
        <v>34628</v>
      </c>
      <c r="J58" s="49">
        <f>'6 - B1'!J58</f>
        <v>36115</v>
      </c>
      <c r="K58" s="49">
        <f>'6 - B1'!K58</f>
        <v>35950</v>
      </c>
      <c r="L58" s="49">
        <f>'6 - B1'!L58</f>
        <v>36256</v>
      </c>
      <c r="M58" s="49">
        <f>'6 - B1'!M58</f>
        <v>36262</v>
      </c>
      <c r="N58" s="49">
        <f>'6 - B1'!N58</f>
        <v>35721</v>
      </c>
      <c r="O58" s="49">
        <f>'6 - B1'!O58</f>
        <v>35870</v>
      </c>
      <c r="P58" s="49">
        <f>'6 - B1'!P58</f>
        <v>36395</v>
      </c>
    </row>
    <row r="59" spans="1:16" x14ac:dyDescent="0.35">
      <c r="A59" s="49">
        <f>'6 - B1'!A59</f>
        <v>10</v>
      </c>
      <c r="B59" s="49">
        <f>'6 - B1'!B59</f>
        <v>30816</v>
      </c>
      <c r="C59" s="49">
        <f>'6 - B1'!C59</f>
        <v>30856</v>
      </c>
      <c r="D59" s="49">
        <f>'6 - B1'!D59</f>
        <v>30207</v>
      </c>
      <c r="E59" s="49">
        <f>'6 - B1'!E59</f>
        <v>30284</v>
      </c>
      <c r="F59" s="49">
        <f>'6 - B1'!F59</f>
        <v>30907</v>
      </c>
      <c r="G59" s="49">
        <f>'6 - B1'!G59</f>
        <v>30694</v>
      </c>
      <c r="H59" s="49">
        <f>'6 - B1'!H59</f>
        <v>30026</v>
      </c>
      <c r="I59" s="49">
        <f>'6 - B1'!I59</f>
        <v>29490</v>
      </c>
      <c r="J59" s="49">
        <f>'6 - B1'!J59</f>
        <v>30699</v>
      </c>
      <c r="K59" s="49">
        <f>'6 - B1'!K59</f>
        <v>30473</v>
      </c>
      <c r="L59" s="49">
        <f>'6 - B1'!L59</f>
        <v>30816</v>
      </c>
      <c r="M59" s="49">
        <f>'6 - B1'!M59</f>
        <v>30856</v>
      </c>
      <c r="N59" s="49">
        <f>'6 - B1'!N59</f>
        <v>30207</v>
      </c>
      <c r="O59" s="49">
        <f>'6 - B1'!O59</f>
        <v>30284</v>
      </c>
      <c r="P59" s="49">
        <f>'6 - B1'!P59</f>
        <v>30907</v>
      </c>
    </row>
    <row r="60" spans="1:16" x14ac:dyDescent="0.35">
      <c r="A60" s="49">
        <f>'6 - B1'!A60</f>
        <v>11</v>
      </c>
      <c r="B60" s="49">
        <f>'6 - B1'!B60</f>
        <v>25586</v>
      </c>
      <c r="C60" s="49">
        <f>'6 - B1'!C60</f>
        <v>25685</v>
      </c>
      <c r="D60" s="49">
        <f>'6 - B1'!D60</f>
        <v>25140</v>
      </c>
      <c r="E60" s="49">
        <f>'6 - B1'!E60</f>
        <v>25186</v>
      </c>
      <c r="F60" s="49">
        <f>'6 - B1'!F60</f>
        <v>25818</v>
      </c>
      <c r="G60" s="49">
        <f>'6 - B1'!G60</f>
        <v>25615</v>
      </c>
      <c r="H60" s="49">
        <f>'6 - B1'!H60</f>
        <v>25098</v>
      </c>
      <c r="I60" s="49">
        <f>'6 - B1'!I60</f>
        <v>24616</v>
      </c>
      <c r="J60" s="49">
        <f>'6 - B1'!J60</f>
        <v>25488</v>
      </c>
      <c r="K60" s="49">
        <f>'6 - B1'!K60</f>
        <v>25298</v>
      </c>
      <c r="L60" s="49">
        <f>'6 - B1'!L60</f>
        <v>25586</v>
      </c>
      <c r="M60" s="49">
        <f>'6 - B1'!M60</f>
        <v>25685</v>
      </c>
      <c r="N60" s="49">
        <f>'6 - B1'!N60</f>
        <v>25140</v>
      </c>
      <c r="O60" s="49">
        <f>'6 - B1'!O60</f>
        <v>25186</v>
      </c>
      <c r="P60" s="49">
        <f>'6 - B1'!P60</f>
        <v>25818</v>
      </c>
    </row>
    <row r="61" spans="1:16" x14ac:dyDescent="0.35">
      <c r="A61" s="49">
        <f>'6 - B1'!A61</f>
        <v>12</v>
      </c>
      <c r="B61" s="49">
        <f>'6 - B1'!B61</f>
        <v>20960</v>
      </c>
      <c r="C61" s="49">
        <f>'6 - B1'!C61</f>
        <v>21241</v>
      </c>
      <c r="D61" s="49">
        <f>'6 - B1'!D61</f>
        <v>20689</v>
      </c>
      <c r="E61" s="49">
        <f>'6 - B1'!E61</f>
        <v>20807</v>
      </c>
      <c r="F61" s="49">
        <f>'6 - B1'!F61</f>
        <v>21181</v>
      </c>
      <c r="G61" s="49">
        <f>'6 - B1'!G61</f>
        <v>21165</v>
      </c>
      <c r="H61" s="49">
        <f>'6 - B1'!H61</f>
        <v>20595</v>
      </c>
      <c r="I61" s="49">
        <f>'6 - B1'!I61</f>
        <v>20244</v>
      </c>
      <c r="J61" s="49">
        <f>'6 - B1'!J61</f>
        <v>20961</v>
      </c>
      <c r="K61" s="49">
        <f>'6 - B1'!K61</f>
        <v>20805</v>
      </c>
      <c r="L61" s="49">
        <f>'6 - B1'!L61</f>
        <v>20960</v>
      </c>
      <c r="M61" s="49">
        <f>'6 - B1'!M61</f>
        <v>21241</v>
      </c>
      <c r="N61" s="49">
        <f>'6 - B1'!N61</f>
        <v>20689</v>
      </c>
      <c r="O61" s="49">
        <f>'6 - B1'!O61</f>
        <v>20807</v>
      </c>
      <c r="P61" s="49">
        <f>'6 - B1'!P61</f>
        <v>21181</v>
      </c>
    </row>
    <row r="62" spans="1:16" x14ac:dyDescent="0.35">
      <c r="A62" s="49">
        <f>'6 - B1'!A62</f>
        <v>13</v>
      </c>
      <c r="B62" s="49">
        <f>'6 - B1'!B62</f>
        <v>16995</v>
      </c>
      <c r="C62" s="49">
        <f>'6 - B1'!C62</f>
        <v>17122</v>
      </c>
      <c r="D62" s="49">
        <f>'6 - B1'!D62</f>
        <v>16750</v>
      </c>
      <c r="E62" s="49">
        <f>'6 - B1'!E62</f>
        <v>16878</v>
      </c>
      <c r="F62" s="49">
        <f>'6 - B1'!F62</f>
        <v>17170</v>
      </c>
      <c r="G62" s="49">
        <f>'6 - B1'!G62</f>
        <v>17110</v>
      </c>
      <c r="H62" s="49">
        <f>'6 - B1'!H62</f>
        <v>16780</v>
      </c>
      <c r="I62" s="49">
        <f>'6 - B1'!I62</f>
        <v>16448</v>
      </c>
      <c r="J62" s="49">
        <f>'6 - B1'!J62</f>
        <v>16920</v>
      </c>
      <c r="K62" s="49">
        <f>'6 - B1'!K62</f>
        <v>16835</v>
      </c>
      <c r="L62" s="49">
        <f>'6 - B1'!L62</f>
        <v>16995</v>
      </c>
      <c r="M62" s="49">
        <f>'6 - B1'!M62</f>
        <v>17122</v>
      </c>
      <c r="N62" s="49">
        <f>'6 - B1'!N62</f>
        <v>16750</v>
      </c>
      <c r="O62" s="49">
        <f>'6 - B1'!O62</f>
        <v>16878</v>
      </c>
      <c r="P62" s="49">
        <f>'6 - B1'!P62</f>
        <v>17170</v>
      </c>
    </row>
    <row r="63" spans="1:16" x14ac:dyDescent="0.35">
      <c r="A63" s="49">
        <f>'6 - B1'!A63</f>
        <v>14</v>
      </c>
      <c r="B63" s="49">
        <f>'6 - B1'!B63</f>
        <v>13464</v>
      </c>
      <c r="C63" s="49">
        <f>'6 - B1'!C63</f>
        <v>13593</v>
      </c>
      <c r="D63" s="49">
        <f>'6 - B1'!D63</f>
        <v>13360</v>
      </c>
      <c r="E63" s="49">
        <f>'6 - B1'!E63</f>
        <v>13403</v>
      </c>
      <c r="F63" s="49">
        <f>'6 - B1'!F63</f>
        <v>13570</v>
      </c>
      <c r="G63" s="49">
        <f>'6 - B1'!G63</f>
        <v>13582</v>
      </c>
      <c r="H63" s="49">
        <f>'6 - B1'!H63</f>
        <v>13336</v>
      </c>
      <c r="I63" s="49">
        <f>'6 - B1'!I63</f>
        <v>13037</v>
      </c>
      <c r="J63" s="49">
        <f>'6 - B1'!J63</f>
        <v>13427</v>
      </c>
      <c r="K63" s="49">
        <f>'6 - B1'!K63</f>
        <v>13374</v>
      </c>
      <c r="L63" s="49">
        <f>'6 - B1'!L63</f>
        <v>13464</v>
      </c>
      <c r="M63" s="49">
        <f>'6 - B1'!M63</f>
        <v>13593</v>
      </c>
      <c r="N63" s="49">
        <f>'6 - B1'!N63</f>
        <v>13360</v>
      </c>
      <c r="O63" s="49">
        <f>'6 - B1'!O63</f>
        <v>13403</v>
      </c>
      <c r="P63" s="49">
        <f>'6 - B1'!P63</f>
        <v>13570</v>
      </c>
    </row>
    <row r="64" spans="1:16" x14ac:dyDescent="0.35">
      <c r="A64" s="49">
        <f>'6 - B1'!A64</f>
        <v>15</v>
      </c>
      <c r="B64" s="49">
        <f>'6 - B1'!B64</f>
        <v>10437</v>
      </c>
      <c r="C64" s="49">
        <f>'6 - B1'!C64</f>
        <v>10657</v>
      </c>
      <c r="D64" s="49">
        <f>'6 - B1'!D64</f>
        <v>10420</v>
      </c>
      <c r="E64" s="49">
        <f>'6 - B1'!E64</f>
        <v>10518</v>
      </c>
      <c r="F64" s="49">
        <f>'6 - B1'!F64</f>
        <v>10649</v>
      </c>
      <c r="G64" s="49">
        <f>'6 - B1'!G64</f>
        <v>10636</v>
      </c>
      <c r="H64" s="49">
        <f>'6 - B1'!H64</f>
        <v>10345</v>
      </c>
      <c r="I64" s="49">
        <f>'6 - B1'!I64</f>
        <v>10183</v>
      </c>
      <c r="J64" s="49">
        <f>'6 - B1'!J64</f>
        <v>10509</v>
      </c>
      <c r="K64" s="49">
        <f>'6 - B1'!K64</f>
        <v>10359</v>
      </c>
      <c r="L64" s="49">
        <f>'6 - B1'!L64</f>
        <v>10437</v>
      </c>
      <c r="M64" s="49">
        <f>'6 - B1'!M64</f>
        <v>10657</v>
      </c>
      <c r="N64" s="49">
        <f>'6 - B1'!N64</f>
        <v>10420</v>
      </c>
      <c r="O64" s="49">
        <f>'6 - B1'!O64</f>
        <v>10518</v>
      </c>
      <c r="P64" s="49">
        <f>'6 - B1'!P64</f>
        <v>10649</v>
      </c>
    </row>
    <row r="65" spans="1:16" x14ac:dyDescent="0.35">
      <c r="A65" s="49">
        <f>'6 - B1'!A65</f>
        <v>16</v>
      </c>
      <c r="B65" s="49">
        <f>'6 - B1'!B65</f>
        <v>8006</v>
      </c>
      <c r="C65" s="49">
        <f>'6 - B1'!C65</f>
        <v>8087</v>
      </c>
      <c r="D65" s="49">
        <f>'6 - B1'!D65</f>
        <v>7896</v>
      </c>
      <c r="E65" s="49">
        <f>'6 - B1'!E65</f>
        <v>8067</v>
      </c>
      <c r="F65" s="49">
        <f>'6 - B1'!F65</f>
        <v>8129</v>
      </c>
      <c r="G65" s="49">
        <f>'6 - B1'!G65</f>
        <v>8120</v>
      </c>
      <c r="H65" s="49">
        <f>'6 - B1'!H65</f>
        <v>7870</v>
      </c>
      <c r="I65" s="49">
        <f>'6 - B1'!I65</f>
        <v>7684</v>
      </c>
      <c r="J65" s="49">
        <f>'6 - B1'!J65</f>
        <v>7978</v>
      </c>
      <c r="K65" s="49">
        <f>'6 - B1'!K65</f>
        <v>7851</v>
      </c>
      <c r="L65" s="49">
        <f>'6 - B1'!L65</f>
        <v>8006</v>
      </c>
      <c r="M65" s="49">
        <f>'6 - B1'!M65</f>
        <v>8087</v>
      </c>
      <c r="N65" s="49">
        <f>'6 - B1'!N65</f>
        <v>7896</v>
      </c>
      <c r="O65" s="49">
        <f>'6 - B1'!O65</f>
        <v>8067</v>
      </c>
      <c r="P65" s="49">
        <f>'6 - B1'!P65</f>
        <v>8129</v>
      </c>
    </row>
    <row r="66" spans="1:16" x14ac:dyDescent="0.35">
      <c r="A66" s="49">
        <f>'6 - B1'!A66</f>
        <v>17</v>
      </c>
      <c r="B66" s="49">
        <f>'6 - B1'!B66</f>
        <v>6051</v>
      </c>
      <c r="C66" s="49">
        <f>'6 - B1'!C66</f>
        <v>6161</v>
      </c>
      <c r="D66" s="49">
        <f>'6 - B1'!D66</f>
        <v>5934</v>
      </c>
      <c r="E66" s="49">
        <f>'6 - B1'!E66</f>
        <v>6087</v>
      </c>
      <c r="F66" s="49">
        <f>'6 - B1'!F66</f>
        <v>6074</v>
      </c>
      <c r="G66" s="49">
        <f>'6 - B1'!G66</f>
        <v>6172</v>
      </c>
      <c r="H66" s="49">
        <f>'6 - B1'!H66</f>
        <v>5927</v>
      </c>
      <c r="I66" s="49">
        <f>'6 - B1'!I66</f>
        <v>5794</v>
      </c>
      <c r="J66" s="49">
        <f>'6 - B1'!J66</f>
        <v>5990</v>
      </c>
      <c r="K66" s="49">
        <f>'6 - B1'!K66</f>
        <v>5879</v>
      </c>
      <c r="L66" s="49">
        <f>'6 - B1'!L66</f>
        <v>6051</v>
      </c>
      <c r="M66" s="49">
        <f>'6 - B1'!M66</f>
        <v>6161</v>
      </c>
      <c r="N66" s="49">
        <f>'6 - B1'!N66</f>
        <v>5934</v>
      </c>
      <c r="O66" s="49">
        <f>'6 - B1'!O66</f>
        <v>6087</v>
      </c>
      <c r="P66" s="49">
        <f>'6 - B1'!P66</f>
        <v>6074</v>
      </c>
    </row>
    <row r="67" spans="1:16" x14ac:dyDescent="0.35">
      <c r="A67" s="49">
        <f>'6 - B1'!A67</f>
        <v>18</v>
      </c>
      <c r="B67" s="49">
        <f>'6 - B1'!B67</f>
        <v>4514</v>
      </c>
      <c r="C67" s="49">
        <f>'6 - B1'!C67</f>
        <v>4620</v>
      </c>
      <c r="D67" s="49">
        <f>'6 - B1'!D67</f>
        <v>4449</v>
      </c>
      <c r="E67" s="49">
        <f>'6 - B1'!E67</f>
        <v>4534</v>
      </c>
      <c r="F67" s="49">
        <f>'6 - B1'!F67</f>
        <v>4554</v>
      </c>
      <c r="G67" s="49">
        <f>'6 - B1'!G67</f>
        <v>4647</v>
      </c>
      <c r="H67" s="49">
        <f>'6 - B1'!H67</f>
        <v>4438</v>
      </c>
      <c r="I67" s="49">
        <f>'6 - B1'!I67</f>
        <v>4374</v>
      </c>
      <c r="J67" s="49">
        <f>'6 - B1'!J67</f>
        <v>4499</v>
      </c>
      <c r="K67" s="49">
        <f>'6 - B1'!K67</f>
        <v>4374</v>
      </c>
      <c r="L67" s="49">
        <f>'6 - B1'!L67</f>
        <v>4514</v>
      </c>
      <c r="M67" s="49">
        <f>'6 - B1'!M67</f>
        <v>4620</v>
      </c>
      <c r="N67" s="49">
        <f>'6 - B1'!N67</f>
        <v>4449</v>
      </c>
      <c r="O67" s="49">
        <f>'6 - B1'!O67</f>
        <v>4534</v>
      </c>
      <c r="P67" s="49">
        <f>'6 - B1'!P67</f>
        <v>4554</v>
      </c>
    </row>
    <row r="68" spans="1:16" x14ac:dyDescent="0.35">
      <c r="A68" s="49">
        <f>'6 - B1'!A68</f>
        <v>19</v>
      </c>
      <c r="B68" s="49">
        <f>'6 - B1'!B68</f>
        <v>3406</v>
      </c>
      <c r="C68" s="49">
        <f>'6 - B1'!C68</f>
        <v>3483</v>
      </c>
      <c r="D68" s="49">
        <f>'6 - B1'!D68</f>
        <v>3334</v>
      </c>
      <c r="E68" s="49">
        <f>'6 - B1'!E68</f>
        <v>3392</v>
      </c>
      <c r="F68" s="49">
        <f>'6 - B1'!F68</f>
        <v>3329</v>
      </c>
      <c r="G68" s="49">
        <f>'6 - B1'!G68</f>
        <v>3520</v>
      </c>
      <c r="H68" s="49">
        <f>'6 - B1'!H68</f>
        <v>3308</v>
      </c>
      <c r="I68" s="49">
        <f>'6 - B1'!I68</f>
        <v>3324</v>
      </c>
      <c r="J68" s="49">
        <f>'6 - B1'!J68</f>
        <v>3365</v>
      </c>
      <c r="K68" s="49">
        <f>'6 - B1'!K68</f>
        <v>3266</v>
      </c>
      <c r="L68" s="49">
        <f>'6 - B1'!L68</f>
        <v>3406</v>
      </c>
      <c r="M68" s="49">
        <f>'6 - B1'!M68</f>
        <v>3483</v>
      </c>
      <c r="N68" s="49">
        <f>'6 - B1'!N68</f>
        <v>3334</v>
      </c>
      <c r="O68" s="49">
        <f>'6 - B1'!O68</f>
        <v>3392</v>
      </c>
      <c r="P68" s="49">
        <f>'6 - B1'!P68</f>
        <v>3329</v>
      </c>
    </row>
    <row r="69" spans="1:16" x14ac:dyDescent="0.35">
      <c r="A69" s="49">
        <f>'6 - B1'!A69</f>
        <v>20</v>
      </c>
      <c r="B69" s="49">
        <f>'6 - B1'!B69</f>
        <v>2592</v>
      </c>
      <c r="C69" s="49">
        <f>'6 - B1'!C69</f>
        <v>2628</v>
      </c>
      <c r="D69" s="49">
        <f>'6 - B1'!D69</f>
        <v>2525</v>
      </c>
      <c r="E69" s="49">
        <f>'6 - B1'!E69</f>
        <v>2525</v>
      </c>
      <c r="F69" s="49">
        <f>'6 - B1'!F69</f>
        <v>2491</v>
      </c>
      <c r="G69" s="49">
        <f>'6 - B1'!G69</f>
        <v>2642</v>
      </c>
      <c r="H69" s="49">
        <f>'6 - B1'!H69</f>
        <v>2518</v>
      </c>
      <c r="I69" s="49">
        <f>'6 - B1'!I69</f>
        <v>2506</v>
      </c>
      <c r="J69" s="49">
        <f>'6 - B1'!J69</f>
        <v>2553</v>
      </c>
      <c r="K69" s="49">
        <f>'6 - B1'!K69</f>
        <v>2425</v>
      </c>
      <c r="L69" s="49">
        <f>'6 - B1'!L69</f>
        <v>2592</v>
      </c>
      <c r="M69" s="49">
        <f>'6 - B1'!M69</f>
        <v>2628</v>
      </c>
      <c r="N69" s="49">
        <f>'6 - B1'!N69</f>
        <v>2525</v>
      </c>
      <c r="O69" s="49">
        <f>'6 - B1'!O69</f>
        <v>2525</v>
      </c>
      <c r="P69" s="49">
        <f>'6 - B1'!P69</f>
        <v>2491</v>
      </c>
    </row>
    <row r="70" spans="1:16" x14ac:dyDescent="0.35">
      <c r="A70" s="49">
        <f>'6 - B1'!A70</f>
        <v>21</v>
      </c>
      <c r="B70" s="49">
        <f>'6 - B1'!B70</f>
        <v>1946</v>
      </c>
      <c r="C70" s="49">
        <f>'6 - B1'!C70</f>
        <v>1971</v>
      </c>
      <c r="D70" s="49">
        <f>'6 - B1'!D70</f>
        <v>1894</v>
      </c>
      <c r="E70" s="49">
        <f>'6 - B1'!E70</f>
        <v>1905</v>
      </c>
      <c r="F70" s="49">
        <f>'6 - B1'!F70</f>
        <v>1845</v>
      </c>
      <c r="G70" s="49">
        <f>'6 - B1'!G70</f>
        <v>2018</v>
      </c>
      <c r="H70" s="49">
        <f>'6 - B1'!H70</f>
        <v>1904</v>
      </c>
      <c r="I70" s="49">
        <f>'6 - B1'!I70</f>
        <v>1876</v>
      </c>
      <c r="J70" s="49">
        <f>'6 - B1'!J70</f>
        <v>1936</v>
      </c>
      <c r="K70" s="49">
        <f>'6 - B1'!K70</f>
        <v>1755</v>
      </c>
      <c r="L70" s="49">
        <f>'6 - B1'!L70</f>
        <v>1946</v>
      </c>
      <c r="M70" s="49">
        <f>'6 - B1'!M70</f>
        <v>1971</v>
      </c>
      <c r="N70" s="49">
        <f>'6 - B1'!N70</f>
        <v>1894</v>
      </c>
      <c r="O70" s="49">
        <f>'6 - B1'!O70</f>
        <v>1905</v>
      </c>
      <c r="P70" s="49">
        <f>'6 - B1'!P70</f>
        <v>1845</v>
      </c>
    </row>
    <row r="71" spans="1:16" x14ac:dyDescent="0.35">
      <c r="A71" s="49">
        <f>'6 - B1'!A71</f>
        <v>22</v>
      </c>
      <c r="B71" s="49">
        <f>'6 - B1'!B71</f>
        <v>1497</v>
      </c>
      <c r="C71" s="49">
        <f>'6 - B1'!C71</f>
        <v>1488</v>
      </c>
      <c r="D71" s="49">
        <f>'6 - B1'!D71</f>
        <v>1427</v>
      </c>
      <c r="E71" s="49">
        <f>'6 - B1'!E71</f>
        <v>1457</v>
      </c>
      <c r="F71" s="49">
        <f>'6 - B1'!F71</f>
        <v>1381</v>
      </c>
      <c r="G71" s="49">
        <f>'6 - B1'!G71</f>
        <v>1517</v>
      </c>
      <c r="H71" s="49">
        <f>'6 - B1'!H71</f>
        <v>1458</v>
      </c>
      <c r="I71" s="49">
        <f>'6 - B1'!I71</f>
        <v>1419</v>
      </c>
      <c r="J71" s="49">
        <f>'6 - B1'!J71</f>
        <v>1444</v>
      </c>
      <c r="K71" s="49">
        <f>'6 - B1'!K71</f>
        <v>1302</v>
      </c>
      <c r="L71" s="49">
        <f>'6 - B1'!L71</f>
        <v>1497</v>
      </c>
      <c r="M71" s="49">
        <f>'6 - B1'!M71</f>
        <v>1488</v>
      </c>
      <c r="N71" s="49">
        <f>'6 - B1'!N71</f>
        <v>1427</v>
      </c>
      <c r="O71" s="49">
        <f>'6 - B1'!O71</f>
        <v>1457</v>
      </c>
      <c r="P71" s="49">
        <f>'6 - B1'!P71</f>
        <v>1381</v>
      </c>
    </row>
    <row r="72" spans="1:16" x14ac:dyDescent="0.35">
      <c r="A72" s="49">
        <f>'6 - B1'!A72</f>
        <v>23</v>
      </c>
      <c r="B72" s="49">
        <f>'6 - B1'!B72</f>
        <v>1164</v>
      </c>
      <c r="C72" s="49">
        <f>'6 - B1'!C72</f>
        <v>1143</v>
      </c>
      <c r="D72" s="49">
        <f>'6 - B1'!D72</f>
        <v>1092</v>
      </c>
      <c r="E72" s="49">
        <f>'6 - B1'!E72</f>
        <v>1092</v>
      </c>
      <c r="F72" s="49">
        <f>'6 - B1'!F72</f>
        <v>1021</v>
      </c>
      <c r="G72" s="49">
        <f>'6 - B1'!G72</f>
        <v>1152</v>
      </c>
      <c r="H72" s="49">
        <f>'6 - B1'!H72</f>
        <v>1110</v>
      </c>
      <c r="I72" s="49">
        <f>'6 - B1'!I72</f>
        <v>1106</v>
      </c>
      <c r="J72" s="49">
        <f>'6 - B1'!J72</f>
        <v>1091</v>
      </c>
      <c r="K72" s="49">
        <f>'6 - B1'!K72</f>
        <v>966</v>
      </c>
      <c r="L72" s="49">
        <f>'6 - B1'!L72</f>
        <v>1164</v>
      </c>
      <c r="M72" s="49">
        <f>'6 - B1'!M72</f>
        <v>1143</v>
      </c>
      <c r="N72" s="49">
        <f>'6 - B1'!N72</f>
        <v>1092</v>
      </c>
      <c r="O72" s="49">
        <f>'6 - B1'!O72</f>
        <v>1092</v>
      </c>
      <c r="P72" s="49">
        <f>'6 - B1'!P72</f>
        <v>1021</v>
      </c>
    </row>
    <row r="73" spans="1:16" x14ac:dyDescent="0.35">
      <c r="A73" s="49">
        <f>'6 - B1'!A73</f>
        <v>24</v>
      </c>
      <c r="B73" s="49">
        <f>'6 - B1'!B73</f>
        <v>867</v>
      </c>
      <c r="C73" s="49">
        <f>'6 - B1'!C73</f>
        <v>850</v>
      </c>
      <c r="D73" s="49">
        <f>'6 - B1'!D73</f>
        <v>848</v>
      </c>
      <c r="E73" s="49">
        <f>'6 - B1'!E73</f>
        <v>810</v>
      </c>
      <c r="F73" s="49">
        <f>'6 - B1'!F73</f>
        <v>779</v>
      </c>
      <c r="G73" s="49">
        <f>'6 - B1'!G73</f>
        <v>858</v>
      </c>
      <c r="H73" s="49">
        <f>'6 - B1'!H73</f>
        <v>853</v>
      </c>
      <c r="I73" s="49">
        <f>'6 - B1'!I73</f>
        <v>815</v>
      </c>
      <c r="J73" s="49">
        <f>'6 - B1'!J73</f>
        <v>816</v>
      </c>
      <c r="K73" s="49">
        <f>'6 - B1'!K73</f>
        <v>724</v>
      </c>
      <c r="L73" s="49">
        <f>'6 - B1'!L73</f>
        <v>867</v>
      </c>
      <c r="M73" s="49">
        <f>'6 - B1'!M73</f>
        <v>850</v>
      </c>
      <c r="N73" s="49">
        <f>'6 - B1'!N73</f>
        <v>848</v>
      </c>
      <c r="O73" s="49">
        <f>'6 - B1'!O73</f>
        <v>810</v>
      </c>
      <c r="P73" s="49">
        <f>'6 - B1'!P73</f>
        <v>779</v>
      </c>
    </row>
    <row r="74" spans="1:16" x14ac:dyDescent="0.35">
      <c r="A74" s="49">
        <f>'6 - B1'!A74</f>
        <v>25</v>
      </c>
      <c r="B74" s="49">
        <f>'6 - B1'!B74</f>
        <v>652</v>
      </c>
      <c r="C74" s="49">
        <f>'6 - B1'!C74</f>
        <v>624</v>
      </c>
      <c r="D74" s="49">
        <f>'6 - B1'!D74</f>
        <v>630</v>
      </c>
      <c r="E74" s="49">
        <f>'6 - B1'!E74</f>
        <v>579</v>
      </c>
      <c r="F74" s="49">
        <f>'6 - B1'!F74</f>
        <v>590</v>
      </c>
      <c r="G74" s="49">
        <f>'6 - B1'!G74</f>
        <v>628</v>
      </c>
      <c r="H74" s="49">
        <f>'6 - B1'!H74</f>
        <v>632</v>
      </c>
      <c r="I74" s="49">
        <f>'6 - B1'!I74</f>
        <v>599</v>
      </c>
      <c r="J74" s="49">
        <f>'6 - B1'!J74</f>
        <v>591</v>
      </c>
      <c r="K74" s="49">
        <f>'6 - B1'!K74</f>
        <v>564</v>
      </c>
      <c r="L74" s="49">
        <f>'6 - B1'!L74</f>
        <v>652</v>
      </c>
      <c r="M74" s="49">
        <f>'6 - B1'!M74</f>
        <v>624</v>
      </c>
      <c r="N74" s="49">
        <f>'6 - B1'!N74</f>
        <v>630</v>
      </c>
      <c r="O74" s="49">
        <f>'6 - B1'!O74</f>
        <v>579</v>
      </c>
      <c r="P74" s="49">
        <f>'6 - B1'!P74</f>
        <v>590</v>
      </c>
    </row>
    <row r="75" spans="1:16" x14ac:dyDescent="0.35">
      <c r="A75" s="49">
        <f>'6 - B1'!A75</f>
        <v>26</v>
      </c>
      <c r="B75" s="49">
        <f>'6 - B1'!B75</f>
        <v>474</v>
      </c>
      <c r="C75" s="49">
        <f>'6 - B1'!C75</f>
        <v>465</v>
      </c>
      <c r="D75" s="49">
        <f>'6 - B1'!D75</f>
        <v>457</v>
      </c>
      <c r="E75" s="49">
        <f>'6 - B1'!E75</f>
        <v>405</v>
      </c>
      <c r="F75" s="49">
        <f>'6 - B1'!F75</f>
        <v>405</v>
      </c>
      <c r="G75" s="49">
        <f>'6 - B1'!G75</f>
        <v>466</v>
      </c>
      <c r="H75" s="49">
        <f>'6 - B1'!H75</f>
        <v>480</v>
      </c>
      <c r="I75" s="49">
        <f>'6 - B1'!I75</f>
        <v>455</v>
      </c>
      <c r="J75" s="49">
        <f>'6 - B1'!J75</f>
        <v>418</v>
      </c>
      <c r="K75" s="49">
        <f>'6 - B1'!K75</f>
        <v>393</v>
      </c>
      <c r="L75" s="49">
        <f>'6 - B1'!L75</f>
        <v>474</v>
      </c>
      <c r="M75" s="49">
        <f>'6 - B1'!M75</f>
        <v>465</v>
      </c>
      <c r="N75" s="49">
        <f>'6 - B1'!N75</f>
        <v>457</v>
      </c>
      <c r="O75" s="49">
        <f>'6 - B1'!O75</f>
        <v>405</v>
      </c>
      <c r="P75" s="49">
        <f>'6 - B1'!P75</f>
        <v>405</v>
      </c>
    </row>
    <row r="76" spans="1:16" x14ac:dyDescent="0.35">
      <c r="A76" s="49">
        <f>'6 - B1'!A76</f>
        <v>27</v>
      </c>
      <c r="B76" s="49">
        <f>'6 - B1'!B76</f>
        <v>349</v>
      </c>
      <c r="C76" s="49">
        <f>'6 - B1'!C76</f>
        <v>341</v>
      </c>
      <c r="D76" s="49">
        <f>'6 - B1'!D76</f>
        <v>323</v>
      </c>
      <c r="E76" s="49">
        <f>'6 - B1'!E76</f>
        <v>273</v>
      </c>
      <c r="F76" s="49">
        <f>'6 - B1'!F76</f>
        <v>292</v>
      </c>
      <c r="G76" s="49">
        <f>'6 - B1'!G76</f>
        <v>354</v>
      </c>
      <c r="H76" s="49">
        <f>'6 - B1'!H76</f>
        <v>360</v>
      </c>
      <c r="I76" s="49">
        <f>'6 - B1'!I76</f>
        <v>325</v>
      </c>
      <c r="J76" s="49">
        <f>'6 - B1'!J76</f>
        <v>299</v>
      </c>
      <c r="K76" s="49">
        <f>'6 - B1'!K76</f>
        <v>273</v>
      </c>
      <c r="L76" s="49">
        <f>'6 - B1'!L76</f>
        <v>349</v>
      </c>
      <c r="M76" s="49">
        <f>'6 - B1'!M76</f>
        <v>341</v>
      </c>
      <c r="N76" s="49">
        <f>'6 - B1'!N76</f>
        <v>323</v>
      </c>
      <c r="O76" s="49">
        <f>'6 - B1'!O76</f>
        <v>273</v>
      </c>
      <c r="P76" s="49">
        <f>'6 - B1'!P76</f>
        <v>292</v>
      </c>
    </row>
    <row r="77" spans="1:16" x14ac:dyDescent="0.35">
      <c r="A77" s="49">
        <f>'6 - B1'!A77</f>
        <v>28</v>
      </c>
      <c r="B77" s="49">
        <f>'6 - B1'!B77</f>
        <v>242</v>
      </c>
      <c r="C77" s="49">
        <f>'6 - B1'!C77</f>
        <v>247</v>
      </c>
      <c r="D77" s="49">
        <f>'6 - B1'!D77</f>
        <v>233</v>
      </c>
      <c r="E77" s="49">
        <f>'6 - B1'!E77</f>
        <v>184</v>
      </c>
      <c r="F77" s="49">
        <f>'6 - B1'!F77</f>
        <v>209</v>
      </c>
      <c r="G77" s="49">
        <f>'6 - B1'!G77</f>
        <v>242</v>
      </c>
      <c r="H77" s="49">
        <f>'6 - B1'!H77</f>
        <v>246</v>
      </c>
      <c r="I77" s="49">
        <f>'6 - B1'!I77</f>
        <v>235</v>
      </c>
      <c r="J77" s="49">
        <f>'6 - B1'!J77</f>
        <v>206</v>
      </c>
      <c r="K77" s="49">
        <f>'6 - B1'!K77</f>
        <v>188</v>
      </c>
      <c r="L77" s="49">
        <f>'6 - B1'!L77</f>
        <v>242</v>
      </c>
      <c r="M77" s="49">
        <f>'6 - B1'!M77</f>
        <v>247</v>
      </c>
      <c r="N77" s="49">
        <f>'6 - B1'!N77</f>
        <v>233</v>
      </c>
      <c r="O77" s="49">
        <f>'6 - B1'!O77</f>
        <v>184</v>
      </c>
      <c r="P77" s="49">
        <f>'6 - B1'!P77</f>
        <v>209</v>
      </c>
    </row>
    <row r="78" spans="1:16" x14ac:dyDescent="0.35">
      <c r="A78" s="49">
        <f>'6 - B1'!A78</f>
        <v>29</v>
      </c>
      <c r="B78" s="49">
        <f>'6 - B1'!B78</f>
        <v>164</v>
      </c>
      <c r="C78" s="49">
        <f>'6 - B1'!C78</f>
        <v>179</v>
      </c>
      <c r="D78" s="49">
        <f>'6 - B1'!D78</f>
        <v>148</v>
      </c>
      <c r="E78" s="49">
        <f>'6 - B1'!E78</f>
        <v>113</v>
      </c>
      <c r="F78" s="49">
        <f>'6 - B1'!F78</f>
        <v>145</v>
      </c>
      <c r="G78" s="49">
        <f>'6 - B1'!G78</f>
        <v>171</v>
      </c>
      <c r="H78" s="49">
        <f>'6 - B1'!H78</f>
        <v>160</v>
      </c>
      <c r="I78" s="49">
        <f>'6 - B1'!I78</f>
        <v>157</v>
      </c>
      <c r="J78" s="49">
        <f>'6 - B1'!J78</f>
        <v>132</v>
      </c>
      <c r="K78" s="49">
        <f>'6 - B1'!K78</f>
        <v>124</v>
      </c>
      <c r="L78" s="49">
        <f>'6 - B1'!L78</f>
        <v>164</v>
      </c>
      <c r="M78" s="49">
        <f>'6 - B1'!M78</f>
        <v>179</v>
      </c>
      <c r="N78" s="49">
        <f>'6 - B1'!N78</f>
        <v>148</v>
      </c>
      <c r="O78" s="49">
        <f>'6 - B1'!O78</f>
        <v>113</v>
      </c>
      <c r="P78" s="49">
        <f>'6 - B1'!P78</f>
        <v>145</v>
      </c>
    </row>
    <row r="79" spans="1:16" x14ac:dyDescent="0.35">
      <c r="A79" s="49">
        <f>'6 - B1'!A79</f>
        <v>30</v>
      </c>
      <c r="B79" s="49">
        <f>'6 - B1'!B79</f>
        <v>102</v>
      </c>
      <c r="C79" s="49">
        <f>'6 - B1'!C79</f>
        <v>117</v>
      </c>
      <c r="D79" s="49">
        <f>'6 - B1'!D79</f>
        <v>105</v>
      </c>
      <c r="E79" s="49">
        <f>'6 - B1'!E79</f>
        <v>83</v>
      </c>
      <c r="F79" s="49">
        <f>'6 - B1'!F79</f>
        <v>93</v>
      </c>
      <c r="G79" s="49">
        <f>'6 - B1'!G79</f>
        <v>111</v>
      </c>
      <c r="H79" s="49">
        <f>'6 - B1'!H79</f>
        <v>120</v>
      </c>
      <c r="I79" s="49">
        <f>'6 - B1'!I79</f>
        <v>101</v>
      </c>
      <c r="J79" s="49">
        <f>'6 - B1'!J79</f>
        <v>97</v>
      </c>
      <c r="K79" s="49">
        <f>'6 - B1'!K79</f>
        <v>73</v>
      </c>
      <c r="L79" s="49">
        <f>'6 - B1'!L79</f>
        <v>102</v>
      </c>
      <c r="M79" s="49">
        <f>'6 - B1'!M79</f>
        <v>117</v>
      </c>
      <c r="N79" s="49">
        <f>'6 - B1'!N79</f>
        <v>105</v>
      </c>
      <c r="O79" s="49">
        <f>'6 - B1'!O79</f>
        <v>83</v>
      </c>
      <c r="P79" s="49">
        <f>'6 - B1'!P79</f>
        <v>93</v>
      </c>
    </row>
    <row r="80" spans="1:16" x14ac:dyDescent="0.35">
      <c r="A80" s="49">
        <f>'6 - B1'!A80</f>
        <v>38</v>
      </c>
      <c r="B80" s="49">
        <f>'6 - B1'!B80</f>
        <v>73</v>
      </c>
      <c r="C80" s="49">
        <f>'6 - B1'!C80</f>
        <v>84</v>
      </c>
      <c r="D80" s="49">
        <f>'6 - B1'!D80</f>
        <v>73</v>
      </c>
      <c r="E80" s="49">
        <f>'6 - B1'!E80</f>
        <v>54</v>
      </c>
      <c r="F80" s="49">
        <f>'6 - B1'!F80</f>
        <v>57</v>
      </c>
      <c r="G80" s="49">
        <f>'6 - B1'!G80</f>
        <v>71</v>
      </c>
      <c r="H80" s="49">
        <f>'6 - B1'!H80</f>
        <v>86</v>
      </c>
      <c r="I80" s="49">
        <f>'6 - B1'!I80</f>
        <v>81</v>
      </c>
      <c r="J80" s="49">
        <f>'6 - B1'!J80</f>
        <v>69</v>
      </c>
      <c r="K80" s="49">
        <f>'6 - B1'!K80</f>
        <v>51</v>
      </c>
      <c r="L80" s="49">
        <f>'6 - B1'!L80</f>
        <v>73</v>
      </c>
      <c r="M80" s="49">
        <f>'6 - B1'!M80</f>
        <v>84</v>
      </c>
      <c r="N80" s="49">
        <f>'6 - B1'!N80</f>
        <v>73</v>
      </c>
      <c r="O80" s="49">
        <f>'6 - B1'!O80</f>
        <v>54</v>
      </c>
      <c r="P80" s="49">
        <f>'6 - B1'!P80</f>
        <v>57</v>
      </c>
    </row>
    <row r="81" spans="1:16" x14ac:dyDescent="0.35">
      <c r="A81" s="49">
        <f>'6 - B1'!A81</f>
        <v>50</v>
      </c>
      <c r="B81" s="49">
        <f>'6 - B1'!B81</f>
        <v>52</v>
      </c>
      <c r="C81" s="49">
        <f>'6 - B1'!C81</f>
        <v>55</v>
      </c>
      <c r="D81" s="49">
        <f>'6 - B1'!D81</f>
        <v>35</v>
      </c>
      <c r="E81" s="49">
        <f>'6 - B1'!E81</f>
        <v>32</v>
      </c>
      <c r="F81" s="49">
        <f>'6 - B1'!F81</f>
        <v>31</v>
      </c>
      <c r="G81" s="49">
        <f>'6 - B1'!G81</f>
        <v>53</v>
      </c>
      <c r="H81" s="49">
        <f>'6 - B1'!H81</f>
        <v>58</v>
      </c>
      <c r="I81" s="49">
        <f>'6 - B1'!I81</f>
        <v>52</v>
      </c>
      <c r="J81" s="49">
        <f>'6 - B1'!J81</f>
        <v>40</v>
      </c>
      <c r="K81" s="49">
        <f>'6 - B1'!K81</f>
        <v>31</v>
      </c>
      <c r="L81" s="49">
        <f>'6 - B1'!L81</f>
        <v>52</v>
      </c>
      <c r="M81" s="49">
        <f>'6 - B1'!M81</f>
        <v>55</v>
      </c>
      <c r="N81" s="49">
        <f>'6 - B1'!N81</f>
        <v>35</v>
      </c>
      <c r="O81" s="49">
        <f>'6 - B1'!O81</f>
        <v>32</v>
      </c>
      <c r="P81" s="49">
        <f>'6 - B1'!P81</f>
        <v>31</v>
      </c>
    </row>
    <row r="82" spans="1:16" x14ac:dyDescent="0.35">
      <c r="A82" s="49">
        <f>'6 - B1'!A82</f>
        <v>70</v>
      </c>
      <c r="B82" s="49">
        <f>'6 - B1'!B82</f>
        <v>37</v>
      </c>
      <c r="C82" s="49">
        <f>'6 - B1'!C82</f>
        <v>35</v>
      </c>
      <c r="D82" s="49">
        <f>'6 - B1'!D82</f>
        <v>20</v>
      </c>
      <c r="E82" s="49">
        <f>'6 - B1'!E82</f>
        <v>14</v>
      </c>
      <c r="F82" s="49">
        <f>'6 - B1'!F82</f>
        <v>20</v>
      </c>
      <c r="G82" s="49">
        <f>'6 - B1'!G82</f>
        <v>41</v>
      </c>
      <c r="H82" s="49">
        <f>'6 - B1'!H82</f>
        <v>40</v>
      </c>
      <c r="I82" s="49">
        <f>'6 - B1'!I82</f>
        <v>32</v>
      </c>
      <c r="J82" s="49">
        <f>'6 - B1'!J82</f>
        <v>25</v>
      </c>
      <c r="K82" s="49">
        <f>'6 - B1'!K82</f>
        <v>20</v>
      </c>
      <c r="L82" s="49">
        <f>'6 - B1'!L82</f>
        <v>37</v>
      </c>
      <c r="M82" s="49">
        <f>'6 - B1'!M82</f>
        <v>35</v>
      </c>
      <c r="N82" s="49">
        <f>'6 - B1'!N82</f>
        <v>20</v>
      </c>
      <c r="O82" s="49">
        <f>'6 - B1'!O82</f>
        <v>14</v>
      </c>
      <c r="P82" s="49">
        <f>'6 - B1'!P82</f>
        <v>20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70" zoomScaleNormal="70" workbookViewId="0">
      <selection activeCell="K35" sqref="K35"/>
    </sheetView>
  </sheetViews>
  <sheetFormatPr defaultColWidth="11.53125" defaultRowHeight="12.75" x14ac:dyDescent="0.35"/>
  <cols>
    <col min="11" max="11" width="27.6640625" customWidth="1"/>
    <col min="12" max="12" width="15.3984375" customWidth="1"/>
  </cols>
  <sheetData>
    <row r="1" spans="1:16" ht="37.25" customHeight="1" x14ac:dyDescent="0.7">
      <c r="B1" s="52"/>
      <c r="K1" s="160"/>
      <c r="L1" s="160"/>
      <c r="M1" s="160"/>
      <c r="N1" s="160"/>
      <c r="O1" s="160"/>
    </row>
    <row r="2" spans="1:16" ht="52.15" x14ac:dyDescent="0.5">
      <c r="B2" s="53" t="s">
        <v>108</v>
      </c>
      <c r="C2" s="53" t="s">
        <v>109</v>
      </c>
      <c r="D2" s="53" t="s">
        <v>110</v>
      </c>
      <c r="E2" s="53" t="s">
        <v>111</v>
      </c>
      <c r="F2" s="54" t="s">
        <v>112</v>
      </c>
      <c r="G2" s="55" t="s">
        <v>61</v>
      </c>
      <c r="H2" s="56" t="s">
        <v>113</v>
      </c>
      <c r="K2" s="57" t="s">
        <v>114</v>
      </c>
      <c r="L2" s="58" t="s">
        <v>115</v>
      </c>
      <c r="M2" s="58" t="s">
        <v>116</v>
      </c>
      <c r="O2" s="11"/>
      <c r="P2" s="11"/>
    </row>
    <row r="3" spans="1:16" ht="26.25" x14ac:dyDescent="0.45">
      <c r="B3" s="54" t="s">
        <v>117</v>
      </c>
      <c r="C3" s="54" t="s">
        <v>117</v>
      </c>
      <c r="D3" s="54" t="s">
        <v>117</v>
      </c>
      <c r="E3" s="54" t="s">
        <v>117</v>
      </c>
      <c r="F3" s="54"/>
      <c r="G3" s="59" t="s">
        <v>118</v>
      </c>
      <c r="H3" s="59" t="s">
        <v>119</v>
      </c>
      <c r="K3" s="60" t="s">
        <v>120</v>
      </c>
      <c r="L3" s="58" t="str">
        <f>"/ml"</f>
        <v>/ml</v>
      </c>
      <c r="M3" s="58"/>
      <c r="O3" s="61"/>
      <c r="P3" s="62"/>
    </row>
    <row r="4" spans="1:16" ht="13.9" x14ac:dyDescent="0.4">
      <c r="A4" s="81">
        <v>30</v>
      </c>
      <c r="B4" s="83">
        <f>'6 - B1'!$L38</f>
        <v>5.6629655502290834</v>
      </c>
      <c r="C4" s="83">
        <f>'6 - B2'!$L38</f>
        <v>5.6481433122406406</v>
      </c>
      <c r="D4" s="83">
        <f>'6 - B3'!$L38</f>
        <v>5.6629655502290834</v>
      </c>
      <c r="E4" s="84">
        <f t="shared" ref="E4:E33" si="0">AVERAGE(B4:D4)</f>
        <v>5.6580248042329346</v>
      </c>
      <c r="F4" s="85">
        <f>'Clause 6'!D22</f>
        <v>7999.9999999999909</v>
      </c>
      <c r="G4" s="81">
        <f>'6 - B1'!$M38+'6 - B2'!$M38+'6 - B3'!$M38</f>
        <v>15</v>
      </c>
      <c r="H4" s="22">
        <f>STDEVP('6 - B1'!$B38:F38,'6 - B2'!B38:F38,'6 - B3'!B38:F38)/SQRT(G4)</f>
        <v>0.5290032588708109</v>
      </c>
      <c r="K4" s="63">
        <v>4</v>
      </c>
      <c r="L4" s="64">
        <v>10563.4</v>
      </c>
      <c r="M4" s="79">
        <f>CubicSpline(L4,$E$4:$E$33,$F$4:$F$33)</f>
        <v>81.483698805177113</v>
      </c>
    </row>
    <row r="5" spans="1:16" ht="13.9" x14ac:dyDescent="0.4">
      <c r="A5" s="81">
        <v>29</v>
      </c>
      <c r="B5" s="83">
        <f>'6 - B1'!$L37</f>
        <v>9.2125221828179811</v>
      </c>
      <c r="C5" s="83">
        <f>'6 - B2'!$L37</f>
        <v>9.1872011678790297</v>
      </c>
      <c r="D5" s="83">
        <f>'6 - B3'!$L37</f>
        <v>9.2125221828179811</v>
      </c>
      <c r="E5" s="84">
        <f t="shared" si="0"/>
        <v>9.2040818445049961</v>
      </c>
      <c r="F5" s="85">
        <f>'Clause 6'!D23</f>
        <v>6691.2615363676259</v>
      </c>
      <c r="G5" s="81">
        <f>'6 - B1'!$M37+'6 - B2'!$M37+'6 - B3'!$M37</f>
        <v>15</v>
      </c>
      <c r="H5" s="22">
        <f>STDEVP('6 - B1'!$B37:F37,'6 - B2'!B37:F37,'6 - B3'!B37:F37)/SQRT(G5)</f>
        <v>0.60180244522454651</v>
      </c>
      <c r="K5" s="63">
        <v>5</v>
      </c>
      <c r="L5" s="64">
        <v>6899.8</v>
      </c>
      <c r="M5" s="79">
        <f t="shared" ref="M5:M9" si="1">CubicSpline(L5,$E$4:$E$33,$F$4:$F$33)</f>
        <v>130.87164393660166</v>
      </c>
    </row>
    <row r="6" spans="1:16" ht="13.9" x14ac:dyDescent="0.4">
      <c r="A6" s="81">
        <v>28</v>
      </c>
      <c r="B6" s="83">
        <f>'6 - B1'!$L36</f>
        <v>15.324453058155749</v>
      </c>
      <c r="C6" s="83">
        <f>'6 - B2'!$L36</f>
        <v>15.280109797837799</v>
      </c>
      <c r="D6" s="83">
        <f>'6 - B3'!$L36</f>
        <v>15.324453058155749</v>
      </c>
      <c r="E6" s="84">
        <f t="shared" si="0"/>
        <v>15.309671971383098</v>
      </c>
      <c r="F6" s="85">
        <f>'Clause 6'!D24</f>
        <v>5596.6226185091118</v>
      </c>
      <c r="G6" s="81">
        <f>'6 - B1'!$M36+'6 - B2'!$M36+'6 - B3'!$M36</f>
        <v>15</v>
      </c>
      <c r="H6" s="22">
        <f>STDEVP('6 - B1'!$B36:F36,'6 - B2'!B36:F36,'6 - B3'!B36:F36)/SQRT(G6)</f>
        <v>0.65249228059390563</v>
      </c>
      <c r="K6" s="63">
        <v>6</v>
      </c>
      <c r="L6" s="64">
        <v>4593.5</v>
      </c>
      <c r="M6" s="79">
        <f t="shared" si="1"/>
        <v>191.95285453882664</v>
      </c>
    </row>
    <row r="7" spans="1:16" ht="13.9" x14ac:dyDescent="0.4">
      <c r="A7" s="81">
        <v>27</v>
      </c>
      <c r="B7" s="83">
        <f>'6 - B1'!$L35</f>
        <v>22.469569063443224</v>
      </c>
      <c r="C7" s="83">
        <f>'6 - B2'!$L35</f>
        <v>22.406274081475924</v>
      </c>
      <c r="D7" s="83">
        <f>'6 - B3'!$L35</f>
        <v>22.469569063443224</v>
      </c>
      <c r="E7" s="84">
        <f t="shared" si="0"/>
        <v>22.448470736120793</v>
      </c>
      <c r="F7" s="85">
        <f>'Clause 6'!D25</f>
        <v>4681.0582075993907</v>
      </c>
      <c r="G7" s="81">
        <f>'6 - B1'!$M35+'6 - B2'!$M35+'6 - B3'!$M35</f>
        <v>15</v>
      </c>
      <c r="H7" s="22">
        <f>STDEVP('6 - B1'!$B35:F35,'6 - B2'!B35:F35,'6 - B3'!B35:F35)/SQRT(G7)</f>
        <v>0.67509716373196638</v>
      </c>
      <c r="K7" s="63">
        <v>7</v>
      </c>
      <c r="L7" s="64">
        <v>3202.3</v>
      </c>
      <c r="M7" s="79">
        <f t="shared" si="1"/>
        <v>257.34973948711081</v>
      </c>
    </row>
    <row r="8" spans="1:16" ht="13.9" x14ac:dyDescent="0.4">
      <c r="A8" s="81">
        <v>26</v>
      </c>
      <c r="B8" s="83">
        <f>'6 - B1'!$L34</f>
        <v>33.661574547059921</v>
      </c>
      <c r="C8" s="83">
        <f>'6 - B2'!$L34</f>
        <v>33.56935284693715</v>
      </c>
      <c r="D8" s="83">
        <f>'6 - B3'!$L34</f>
        <v>33.661574547059921</v>
      </c>
      <c r="E8" s="84">
        <f t="shared" si="0"/>
        <v>33.630833980352328</v>
      </c>
      <c r="F8" s="85">
        <f>'Clause 6'!D26</f>
        <v>3915.2730917509775</v>
      </c>
      <c r="G8" s="81">
        <f>'6 - B1'!$M34+'6 - B2'!$M34+'6 - B3'!$M34</f>
        <v>15</v>
      </c>
      <c r="H8" s="22">
        <f>STDEVP('6 - B1'!$B34:F34,'6 - B2'!B34:F34,'6 - B3'!B34:F34)/SQRT(G8)</f>
        <v>1.2960428160139867</v>
      </c>
      <c r="K8" s="63">
        <v>8</v>
      </c>
      <c r="L8" s="64">
        <v>2184.8000000000002</v>
      </c>
      <c r="M8" s="79">
        <f t="shared" si="1"/>
        <v>338.76311837698881</v>
      </c>
    </row>
    <row r="9" spans="1:16" ht="13.9" x14ac:dyDescent="0.4">
      <c r="A9" s="81">
        <v>25</v>
      </c>
      <c r="B9" s="83">
        <f>'6 - B1'!$L33</f>
        <v>50.101086145092154</v>
      </c>
      <c r="C9" s="83">
        <f>'6 - B2'!$L33</f>
        <v>49.965758730317354</v>
      </c>
      <c r="D9" s="83">
        <f>'6 - B3'!$L33</f>
        <v>50.101086145092154</v>
      </c>
      <c r="E9" s="84">
        <f t="shared" si="0"/>
        <v>50.055977006833892</v>
      </c>
      <c r="F9" s="85">
        <f>'Clause 6'!D27</f>
        <v>3274.7645304010625</v>
      </c>
      <c r="G9" s="81">
        <f>'6 - B1'!$M33+'6 - B2'!$M33+'6 - B3'!$M33</f>
        <v>15</v>
      </c>
      <c r="H9" s="22">
        <f>STDEVP('6 - B1'!$B33:F33,'6 - B2'!B33:F33,'6 - B3'!B33:F33)/SQRT(G9)</f>
        <v>1.3748819093296112</v>
      </c>
      <c r="K9" s="63">
        <v>9</v>
      </c>
      <c r="L9" s="64">
        <v>1501.7</v>
      </c>
      <c r="M9" s="79">
        <f t="shared" si="1"/>
        <v>431.59982202821686</v>
      </c>
    </row>
    <row r="10" spans="1:16" ht="13.9" x14ac:dyDescent="0.4">
      <c r="A10" s="81">
        <v>24</v>
      </c>
      <c r="B10" s="83">
        <f>'6 - B1'!$L32</f>
        <v>70.899386914384792</v>
      </c>
      <c r="C10" s="83">
        <f>'6 - B2'!$L32</f>
        <v>70.711811503716092</v>
      </c>
      <c r="D10" s="83">
        <f>'6 - B3'!$L32</f>
        <v>70.899386914384792</v>
      </c>
      <c r="E10" s="84">
        <f t="shared" si="0"/>
        <v>70.83686177749523</v>
      </c>
      <c r="F10" s="85">
        <f>'Clause 6'!D28</f>
        <v>2739.0382428667058</v>
      </c>
      <c r="G10" s="81">
        <f>'6 - B1'!$M32+'6 - B2'!$M32+'6 - B3'!$M32</f>
        <v>15</v>
      </c>
      <c r="H10" s="22">
        <f>STDEVP('6 - B1'!$B32:F32,'6 - B2'!B32:F32,'6 - B3'!B32:F32)/SQRT(G10)</f>
        <v>1.6887575608705474</v>
      </c>
      <c r="K10" s="63">
        <v>10</v>
      </c>
      <c r="L10" s="64">
        <v>1069.5</v>
      </c>
      <c r="M10" s="79">
        <f t="shared" ref="M10:M30" si="2">CubicSpline(L10,$E$4:$E$33,$F$4:$F$33)</f>
        <v>532.54635028956261</v>
      </c>
    </row>
    <row r="11" spans="1:16" ht="13.9" x14ac:dyDescent="0.4">
      <c r="A11" s="81">
        <v>23</v>
      </c>
      <c r="B11" s="83">
        <f>'6 - B1'!$L31</f>
        <v>99.109739650113582</v>
      </c>
      <c r="C11" s="83">
        <f>'6 - B2'!$L31</f>
        <v>98.847298588133157</v>
      </c>
      <c r="D11" s="83">
        <f>'6 - B3'!$L31</f>
        <v>99.109739650113582</v>
      </c>
      <c r="E11" s="84">
        <f t="shared" si="0"/>
        <v>99.022259296120112</v>
      </c>
      <c r="F11" s="85">
        <f>'Clause 6'!D29</f>
        <v>2290.9526551417471</v>
      </c>
      <c r="G11" s="81">
        <f>'6 - B1'!$M31+'6 - B2'!$M31+'6 - B3'!$M31</f>
        <v>15</v>
      </c>
      <c r="H11" s="22">
        <f>STDEVP('6 - B1'!$B31:F31,'6 - B2'!B31:F31,'6 - B3'!B31:F31)/SQRT(G11)</f>
        <v>1.7448006093719568</v>
      </c>
      <c r="K11" s="63">
        <v>11</v>
      </c>
      <c r="L11" s="64">
        <v>779</v>
      </c>
      <c r="M11" s="79">
        <f t="shared" si="2"/>
        <v>646.65396893385309</v>
      </c>
    </row>
    <row r="12" spans="1:16" ht="13.9" x14ac:dyDescent="0.4">
      <c r="A12" s="81">
        <v>22</v>
      </c>
      <c r="B12" s="83">
        <f>'6 - B1'!$L30</f>
        <v>140.29904268803494</v>
      </c>
      <c r="C12" s="83">
        <f>'6 - B2'!$L30</f>
        <v>137.78877856631118</v>
      </c>
      <c r="D12" s="83">
        <f>'6 - B3'!$L30</f>
        <v>138.14712912277497</v>
      </c>
      <c r="E12" s="84">
        <f t="shared" si="0"/>
        <v>138.74498345904036</v>
      </c>
      <c r="F12" s="85">
        <f>'Clause 6'!D30</f>
        <v>1916.1704228736594</v>
      </c>
      <c r="G12" s="81">
        <f>'6 - B1'!$M30+'6 - B2'!$M30+'6 - B3'!$M30</f>
        <v>14</v>
      </c>
      <c r="H12" s="22">
        <f>STDEVP('6 - B1'!$B30:F30,'6 - B2'!B30:F30,'6 - B3'!B30:F30)/SQRT(G12)</f>
        <v>1.5359746025503798</v>
      </c>
      <c r="K12" s="63">
        <v>12</v>
      </c>
      <c r="L12" s="64">
        <v>583.4</v>
      </c>
      <c r="M12" s="79">
        <f t="shared" si="2"/>
        <v>775.63786844670585</v>
      </c>
    </row>
    <row r="13" spans="1:16" ht="13.9" x14ac:dyDescent="0.4">
      <c r="A13" s="81">
        <v>21</v>
      </c>
      <c r="B13" s="83">
        <f>'6 - B1'!$L29</f>
        <v>189.41061433894899</v>
      </c>
      <c r="C13" s="83">
        <f>'6 - B2'!$L29</f>
        <v>186.13112266695697</v>
      </c>
      <c r="D13" s="83">
        <f>'6 - B3'!$L29</f>
        <v>186.61954577490357</v>
      </c>
      <c r="E13" s="84">
        <f t="shared" si="0"/>
        <v>187.38709426026983</v>
      </c>
      <c r="F13" s="85">
        <f>'Clause 6'!D31</f>
        <v>1602.6996809624775</v>
      </c>
      <c r="G13" s="81">
        <f>'6 - B1'!$M29+'6 - B2'!$M29+'6 - B3'!$M29</f>
        <v>14</v>
      </c>
      <c r="H13" s="22">
        <f>STDEVP('6 - B1'!$B29:F29,'6 - B2'!B29:F29,'6 - B3'!B29:F29)/SQRT(G13)</f>
        <v>1.7714678198176925</v>
      </c>
      <c r="K13" s="63">
        <v>13</v>
      </c>
      <c r="L13" s="64">
        <v>453.2</v>
      </c>
      <c r="M13" s="79">
        <f t="shared" si="2"/>
        <v>906.95045069269406</v>
      </c>
    </row>
    <row r="14" spans="1:16" ht="13.9" x14ac:dyDescent="0.4">
      <c r="A14" s="81">
        <v>20</v>
      </c>
      <c r="B14" s="83">
        <f>'6 - B1'!$L28</f>
        <v>252.04296750897132</v>
      </c>
      <c r="C14" s="83">
        <f>'6 - B2'!$L28</f>
        <v>246.9815134354607</v>
      </c>
      <c r="D14" s="83">
        <f>'6 - B3'!$L28</f>
        <v>247.62662874931183</v>
      </c>
      <c r="E14" s="84">
        <f t="shared" si="0"/>
        <v>248.88370323124795</v>
      </c>
      <c r="F14" s="85">
        <f>'Clause 6'!D32</f>
        <v>1340.5103411966129</v>
      </c>
      <c r="G14" s="81">
        <f>'6 - B1'!$M28+'6 - B2'!$M28+'6 - B3'!$M28</f>
        <v>14</v>
      </c>
      <c r="H14" s="22">
        <f>STDEVP('6 - B1'!$B28:F28,'6 - B2'!B28:F28,'6 - B3'!B28:F28)/SQRT(G14)</f>
        <v>2.7545140609063696</v>
      </c>
      <c r="K14" s="63">
        <v>14</v>
      </c>
      <c r="L14" s="64">
        <v>364.1</v>
      </c>
      <c r="M14" s="79">
        <f t="shared" si="2"/>
        <v>1042.5234115919422</v>
      </c>
    </row>
    <row r="15" spans="1:16" ht="13.9" x14ac:dyDescent="0.4">
      <c r="A15" s="81">
        <v>19</v>
      </c>
      <c r="B15" s="83">
        <f>'6 - B1'!$L27</f>
        <v>325.70926484460654</v>
      </c>
      <c r="C15" s="83">
        <f>'6 - B2'!$L27</f>
        <v>324.86356854866517</v>
      </c>
      <c r="D15" s="83">
        <f>'6 - B3'!$L27</f>
        <v>325.70926484460654</v>
      </c>
      <c r="E15" s="84">
        <f t="shared" si="0"/>
        <v>325.42736607929277</v>
      </c>
      <c r="F15" s="85">
        <f>'Clause 6'!D33</f>
        <v>1121.2131606439937</v>
      </c>
      <c r="G15" s="81">
        <f>'6 - B1'!$M27+'6 - B2'!$M27+'6 - B3'!$M27</f>
        <v>15</v>
      </c>
      <c r="H15" s="22">
        <f>STDEVP('6 - B1'!$B27:F27,'6 - B2'!B27:F27,'6 - B3'!B27:F27)/SQRT(G15)</f>
        <v>2.419235180603498</v>
      </c>
      <c r="K15" s="63">
        <v>15</v>
      </c>
      <c r="L15" s="64">
        <v>296.89999999999998</v>
      </c>
      <c r="M15" s="79">
        <f t="shared" si="2"/>
        <v>1191.5802407392807</v>
      </c>
    </row>
    <row r="16" spans="1:16" ht="13.9" x14ac:dyDescent="0.4">
      <c r="A16" s="81">
        <v>18</v>
      </c>
      <c r="B16" s="83">
        <f>'6 - B1'!$L26</f>
        <v>429.54467589962996</v>
      </c>
      <c r="C16" s="83">
        <f>'6 - B2'!$L26</f>
        <v>428.42265614268081</v>
      </c>
      <c r="D16" s="83">
        <f>'6 - B3'!$L26</f>
        <v>429.54467589962996</v>
      </c>
      <c r="E16" s="84">
        <f t="shared" si="0"/>
        <v>429.17066931398023</v>
      </c>
      <c r="F16" s="85">
        <f>'Clause 6'!D34</f>
        <v>937.79131198579239</v>
      </c>
      <c r="G16" s="81">
        <f>'6 - B1'!$M26+'6 - B2'!$M26+'6 - B3'!$M26</f>
        <v>15</v>
      </c>
      <c r="H16" s="22">
        <f>STDEVP('6 - B1'!$B26:F26,'6 - B2'!B26:F26,'6 - B3'!B26:F26)/SQRT(G16)</f>
        <v>2.5802482010354524</v>
      </c>
      <c r="K16" s="63">
        <v>16</v>
      </c>
      <c r="L16" s="64">
        <v>246.4</v>
      </c>
      <c r="M16" s="79">
        <f t="shared" si="2"/>
        <v>1349.1029590834462</v>
      </c>
    </row>
    <row r="17" spans="1:13" ht="13.9" x14ac:dyDescent="0.4">
      <c r="A17" s="81">
        <v>17</v>
      </c>
      <c r="B17" s="83">
        <f>'6 - B1'!$L25</f>
        <v>573.31719083300311</v>
      </c>
      <c r="C17" s="83">
        <f>'6 - B2'!$L25</f>
        <v>571.82179114485166</v>
      </c>
      <c r="D17" s="83">
        <f>'6 - B3'!$L25</f>
        <v>573.31719083300311</v>
      </c>
      <c r="E17" s="84">
        <f t="shared" si="0"/>
        <v>572.818724270286</v>
      </c>
      <c r="F17" s="85">
        <f>'Clause 6'!D35</f>
        <v>784.375866878784</v>
      </c>
      <c r="G17" s="81">
        <f>'6 - B1'!$M25+'6 - B2'!$M25+'6 - B3'!$M25</f>
        <v>15</v>
      </c>
      <c r="H17" s="22">
        <f>STDEVP('6 - B1'!$B25:F25,'6 - B2'!B25:F25,'6 - B3'!B25:F25)/SQRT(G17)</f>
        <v>3.079775814116172</v>
      </c>
      <c r="K17" s="63">
        <v>17</v>
      </c>
      <c r="L17" s="64">
        <v>208.5</v>
      </c>
      <c r="M17" s="79">
        <f t="shared" si="2"/>
        <v>1500.7978844484473</v>
      </c>
    </row>
    <row r="18" spans="1:13" ht="13.9" x14ac:dyDescent="0.4">
      <c r="A18" s="81">
        <v>16</v>
      </c>
      <c r="B18" s="83">
        <f>'6 - B1'!$L24</f>
        <v>761.24886924201599</v>
      </c>
      <c r="C18" s="83">
        <f>'6 - B2'!$L24</f>
        <v>759.26420375094915</v>
      </c>
      <c r="D18" s="83">
        <f>'6 - B3'!$L24</f>
        <v>761.24886924201599</v>
      </c>
      <c r="E18" s="84">
        <f t="shared" si="0"/>
        <v>760.58731407832704</v>
      </c>
      <c r="F18" s="85">
        <f>'Clause 6'!D36</f>
        <v>656.05800851262836</v>
      </c>
      <c r="G18" s="81">
        <f>'6 - B1'!$M24+'6 - B2'!$M24+'6 - B3'!$M24</f>
        <v>15</v>
      </c>
      <c r="H18" s="22">
        <f>STDEVP('6 - B1'!$B24:F24,'6 - B2'!B24:F24,'6 - B3'!B24:F24)/SQRT(G18)</f>
        <v>3.5416294638567374</v>
      </c>
      <c r="K18" s="63">
        <v>18</v>
      </c>
      <c r="L18" s="64">
        <v>178.7</v>
      </c>
      <c r="M18" s="79">
        <f t="shared" si="2"/>
        <v>1649.4429937866657</v>
      </c>
    </row>
    <row r="19" spans="1:13" ht="13.9" x14ac:dyDescent="0.4">
      <c r="A19" s="81">
        <v>15</v>
      </c>
      <c r="B19" s="83">
        <f>'6 - B1'!$L23</f>
        <v>1018.5574622551918</v>
      </c>
      <c r="C19" s="83">
        <f>'6 - B2'!$L23</f>
        <v>1015.9138942397942</v>
      </c>
      <c r="D19" s="83">
        <f>'6 - B3'!$L23</f>
        <v>1018.5574622551918</v>
      </c>
      <c r="E19" s="84">
        <f t="shared" si="0"/>
        <v>1017.6762729167259</v>
      </c>
      <c r="F19" s="85">
        <f>'Clause 6'!D37</f>
        <v>548.73196474831241</v>
      </c>
      <c r="G19" s="81">
        <f>'6 - B1'!$M23+'6 - B2'!$M23+'6 - B3'!$M23</f>
        <v>15</v>
      </c>
      <c r="H19" s="22">
        <f>STDEVP('6 - B1'!$B23:F23,'6 - B2'!B23:F23,'6 - B3'!B23:F23)/SQRT(G19)</f>
        <v>3.953470269496461</v>
      </c>
      <c r="K19" s="63">
        <v>19</v>
      </c>
      <c r="L19" s="64">
        <v>153.30000000000001</v>
      </c>
      <c r="M19" s="79">
        <f t="shared" si="2"/>
        <v>1809.6906236907946</v>
      </c>
    </row>
    <row r="20" spans="1:13" ht="13.9" x14ac:dyDescent="0.4">
      <c r="A20" s="81">
        <v>14</v>
      </c>
      <c r="B20" s="83">
        <f>'6 - B1'!$L22</f>
        <v>1361.6129493692765</v>
      </c>
      <c r="C20" s="83">
        <f>'6 - B2'!$L22</f>
        <v>1358.0864947409834</v>
      </c>
      <c r="D20" s="83">
        <f>'6 - B3'!$L22</f>
        <v>1361.6129493692765</v>
      </c>
      <c r="E20" s="84">
        <f t="shared" si="0"/>
        <v>1360.4374644931788</v>
      </c>
      <c r="F20" s="85">
        <f>'Clause 6'!D38</f>
        <v>458.96363618697785</v>
      </c>
      <c r="G20" s="81">
        <f>'6 - B1'!$M22+'6 - B2'!$M22+'6 - B3'!$M22</f>
        <v>15</v>
      </c>
      <c r="H20" s="22">
        <f>STDEVP('6 - B1'!$B22:F22,'6 - B2'!B22:F22,'6 - B3'!B22:F22)/SQRT(G20)</f>
        <v>5.0670346751751616</v>
      </c>
      <c r="K20" s="63">
        <v>20</v>
      </c>
      <c r="L20" s="64">
        <v>130.4</v>
      </c>
      <c r="M20" s="79">
        <f t="shared" si="2"/>
        <v>1982.3194930058253</v>
      </c>
    </row>
    <row r="21" spans="1:13" ht="13.9" x14ac:dyDescent="0.4">
      <c r="A21" s="81">
        <v>13</v>
      </c>
      <c r="B21" s="83">
        <f>'6 - B1'!$L21</f>
        <v>1805.3938958303165</v>
      </c>
      <c r="C21" s="83">
        <f>'6 - B2'!$L21</f>
        <v>1800.7358668187746</v>
      </c>
      <c r="D21" s="83">
        <f>'6 - B3'!$L21</f>
        <v>1805.3938958303165</v>
      </c>
      <c r="E21" s="84">
        <f t="shared" si="0"/>
        <v>1803.8412194931359</v>
      </c>
      <c r="F21" s="85">
        <f>'Clause 6'!D39</f>
        <v>383.88071567616913</v>
      </c>
      <c r="G21" s="81">
        <f>'6 - B1'!$M21+'6 - B2'!$M21+'6 - B3'!$M21</f>
        <v>15</v>
      </c>
      <c r="H21" s="22">
        <f>STDEVP('6 - B1'!$B21:F21,'6 - B2'!B21:F21,'6 - B3'!B21:F21)/SQRT(G21)</f>
        <v>5.8122651326552432</v>
      </c>
      <c r="K21" s="63">
        <v>21</v>
      </c>
      <c r="L21" s="64">
        <v>109.4</v>
      </c>
      <c r="M21" s="79">
        <f t="shared" si="2"/>
        <v>2175.8477861349802</v>
      </c>
    </row>
    <row r="22" spans="1:13" ht="13.9" x14ac:dyDescent="0.4">
      <c r="A22" s="81">
        <v>12</v>
      </c>
      <c r="B22" s="83">
        <f>'6 - B1'!$L20</f>
        <v>2366.8349487728874</v>
      </c>
      <c r="C22" s="83">
        <f>'6 - B2'!$L20</f>
        <v>2360.694420435555</v>
      </c>
      <c r="D22" s="83">
        <f>'6 - B3'!$L20</f>
        <v>2366.8349487728874</v>
      </c>
      <c r="E22" s="84">
        <f t="shared" si="0"/>
        <v>2364.7881059937768</v>
      </c>
      <c r="F22" s="85">
        <f>'Clause 6'!D40</f>
        <v>321.08078341965376</v>
      </c>
      <c r="G22" s="81">
        <f>'6 - B1'!$M20+'6 - B2'!$M20+'6 - B3'!$M20</f>
        <v>15</v>
      </c>
      <c r="H22" s="22">
        <f>STDEVP('6 - B1'!$B20:F20,'6 - B2'!B20:F20,'6 - B3'!B20:F20)/SQRT(G22)</f>
        <v>7.8314828512329813</v>
      </c>
      <c r="K22" s="63">
        <v>22</v>
      </c>
      <c r="L22" s="64">
        <v>91.3</v>
      </c>
      <c r="M22" s="79">
        <f t="shared" si="2"/>
        <v>2391.4204688041923</v>
      </c>
    </row>
    <row r="23" spans="1:13" ht="13.9" x14ac:dyDescent="0.4">
      <c r="A23" s="81">
        <v>11</v>
      </c>
      <c r="B23" s="83">
        <f>'6 - B1'!$L19</f>
        <v>3027.6467211986446</v>
      </c>
      <c r="C23" s="83">
        <f>'6 - B2'!$L19</f>
        <v>3019.8093426766063</v>
      </c>
      <c r="D23" s="83">
        <f>'6 - B3'!$L19</f>
        <v>3027.6467211986446</v>
      </c>
      <c r="E23" s="84">
        <f t="shared" si="0"/>
        <v>3025.0342616912985</v>
      </c>
      <c r="F23" s="85">
        <f>'Clause 6'!D41</f>
        <v>268.55443702033949</v>
      </c>
      <c r="G23" s="81">
        <f>'6 - B1'!$M19+'6 - B2'!$M19+'6 - B3'!$M19</f>
        <v>15</v>
      </c>
      <c r="H23" s="22">
        <f>STDEVP('6 - B1'!$B19:F19,'6 - B2'!B19:F19,'6 - B3'!B19:F19)/SQRT(G23)</f>
        <v>7.9088229920745627</v>
      </c>
      <c r="K23" s="63">
        <v>23</v>
      </c>
      <c r="L23" s="64">
        <v>76.099999999999994</v>
      </c>
      <c r="M23" s="79">
        <f t="shared" si="2"/>
        <v>2639.0025612781446</v>
      </c>
    </row>
    <row r="24" spans="1:13" ht="13.9" x14ac:dyDescent="0.4">
      <c r="A24" s="81">
        <v>10</v>
      </c>
      <c r="B24" s="83">
        <f>'6 - B1'!$L18</f>
        <v>3815.0035861706374</v>
      </c>
      <c r="C24" s="83">
        <f>'6 - B2'!$L18</f>
        <v>3805.1522931567861</v>
      </c>
      <c r="D24" s="83">
        <f>'6 - B3'!$L18</f>
        <v>3815.0035861706374</v>
      </c>
      <c r="E24" s="84">
        <f t="shared" si="0"/>
        <v>3811.7198218326871</v>
      </c>
      <c r="F24" s="85">
        <f>'Clause 6'!D42</f>
        <v>224.6209968568827</v>
      </c>
      <c r="G24" s="81">
        <f>'6 - B1'!$M18+'6 - B2'!$M18+'6 - B3'!$M18</f>
        <v>15</v>
      </c>
      <c r="H24" s="22">
        <f>STDEVP('6 - B1'!$B18:F18,'6 - B2'!B18:F18,'6 - B3'!B18:F18)/SQRT(G24)</f>
        <v>11.96666721214382</v>
      </c>
      <c r="K24" s="63">
        <v>24</v>
      </c>
      <c r="L24" s="64">
        <v>63.1</v>
      </c>
      <c r="M24" s="79">
        <f t="shared" si="2"/>
        <v>2910.3498904411822</v>
      </c>
    </row>
    <row r="25" spans="1:13" ht="13.9" x14ac:dyDescent="0.4">
      <c r="A25" s="81">
        <v>9</v>
      </c>
      <c r="B25" s="83">
        <f>'6 - B1'!$L17</f>
        <v>4711.9233114221497</v>
      </c>
      <c r="C25" s="83">
        <f>'6 - B2'!$L17</f>
        <v>4699.7267234676347</v>
      </c>
      <c r="D25" s="83">
        <f>'6 - B3'!$L17</f>
        <v>4711.9233114221497</v>
      </c>
      <c r="E25" s="84">
        <f t="shared" si="0"/>
        <v>4707.857782103978</v>
      </c>
      <c r="F25" s="85">
        <f>'Clause 6'!D43</f>
        <v>187.87472956612677</v>
      </c>
      <c r="G25" s="81">
        <f>'6 - B1'!$M17+'6 - B2'!$M17+'6 - B3'!$M17</f>
        <v>15</v>
      </c>
      <c r="H25" s="22">
        <f>STDEVP('6 - B1'!$B17:F17,'6 - B2'!B17:F17,'6 - B3'!B17:F17)/SQRT(G25)</f>
        <v>16.193855510674762</v>
      </c>
      <c r="K25" s="63">
        <v>25</v>
      </c>
      <c r="L25" s="64">
        <v>52.1</v>
      </c>
      <c r="M25" s="79">
        <f t="shared" si="2"/>
        <v>3212.221965628341</v>
      </c>
    </row>
    <row r="26" spans="1:13" ht="13.9" x14ac:dyDescent="0.4">
      <c r="A26" s="81">
        <v>8</v>
      </c>
      <c r="B26" s="83">
        <f>'6 - B1'!$L16</f>
        <v>5724.4291965492475</v>
      </c>
      <c r="C26" s="83">
        <f>'6 - B2'!$L16</f>
        <v>5709.6634458305862</v>
      </c>
      <c r="D26" s="83">
        <f>'6 - B3'!$L16</f>
        <v>5724.4291965492475</v>
      </c>
      <c r="E26" s="84">
        <f t="shared" si="0"/>
        <v>5719.5072796430277</v>
      </c>
      <c r="F26" s="85">
        <f>'Clause 6'!D44</f>
        <v>157.13986895016188</v>
      </c>
      <c r="G26" s="81">
        <f>'6 - B1'!$M16+'6 - B2'!$M16+'6 - B3'!$M16</f>
        <v>15</v>
      </c>
      <c r="H26" s="22">
        <f>STDEVP('6 - B1'!$B16:F16,'6 - B2'!B16:F16,'6 - B3'!B16:F16)/SQRT(G26)</f>
        <v>20.108525969860292</v>
      </c>
      <c r="K26" s="63">
        <v>26</v>
      </c>
      <c r="L26" s="64">
        <v>43</v>
      </c>
      <c r="M26" s="79">
        <f t="shared" si="2"/>
        <v>3513.1533581806707</v>
      </c>
    </row>
    <row r="27" spans="1:13" ht="13.9" x14ac:dyDescent="0.4">
      <c r="A27" s="81">
        <v>7</v>
      </c>
      <c r="B27" s="83">
        <f>'6 - B1'!$L15</f>
        <v>6877.0102322983421</v>
      </c>
      <c r="C27" s="83">
        <f>'6 - B2'!$L15</f>
        <v>6859.2751831047553</v>
      </c>
      <c r="D27" s="83">
        <f>'6 - B3'!$L15</f>
        <v>6877.0102322983421</v>
      </c>
      <c r="E27" s="84">
        <f t="shared" si="0"/>
        <v>6871.0985492338123</v>
      </c>
      <c r="F27" s="85">
        <f>'Clause 6'!D45</f>
        <v>131.4329951170086</v>
      </c>
      <c r="G27" s="81">
        <f>'6 - B1'!$M15+'6 - B2'!$M15+'6 - B3'!$M15</f>
        <v>15</v>
      </c>
      <c r="H27" s="22">
        <f>STDEVP('6 - B1'!$B15:F15,'6 - B2'!B15:F15,'6 - B3'!B15:F15)/SQRT(G27)</f>
        <v>22.481104794964807</v>
      </c>
      <c r="K27" s="63">
        <v>27</v>
      </c>
      <c r="L27" s="64">
        <v>35.700000000000003</v>
      </c>
      <c r="M27" s="79">
        <f t="shared" si="2"/>
        <v>3815.8615675185747</v>
      </c>
    </row>
    <row r="28" spans="1:13" ht="13.9" x14ac:dyDescent="0.4">
      <c r="A28" s="81">
        <v>6</v>
      </c>
      <c r="B28" s="83">
        <f>'6 - B1'!$L14</f>
        <v>8109.4848451363841</v>
      </c>
      <c r="C28" s="83">
        <f>'6 - B2'!$L14</f>
        <v>8088.5700515523349</v>
      </c>
      <c r="D28" s="83">
        <f>'6 - B3'!$L14</f>
        <v>8109.4848451363841</v>
      </c>
      <c r="E28" s="84">
        <f t="shared" si="0"/>
        <v>8102.5132472750338</v>
      </c>
      <c r="F28" s="85">
        <f>'Clause 6'!D46</f>
        <v>109.93156810450434</v>
      </c>
      <c r="G28" s="81">
        <f>'6 - B1'!$M14+'6 - B2'!$M14+'6 - B3'!$M14</f>
        <v>15</v>
      </c>
      <c r="H28" s="22">
        <f>STDEVP('6 - B1'!$B14:F14,'6 - B2'!B14:F14,'6 - B3'!B14:F14)/SQRT(G28)</f>
        <v>20.833022154214209</v>
      </c>
      <c r="K28" s="63">
        <v>28</v>
      </c>
      <c r="L28" s="64">
        <v>29.8</v>
      </c>
      <c r="M28" s="79">
        <f t="shared" si="2"/>
        <v>4128.5571692864951</v>
      </c>
    </row>
    <row r="29" spans="1:13" ht="13.9" x14ac:dyDescent="0.4">
      <c r="A29" s="81">
        <v>5</v>
      </c>
      <c r="B29" s="83">
        <f>'6 - B1'!$L13</f>
        <v>9520.513187143617</v>
      </c>
      <c r="C29" s="83">
        <f>'6 - B2'!$L13</f>
        <v>9495.9362105191976</v>
      </c>
      <c r="D29" s="83">
        <f>'6 - B3'!$L13</f>
        <v>9520.513187143617</v>
      </c>
      <c r="E29" s="84">
        <f t="shared" si="0"/>
        <v>9512.3208616021439</v>
      </c>
      <c r="F29" s="85">
        <f>'Clause 6'!D47</f>
        <v>91.947609161281108</v>
      </c>
      <c r="G29" s="81">
        <f>'6 - B1'!$M13+'6 - B2'!$M13+'6 - B3'!$M13</f>
        <v>15</v>
      </c>
      <c r="H29" s="22">
        <f>STDEVP('6 - B1'!$B13:F13,'6 - B2'!B13:F13,'6 - B3'!B13:F13)/SQRT(G29)</f>
        <v>23.43925396737686</v>
      </c>
      <c r="K29" s="63">
        <v>29</v>
      </c>
      <c r="L29" s="64">
        <v>25.2</v>
      </c>
      <c r="M29" s="79">
        <f t="shared" si="2"/>
        <v>4450.4983515134863</v>
      </c>
    </row>
    <row r="30" spans="1:13" ht="13.9" x14ac:dyDescent="0.4">
      <c r="A30" s="81">
        <v>4</v>
      </c>
      <c r="B30" s="83">
        <f>'6 - B1'!$L12</f>
        <v>11118.077100436702</v>
      </c>
      <c r="C30" s="83">
        <f>'6 - B2'!$L12</f>
        <v>11089.344665316929</v>
      </c>
      <c r="D30" s="83">
        <f>'6 - B3'!$L12</f>
        <v>11118.077100436702</v>
      </c>
      <c r="E30" s="84">
        <f t="shared" si="0"/>
        <v>11108.499622063444</v>
      </c>
      <c r="F30" s="85">
        <f>'Clause 6'!D48</f>
        <v>76.905687567730567</v>
      </c>
      <c r="G30" s="81">
        <f>'6 - B1'!$M12+'6 - B2'!$M12+'6 - B3'!$M12</f>
        <v>15</v>
      </c>
      <c r="H30" s="22">
        <f>STDEVP('6 - B1'!$B12:F12,'6 - B2'!B12:F12,'6 - B3'!B12:F12)/SQRT(G30)</f>
        <v>25.778181805517701</v>
      </c>
      <c r="K30" s="63">
        <v>30</v>
      </c>
      <c r="L30" s="64">
        <v>21.1</v>
      </c>
      <c r="M30" s="79">
        <f t="shared" si="2"/>
        <v>4815.0375625392207</v>
      </c>
    </row>
    <row r="31" spans="1:13" ht="13.9" x14ac:dyDescent="0.4">
      <c r="A31" s="81">
        <v>3</v>
      </c>
      <c r="B31" s="83">
        <f>'6 - B1'!$L11</f>
        <v>13013.211245286764</v>
      </c>
      <c r="C31" s="83">
        <f>'6 - B2'!$L11</f>
        <v>12979.578150432148</v>
      </c>
      <c r="D31" s="83">
        <f>'6 - B3'!$L11</f>
        <v>13013.211245286764</v>
      </c>
      <c r="E31" s="84">
        <f t="shared" si="0"/>
        <v>13002.000213668558</v>
      </c>
      <c r="F31" s="85">
        <f>'Clause 6'!D49</f>
        <v>64.324508643732756</v>
      </c>
      <c r="G31" s="81">
        <f>'6 - B1'!$M11+'6 - B2'!$M11+'6 - B3'!$M11</f>
        <v>15</v>
      </c>
      <c r="H31" s="22">
        <f>STDEVP('6 - B1'!$B11:F11,'6 - B2'!B11:F11,'6 - B3'!B11:F11)/SQRT(G31)</f>
        <v>28.154016203119131</v>
      </c>
    </row>
    <row r="32" spans="1:13" ht="13.9" x14ac:dyDescent="0.4">
      <c r="A32" s="81">
        <v>2</v>
      </c>
      <c r="B32" s="83">
        <f>'6 - B1'!$L10</f>
        <v>15023.225035048952</v>
      </c>
      <c r="C32" s="83">
        <f>'6 - B2'!$L10</f>
        <v>14984.380794121807</v>
      </c>
      <c r="D32" s="83">
        <f>'6 - B3'!$L10</f>
        <v>15023.225035048952</v>
      </c>
      <c r="E32" s="84">
        <f t="shared" si="0"/>
        <v>15010.276954739902</v>
      </c>
      <c r="F32" s="85">
        <f>'Clause 6'!D50</f>
        <v>53.801513816694545</v>
      </c>
      <c r="G32" s="81">
        <f>'6 - B1'!$M10+'6 - B2'!$M10+'6 - B3'!$M10</f>
        <v>15</v>
      </c>
      <c r="H32" s="22">
        <f>STDEVP('6 - B1'!$B10:F10,'6 - B2'!B10:F10,'6 - B3'!B10:F10)/SQRT(G32)</f>
        <v>34.122567959469315</v>
      </c>
      <c r="K32" s="27" t="s">
        <v>121</v>
      </c>
    </row>
    <row r="33" spans="1:40" ht="13.9" x14ac:dyDescent="0.4">
      <c r="A33" s="81">
        <v>1</v>
      </c>
      <c r="B33" s="83">
        <f>'6 - B1'!$L9</f>
        <v>17545.416794818651</v>
      </c>
      <c r="C33" s="83">
        <f>'6 - B2'!$L9</f>
        <v>17500.04769966039</v>
      </c>
      <c r="D33" s="83">
        <f>'6 - B3'!$L9</f>
        <v>17545.416794818651</v>
      </c>
      <c r="E33" s="84">
        <f t="shared" si="0"/>
        <v>17530.293763099231</v>
      </c>
      <c r="F33" s="85">
        <f>'Clause 6'!D51</f>
        <v>45</v>
      </c>
      <c r="G33" s="81">
        <f>'6 - B1'!$M9+'6 - B2'!$M9+'6 - B3'!$M9</f>
        <v>15</v>
      </c>
      <c r="H33" s="22">
        <f>STDEVP('6 - B1'!$B9:F9,'6 - B2'!B9:F9,'6 - B3'!B9:F9)/SQRT(G33)</f>
        <v>42.539054247992674</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87"/>
  <sheetViews>
    <sheetView zoomScale="70" zoomScaleNormal="70" workbookViewId="0">
      <selection activeCell="D12" sqref="D12"/>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122</v>
      </c>
    </row>
    <row r="2" spans="1:17" ht="13.15" x14ac:dyDescent="0.4">
      <c r="A2" s="7" t="s">
        <v>24</v>
      </c>
      <c r="B2" s="7"/>
      <c r="C2" s="7"/>
      <c r="D2" s="68" t="s">
        <v>193</v>
      </c>
    </row>
    <row r="3" spans="1:17" ht="13.15" x14ac:dyDescent="0.4">
      <c r="A3" s="7" t="s">
        <v>8</v>
      </c>
      <c r="B3" s="7"/>
      <c r="C3" s="7"/>
      <c r="D3" s="67">
        <v>45809</v>
      </c>
      <c r="E3" t="s">
        <v>186</v>
      </c>
    </row>
    <row r="4" spans="1:17" ht="13.15" x14ac:dyDescent="0.4">
      <c r="A4" s="7" t="s">
        <v>28</v>
      </c>
      <c r="B4" s="7"/>
      <c r="C4" s="7"/>
      <c r="D4" s="68" t="s">
        <v>193</v>
      </c>
    </row>
    <row r="5" spans="1:17" ht="13.15" x14ac:dyDescent="0.4">
      <c r="A5" s="7" t="s">
        <v>26</v>
      </c>
      <c r="B5" s="7"/>
      <c r="C5" s="7"/>
      <c r="D5" s="66" t="s">
        <v>122</v>
      </c>
    </row>
    <row r="6" spans="1:17" ht="13.15" x14ac:dyDescent="0.4">
      <c r="A6" s="17" t="s">
        <v>30</v>
      </c>
      <c r="B6" s="7"/>
      <c r="C6" s="7"/>
      <c r="D6" s="68" t="s">
        <v>123</v>
      </c>
    </row>
    <row r="7" spans="1:17" ht="13.15" x14ac:dyDescent="0.4">
      <c r="A7" s="7" t="s">
        <v>16</v>
      </c>
      <c r="B7" s="7"/>
      <c r="C7" s="7"/>
      <c r="D7" s="69" t="s">
        <v>17</v>
      </c>
    </row>
    <row r="8" spans="1:17" ht="13.9" x14ac:dyDescent="0.4">
      <c r="A8" s="7" t="s">
        <v>185</v>
      </c>
      <c r="D8" s="144">
        <f>'Clause 6'!$B$19</f>
        <v>20000</v>
      </c>
    </row>
    <row r="10" spans="1:17" x14ac:dyDescent="0.35">
      <c r="A10" s="70" t="s">
        <v>124</v>
      </c>
      <c r="B10" s="70"/>
      <c r="C10" s="70"/>
      <c r="D10" s="70"/>
    </row>
    <row r="11" spans="1:17" ht="13.5" thickBot="1" x14ac:dyDescent="0.45">
      <c r="A11" s="70"/>
      <c r="B11" s="70"/>
      <c r="C11" s="70"/>
      <c r="D11" s="70"/>
      <c r="H11" s="27"/>
    </row>
    <row r="12" spans="1:17" ht="13.15" x14ac:dyDescent="0.4">
      <c r="A12" s="148">
        <v>49.4</v>
      </c>
      <c r="B12" s="127" t="s">
        <v>125</v>
      </c>
      <c r="C12" s="127" t="s">
        <v>126</v>
      </c>
      <c r="D12" s="128"/>
      <c r="F12" s="108">
        <v>39</v>
      </c>
      <c r="G12" s="71" t="s">
        <v>125</v>
      </c>
      <c r="H12" s="71" t="s">
        <v>126</v>
      </c>
      <c r="I12" s="39"/>
      <c r="J12" s="40"/>
      <c r="M12" s="108">
        <v>69.7</v>
      </c>
      <c r="N12" s="71" t="s">
        <v>125</v>
      </c>
      <c r="O12" s="71" t="s">
        <v>126</v>
      </c>
      <c r="P12" s="39"/>
      <c r="Q12" s="40"/>
    </row>
    <row r="13" spans="1:17" x14ac:dyDescent="0.35">
      <c r="A13" s="129">
        <f>(4/3)*(3.1415936)*((A12*0.000001/2)^3)</f>
        <v>6.3121832711697054E-14</v>
      </c>
      <c r="B13" s="70" t="s">
        <v>127</v>
      </c>
      <c r="C13" s="70" t="s">
        <v>128</v>
      </c>
      <c r="D13" s="130"/>
      <c r="F13" s="72">
        <f>(4/3)*(3.1415936)*((F12*0.000001/2)^3)</f>
        <v>3.1059365126399994E-14</v>
      </c>
      <c r="G13" s="70" t="s">
        <v>127</v>
      </c>
      <c r="H13" s="70" t="s">
        <v>128</v>
      </c>
      <c r="J13" s="45"/>
      <c r="M13" s="72">
        <f>(4/3)*(3.1415936)*((M12*0.000001/2)^3)</f>
        <v>1.7729524472000214E-13</v>
      </c>
      <c r="N13" s="70" t="s">
        <v>127</v>
      </c>
      <c r="O13" s="70" t="s">
        <v>128</v>
      </c>
      <c r="Q13" s="45"/>
    </row>
    <row r="14" spans="1:17" ht="13.15" x14ac:dyDescent="0.4">
      <c r="A14" s="149">
        <v>1.05</v>
      </c>
      <c r="B14" t="s">
        <v>188</v>
      </c>
      <c r="C14" t="s">
        <v>187</v>
      </c>
      <c r="D14" s="130"/>
      <c r="F14" s="108">
        <v>2.5</v>
      </c>
      <c r="G14" t="s">
        <v>188</v>
      </c>
      <c r="J14" s="45"/>
      <c r="M14" s="108">
        <v>1.05</v>
      </c>
      <c r="N14" t="s">
        <v>188</v>
      </c>
      <c r="O14" t="s">
        <v>187</v>
      </c>
      <c r="Q14" s="45"/>
    </row>
    <row r="15" spans="1:17" x14ac:dyDescent="0.35">
      <c r="A15" s="129">
        <f>A13*A14*1000</f>
        <v>6.6277924347281912E-11</v>
      </c>
      <c r="B15" s="70" t="s">
        <v>129</v>
      </c>
      <c r="C15" s="70" t="s">
        <v>130</v>
      </c>
      <c r="D15" s="130"/>
      <c r="F15" s="72">
        <f>F13*F14*1000</f>
        <v>7.7648412815999973E-11</v>
      </c>
      <c r="G15" s="70" t="s">
        <v>129</v>
      </c>
      <c r="H15" s="70" t="s">
        <v>130</v>
      </c>
      <c r="J15" s="45"/>
      <c r="M15" s="72">
        <f>M13*M14*1000</f>
        <v>1.8616000695600225E-10</v>
      </c>
      <c r="N15" s="70" t="s">
        <v>129</v>
      </c>
      <c r="O15" s="70" t="s">
        <v>130</v>
      </c>
      <c r="Q15" s="45"/>
    </row>
    <row r="16" spans="1:17" x14ac:dyDescent="0.35">
      <c r="A16" s="129">
        <f>0.000001/A15</f>
        <v>15087.980045364991</v>
      </c>
      <c r="B16" s="70" t="s">
        <v>43</v>
      </c>
      <c r="C16" s="70" t="s">
        <v>131</v>
      </c>
      <c r="D16" s="130"/>
      <c r="F16" s="72">
        <f>0.000001/F15</f>
        <v>12878.563305210835</v>
      </c>
      <c r="G16" s="70" t="s">
        <v>43</v>
      </c>
      <c r="H16" s="70" t="s">
        <v>131</v>
      </c>
      <c r="J16" s="45"/>
      <c r="M16" s="72">
        <f>0.000001/M15</f>
        <v>5371.7230480999269</v>
      </c>
      <c r="N16" s="70" t="s">
        <v>43</v>
      </c>
      <c r="O16" s="70" t="s">
        <v>131</v>
      </c>
      <c r="Q16" s="45"/>
    </row>
    <row r="17" spans="1:17" ht="13.15" x14ac:dyDescent="0.4">
      <c r="A17" s="73">
        <f>$D$8/4</f>
        <v>5000</v>
      </c>
      <c r="B17" s="70"/>
      <c r="C17" s="70" t="s">
        <v>132</v>
      </c>
      <c r="D17" s="130"/>
      <c r="F17" s="73">
        <f>$D$8/4</f>
        <v>5000</v>
      </c>
      <c r="G17" s="70"/>
      <c r="H17" s="70" t="s">
        <v>132</v>
      </c>
      <c r="J17" s="45"/>
      <c r="M17" s="73">
        <f>$D$8/4</f>
        <v>5000</v>
      </c>
      <c r="N17" s="70"/>
      <c r="O17" s="70" t="s">
        <v>132</v>
      </c>
      <c r="Q17" s="45"/>
    </row>
    <row r="18" spans="1:17" x14ac:dyDescent="0.35">
      <c r="A18" s="131">
        <f>A17/A16*1000</f>
        <v>331.38962173640959</v>
      </c>
      <c r="B18" s="70" t="s">
        <v>133</v>
      </c>
      <c r="C18" s="70" t="s">
        <v>134</v>
      </c>
      <c r="D18" s="130"/>
      <c r="F18" s="74">
        <f>F17/F16*1000</f>
        <v>388.24206407999992</v>
      </c>
      <c r="G18" s="70" t="s">
        <v>137</v>
      </c>
      <c r="H18" s="70" t="s">
        <v>134</v>
      </c>
      <c r="J18" s="45"/>
      <c r="M18" s="74">
        <f>M17/M16*1000</f>
        <v>930.80003478001129</v>
      </c>
      <c r="N18" s="70" t="s">
        <v>133</v>
      </c>
      <c r="O18" s="70" t="s">
        <v>134</v>
      </c>
      <c r="Q18" s="45"/>
    </row>
    <row r="19" spans="1:17" ht="13.15" x14ac:dyDescent="0.4">
      <c r="A19" s="149">
        <v>0.1</v>
      </c>
      <c r="B19" s="70" t="s">
        <v>135</v>
      </c>
      <c r="C19" s="70" t="s">
        <v>136</v>
      </c>
      <c r="D19" s="130"/>
      <c r="F19" s="108">
        <v>0.1</v>
      </c>
      <c r="G19" s="70" t="s">
        <v>135</v>
      </c>
      <c r="H19" s="70" t="s">
        <v>136</v>
      </c>
      <c r="J19" s="45"/>
      <c r="M19" s="108">
        <v>0.2</v>
      </c>
      <c r="N19" s="70" t="s">
        <v>135</v>
      </c>
      <c r="O19" s="70" t="s">
        <v>136</v>
      </c>
      <c r="Q19" s="45"/>
    </row>
    <row r="20" spans="1:17" ht="13.9" x14ac:dyDescent="0.4">
      <c r="A20" s="150">
        <f>A19*A18</f>
        <v>33.138962173640962</v>
      </c>
      <c r="B20" s="70" t="s">
        <v>137</v>
      </c>
      <c r="C20" s="70" t="s">
        <v>138</v>
      </c>
      <c r="D20" s="130"/>
      <c r="F20" s="145">
        <f>F19*F18</f>
        <v>38.824206407999995</v>
      </c>
      <c r="G20" s="70" t="s">
        <v>137</v>
      </c>
      <c r="H20" s="70" t="s">
        <v>138</v>
      </c>
      <c r="J20" s="45"/>
      <c r="M20" s="145">
        <f>M19*M18</f>
        <v>186.16000695600226</v>
      </c>
      <c r="N20" s="70" t="s">
        <v>137</v>
      </c>
      <c r="O20" s="70" t="s">
        <v>138</v>
      </c>
      <c r="Q20" s="45"/>
    </row>
    <row r="21" spans="1:17" ht="13.15" x14ac:dyDescent="0.4">
      <c r="A21" s="149">
        <v>28.54</v>
      </c>
      <c r="B21" s="70" t="s">
        <v>137</v>
      </c>
      <c r="C21" s="70" t="s">
        <v>139</v>
      </c>
      <c r="D21" s="130"/>
      <c r="F21" s="108">
        <v>13.63</v>
      </c>
      <c r="G21" s="70" t="s">
        <v>137</v>
      </c>
      <c r="H21" s="70" t="s">
        <v>139</v>
      </c>
      <c r="J21" s="45"/>
      <c r="M21" s="108">
        <v>77.569999999999993</v>
      </c>
      <c r="N21" s="70" t="s">
        <v>137</v>
      </c>
      <c r="O21" s="70" t="s">
        <v>139</v>
      </c>
      <c r="Q21" s="45"/>
    </row>
    <row r="22" spans="1:17" ht="13.9" x14ac:dyDescent="0.4">
      <c r="A22" s="151">
        <f>A21/A20*A17</f>
        <v>4306.1095049471678</v>
      </c>
      <c r="B22" s="70" t="s">
        <v>140</v>
      </c>
      <c r="C22" s="70" t="s">
        <v>141</v>
      </c>
      <c r="D22" s="12"/>
      <c r="F22" s="146">
        <f>F21/F20*F17</f>
        <v>1755.3481785002364</v>
      </c>
      <c r="G22" s="70" t="s">
        <v>140</v>
      </c>
      <c r="H22" s="70" t="s">
        <v>141</v>
      </c>
      <c r="J22" s="45"/>
      <c r="M22" s="146">
        <f>M21/M20*M17</f>
        <v>2083.4227842055566</v>
      </c>
      <c r="N22" s="70" t="s">
        <v>140</v>
      </c>
      <c r="O22" s="70" t="s">
        <v>141</v>
      </c>
      <c r="Q22" s="45"/>
    </row>
    <row r="23" spans="1:17" x14ac:dyDescent="0.35">
      <c r="A23" s="132">
        <f>A21*A16</f>
        <v>430610.95049471682</v>
      </c>
      <c r="C23" t="s">
        <v>142</v>
      </c>
      <c r="D23" s="12"/>
      <c r="F23" s="75">
        <f>F21*F16</f>
        <v>175534.81785002368</v>
      </c>
      <c r="H23" t="s">
        <v>142</v>
      </c>
      <c r="J23" s="45"/>
      <c r="M23" s="75">
        <f>M21*M16</f>
        <v>416684.55684111128</v>
      </c>
      <c r="O23" t="s">
        <v>142</v>
      </c>
      <c r="Q23" s="45"/>
    </row>
    <row r="24" spans="1:17" x14ac:dyDescent="0.35">
      <c r="A24" s="132">
        <f>A22/A17*A19*1000</f>
        <v>86.122190098943349</v>
      </c>
      <c r="B24" t="s">
        <v>7</v>
      </c>
      <c r="C24" t="s">
        <v>143</v>
      </c>
      <c r="D24" s="12"/>
      <c r="F24" s="75">
        <f>F22/F17*F19*1000</f>
        <v>35.10696357000473</v>
      </c>
      <c r="G24" t="s">
        <v>7</v>
      </c>
      <c r="H24" t="s">
        <v>143</v>
      </c>
      <c r="J24" s="45"/>
      <c r="M24" s="75">
        <f>M22/M17*M19*1000</f>
        <v>83.336911368222275</v>
      </c>
      <c r="N24" t="s">
        <v>7</v>
      </c>
      <c r="O24" t="s">
        <v>143</v>
      </c>
      <c r="Q24" s="45"/>
    </row>
    <row r="25" spans="1:17" x14ac:dyDescent="0.35">
      <c r="A25" s="132">
        <f>A24-A19*1000</f>
        <v>-13.877809901056651</v>
      </c>
      <c r="B25" t="s">
        <v>7</v>
      </c>
      <c r="C25" t="s">
        <v>144</v>
      </c>
      <c r="D25" s="12"/>
      <c r="F25" s="75">
        <f>F24-F19*1000</f>
        <v>-64.893036429995277</v>
      </c>
      <c r="G25" t="s">
        <v>7</v>
      </c>
      <c r="H25" t="s">
        <v>144</v>
      </c>
      <c r="J25" s="45"/>
      <c r="M25" s="75">
        <f>M24-M19*1000</f>
        <v>-116.66308863177773</v>
      </c>
      <c r="N25" t="s">
        <v>7</v>
      </c>
      <c r="O25" t="s">
        <v>144</v>
      </c>
      <c r="Q25" s="45"/>
    </row>
    <row r="26" spans="1:17" ht="13.9" x14ac:dyDescent="0.4">
      <c r="A26" s="152">
        <f>A23/(A24)</f>
        <v>5000.0000000000009</v>
      </c>
      <c r="C26" t="s">
        <v>33</v>
      </c>
      <c r="D26" s="12"/>
      <c r="F26" s="147">
        <f>F23/(F24)</f>
        <v>5000.0000000000009</v>
      </c>
      <c r="H26" t="s">
        <v>33</v>
      </c>
      <c r="J26" s="45"/>
      <c r="M26" s="147">
        <f>M23/(M24)</f>
        <v>4999.9999999999991</v>
      </c>
      <c r="O26" t="s">
        <v>33</v>
      </c>
      <c r="Q26" s="45"/>
    </row>
    <row r="27" spans="1:17" x14ac:dyDescent="0.35">
      <c r="A27" s="15"/>
      <c r="D27" s="12"/>
      <c r="F27" s="44"/>
      <c r="J27" s="45"/>
      <c r="M27" s="44"/>
      <c r="Q27" s="45"/>
    </row>
    <row r="28" spans="1:17" x14ac:dyDescent="0.35">
      <c r="A28" s="15" t="s">
        <v>145</v>
      </c>
      <c r="D28" s="12"/>
      <c r="F28" s="44" t="s">
        <v>145</v>
      </c>
      <c r="J28" s="45"/>
      <c r="M28" s="44" t="s">
        <v>145</v>
      </c>
      <c r="Q28" s="45"/>
    </row>
    <row r="29" spans="1:17" x14ac:dyDescent="0.35">
      <c r="A29" s="15">
        <v>100</v>
      </c>
      <c r="B29" t="s">
        <v>7</v>
      </c>
      <c r="C29" t="s">
        <v>146</v>
      </c>
      <c r="D29" s="12"/>
      <c r="F29" s="44">
        <v>100</v>
      </c>
      <c r="G29" t="s">
        <v>7</v>
      </c>
      <c r="H29" t="s">
        <v>146</v>
      </c>
      <c r="J29" s="45"/>
      <c r="M29" s="44">
        <v>100</v>
      </c>
      <c r="N29" t="s">
        <v>7</v>
      </c>
      <c r="O29" t="s">
        <v>146</v>
      </c>
      <c r="Q29" s="45"/>
    </row>
    <row r="30" spans="1:17" x14ac:dyDescent="0.35">
      <c r="A30" s="15">
        <f>$D$8*0.25</f>
        <v>5000</v>
      </c>
      <c r="B30" t="s">
        <v>119</v>
      </c>
      <c r="C30" t="s">
        <v>147</v>
      </c>
      <c r="D30" s="12"/>
      <c r="F30" s="15">
        <f>$D$8*0.25</f>
        <v>5000</v>
      </c>
      <c r="G30" t="s">
        <v>119</v>
      </c>
      <c r="H30" t="s">
        <v>148</v>
      </c>
      <c r="J30" s="45"/>
      <c r="M30" s="15">
        <f>$D$8*0.25</f>
        <v>5000</v>
      </c>
      <c r="N30" t="s">
        <v>119</v>
      </c>
      <c r="O30" t="s">
        <v>148</v>
      </c>
      <c r="Q30" s="45"/>
    </row>
    <row r="31" spans="1:17" x14ac:dyDescent="0.35">
      <c r="A31" s="15">
        <f>A29*A30</f>
        <v>500000</v>
      </c>
      <c r="B31" t="s">
        <v>149</v>
      </c>
      <c r="C31" t="s">
        <v>150</v>
      </c>
      <c r="D31" s="12"/>
      <c r="F31" s="44">
        <f>F29*F30</f>
        <v>500000</v>
      </c>
      <c r="G31" t="s">
        <v>149</v>
      </c>
      <c r="H31" t="s">
        <v>150</v>
      </c>
      <c r="J31" s="45"/>
      <c r="M31" s="44">
        <f>M29*M30</f>
        <v>500000</v>
      </c>
      <c r="N31" t="s">
        <v>149</v>
      </c>
      <c r="O31" t="s">
        <v>150</v>
      </c>
      <c r="Q31" s="45"/>
    </row>
    <row r="32" spans="1:17" x14ac:dyDescent="0.35">
      <c r="A32" s="132">
        <f>A31/A22</f>
        <v>116.11409311016455</v>
      </c>
      <c r="B32" t="s">
        <v>7</v>
      </c>
      <c r="C32" t="s">
        <v>151</v>
      </c>
      <c r="D32" s="12"/>
      <c r="F32" s="75">
        <f>F31/F26</f>
        <v>99.999999999999986</v>
      </c>
      <c r="G32" t="s">
        <v>7</v>
      </c>
      <c r="H32" t="s">
        <v>151</v>
      </c>
      <c r="J32" s="45"/>
      <c r="M32" s="75">
        <f>M31/M26</f>
        <v>100.00000000000001</v>
      </c>
      <c r="N32" t="s">
        <v>7</v>
      </c>
      <c r="O32" t="s">
        <v>151</v>
      </c>
      <c r="Q32" s="45"/>
    </row>
    <row r="33" spans="1:17" x14ac:dyDescent="0.35">
      <c r="A33" s="132">
        <f>A29-A32</f>
        <v>-16.114093110164546</v>
      </c>
      <c r="B33" t="s">
        <v>7</v>
      </c>
      <c r="C33" t="s">
        <v>152</v>
      </c>
      <c r="D33" s="12"/>
      <c r="F33" s="75">
        <f>F29-F32</f>
        <v>0</v>
      </c>
      <c r="G33" t="s">
        <v>7</v>
      </c>
      <c r="H33" t="s">
        <v>152</v>
      </c>
      <c r="J33" s="45"/>
      <c r="M33" s="75">
        <f>M29-M32</f>
        <v>0</v>
      </c>
      <c r="N33" t="s">
        <v>7</v>
      </c>
      <c r="O33" t="s">
        <v>152</v>
      </c>
      <c r="Q33" s="45"/>
    </row>
    <row r="34" spans="1:17" ht="13.15" thickBot="1" x14ac:dyDescent="0.4">
      <c r="A34" s="23"/>
      <c r="B34" s="133"/>
      <c r="C34" s="133"/>
      <c r="D34" s="25"/>
      <c r="F34" s="46"/>
      <c r="G34" s="47"/>
      <c r="H34" s="47"/>
      <c r="I34" s="47"/>
      <c r="J34" s="48"/>
      <c r="M34" s="46"/>
      <c r="N34" s="47"/>
      <c r="O34" s="47"/>
      <c r="P34" s="47"/>
      <c r="Q34" s="48"/>
    </row>
    <row r="39" spans="1:17" x14ac:dyDescent="0.35">
      <c r="C39" s="29">
        <v>46070</v>
      </c>
      <c r="F39" s="29">
        <v>46070</v>
      </c>
    </row>
    <row r="40" spans="1:17" ht="13.15" x14ac:dyDescent="0.4">
      <c r="A40" t="s">
        <v>154</v>
      </c>
      <c r="C40" s="27">
        <f>A12</f>
        <v>49.4</v>
      </c>
      <c r="D40" t="s">
        <v>155</v>
      </c>
      <c r="G40" s="27">
        <f>F12</f>
        <v>39</v>
      </c>
      <c r="H40" t="s">
        <v>155</v>
      </c>
      <c r="N40" s="27">
        <v>70</v>
      </c>
    </row>
    <row r="42" spans="1:17" ht="13.15" x14ac:dyDescent="0.4">
      <c r="A42" t="s">
        <v>156</v>
      </c>
      <c r="B42" s="135">
        <f>0.56*C42</f>
        <v>8736</v>
      </c>
      <c r="C42" s="108">
        <v>15600</v>
      </c>
      <c r="D42" s="135">
        <f>1.56*C42</f>
        <v>24336</v>
      </c>
      <c r="F42" s="135">
        <f>0.56*G42</f>
        <v>5600.0000000000009</v>
      </c>
      <c r="G42" s="158">
        <v>10000</v>
      </c>
      <c r="H42" s="135">
        <f>1.56*G42</f>
        <v>15600</v>
      </c>
      <c r="M42" s="135">
        <f>0.56*N42</f>
        <v>14000.000000000002</v>
      </c>
      <c r="N42" s="158">
        <v>25000</v>
      </c>
      <c r="O42" s="135">
        <f>1.56*N42</f>
        <v>39000</v>
      </c>
    </row>
    <row r="43" spans="1:17" x14ac:dyDescent="0.35">
      <c r="B43" s="46"/>
      <c r="C43" s="47"/>
      <c r="D43" s="48"/>
      <c r="F43" s="46"/>
      <c r="G43" s="47"/>
      <c r="H43" s="48"/>
      <c r="M43" s="46"/>
      <c r="N43" s="47"/>
      <c r="O43" s="48"/>
    </row>
    <row r="44" spans="1:17" ht="13.15" x14ac:dyDescent="0.4">
      <c r="A44" t="s">
        <v>157</v>
      </c>
      <c r="B44" s="108">
        <v>13047</v>
      </c>
      <c r="C44" s="108">
        <v>13354</v>
      </c>
      <c r="D44" s="76">
        <v>92</v>
      </c>
      <c r="F44" s="108">
        <v>21625</v>
      </c>
      <c r="G44" s="108">
        <v>21743</v>
      </c>
      <c r="H44" s="76">
        <v>134</v>
      </c>
      <c r="M44" s="108">
        <v>10065</v>
      </c>
      <c r="N44" s="108">
        <v>10070</v>
      </c>
      <c r="O44" s="76"/>
    </row>
    <row r="46" spans="1:17" ht="13.9" x14ac:dyDescent="0.4">
      <c r="A46" t="s">
        <v>158</v>
      </c>
      <c r="B46" s="134">
        <f>(1-B44/C44)</f>
        <v>2.2989366481952933E-2</v>
      </c>
      <c r="F46" s="134">
        <f>(1-F44/G44)</f>
        <v>5.4270339879501917E-3</v>
      </c>
      <c r="M46" s="134">
        <f>(1-M44/N44)</f>
        <v>4.9652432969216065E-4</v>
      </c>
    </row>
    <row r="50" spans="1:10" ht="13.15" x14ac:dyDescent="0.4">
      <c r="A50" s="27" t="s">
        <v>153</v>
      </c>
    </row>
    <row r="52" spans="1:10" ht="13.15" x14ac:dyDescent="0.4">
      <c r="F52" s="27" t="s">
        <v>189</v>
      </c>
    </row>
    <row r="53" spans="1:10" ht="13.15" x14ac:dyDescent="0.4">
      <c r="F53" s="153">
        <v>10.199999999999999</v>
      </c>
      <c r="G53" s="71" t="s">
        <v>125</v>
      </c>
      <c r="H53" s="71" t="s">
        <v>126</v>
      </c>
      <c r="I53" s="39"/>
      <c r="J53" s="40"/>
    </row>
    <row r="54" spans="1:10" x14ac:dyDescent="0.35">
      <c r="F54" s="72">
        <f>(4/3)*(3.1415936)*((F53*0.000001/2)^3)</f>
        <v>5.5564737684479979E-16</v>
      </c>
      <c r="G54" s="70" t="s">
        <v>127</v>
      </c>
      <c r="H54" s="70" t="s">
        <v>128</v>
      </c>
      <c r="J54" s="45"/>
    </row>
    <row r="55" spans="1:10" ht="13.15" x14ac:dyDescent="0.4">
      <c r="F55" s="154">
        <v>1.05</v>
      </c>
      <c r="G55" t="s">
        <v>188</v>
      </c>
      <c r="J55" s="45"/>
    </row>
    <row r="56" spans="1:10" x14ac:dyDescent="0.35">
      <c r="F56" s="72">
        <f>F54*F55*1000</f>
        <v>5.8342974568703982E-13</v>
      </c>
      <c r="G56" s="70" t="s">
        <v>129</v>
      </c>
      <c r="H56" s="70" t="s">
        <v>130</v>
      </c>
      <c r="J56" s="45"/>
    </row>
    <row r="57" spans="1:10" x14ac:dyDescent="0.35">
      <c r="F57" s="72">
        <f>0.000001/F56</f>
        <v>1714002.4268430332</v>
      </c>
      <c r="G57" s="70" t="s">
        <v>43</v>
      </c>
      <c r="H57" s="70" t="s">
        <v>131</v>
      </c>
      <c r="J57" s="45"/>
    </row>
    <row r="58" spans="1:10" ht="13.15" x14ac:dyDescent="0.4">
      <c r="F58" s="73">
        <v>2000</v>
      </c>
      <c r="G58" s="70"/>
      <c r="H58" s="70" t="s">
        <v>132</v>
      </c>
      <c r="J58" s="45"/>
    </row>
    <row r="59" spans="1:10" x14ac:dyDescent="0.35">
      <c r="F59" s="74">
        <f>F58/F57*1000</f>
        <v>1.1668594913740797</v>
      </c>
      <c r="G59" s="70" t="s">
        <v>137</v>
      </c>
      <c r="H59" s="70" t="s">
        <v>134</v>
      </c>
      <c r="J59" s="45"/>
    </row>
    <row r="60" spans="1:10" ht="13.15" x14ac:dyDescent="0.4">
      <c r="F60" s="154">
        <v>11.1</v>
      </c>
      <c r="G60" s="70" t="s">
        <v>135</v>
      </c>
      <c r="H60" s="70" t="s">
        <v>136</v>
      </c>
      <c r="J60" s="45"/>
    </row>
    <row r="61" spans="1:10" ht="13.9" x14ac:dyDescent="0.4">
      <c r="F61" s="155">
        <f>F60*F59</f>
        <v>12.952140354252284</v>
      </c>
      <c r="G61" s="70" t="s">
        <v>137</v>
      </c>
      <c r="H61" s="70" t="s">
        <v>138</v>
      </c>
      <c r="J61" s="45"/>
    </row>
    <row r="62" spans="1:10" ht="13.15" x14ac:dyDescent="0.4">
      <c r="F62" s="154">
        <v>13.42</v>
      </c>
      <c r="G62" s="70" t="s">
        <v>137</v>
      </c>
      <c r="H62" s="70" t="s">
        <v>139</v>
      </c>
      <c r="J62" s="45"/>
    </row>
    <row r="63" spans="1:10" ht="13.9" x14ac:dyDescent="0.4">
      <c r="F63" s="156">
        <f>F62/F61*F58</f>
        <v>2072.2443755165323</v>
      </c>
      <c r="G63" s="70" t="s">
        <v>140</v>
      </c>
      <c r="H63" s="70" t="s">
        <v>141</v>
      </c>
      <c r="J63" s="45"/>
    </row>
    <row r="64" spans="1:10" x14ac:dyDescent="0.35">
      <c r="F64" s="75">
        <f>F62*F57</f>
        <v>23001912.568233505</v>
      </c>
      <c r="H64" t="s">
        <v>142</v>
      </c>
      <c r="J64" s="45"/>
    </row>
    <row r="65" spans="6:10" x14ac:dyDescent="0.35">
      <c r="F65" s="75">
        <f>F63/F58*F60*1000</f>
        <v>11500.956284116752</v>
      </c>
      <c r="G65" t="s">
        <v>7</v>
      </c>
      <c r="H65" t="s">
        <v>143</v>
      </c>
      <c r="J65" s="45"/>
    </row>
    <row r="66" spans="6:10" x14ac:dyDescent="0.35">
      <c r="F66" s="75">
        <f>F65-F60*1000</f>
        <v>400.9562841167517</v>
      </c>
      <c r="G66" t="s">
        <v>7</v>
      </c>
      <c r="H66" t="s">
        <v>144</v>
      </c>
      <c r="J66" s="45"/>
    </row>
    <row r="67" spans="6:10" ht="13.9" x14ac:dyDescent="0.4">
      <c r="F67" s="157">
        <f>F64/(F65)</f>
        <v>2000.0000000000002</v>
      </c>
      <c r="H67" t="s">
        <v>33</v>
      </c>
      <c r="J67" s="45"/>
    </row>
    <row r="68" spans="6:10" x14ac:dyDescent="0.35">
      <c r="F68" s="44"/>
      <c r="J68" s="45"/>
    </row>
    <row r="69" spans="6:10" x14ac:dyDescent="0.35">
      <c r="F69" s="44" t="s">
        <v>145</v>
      </c>
      <c r="J69" s="45"/>
    </row>
    <row r="70" spans="6:10" x14ac:dyDescent="0.35">
      <c r="F70" s="44">
        <v>100</v>
      </c>
      <c r="G70" t="s">
        <v>7</v>
      </c>
      <c r="H70" t="s">
        <v>146</v>
      </c>
      <c r="J70" s="45"/>
    </row>
    <row r="71" spans="6:10" x14ac:dyDescent="0.35">
      <c r="F71" s="44">
        <f>$D$8*0.25</f>
        <v>5000</v>
      </c>
      <c r="G71" t="s">
        <v>119</v>
      </c>
      <c r="H71" t="s">
        <v>148</v>
      </c>
      <c r="J71" s="45"/>
    </row>
    <row r="72" spans="6:10" x14ac:dyDescent="0.35">
      <c r="F72" s="44">
        <f>F70*F71</f>
        <v>500000</v>
      </c>
      <c r="G72" t="s">
        <v>149</v>
      </c>
      <c r="H72" t="s">
        <v>150</v>
      </c>
      <c r="J72" s="45"/>
    </row>
    <row r="73" spans="6:10" x14ac:dyDescent="0.35">
      <c r="F73" s="75">
        <f>F72/F67</f>
        <v>249.99999999999997</v>
      </c>
      <c r="G73" t="s">
        <v>7</v>
      </c>
      <c r="H73" t="s">
        <v>151</v>
      </c>
      <c r="J73" s="45"/>
    </row>
    <row r="74" spans="6:10" x14ac:dyDescent="0.35">
      <c r="F74" s="75">
        <f>F70-F73</f>
        <v>-149.99999999999997</v>
      </c>
      <c r="G74" t="s">
        <v>7</v>
      </c>
      <c r="H74" t="s">
        <v>152</v>
      </c>
      <c r="J74" s="45"/>
    </row>
    <row r="75" spans="6:10" x14ac:dyDescent="0.35">
      <c r="F75" s="46"/>
      <c r="G75" s="47"/>
      <c r="H75" s="47"/>
      <c r="I75" s="47"/>
      <c r="J75" s="48"/>
    </row>
    <row r="80" spans="6:10" x14ac:dyDescent="0.35">
      <c r="F80" s="29"/>
    </row>
    <row r="81" spans="6:8" ht="13.15" x14ac:dyDescent="0.4">
      <c r="G81" s="27">
        <f>F53</f>
        <v>10.199999999999999</v>
      </c>
      <c r="H81" t="s">
        <v>155</v>
      </c>
    </row>
    <row r="83" spans="6:8" ht="13.15" x14ac:dyDescent="0.4">
      <c r="F83" s="135">
        <f>0.56*G83</f>
        <v>7039.2000000000007</v>
      </c>
      <c r="G83" s="108">
        <v>12570</v>
      </c>
      <c r="H83" s="135">
        <f>1.56*G83</f>
        <v>19609.2</v>
      </c>
    </row>
    <row r="84" spans="6:8" x14ac:dyDescent="0.35">
      <c r="F84" s="46"/>
      <c r="G84" s="47"/>
      <c r="H84" s="48"/>
    </row>
    <row r="85" spans="6:8" ht="13.15" x14ac:dyDescent="0.4">
      <c r="F85" s="108">
        <v>109028</v>
      </c>
      <c r="G85" s="108">
        <v>109325</v>
      </c>
      <c r="H85" s="76"/>
    </row>
    <row r="87" spans="6:8" ht="13.9" x14ac:dyDescent="0.4">
      <c r="F87" s="134">
        <f>(1-F85/G85)</f>
        <v>2.716670477932781E-3</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tabSelected="1" zoomScale="70" zoomScaleNormal="70" workbookViewId="0">
      <selection activeCell="G23" sqref="G23:AJ23"/>
    </sheetView>
  </sheetViews>
  <sheetFormatPr defaultColWidth="11.53125" defaultRowHeight="12.75" x14ac:dyDescent="0.35"/>
  <sheetData>
    <row r="1" spans="1:4" ht="14.25" x14ac:dyDescent="0.45">
      <c r="A1" s="161" t="s">
        <v>159</v>
      </c>
      <c r="B1" s="162"/>
      <c r="C1" s="161" t="s">
        <v>160</v>
      </c>
      <c r="D1" s="162"/>
    </row>
    <row r="2" spans="1:4" ht="92.85" customHeight="1" x14ac:dyDescent="0.45">
      <c r="A2" s="163" t="s">
        <v>161</v>
      </c>
      <c r="B2" s="164"/>
      <c r="C2" s="163" t="s">
        <v>162</v>
      </c>
      <c r="D2" s="164"/>
    </row>
    <row r="3" spans="1:4" ht="57" x14ac:dyDescent="0.45">
      <c r="A3" s="86" t="s">
        <v>163</v>
      </c>
      <c r="B3" s="87" t="s">
        <v>164</v>
      </c>
      <c r="C3" s="86" t="s">
        <v>114</v>
      </c>
      <c r="D3" s="88" t="s">
        <v>116</v>
      </c>
    </row>
    <row r="4" spans="1:4" ht="14.25" x14ac:dyDescent="0.45">
      <c r="A4" s="89" t="s">
        <v>120</v>
      </c>
      <c r="B4" s="88" t="s">
        <v>165</v>
      </c>
      <c r="C4" s="89" t="s">
        <v>120</v>
      </c>
      <c r="D4" s="88" t="s">
        <v>165</v>
      </c>
    </row>
    <row r="5" spans="1:4" x14ac:dyDescent="0.35">
      <c r="A5" s="95">
        <v>4</v>
      </c>
      <c r="B5" s="90">
        <f>'6 - Thresholds'!$M4</f>
        <v>81.483698805177113</v>
      </c>
      <c r="C5" s="91">
        <v>4</v>
      </c>
      <c r="D5" s="96">
        <f>CubicSpline(C5,$A$5:$A$34,$B$5:$B$34)</f>
        <v>81.483698805177141</v>
      </c>
    </row>
    <row r="6" spans="1:4" x14ac:dyDescent="0.35">
      <c r="A6" s="97">
        <v>5</v>
      </c>
      <c r="B6" s="85">
        <f>'6 - Thresholds'!$M5</f>
        <v>130.87164393660166</v>
      </c>
      <c r="C6" s="81">
        <v>5</v>
      </c>
      <c r="D6" s="98">
        <f t="shared" ref="D6:D30" si="0">CubicSpline(C6,$A$5:$A$34,$B$5:$B$34)</f>
        <v>130.87164393660169</v>
      </c>
    </row>
    <row r="7" spans="1:4" x14ac:dyDescent="0.35">
      <c r="A7" s="97">
        <v>6</v>
      </c>
      <c r="B7" s="85">
        <f>'6 - Thresholds'!$M6</f>
        <v>191.95285453882664</v>
      </c>
      <c r="C7" s="92">
        <v>6</v>
      </c>
      <c r="D7" s="98">
        <f t="shared" si="0"/>
        <v>191.95285453882661</v>
      </c>
    </row>
    <row r="8" spans="1:4" x14ac:dyDescent="0.35">
      <c r="A8" s="97">
        <v>7</v>
      </c>
      <c r="B8" s="85">
        <f>'6 - Thresholds'!$M7</f>
        <v>257.34973948711081</v>
      </c>
      <c r="C8" s="81">
        <v>7</v>
      </c>
      <c r="D8" s="98">
        <f t="shared" si="0"/>
        <v>257.34973948711081</v>
      </c>
    </row>
    <row r="9" spans="1:4" x14ac:dyDescent="0.35">
      <c r="A9" s="97">
        <v>8</v>
      </c>
      <c r="B9" s="85">
        <f>'6 - Thresholds'!$M8</f>
        <v>338.76311837698881</v>
      </c>
      <c r="C9" s="81">
        <v>8</v>
      </c>
      <c r="D9" s="98">
        <f t="shared" si="0"/>
        <v>338.76311837698881</v>
      </c>
    </row>
    <row r="10" spans="1:4" x14ac:dyDescent="0.35">
      <c r="A10" s="97">
        <v>9</v>
      </c>
      <c r="B10" s="85">
        <f>'6 - Thresholds'!$M9</f>
        <v>431.59982202821686</v>
      </c>
      <c r="C10" s="81">
        <v>9</v>
      </c>
      <c r="D10" s="98">
        <f t="shared" si="0"/>
        <v>431.59982202821686</v>
      </c>
    </row>
    <row r="11" spans="1:4" x14ac:dyDescent="0.35">
      <c r="A11" s="97">
        <v>10</v>
      </c>
      <c r="B11" s="85">
        <f>'6 - Thresholds'!$M10</f>
        <v>532.54635028956261</v>
      </c>
      <c r="C11" s="81">
        <v>10</v>
      </c>
      <c r="D11" s="98">
        <f t="shared" si="0"/>
        <v>532.54635028956272</v>
      </c>
    </row>
    <row r="12" spans="1:4" x14ac:dyDescent="0.35">
      <c r="A12" s="97">
        <v>11</v>
      </c>
      <c r="B12" s="85">
        <f>'6 - Thresholds'!$M11</f>
        <v>646.65396893385309</v>
      </c>
      <c r="C12" s="81">
        <v>11</v>
      </c>
      <c r="D12" s="98">
        <f t="shared" si="0"/>
        <v>646.65396893385309</v>
      </c>
    </row>
    <row r="13" spans="1:4" x14ac:dyDescent="0.35">
      <c r="A13" s="97">
        <v>12</v>
      </c>
      <c r="B13" s="85">
        <f>'6 - Thresholds'!$M12</f>
        <v>775.63786844670585</v>
      </c>
      <c r="C13" s="81">
        <v>12</v>
      </c>
      <c r="D13" s="98">
        <f t="shared" si="0"/>
        <v>775.6378684467054</v>
      </c>
    </row>
    <row r="14" spans="1:4" x14ac:dyDescent="0.35">
      <c r="A14" s="97">
        <v>13</v>
      </c>
      <c r="B14" s="85">
        <f>'6 - Thresholds'!$M13</f>
        <v>906.95045069269406</v>
      </c>
      <c r="C14" s="81">
        <v>13</v>
      </c>
      <c r="D14" s="98">
        <f t="shared" si="0"/>
        <v>906.95045069269406</v>
      </c>
    </row>
    <row r="15" spans="1:4" x14ac:dyDescent="0.35">
      <c r="A15" s="97">
        <v>14</v>
      </c>
      <c r="B15" s="85">
        <f>'6 - Thresholds'!$M14</f>
        <v>1042.5234115919422</v>
      </c>
      <c r="C15" s="92">
        <v>14</v>
      </c>
      <c r="D15" s="98">
        <f t="shared" si="0"/>
        <v>1042.5234115919416</v>
      </c>
    </row>
    <row r="16" spans="1:4" x14ac:dyDescent="0.35">
      <c r="A16" s="97">
        <v>15</v>
      </c>
      <c r="B16" s="85">
        <f>'6 - Thresholds'!$M15</f>
        <v>1191.5802407392807</v>
      </c>
      <c r="C16" s="81">
        <v>15</v>
      </c>
      <c r="D16" s="98">
        <f t="shared" si="0"/>
        <v>1191.5802407392805</v>
      </c>
    </row>
    <row r="17" spans="1:36" x14ac:dyDescent="0.35">
      <c r="A17" s="97">
        <v>16</v>
      </c>
      <c r="B17" s="85">
        <f>'6 - Thresholds'!$M16</f>
        <v>1349.1029590834462</v>
      </c>
      <c r="C17" s="81">
        <v>16</v>
      </c>
      <c r="D17" s="98">
        <f t="shared" si="0"/>
        <v>1349.1029590834441</v>
      </c>
    </row>
    <row r="18" spans="1:36" x14ac:dyDescent="0.35">
      <c r="A18" s="97">
        <v>17</v>
      </c>
      <c r="B18" s="85">
        <f>'6 - Thresholds'!$M17</f>
        <v>1500.7978844484473</v>
      </c>
      <c r="C18" s="81">
        <v>17</v>
      </c>
      <c r="D18" s="98">
        <f t="shared" si="0"/>
        <v>1500.7978844484471</v>
      </c>
    </row>
    <row r="19" spans="1:36" x14ac:dyDescent="0.35">
      <c r="A19" s="97">
        <v>18</v>
      </c>
      <c r="B19" s="85">
        <f>'6 - Thresholds'!$M18</f>
        <v>1649.4429937866657</v>
      </c>
      <c r="C19" s="81">
        <v>18</v>
      </c>
      <c r="D19" s="98">
        <f t="shared" si="0"/>
        <v>1649.4429937866628</v>
      </c>
    </row>
    <row r="20" spans="1:36" x14ac:dyDescent="0.35">
      <c r="A20" s="97">
        <v>19</v>
      </c>
      <c r="B20" s="85">
        <f>'6 - Thresholds'!$M19</f>
        <v>1809.6906236907946</v>
      </c>
      <c r="C20" s="81">
        <v>19</v>
      </c>
      <c r="D20" s="98">
        <f t="shared" si="0"/>
        <v>1809.6906236907946</v>
      </c>
      <c r="G20" s="85">
        <f>'6 - Curve'!$D$5</f>
        <v>81.483698805177141</v>
      </c>
      <c r="H20" s="85">
        <f>'6 - Curve'!$D$6</f>
        <v>130.87164393660169</v>
      </c>
      <c r="I20" s="85">
        <f>'6 - Curve'!$D$7</f>
        <v>191.95285453882661</v>
      </c>
      <c r="J20" s="85">
        <f>'6 - Curve'!$D$8</f>
        <v>257.34973948711081</v>
      </c>
      <c r="K20" s="85">
        <f>'6 - Curve'!$D$9</f>
        <v>338.76311837698881</v>
      </c>
      <c r="L20" s="85">
        <f>'6 - Curve'!$D$10</f>
        <v>431.59982202821686</v>
      </c>
      <c r="M20" s="85">
        <f>'6 - Curve'!$D$11</f>
        <v>532.54635028956272</v>
      </c>
      <c r="N20" s="85">
        <f>'6 - Curve'!$D$12</f>
        <v>646.65396893385309</v>
      </c>
      <c r="O20" s="85">
        <f>'6 - Curve'!$D$13</f>
        <v>775.6378684467054</v>
      </c>
      <c r="P20" s="85">
        <f>'6 - Curve'!$D$14</f>
        <v>906.95045069269406</v>
      </c>
      <c r="Q20" s="85">
        <f>'6 - Curve'!$D$15</f>
        <v>1042.5234115919416</v>
      </c>
      <c r="R20" s="85">
        <f>'6 - Curve'!$D$16</f>
        <v>1191.5802407392805</v>
      </c>
      <c r="S20" s="85">
        <f>'6 - Curve'!$D$17</f>
        <v>1349.1029590834441</v>
      </c>
      <c r="T20" s="85">
        <f>'6 - Curve'!$D$18</f>
        <v>1500.7978844484471</v>
      </c>
      <c r="U20" s="85">
        <f>'6 - Curve'!$D$19</f>
        <v>1649.4429937866628</v>
      </c>
      <c r="V20" s="85">
        <f>'6 - Curve'!$D$20</f>
        <v>1809.6906236907946</v>
      </c>
      <c r="W20" s="85">
        <f>'6 - Curve'!$D$21</f>
        <v>1982.3194930058253</v>
      </c>
      <c r="X20" s="85">
        <f>'6 - Curve'!$D$22</f>
        <v>2175.8477861349802</v>
      </c>
      <c r="Y20" s="85">
        <f>'6 - Curve'!$D$23</f>
        <v>2391.4204688041928</v>
      </c>
      <c r="Z20" s="85">
        <f>'6 - Curve'!$D$24</f>
        <v>2639.0025612781433</v>
      </c>
      <c r="AA20" s="85">
        <f>'6 - Curve'!$D$25</f>
        <v>2910.3498904411827</v>
      </c>
      <c r="AB20" s="85">
        <f>'6 - Curve'!$D$26</f>
        <v>3212.2219656283432</v>
      </c>
      <c r="AC20" s="85">
        <f>'6 - Curve'!$D$27</f>
        <v>3513.1533581806716</v>
      </c>
      <c r="AD20" s="85">
        <f>'6 - Curve'!$D$28</f>
        <v>3815.8615675185765</v>
      </c>
      <c r="AE20" s="85">
        <f>'6 - Curve'!$D$29</f>
        <v>4128.557169286496</v>
      </c>
      <c r="AF20" s="85">
        <f>'6 - Curve'!$D$30</f>
        <v>4450.4983515135063</v>
      </c>
      <c r="AG20" s="85">
        <f>'6 - Curve'!$D$31</f>
        <v>4815.0375625393172</v>
      </c>
      <c r="AH20" s="106">
        <f>'6 - Curve'!$D$32</f>
        <v>9426.4699617590704</v>
      </c>
      <c r="AI20" s="106">
        <f>'6 - Curve'!$D$33</f>
        <v>15895.418171796442</v>
      </c>
      <c r="AJ20" s="106">
        <f>'6 - Curve'!$D$34</f>
        <v>24999.999999999996</v>
      </c>
    </row>
    <row r="21" spans="1:36" ht="13.5" thickBot="1" x14ac:dyDescent="0.45">
      <c r="A21" s="97">
        <v>20</v>
      </c>
      <c r="B21" s="85">
        <f>'6 - Thresholds'!$M20</f>
        <v>1982.3194930058253</v>
      </c>
      <c r="C21" s="81">
        <v>20</v>
      </c>
      <c r="D21" s="98">
        <f t="shared" si="0"/>
        <v>1982.3194930058253</v>
      </c>
      <c r="G21" s="27">
        <v>0</v>
      </c>
      <c r="H21">
        <v>1</v>
      </c>
      <c r="I21" s="27">
        <v>2</v>
      </c>
      <c r="J21">
        <v>3</v>
      </c>
      <c r="K21">
        <v>4</v>
      </c>
      <c r="L21">
        <v>5</v>
      </c>
      <c r="M21" s="27">
        <v>6</v>
      </c>
      <c r="N21">
        <v>7</v>
      </c>
      <c r="O21">
        <v>8</v>
      </c>
      <c r="P21">
        <v>9</v>
      </c>
      <c r="Q21" s="27">
        <v>10</v>
      </c>
      <c r="R21">
        <v>11</v>
      </c>
      <c r="S21">
        <v>12</v>
      </c>
      <c r="T21">
        <v>13</v>
      </c>
      <c r="U21">
        <v>14</v>
      </c>
      <c r="V21">
        <v>15</v>
      </c>
      <c r="W21">
        <v>16</v>
      </c>
      <c r="X21" s="27">
        <v>17</v>
      </c>
      <c r="Y21">
        <v>18</v>
      </c>
      <c r="Z21">
        <v>19</v>
      </c>
      <c r="AA21">
        <v>20</v>
      </c>
      <c r="AB21" s="27">
        <v>21</v>
      </c>
      <c r="AC21">
        <v>22</v>
      </c>
      <c r="AD21">
        <v>23</v>
      </c>
      <c r="AE21">
        <v>24</v>
      </c>
      <c r="AF21">
        <v>25</v>
      </c>
      <c r="AG21">
        <v>26</v>
      </c>
      <c r="AH21" s="27">
        <v>27</v>
      </c>
      <c r="AI21" s="27">
        <v>28</v>
      </c>
      <c r="AJ21" s="27">
        <v>29</v>
      </c>
    </row>
    <row r="22" spans="1:36" x14ac:dyDescent="0.35">
      <c r="A22" s="97">
        <v>21</v>
      </c>
      <c r="B22" s="85">
        <f>'6 - Thresholds'!$M21</f>
        <v>2175.8477861349802</v>
      </c>
      <c r="C22" s="92">
        <v>21</v>
      </c>
      <c r="D22" s="98">
        <f t="shared" si="0"/>
        <v>2175.8477861349802</v>
      </c>
      <c r="F22" s="11" t="s">
        <v>172</v>
      </c>
      <c r="G22" s="101">
        <v>4</v>
      </c>
      <c r="H22" s="102">
        <v>5</v>
      </c>
      <c r="I22" s="102">
        <v>6</v>
      </c>
      <c r="J22" s="102">
        <v>7</v>
      </c>
      <c r="K22" s="102">
        <v>8</v>
      </c>
      <c r="L22" s="102">
        <v>9</v>
      </c>
      <c r="M22" s="102">
        <v>10</v>
      </c>
      <c r="N22" s="102">
        <v>11</v>
      </c>
      <c r="O22" s="102">
        <v>12</v>
      </c>
      <c r="P22" s="102">
        <v>13</v>
      </c>
      <c r="Q22" s="102">
        <v>14</v>
      </c>
      <c r="R22" s="102">
        <v>15</v>
      </c>
      <c r="S22" s="102">
        <v>16</v>
      </c>
      <c r="T22" s="102">
        <v>17</v>
      </c>
      <c r="U22" s="102">
        <v>18</v>
      </c>
      <c r="V22" s="102">
        <v>19</v>
      </c>
      <c r="W22" s="102">
        <v>20</v>
      </c>
      <c r="X22" s="102">
        <v>21</v>
      </c>
      <c r="Y22" s="102">
        <v>22</v>
      </c>
      <c r="Z22" s="102">
        <v>23</v>
      </c>
      <c r="AA22" s="102">
        <v>24</v>
      </c>
      <c r="AB22" s="102">
        <v>25</v>
      </c>
      <c r="AC22" s="102">
        <v>26</v>
      </c>
      <c r="AD22" s="102">
        <v>27</v>
      </c>
      <c r="AE22" s="102">
        <v>28</v>
      </c>
      <c r="AF22" s="102">
        <v>29</v>
      </c>
      <c r="AG22" s="102">
        <v>30</v>
      </c>
      <c r="AH22" s="102">
        <v>38</v>
      </c>
      <c r="AI22" s="102">
        <v>50</v>
      </c>
      <c r="AJ22" s="5">
        <v>70</v>
      </c>
    </row>
    <row r="23" spans="1:36" ht="14.25" thickBot="1" x14ac:dyDescent="0.45">
      <c r="A23" s="97">
        <v>22</v>
      </c>
      <c r="B23" s="85">
        <f>'6 - Thresholds'!$M22</f>
        <v>2391.4204688041923</v>
      </c>
      <c r="C23" s="81">
        <v>22</v>
      </c>
      <c r="D23" s="98">
        <f t="shared" si="0"/>
        <v>2391.4204688041928</v>
      </c>
      <c r="F23" s="11" t="s">
        <v>173</v>
      </c>
      <c r="G23" s="103">
        <f t="shared" ref="G23:AJ23" si="1">INT(G20+0.5)</f>
        <v>81</v>
      </c>
      <c r="H23" s="104">
        <f t="shared" si="1"/>
        <v>131</v>
      </c>
      <c r="I23" s="104">
        <f t="shared" si="1"/>
        <v>192</v>
      </c>
      <c r="J23" s="104">
        <f t="shared" si="1"/>
        <v>257</v>
      </c>
      <c r="K23" s="104">
        <f t="shared" si="1"/>
        <v>339</v>
      </c>
      <c r="L23" s="104">
        <f t="shared" si="1"/>
        <v>432</v>
      </c>
      <c r="M23" s="104">
        <f t="shared" si="1"/>
        <v>533</v>
      </c>
      <c r="N23" s="104">
        <f t="shared" si="1"/>
        <v>647</v>
      </c>
      <c r="O23" s="104">
        <f t="shared" si="1"/>
        <v>776</v>
      </c>
      <c r="P23" s="104">
        <f t="shared" si="1"/>
        <v>907</v>
      </c>
      <c r="Q23" s="104">
        <f t="shared" si="1"/>
        <v>1043</v>
      </c>
      <c r="R23" s="104">
        <f t="shared" si="1"/>
        <v>1192</v>
      </c>
      <c r="S23" s="104">
        <f t="shared" si="1"/>
        <v>1349</v>
      </c>
      <c r="T23" s="104">
        <f t="shared" si="1"/>
        <v>1501</v>
      </c>
      <c r="U23" s="104">
        <f t="shared" si="1"/>
        <v>1649</v>
      </c>
      <c r="V23" s="104">
        <f t="shared" si="1"/>
        <v>1810</v>
      </c>
      <c r="W23" s="104">
        <f t="shared" si="1"/>
        <v>1982</v>
      </c>
      <c r="X23" s="104">
        <f t="shared" si="1"/>
        <v>2176</v>
      </c>
      <c r="Y23" s="104">
        <f t="shared" si="1"/>
        <v>2391</v>
      </c>
      <c r="Z23" s="104">
        <f t="shared" si="1"/>
        <v>2639</v>
      </c>
      <c r="AA23" s="104">
        <f t="shared" si="1"/>
        <v>2910</v>
      </c>
      <c r="AB23" s="104">
        <f t="shared" si="1"/>
        <v>3212</v>
      </c>
      <c r="AC23" s="104">
        <f t="shared" si="1"/>
        <v>3513</v>
      </c>
      <c r="AD23" s="104">
        <f t="shared" si="1"/>
        <v>3816</v>
      </c>
      <c r="AE23" s="104">
        <f t="shared" si="1"/>
        <v>4129</v>
      </c>
      <c r="AF23" s="104">
        <f t="shared" si="1"/>
        <v>4450</v>
      </c>
      <c r="AG23" s="104">
        <f t="shared" si="1"/>
        <v>4815</v>
      </c>
      <c r="AH23" s="104">
        <f t="shared" si="1"/>
        <v>9426</v>
      </c>
      <c r="AI23" s="104">
        <f t="shared" si="1"/>
        <v>15895</v>
      </c>
      <c r="AJ23" s="105">
        <f t="shared" si="1"/>
        <v>25000</v>
      </c>
    </row>
    <row r="24" spans="1:36" ht="13.9" x14ac:dyDescent="0.5">
      <c r="A24" s="97">
        <v>23</v>
      </c>
      <c r="B24" s="85">
        <f>'6 - Thresholds'!$M23</f>
        <v>2639.0025612781446</v>
      </c>
      <c r="C24" s="81">
        <v>23</v>
      </c>
      <c r="D24" s="98">
        <f t="shared" si="0"/>
        <v>2639.0025612781433</v>
      </c>
      <c r="G24" s="143" t="s">
        <v>182</v>
      </c>
    </row>
    <row r="25" spans="1:36" x14ac:dyDescent="0.35">
      <c r="A25" s="97">
        <v>24</v>
      </c>
      <c r="B25" s="85">
        <f>'6 - Thresholds'!$M24</f>
        <v>2910.3498904411822</v>
      </c>
      <c r="C25" s="81">
        <v>24</v>
      </c>
      <c r="D25" s="98">
        <f t="shared" si="0"/>
        <v>2910.3498904411827</v>
      </c>
    </row>
    <row r="26" spans="1:36" x14ac:dyDescent="0.35">
      <c r="A26" s="97">
        <v>25</v>
      </c>
      <c r="B26" s="85">
        <f>'6 - Thresholds'!$M25</f>
        <v>3212.221965628341</v>
      </c>
      <c r="C26" s="92">
        <v>25</v>
      </c>
      <c r="D26" s="98">
        <f t="shared" si="0"/>
        <v>3212.2219656283432</v>
      </c>
    </row>
    <row r="27" spans="1:36" x14ac:dyDescent="0.35">
      <c r="A27" s="97">
        <v>26</v>
      </c>
      <c r="B27" s="85">
        <f>'6 - Thresholds'!$M26</f>
        <v>3513.1533581806707</v>
      </c>
      <c r="C27" s="81">
        <v>26</v>
      </c>
      <c r="D27" s="98">
        <f t="shared" si="0"/>
        <v>3513.1533581806716</v>
      </c>
      <c r="F27" s="77">
        <v>10</v>
      </c>
      <c r="G27">
        <f>CubicSpline(F27, $A$5:$A$107, $B$5:$B$107)</f>
        <v>532.54635028956272</v>
      </c>
    </row>
    <row r="28" spans="1:36" x14ac:dyDescent="0.35">
      <c r="A28" s="97">
        <v>27</v>
      </c>
      <c r="B28" s="85">
        <f>'6 - Thresholds'!$M27</f>
        <v>3815.8615675185747</v>
      </c>
      <c r="C28" s="81">
        <v>27</v>
      </c>
      <c r="D28" s="98">
        <f t="shared" si="0"/>
        <v>3815.8615675185765</v>
      </c>
      <c r="F28" s="77">
        <v>11</v>
      </c>
      <c r="G28">
        <f>CubicSpline(F28, $A$5:$A$107, $B$5:$B$107)</f>
        <v>646.65396893385309</v>
      </c>
    </row>
    <row r="29" spans="1:36" x14ac:dyDescent="0.35">
      <c r="A29" s="97">
        <v>28</v>
      </c>
      <c r="B29" s="85">
        <f>'6 - Thresholds'!$M28</f>
        <v>4128.5571692864951</v>
      </c>
      <c r="C29" s="81">
        <v>28</v>
      </c>
      <c r="D29" s="98">
        <f t="shared" si="0"/>
        <v>4128.557169286496</v>
      </c>
      <c r="F29">
        <v>9</v>
      </c>
      <c r="G29">
        <f>CubicSpline(F29, $A$5:$A$107, $B$5:$B$107)</f>
        <v>431.59982202821686</v>
      </c>
    </row>
    <row r="30" spans="1:36" x14ac:dyDescent="0.35">
      <c r="A30" s="97">
        <v>29</v>
      </c>
      <c r="B30" s="85">
        <f>'6 - Thresholds'!$M29</f>
        <v>4450.4983515134863</v>
      </c>
      <c r="C30" s="81">
        <v>29</v>
      </c>
      <c r="D30" s="98">
        <f t="shared" si="0"/>
        <v>4450.4983515135063</v>
      </c>
    </row>
    <row r="31" spans="1:36" x14ac:dyDescent="0.35">
      <c r="A31" s="97">
        <v>30</v>
      </c>
      <c r="B31" s="85">
        <f>'6 - Thresholds'!$M30</f>
        <v>4815.0375625392207</v>
      </c>
      <c r="C31" s="81">
        <v>30</v>
      </c>
      <c r="D31" s="98">
        <f>CubicSpline(C31,$A$5:$A$34,$B$5:$B$34)</f>
        <v>4815.0375625393172</v>
      </c>
    </row>
    <row r="32" spans="1:36" x14ac:dyDescent="0.35">
      <c r="A32" s="97">
        <f>'6 - Spheres'!$G$40</f>
        <v>39</v>
      </c>
      <c r="B32" s="81">
        <f>'6 - Spheres'!$G$42</f>
        <v>10000</v>
      </c>
      <c r="C32" s="92">
        <v>38</v>
      </c>
      <c r="D32" s="98">
        <f t="shared" ref="D32:D34" si="2">CubicSpline(C32,$A$5:$A$34,$B$5:$B$34)</f>
        <v>9426.4699617590704</v>
      </c>
    </row>
    <row r="33" spans="1:4" x14ac:dyDescent="0.35">
      <c r="A33" s="97">
        <f>'6 - Spheres'!$C$40</f>
        <v>49.4</v>
      </c>
      <c r="B33" s="81">
        <f>'6 - Spheres'!$C$42</f>
        <v>15600</v>
      </c>
      <c r="C33" s="92">
        <v>50</v>
      </c>
      <c r="D33" s="98">
        <f t="shared" si="2"/>
        <v>15895.418171796442</v>
      </c>
    </row>
    <row r="34" spans="1:4" x14ac:dyDescent="0.35">
      <c r="A34" s="99">
        <f>'6 - Spheres'!$N$40</f>
        <v>70</v>
      </c>
      <c r="B34" s="93">
        <f>'6 - Spheres'!$N$42</f>
        <v>25000</v>
      </c>
      <c r="C34" s="94">
        <v>70</v>
      </c>
      <c r="D34" s="100">
        <f t="shared" si="2"/>
        <v>24999.999999999996</v>
      </c>
    </row>
    <row r="36" spans="1:4" ht="40.15" x14ac:dyDescent="0.35">
      <c r="A36" s="78" t="s">
        <v>166</v>
      </c>
    </row>
    <row r="39" spans="1:4" ht="13.15" x14ac:dyDescent="0.4">
      <c r="A39" t="s">
        <v>167</v>
      </c>
    </row>
    <row r="40" spans="1:4" ht="13.15" x14ac:dyDescent="0.4">
      <c r="A40" t="s">
        <v>168</v>
      </c>
    </row>
    <row r="41" spans="1:4" x14ac:dyDescent="0.35">
      <c r="A41" t="s">
        <v>169</v>
      </c>
    </row>
    <row r="42" spans="1:4" x14ac:dyDescent="0.35">
      <c r="A42" t="s">
        <v>170</v>
      </c>
    </row>
    <row r="44" spans="1:4" x14ac:dyDescent="0.35">
      <c r="A44" t="s">
        <v>171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2026-04-09T09:02:11Z</dcterms:modified>
</cp:coreProperties>
</file>