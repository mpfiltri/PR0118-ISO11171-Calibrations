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5E2AE8CE-52A5-43A9-9BB0-9FF7647A8A17}" xr6:coauthVersionLast="47" xr6:coauthVersionMax="47" xr10:uidLastSave="{00000000-0000-0000-0000-000000000000}"/>
  <bookViews>
    <workbookView xWindow="-98" yWindow="-98" windowWidth="28996" windowHeight="17745" xr2:uid="{1CED0541-8FE6-43FC-8C99-84ADE5FEB82D}"/>
  </bookViews>
  <sheets>
    <sheet name="Annex E" sheetId="4" r:id="rId1"/>
    <sheet name="E - B1" sheetId="1" r:id="rId2"/>
    <sheet name="E - B2" sheetId="2" r:id="rId3"/>
    <sheet name="E - B3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I9" i="3"/>
  <c r="C15" i="2"/>
  <c r="C14" i="2"/>
  <c r="C13" i="2"/>
  <c r="C12" i="2"/>
  <c r="C11" i="2"/>
  <c r="C10" i="2"/>
  <c r="C9" i="2"/>
  <c r="C8" i="2"/>
  <c r="B8" i="3"/>
  <c r="C8" i="3"/>
  <c r="D8" i="3"/>
  <c r="E8" i="3"/>
  <c r="F8" i="3"/>
  <c r="B9" i="3"/>
  <c r="C9" i="3"/>
  <c r="D9" i="3"/>
  <c r="E9" i="3"/>
  <c r="F9" i="3"/>
  <c r="B10" i="3"/>
  <c r="C10" i="3"/>
  <c r="D10" i="3"/>
  <c r="E10" i="3"/>
  <c r="F10" i="3"/>
  <c r="B11" i="3"/>
  <c r="C11" i="3"/>
  <c r="D11" i="3"/>
  <c r="E11" i="3"/>
  <c r="F11" i="3"/>
  <c r="B12" i="3"/>
  <c r="C12" i="3"/>
  <c r="D12" i="3"/>
  <c r="E12" i="3"/>
  <c r="F12" i="3"/>
  <c r="B13" i="3"/>
  <c r="C13" i="3"/>
  <c r="D13" i="3"/>
  <c r="E13" i="3"/>
  <c r="F13" i="3"/>
  <c r="B14" i="3"/>
  <c r="C14" i="3"/>
  <c r="D14" i="3"/>
  <c r="E14" i="3"/>
  <c r="F14" i="3"/>
  <c r="B15" i="3"/>
  <c r="C15" i="3"/>
  <c r="D15" i="3"/>
  <c r="E15" i="3"/>
  <c r="F15" i="3"/>
  <c r="B8" i="2"/>
  <c r="D8" i="2"/>
  <c r="E8" i="2"/>
  <c r="F8" i="2"/>
  <c r="H8" i="2" s="1"/>
  <c r="B9" i="2"/>
  <c r="D9" i="2"/>
  <c r="E9" i="2"/>
  <c r="F9" i="2"/>
  <c r="B10" i="2"/>
  <c r="D10" i="2"/>
  <c r="E10" i="2"/>
  <c r="F10" i="2"/>
  <c r="B11" i="2"/>
  <c r="I11" i="2" s="1"/>
  <c r="D11" i="2"/>
  <c r="E11" i="2"/>
  <c r="F11" i="2"/>
  <c r="B12" i="2"/>
  <c r="G12" i="2" s="1"/>
  <c r="D12" i="2"/>
  <c r="E12" i="2"/>
  <c r="F12" i="2"/>
  <c r="B13" i="2"/>
  <c r="D13" i="2"/>
  <c r="E13" i="2"/>
  <c r="F13" i="2"/>
  <c r="B14" i="2"/>
  <c r="D14" i="2"/>
  <c r="E14" i="2"/>
  <c r="F14" i="2"/>
  <c r="B15" i="2"/>
  <c r="D15" i="2"/>
  <c r="E15" i="2"/>
  <c r="F15" i="2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M32" i="1"/>
  <c r="M34" i="1"/>
  <c r="H12" i="2" l="1"/>
  <c r="I12" i="2"/>
  <c r="I10" i="2"/>
  <c r="G9" i="2"/>
  <c r="H9" i="2" s="1"/>
  <c r="G11" i="2"/>
  <c r="H11" i="2" s="1"/>
  <c r="G10" i="2"/>
  <c r="H10" i="2" s="1"/>
  <c r="I9" i="2"/>
  <c r="H8" i="1"/>
  <c r="G9" i="1"/>
  <c r="B23" i="4" s="1"/>
  <c r="I9" i="1"/>
  <c r="G10" i="1"/>
  <c r="I10" i="1"/>
  <c r="G11" i="1"/>
  <c r="I11" i="1"/>
  <c r="G12" i="1"/>
  <c r="I12" i="1"/>
  <c r="H10" i="1" l="1"/>
  <c r="H12" i="1"/>
  <c r="H11" i="1"/>
  <c r="H9" i="1"/>
  <c r="K9" i="1"/>
  <c r="K10" i="1"/>
  <c r="K11" i="1"/>
  <c r="K12" i="1"/>
  <c r="L28" i="4"/>
  <c r="L27" i="4"/>
  <c r="L26" i="4"/>
  <c r="L25" i="4"/>
  <c r="L24" i="4"/>
  <c r="L23" i="4"/>
  <c r="K28" i="4"/>
  <c r="K27" i="4"/>
  <c r="K26" i="4"/>
  <c r="K25" i="4"/>
  <c r="K24" i="4"/>
  <c r="K23" i="4"/>
  <c r="K10" i="2" l="1"/>
  <c r="K11" i="2"/>
  <c r="K12" i="2"/>
  <c r="G12" i="3"/>
  <c r="K12" i="3" s="1"/>
  <c r="G9" i="3"/>
  <c r="K9" i="3" s="1"/>
  <c r="I11" i="3"/>
  <c r="G10" i="3"/>
  <c r="K10" i="3" s="1"/>
  <c r="H8" i="3"/>
  <c r="I10" i="3"/>
  <c r="G11" i="3"/>
  <c r="K11" i="3" s="1"/>
  <c r="M25" i="1"/>
  <c r="M24" i="1"/>
  <c r="R22" i="1"/>
  <c r="K9" i="2" l="1"/>
  <c r="H11" i="3"/>
  <c r="J12" i="2"/>
  <c r="H9" i="3"/>
  <c r="J9" i="3" s="1"/>
  <c r="H10" i="3"/>
  <c r="H12" i="3"/>
  <c r="I12" i="3"/>
  <c r="B25" i="4"/>
  <c r="B19" i="4"/>
  <c r="B18" i="4"/>
  <c r="I15" i="3"/>
  <c r="G15" i="3"/>
  <c r="K15" i="3" s="1"/>
  <c r="I14" i="3"/>
  <c r="G14" i="3"/>
  <c r="I13" i="3"/>
  <c r="G13" i="3"/>
  <c r="D26" i="4"/>
  <c r="D25" i="4"/>
  <c r="D24" i="4"/>
  <c r="I15" i="2"/>
  <c r="G15" i="2"/>
  <c r="K15" i="2" s="1"/>
  <c r="I14" i="2"/>
  <c r="G14" i="2"/>
  <c r="I13" i="2"/>
  <c r="G13" i="2"/>
  <c r="K13" i="2" s="1"/>
  <c r="C25" i="4"/>
  <c r="C23" i="4"/>
  <c r="I15" i="1"/>
  <c r="G15" i="1"/>
  <c r="K15" i="1" s="1"/>
  <c r="I14" i="1"/>
  <c r="G14" i="1"/>
  <c r="B28" i="4" s="1"/>
  <c r="I13" i="1"/>
  <c r="G13" i="1"/>
  <c r="B24" i="4"/>
  <c r="K14" i="2" l="1"/>
  <c r="C28" i="4"/>
  <c r="B20" i="4"/>
  <c r="D27" i="4"/>
  <c r="K13" i="3"/>
  <c r="D28" i="4"/>
  <c r="K14" i="3"/>
  <c r="H13" i="1"/>
  <c r="J13" i="1" s="1"/>
  <c r="K13" i="1"/>
  <c r="H14" i="1"/>
  <c r="J14" i="1" s="1"/>
  <c r="K14" i="1"/>
  <c r="H13" i="2"/>
  <c r="D23" i="4"/>
  <c r="E23" i="4" s="1"/>
  <c r="H13" i="3"/>
  <c r="H15" i="3"/>
  <c r="J15" i="3" s="1"/>
  <c r="C26" i="4"/>
  <c r="H14" i="2"/>
  <c r="H15" i="2"/>
  <c r="J15" i="2" s="1"/>
  <c r="J11" i="1"/>
  <c r="E25" i="4"/>
  <c r="J12" i="1"/>
  <c r="B26" i="4"/>
  <c r="H14" i="3"/>
  <c r="B27" i="4"/>
  <c r="C27" i="4"/>
  <c r="C24" i="4"/>
  <c r="E24" i="4" s="1"/>
  <c r="H15" i="1"/>
  <c r="E28" i="4"/>
  <c r="J12" i="3"/>
  <c r="J24" i="4" l="1"/>
  <c r="M24" i="4"/>
  <c r="F24" i="4"/>
  <c r="J25" i="4"/>
  <c r="M25" i="4"/>
  <c r="F25" i="4"/>
  <c r="J23" i="4"/>
  <c r="M23" i="4"/>
  <c r="F23" i="4"/>
  <c r="J28" i="4"/>
  <c r="F28" i="4"/>
  <c r="M28" i="4"/>
  <c r="J13" i="2"/>
  <c r="J10" i="2"/>
  <c r="J9" i="2"/>
  <c r="J11" i="2"/>
  <c r="E26" i="4"/>
  <c r="J10" i="3"/>
  <c r="J13" i="3"/>
  <c r="E27" i="4"/>
  <c r="J14" i="2"/>
  <c r="J11" i="3"/>
  <c r="J14" i="3"/>
  <c r="J9" i="1"/>
  <c r="J15" i="1"/>
  <c r="J10" i="1"/>
  <c r="J27" i="4" l="1"/>
  <c r="M27" i="4"/>
  <c r="J26" i="4"/>
  <c r="M26" i="4"/>
  <c r="F26" i="4"/>
  <c r="F27" i="4"/>
</calcChain>
</file>

<file path=xl/sharedStrings.xml><?xml version="1.0" encoding="utf-8"?>
<sst xmlns="http://schemas.openxmlformats.org/spreadsheetml/2006/main" count="183" uniqueCount="97">
  <si>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</si>
  <si>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</si>
  <si>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</si>
  <si>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</si>
  <si>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</si>
  <si>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</si>
  <si>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</si>
  <si>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</si>
  <si>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</si>
  <si>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</si>
  <si>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</si>
  <si>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</si>
  <si>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</si>
  <si>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</si>
  <si>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</si>
  <si>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</si>
  <si>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</si>
  <si>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</si>
  <si>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</si>
  <si>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</si>
  <si>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</si>
  <si>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</si>
  <si>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</si>
  <si>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</si>
  <si>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</si>
  <si>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</si>
  <si>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</si>
  <si>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</si>
  <si>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</si>
  <si>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</si>
  <si>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</si>
  <si>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</si>
  <si>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</si>
  <si>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</si>
  <si>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</si>
  <si>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</si>
  <si>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</si>
  <si>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</si>
  <si>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</si>
  <si>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</si>
  <si>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</si>
  <si>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</si>
  <si>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</si>
  <si>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</si>
  <si>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</si>
  <si>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</si>
  <si>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</si>
  <si>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</si>
  <si>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</si>
  <si>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</si>
  <si>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</si>
  <si>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</si>
  <si>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</si>
  <si>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</si>
  <si>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</si>
  <si>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</si>
  <si>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</si>
  <si>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</si>
  <si>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</si>
  <si>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</si>
  <si>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</si>
  <si>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</si>
  <si>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</si>
  <si>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</si>
  <si>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</si>
  <si>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</si>
  <si>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</si>
  <si>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</si>
  <si>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</si>
  <si>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</si>
  <si>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</si>
  <si>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</si>
  <si>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</si>
  <si>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</si>
  <si>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</si>
  <si>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</si>
  <si>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</si>
  <si>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</si>
  <si>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</si>
  <si>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</si>
  <si>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</si>
  <si>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</si>
  <si>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</si>
  <si>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</si>
  <si>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</si>
  <si>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</si>
  <si>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</si>
  <si>
    <t>To make on rig. Measure out slightly more than amount needed to dose rig to 1.0mg/l. Add clean fluid to rig to make 1.0mg/l.</t>
  </si>
  <si>
    <t>E.g. If rig has 10.65l and end up measuring out 10.72mg into an empty bottle. Add 70ml of extra fluid to rig.</t>
  </si>
  <si>
    <t>#00009</t>
  </si>
  <si>
    <t>11171-00009</t>
  </si>
  <si>
    <t>LINKED / TRANSPOSED DATA</t>
  </si>
  <si>
    <t>A.1 Nominal</t>
  </si>
  <si>
    <r>
      <t xml:space="preserve">Mean counted </t>
    </r>
    <r>
      <rPr>
        <u/>
        <sz val="10"/>
        <rFont val="Arial"/>
        <family val="2"/>
      </rPr>
      <t>X</t>
    </r>
  </si>
  <si>
    <t>BOTTLE 2</t>
  </si>
  <si>
    <t>BOTTLE 3</t>
  </si>
  <si>
    <r>
      <t>CV</t>
    </r>
    <r>
      <rPr>
        <vertAlign val="subscript"/>
        <sz val="10"/>
        <rFont val="Arial"/>
        <family val="2"/>
      </rPr>
      <t xml:space="preserve">MAX </t>
    </r>
    <r>
      <rPr>
        <sz val="10"/>
        <rFont val="Arial"/>
        <family val="2"/>
      </rPr>
      <t>Table C.2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</si>
</sst>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3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7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2" fontId="0" fillId="0" borderId="0" xfId="0" applyNumberFormat="1"/>
    <xf numFmtId="2" fontId="0" fillId="0" borderId="0" xfId="1" applyNumberFormat="1" applyFont="1"/>
    <xf numFmtId="2" fontId="3" fillId="0" borderId="0" xfId="1" applyNumberFormat="1" applyFont="1"/>
    <xf numFmtId="9" fontId="0" fillId="0" borderId="0" xfId="1" applyFont="1"/>
    <xf numFmtId="165" fontId="0" fillId="0" borderId="2" xfId="1" applyNumberFormat="1" applyFont="1" applyBorder="1"/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165" fontId="0" fillId="0" borderId="8" xfId="1" applyNumberFormat="1" applyFont="1" applyBorder="1"/>
    <xf numFmtId="165" fontId="0" fillId="0" borderId="6" xfId="1" applyNumberFormat="1" applyFont="1" applyBorder="1"/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5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Particle</a:t>
            </a:r>
            <a:r>
              <a:rPr lang="en-GB" baseline="0"/>
              <a:t> Size DIstribution - Verification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'Annex E'!$J$22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-9.9527726095238189E-2</c:v>
                </c:pt>
                <c:pt idx="1">
                  <c:v>-9.7181935654676213E-2</c:v>
                </c:pt>
                <c:pt idx="2">
                  <c:v>-4.9667833026773085E-2</c:v>
                </c:pt>
                <c:pt idx="3">
                  <c:v>2.8651552611067888E-2</c:v>
                </c:pt>
                <c:pt idx="4">
                  <c:v>-2.9269188077024548E-2</c:v>
                </c:pt>
                <c:pt idx="5">
                  <c:v>-0.1513110363574583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9-4CEA-BAF5-476685F80A51}"/>
            </c:ext>
          </c:extLst>
        </c:ser>
        <c:ser>
          <c:idx val="1"/>
          <c:order val="1"/>
          <c:tx>
            <c:strRef>
              <c:f>'Annex E'!$K$22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9-4CEA-BAF5-476685F80A51}"/>
            </c:ext>
          </c:extLst>
        </c:ser>
        <c:ser>
          <c:idx val="2"/>
          <c:order val="2"/>
          <c:tx>
            <c:strRef>
              <c:f>'Annex E'!$L$22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E'!$L$23:$L$28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49-4CEA-BAF5-476685F80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200"/>
        <c:tickLblSkip val="1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Differences</a:t>
            </a:r>
            <a:r>
              <a:rPr lang="en-GB" baseline="0"/>
              <a:t> Between Runs (Ref. Table C.2)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'Annex E'!$F$22</c:f>
              <c:strCache>
                <c:ptCount val="1"/>
                <c:pt idx="0">
                  <c:v>CV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'Annex E'!$F$23:$F$28</c:f>
              <c:numCache>
                <c:formatCode>0.0%</c:formatCode>
                <c:ptCount val="6"/>
                <c:pt idx="0">
                  <c:v>1.4878892542385837E-2</c:v>
                </c:pt>
                <c:pt idx="1">
                  <c:v>1.6022903787878219E-2</c:v>
                </c:pt>
                <c:pt idx="2">
                  <c:v>1.6181686526343473E-2</c:v>
                </c:pt>
                <c:pt idx="3">
                  <c:v>1.6995260928327566E-2</c:v>
                </c:pt>
                <c:pt idx="4">
                  <c:v>1.0141851454659484E-2</c:v>
                </c:pt>
                <c:pt idx="5">
                  <c:v>9.2850453364577337E-3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7-4777-BF28-E6BC935F7597}"/>
            </c:ext>
          </c:extLst>
        </c:ser>
        <c:ser>
          <c:idx val="1"/>
          <c:order val="1"/>
          <c:tx>
            <c:strRef>
              <c:f>'Annex E'!$M$22</c:f>
              <c:strCache>
                <c:ptCount val="1"/>
                <c:pt idx="0">
                  <c:v>CVMAX Table C.2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'Annex E'!$M$23:$M$28</c:f>
              <c:numCache>
                <c:formatCode>0.0%</c:formatCode>
                <c:ptCount val="6"/>
                <c:pt idx="0">
                  <c:v>7.8E-2</c:v>
                </c:pt>
                <c:pt idx="1">
                  <c:v>7.9000000000000001E-2</c:v>
                </c:pt>
                <c:pt idx="2">
                  <c:v>0.08</c:v>
                </c:pt>
                <c:pt idx="3">
                  <c:v>8.199999999999999E-2</c:v>
                </c:pt>
                <c:pt idx="4">
                  <c:v>8.900000000000001E-2</c:v>
                </c:pt>
                <c:pt idx="5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7-4777-BF28-E6BC935F7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42512"/>
        <c:axId val="181031952"/>
      </c:scatterChart>
      <c:valAx>
        <c:axId val="18104251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31952"/>
        <c:crosses val="autoZero"/>
        <c:crossBetween val="midCat"/>
      </c:valAx>
      <c:valAx>
        <c:axId val="1810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42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456240</xdr:colOff>
      <xdr:row>19</xdr:row>
      <xdr:rowOff>155681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3BAB690-53E1-4C78-B5CC-9697ED949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14</xdr:col>
      <xdr:colOff>672352</xdr:colOff>
      <xdr:row>19</xdr:row>
      <xdr:rowOff>151279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913CC4-9C32-48B5-BE08-687CC0F40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85" zoomScaleNormal="85" workbookViewId="0">
      <selection activeCell="B8" sqref="B8"/>
    </sheetView>
  </sheetViews>
  <sheetFormatPr defaultColWidth="11.53125" defaultRowHeight="12.75" x14ac:dyDescent="0.35"/>
  <cols>
    <col min="1" max="1" width="19.33203125" customWidth="1"/>
    <col min="2" max="2" width="10.796875" customWidth="1"/>
  </cols>
  <sheetData>
    <row r="1" spans="1:1024" ht="33.85" customHeight="1" x14ac:dyDescent="1.1000000000000001">
      <c r="A1" s="47" t="s">
        <v>64</v>
      </c>
      <c r="B1" s="32"/>
      <c r="C1" s="32"/>
      <c r="D1" s="32"/>
      <c r="E1" s="32"/>
      <c r="F1" s="32"/>
      <c r="G1" s="32"/>
      <c r="H1" s="32"/>
      <c r="I1" s="32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</row>
    <row r="3" spans="1:1024" ht="13.15" x14ac:dyDescent="0.4">
      <c r="A3" s="1" t="s">
        <v>35</v>
      </c>
      <c r="B3" s="3" t="s">
        <v>65</v>
      </c>
    </row>
    <row r="4" spans="1:1024" x14ac:dyDescent="0.35">
      <c r="A4" t="s">
        <v>36</v>
      </c>
      <c r="B4" s="3" t="s">
        <v>66</v>
      </c>
    </row>
    <row r="5" spans="1:1024" x14ac:dyDescent="0.35">
      <c r="A5" t="s">
        <v>37</v>
      </c>
      <c r="B5" s="3" t="s">
        <v>90</v>
      </c>
    </row>
    <row r="6" spans="1:1024" x14ac:dyDescent="0.35">
      <c r="A6" t="s">
        <v>38</v>
      </c>
      <c r="B6" s="3" t="s">
        <v>66</v>
      </c>
    </row>
    <row r="7" spans="1:1024" x14ac:dyDescent="0.35">
      <c r="A7" t="s">
        <v>39</v>
      </c>
      <c r="B7" s="3"/>
    </row>
    <row r="8" spans="1:1024" ht="13.15" x14ac:dyDescent="0.4">
      <c r="A8" t="s">
        <v>32</v>
      </c>
      <c r="B8" s="34">
        <v>46182</v>
      </c>
    </row>
    <row r="9" spans="1:1024" x14ac:dyDescent="0.35">
      <c r="A9" t="s">
        <v>40</v>
      </c>
      <c r="B9" s="35" t="s">
        <v>41</v>
      </c>
    </row>
    <row r="10" spans="1:1024" ht="13.15" x14ac:dyDescent="0.4">
      <c r="A10" t="s">
        <v>42</v>
      </c>
      <c r="B10" s="2">
        <v>35</v>
      </c>
    </row>
    <row r="11" spans="1:1024" x14ac:dyDescent="0.35">
      <c r="A11" t="s">
        <v>43</v>
      </c>
      <c r="B11">
        <v>1</v>
      </c>
    </row>
    <row r="13" spans="1:1024" x14ac:dyDescent="0.35">
      <c r="A13" t="s">
        <v>44</v>
      </c>
      <c r="B13">
        <v>50</v>
      </c>
      <c r="C13" t="s">
        <v>45</v>
      </c>
    </row>
    <row r="14" spans="1:1024" x14ac:dyDescent="0.35">
      <c r="A14" t="s">
        <v>46</v>
      </c>
      <c r="B14">
        <v>5</v>
      </c>
    </row>
    <row r="15" spans="1:1024" x14ac:dyDescent="0.35">
      <c r="A15" t="s">
        <v>47</v>
      </c>
      <c r="B15">
        <v>10</v>
      </c>
      <c r="C15" t="s">
        <v>45</v>
      </c>
    </row>
    <row r="16" spans="1:1024" x14ac:dyDescent="0.35">
      <c r="A16" t="s">
        <v>48</v>
      </c>
      <c r="B16" s="68">
        <v>0.4612</v>
      </c>
    </row>
    <row r="17" spans="1:13" x14ac:dyDescent="0.35">
      <c r="D17" s="3"/>
    </row>
    <row r="18" spans="1:13" x14ac:dyDescent="0.35">
      <c r="A18" t="s">
        <v>49</v>
      </c>
      <c r="B18">
        <f>$B$16*$B$15/100</f>
        <v>4.6120000000000001E-2</v>
      </c>
    </row>
    <row r="19" spans="1:13" x14ac:dyDescent="0.35">
      <c r="A19" s="36" t="s">
        <v>50</v>
      </c>
      <c r="B19">
        <f>B16*$B$13</f>
        <v>23.06</v>
      </c>
      <c r="C19" t="s">
        <v>45</v>
      </c>
    </row>
    <row r="20" spans="1:13" x14ac:dyDescent="0.35">
      <c r="A20" t="s">
        <v>51</v>
      </c>
      <c r="B20">
        <f>B15*B16</f>
        <v>4.6120000000000001</v>
      </c>
      <c r="C20" t="s">
        <v>45</v>
      </c>
    </row>
    <row r="22" spans="1:13" ht="15" x14ac:dyDescent="0.5">
      <c r="A22" s="37" t="s">
        <v>52</v>
      </c>
      <c r="B22" s="37" t="s">
        <v>53</v>
      </c>
      <c r="C22" s="37" t="s">
        <v>54</v>
      </c>
      <c r="D22" s="37" t="s">
        <v>55</v>
      </c>
      <c r="E22" s="37" t="s">
        <v>56</v>
      </c>
      <c r="F22" s="37" t="s">
        <v>8</v>
      </c>
      <c r="G22" s="37" t="s">
        <v>92</v>
      </c>
      <c r="H22" s="37" t="s">
        <v>58</v>
      </c>
      <c r="I22" s="37" t="s">
        <v>59</v>
      </c>
      <c r="J22" s="37" t="s">
        <v>60</v>
      </c>
      <c r="K22" s="37" t="s">
        <v>84</v>
      </c>
      <c r="L22" s="37" t="s">
        <v>85</v>
      </c>
      <c r="M22" s="37" t="s">
        <v>96</v>
      </c>
    </row>
    <row r="23" spans="1:13" x14ac:dyDescent="0.35">
      <c r="A23" s="38">
        <v>4</v>
      </c>
      <c r="B23" s="39">
        <f>'E - B1'!$G9</f>
        <v>5810.799804799999</v>
      </c>
      <c r="C23" s="39">
        <f>'E - B2'!$G9</f>
        <v>5605.6731445999994</v>
      </c>
      <c r="D23" s="39">
        <f>'E - B3'!$G9</f>
        <v>5602.4530274000008</v>
      </c>
      <c r="E23" s="14">
        <f t="shared" ref="E23:E28" si="0">AVERAGE(B23:D23)</f>
        <v>5672.9753255999995</v>
      </c>
      <c r="F23" s="63">
        <f t="shared" ref="F23:F28" si="1">STDEVP(B23:E23)/AVERAGE(B23:E23)</f>
        <v>1.4878892542385837E-2</v>
      </c>
      <c r="G23" s="40">
        <v>6300</v>
      </c>
      <c r="H23">
        <v>4553</v>
      </c>
      <c r="I23">
        <v>8713</v>
      </c>
      <c r="J23" s="5">
        <f t="shared" ref="J23:J28" si="2">(E23-G23)/G23</f>
        <v>-9.9527726095238189E-2</v>
      </c>
      <c r="K23" s="63">
        <f>(H23-G23)/G23</f>
        <v>-0.27730158730158733</v>
      </c>
      <c r="L23" s="63">
        <f>(I23-G23)/G23</f>
        <v>0.38301587301587303</v>
      </c>
      <c r="M23" s="63">
        <f t="shared" ref="M23:M28" si="3">IF(E23&gt;$A$45, $D$45, IF(E23&gt;$A$46, $D$46, IF(E23&gt;$A$47,$D$47, IF(E23&gt;$A$48,$D$48, IF(E23&gt;$A$49, $D$49, IF(E23&gt;$A$50,$D$50, IF(E23&gt;$A$51, $D$51)))))))</f>
        <v>7.8E-2</v>
      </c>
    </row>
    <row r="24" spans="1:13" x14ac:dyDescent="0.35">
      <c r="A24" s="3">
        <v>5</v>
      </c>
      <c r="B24" s="39">
        <f>'E - B1'!$G10</f>
        <v>3219.37417</v>
      </c>
      <c r="C24" s="39">
        <f>'E - B2'!$G10</f>
        <v>3097.1661622000001</v>
      </c>
      <c r="D24" s="39">
        <f>'E - B3'!$G10</f>
        <v>3095.3379885999998</v>
      </c>
      <c r="E24" s="14">
        <f t="shared" si="0"/>
        <v>3137.2927736000001</v>
      </c>
      <c r="F24" s="63">
        <f t="shared" si="1"/>
        <v>1.6022903787878219E-2</v>
      </c>
      <c r="G24" s="41">
        <v>3475</v>
      </c>
      <c r="H24">
        <v>2330</v>
      </c>
      <c r="I24">
        <v>5183</v>
      </c>
      <c r="J24" s="5">
        <f t="shared" si="2"/>
        <v>-9.7181935654676213E-2</v>
      </c>
      <c r="K24" s="63">
        <f t="shared" ref="K24:K28" si="4">(H24-G24)/G24</f>
        <v>-0.32949640287769782</v>
      </c>
      <c r="L24" s="63">
        <f t="shared" ref="L24:L28" si="5">(I24-G24)/G24</f>
        <v>0.49151079136690645</v>
      </c>
      <c r="M24" s="63">
        <f t="shared" si="3"/>
        <v>7.9000000000000001E-2</v>
      </c>
    </row>
    <row r="25" spans="1:13" x14ac:dyDescent="0.35">
      <c r="A25" s="3">
        <v>6</v>
      </c>
      <c r="B25" s="39">
        <f>'E - B1'!$G11</f>
        <v>1590.9469237999997</v>
      </c>
      <c r="C25" s="39">
        <f>'E - B2'!$G11</f>
        <v>1529.1048584</v>
      </c>
      <c r="D25" s="39">
        <f>'E - B3'!$G11</f>
        <v>1529.9235108</v>
      </c>
      <c r="E25" s="14">
        <f t="shared" si="0"/>
        <v>1549.9917643333331</v>
      </c>
      <c r="F25" s="63">
        <f t="shared" si="1"/>
        <v>1.6181686526343473E-2</v>
      </c>
      <c r="G25" s="41">
        <v>1631</v>
      </c>
      <c r="H25">
        <v>938.2</v>
      </c>
      <c r="I25">
        <v>2834</v>
      </c>
      <c r="J25" s="5">
        <f t="shared" si="2"/>
        <v>-4.9667833026773085E-2</v>
      </c>
      <c r="K25" s="63">
        <f t="shared" si="4"/>
        <v>-0.42477007970570202</v>
      </c>
      <c r="L25" s="63">
        <f t="shared" si="5"/>
        <v>0.73758430410790921</v>
      </c>
      <c r="M25" s="63">
        <f t="shared" si="3"/>
        <v>0.08</v>
      </c>
    </row>
    <row r="26" spans="1:13" x14ac:dyDescent="0.35">
      <c r="A26" s="3">
        <v>7</v>
      </c>
      <c r="B26" s="39">
        <f>'E - B1'!$G12</f>
        <v>813.79726560000006</v>
      </c>
      <c r="C26" s="39">
        <f>'E - B2'!$G12</f>
        <v>779.80865500000004</v>
      </c>
      <c r="D26" s="39">
        <f>'E - B3'!$G12</f>
        <v>781.96197500000005</v>
      </c>
      <c r="E26" s="14">
        <f t="shared" si="0"/>
        <v>791.85596520000001</v>
      </c>
      <c r="F26" s="63">
        <f t="shared" si="1"/>
        <v>1.6995260928327566E-2</v>
      </c>
      <c r="G26" s="41">
        <v>769.8</v>
      </c>
      <c r="H26">
        <v>413.6</v>
      </c>
      <c r="I26">
        <v>1433</v>
      </c>
      <c r="J26" s="5">
        <f t="shared" si="2"/>
        <v>2.8651552611067888E-2</v>
      </c>
      <c r="K26" s="63">
        <f t="shared" si="4"/>
        <v>-0.46271758898415166</v>
      </c>
      <c r="L26" s="63">
        <f t="shared" si="5"/>
        <v>0.86152247336970655</v>
      </c>
      <c r="M26" s="63">
        <f t="shared" si="3"/>
        <v>8.199999999999999E-2</v>
      </c>
    </row>
    <row r="27" spans="1:13" x14ac:dyDescent="0.35">
      <c r="A27" s="3">
        <v>8</v>
      </c>
      <c r="B27" s="39">
        <f>'E - B1'!$G13</f>
        <v>373.61977560000003</v>
      </c>
      <c r="C27" s="39">
        <f>'E - B2'!$G13</f>
        <v>363.14509280000004</v>
      </c>
      <c r="D27" s="39">
        <f>'E - B3'!$G13</f>
        <v>367.24728399999992</v>
      </c>
      <c r="E27" s="14">
        <f t="shared" si="0"/>
        <v>368.00405080000002</v>
      </c>
      <c r="F27" s="63">
        <f t="shared" si="1"/>
        <v>1.0141851454659484E-2</v>
      </c>
      <c r="G27" s="41">
        <v>379.1</v>
      </c>
      <c r="H27">
        <v>179.7</v>
      </c>
      <c r="I27">
        <v>799.5</v>
      </c>
      <c r="J27" s="5">
        <f t="shared" si="2"/>
        <v>-2.9269188077024548E-2</v>
      </c>
      <c r="K27" s="63">
        <f t="shared" si="4"/>
        <v>-0.52598259034555528</v>
      </c>
      <c r="L27" s="63">
        <f t="shared" si="5"/>
        <v>1.1089422316011606</v>
      </c>
      <c r="M27" s="63">
        <f t="shared" si="3"/>
        <v>8.900000000000001E-2</v>
      </c>
    </row>
    <row r="28" spans="1:13" x14ac:dyDescent="0.35">
      <c r="A28" s="22">
        <v>9</v>
      </c>
      <c r="B28" s="42">
        <f>'E - B1'!$G14</f>
        <v>166.80855120000001</v>
      </c>
      <c r="C28" s="42">
        <f>'E - B2'!$G14</f>
        <v>164.193457</v>
      </c>
      <c r="D28" s="42">
        <f>'E - B3'!$G14</f>
        <v>168.53631580000001</v>
      </c>
      <c r="E28" s="43">
        <f t="shared" si="0"/>
        <v>166.51277466666667</v>
      </c>
      <c r="F28" s="69">
        <f t="shared" si="1"/>
        <v>9.2850453364577337E-3</v>
      </c>
      <c r="G28" s="44">
        <v>196.2</v>
      </c>
      <c r="H28" s="29">
        <v>76.569999999999993</v>
      </c>
      <c r="I28" s="29">
        <v>502.6</v>
      </c>
      <c r="J28" s="13">
        <f t="shared" si="2"/>
        <v>-0.1513110363574583</v>
      </c>
      <c r="K28" s="69">
        <f t="shared" si="4"/>
        <v>-0.60973496432212027</v>
      </c>
      <c r="L28" s="69">
        <f t="shared" si="5"/>
        <v>1.5616717635066262</v>
      </c>
      <c r="M28" s="69">
        <f t="shared" si="3"/>
        <v>0.1</v>
      </c>
    </row>
    <row r="29" spans="1:13" ht="13.15" x14ac:dyDescent="0.4">
      <c r="A29" s="1"/>
      <c r="B29" s="1"/>
      <c r="C29" s="45"/>
      <c r="D29" s="40"/>
      <c r="E29" s="40"/>
      <c r="J29" s="3"/>
    </row>
    <row r="30" spans="1:13" x14ac:dyDescent="0.35">
      <c r="A30" t="s">
        <v>57</v>
      </c>
      <c r="C30" s="26"/>
    </row>
    <row r="31" spans="1:13" x14ac:dyDescent="0.35">
      <c r="A31" s="37" t="s">
        <v>52</v>
      </c>
      <c r="B31" s="37" t="s">
        <v>61</v>
      </c>
      <c r="C31" s="37" t="s">
        <v>62</v>
      </c>
      <c r="D31" s="37" t="s">
        <v>63</v>
      </c>
    </row>
    <row r="32" spans="1:13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6">
        <v>4</v>
      </c>
      <c r="B34" s="46">
        <v>6300</v>
      </c>
      <c r="C34" s="46">
        <v>4553</v>
      </c>
      <c r="D34" s="46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6">
        <v>6</v>
      </c>
      <c r="B36" s="46">
        <v>1631</v>
      </c>
      <c r="C36" s="46">
        <v>938.2</v>
      </c>
      <c r="D36" s="46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21</v>
      </c>
    </row>
    <row r="43" spans="1:21" ht="15" x14ac:dyDescent="0.5">
      <c r="A43" s="16"/>
      <c r="B43" s="17" t="s">
        <v>93</v>
      </c>
      <c r="C43" s="16"/>
      <c r="D43" s="70" t="s">
        <v>23</v>
      </c>
      <c r="U43" s="11"/>
    </row>
    <row r="44" spans="1:21" ht="15" x14ac:dyDescent="0.5">
      <c r="A44" s="21" t="s">
        <v>24</v>
      </c>
      <c r="B44" s="22" t="s">
        <v>25</v>
      </c>
      <c r="C44" s="21" t="s">
        <v>26</v>
      </c>
      <c r="D44" s="71" t="s">
        <v>27</v>
      </c>
      <c r="E44" s="3"/>
      <c r="F44" s="3"/>
      <c r="G44" s="3"/>
      <c r="H44" s="3"/>
      <c r="I44" s="14"/>
      <c r="J44" s="14"/>
    </row>
    <row r="45" spans="1:21" x14ac:dyDescent="0.35">
      <c r="A45" s="24">
        <v>10000</v>
      </c>
      <c r="C45" s="24">
        <v>11</v>
      </c>
      <c r="D45" s="72">
        <v>7.8E-2</v>
      </c>
      <c r="E45" s="63"/>
      <c r="F45" s="63"/>
      <c r="G45" s="63"/>
      <c r="H45" s="63"/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72">
        <v>7.8E-2</v>
      </c>
      <c r="E46" s="63"/>
      <c r="F46" s="63"/>
      <c r="G46" s="63"/>
      <c r="H46" s="63"/>
    </row>
    <row r="47" spans="1:21" x14ac:dyDescent="0.35">
      <c r="A47" s="24">
        <v>2000</v>
      </c>
      <c r="B47">
        <v>5000</v>
      </c>
      <c r="C47" s="24">
        <v>11.9</v>
      </c>
      <c r="D47" s="72">
        <v>7.9000000000000001E-2</v>
      </c>
      <c r="E47" s="63"/>
      <c r="F47" s="63"/>
      <c r="G47" s="63"/>
      <c r="H47" s="63"/>
      <c r="J47" s="14"/>
    </row>
    <row r="48" spans="1:21" x14ac:dyDescent="0.35">
      <c r="A48" s="24">
        <v>1000</v>
      </c>
      <c r="B48">
        <v>2000</v>
      </c>
      <c r="C48" s="24">
        <v>13.4</v>
      </c>
      <c r="D48" s="72">
        <v>0.08</v>
      </c>
      <c r="E48" s="63"/>
      <c r="F48" s="63"/>
      <c r="G48" s="63"/>
      <c r="H48" s="63"/>
      <c r="J48" s="14"/>
    </row>
    <row r="49" spans="1:12" x14ac:dyDescent="0.35">
      <c r="A49" s="24">
        <v>500</v>
      </c>
      <c r="B49">
        <v>1000</v>
      </c>
      <c r="C49" s="24">
        <v>15.6</v>
      </c>
      <c r="D49" s="72">
        <v>8.199999999999999E-2</v>
      </c>
      <c r="E49" s="63"/>
      <c r="F49" s="63"/>
      <c r="G49" s="63"/>
      <c r="H49" s="63"/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72">
        <v>8.900000000000001E-2</v>
      </c>
      <c r="E50" s="63"/>
      <c r="F50" s="63"/>
      <c r="G50" s="63"/>
      <c r="H50" s="63"/>
    </row>
    <row r="51" spans="1:12" x14ac:dyDescent="0.35">
      <c r="A51" s="28">
        <v>100</v>
      </c>
      <c r="B51" s="29">
        <v>200</v>
      </c>
      <c r="C51" s="28">
        <v>27.5</v>
      </c>
      <c r="D51" s="73">
        <v>0.1</v>
      </c>
      <c r="E51" s="63"/>
      <c r="F51" s="63"/>
      <c r="G51" s="63"/>
      <c r="H51" s="63"/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1"/>
      <c r="D55" s="31"/>
      <c r="F55" s="31"/>
      <c r="H55" s="31"/>
      <c r="J55" s="31"/>
    </row>
    <row r="56" spans="1:12" ht="13.15" x14ac:dyDescent="0.4">
      <c r="B56" s="27"/>
      <c r="D56" s="27"/>
      <c r="K56" s="2"/>
      <c r="L56" s="2"/>
    </row>
  </sheetData>
  <conditionalFormatting sqref="A29">
    <cfRule type="cellIs" dxfId="14" priority="4" operator="between">
      <formula>$C$34</formula>
      <formula>$D$34</formula>
    </cfRule>
  </conditionalFormatting>
  <conditionalFormatting sqref="B29">
    <cfRule type="cellIs" dxfId="13" priority="5" operator="between">
      <formula>$C$36</formula>
      <formula>$D$36</formula>
    </cfRule>
  </conditionalFormatting>
  <conditionalFormatting sqref="B55 D55">
    <cfRule type="cellIs" dxfId="12" priority="6" operator="lessThan">
      <formula>B56</formula>
    </cfRule>
  </conditionalFormatting>
  <conditionalFormatting sqref="E23:E28">
    <cfRule type="cellIs" dxfId="11" priority="19" operator="between">
      <formula>H23</formula>
      <formula>I23</formula>
    </cfRule>
  </conditionalFormatting>
  <conditionalFormatting sqref="F23:F28">
    <cfRule type="cellIs" dxfId="10" priority="20" operator="lessThan">
      <formula>M23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5"/>
  <sheetViews>
    <sheetView zoomScale="70" zoomScaleNormal="70" workbookViewId="0">
      <selection sqref="A1:XFD6"/>
    </sheetView>
  </sheetViews>
  <sheetFormatPr defaultColWidth="11.53125" defaultRowHeight="12.75" x14ac:dyDescent="0.35"/>
  <cols>
    <col min="2" max="2" width="11.3984375" customWidth="1"/>
    <col min="3" max="3" width="10.33203125" customWidth="1"/>
    <col min="4" max="16" width="12.53125" bestFit="1" customWidth="1"/>
  </cols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f>'Annex E'!$B$8</f>
        <v>46182</v>
      </c>
    </row>
    <row r="5" spans="1:49" x14ac:dyDescent="0.35">
      <c r="A5" t="s">
        <v>89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 s="26">
        <f t="shared" ref="B8:F15" si="0">B37</f>
        <v>4.2400289999999998</v>
      </c>
      <c r="C8" s="26">
        <f t="shared" si="0"/>
        <v>5.0482630000000004</v>
      </c>
      <c r="D8" s="26">
        <f t="shared" si="0"/>
        <v>4.9993249999999998</v>
      </c>
      <c r="E8" s="26">
        <f t="shared" si="0"/>
        <v>5.0421519999999997</v>
      </c>
      <c r="F8" s="26">
        <f t="shared" si="0"/>
        <v>5.0383930000000001</v>
      </c>
      <c r="G8" s="4"/>
      <c r="H8" s="4">
        <f>AVERAGE(B$8:F$8)*5</f>
        <v>24.368161999999998</v>
      </c>
      <c r="I8" s="5"/>
      <c r="K8" s="5"/>
    </row>
    <row r="9" spans="1:49" ht="13.15" x14ac:dyDescent="0.4">
      <c r="A9" s="3" t="s">
        <v>12</v>
      </c>
      <c r="B9" s="26">
        <f t="shared" si="0"/>
        <v>5744.5356449999999</v>
      </c>
      <c r="C9" s="26">
        <f t="shared" si="0"/>
        <v>5762.5766599999997</v>
      </c>
      <c r="D9" s="26">
        <f t="shared" si="0"/>
        <v>5885.9941410000001</v>
      </c>
      <c r="E9" s="26">
        <f t="shared" si="0"/>
        <v>5809.8203119999998</v>
      </c>
      <c r="F9" s="26">
        <f t="shared" si="0"/>
        <v>5851.0722660000001</v>
      </c>
      <c r="G9" s="6">
        <f>AVERAGE(B9:F9)</f>
        <v>5810.799804799999</v>
      </c>
      <c r="H9" s="7">
        <f t="shared" ref="H9:H15" si="1">G9*H$8</f>
        <v>141598.51099293475</v>
      </c>
      <c r="I9" s="8">
        <f t="shared" ref="I9:I15" si="2">STDEVP(B9:F9)/AVERAGE(B9:F9)</f>
        <v>9.1041868743484342E-3</v>
      </c>
      <c r="J9" s="8">
        <f t="shared" ref="J9:J15" si="3">IF(H9&gt;$A$21, $C$21, IF(H9&gt;$A$22, $C$22, IF(H9&gt;$A$23,$C$23,IF(H9&gt;$A$24,$C$24, IF(H9&gt;$A$25,$C$25,IF(H9&gt;$A$26,$C$26,$C$27))))))/100</f>
        <v>0.11</v>
      </c>
      <c r="K9" s="8">
        <f t="shared" ref="K9:K15" si="4">(MAX(B9:F9)-MIN(B9:F9))/G9</f>
        <v>2.4344066350926202E-2</v>
      </c>
    </row>
    <row r="10" spans="1:49" ht="13.15" x14ac:dyDescent="0.4">
      <c r="A10" s="3" t="s">
        <v>14</v>
      </c>
      <c r="B10" s="26">
        <f t="shared" si="0"/>
        <v>3192.430664</v>
      </c>
      <c r="C10" s="26">
        <f t="shared" si="0"/>
        <v>3199.9128420000002</v>
      </c>
      <c r="D10" s="26">
        <f t="shared" si="0"/>
        <v>3258.2397460000002</v>
      </c>
      <c r="E10" s="26">
        <f t="shared" si="0"/>
        <v>3210.7319339999999</v>
      </c>
      <c r="F10" s="26">
        <f t="shared" si="0"/>
        <v>3235.555664</v>
      </c>
      <c r="G10" s="6">
        <f t="shared" ref="G10:G15" si="5">AVERAGE(B10:F10)</f>
        <v>3219.37417</v>
      </c>
      <c r="H10" s="10">
        <f t="shared" si="1"/>
        <v>78450.231313175536</v>
      </c>
      <c r="I10" s="5">
        <f t="shared" si="2"/>
        <v>7.5471659886823979E-3</v>
      </c>
      <c r="J10" s="5">
        <f t="shared" si="3"/>
        <v>0.11</v>
      </c>
      <c r="K10" s="8">
        <f t="shared" si="4"/>
        <v>2.0441576071910963E-2</v>
      </c>
    </row>
    <row r="11" spans="1:49" ht="13.15" x14ac:dyDescent="0.4">
      <c r="A11" s="3" t="s">
        <v>15</v>
      </c>
      <c r="B11" s="26">
        <f t="shared" si="0"/>
        <v>1567.677856</v>
      </c>
      <c r="C11" s="26">
        <f t="shared" si="0"/>
        <v>1606.097168</v>
      </c>
      <c r="D11" s="26">
        <f t="shared" si="0"/>
        <v>1594.0151370000001</v>
      </c>
      <c r="E11" s="26">
        <f t="shared" si="0"/>
        <v>1575.319336</v>
      </c>
      <c r="F11" s="26">
        <f t="shared" si="0"/>
        <v>1611.6251219999999</v>
      </c>
      <c r="G11" s="6">
        <f t="shared" si="5"/>
        <v>1590.9469237999997</v>
      </c>
      <c r="H11" s="10">
        <f t="shared" si="1"/>
        <v>38768.452372560045</v>
      </c>
      <c r="I11" s="5">
        <f t="shared" si="2"/>
        <v>1.0712058380369305E-2</v>
      </c>
      <c r="J11" s="5">
        <f t="shared" si="3"/>
        <v>0.11</v>
      </c>
      <c r="K11" s="8">
        <f t="shared" si="4"/>
        <v>2.7623338869804167E-2</v>
      </c>
    </row>
    <row r="12" spans="1:49" ht="13.15" x14ac:dyDescent="0.4">
      <c r="A12" s="3" t="s">
        <v>17</v>
      </c>
      <c r="B12" s="26">
        <f t="shared" si="0"/>
        <v>793.62658699999997</v>
      </c>
      <c r="C12" s="26">
        <f t="shared" si="0"/>
        <v>831.37512200000003</v>
      </c>
      <c r="D12" s="26">
        <f t="shared" si="0"/>
        <v>813.309753</v>
      </c>
      <c r="E12" s="26">
        <f t="shared" si="0"/>
        <v>803.22839399999998</v>
      </c>
      <c r="F12" s="26">
        <f t="shared" si="0"/>
        <v>827.44647199999997</v>
      </c>
      <c r="G12" s="6">
        <f t="shared" si="5"/>
        <v>813.79726560000006</v>
      </c>
      <c r="H12" s="10">
        <f t="shared" si="1"/>
        <v>19830.743603297826</v>
      </c>
      <c r="I12" s="5">
        <f t="shared" si="2"/>
        <v>1.7499845250676709E-2</v>
      </c>
      <c r="J12" s="5">
        <f t="shared" si="3"/>
        <v>0.11</v>
      </c>
      <c r="K12" s="8">
        <f t="shared" si="4"/>
        <v>4.638567441261756E-2</v>
      </c>
    </row>
    <row r="13" spans="1:49" ht="13.15" x14ac:dyDescent="0.4">
      <c r="A13" s="3" t="s">
        <v>18</v>
      </c>
      <c r="B13" s="26">
        <f t="shared" si="0"/>
        <v>371.69555700000001</v>
      </c>
      <c r="C13" s="26">
        <f t="shared" si="0"/>
        <v>378.34799199999998</v>
      </c>
      <c r="D13" s="26">
        <f t="shared" si="0"/>
        <v>373.65042099999999</v>
      </c>
      <c r="E13" s="26">
        <f t="shared" si="0"/>
        <v>371.27001999999999</v>
      </c>
      <c r="F13" s="26">
        <f t="shared" si="0"/>
        <v>373.13488799999999</v>
      </c>
      <c r="G13" s="6">
        <f t="shared" si="5"/>
        <v>373.61977560000003</v>
      </c>
      <c r="H13" s="10">
        <f t="shared" si="1"/>
        <v>9104.4272182244476</v>
      </c>
      <c r="I13" s="5">
        <f t="shared" si="2"/>
        <v>6.7516248108870731E-3</v>
      </c>
      <c r="J13" s="5">
        <f t="shared" si="3"/>
        <v>0.113</v>
      </c>
      <c r="K13" s="8">
        <f t="shared" si="4"/>
        <v>1.8944318428095505E-2</v>
      </c>
    </row>
    <row r="14" spans="1:49" ht="13.15" x14ac:dyDescent="0.4">
      <c r="A14" s="3" t="s">
        <v>19</v>
      </c>
      <c r="B14" s="26">
        <f t="shared" si="0"/>
        <v>157.54608200000001</v>
      </c>
      <c r="C14" s="26">
        <f t="shared" si="0"/>
        <v>171.34608499999999</v>
      </c>
      <c r="D14" s="26">
        <f t="shared" si="0"/>
        <v>173.22337300000001</v>
      </c>
      <c r="E14" s="26">
        <f t="shared" si="0"/>
        <v>165.00889599999999</v>
      </c>
      <c r="F14" s="26">
        <f t="shared" si="0"/>
        <v>166.91831999999999</v>
      </c>
      <c r="G14" s="6">
        <f t="shared" si="5"/>
        <v>166.80855120000001</v>
      </c>
      <c r="H14" s="12">
        <f t="shared" si="1"/>
        <v>4064.8177986268943</v>
      </c>
      <c r="I14" s="13">
        <f t="shared" si="2"/>
        <v>3.2921021534743827E-2</v>
      </c>
      <c r="J14" s="13">
        <f t="shared" si="3"/>
        <v>0.11900000000000001</v>
      </c>
      <c r="K14" s="8">
        <f t="shared" si="4"/>
        <v>9.3983736968036177E-2</v>
      </c>
      <c r="M14" s="14"/>
    </row>
    <row r="15" spans="1:49" ht="13.15" x14ac:dyDescent="0.4">
      <c r="A15" s="3" t="s">
        <v>20</v>
      </c>
      <c r="B15" s="26">
        <f t="shared" si="0"/>
        <v>78.537193000000002</v>
      </c>
      <c r="C15" s="26">
        <f t="shared" si="0"/>
        <v>86.564437999999996</v>
      </c>
      <c r="D15" s="26">
        <f t="shared" si="0"/>
        <v>81.21096</v>
      </c>
      <c r="E15" s="26">
        <f t="shared" si="0"/>
        <v>84.884383999999997</v>
      </c>
      <c r="F15" s="26">
        <f t="shared" si="0"/>
        <v>77.604118</v>
      </c>
      <c r="G15" s="6">
        <f t="shared" si="5"/>
        <v>81.760218600000002</v>
      </c>
      <c r="H15" s="10">
        <f t="shared" si="1"/>
        <v>1992.3462520002131</v>
      </c>
      <c r="I15" s="5">
        <f t="shared" si="2"/>
        <v>4.2651852935300508E-2</v>
      </c>
      <c r="J15" s="5">
        <f t="shared" si="3"/>
        <v>0.13400000000000001</v>
      </c>
      <c r="K15" s="8">
        <f t="shared" si="4"/>
        <v>0.10959266197460969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48" t="s">
        <v>67</v>
      </c>
      <c r="L19" s="49"/>
      <c r="M19" s="49"/>
      <c r="N19" s="50"/>
      <c r="P19" s="1" t="s">
        <v>68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1" t="s">
        <v>69</v>
      </c>
      <c r="L20" s="52"/>
      <c r="M20" s="53">
        <v>100</v>
      </c>
      <c r="N20" s="54" t="s">
        <v>70</v>
      </c>
      <c r="P20" t="s">
        <v>71</v>
      </c>
      <c r="R20" s="1">
        <v>10.65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1" t="s">
        <v>72</v>
      </c>
      <c r="M21" s="53">
        <v>500</v>
      </c>
      <c r="N21" s="54" t="s">
        <v>45</v>
      </c>
      <c r="P21" t="s">
        <v>73</v>
      </c>
      <c r="R21" s="1">
        <v>1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1" t="s">
        <v>74</v>
      </c>
      <c r="M22" s="55">
        <v>1</v>
      </c>
      <c r="N22" s="54" t="s">
        <v>70</v>
      </c>
      <c r="P22" t="s">
        <v>75</v>
      </c>
      <c r="R22" s="1">
        <f>R21*R20/1000</f>
        <v>1.065E-2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1"/>
      <c r="N23" s="54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1" t="s">
        <v>76</v>
      </c>
      <c r="M24" s="56">
        <f>M22/M20*M21</f>
        <v>5</v>
      </c>
      <c r="N24" s="54" t="s">
        <v>45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1" t="s">
        <v>77</v>
      </c>
      <c r="M25" s="57">
        <f>M21*(1-M22/M20)</f>
        <v>495</v>
      </c>
      <c r="N25" s="54" t="s">
        <v>45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8"/>
      <c r="L26" s="59"/>
      <c r="M26" s="59"/>
      <c r="N26" s="60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78</v>
      </c>
    </row>
    <row r="29" spans="1:49" ht="13.15" x14ac:dyDescent="0.4">
      <c r="A29" s="3"/>
      <c r="G29" s="15"/>
      <c r="H29" s="10"/>
      <c r="I29" s="5"/>
      <c r="J29" s="5"/>
      <c r="K29" t="s">
        <v>79</v>
      </c>
      <c r="L29" s="52"/>
      <c r="M29" s="2">
        <v>100</v>
      </c>
      <c r="P29" t="s">
        <v>87</v>
      </c>
    </row>
    <row r="30" spans="1:49" ht="13.15" x14ac:dyDescent="0.4">
      <c r="A30" s="3"/>
      <c r="G30" s="15"/>
      <c r="H30" s="10"/>
      <c r="I30" s="5"/>
      <c r="J30" s="5"/>
      <c r="K30" t="s">
        <v>80</v>
      </c>
      <c r="M30" s="2">
        <v>500</v>
      </c>
      <c r="P30" t="s">
        <v>88</v>
      </c>
    </row>
    <row r="31" spans="1:49" ht="13.15" x14ac:dyDescent="0.4">
      <c r="J31" s="5"/>
      <c r="K31" t="s">
        <v>81</v>
      </c>
      <c r="M31" s="61">
        <v>6.5</v>
      </c>
    </row>
    <row r="32" spans="1:49" x14ac:dyDescent="0.35">
      <c r="J32" s="5"/>
      <c r="K32" t="s">
        <v>76</v>
      </c>
      <c r="M32">
        <f>M31*M30/M29</f>
        <v>32.5</v>
      </c>
    </row>
    <row r="33" spans="1:16" ht="13.15" x14ac:dyDescent="0.4">
      <c r="J33" s="5"/>
      <c r="K33" t="s">
        <v>82</v>
      </c>
      <c r="M33" s="1">
        <v>3.27</v>
      </c>
    </row>
    <row r="34" spans="1:16" x14ac:dyDescent="0.35">
      <c r="J34" s="5"/>
      <c r="K34" t="s">
        <v>83</v>
      </c>
      <c r="M34" s="62">
        <f>M33*M29/(M30+M33)</f>
        <v>0.64975063087408347</v>
      </c>
    </row>
    <row r="35" spans="1:16" ht="13.15" x14ac:dyDescent="0.4">
      <c r="A35" s="1" t="s">
        <v>91</v>
      </c>
      <c r="J35" s="5"/>
      <c r="K35" s="5"/>
      <c r="M35" s="14"/>
    </row>
    <row r="36" spans="1:16" x14ac:dyDescent="0.35">
      <c r="A36" t="s">
        <v>86</v>
      </c>
      <c r="B36">
        <v>1</v>
      </c>
      <c r="C36">
        <v>2</v>
      </c>
      <c r="D36">
        <v>3</v>
      </c>
      <c r="E36">
        <v>4</v>
      </c>
      <c r="F36">
        <v>5</v>
      </c>
      <c r="G36">
        <v>1</v>
      </c>
      <c r="H36">
        <v>2</v>
      </c>
      <c r="I36">
        <v>3</v>
      </c>
      <c r="J36">
        <v>4</v>
      </c>
      <c r="K36">
        <v>5</v>
      </c>
      <c r="L36">
        <v>1</v>
      </c>
      <c r="M36">
        <v>2</v>
      </c>
      <c r="N36">
        <v>3</v>
      </c>
      <c r="O36">
        <v>4</v>
      </c>
      <c r="P36">
        <v>5</v>
      </c>
    </row>
    <row r="37" spans="1:16" x14ac:dyDescent="0.35">
      <c r="A37" t="s">
        <v>11</v>
      </c>
      <c r="B37">
        <v>4.2400289999999998</v>
      </c>
      <c r="C37">
        <v>5.0482630000000004</v>
      </c>
      <c r="D37">
        <v>4.9993249999999998</v>
      </c>
      <c r="E37">
        <v>5.0421519999999997</v>
      </c>
      <c r="F37">
        <v>5.0383930000000001</v>
      </c>
      <c r="G37">
        <v>4.2373089999999998</v>
      </c>
      <c r="H37">
        <v>5.0495549999999998</v>
      </c>
      <c r="I37">
        <v>5.0209599999999996</v>
      </c>
      <c r="J37">
        <v>5.0403770000000003</v>
      </c>
      <c r="K37">
        <v>5.0466499999999996</v>
      </c>
      <c r="L37">
        <v>4.2434710000000004</v>
      </c>
      <c r="M37">
        <v>5.0530900000000001</v>
      </c>
      <c r="N37">
        <v>5.0107600000000003</v>
      </c>
      <c r="O37">
        <v>5.0539100000000001</v>
      </c>
      <c r="P37">
        <v>5.0309790000000003</v>
      </c>
    </row>
    <row r="38" spans="1:16" x14ac:dyDescent="0.35">
      <c r="A38" t="s">
        <v>12</v>
      </c>
      <c r="B38">
        <v>5744.5356449999999</v>
      </c>
      <c r="C38">
        <v>5762.5766599999997</v>
      </c>
      <c r="D38">
        <v>5885.9941410000001</v>
      </c>
      <c r="E38">
        <v>5809.8203119999998</v>
      </c>
      <c r="F38">
        <v>5851.0722660000001</v>
      </c>
      <c r="G38">
        <v>5618.423828</v>
      </c>
      <c r="H38">
        <v>5568.8071289999998</v>
      </c>
      <c r="I38">
        <v>5508.7075199999999</v>
      </c>
      <c r="J38">
        <v>5706.3188479999999</v>
      </c>
      <c r="K38">
        <v>5626.1083980000003</v>
      </c>
      <c r="L38">
        <v>5596.1259769999997</v>
      </c>
      <c r="M38">
        <v>5507.125</v>
      </c>
      <c r="N38">
        <v>5693.9467770000001</v>
      </c>
      <c r="O38">
        <v>5461.3159180000002</v>
      </c>
      <c r="P38">
        <v>5753.7514650000003</v>
      </c>
    </row>
    <row r="39" spans="1:16" x14ac:dyDescent="0.35">
      <c r="A39" t="s">
        <v>14</v>
      </c>
      <c r="B39">
        <v>3192.430664</v>
      </c>
      <c r="C39">
        <v>3199.9128420000002</v>
      </c>
      <c r="D39">
        <v>3258.2397460000002</v>
      </c>
      <c r="E39">
        <v>3210.7319339999999</v>
      </c>
      <c r="F39">
        <v>3235.555664</v>
      </c>
      <c r="G39">
        <v>3093.944336</v>
      </c>
      <c r="H39">
        <v>3063.8342290000001</v>
      </c>
      <c r="I39">
        <v>3062.1635740000002</v>
      </c>
      <c r="J39">
        <v>3147.97876</v>
      </c>
      <c r="K39">
        <v>3117.9099120000001</v>
      </c>
      <c r="L39">
        <v>3102.413086</v>
      </c>
      <c r="M39">
        <v>3030.4228520000001</v>
      </c>
      <c r="N39">
        <v>3140.2421880000002</v>
      </c>
      <c r="O39">
        <v>3042.1989749999998</v>
      </c>
      <c r="P39">
        <v>3161.4128420000002</v>
      </c>
    </row>
    <row r="40" spans="1:16" x14ac:dyDescent="0.35">
      <c r="A40" t="s">
        <v>15</v>
      </c>
      <c r="B40">
        <v>1567.677856</v>
      </c>
      <c r="C40">
        <v>1606.097168</v>
      </c>
      <c r="D40">
        <v>1594.0151370000001</v>
      </c>
      <c r="E40">
        <v>1575.319336</v>
      </c>
      <c r="F40">
        <v>1611.6251219999999</v>
      </c>
      <c r="G40">
        <v>1500.008423</v>
      </c>
      <c r="H40">
        <v>1543.700317</v>
      </c>
      <c r="I40">
        <v>1516.6423339999999</v>
      </c>
      <c r="J40">
        <v>1560.597534</v>
      </c>
      <c r="K40">
        <v>1524.5756839999999</v>
      </c>
      <c r="L40">
        <v>1529.6439210000001</v>
      </c>
      <c r="M40">
        <v>1489.38562</v>
      </c>
      <c r="N40">
        <v>1559.8432620000001</v>
      </c>
      <c r="O40">
        <v>1489.1439210000001</v>
      </c>
      <c r="P40">
        <v>1581.6008300000001</v>
      </c>
    </row>
    <row r="41" spans="1:16" x14ac:dyDescent="0.35">
      <c r="A41" t="s">
        <v>17</v>
      </c>
      <c r="B41">
        <v>793.62658699999997</v>
      </c>
      <c r="C41">
        <v>831.37512200000003</v>
      </c>
      <c r="D41">
        <v>813.309753</v>
      </c>
      <c r="E41">
        <v>803.22839399999998</v>
      </c>
      <c r="F41">
        <v>827.44647199999997</v>
      </c>
      <c r="G41">
        <v>770.53613299999995</v>
      </c>
      <c r="H41">
        <v>788.78234899999995</v>
      </c>
      <c r="I41">
        <v>772.76062000000002</v>
      </c>
      <c r="J41">
        <v>784.26672399999995</v>
      </c>
      <c r="K41">
        <v>782.69744900000001</v>
      </c>
      <c r="L41">
        <v>774.83734100000004</v>
      </c>
      <c r="M41">
        <v>761.71209699999997</v>
      </c>
      <c r="N41">
        <v>799.47955300000001</v>
      </c>
      <c r="O41">
        <v>756.24609399999997</v>
      </c>
      <c r="P41">
        <v>817.53479000000004</v>
      </c>
    </row>
    <row r="42" spans="1:16" x14ac:dyDescent="0.35">
      <c r="A42" t="s">
        <v>18</v>
      </c>
      <c r="B42">
        <v>371.69555700000001</v>
      </c>
      <c r="C42">
        <v>378.34799199999998</v>
      </c>
      <c r="D42">
        <v>373.65042099999999</v>
      </c>
      <c r="E42">
        <v>371.27001999999999</v>
      </c>
      <c r="F42">
        <v>373.13488799999999</v>
      </c>
      <c r="G42">
        <v>354.470215</v>
      </c>
      <c r="H42">
        <v>373.10217299999999</v>
      </c>
      <c r="I42">
        <v>359.094696</v>
      </c>
      <c r="J42">
        <v>367.03604100000001</v>
      </c>
      <c r="K42">
        <v>362.02233899999999</v>
      </c>
      <c r="L42">
        <v>354.89813199999998</v>
      </c>
      <c r="M42">
        <v>352.259705</v>
      </c>
      <c r="N42">
        <v>378.18615699999998</v>
      </c>
      <c r="O42">
        <v>360.908661</v>
      </c>
      <c r="P42">
        <v>389.98376500000001</v>
      </c>
    </row>
    <row r="43" spans="1:16" x14ac:dyDescent="0.35">
      <c r="A43" t="s">
        <v>19</v>
      </c>
      <c r="B43">
        <v>157.54608200000001</v>
      </c>
      <c r="C43">
        <v>171.34608499999999</v>
      </c>
      <c r="D43">
        <v>173.22337300000001</v>
      </c>
      <c r="E43">
        <v>165.00889599999999</v>
      </c>
      <c r="F43">
        <v>166.91831999999999</v>
      </c>
      <c r="G43">
        <v>158.59120200000001</v>
      </c>
      <c r="H43">
        <v>170.51007100000001</v>
      </c>
      <c r="I43">
        <v>166.50202899999999</v>
      </c>
      <c r="J43">
        <v>159.115082</v>
      </c>
      <c r="K43">
        <v>166.24890099999999</v>
      </c>
      <c r="L43">
        <v>166.84454299999999</v>
      </c>
      <c r="M43">
        <v>160.69375600000001</v>
      </c>
      <c r="N43">
        <v>174.225067</v>
      </c>
      <c r="O43">
        <v>167.790863</v>
      </c>
      <c r="P43">
        <v>173.12735000000001</v>
      </c>
    </row>
    <row r="44" spans="1:16" x14ac:dyDescent="0.35">
      <c r="A44" t="s">
        <v>20</v>
      </c>
      <c r="B44">
        <v>78.537193000000002</v>
      </c>
      <c r="C44">
        <v>86.564437999999996</v>
      </c>
      <c r="D44">
        <v>81.21096</v>
      </c>
      <c r="E44">
        <v>84.884383999999997</v>
      </c>
      <c r="F44">
        <v>77.604118</v>
      </c>
      <c r="G44">
        <v>77.879608000000005</v>
      </c>
      <c r="H44">
        <v>87.928534999999997</v>
      </c>
      <c r="I44">
        <v>85.242667999999995</v>
      </c>
      <c r="J44">
        <v>79.755936000000005</v>
      </c>
      <c r="K44">
        <v>81.440162999999998</v>
      </c>
      <c r="L44">
        <v>86.957115000000002</v>
      </c>
      <c r="M44">
        <v>87.273330999999999</v>
      </c>
      <c r="N44">
        <v>86.214470000000006</v>
      </c>
      <c r="O44">
        <v>85.676231000000001</v>
      </c>
      <c r="P44">
        <v>85.669219999999996</v>
      </c>
    </row>
    <row r="53" spans="1:10" ht="13.15" x14ac:dyDescent="0.4">
      <c r="A53" s="1"/>
    </row>
    <row r="56" spans="1:10" x14ac:dyDescent="0.35">
      <c r="B56" s="65"/>
      <c r="C56" s="65"/>
      <c r="D56" s="65"/>
      <c r="E56" s="65"/>
      <c r="F56" s="65"/>
      <c r="G56" s="65"/>
      <c r="H56" s="65"/>
      <c r="I56" s="65"/>
    </row>
    <row r="57" spans="1:10" x14ac:dyDescent="0.35">
      <c r="B57" s="65"/>
      <c r="C57" s="65"/>
      <c r="D57" s="65"/>
      <c r="E57" s="65"/>
      <c r="F57" s="65"/>
      <c r="G57" s="65"/>
      <c r="H57" s="66"/>
      <c r="I57" s="65"/>
    </row>
    <row r="58" spans="1:10" ht="13.15" x14ac:dyDescent="0.4">
      <c r="A58" s="1"/>
      <c r="B58" s="65"/>
      <c r="C58" s="65"/>
      <c r="D58" s="65"/>
      <c r="E58" s="65"/>
      <c r="F58" s="65"/>
      <c r="G58" s="65"/>
      <c r="H58" s="67"/>
      <c r="I58" s="65"/>
    </row>
    <row r="59" spans="1:10" x14ac:dyDescent="0.35">
      <c r="B59" s="65"/>
      <c r="C59" s="65"/>
      <c r="D59" s="65"/>
      <c r="E59" s="65"/>
      <c r="F59" s="65"/>
      <c r="G59" s="65"/>
      <c r="H59" s="65"/>
      <c r="I59" s="65"/>
    </row>
    <row r="60" spans="1:10" x14ac:dyDescent="0.35">
      <c r="B60" s="65"/>
      <c r="C60" s="65"/>
      <c r="D60" s="65"/>
      <c r="E60" s="65"/>
      <c r="F60" s="65"/>
      <c r="G60" s="65"/>
      <c r="H60" s="65"/>
      <c r="I60" s="65"/>
    </row>
    <row r="61" spans="1:10" x14ac:dyDescent="0.35">
      <c r="B61" s="65"/>
      <c r="C61" s="65"/>
      <c r="D61" s="65"/>
      <c r="E61" s="65"/>
      <c r="F61" s="65"/>
      <c r="G61" s="65"/>
      <c r="H61" s="65"/>
      <c r="I61" s="65"/>
    </row>
    <row r="62" spans="1:10" x14ac:dyDescent="0.35">
      <c r="B62" s="65"/>
      <c r="C62" s="65"/>
      <c r="D62" s="65"/>
      <c r="E62" s="65"/>
      <c r="F62" s="65"/>
      <c r="G62" s="65"/>
      <c r="H62" s="65"/>
      <c r="I62" s="65"/>
    </row>
    <row r="63" spans="1:10" x14ac:dyDescent="0.35">
      <c r="B63" s="65"/>
      <c r="C63" s="65"/>
      <c r="D63" s="65"/>
      <c r="E63" s="65"/>
      <c r="F63" s="65"/>
      <c r="G63" s="65"/>
      <c r="H63" s="65"/>
      <c r="I63" s="65"/>
    </row>
    <row r="64" spans="1:10" x14ac:dyDescent="0.35">
      <c r="B64" s="65"/>
      <c r="C64" s="65"/>
      <c r="D64" s="65"/>
      <c r="E64" s="65"/>
      <c r="F64" s="65"/>
      <c r="G64" s="65"/>
      <c r="H64" s="65"/>
      <c r="I64" s="65"/>
      <c r="J64" s="14"/>
    </row>
    <row r="65" spans="2:11" x14ac:dyDescent="0.35">
      <c r="B65" s="65"/>
      <c r="C65" s="65"/>
      <c r="D65" s="65"/>
      <c r="E65" s="65"/>
      <c r="F65" s="65"/>
      <c r="G65" s="65"/>
      <c r="H65" s="65"/>
      <c r="I65" s="65"/>
    </row>
    <row r="66" spans="2:11" x14ac:dyDescent="0.35">
      <c r="B66" s="65"/>
      <c r="C66" s="65"/>
      <c r="D66" s="65"/>
      <c r="E66" s="65"/>
      <c r="F66" s="65"/>
      <c r="G66" s="65"/>
      <c r="H66" s="65"/>
      <c r="I66" s="65"/>
    </row>
    <row r="67" spans="2:11" x14ac:dyDescent="0.35">
      <c r="B67" s="65"/>
      <c r="C67" s="65"/>
      <c r="D67" s="65"/>
      <c r="E67" s="65"/>
      <c r="F67" s="65"/>
      <c r="G67" s="65"/>
      <c r="H67" s="65"/>
      <c r="I67" s="65"/>
    </row>
    <row r="68" spans="2:11" x14ac:dyDescent="0.35">
      <c r="B68" s="65"/>
      <c r="C68" s="65"/>
      <c r="D68" s="65"/>
      <c r="E68" s="65"/>
      <c r="F68" s="65"/>
      <c r="G68" s="65"/>
      <c r="H68" s="65"/>
      <c r="I68" s="65"/>
    </row>
    <row r="69" spans="2:11" x14ac:dyDescent="0.35">
      <c r="B69" s="65"/>
      <c r="C69" s="65"/>
      <c r="D69" s="65"/>
      <c r="E69" s="65"/>
      <c r="F69" s="65"/>
      <c r="G69" s="65"/>
      <c r="H69" s="65"/>
      <c r="I69" s="65"/>
      <c r="J69" s="27"/>
    </row>
    <row r="70" spans="2:11" ht="13.15" x14ac:dyDescent="0.4">
      <c r="B70" s="65"/>
      <c r="C70" s="65"/>
      <c r="D70" s="65"/>
      <c r="E70" s="65"/>
      <c r="F70" s="65"/>
      <c r="G70" s="65"/>
      <c r="H70" s="65"/>
      <c r="I70" s="65"/>
      <c r="J70" s="31"/>
    </row>
    <row r="71" spans="2:11" ht="13.15" x14ac:dyDescent="0.4">
      <c r="B71" s="65"/>
      <c r="C71" s="65"/>
      <c r="D71" s="65"/>
      <c r="E71" s="65"/>
      <c r="F71" s="65"/>
      <c r="G71" s="65"/>
      <c r="H71" s="65"/>
      <c r="I71" s="65"/>
      <c r="K71" s="2"/>
    </row>
    <row r="72" spans="2:11" x14ac:dyDescent="0.35">
      <c r="B72" s="65"/>
      <c r="C72" s="65"/>
      <c r="D72" s="65"/>
      <c r="E72" s="65"/>
      <c r="F72" s="65"/>
      <c r="G72" s="65"/>
      <c r="H72" s="65"/>
      <c r="I72" s="65"/>
    </row>
    <row r="73" spans="2:11" x14ac:dyDescent="0.35">
      <c r="B73" s="65"/>
      <c r="C73" s="65"/>
      <c r="D73" s="65"/>
      <c r="E73" s="65"/>
      <c r="F73" s="65"/>
      <c r="G73" s="65"/>
      <c r="H73" s="65"/>
      <c r="I73" s="65"/>
    </row>
    <row r="74" spans="2:11" x14ac:dyDescent="0.35">
      <c r="B74" s="65"/>
      <c r="C74" s="65"/>
      <c r="D74" s="65"/>
      <c r="E74" s="65"/>
      <c r="F74" s="65"/>
      <c r="G74" s="65"/>
      <c r="H74" s="65"/>
      <c r="I74" s="65"/>
    </row>
    <row r="75" spans="2:11" x14ac:dyDescent="0.35">
      <c r="B75" s="65"/>
      <c r="C75" s="65"/>
      <c r="D75" s="65"/>
      <c r="E75" s="65"/>
      <c r="F75" s="65"/>
      <c r="G75" s="65"/>
      <c r="H75" s="65"/>
      <c r="I75" s="65"/>
    </row>
  </sheetData>
  <conditionalFormatting sqref="H9:H18 H28:H30">
    <cfRule type="cellIs" dxfId="9" priority="3" operator="greaterThan">
      <formula>1000</formula>
    </cfRule>
  </conditionalFormatting>
  <conditionalFormatting sqref="K9:K15">
    <cfRule type="cellIs" dxfId="8" priority="1" operator="lessThan">
      <formula>"J15"</formula>
    </cfRule>
    <cfRule type="cellIs" dxfId="7" priority="4" operator="lessThan">
      <formula>J11</formula>
    </cfRule>
  </conditionalFormatting>
  <conditionalFormatting sqref="K14">
    <cfRule type="cellIs" dxfId="6" priority="2" operator="lessThan">
      <formula>"J14"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70" zoomScaleNormal="70" workbookViewId="0">
      <selection activeCell="A6" sqref="A6"/>
    </sheetView>
  </sheetViews>
  <sheetFormatPr defaultColWidth="11.53125" defaultRowHeight="12.75" x14ac:dyDescent="0.35"/>
  <sheetData>
    <row r="1" spans="1:49" x14ac:dyDescent="0.35">
      <c r="A1" t="s">
        <v>0</v>
      </c>
    </row>
    <row r="3" spans="1:49" ht="40.15" x14ac:dyDescent="1.05">
      <c r="A3" s="9" t="s">
        <v>94</v>
      </c>
      <c r="D3" s="9" t="s">
        <v>16</v>
      </c>
    </row>
    <row r="4" spans="1:49" x14ac:dyDescent="0.35">
      <c r="A4" s="11"/>
    </row>
    <row r="5" spans="1:49" x14ac:dyDescent="0.35">
      <c r="O5" s="11"/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B1'!G37</f>
        <v>4.2373089999999998</v>
      </c>
      <c r="C8" s="26">
        <f>'E - B1'!H37</f>
        <v>5.0495549999999998</v>
      </c>
      <c r="D8" s="26">
        <f>'E - B1'!I37</f>
        <v>5.0209599999999996</v>
      </c>
      <c r="E8" s="26">
        <f>'E - B1'!J37</f>
        <v>5.0403770000000003</v>
      </c>
      <c r="F8" s="26">
        <f>'E - B1'!K37</f>
        <v>5.0466499999999996</v>
      </c>
      <c r="G8" s="4"/>
      <c r="H8" s="4">
        <f>AVERAGE(B$8:F$8)*5</f>
        <v>24.394850999999996</v>
      </c>
      <c r="I8" s="5"/>
      <c r="K8" s="5"/>
    </row>
    <row r="9" spans="1:49" ht="13.15" x14ac:dyDescent="0.4">
      <c r="A9" s="17" t="s">
        <v>12</v>
      </c>
      <c r="B9" s="26">
        <f>'E - B1'!G38</f>
        <v>5618.423828</v>
      </c>
      <c r="C9" s="26">
        <f>'E - B1'!H38</f>
        <v>5568.8071289999998</v>
      </c>
      <c r="D9" s="26">
        <f>'E - B1'!I38</f>
        <v>5508.7075199999999</v>
      </c>
      <c r="E9" s="26">
        <f>'E - B1'!J38</f>
        <v>5706.3188479999999</v>
      </c>
      <c r="F9" s="26">
        <f>'E - B1'!K38</f>
        <v>5626.1083980000003</v>
      </c>
      <c r="G9" s="6">
        <f>AVERAGE(B9:F9)</f>
        <v>5605.6731445999994</v>
      </c>
      <c r="H9" s="7">
        <f t="shared" ref="H9:H15" si="0">G9*H$8</f>
        <v>136749.56111721843</v>
      </c>
      <c r="I9" s="8">
        <f t="shared" ref="I9:I15" si="1">STDEVP(B9:F9)/AVERAGE(B9:F9)</f>
        <v>1.1690016061631212E-2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3">
        <f t="shared" ref="K9:K15" si="3">(MAX(B9:F9)-MIN(B9:F9))/G9</f>
        <v>3.525202467260527E-2</v>
      </c>
      <c r="M9" s="14"/>
    </row>
    <row r="10" spans="1:49" ht="13.15" x14ac:dyDescent="0.4">
      <c r="A10" s="3" t="s">
        <v>14</v>
      </c>
      <c r="B10" s="26">
        <f>'E - B1'!G39</f>
        <v>3093.944336</v>
      </c>
      <c r="C10" s="26">
        <f>'E - B1'!H39</f>
        <v>3063.8342290000001</v>
      </c>
      <c r="D10" s="26">
        <f>'E - B1'!I39</f>
        <v>3062.1635740000002</v>
      </c>
      <c r="E10" s="26">
        <f>'E - B1'!J39</f>
        <v>3147.97876</v>
      </c>
      <c r="F10" s="26">
        <f>'E - B1'!K39</f>
        <v>3117.9099120000001</v>
      </c>
      <c r="G10" s="6">
        <f t="shared" ref="G10:G15" si="4">AVERAGE(B10:F10)</f>
        <v>3097.1661622000001</v>
      </c>
      <c r="H10" s="10">
        <f t="shared" si="0"/>
        <v>75554.907049110829</v>
      </c>
      <c r="I10" s="5">
        <f t="shared" si="1"/>
        <v>1.0570228174193166E-2</v>
      </c>
      <c r="J10" s="5">
        <f t="shared" si="2"/>
        <v>0.11</v>
      </c>
      <c r="K10" s="63">
        <f t="shared" si="3"/>
        <v>2.7707646766695588E-2</v>
      </c>
      <c r="M10" s="14"/>
    </row>
    <row r="11" spans="1:49" ht="13.15" x14ac:dyDescent="0.4">
      <c r="A11" s="3" t="s">
        <v>15</v>
      </c>
      <c r="B11" s="26">
        <f>'E - B1'!G40</f>
        <v>1500.008423</v>
      </c>
      <c r="C11" s="26">
        <f>'E - B1'!H40</f>
        <v>1543.700317</v>
      </c>
      <c r="D11" s="26">
        <f>'E - B1'!I40</f>
        <v>1516.6423339999999</v>
      </c>
      <c r="E11" s="26">
        <f>'E - B1'!J40</f>
        <v>1560.597534</v>
      </c>
      <c r="F11" s="26">
        <f>'E - B1'!K40</f>
        <v>1524.5756839999999</v>
      </c>
      <c r="G11" s="6">
        <f t="shared" si="4"/>
        <v>1529.1048584</v>
      </c>
      <c r="H11" s="10">
        <f t="shared" si="0"/>
        <v>37302.285184044093</v>
      </c>
      <c r="I11" s="5">
        <f t="shared" si="1"/>
        <v>1.3802630876375925E-2</v>
      </c>
      <c r="J11" s="5">
        <f t="shared" si="2"/>
        <v>0.11</v>
      </c>
      <c r="K11" s="63">
        <f t="shared" si="3"/>
        <v>3.962390850251974E-2</v>
      </c>
      <c r="M11" s="14"/>
    </row>
    <row r="12" spans="1:49" ht="13.15" x14ac:dyDescent="0.4">
      <c r="A12" s="3" t="s">
        <v>17</v>
      </c>
      <c r="B12" s="26">
        <f>'E - B1'!G41</f>
        <v>770.53613299999995</v>
      </c>
      <c r="C12" s="26">
        <f>'E - B1'!H41</f>
        <v>788.78234899999995</v>
      </c>
      <c r="D12" s="26">
        <f>'E - B1'!I41</f>
        <v>772.76062000000002</v>
      </c>
      <c r="E12" s="26">
        <f>'E - B1'!J41</f>
        <v>784.26672399999995</v>
      </c>
      <c r="F12" s="26">
        <f>'E - B1'!K41</f>
        <v>782.69744900000001</v>
      </c>
      <c r="G12" s="6">
        <f t="shared" si="4"/>
        <v>779.80865500000004</v>
      </c>
      <c r="H12" s="10">
        <f t="shared" si="0"/>
        <v>19023.315947235402</v>
      </c>
      <c r="I12" s="5">
        <f t="shared" si="1"/>
        <v>8.9655838018979136E-3</v>
      </c>
      <c r="J12" s="5">
        <f t="shared" si="2"/>
        <v>0.11</v>
      </c>
      <c r="K12" s="63">
        <f t="shared" si="3"/>
        <v>2.339832455437418E-2</v>
      </c>
      <c r="M12" s="14"/>
    </row>
    <row r="13" spans="1:49" ht="13.15" x14ac:dyDescent="0.4">
      <c r="A13" s="3" t="s">
        <v>18</v>
      </c>
      <c r="B13" s="26">
        <f>'E - B1'!G42</f>
        <v>354.470215</v>
      </c>
      <c r="C13" s="26">
        <f>'E - B1'!H42</f>
        <v>373.10217299999999</v>
      </c>
      <c r="D13" s="26">
        <f>'E - B1'!I42</f>
        <v>359.094696</v>
      </c>
      <c r="E13" s="26">
        <f>'E - B1'!J42</f>
        <v>367.03604100000001</v>
      </c>
      <c r="F13" s="26">
        <f>'E - B1'!K42</f>
        <v>362.02233899999999</v>
      </c>
      <c r="G13" s="6">
        <f t="shared" si="4"/>
        <v>363.14509280000004</v>
      </c>
      <c r="H13" s="10">
        <f t="shared" si="0"/>
        <v>8858.8704302371716</v>
      </c>
      <c r="I13" s="5">
        <f t="shared" si="1"/>
        <v>1.7726889730045325E-2</v>
      </c>
      <c r="J13" s="5">
        <f t="shared" si="2"/>
        <v>0.113</v>
      </c>
      <c r="K13" s="63">
        <f t="shared" si="3"/>
        <v>5.1307200260754825E-2</v>
      </c>
      <c r="M13" s="14"/>
    </row>
    <row r="14" spans="1:49" ht="13.15" x14ac:dyDescent="0.4">
      <c r="A14" s="22" t="s">
        <v>19</v>
      </c>
      <c r="B14" s="26">
        <f>'E - B1'!G43</f>
        <v>158.59120200000001</v>
      </c>
      <c r="C14" s="26">
        <f>'E - B1'!H43</f>
        <v>170.51007100000001</v>
      </c>
      <c r="D14" s="26">
        <f>'E - B1'!I43</f>
        <v>166.50202899999999</v>
      </c>
      <c r="E14" s="26">
        <f>'E - B1'!J43</f>
        <v>159.115082</v>
      </c>
      <c r="F14" s="26">
        <f>'E - B1'!K43</f>
        <v>166.24890099999999</v>
      </c>
      <c r="G14" s="6">
        <f t="shared" si="4"/>
        <v>164.193457</v>
      </c>
      <c r="H14" s="12">
        <f t="shared" si="0"/>
        <v>4005.4749186899062</v>
      </c>
      <c r="I14" s="13">
        <f t="shared" si="1"/>
        <v>2.8125293637998341E-2</v>
      </c>
      <c r="J14" s="13">
        <f t="shared" si="2"/>
        <v>0.11900000000000001</v>
      </c>
      <c r="K14" s="63">
        <f t="shared" si="3"/>
        <v>7.2590401699137136E-2</v>
      </c>
      <c r="M14" s="14"/>
    </row>
    <row r="15" spans="1:49" ht="13.15" x14ac:dyDescent="0.4">
      <c r="A15" s="3" t="s">
        <v>20</v>
      </c>
      <c r="B15" s="26">
        <f>'E - B1'!G44</f>
        <v>77.879608000000005</v>
      </c>
      <c r="C15" s="26">
        <f>'E - B1'!H44</f>
        <v>87.928534999999997</v>
      </c>
      <c r="D15" s="26">
        <f>'E - B1'!I44</f>
        <v>85.242667999999995</v>
      </c>
      <c r="E15" s="26">
        <f>'E - B1'!J44</f>
        <v>79.755936000000005</v>
      </c>
      <c r="F15" s="26">
        <f>'E - B1'!K44</f>
        <v>81.440162999999998</v>
      </c>
      <c r="G15" s="6">
        <f t="shared" si="4"/>
        <v>82.449382</v>
      </c>
      <c r="H15" s="10">
        <f t="shared" si="0"/>
        <v>2011.3403889320816</v>
      </c>
      <c r="I15" s="5">
        <f t="shared" si="1"/>
        <v>4.4391393724952821E-2</v>
      </c>
      <c r="J15" s="5">
        <f t="shared" si="2"/>
        <v>0.11900000000000001</v>
      </c>
      <c r="K15" s="63">
        <f t="shared" si="3"/>
        <v>0.1218799553888711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1 H37:H39">
    <cfRule type="cellIs" dxfId="5" priority="10" operator="greaterThan">
      <formula>1000</formula>
    </cfRule>
  </conditionalFormatting>
  <conditionalFormatting sqref="K9:K15">
    <cfRule type="cellIs" dxfId="4" priority="1" operator="lessThan">
      <formula>$J9</formula>
    </cfRule>
  </conditionalFormatting>
  <conditionalFormatting sqref="K16:K38">
    <cfRule type="cellIs" dxfId="3" priority="11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70" zoomScaleNormal="70" workbookViewId="0">
      <selection activeCell="E43" sqref="E43"/>
    </sheetView>
  </sheetViews>
  <sheetFormatPr defaultColWidth="11.53125" defaultRowHeight="12.75" x14ac:dyDescent="0.35"/>
  <sheetData>
    <row r="1" spans="1:49" x14ac:dyDescent="0.35">
      <c r="A1" t="s">
        <v>0</v>
      </c>
    </row>
    <row r="3" spans="1:49" ht="40.15" x14ac:dyDescent="1.05">
      <c r="A3" s="9" t="s">
        <v>95</v>
      </c>
      <c r="D3" s="9" t="s">
        <v>16</v>
      </c>
    </row>
    <row r="4" spans="1:49" x14ac:dyDescent="0.35">
      <c r="A4" s="11"/>
    </row>
    <row r="6" spans="1:49" ht="13.15" x14ac:dyDescent="0.4">
      <c r="A6" t="s">
        <v>33</v>
      </c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B1'!L37</f>
        <v>4.2434710000000004</v>
      </c>
      <c r="C8" s="26">
        <f>'E - B1'!M37</f>
        <v>5.0530900000000001</v>
      </c>
      <c r="D8" s="26">
        <f>'E - B1'!N37</f>
        <v>5.0107600000000003</v>
      </c>
      <c r="E8" s="26">
        <f>'E - B1'!O37</f>
        <v>5.0539100000000001</v>
      </c>
      <c r="F8" s="26">
        <f>'E - B1'!P37</f>
        <v>5.0309790000000003</v>
      </c>
      <c r="G8" s="4"/>
      <c r="H8" s="4">
        <f>AVERAGE(B$8:F$8)*5</f>
        <v>24.392210000000006</v>
      </c>
      <c r="I8" s="5"/>
      <c r="K8" s="5"/>
    </row>
    <row r="9" spans="1:49" ht="13.15" x14ac:dyDescent="0.4">
      <c r="A9" s="17" t="s">
        <v>12</v>
      </c>
      <c r="B9" s="26">
        <f>'E - B1'!L38</f>
        <v>5596.1259769999997</v>
      </c>
      <c r="C9" s="26">
        <f>'E - B1'!M38</f>
        <v>5507.125</v>
      </c>
      <c r="D9" s="26">
        <f>'E - B1'!N38</f>
        <v>5693.9467770000001</v>
      </c>
      <c r="E9" s="26">
        <f>'E - B1'!O38</f>
        <v>5461.3159180000002</v>
      </c>
      <c r="F9" s="26">
        <f>'E - B1'!P38</f>
        <v>5753.7514650000003</v>
      </c>
      <c r="G9" s="6">
        <f>AVERAGE(B9:F9)</f>
        <v>5602.4530274000008</v>
      </c>
      <c r="H9" s="7">
        <f t="shared" ref="H9:H15" si="0">G9*H$8</f>
        <v>136656.21075947661</v>
      </c>
      <c r="I9" s="8">
        <f t="shared" ref="I9" si="1">STDEVP(B9:F9)/AVERAGE(B9:F9)</f>
        <v>1.9603315747006456E-2</v>
      </c>
      <c r="J9" s="8">
        <f>IF(H9&gt;$A$21, $C$21, IF(H9&gt;$A$22, $C$22, IF(H9&gt;$A$23,$C$23,IF(H9&gt;$A$24,$C$24, IF(H9&gt;$A$25,$C$25,IF(H9&gt;$A$26,$C$26,$C$27))))))/100</f>
        <v>0.11</v>
      </c>
      <c r="K9" s="8">
        <f>(MAX(B9:F9)-MIN(B9:F9))/G9</f>
        <v>5.2197768650585938E-2</v>
      </c>
      <c r="M9" s="14"/>
    </row>
    <row r="10" spans="1:49" ht="13.15" x14ac:dyDescent="0.4">
      <c r="A10" s="3" t="s">
        <v>14</v>
      </c>
      <c r="B10" s="26">
        <f>'E - B1'!L39</f>
        <v>3102.413086</v>
      </c>
      <c r="C10" s="26">
        <f>'E - B1'!M39</f>
        <v>3030.4228520000001</v>
      </c>
      <c r="D10" s="26">
        <f>'E - B1'!N39</f>
        <v>3140.2421880000002</v>
      </c>
      <c r="E10" s="26">
        <f>'E - B1'!O39</f>
        <v>3042.1989749999998</v>
      </c>
      <c r="F10" s="26">
        <f>'E - B1'!P39</f>
        <v>3161.4128420000002</v>
      </c>
      <c r="G10" s="6">
        <f t="shared" ref="G10:G15" si="2">AVERAGE(B10:F10)</f>
        <v>3095.3379885999998</v>
      </c>
      <c r="H10" s="10">
        <f t="shared" si="0"/>
        <v>75502.134238908824</v>
      </c>
      <c r="I10" s="5">
        <f t="shared" ref="I10:I15" si="3">STDEVP(B10:F10)/AVERAGE(B10:F10)</f>
        <v>1.6768402378450627E-2</v>
      </c>
      <c r="J10" s="5">
        <f t="shared" ref="J10:J15" si="4">IF(H10&gt;$A$21, $C$21, IF(H10&gt;$A$22, $C$22, IF(H10&gt;$A$23,$C$23,IF(H10&gt;$A$24,$C$24, IF(H10&gt;$A$25,$C$25,IF(H10&gt;$A$26,$C$26,$C$27))))))/100</f>
        <v>0.11</v>
      </c>
      <c r="K10" s="8">
        <f t="shared" ref="K10:K15" si="5">(MAX(B10:F10)-MIN(B10:F10))/G10</f>
        <v>4.2318477168706833E-2</v>
      </c>
      <c r="M10" s="14"/>
    </row>
    <row r="11" spans="1:49" ht="13.15" x14ac:dyDescent="0.4">
      <c r="A11" s="3" t="s">
        <v>15</v>
      </c>
      <c r="B11" s="26">
        <f>'E - B1'!L40</f>
        <v>1529.6439210000001</v>
      </c>
      <c r="C11" s="26">
        <f>'E - B1'!M40</f>
        <v>1489.38562</v>
      </c>
      <c r="D11" s="26">
        <f>'E - B1'!N40</f>
        <v>1559.8432620000001</v>
      </c>
      <c r="E11" s="26">
        <f>'E - B1'!O40</f>
        <v>1489.1439210000001</v>
      </c>
      <c r="F11" s="26">
        <f>'E - B1'!P40</f>
        <v>1581.6008300000001</v>
      </c>
      <c r="G11" s="6">
        <f t="shared" si="2"/>
        <v>1529.9235108</v>
      </c>
      <c r="H11" s="10">
        <f t="shared" si="0"/>
        <v>37318.215559370874</v>
      </c>
      <c r="I11" s="5">
        <f t="shared" si="3"/>
        <v>2.4232060656671498E-2</v>
      </c>
      <c r="J11" s="5">
        <f t="shared" si="4"/>
        <v>0.11</v>
      </c>
      <c r="K11" s="8">
        <f t="shared" si="5"/>
        <v>6.0432373479674222E-2</v>
      </c>
      <c r="M11" s="14"/>
    </row>
    <row r="12" spans="1:49" ht="13.15" x14ac:dyDescent="0.4">
      <c r="A12" s="3" t="s">
        <v>17</v>
      </c>
      <c r="B12" s="26">
        <f>'E - B1'!L41</f>
        <v>774.83734100000004</v>
      </c>
      <c r="C12" s="26">
        <f>'E - B1'!M41</f>
        <v>761.71209699999997</v>
      </c>
      <c r="D12" s="26">
        <f>'E - B1'!N41</f>
        <v>799.47955300000001</v>
      </c>
      <c r="E12" s="26">
        <f>'E - B1'!O41</f>
        <v>756.24609399999997</v>
      </c>
      <c r="F12" s="26">
        <f>'E - B1'!P41</f>
        <v>817.53479000000004</v>
      </c>
      <c r="G12" s="6">
        <f t="shared" si="2"/>
        <v>781.96197500000005</v>
      </c>
      <c r="H12" s="10">
        <f t="shared" si="0"/>
        <v>19073.780706214755</v>
      </c>
      <c r="I12" s="5">
        <f t="shared" si="3"/>
        <v>2.9686679493753445E-2</v>
      </c>
      <c r="J12" s="5">
        <f t="shared" si="4"/>
        <v>0.11</v>
      </c>
      <c r="K12" s="8">
        <f t="shared" si="5"/>
        <v>7.8378102720404103E-2</v>
      </c>
      <c r="M12" s="14"/>
    </row>
    <row r="13" spans="1:49" ht="13.15" x14ac:dyDescent="0.4">
      <c r="A13" s="3" t="s">
        <v>18</v>
      </c>
      <c r="B13" s="26">
        <f>'E - B1'!L42</f>
        <v>354.89813199999998</v>
      </c>
      <c r="C13" s="26">
        <f>'E - B1'!M42</f>
        <v>352.259705</v>
      </c>
      <c r="D13" s="26">
        <f>'E - B1'!N42</f>
        <v>378.18615699999998</v>
      </c>
      <c r="E13" s="26">
        <f>'E - B1'!O42</f>
        <v>360.908661</v>
      </c>
      <c r="F13" s="26">
        <f>'E - B1'!P42</f>
        <v>389.98376500000001</v>
      </c>
      <c r="G13" s="6">
        <f t="shared" si="2"/>
        <v>367.24728399999992</v>
      </c>
      <c r="H13" s="10">
        <f t="shared" si="0"/>
        <v>8957.9728732576405</v>
      </c>
      <c r="I13" s="5">
        <f t="shared" si="3"/>
        <v>3.9532923927841669E-2</v>
      </c>
      <c r="J13" s="5">
        <f t="shared" si="4"/>
        <v>0.113</v>
      </c>
      <c r="K13" s="8">
        <f t="shared" si="5"/>
        <v>0.10272114088664033</v>
      </c>
      <c r="M13" s="14"/>
    </row>
    <row r="14" spans="1:49" ht="13.15" x14ac:dyDescent="0.4">
      <c r="A14" s="22" t="s">
        <v>19</v>
      </c>
      <c r="B14" s="26">
        <f>'E - B1'!L43</f>
        <v>166.84454299999999</v>
      </c>
      <c r="C14" s="26">
        <f>'E - B1'!M43</f>
        <v>160.69375600000001</v>
      </c>
      <c r="D14" s="26">
        <f>'E - B1'!N43</f>
        <v>174.225067</v>
      </c>
      <c r="E14" s="26">
        <f>'E - B1'!O43</f>
        <v>167.790863</v>
      </c>
      <c r="F14" s="26">
        <f>'E - B1'!P43</f>
        <v>173.12735000000001</v>
      </c>
      <c r="G14" s="6">
        <f t="shared" si="2"/>
        <v>168.53631580000001</v>
      </c>
      <c r="H14" s="12">
        <f t="shared" si="0"/>
        <v>4110.9732076199189</v>
      </c>
      <c r="I14" s="13">
        <f t="shared" si="3"/>
        <v>2.8868852987674182E-2</v>
      </c>
      <c r="J14" s="13">
        <f t="shared" si="4"/>
        <v>0.11900000000000001</v>
      </c>
      <c r="K14" s="8">
        <f t="shared" si="5"/>
        <v>8.0287212496429727E-2</v>
      </c>
      <c r="M14" s="14"/>
    </row>
    <row r="15" spans="1:49" ht="13.15" x14ac:dyDescent="0.4">
      <c r="A15" s="3" t="s">
        <v>20</v>
      </c>
      <c r="B15" s="26">
        <f>'E - B1'!L44</f>
        <v>86.957115000000002</v>
      </c>
      <c r="C15" s="26">
        <f>'E - B1'!M44</f>
        <v>87.273330999999999</v>
      </c>
      <c r="D15" s="26">
        <f>'E - B1'!N44</f>
        <v>86.214470000000006</v>
      </c>
      <c r="E15" s="26">
        <f>'E - B1'!O44</f>
        <v>85.676231000000001</v>
      </c>
      <c r="F15" s="26">
        <f>'E - B1'!P44</f>
        <v>85.669219999999996</v>
      </c>
      <c r="G15" s="6">
        <f t="shared" si="2"/>
        <v>86.358073400000009</v>
      </c>
      <c r="H15" s="10">
        <f t="shared" si="0"/>
        <v>2106.4642615682146</v>
      </c>
      <c r="I15" s="5">
        <f t="shared" si="3"/>
        <v>7.6049538507678427E-3</v>
      </c>
      <c r="J15" s="5">
        <f t="shared" si="4"/>
        <v>0.11900000000000001</v>
      </c>
      <c r="K15" s="8">
        <f t="shared" si="5"/>
        <v>1.8575113325768139E-2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0 H39">
    <cfRule type="cellIs" dxfId="2" priority="4" operator="greaterThan">
      <formula>1000</formula>
    </cfRule>
  </conditionalFormatting>
  <conditionalFormatting sqref="K9:K15">
    <cfRule type="cellIs" dxfId="1" priority="1" operator="lessThan">
      <formula>"$J9"</formula>
    </cfRule>
  </conditionalFormatting>
  <conditionalFormatting sqref="K16:K38">
    <cfRule type="cellIs" dxfId="0" priority="5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Annex E</vt:lpstr>
      <vt:lpstr>E - B1</vt:lpstr>
      <vt:lpstr>E - B2</vt:lpstr>
      <vt:lpstr>E - B3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2026-06-09T14:42:30Z</dcterms:modified>
</cp:coreProperties>
</file>