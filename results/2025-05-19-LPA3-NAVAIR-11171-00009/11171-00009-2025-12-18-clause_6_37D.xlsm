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mp\projects\PR0118 - ISO 11171 Calibrations\"/>
    </mc:Choice>
  </mc:AlternateContent>
  <xr:revisionPtr revIDLastSave="0" documentId="13_ncr:1_{C8C08D28-E673-4C2C-9E8F-7BE8B4A94343}" xr6:coauthVersionLast="47" xr6:coauthVersionMax="47" xr10:uidLastSave="{00000000-0000-0000-0000-000000000000}"/>
  <bookViews>
    <workbookView xWindow="-98" yWindow="-98" windowWidth="28996" windowHeight="17745" activeTab="1" xr2:uid="{E292ACDD-9F35-45EB-94A5-BD6193290DC2}"/>
  </bookViews>
  <sheets>
    <sheet name="Clause 6" sheetId="1" r:id="rId1"/>
    <sheet name="6 - B1" sheetId="2" r:id="rId2"/>
    <sheet name="6 - B2" sheetId="3" r:id="rId3"/>
    <sheet name="6 - B3" sheetId="4" r:id="rId4"/>
    <sheet name="6 - Thresholds" sheetId="5" r:id="rId5"/>
    <sheet name="6 - Spheres" sheetId="6" r:id="rId6"/>
    <sheet name="6 - Curve" sheetId="7" r:id="rId7"/>
  </sheets>
  <functionGroups builtInGroupCount="19"/>
  <externalReferences>
    <externalReference r:id="rId8"/>
  </externalReferences>
  <definedNames>
    <definedName name="_xlnm._FilterDatabase" localSheetId="4" hidden="1">'6 - Thresholds'!$A$4:$H$33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4" i="7" l="1"/>
  <c r="A34" i="7"/>
  <c r="B33" i="7"/>
  <c r="B32" i="7"/>
  <c r="B46" i="6"/>
  <c r="O44" i="6"/>
  <c r="N44" i="6"/>
  <c r="M44" i="6"/>
  <c r="M46" i="6" s="1"/>
  <c r="H44" i="6"/>
  <c r="G44" i="6"/>
  <c r="F44" i="6"/>
  <c r="F46" i="6" s="1"/>
  <c r="D44" i="6"/>
  <c r="O42" i="6"/>
  <c r="M42" i="6"/>
  <c r="H42" i="6"/>
  <c r="F42" i="6"/>
  <c r="D42" i="6"/>
  <c r="B42" i="6"/>
  <c r="G40" i="6"/>
  <c r="A32" i="7" s="1"/>
  <c r="C40" i="6"/>
  <c r="A33" i="7" s="1"/>
  <c r="M30" i="6"/>
  <c r="F30" i="6"/>
  <c r="A30" i="6"/>
  <c r="M13" i="6"/>
  <c r="M14" i="6" s="1"/>
  <c r="M15" i="6" s="1"/>
  <c r="F13" i="6"/>
  <c r="F14" i="6" s="1"/>
  <c r="F15" i="6" s="1"/>
  <c r="A13" i="6"/>
  <c r="A14" i="6" s="1"/>
  <c r="A15" i="6" s="1"/>
  <c r="A17" i="6" s="1"/>
  <c r="A19" i="6" s="1"/>
  <c r="A21" i="6" s="1"/>
  <c r="L3" i="5"/>
  <c r="P82" i="4"/>
  <c r="O82" i="4"/>
  <c r="N82" i="4"/>
  <c r="M82" i="4"/>
  <c r="L82" i="4"/>
  <c r="K82" i="4"/>
  <c r="J82" i="4"/>
  <c r="I82" i="4"/>
  <c r="H82" i="4"/>
  <c r="G82" i="4"/>
  <c r="F82" i="4"/>
  <c r="E82" i="4"/>
  <c r="D82" i="4"/>
  <c r="C82" i="4"/>
  <c r="B82" i="4"/>
  <c r="A82" i="4"/>
  <c r="P81" i="4"/>
  <c r="O81" i="4"/>
  <c r="N81" i="4"/>
  <c r="M81" i="4"/>
  <c r="L81" i="4"/>
  <c r="K81" i="4"/>
  <c r="J81" i="4"/>
  <c r="I81" i="4"/>
  <c r="H81" i="4"/>
  <c r="G81" i="4"/>
  <c r="F81" i="4"/>
  <c r="E81" i="4"/>
  <c r="D81" i="4"/>
  <c r="C81" i="4"/>
  <c r="B81" i="4"/>
  <c r="A81" i="4"/>
  <c r="P80" i="4"/>
  <c r="F36" i="4" s="1"/>
  <c r="O80" i="4"/>
  <c r="E36" i="4" s="1"/>
  <c r="N80" i="4"/>
  <c r="M80" i="4"/>
  <c r="L80" i="4"/>
  <c r="K80" i="4"/>
  <c r="J80" i="4"/>
  <c r="I80" i="4"/>
  <c r="H80" i="4"/>
  <c r="G80" i="4"/>
  <c r="F80" i="4"/>
  <c r="E80" i="4"/>
  <c r="D80" i="4"/>
  <c r="C80" i="4"/>
  <c r="B80" i="4"/>
  <c r="A80" i="4"/>
  <c r="P79" i="4"/>
  <c r="F35" i="4" s="1"/>
  <c r="O79" i="4"/>
  <c r="E35" i="4" s="1"/>
  <c r="N79" i="4"/>
  <c r="M79" i="4"/>
  <c r="L79" i="4"/>
  <c r="K79" i="4"/>
  <c r="J79" i="4"/>
  <c r="I79" i="4"/>
  <c r="H79" i="4"/>
  <c r="G79" i="4"/>
  <c r="F79" i="4"/>
  <c r="E79" i="4"/>
  <c r="D79" i="4"/>
  <c r="C79" i="4"/>
  <c r="B79" i="4"/>
  <c r="A79" i="4"/>
  <c r="P78" i="4"/>
  <c r="F34" i="4" s="1"/>
  <c r="O78" i="4"/>
  <c r="E34" i="4" s="1"/>
  <c r="N78" i="4"/>
  <c r="M78" i="4"/>
  <c r="L78" i="4"/>
  <c r="K78" i="4"/>
  <c r="J78" i="4"/>
  <c r="I78" i="4"/>
  <c r="H78" i="4"/>
  <c r="G78" i="4"/>
  <c r="F78" i="4"/>
  <c r="E78" i="4"/>
  <c r="D78" i="4"/>
  <c r="C78" i="4"/>
  <c r="B78" i="4"/>
  <c r="A78" i="4"/>
  <c r="P77" i="4"/>
  <c r="F33" i="4" s="1"/>
  <c r="O77" i="4"/>
  <c r="N77" i="4"/>
  <c r="M77" i="4"/>
  <c r="L77" i="4"/>
  <c r="K77" i="4"/>
  <c r="J77" i="4"/>
  <c r="I77" i="4"/>
  <c r="H77" i="4"/>
  <c r="G77" i="4"/>
  <c r="F77" i="4"/>
  <c r="E77" i="4"/>
  <c r="D77" i="4"/>
  <c r="C77" i="4"/>
  <c r="B77" i="4"/>
  <c r="A77" i="4"/>
  <c r="P76" i="4"/>
  <c r="F32" i="4" s="1"/>
  <c r="O76" i="4"/>
  <c r="N76" i="4"/>
  <c r="M76" i="4"/>
  <c r="L76" i="4"/>
  <c r="K76" i="4"/>
  <c r="J76" i="4"/>
  <c r="I76" i="4"/>
  <c r="H76" i="4"/>
  <c r="G76" i="4"/>
  <c r="F76" i="4"/>
  <c r="E76" i="4"/>
  <c r="D76" i="4"/>
  <c r="C76" i="4"/>
  <c r="B76" i="4"/>
  <c r="A76" i="4"/>
  <c r="P75" i="4"/>
  <c r="O75" i="4"/>
  <c r="N75" i="4"/>
  <c r="M75" i="4"/>
  <c r="L75" i="4"/>
  <c r="K75" i="4"/>
  <c r="J75" i="4"/>
  <c r="I75" i="4"/>
  <c r="H75" i="4"/>
  <c r="G75" i="4"/>
  <c r="F75" i="4"/>
  <c r="E75" i="4"/>
  <c r="D75" i="4"/>
  <c r="C75" i="4"/>
  <c r="B75" i="4"/>
  <c r="A75" i="4"/>
  <c r="P74" i="4"/>
  <c r="O74" i="4"/>
  <c r="N74" i="4"/>
  <c r="M74" i="4"/>
  <c r="L74" i="4"/>
  <c r="K74" i="4"/>
  <c r="J74" i="4"/>
  <c r="I74" i="4"/>
  <c r="H74" i="4"/>
  <c r="G74" i="4"/>
  <c r="F74" i="4"/>
  <c r="E74" i="4"/>
  <c r="D74" i="4"/>
  <c r="C74" i="4"/>
  <c r="B74" i="4"/>
  <c r="A74" i="4"/>
  <c r="P73" i="4"/>
  <c r="F29" i="4" s="1"/>
  <c r="O73" i="4"/>
  <c r="N73" i="4"/>
  <c r="M73" i="4"/>
  <c r="L73" i="4"/>
  <c r="K73" i="4"/>
  <c r="J73" i="4"/>
  <c r="I73" i="4"/>
  <c r="H73" i="4"/>
  <c r="G73" i="4"/>
  <c r="F73" i="4"/>
  <c r="E73" i="4"/>
  <c r="D73" i="4"/>
  <c r="C73" i="4"/>
  <c r="B73" i="4"/>
  <c r="A73" i="4"/>
  <c r="P72" i="4"/>
  <c r="F28" i="4" s="1"/>
  <c r="O72" i="4"/>
  <c r="N72" i="4"/>
  <c r="M72" i="4"/>
  <c r="L72" i="4"/>
  <c r="K72" i="4"/>
  <c r="J72" i="4"/>
  <c r="I72" i="4"/>
  <c r="H72" i="4"/>
  <c r="G72" i="4"/>
  <c r="F72" i="4"/>
  <c r="E72" i="4"/>
  <c r="D72" i="4"/>
  <c r="C72" i="4"/>
  <c r="B72" i="4"/>
  <c r="A72" i="4"/>
  <c r="P71" i="4"/>
  <c r="F27" i="4" s="1"/>
  <c r="O71" i="4"/>
  <c r="N71" i="4"/>
  <c r="M71" i="4"/>
  <c r="L71" i="4"/>
  <c r="K71" i="4"/>
  <c r="J71" i="4"/>
  <c r="I71" i="4"/>
  <c r="H71" i="4"/>
  <c r="G71" i="4"/>
  <c r="F71" i="4"/>
  <c r="E71" i="4"/>
  <c r="D71" i="4"/>
  <c r="C71" i="4"/>
  <c r="B71" i="4"/>
  <c r="A71" i="4"/>
  <c r="P70" i="4"/>
  <c r="F26" i="4" s="1"/>
  <c r="O70" i="4"/>
  <c r="N70" i="4"/>
  <c r="M70" i="4"/>
  <c r="L70" i="4"/>
  <c r="K70" i="4"/>
  <c r="J70" i="4"/>
  <c r="I70" i="4"/>
  <c r="H70" i="4"/>
  <c r="G70" i="4"/>
  <c r="F70" i="4"/>
  <c r="E70" i="4"/>
  <c r="D70" i="4"/>
  <c r="C70" i="4"/>
  <c r="B70" i="4"/>
  <c r="A70" i="4"/>
  <c r="P69" i="4"/>
  <c r="O69" i="4"/>
  <c r="N69" i="4"/>
  <c r="M69" i="4"/>
  <c r="L69" i="4"/>
  <c r="K69" i="4"/>
  <c r="J69" i="4"/>
  <c r="I69" i="4"/>
  <c r="H69" i="4"/>
  <c r="G69" i="4"/>
  <c r="F69" i="4"/>
  <c r="E69" i="4"/>
  <c r="D69" i="4"/>
  <c r="C69" i="4"/>
  <c r="B69" i="4"/>
  <c r="A69" i="4"/>
  <c r="P68" i="4"/>
  <c r="O68" i="4"/>
  <c r="N68" i="4"/>
  <c r="M68" i="4"/>
  <c r="L68" i="4"/>
  <c r="K68" i="4"/>
  <c r="J68" i="4"/>
  <c r="I68" i="4"/>
  <c r="H68" i="4"/>
  <c r="G68" i="4"/>
  <c r="F68" i="4"/>
  <c r="E68" i="4"/>
  <c r="D68" i="4"/>
  <c r="C68" i="4"/>
  <c r="B68" i="4"/>
  <c r="A68" i="4"/>
  <c r="P67" i="4"/>
  <c r="O67" i="4"/>
  <c r="N67" i="4"/>
  <c r="M67" i="4"/>
  <c r="L67" i="4"/>
  <c r="K67" i="4"/>
  <c r="J67" i="4"/>
  <c r="I67" i="4"/>
  <c r="H67" i="4"/>
  <c r="G67" i="4"/>
  <c r="F67" i="4"/>
  <c r="E67" i="4"/>
  <c r="D67" i="4"/>
  <c r="C67" i="4"/>
  <c r="B67" i="4"/>
  <c r="A67" i="4"/>
  <c r="P66" i="4"/>
  <c r="O66" i="4"/>
  <c r="N66" i="4"/>
  <c r="M66" i="4"/>
  <c r="L66" i="4"/>
  <c r="K66" i="4"/>
  <c r="J66" i="4"/>
  <c r="I66" i="4"/>
  <c r="H66" i="4"/>
  <c r="G66" i="4"/>
  <c r="F66" i="4"/>
  <c r="E66" i="4"/>
  <c r="D66" i="4"/>
  <c r="C66" i="4"/>
  <c r="B66" i="4"/>
  <c r="A66" i="4"/>
  <c r="P65" i="4"/>
  <c r="O65" i="4"/>
  <c r="N65" i="4"/>
  <c r="M65" i="4"/>
  <c r="L65" i="4"/>
  <c r="K65" i="4"/>
  <c r="J65" i="4"/>
  <c r="I65" i="4"/>
  <c r="H65" i="4"/>
  <c r="G65" i="4"/>
  <c r="F65" i="4"/>
  <c r="E65" i="4"/>
  <c r="D65" i="4"/>
  <c r="C65" i="4"/>
  <c r="B65" i="4"/>
  <c r="A65" i="4"/>
  <c r="P64" i="4"/>
  <c r="O64" i="4"/>
  <c r="N64" i="4"/>
  <c r="M64" i="4"/>
  <c r="L64" i="4"/>
  <c r="K64" i="4"/>
  <c r="J64" i="4"/>
  <c r="I64" i="4"/>
  <c r="H64" i="4"/>
  <c r="G64" i="4"/>
  <c r="F64" i="4"/>
  <c r="E64" i="4"/>
  <c r="D64" i="4"/>
  <c r="C64" i="4"/>
  <c r="B64" i="4"/>
  <c r="A64" i="4"/>
  <c r="P63" i="4"/>
  <c r="O63" i="4"/>
  <c r="N63" i="4"/>
  <c r="M63" i="4"/>
  <c r="L63" i="4"/>
  <c r="K63" i="4"/>
  <c r="J63" i="4"/>
  <c r="I63" i="4"/>
  <c r="H63" i="4"/>
  <c r="G63" i="4"/>
  <c r="F63" i="4"/>
  <c r="E63" i="4"/>
  <c r="D63" i="4"/>
  <c r="C63" i="4"/>
  <c r="B63" i="4"/>
  <c r="A63" i="4"/>
  <c r="P62" i="4"/>
  <c r="O62" i="4"/>
  <c r="N62" i="4"/>
  <c r="M62" i="4"/>
  <c r="L62" i="4"/>
  <c r="K62" i="4"/>
  <c r="J62" i="4"/>
  <c r="I62" i="4"/>
  <c r="H62" i="4"/>
  <c r="G62" i="4"/>
  <c r="F62" i="4"/>
  <c r="E62" i="4"/>
  <c r="D62" i="4"/>
  <c r="C62" i="4"/>
  <c r="B62" i="4"/>
  <c r="A62" i="4"/>
  <c r="P61" i="4"/>
  <c r="O61" i="4"/>
  <c r="N61" i="4"/>
  <c r="M61" i="4"/>
  <c r="L61" i="4"/>
  <c r="K61" i="4"/>
  <c r="J61" i="4"/>
  <c r="I61" i="4"/>
  <c r="H61" i="4"/>
  <c r="G61" i="4"/>
  <c r="F61" i="4"/>
  <c r="E61" i="4"/>
  <c r="D61" i="4"/>
  <c r="C61" i="4"/>
  <c r="B61" i="4"/>
  <c r="A61" i="4"/>
  <c r="P60" i="4"/>
  <c r="O60" i="4"/>
  <c r="N60" i="4"/>
  <c r="M60" i="4"/>
  <c r="L60" i="4"/>
  <c r="K60" i="4"/>
  <c r="J60" i="4"/>
  <c r="I60" i="4"/>
  <c r="H60" i="4"/>
  <c r="G60" i="4"/>
  <c r="F60" i="4"/>
  <c r="E60" i="4"/>
  <c r="D60" i="4"/>
  <c r="C60" i="4"/>
  <c r="B60" i="4"/>
  <c r="A60" i="4"/>
  <c r="P59" i="4"/>
  <c r="O59" i="4"/>
  <c r="N59" i="4"/>
  <c r="M59" i="4"/>
  <c r="L59" i="4"/>
  <c r="K59" i="4"/>
  <c r="J59" i="4"/>
  <c r="I59" i="4"/>
  <c r="H59" i="4"/>
  <c r="G59" i="4"/>
  <c r="F59" i="4"/>
  <c r="E59" i="4"/>
  <c r="D59" i="4"/>
  <c r="C59" i="4"/>
  <c r="B59" i="4"/>
  <c r="A59" i="4"/>
  <c r="P58" i="4"/>
  <c r="O58" i="4"/>
  <c r="N58" i="4"/>
  <c r="M58" i="4"/>
  <c r="L58" i="4"/>
  <c r="K58" i="4"/>
  <c r="J58" i="4"/>
  <c r="I58" i="4"/>
  <c r="H58" i="4"/>
  <c r="G58" i="4"/>
  <c r="F58" i="4"/>
  <c r="E58" i="4"/>
  <c r="D58" i="4"/>
  <c r="C58" i="4"/>
  <c r="B58" i="4"/>
  <c r="A58" i="4"/>
  <c r="P57" i="4"/>
  <c r="O57" i="4"/>
  <c r="N57" i="4"/>
  <c r="M57" i="4"/>
  <c r="L57" i="4"/>
  <c r="K57" i="4"/>
  <c r="J57" i="4"/>
  <c r="I57" i="4"/>
  <c r="H57" i="4"/>
  <c r="G57" i="4"/>
  <c r="F57" i="4"/>
  <c r="E57" i="4"/>
  <c r="D57" i="4"/>
  <c r="C57" i="4"/>
  <c r="B57" i="4"/>
  <c r="A57" i="4"/>
  <c r="P56" i="4"/>
  <c r="O56" i="4"/>
  <c r="N56" i="4"/>
  <c r="M56" i="4"/>
  <c r="L56" i="4"/>
  <c r="K56" i="4"/>
  <c r="J56" i="4"/>
  <c r="I56" i="4"/>
  <c r="H56" i="4"/>
  <c r="G56" i="4"/>
  <c r="F56" i="4"/>
  <c r="E56" i="4"/>
  <c r="D56" i="4"/>
  <c r="C56" i="4"/>
  <c r="B56" i="4"/>
  <c r="A56" i="4"/>
  <c r="P55" i="4"/>
  <c r="O55" i="4"/>
  <c r="N55" i="4"/>
  <c r="M55" i="4"/>
  <c r="L55" i="4"/>
  <c r="K55" i="4"/>
  <c r="J55" i="4"/>
  <c r="I55" i="4"/>
  <c r="H55" i="4"/>
  <c r="G55" i="4"/>
  <c r="F55" i="4"/>
  <c r="E55" i="4"/>
  <c r="D55" i="4"/>
  <c r="C55" i="4"/>
  <c r="B55" i="4"/>
  <c r="A55" i="4"/>
  <c r="P54" i="4"/>
  <c r="O54" i="4"/>
  <c r="N54" i="4"/>
  <c r="M54" i="4"/>
  <c r="L54" i="4"/>
  <c r="K54" i="4"/>
  <c r="J54" i="4"/>
  <c r="I54" i="4"/>
  <c r="H54" i="4"/>
  <c r="G54" i="4"/>
  <c r="F54" i="4"/>
  <c r="E54" i="4"/>
  <c r="D54" i="4"/>
  <c r="C54" i="4"/>
  <c r="B54" i="4"/>
  <c r="A54" i="4"/>
  <c r="P53" i="4"/>
  <c r="O53" i="4"/>
  <c r="N53" i="4"/>
  <c r="M53" i="4"/>
  <c r="L53" i="4"/>
  <c r="K53" i="4"/>
  <c r="J53" i="4"/>
  <c r="I53" i="4"/>
  <c r="H53" i="4"/>
  <c r="G53" i="4"/>
  <c r="F53" i="4"/>
  <c r="E53" i="4"/>
  <c r="D53" i="4"/>
  <c r="C53" i="4"/>
  <c r="B53" i="4"/>
  <c r="A53" i="4"/>
  <c r="P52" i="4"/>
  <c r="O52" i="4"/>
  <c r="N52" i="4"/>
  <c r="M52" i="4"/>
  <c r="L52" i="4"/>
  <c r="K52" i="4"/>
  <c r="J52" i="4"/>
  <c r="I52" i="4"/>
  <c r="H52" i="4"/>
  <c r="G52" i="4"/>
  <c r="F52" i="4"/>
  <c r="E52" i="4"/>
  <c r="D52" i="4"/>
  <c r="C52" i="4"/>
  <c r="B52" i="4"/>
  <c r="A52" i="4"/>
  <c r="P51" i="4"/>
  <c r="O51" i="4"/>
  <c r="N51" i="4"/>
  <c r="M51" i="4"/>
  <c r="L51" i="4"/>
  <c r="K51" i="4"/>
  <c r="J51" i="4"/>
  <c r="I51" i="4"/>
  <c r="H51" i="4"/>
  <c r="G51" i="4"/>
  <c r="F51" i="4"/>
  <c r="E51" i="4"/>
  <c r="D51" i="4"/>
  <c r="C51" i="4"/>
  <c r="B51" i="4"/>
  <c r="A51" i="4"/>
  <c r="S38" i="4"/>
  <c r="M38" i="4"/>
  <c r="E38" i="4"/>
  <c r="D38" i="4"/>
  <c r="C38" i="4"/>
  <c r="B38" i="4"/>
  <c r="S37" i="4"/>
  <c r="M37" i="4"/>
  <c r="E37" i="4"/>
  <c r="D37" i="4"/>
  <c r="C37" i="4"/>
  <c r="B37" i="4"/>
  <c r="P36" i="4"/>
  <c r="D36" i="4"/>
  <c r="B36" i="4"/>
  <c r="P35" i="4"/>
  <c r="D35" i="4"/>
  <c r="B35" i="4"/>
  <c r="D34" i="4"/>
  <c r="C34" i="4"/>
  <c r="B34" i="4"/>
  <c r="E33" i="4"/>
  <c r="D33" i="4"/>
  <c r="C33" i="4"/>
  <c r="B33" i="4"/>
  <c r="G33" i="4" s="1"/>
  <c r="E32" i="4"/>
  <c r="D32" i="4"/>
  <c r="C32" i="4"/>
  <c r="B32" i="4"/>
  <c r="M31" i="4"/>
  <c r="F31" i="4"/>
  <c r="E31" i="4"/>
  <c r="D31" i="4"/>
  <c r="C31" i="4"/>
  <c r="B31" i="4"/>
  <c r="G31" i="4" s="1"/>
  <c r="M30" i="4"/>
  <c r="F30" i="4"/>
  <c r="G30" i="4" s="1"/>
  <c r="E30" i="4"/>
  <c r="D30" i="4"/>
  <c r="C30" i="4"/>
  <c r="B30" i="4"/>
  <c r="E29" i="4"/>
  <c r="D29" i="4"/>
  <c r="C29" i="4"/>
  <c r="B29" i="4"/>
  <c r="E28" i="4"/>
  <c r="D28" i="4"/>
  <c r="C28" i="4"/>
  <c r="B28" i="4"/>
  <c r="G28" i="4" s="1"/>
  <c r="E27" i="4"/>
  <c r="D27" i="4"/>
  <c r="C27" i="4"/>
  <c r="B27" i="4"/>
  <c r="E26" i="4"/>
  <c r="D26" i="4"/>
  <c r="C26" i="4"/>
  <c r="B26" i="4"/>
  <c r="G26" i="4" s="1"/>
  <c r="F25" i="4"/>
  <c r="S25" i="4" s="1"/>
  <c r="E25" i="4"/>
  <c r="R25" i="4" s="1"/>
  <c r="D25" i="4"/>
  <c r="Q25" i="4" s="1"/>
  <c r="C25" i="4"/>
  <c r="B25" i="4"/>
  <c r="G25" i="4" s="1"/>
  <c r="F24" i="4"/>
  <c r="E24" i="4"/>
  <c r="M24" i="4" s="1"/>
  <c r="D24" i="4"/>
  <c r="C24" i="4"/>
  <c r="B24" i="4"/>
  <c r="M23" i="4"/>
  <c r="F23" i="4"/>
  <c r="G23" i="4" s="1"/>
  <c r="E23" i="4"/>
  <c r="D23" i="4"/>
  <c r="C23" i="4"/>
  <c r="B23" i="4"/>
  <c r="O22" i="4"/>
  <c r="G22" i="4"/>
  <c r="P22" i="4" s="1"/>
  <c r="F22" i="4"/>
  <c r="E22" i="4"/>
  <c r="D22" i="4"/>
  <c r="C22" i="4"/>
  <c r="B22" i="4"/>
  <c r="M22" i="4" s="1"/>
  <c r="F21" i="4"/>
  <c r="E21" i="4"/>
  <c r="D21" i="4"/>
  <c r="C21" i="4"/>
  <c r="B21" i="4"/>
  <c r="F20" i="4"/>
  <c r="E20" i="4"/>
  <c r="D20" i="4"/>
  <c r="C20" i="4"/>
  <c r="B20" i="4"/>
  <c r="F19" i="4"/>
  <c r="E19" i="4"/>
  <c r="D19" i="4"/>
  <c r="C19" i="4"/>
  <c r="B19" i="4"/>
  <c r="F18" i="4"/>
  <c r="E18" i="4"/>
  <c r="D18" i="4"/>
  <c r="C18" i="4"/>
  <c r="B18" i="4"/>
  <c r="F17" i="4"/>
  <c r="E17" i="4"/>
  <c r="D17" i="4"/>
  <c r="C17" i="4"/>
  <c r="B17" i="4"/>
  <c r="F16" i="4"/>
  <c r="E16" i="4"/>
  <c r="D16" i="4"/>
  <c r="C16" i="4"/>
  <c r="B16" i="4"/>
  <c r="F15" i="4"/>
  <c r="E15" i="4"/>
  <c r="D15" i="4"/>
  <c r="C15" i="4"/>
  <c r="B15" i="4"/>
  <c r="F14" i="4"/>
  <c r="G14" i="4" s="1"/>
  <c r="E14" i="4"/>
  <c r="D14" i="4"/>
  <c r="C14" i="4"/>
  <c r="B14" i="4"/>
  <c r="G13" i="4"/>
  <c r="H13" i="4" s="1"/>
  <c r="J13" i="4" s="1"/>
  <c r="F13" i="4"/>
  <c r="E13" i="4"/>
  <c r="D13" i="4"/>
  <c r="C13" i="4"/>
  <c r="B13" i="4"/>
  <c r="O13" i="4" s="1"/>
  <c r="F12" i="4"/>
  <c r="E12" i="4"/>
  <c r="D12" i="4"/>
  <c r="C12" i="4"/>
  <c r="B12" i="4"/>
  <c r="G12" i="4" s="1"/>
  <c r="F11" i="4"/>
  <c r="E11" i="4"/>
  <c r="D11" i="4"/>
  <c r="Q11" i="4" s="1"/>
  <c r="C11" i="4"/>
  <c r="B11" i="4"/>
  <c r="G11" i="4" s="1"/>
  <c r="F10" i="4"/>
  <c r="E10" i="4"/>
  <c r="R10" i="4" s="1"/>
  <c r="D10" i="4"/>
  <c r="C10" i="4"/>
  <c r="P10" i="4" s="1"/>
  <c r="B10" i="4"/>
  <c r="G10" i="4" s="1"/>
  <c r="M9" i="4"/>
  <c r="F9" i="4"/>
  <c r="E9" i="4"/>
  <c r="D9" i="4"/>
  <c r="Q9" i="4" s="1"/>
  <c r="C9" i="4"/>
  <c r="B9" i="4"/>
  <c r="G9" i="4" s="1"/>
  <c r="F8" i="4"/>
  <c r="E8" i="4"/>
  <c r="D8" i="4"/>
  <c r="C8" i="4"/>
  <c r="B8" i="4"/>
  <c r="G8" i="4" s="1"/>
  <c r="B5" i="4"/>
  <c r="A5" i="4"/>
  <c r="B4" i="4"/>
  <c r="A4" i="4"/>
  <c r="B3" i="4"/>
  <c r="A3" i="4"/>
  <c r="A1" i="4"/>
  <c r="P82" i="3"/>
  <c r="O82" i="3"/>
  <c r="N82" i="3"/>
  <c r="M82" i="3"/>
  <c r="L82" i="3"/>
  <c r="K82" i="3"/>
  <c r="J82" i="3"/>
  <c r="I82" i="3"/>
  <c r="H82" i="3"/>
  <c r="G82" i="3"/>
  <c r="B38" i="3" s="1"/>
  <c r="F82" i="3"/>
  <c r="E82" i="3"/>
  <c r="D82" i="3"/>
  <c r="C82" i="3"/>
  <c r="B82" i="3"/>
  <c r="A82" i="3"/>
  <c r="P81" i="3"/>
  <c r="O81" i="3"/>
  <c r="N81" i="3"/>
  <c r="M81" i="3"/>
  <c r="L81" i="3"/>
  <c r="K81" i="3"/>
  <c r="J81" i="3"/>
  <c r="I81" i="3"/>
  <c r="H81" i="3"/>
  <c r="G81" i="3"/>
  <c r="B37" i="3" s="1"/>
  <c r="F81" i="3"/>
  <c r="E81" i="3"/>
  <c r="D81" i="3"/>
  <c r="C81" i="3"/>
  <c r="B81" i="3"/>
  <c r="A81" i="3"/>
  <c r="P80" i="3"/>
  <c r="O80" i="3"/>
  <c r="N80" i="3"/>
  <c r="M80" i="3"/>
  <c r="L80" i="3"/>
  <c r="K80" i="3"/>
  <c r="J80" i="3"/>
  <c r="I80" i="3"/>
  <c r="H80" i="3"/>
  <c r="G80" i="3"/>
  <c r="B36" i="3" s="1"/>
  <c r="F80" i="3"/>
  <c r="E80" i="3"/>
  <c r="D80" i="3"/>
  <c r="C80" i="3"/>
  <c r="B80" i="3"/>
  <c r="A80" i="3"/>
  <c r="P79" i="3"/>
  <c r="O79" i="3"/>
  <c r="N79" i="3"/>
  <c r="M79" i="3"/>
  <c r="L79" i="3"/>
  <c r="K79" i="3"/>
  <c r="J79" i="3"/>
  <c r="I79" i="3"/>
  <c r="H79" i="3"/>
  <c r="G79" i="3"/>
  <c r="B35" i="3" s="1"/>
  <c r="F79" i="3"/>
  <c r="E79" i="3"/>
  <c r="D79" i="3"/>
  <c r="C79" i="3"/>
  <c r="B79" i="3"/>
  <c r="A79" i="3"/>
  <c r="P78" i="3"/>
  <c r="O78" i="3"/>
  <c r="N78" i="3"/>
  <c r="M78" i="3"/>
  <c r="L78" i="3"/>
  <c r="K78" i="3"/>
  <c r="J78" i="3"/>
  <c r="I78" i="3"/>
  <c r="H78" i="3"/>
  <c r="G78" i="3"/>
  <c r="B34" i="3" s="1"/>
  <c r="F78" i="3"/>
  <c r="E78" i="3"/>
  <c r="D78" i="3"/>
  <c r="C78" i="3"/>
  <c r="B78" i="3"/>
  <c r="A78" i="3"/>
  <c r="P77" i="3"/>
  <c r="O77" i="3"/>
  <c r="N77" i="3"/>
  <c r="M77" i="3"/>
  <c r="L77" i="3"/>
  <c r="K77" i="3"/>
  <c r="J77" i="3"/>
  <c r="I77" i="3"/>
  <c r="H77" i="3"/>
  <c r="G77" i="3"/>
  <c r="B33" i="3" s="1"/>
  <c r="F77" i="3"/>
  <c r="E77" i="3"/>
  <c r="D77" i="3"/>
  <c r="C77" i="3"/>
  <c r="B77" i="3"/>
  <c r="A77" i="3"/>
  <c r="P76" i="3"/>
  <c r="O76" i="3"/>
  <c r="N76" i="3"/>
  <c r="M76" i="3"/>
  <c r="L76" i="3"/>
  <c r="K76" i="3"/>
  <c r="J76" i="3"/>
  <c r="I76" i="3"/>
  <c r="H76" i="3"/>
  <c r="G76" i="3"/>
  <c r="B32" i="3" s="1"/>
  <c r="F76" i="3"/>
  <c r="E76" i="3"/>
  <c r="D76" i="3"/>
  <c r="C76" i="3"/>
  <c r="B76" i="3"/>
  <c r="A76" i="3"/>
  <c r="P75" i="3"/>
  <c r="O75" i="3"/>
  <c r="N75" i="3"/>
  <c r="M75" i="3"/>
  <c r="L75" i="3"/>
  <c r="K75" i="3"/>
  <c r="J75" i="3"/>
  <c r="I75" i="3"/>
  <c r="H75" i="3"/>
  <c r="G75" i="3"/>
  <c r="B31" i="3" s="1"/>
  <c r="F75" i="3"/>
  <c r="E75" i="3"/>
  <c r="D75" i="3"/>
  <c r="C75" i="3"/>
  <c r="B75" i="3"/>
  <c r="A75" i="3"/>
  <c r="P74" i="3"/>
  <c r="O74" i="3"/>
  <c r="N74" i="3"/>
  <c r="M74" i="3"/>
  <c r="L74" i="3"/>
  <c r="K74" i="3"/>
  <c r="J74" i="3"/>
  <c r="I74" i="3"/>
  <c r="H74" i="3"/>
  <c r="G74" i="3"/>
  <c r="B30" i="3" s="1"/>
  <c r="F74" i="3"/>
  <c r="E74" i="3"/>
  <c r="D74" i="3"/>
  <c r="C74" i="3"/>
  <c r="B74" i="3"/>
  <c r="A74" i="3"/>
  <c r="P73" i="3"/>
  <c r="O73" i="3"/>
  <c r="N73" i="3"/>
  <c r="M73" i="3"/>
  <c r="L73" i="3"/>
  <c r="K73" i="3"/>
  <c r="J73" i="3"/>
  <c r="I73" i="3"/>
  <c r="H73" i="3"/>
  <c r="G73" i="3"/>
  <c r="B29" i="3" s="1"/>
  <c r="F73" i="3"/>
  <c r="E73" i="3"/>
  <c r="D73" i="3"/>
  <c r="C73" i="3"/>
  <c r="B73" i="3"/>
  <c r="A73" i="3"/>
  <c r="P72" i="3"/>
  <c r="O72" i="3"/>
  <c r="N72" i="3"/>
  <c r="M72" i="3"/>
  <c r="L72" i="3"/>
  <c r="K72" i="3"/>
  <c r="J72" i="3"/>
  <c r="I72" i="3"/>
  <c r="H72" i="3"/>
  <c r="G72" i="3"/>
  <c r="B28" i="3" s="1"/>
  <c r="F72" i="3"/>
  <c r="E72" i="3"/>
  <c r="D72" i="3"/>
  <c r="C72" i="3"/>
  <c r="B72" i="3"/>
  <c r="A72" i="3"/>
  <c r="P71" i="3"/>
  <c r="O71" i="3"/>
  <c r="N71" i="3"/>
  <c r="M71" i="3"/>
  <c r="L71" i="3"/>
  <c r="K71" i="3"/>
  <c r="J71" i="3"/>
  <c r="I71" i="3"/>
  <c r="H71" i="3"/>
  <c r="G71" i="3"/>
  <c r="B27" i="3" s="1"/>
  <c r="F71" i="3"/>
  <c r="E71" i="3"/>
  <c r="D71" i="3"/>
  <c r="C71" i="3"/>
  <c r="B71" i="3"/>
  <c r="A71" i="3"/>
  <c r="P70" i="3"/>
  <c r="O70" i="3"/>
  <c r="N70" i="3"/>
  <c r="M70" i="3"/>
  <c r="L70" i="3"/>
  <c r="K70" i="3"/>
  <c r="J70" i="3"/>
  <c r="I70" i="3"/>
  <c r="H70" i="3"/>
  <c r="G70" i="3"/>
  <c r="B26" i="3" s="1"/>
  <c r="F70" i="3"/>
  <c r="E70" i="3"/>
  <c r="D70" i="3"/>
  <c r="C70" i="3"/>
  <c r="B70" i="3"/>
  <c r="A70" i="3"/>
  <c r="P69" i="3"/>
  <c r="O69" i="3"/>
  <c r="N69" i="3"/>
  <c r="M69" i="3"/>
  <c r="L69" i="3"/>
  <c r="K69" i="3"/>
  <c r="J69" i="3"/>
  <c r="I69" i="3"/>
  <c r="H69" i="3"/>
  <c r="G69" i="3"/>
  <c r="B25" i="3" s="1"/>
  <c r="F69" i="3"/>
  <c r="E69" i="3"/>
  <c r="D69" i="3"/>
  <c r="C69" i="3"/>
  <c r="B69" i="3"/>
  <c r="A69" i="3"/>
  <c r="P68" i="3"/>
  <c r="O68" i="3"/>
  <c r="N68" i="3"/>
  <c r="M68" i="3"/>
  <c r="L68" i="3"/>
  <c r="K68" i="3"/>
  <c r="J68" i="3"/>
  <c r="I68" i="3"/>
  <c r="H68" i="3"/>
  <c r="G68" i="3"/>
  <c r="B24" i="3" s="1"/>
  <c r="F68" i="3"/>
  <c r="E68" i="3"/>
  <c r="D68" i="3"/>
  <c r="C68" i="3"/>
  <c r="B68" i="3"/>
  <c r="A68" i="3"/>
  <c r="P67" i="3"/>
  <c r="O67" i="3"/>
  <c r="N67" i="3"/>
  <c r="M67" i="3"/>
  <c r="L67" i="3"/>
  <c r="K67" i="3"/>
  <c r="J67" i="3"/>
  <c r="I67" i="3"/>
  <c r="H67" i="3"/>
  <c r="G67" i="3"/>
  <c r="B23" i="3" s="1"/>
  <c r="F67" i="3"/>
  <c r="E67" i="3"/>
  <c r="D67" i="3"/>
  <c r="C67" i="3"/>
  <c r="B67" i="3"/>
  <c r="A67" i="3"/>
  <c r="P66" i="3"/>
  <c r="O66" i="3"/>
  <c r="N66" i="3"/>
  <c r="M66" i="3"/>
  <c r="L66" i="3"/>
  <c r="K66" i="3"/>
  <c r="J66" i="3"/>
  <c r="I66" i="3"/>
  <c r="H66" i="3"/>
  <c r="G66" i="3"/>
  <c r="F66" i="3"/>
  <c r="E66" i="3"/>
  <c r="D66" i="3"/>
  <c r="C66" i="3"/>
  <c r="B66" i="3"/>
  <c r="A66" i="3"/>
  <c r="P65" i="3"/>
  <c r="O65" i="3"/>
  <c r="N65" i="3"/>
  <c r="M65" i="3"/>
  <c r="L65" i="3"/>
  <c r="K65" i="3"/>
  <c r="J65" i="3"/>
  <c r="I65" i="3"/>
  <c r="H65" i="3"/>
  <c r="G65" i="3"/>
  <c r="B21" i="3" s="1"/>
  <c r="F65" i="3"/>
  <c r="E65" i="3"/>
  <c r="D65" i="3"/>
  <c r="C65" i="3"/>
  <c r="B65" i="3"/>
  <c r="A65" i="3"/>
  <c r="P64" i="3"/>
  <c r="O64" i="3"/>
  <c r="N64" i="3"/>
  <c r="M64" i="3"/>
  <c r="L64" i="3"/>
  <c r="K64" i="3"/>
  <c r="J64" i="3"/>
  <c r="I64" i="3"/>
  <c r="H64" i="3"/>
  <c r="G64" i="3"/>
  <c r="B20" i="3" s="1"/>
  <c r="F64" i="3"/>
  <c r="E64" i="3"/>
  <c r="D64" i="3"/>
  <c r="C64" i="3"/>
  <c r="B64" i="3"/>
  <c r="A64" i="3"/>
  <c r="P63" i="3"/>
  <c r="O63" i="3"/>
  <c r="N63" i="3"/>
  <c r="M63" i="3"/>
  <c r="L63" i="3"/>
  <c r="K63" i="3"/>
  <c r="J63" i="3"/>
  <c r="I63" i="3"/>
  <c r="H63" i="3"/>
  <c r="G63" i="3"/>
  <c r="B19" i="3" s="1"/>
  <c r="F63" i="3"/>
  <c r="E63" i="3"/>
  <c r="D63" i="3"/>
  <c r="C63" i="3"/>
  <c r="B63" i="3"/>
  <c r="A63" i="3"/>
  <c r="P62" i="3"/>
  <c r="O62" i="3"/>
  <c r="N62" i="3"/>
  <c r="M62" i="3"/>
  <c r="L62" i="3"/>
  <c r="K62" i="3"/>
  <c r="J62" i="3"/>
  <c r="I62" i="3"/>
  <c r="H62" i="3"/>
  <c r="G62" i="3"/>
  <c r="B18" i="3" s="1"/>
  <c r="F62" i="3"/>
  <c r="E62" i="3"/>
  <c r="D62" i="3"/>
  <c r="C62" i="3"/>
  <c r="B62" i="3"/>
  <c r="A62" i="3"/>
  <c r="P61" i="3"/>
  <c r="O61" i="3"/>
  <c r="N61" i="3"/>
  <c r="M61" i="3"/>
  <c r="L61" i="3"/>
  <c r="K61" i="3"/>
  <c r="J61" i="3"/>
  <c r="I61" i="3"/>
  <c r="H61" i="3"/>
  <c r="G61" i="3"/>
  <c r="B17" i="3" s="1"/>
  <c r="F61" i="3"/>
  <c r="E61" i="3"/>
  <c r="D61" i="3"/>
  <c r="C61" i="3"/>
  <c r="B61" i="3"/>
  <c r="A61" i="3"/>
  <c r="P60" i="3"/>
  <c r="O60" i="3"/>
  <c r="N60" i="3"/>
  <c r="M60" i="3"/>
  <c r="L60" i="3"/>
  <c r="K60" i="3"/>
  <c r="J60" i="3"/>
  <c r="I60" i="3"/>
  <c r="H60" i="3"/>
  <c r="G60" i="3"/>
  <c r="B16" i="3" s="1"/>
  <c r="F60" i="3"/>
  <c r="E60" i="3"/>
  <c r="D60" i="3"/>
  <c r="C60" i="3"/>
  <c r="B60" i="3"/>
  <c r="A60" i="3"/>
  <c r="P59" i="3"/>
  <c r="O59" i="3"/>
  <c r="N59" i="3"/>
  <c r="M59" i="3"/>
  <c r="L59" i="3"/>
  <c r="K59" i="3"/>
  <c r="J59" i="3"/>
  <c r="I59" i="3"/>
  <c r="H59" i="3"/>
  <c r="G59" i="3"/>
  <c r="B15" i="3" s="1"/>
  <c r="F59" i="3"/>
  <c r="E59" i="3"/>
  <c r="D59" i="3"/>
  <c r="C59" i="3"/>
  <c r="B59" i="3"/>
  <c r="A59" i="3"/>
  <c r="P58" i="3"/>
  <c r="O58" i="3"/>
  <c r="N58" i="3"/>
  <c r="M58" i="3"/>
  <c r="L58" i="3"/>
  <c r="K58" i="3"/>
  <c r="J58" i="3"/>
  <c r="I58" i="3"/>
  <c r="H58" i="3"/>
  <c r="G58" i="3"/>
  <c r="B14" i="3" s="1"/>
  <c r="F58" i="3"/>
  <c r="E58" i="3"/>
  <c r="D58" i="3"/>
  <c r="C58" i="3"/>
  <c r="B58" i="3"/>
  <c r="A58" i="3"/>
  <c r="P57" i="3"/>
  <c r="O57" i="3"/>
  <c r="N57" i="3"/>
  <c r="M57" i="3"/>
  <c r="L57" i="3"/>
  <c r="K57" i="3"/>
  <c r="J57" i="3"/>
  <c r="I57" i="3"/>
  <c r="H57" i="3"/>
  <c r="G57" i="3"/>
  <c r="B13" i="3" s="1"/>
  <c r="F57" i="3"/>
  <c r="E57" i="3"/>
  <c r="D57" i="3"/>
  <c r="C57" i="3"/>
  <c r="B57" i="3"/>
  <c r="A57" i="3"/>
  <c r="P56" i="3"/>
  <c r="O56" i="3"/>
  <c r="N56" i="3"/>
  <c r="M56" i="3"/>
  <c r="L56" i="3"/>
  <c r="K56" i="3"/>
  <c r="J56" i="3"/>
  <c r="I56" i="3"/>
  <c r="H56" i="3"/>
  <c r="G56" i="3"/>
  <c r="B12" i="3" s="1"/>
  <c r="F56" i="3"/>
  <c r="E56" i="3"/>
  <c r="D56" i="3"/>
  <c r="C56" i="3"/>
  <c r="B56" i="3"/>
  <c r="A56" i="3"/>
  <c r="P55" i="3"/>
  <c r="O55" i="3"/>
  <c r="N55" i="3"/>
  <c r="M55" i="3"/>
  <c r="L55" i="3"/>
  <c r="K55" i="3"/>
  <c r="J55" i="3"/>
  <c r="I55" i="3"/>
  <c r="H55" i="3"/>
  <c r="G55" i="3"/>
  <c r="B11" i="3" s="1"/>
  <c r="F55" i="3"/>
  <c r="E55" i="3"/>
  <c r="D55" i="3"/>
  <c r="C55" i="3"/>
  <c r="B55" i="3"/>
  <c r="A55" i="3"/>
  <c r="P54" i="3"/>
  <c r="O54" i="3"/>
  <c r="N54" i="3"/>
  <c r="M54" i="3"/>
  <c r="L54" i="3"/>
  <c r="K54" i="3"/>
  <c r="J54" i="3"/>
  <c r="I54" i="3"/>
  <c r="H54" i="3"/>
  <c r="G54" i="3"/>
  <c r="B10" i="3" s="1"/>
  <c r="F54" i="3"/>
  <c r="E54" i="3"/>
  <c r="D54" i="3"/>
  <c r="C54" i="3"/>
  <c r="B54" i="3"/>
  <c r="A54" i="3"/>
  <c r="P53" i="3"/>
  <c r="O53" i="3"/>
  <c r="N53" i="3"/>
  <c r="M53" i="3"/>
  <c r="L53" i="3"/>
  <c r="K53" i="3"/>
  <c r="J53" i="3"/>
  <c r="I53" i="3"/>
  <c r="H53" i="3"/>
  <c r="G53" i="3"/>
  <c r="B9" i="3" s="1"/>
  <c r="F53" i="3"/>
  <c r="E53" i="3"/>
  <c r="D53" i="3"/>
  <c r="C53" i="3"/>
  <c r="B53" i="3"/>
  <c r="A53" i="3"/>
  <c r="P52" i="3"/>
  <c r="O52" i="3"/>
  <c r="N52" i="3"/>
  <c r="M52" i="3"/>
  <c r="L52" i="3"/>
  <c r="K52" i="3"/>
  <c r="J52" i="3"/>
  <c r="I52" i="3"/>
  <c r="H52" i="3"/>
  <c r="G52" i="3"/>
  <c r="B8" i="3" s="1"/>
  <c r="F52" i="3"/>
  <c r="E52" i="3"/>
  <c r="D52" i="3"/>
  <c r="C52" i="3"/>
  <c r="B52" i="3"/>
  <c r="A52" i="3"/>
  <c r="P51" i="3"/>
  <c r="O51" i="3"/>
  <c r="N51" i="3"/>
  <c r="M51" i="3"/>
  <c r="L51" i="3"/>
  <c r="K51" i="3"/>
  <c r="J51" i="3"/>
  <c r="I51" i="3"/>
  <c r="H51" i="3"/>
  <c r="G51" i="3"/>
  <c r="F51" i="3"/>
  <c r="E51" i="3"/>
  <c r="D51" i="3"/>
  <c r="C51" i="3"/>
  <c r="B51" i="3"/>
  <c r="A51" i="3"/>
  <c r="S38" i="3"/>
  <c r="E38" i="3"/>
  <c r="D38" i="3"/>
  <c r="C38" i="3"/>
  <c r="S37" i="3"/>
  <c r="E37" i="3"/>
  <c r="D37" i="3"/>
  <c r="C37" i="3"/>
  <c r="S36" i="3"/>
  <c r="E36" i="3"/>
  <c r="D36" i="3"/>
  <c r="C36" i="3"/>
  <c r="Q35" i="3"/>
  <c r="F35" i="3"/>
  <c r="E35" i="3"/>
  <c r="C35" i="3"/>
  <c r="Q34" i="3"/>
  <c r="F34" i="3"/>
  <c r="E34" i="3"/>
  <c r="C34" i="3"/>
  <c r="Q33" i="3"/>
  <c r="F33" i="3"/>
  <c r="E33" i="3"/>
  <c r="C33" i="3"/>
  <c r="Q32" i="3"/>
  <c r="F32" i="3"/>
  <c r="E32" i="3"/>
  <c r="C32" i="3"/>
  <c r="F31" i="3"/>
  <c r="E31" i="3"/>
  <c r="D31" i="3"/>
  <c r="C31" i="3"/>
  <c r="F30" i="3"/>
  <c r="E30" i="3"/>
  <c r="D30" i="3"/>
  <c r="C30" i="3"/>
  <c r="F29" i="3"/>
  <c r="E29" i="3"/>
  <c r="D29" i="3"/>
  <c r="C29" i="3"/>
  <c r="F28" i="3"/>
  <c r="E28" i="3"/>
  <c r="D28" i="3"/>
  <c r="C28" i="3"/>
  <c r="F27" i="3"/>
  <c r="E27" i="3"/>
  <c r="D27" i="3"/>
  <c r="C27" i="3"/>
  <c r="F26" i="3"/>
  <c r="E26" i="3"/>
  <c r="D26" i="3"/>
  <c r="C26" i="3"/>
  <c r="F25" i="3"/>
  <c r="E25" i="3"/>
  <c r="D25" i="3"/>
  <c r="C25" i="3"/>
  <c r="F24" i="3"/>
  <c r="E24" i="3"/>
  <c r="D24" i="3"/>
  <c r="C24" i="3"/>
  <c r="F23" i="3"/>
  <c r="E23" i="3"/>
  <c r="D23" i="3"/>
  <c r="C23" i="3"/>
  <c r="F22" i="3"/>
  <c r="E22" i="3"/>
  <c r="D22" i="3"/>
  <c r="C22" i="3"/>
  <c r="B22" i="3"/>
  <c r="F21" i="3"/>
  <c r="E21" i="3"/>
  <c r="D21" i="3"/>
  <c r="C21" i="3"/>
  <c r="F20" i="3"/>
  <c r="E20" i="3"/>
  <c r="D20" i="3"/>
  <c r="C20" i="3"/>
  <c r="F19" i="3"/>
  <c r="E19" i="3"/>
  <c r="D19" i="3"/>
  <c r="C19" i="3"/>
  <c r="F18" i="3"/>
  <c r="E18" i="3"/>
  <c r="D18" i="3"/>
  <c r="C18" i="3"/>
  <c r="F17" i="3"/>
  <c r="E17" i="3"/>
  <c r="D17" i="3"/>
  <c r="C17" i="3"/>
  <c r="F16" i="3"/>
  <c r="E16" i="3"/>
  <c r="D16" i="3"/>
  <c r="C16" i="3"/>
  <c r="F15" i="3"/>
  <c r="E15" i="3"/>
  <c r="D15" i="3"/>
  <c r="C15" i="3"/>
  <c r="F14" i="3"/>
  <c r="E14" i="3"/>
  <c r="D14" i="3"/>
  <c r="C14" i="3"/>
  <c r="F13" i="3"/>
  <c r="E13" i="3"/>
  <c r="D13" i="3"/>
  <c r="C13" i="3"/>
  <c r="F12" i="3"/>
  <c r="E12" i="3"/>
  <c r="D12" i="3"/>
  <c r="C12" i="3"/>
  <c r="F11" i="3"/>
  <c r="E11" i="3"/>
  <c r="D11" i="3"/>
  <c r="C11" i="3"/>
  <c r="F10" i="3"/>
  <c r="E10" i="3"/>
  <c r="D10" i="3"/>
  <c r="C10" i="3"/>
  <c r="F9" i="3"/>
  <c r="E9" i="3"/>
  <c r="D9" i="3"/>
  <c r="C9" i="3"/>
  <c r="F8" i="3"/>
  <c r="E8" i="3"/>
  <c r="D8" i="3"/>
  <c r="C8" i="3"/>
  <c r="B5" i="3"/>
  <c r="A5" i="3"/>
  <c r="B4" i="3"/>
  <c r="A4" i="3"/>
  <c r="B3" i="3"/>
  <c r="A3" i="3"/>
  <c r="A1" i="3"/>
  <c r="M38" i="2"/>
  <c r="F38" i="2"/>
  <c r="I38" i="2" s="1"/>
  <c r="E38" i="2"/>
  <c r="D38" i="2"/>
  <c r="C38" i="2"/>
  <c r="B38" i="2"/>
  <c r="G38" i="2" s="1"/>
  <c r="F37" i="2"/>
  <c r="E37" i="2"/>
  <c r="D37" i="2"/>
  <c r="C37" i="2"/>
  <c r="B37" i="2"/>
  <c r="M37" i="2" s="1"/>
  <c r="F36" i="2"/>
  <c r="E36" i="2"/>
  <c r="D36" i="2"/>
  <c r="C36" i="2"/>
  <c r="M36" i="2" s="1"/>
  <c r="B36" i="2"/>
  <c r="F35" i="2"/>
  <c r="E35" i="2"/>
  <c r="D35" i="2"/>
  <c r="C35" i="2"/>
  <c r="B35" i="2"/>
  <c r="F34" i="2"/>
  <c r="E34" i="2"/>
  <c r="D34" i="2"/>
  <c r="C34" i="2"/>
  <c r="B34" i="2"/>
  <c r="R33" i="2"/>
  <c r="F33" i="2"/>
  <c r="D33" i="2"/>
  <c r="C33" i="2"/>
  <c r="B33" i="2"/>
  <c r="R32" i="2"/>
  <c r="F32" i="2"/>
  <c r="D32" i="2"/>
  <c r="C32" i="2"/>
  <c r="B32" i="2"/>
  <c r="R31" i="2"/>
  <c r="F31" i="2"/>
  <c r="D31" i="2"/>
  <c r="C31" i="2"/>
  <c r="B31" i="2"/>
  <c r="R30" i="2"/>
  <c r="F30" i="2"/>
  <c r="D30" i="2"/>
  <c r="C30" i="2"/>
  <c r="B30" i="2"/>
  <c r="R29" i="2"/>
  <c r="F29" i="2"/>
  <c r="D29" i="2"/>
  <c r="C29" i="2"/>
  <c r="B29" i="2"/>
  <c r="R28" i="2"/>
  <c r="F28" i="2"/>
  <c r="D28" i="2"/>
  <c r="C28" i="2"/>
  <c r="B28" i="2"/>
  <c r="F27" i="2"/>
  <c r="E27" i="2"/>
  <c r="D27" i="2"/>
  <c r="C27" i="2"/>
  <c r="B27" i="2"/>
  <c r="R26" i="2"/>
  <c r="F26" i="2"/>
  <c r="D26" i="2"/>
  <c r="C26" i="2"/>
  <c r="B26" i="2"/>
  <c r="R25" i="2"/>
  <c r="I25" i="2"/>
  <c r="F25" i="2"/>
  <c r="D25" i="2"/>
  <c r="C25" i="2"/>
  <c r="B25" i="2"/>
  <c r="I24" i="2"/>
  <c r="F24" i="2"/>
  <c r="E24" i="2"/>
  <c r="D24" i="2"/>
  <c r="C24" i="2"/>
  <c r="B24" i="2"/>
  <c r="F23" i="2"/>
  <c r="E23" i="2"/>
  <c r="D23" i="2"/>
  <c r="C23" i="2"/>
  <c r="B23" i="2"/>
  <c r="F22" i="2"/>
  <c r="E22" i="2"/>
  <c r="D22" i="2"/>
  <c r="C22" i="2"/>
  <c r="B22" i="2"/>
  <c r="L21" i="2"/>
  <c r="B21" i="5" s="1"/>
  <c r="F21" i="2"/>
  <c r="S21" i="2" s="1"/>
  <c r="E21" i="2"/>
  <c r="D21" i="2"/>
  <c r="G21" i="2" s="1"/>
  <c r="C21" i="2"/>
  <c r="B21" i="2"/>
  <c r="F20" i="2"/>
  <c r="E20" i="2"/>
  <c r="D20" i="2"/>
  <c r="C20" i="2"/>
  <c r="B20" i="2"/>
  <c r="F19" i="2"/>
  <c r="E19" i="2"/>
  <c r="D19" i="2"/>
  <c r="C19" i="2"/>
  <c r="B19" i="2"/>
  <c r="M19" i="2" s="1"/>
  <c r="F18" i="2"/>
  <c r="E18" i="2"/>
  <c r="D18" i="2"/>
  <c r="C18" i="2"/>
  <c r="I18" i="2" s="1"/>
  <c r="B18" i="2"/>
  <c r="F17" i="2"/>
  <c r="E17" i="2"/>
  <c r="D17" i="2"/>
  <c r="C17" i="2"/>
  <c r="B17" i="2"/>
  <c r="F16" i="2"/>
  <c r="S16" i="2" s="1"/>
  <c r="E16" i="2"/>
  <c r="R16" i="2" s="1"/>
  <c r="D16" i="2"/>
  <c r="C16" i="2"/>
  <c r="B16" i="2"/>
  <c r="G16" i="2" s="1"/>
  <c r="F15" i="2"/>
  <c r="E15" i="2"/>
  <c r="D15" i="2"/>
  <c r="C15" i="2"/>
  <c r="B15" i="2"/>
  <c r="F14" i="2"/>
  <c r="E14" i="2"/>
  <c r="D14" i="2"/>
  <c r="C14" i="2"/>
  <c r="I14" i="2" s="1"/>
  <c r="B14" i="2"/>
  <c r="F13" i="2"/>
  <c r="E13" i="2"/>
  <c r="D13" i="2"/>
  <c r="C13" i="2"/>
  <c r="B13" i="2"/>
  <c r="F12" i="2"/>
  <c r="E12" i="2"/>
  <c r="D12" i="2"/>
  <c r="C12" i="2"/>
  <c r="B12" i="2"/>
  <c r="F11" i="2"/>
  <c r="E11" i="2"/>
  <c r="D11" i="2"/>
  <c r="C11" i="2"/>
  <c r="B11" i="2"/>
  <c r="F10" i="2"/>
  <c r="E10" i="2"/>
  <c r="D10" i="2"/>
  <c r="G10" i="2" s="1"/>
  <c r="C10" i="2"/>
  <c r="B10" i="2"/>
  <c r="F9" i="2"/>
  <c r="E9" i="2"/>
  <c r="D9" i="2"/>
  <c r="C9" i="2"/>
  <c r="B9" i="2"/>
  <c r="M9" i="2" s="1"/>
  <c r="F8" i="2"/>
  <c r="E8" i="2"/>
  <c r="D8" i="2"/>
  <c r="C8" i="2"/>
  <c r="B8" i="2"/>
  <c r="G8" i="2" s="1"/>
  <c r="B6" i="2"/>
  <c r="D48" i="1"/>
  <c r="F33" i="5" s="1"/>
  <c r="P34" i="1"/>
  <c r="Q34" i="1" s="1"/>
  <c r="Q33" i="1"/>
  <c r="P33" i="1"/>
  <c r="P32" i="1"/>
  <c r="Q32" i="1" s="1"/>
  <c r="P31" i="1"/>
  <c r="Q31" i="1" s="1"/>
  <c r="P30" i="1"/>
  <c r="Q30" i="1" s="1"/>
  <c r="P29" i="1"/>
  <c r="Q29" i="1" s="1"/>
  <c r="P28" i="1"/>
  <c r="Q28" i="1" s="1"/>
  <c r="Q27" i="1"/>
  <c r="P27" i="1"/>
  <c r="P26" i="1"/>
  <c r="Q26" i="1" s="1"/>
  <c r="Q25" i="1"/>
  <c r="P25" i="1"/>
  <c r="P24" i="1"/>
  <c r="Q24" i="1" s="1"/>
  <c r="P23" i="1"/>
  <c r="Q23" i="1" s="1"/>
  <c r="Q22" i="1"/>
  <c r="P22" i="1"/>
  <c r="P21" i="1"/>
  <c r="Q21" i="1" s="1"/>
  <c r="P20" i="1"/>
  <c r="Q20" i="1" s="1"/>
  <c r="Q19" i="1"/>
  <c r="P19" i="1"/>
  <c r="B19" i="1"/>
  <c r="C19" i="1" s="1"/>
  <c r="Q18" i="1"/>
  <c r="P18" i="1"/>
  <c r="P17" i="1"/>
  <c r="Q17" i="1" s="1"/>
  <c r="Q16" i="1"/>
  <c r="P16" i="1"/>
  <c r="Q15" i="1"/>
  <c r="P15" i="1"/>
  <c r="P14" i="1"/>
  <c r="Q14" i="1" s="1"/>
  <c r="B14" i="1"/>
  <c r="B16" i="1" s="1"/>
  <c r="D47" i="1" s="1"/>
  <c r="P13" i="1"/>
  <c r="Q13" i="1" s="1"/>
  <c r="P12" i="1"/>
  <c r="Q12" i="1" s="1"/>
  <c r="P11" i="1"/>
  <c r="Q11" i="1" s="1"/>
  <c r="I11" i="1"/>
  <c r="H11" i="1"/>
  <c r="G11" i="1"/>
  <c r="E3" i="2" s="1"/>
  <c r="F11" i="1"/>
  <c r="P10" i="1"/>
  <c r="Q10" i="1" s="1"/>
  <c r="P9" i="1"/>
  <c r="Q9" i="1" s="1"/>
  <c r="I9" i="1"/>
  <c r="H9" i="1"/>
  <c r="G9" i="1"/>
  <c r="F9" i="1"/>
  <c r="P8" i="1"/>
  <c r="Q8" i="1" s="1"/>
  <c r="Q7" i="1"/>
  <c r="P7" i="1"/>
  <c r="I7" i="1"/>
  <c r="H7" i="1"/>
  <c r="G7" i="1"/>
  <c r="F7" i="1"/>
  <c r="P6" i="1"/>
  <c r="Q6" i="1" s="1"/>
  <c r="Q5" i="1"/>
  <c r="P5" i="1"/>
  <c r="M4" i="5"/>
  <c r="M27" i="5"/>
  <c r="M11" i="5"/>
  <c r="M26" i="5"/>
  <c r="M10" i="5"/>
  <c r="M25" i="5"/>
  <c r="M9" i="5"/>
  <c r="M30" i="5"/>
  <c r="M24" i="5"/>
  <c r="M8" i="5"/>
  <c r="M23" i="5"/>
  <c r="M7" i="5"/>
  <c r="M22" i="5"/>
  <c r="M6" i="5"/>
  <c r="M21" i="5"/>
  <c r="M5" i="5"/>
  <c r="M20" i="5"/>
  <c r="M14" i="5"/>
  <c r="M19" i="5"/>
  <c r="M18" i="5"/>
  <c r="M17" i="5"/>
  <c r="M16" i="5"/>
  <c r="M15" i="5"/>
  <c r="M29" i="5"/>
  <c r="M13" i="5"/>
  <c r="M28" i="5"/>
  <c r="M12" i="5"/>
  <c r="B13" i="7" l="1"/>
  <c r="B29" i="7"/>
  <c r="B14" i="7"/>
  <c r="B30" i="7"/>
  <c r="B16" i="7"/>
  <c r="B17" i="7"/>
  <c r="B18" i="7"/>
  <c r="B19" i="7"/>
  <c r="B20" i="7"/>
  <c r="B15" i="7"/>
  <c r="B21" i="7"/>
  <c r="B6" i="7"/>
  <c r="B22" i="7"/>
  <c r="B7" i="7"/>
  <c r="B23" i="7"/>
  <c r="B8" i="7"/>
  <c r="B24" i="7"/>
  <c r="B9" i="7"/>
  <c r="B25" i="7"/>
  <c r="B31" i="7"/>
  <c r="B10" i="7"/>
  <c r="B26" i="7"/>
  <c r="B11" i="7"/>
  <c r="B27" i="7"/>
  <c r="B12" i="7"/>
  <c r="B28" i="7"/>
  <c r="B5" i="7"/>
  <c r="B52" i="1"/>
  <c r="L10" i="2"/>
  <c r="B32" i="5" s="1"/>
  <c r="H10" i="2"/>
  <c r="J10" i="2" s="1"/>
  <c r="P10" i="2"/>
  <c r="O10" i="2"/>
  <c r="K10" i="2"/>
  <c r="F32" i="5"/>
  <c r="D46" i="1"/>
  <c r="M23" i="2"/>
  <c r="G19" i="5" s="1"/>
  <c r="H19" i="5" s="1"/>
  <c r="I23" i="2"/>
  <c r="G23" i="2"/>
  <c r="R23" i="2" s="1"/>
  <c r="R10" i="2"/>
  <c r="I13" i="2"/>
  <c r="G13" i="2"/>
  <c r="G14" i="2"/>
  <c r="L16" i="2"/>
  <c r="B26" i="5" s="1"/>
  <c r="K16" i="2"/>
  <c r="H16" i="2"/>
  <c r="J16" i="2" s="1"/>
  <c r="P21" i="2"/>
  <c r="H21" i="2"/>
  <c r="J21" i="2" s="1"/>
  <c r="O38" i="2"/>
  <c r="L38" i="2"/>
  <c r="B4" i="5" s="1"/>
  <c r="K38" i="2"/>
  <c r="H38" i="2"/>
  <c r="J38" i="2" s="1"/>
  <c r="R38" i="2"/>
  <c r="P38" i="2"/>
  <c r="S20" i="3"/>
  <c r="R28" i="3"/>
  <c r="G8" i="3"/>
  <c r="O9" i="3"/>
  <c r="M9" i="3"/>
  <c r="I9" i="3"/>
  <c r="G9" i="3"/>
  <c r="M10" i="3"/>
  <c r="I10" i="3"/>
  <c r="G10" i="3"/>
  <c r="M11" i="3"/>
  <c r="I11" i="3"/>
  <c r="G11" i="3"/>
  <c r="M12" i="3"/>
  <c r="I12" i="3"/>
  <c r="G12" i="3"/>
  <c r="I13" i="3"/>
  <c r="G13" i="3"/>
  <c r="O13" i="3"/>
  <c r="M13" i="3"/>
  <c r="I14" i="3"/>
  <c r="G14" i="3"/>
  <c r="O14" i="3"/>
  <c r="M14" i="3"/>
  <c r="I15" i="3"/>
  <c r="G15" i="3"/>
  <c r="O15" i="3"/>
  <c r="M15" i="3"/>
  <c r="I16" i="3"/>
  <c r="G16" i="3"/>
  <c r="O16" i="3"/>
  <c r="M16" i="3"/>
  <c r="G17" i="3"/>
  <c r="O17" i="3" s="1"/>
  <c r="M17" i="3"/>
  <c r="I17" i="3"/>
  <c r="G18" i="3"/>
  <c r="O18" i="3" s="1"/>
  <c r="M18" i="3"/>
  <c r="I18" i="3"/>
  <c r="M19" i="3"/>
  <c r="G23" i="5" s="1"/>
  <c r="H23" i="5" s="1"/>
  <c r="I19" i="3"/>
  <c r="G19" i="3"/>
  <c r="O20" i="3"/>
  <c r="M20" i="3"/>
  <c r="I20" i="3"/>
  <c r="G20" i="3"/>
  <c r="R20" i="3" s="1"/>
  <c r="O21" i="3"/>
  <c r="M21" i="3"/>
  <c r="I21" i="3"/>
  <c r="G21" i="3"/>
  <c r="M23" i="3"/>
  <c r="I23" i="3"/>
  <c r="G23" i="3"/>
  <c r="O24" i="3"/>
  <c r="M24" i="3"/>
  <c r="I24" i="3"/>
  <c r="G24" i="3"/>
  <c r="O25" i="3"/>
  <c r="M25" i="3"/>
  <c r="I25" i="3"/>
  <c r="G25" i="3"/>
  <c r="O26" i="3"/>
  <c r="M26" i="3"/>
  <c r="I26" i="3"/>
  <c r="G26" i="3"/>
  <c r="M27" i="3"/>
  <c r="I27" i="3"/>
  <c r="G27" i="3"/>
  <c r="M28" i="3"/>
  <c r="I28" i="3"/>
  <c r="G28" i="3"/>
  <c r="O28" i="3" s="1"/>
  <c r="I29" i="3"/>
  <c r="G29" i="3"/>
  <c r="O29" i="3"/>
  <c r="M29" i="3"/>
  <c r="I30" i="3"/>
  <c r="G30" i="3"/>
  <c r="O30" i="3"/>
  <c r="M30" i="3"/>
  <c r="I31" i="3"/>
  <c r="G31" i="3"/>
  <c r="O31" i="3"/>
  <c r="M31" i="3"/>
  <c r="I32" i="3"/>
  <c r="G32" i="3"/>
  <c r="O32" i="3"/>
  <c r="M32" i="3"/>
  <c r="I33" i="3"/>
  <c r="G33" i="3"/>
  <c r="O33" i="3"/>
  <c r="M33" i="3"/>
  <c r="I34" i="3"/>
  <c r="G34" i="3"/>
  <c r="O34" i="3"/>
  <c r="M34" i="3"/>
  <c r="I35" i="3"/>
  <c r="G35" i="3"/>
  <c r="O35" i="3"/>
  <c r="M35" i="3"/>
  <c r="I36" i="3"/>
  <c r="G36" i="3"/>
  <c r="O36" i="3"/>
  <c r="M36" i="3"/>
  <c r="I37" i="3"/>
  <c r="G37" i="3"/>
  <c r="O37" i="3"/>
  <c r="M37" i="3"/>
  <c r="I38" i="3"/>
  <c r="G38" i="3"/>
  <c r="O38" i="3"/>
  <c r="M38" i="3"/>
  <c r="K26" i="4"/>
  <c r="I26" i="4"/>
  <c r="H26" i="4"/>
  <c r="J26" i="4" s="1"/>
  <c r="O26" i="4"/>
  <c r="L26" i="4"/>
  <c r="D16" i="5" s="1"/>
  <c r="R33" i="4"/>
  <c r="O33" i="4"/>
  <c r="L33" i="4"/>
  <c r="D9" i="5" s="1"/>
  <c r="K33" i="4"/>
  <c r="I33" i="4"/>
  <c r="H33" i="4"/>
  <c r="J33" i="4" s="1"/>
  <c r="S10" i="2"/>
  <c r="M16" i="2"/>
  <c r="R21" i="2"/>
  <c r="P17" i="3"/>
  <c r="P21" i="3"/>
  <c r="S28" i="3"/>
  <c r="I11" i="4"/>
  <c r="H11" i="4"/>
  <c r="J11" i="4" s="1"/>
  <c r="S11" i="4"/>
  <c r="R11" i="4"/>
  <c r="L11" i="4"/>
  <c r="D31" i="5" s="1"/>
  <c r="K11" i="4"/>
  <c r="P26" i="4"/>
  <c r="P33" i="4"/>
  <c r="Q38" i="2"/>
  <c r="Q13" i="3"/>
  <c r="Q21" i="3"/>
  <c r="P33" i="3"/>
  <c r="P11" i="4"/>
  <c r="Q26" i="4"/>
  <c r="Q33" i="4"/>
  <c r="I10" i="2"/>
  <c r="M18" i="2"/>
  <c r="G24" i="5" s="1"/>
  <c r="H24" i="5" s="1"/>
  <c r="K21" i="2"/>
  <c r="O29" i="2"/>
  <c r="R13" i="3"/>
  <c r="R21" i="3"/>
  <c r="Q37" i="3"/>
  <c r="R26" i="4"/>
  <c r="S9" i="3"/>
  <c r="S13" i="3"/>
  <c r="R29" i="3"/>
  <c r="S17" i="4"/>
  <c r="O23" i="4"/>
  <c r="L23" i="4"/>
  <c r="D19" i="5" s="1"/>
  <c r="K23" i="4"/>
  <c r="I23" i="4"/>
  <c r="H23" i="4"/>
  <c r="J23" i="4" s="1"/>
  <c r="R23" i="4"/>
  <c r="Q23" i="4"/>
  <c r="P23" i="4"/>
  <c r="G27" i="4"/>
  <c r="R30" i="4"/>
  <c r="Q30" i="4"/>
  <c r="P30" i="4"/>
  <c r="O30" i="4"/>
  <c r="L30" i="4"/>
  <c r="D12" i="5" s="1"/>
  <c r="K30" i="4"/>
  <c r="I30" i="4"/>
  <c r="H30" i="4"/>
  <c r="J30" i="4" s="1"/>
  <c r="M10" i="2"/>
  <c r="I16" i="2"/>
  <c r="O21" i="2"/>
  <c r="G4" i="5"/>
  <c r="H4" i="5" s="1"/>
  <c r="P14" i="3"/>
  <c r="S29" i="3"/>
  <c r="R14" i="4"/>
  <c r="Q14" i="4"/>
  <c r="P14" i="4"/>
  <c r="O14" i="4"/>
  <c r="L14" i="4"/>
  <c r="D28" i="5" s="1"/>
  <c r="K14" i="4"/>
  <c r="I14" i="4"/>
  <c r="H14" i="4"/>
  <c r="J14" i="4" s="1"/>
  <c r="P27" i="4"/>
  <c r="G9" i="2"/>
  <c r="S9" i="2" s="1"/>
  <c r="I9" i="2"/>
  <c r="Q12" i="2"/>
  <c r="M15" i="2"/>
  <c r="I15" i="2"/>
  <c r="G15" i="2"/>
  <c r="Q15" i="2" s="1"/>
  <c r="O15" i="2"/>
  <c r="P16" i="2"/>
  <c r="Q21" i="2"/>
  <c r="Q14" i="3"/>
  <c r="Q18" i="3"/>
  <c r="P22" i="3"/>
  <c r="P30" i="3"/>
  <c r="P34" i="3"/>
  <c r="P38" i="3"/>
  <c r="L9" i="4"/>
  <c r="D33" i="5" s="1"/>
  <c r="K9" i="4"/>
  <c r="I9" i="4"/>
  <c r="H9" i="4"/>
  <c r="J9" i="4" s="1"/>
  <c r="P9" i="4"/>
  <c r="O9" i="4"/>
  <c r="I12" i="4"/>
  <c r="H12" i="4"/>
  <c r="J12" i="4" s="1"/>
  <c r="S12" i="4"/>
  <c r="R12" i="4"/>
  <c r="Q12" i="4"/>
  <c r="L12" i="4"/>
  <c r="D30" i="5" s="1"/>
  <c r="K12" i="4"/>
  <c r="Q27" i="4"/>
  <c r="Q31" i="4"/>
  <c r="P31" i="4"/>
  <c r="O31" i="4"/>
  <c r="L31" i="4"/>
  <c r="D11" i="5" s="1"/>
  <c r="K31" i="4"/>
  <c r="I31" i="4"/>
  <c r="H31" i="4"/>
  <c r="J31" i="4" s="1"/>
  <c r="F22" i="6"/>
  <c r="F25" i="6" s="1"/>
  <c r="F17" i="6"/>
  <c r="F19" i="6" s="1"/>
  <c r="F21" i="6" s="1"/>
  <c r="F23" i="6" s="1"/>
  <c r="F24" i="6" s="1"/>
  <c r="P15" i="2"/>
  <c r="Q16" i="2"/>
  <c r="O33" i="2"/>
  <c r="R10" i="3"/>
  <c r="R14" i="3"/>
  <c r="R18" i="3"/>
  <c r="Q30" i="3"/>
  <c r="Q38" i="3"/>
  <c r="P12" i="4"/>
  <c r="O35" i="4"/>
  <c r="M34" i="4"/>
  <c r="M35" i="4"/>
  <c r="M36" i="4"/>
  <c r="G6" i="5" s="1"/>
  <c r="H6" i="5" s="1"/>
  <c r="M17" i="6"/>
  <c r="M19" i="6" s="1"/>
  <c r="M21" i="6" s="1"/>
  <c r="M23" i="6" s="1"/>
  <c r="M24" i="6" s="1"/>
  <c r="M22" i="6"/>
  <c r="G33" i="5"/>
  <c r="H33" i="5" s="1"/>
  <c r="Q10" i="2"/>
  <c r="M13" i="2"/>
  <c r="G18" i="2"/>
  <c r="G20" i="2"/>
  <c r="I20" i="2"/>
  <c r="P22" i="2"/>
  <c r="I22" i="2"/>
  <c r="G22" i="2"/>
  <c r="S14" i="3"/>
  <c r="S18" i="3"/>
  <c r="R30" i="3"/>
  <c r="I28" i="4"/>
  <c r="H28" i="4"/>
  <c r="J28" i="4" s="1"/>
  <c r="R28" i="4"/>
  <c r="Q28" i="4"/>
  <c r="L28" i="4"/>
  <c r="D14" i="5" s="1"/>
  <c r="K28" i="4"/>
  <c r="S26" i="4"/>
  <c r="S27" i="4"/>
  <c r="S28" i="4"/>
  <c r="M32" i="4"/>
  <c r="S33" i="4"/>
  <c r="M33" i="4"/>
  <c r="S35" i="4"/>
  <c r="A31" i="6"/>
  <c r="A32" i="6" s="1"/>
  <c r="Q13" i="2"/>
  <c r="M11" i="2"/>
  <c r="I11" i="2"/>
  <c r="G11" i="2"/>
  <c r="Q11" i="2" s="1"/>
  <c r="G12" i="2"/>
  <c r="P12" i="2" s="1"/>
  <c r="I17" i="2"/>
  <c r="G17" i="2"/>
  <c r="M17" i="2"/>
  <c r="Q22" i="2"/>
  <c r="O27" i="2"/>
  <c r="P15" i="3"/>
  <c r="P19" i="3"/>
  <c r="R9" i="4"/>
  <c r="P28" i="4"/>
  <c r="R31" i="4"/>
  <c r="F31" i="6"/>
  <c r="F32" i="6" s="1"/>
  <c r="I12" i="2"/>
  <c r="P18" i="2"/>
  <c r="R22" i="2"/>
  <c r="Q11" i="3"/>
  <c r="Q15" i="3"/>
  <c r="Q19" i="3"/>
  <c r="P23" i="3"/>
  <c r="P31" i="3"/>
  <c r="P35" i="3"/>
  <c r="S9" i="4"/>
  <c r="S24" i="4"/>
  <c r="S31" i="4"/>
  <c r="O14" i="2"/>
  <c r="M14" i="2"/>
  <c r="M20" i="2"/>
  <c r="S22" i="2"/>
  <c r="Q27" i="2"/>
  <c r="G5" i="5"/>
  <c r="H5" i="5" s="1"/>
  <c r="R15" i="3"/>
  <c r="R19" i="3"/>
  <c r="Q31" i="3"/>
  <c r="L25" i="4"/>
  <c r="D17" i="5" s="1"/>
  <c r="K25" i="4"/>
  <c r="I25" i="4"/>
  <c r="H25" i="4"/>
  <c r="J25" i="4" s="1"/>
  <c r="P25" i="4"/>
  <c r="O25" i="4"/>
  <c r="S11" i="3"/>
  <c r="S19" i="3"/>
  <c r="K10" i="4"/>
  <c r="I10" i="4"/>
  <c r="H10" i="4"/>
  <c r="J10" i="4" s="1"/>
  <c r="S10" i="4"/>
  <c r="O10" i="4"/>
  <c r="L10" i="4"/>
  <c r="D32" i="5" s="1"/>
  <c r="G29" i="4"/>
  <c r="G32" i="4"/>
  <c r="M12" i="2"/>
  <c r="G30" i="5" s="1"/>
  <c r="H30" i="5" s="1"/>
  <c r="P14" i="2"/>
  <c r="R17" i="2"/>
  <c r="I19" i="2"/>
  <c r="G19" i="2"/>
  <c r="B20" i="1"/>
  <c r="P19" i="2"/>
  <c r="R20" i="2"/>
  <c r="O31" i="2"/>
  <c r="P16" i="3"/>
  <c r="P20" i="3"/>
  <c r="S27" i="3"/>
  <c r="Q16" i="4"/>
  <c r="M21" i="2"/>
  <c r="G21" i="5" s="1"/>
  <c r="H21" i="5" s="1"/>
  <c r="M22" i="2"/>
  <c r="Q16" i="3"/>
  <c r="Q20" i="3"/>
  <c r="P32" i="3"/>
  <c r="P36" i="3"/>
  <c r="Q10" i="4"/>
  <c r="R16" i="4"/>
  <c r="I13" i="4"/>
  <c r="G15" i="4"/>
  <c r="R15" i="4" s="1"/>
  <c r="Q22" i="4"/>
  <c r="M25" i="4"/>
  <c r="O16" i="2"/>
  <c r="I21" i="2"/>
  <c r="M10" i="4"/>
  <c r="G16" i="4"/>
  <c r="S16" i="4" s="1"/>
  <c r="R22" i="4"/>
  <c r="M26" i="4"/>
  <c r="G24" i="2"/>
  <c r="G25" i="2"/>
  <c r="G26" i="2"/>
  <c r="P26" i="2" s="1"/>
  <c r="M11" i="4"/>
  <c r="K13" i="4"/>
  <c r="G17" i="4"/>
  <c r="S22" i="4"/>
  <c r="M27" i="4"/>
  <c r="G27" i="2"/>
  <c r="P27" i="2" s="1"/>
  <c r="G28" i="2"/>
  <c r="P28" i="2" s="1"/>
  <c r="G29" i="2"/>
  <c r="P29" i="2" s="1"/>
  <c r="G30" i="2"/>
  <c r="O30" i="2" s="1"/>
  <c r="G31" i="2"/>
  <c r="P31" i="2" s="1"/>
  <c r="G32" i="2"/>
  <c r="G33" i="2"/>
  <c r="S38" i="2"/>
  <c r="G22" i="3"/>
  <c r="Q22" i="3" s="1"/>
  <c r="O11" i="4"/>
  <c r="M12" i="4"/>
  <c r="L13" i="4"/>
  <c r="D29" i="5" s="1"/>
  <c r="G18" i="4"/>
  <c r="S23" i="4"/>
  <c r="R24" i="4"/>
  <c r="O27" i="4"/>
  <c r="M28" i="4"/>
  <c r="G34" i="4"/>
  <c r="O34" i="4" s="1"/>
  <c r="G35" i="4"/>
  <c r="R35" i="4" s="1"/>
  <c r="G36" i="4"/>
  <c r="R36" i="4" s="1"/>
  <c r="G37" i="4"/>
  <c r="G38" i="4"/>
  <c r="O38" i="4" s="1"/>
  <c r="I26" i="2"/>
  <c r="G34" i="2"/>
  <c r="P34" i="2" s="1"/>
  <c r="O12" i="4"/>
  <c r="M13" i="4"/>
  <c r="G19" i="4"/>
  <c r="O19" i="4" s="1"/>
  <c r="O28" i="4"/>
  <c r="M29" i="4"/>
  <c r="I27" i="2"/>
  <c r="I28" i="2"/>
  <c r="I29" i="2"/>
  <c r="I30" i="2"/>
  <c r="I31" i="2"/>
  <c r="I32" i="2"/>
  <c r="I33" i="2"/>
  <c r="G35" i="2"/>
  <c r="O35" i="2" s="1"/>
  <c r="I22" i="3"/>
  <c r="M14" i="4"/>
  <c r="G20" i="4"/>
  <c r="O29" i="4"/>
  <c r="I34" i="2"/>
  <c r="G36" i="2"/>
  <c r="P13" i="4"/>
  <c r="M15" i="4"/>
  <c r="G21" i="4"/>
  <c r="I35" i="2"/>
  <c r="G37" i="2"/>
  <c r="Q13" i="4"/>
  <c r="M16" i="4"/>
  <c r="M24" i="2"/>
  <c r="G18" i="5" s="1"/>
  <c r="H18" i="5" s="1"/>
  <c r="M25" i="2"/>
  <c r="M26" i="2"/>
  <c r="I36" i="2"/>
  <c r="R13" i="4"/>
  <c r="M17" i="4"/>
  <c r="H22" i="4"/>
  <c r="J22" i="4" s="1"/>
  <c r="M27" i="2"/>
  <c r="M28" i="2"/>
  <c r="G14" i="5" s="1"/>
  <c r="H14" i="5" s="1"/>
  <c r="M29" i="2"/>
  <c r="G13" i="5" s="1"/>
  <c r="H13" i="5" s="1"/>
  <c r="M30" i="2"/>
  <c r="G12" i="5" s="1"/>
  <c r="H12" i="5" s="1"/>
  <c r="M31" i="2"/>
  <c r="G11" i="5" s="1"/>
  <c r="H11" i="5" s="1"/>
  <c r="M32" i="2"/>
  <c r="G10" i="5" s="1"/>
  <c r="H10" i="5" s="1"/>
  <c r="M33" i="2"/>
  <c r="G9" i="5" s="1"/>
  <c r="H9" i="5" s="1"/>
  <c r="I37" i="2"/>
  <c r="M22" i="3"/>
  <c r="S13" i="4"/>
  <c r="M18" i="4"/>
  <c r="I22" i="4"/>
  <c r="G24" i="4"/>
  <c r="M34" i="2"/>
  <c r="G8" i="5" s="1"/>
  <c r="H8" i="5" s="1"/>
  <c r="S14" i="4"/>
  <c r="M19" i="4"/>
  <c r="S30" i="4"/>
  <c r="M35" i="2"/>
  <c r="G7" i="5" s="1"/>
  <c r="H7" i="5" s="1"/>
  <c r="M20" i="4"/>
  <c r="K22" i="4"/>
  <c r="M21" i="4"/>
  <c r="L22" i="4"/>
  <c r="D20" i="5" s="1"/>
  <c r="D12" i="7"/>
  <c r="D27" i="7"/>
  <c r="D13" i="7"/>
  <c r="G27" i="7"/>
  <c r="D28" i="7"/>
  <c r="D15" i="7"/>
  <c r="G28" i="7"/>
  <c r="D16" i="7"/>
  <c r="D29" i="7"/>
  <c r="D17" i="7"/>
  <c r="G29" i="7"/>
  <c r="D18" i="7"/>
  <c r="D30" i="7"/>
  <c r="D19" i="7"/>
  <c r="D31" i="7"/>
  <c r="D20" i="7"/>
  <c r="D5" i="7"/>
  <c r="D21" i="7"/>
  <c r="D32" i="7"/>
  <c r="D6" i="7"/>
  <c r="D22" i="7"/>
  <c r="D7" i="7"/>
  <c r="D33" i="7"/>
  <c r="D8" i="7"/>
  <c r="D23" i="7"/>
  <c r="D9" i="7"/>
  <c r="D24" i="7"/>
  <c r="D10" i="7"/>
  <c r="D25" i="7"/>
  <c r="D34" i="7"/>
  <c r="D14" i="7"/>
  <c r="D11" i="7"/>
  <c r="D26" i="7"/>
  <c r="AB22" i="7" l="1"/>
  <c r="AB23" i="7" s="1"/>
  <c r="M22" i="7"/>
  <c r="M23" i="7" s="1"/>
  <c r="P22" i="7"/>
  <c r="P23" i="7" s="1"/>
  <c r="AJ22" i="7"/>
  <c r="AJ23" i="7" s="1"/>
  <c r="AA22" i="7"/>
  <c r="AA23" i="7" s="1"/>
  <c r="L22" i="7"/>
  <c r="L23" i="7" s="1"/>
  <c r="Z22" i="7"/>
  <c r="Z23" i="7" s="1"/>
  <c r="K22" i="7"/>
  <c r="K23" i="7" s="1"/>
  <c r="Y22" i="7"/>
  <c r="Y23" i="7" s="1"/>
  <c r="J22" i="7"/>
  <c r="J23" i="7" s="1"/>
  <c r="AI22" i="7"/>
  <c r="AI23" i="7" s="1"/>
  <c r="I22" i="7"/>
  <c r="I23" i="7" s="1"/>
  <c r="X22" i="7"/>
  <c r="X23" i="7" s="1"/>
  <c r="H22" i="7"/>
  <c r="H23" i="7" s="1"/>
  <c r="AH22" i="7"/>
  <c r="AH23" i="7" s="1"/>
  <c r="W22" i="7"/>
  <c r="W23" i="7" s="1"/>
  <c r="G22" i="7"/>
  <c r="G23" i="7" s="1"/>
  <c r="V22" i="7"/>
  <c r="V23" i="7" s="1"/>
  <c r="AG22" i="7"/>
  <c r="AG23" i="7" s="1"/>
  <c r="U22" i="7"/>
  <c r="U23" i="7" s="1"/>
  <c r="AF22" i="7"/>
  <c r="AF23" i="7" s="1"/>
  <c r="T22" i="7"/>
  <c r="T23" i="7" s="1"/>
  <c r="S22" i="7"/>
  <c r="S23" i="7" s="1"/>
  <c r="AE22" i="7"/>
  <c r="AE23" i="7" s="1"/>
  <c r="R22" i="7"/>
  <c r="R23" i="7" s="1"/>
  <c r="Q22" i="7"/>
  <c r="Q23" i="7" s="1"/>
  <c r="AD22" i="7"/>
  <c r="AD23" i="7" s="1"/>
  <c r="O22" i="7"/>
  <c r="O23" i="7" s="1"/>
  <c r="AC22" i="7"/>
  <c r="AC23" i="7" s="1"/>
  <c r="N22" i="7"/>
  <c r="N23" i="7" s="1"/>
  <c r="P32" i="4"/>
  <c r="O32" i="4"/>
  <c r="L32" i="4"/>
  <c r="D10" i="5" s="1"/>
  <c r="K32" i="4"/>
  <c r="I32" i="4"/>
  <c r="H32" i="4"/>
  <c r="J32" i="4" s="1"/>
  <c r="L12" i="3"/>
  <c r="C30" i="5" s="1"/>
  <c r="K12" i="3"/>
  <c r="H12" i="3"/>
  <c r="J12" i="3" s="1"/>
  <c r="Q12" i="3"/>
  <c r="H29" i="4"/>
  <c r="J29" i="4" s="1"/>
  <c r="R29" i="4"/>
  <c r="Q29" i="4"/>
  <c r="P29" i="4"/>
  <c r="L29" i="4"/>
  <c r="D13" i="5" s="1"/>
  <c r="K29" i="4"/>
  <c r="I29" i="4"/>
  <c r="H20" i="2"/>
  <c r="J20" i="2" s="1"/>
  <c r="Q20" i="2"/>
  <c r="K20" i="2"/>
  <c r="P20" i="2"/>
  <c r="L20" i="2"/>
  <c r="B22" i="5" s="1"/>
  <c r="G27" i="5"/>
  <c r="H27" i="5" s="1"/>
  <c r="O22" i="3"/>
  <c r="H37" i="3"/>
  <c r="J37" i="3" s="1"/>
  <c r="R37" i="3"/>
  <c r="L37" i="3"/>
  <c r="C5" i="5" s="1"/>
  <c r="K37" i="3"/>
  <c r="H33" i="3"/>
  <c r="J33" i="3" s="1"/>
  <c r="S33" i="3"/>
  <c r="R33" i="3"/>
  <c r="L33" i="3"/>
  <c r="C9" i="5" s="1"/>
  <c r="K33" i="3"/>
  <c r="L29" i="3"/>
  <c r="C13" i="5" s="1"/>
  <c r="K29" i="3"/>
  <c r="H29" i="3"/>
  <c r="J29" i="3" s="1"/>
  <c r="P29" i="3"/>
  <c r="H16" i="3"/>
  <c r="J16" i="3" s="1"/>
  <c r="R16" i="3"/>
  <c r="L16" i="3"/>
  <c r="C26" i="5" s="1"/>
  <c r="K16" i="3"/>
  <c r="L14" i="2"/>
  <c r="B28" i="5" s="1"/>
  <c r="H14" i="2"/>
  <c r="J14" i="2" s="1"/>
  <c r="R14" i="2"/>
  <c r="K14" i="2"/>
  <c r="S14" i="2"/>
  <c r="Q14" i="2"/>
  <c r="O23" i="2"/>
  <c r="Q21" i="4"/>
  <c r="P21" i="4"/>
  <c r="L21" i="4"/>
  <c r="D21" i="5" s="1"/>
  <c r="K21" i="4"/>
  <c r="I21" i="4"/>
  <c r="H21" i="4"/>
  <c r="J21" i="4" s="1"/>
  <c r="S21" i="4"/>
  <c r="R21" i="4"/>
  <c r="O17" i="4"/>
  <c r="L17" i="4"/>
  <c r="D25" i="5" s="1"/>
  <c r="K17" i="4"/>
  <c r="I17" i="4"/>
  <c r="H17" i="4"/>
  <c r="J17" i="4" s="1"/>
  <c r="Q32" i="4"/>
  <c r="Q19" i="4"/>
  <c r="P19" i="4"/>
  <c r="G31" i="5"/>
  <c r="H31" i="5" s="1"/>
  <c r="H18" i="2"/>
  <c r="J18" i="2" s="1"/>
  <c r="S18" i="2"/>
  <c r="L18" i="2"/>
  <c r="B24" i="5" s="1"/>
  <c r="K18" i="2"/>
  <c r="R18" i="2"/>
  <c r="O18" i="2"/>
  <c r="S17" i="3"/>
  <c r="S16" i="3"/>
  <c r="K13" i="2"/>
  <c r="R13" i="2"/>
  <c r="L13" i="2"/>
  <c r="B29" i="5" s="1"/>
  <c r="H13" i="2"/>
  <c r="J13" i="2" s="1"/>
  <c r="P37" i="2"/>
  <c r="O37" i="2"/>
  <c r="L37" i="2"/>
  <c r="B5" i="5" s="1"/>
  <c r="E5" i="5" s="1"/>
  <c r="K37" i="2"/>
  <c r="H37" i="2"/>
  <c r="J37" i="2" s="1"/>
  <c r="S37" i="2"/>
  <c r="Q37" i="2"/>
  <c r="S18" i="4"/>
  <c r="L18" i="4"/>
  <c r="D24" i="5" s="1"/>
  <c r="K18" i="4"/>
  <c r="I18" i="4"/>
  <c r="H18" i="4"/>
  <c r="J18" i="4" s="1"/>
  <c r="S15" i="4"/>
  <c r="G29" i="5"/>
  <c r="H29" i="5" s="1"/>
  <c r="R24" i="3"/>
  <c r="Q24" i="3"/>
  <c r="P24" i="3"/>
  <c r="L24" i="3"/>
  <c r="C18" i="5" s="1"/>
  <c r="K24" i="3"/>
  <c r="H24" i="3"/>
  <c r="J24" i="3" s="1"/>
  <c r="S24" i="3"/>
  <c r="L19" i="3"/>
  <c r="C23" i="5" s="1"/>
  <c r="K19" i="3"/>
  <c r="H19" i="3"/>
  <c r="J19" i="3" s="1"/>
  <c r="L11" i="3"/>
  <c r="C31" i="5" s="1"/>
  <c r="K11" i="3"/>
  <c r="H11" i="3"/>
  <c r="J11" i="3" s="1"/>
  <c r="R11" i="3"/>
  <c r="P11" i="3"/>
  <c r="S12" i="3"/>
  <c r="R12" i="2"/>
  <c r="P12" i="3"/>
  <c r="K9" i="2"/>
  <c r="P9" i="2"/>
  <c r="O9" i="2"/>
  <c r="L9" i="2"/>
  <c r="B33" i="5" s="1"/>
  <c r="H9" i="2"/>
  <c r="J9" i="2" s="1"/>
  <c r="L28" i="3"/>
  <c r="C14" i="5" s="1"/>
  <c r="K28" i="3"/>
  <c r="H28" i="3"/>
  <c r="J28" i="3" s="1"/>
  <c r="Q28" i="3"/>
  <c r="P28" i="3"/>
  <c r="O13" i="2"/>
  <c r="Q9" i="2"/>
  <c r="Q36" i="2"/>
  <c r="P36" i="2"/>
  <c r="O36" i="2"/>
  <c r="L36" i="2"/>
  <c r="B6" i="5" s="1"/>
  <c r="K36" i="2"/>
  <c r="H36" i="2"/>
  <c r="J36" i="2" s="1"/>
  <c r="R36" i="2"/>
  <c r="S19" i="4"/>
  <c r="R19" i="4"/>
  <c r="L19" i="4"/>
  <c r="D23" i="5" s="1"/>
  <c r="K19" i="4"/>
  <c r="I19" i="4"/>
  <c r="H19" i="4"/>
  <c r="J19" i="4" s="1"/>
  <c r="S26" i="2"/>
  <c r="L26" i="2"/>
  <c r="B16" i="5" s="1"/>
  <c r="E16" i="5" s="1"/>
  <c r="K26" i="2"/>
  <c r="H26" i="2"/>
  <c r="J26" i="2" s="1"/>
  <c r="S36" i="4"/>
  <c r="P34" i="4"/>
  <c r="Q17" i="4"/>
  <c r="H36" i="3"/>
  <c r="J36" i="3" s="1"/>
  <c r="R36" i="3"/>
  <c r="L36" i="3"/>
  <c r="C6" i="5" s="1"/>
  <c r="K36" i="3"/>
  <c r="H32" i="3"/>
  <c r="J32" i="3" s="1"/>
  <c r="S32" i="3"/>
  <c r="R32" i="3"/>
  <c r="L32" i="3"/>
  <c r="C10" i="5" s="1"/>
  <c r="K32" i="3"/>
  <c r="H15" i="3"/>
  <c r="J15" i="3" s="1"/>
  <c r="S15" i="3"/>
  <c r="L15" i="3"/>
  <c r="C27" i="5" s="1"/>
  <c r="K15" i="3"/>
  <c r="G15" i="5"/>
  <c r="H15" i="5" s="1"/>
  <c r="S25" i="2"/>
  <c r="L25" i="2"/>
  <c r="B17" i="5" s="1"/>
  <c r="K25" i="2"/>
  <c r="H25" i="2"/>
  <c r="J25" i="2" s="1"/>
  <c r="R18" i="4"/>
  <c r="M25" i="6"/>
  <c r="M31" i="6" s="1"/>
  <c r="M32" i="6" s="1"/>
  <c r="O20" i="2"/>
  <c r="I27" i="4"/>
  <c r="H27" i="4"/>
  <c r="J27" i="4" s="1"/>
  <c r="R27" i="4"/>
  <c r="L27" i="4"/>
  <c r="D15" i="5" s="1"/>
  <c r="K27" i="4"/>
  <c r="O19" i="3"/>
  <c r="O11" i="3"/>
  <c r="P25" i="2"/>
  <c r="O12" i="2"/>
  <c r="S22" i="3"/>
  <c r="R22" i="3"/>
  <c r="L22" i="3"/>
  <c r="C20" i="5" s="1"/>
  <c r="K22" i="3"/>
  <c r="H22" i="3"/>
  <c r="J22" i="3" s="1"/>
  <c r="S24" i="2"/>
  <c r="L24" i="2"/>
  <c r="B18" i="5" s="1"/>
  <c r="K24" i="2"/>
  <c r="H24" i="2"/>
  <c r="J24" i="2" s="1"/>
  <c r="R24" i="2"/>
  <c r="P30" i="2"/>
  <c r="S34" i="4"/>
  <c r="P18" i="4"/>
  <c r="O18" i="4"/>
  <c r="Q18" i="2"/>
  <c r="R17" i="4"/>
  <c r="P37" i="3"/>
  <c r="L27" i="3"/>
  <c r="C15" i="5" s="1"/>
  <c r="K27" i="3"/>
  <c r="H27" i="3"/>
  <c r="J27" i="3" s="1"/>
  <c r="R27" i="3"/>
  <c r="Q27" i="3"/>
  <c r="P27" i="3"/>
  <c r="S23" i="3"/>
  <c r="R23" i="3"/>
  <c r="Q23" i="3"/>
  <c r="L23" i="3"/>
  <c r="C19" i="5" s="1"/>
  <c r="K23" i="3"/>
  <c r="H23" i="3"/>
  <c r="J23" i="3" s="1"/>
  <c r="P10" i="3"/>
  <c r="L10" i="3"/>
  <c r="C32" i="5" s="1"/>
  <c r="K10" i="3"/>
  <c r="H10" i="3"/>
  <c r="J10" i="3" s="1"/>
  <c r="S10" i="3"/>
  <c r="Q10" i="3"/>
  <c r="R32" i="4"/>
  <c r="D45" i="1"/>
  <c r="F31" i="5"/>
  <c r="R20" i="4"/>
  <c r="Q20" i="4"/>
  <c r="L20" i="4"/>
  <c r="D22" i="5" s="1"/>
  <c r="K20" i="4"/>
  <c r="I20" i="4"/>
  <c r="H20" i="4"/>
  <c r="J20" i="4" s="1"/>
  <c r="S20" i="4"/>
  <c r="S34" i="2"/>
  <c r="R34" i="2"/>
  <c r="Q34" i="2"/>
  <c r="L34" i="2"/>
  <c r="B8" i="5" s="1"/>
  <c r="K34" i="2"/>
  <c r="H34" i="2"/>
  <c r="J34" i="2" s="1"/>
  <c r="O20" i="4"/>
  <c r="Q15" i="4"/>
  <c r="P15" i="4"/>
  <c r="O15" i="4"/>
  <c r="L15" i="4"/>
  <c r="D27" i="5" s="1"/>
  <c r="K15" i="4"/>
  <c r="I15" i="4"/>
  <c r="H15" i="4"/>
  <c r="J15" i="4" s="1"/>
  <c r="S33" i="2"/>
  <c r="Q33" i="2"/>
  <c r="L33" i="2"/>
  <c r="B9" i="5" s="1"/>
  <c r="K33" i="2"/>
  <c r="H33" i="2"/>
  <c r="J33" i="2" s="1"/>
  <c r="R37" i="2"/>
  <c r="C52" i="1"/>
  <c r="C20" i="1"/>
  <c r="B21" i="1"/>
  <c r="G22" i="5"/>
  <c r="H22" i="5" s="1"/>
  <c r="Q24" i="2"/>
  <c r="O24" i="2"/>
  <c r="Q29" i="3"/>
  <c r="H35" i="3"/>
  <c r="J35" i="3" s="1"/>
  <c r="S35" i="3"/>
  <c r="R35" i="3"/>
  <c r="L35" i="3"/>
  <c r="C7" i="5" s="1"/>
  <c r="K35" i="3"/>
  <c r="H31" i="3"/>
  <c r="J31" i="3" s="1"/>
  <c r="S31" i="3"/>
  <c r="R31" i="3"/>
  <c r="L31" i="3"/>
  <c r="C11" i="5" s="1"/>
  <c r="K31" i="3"/>
  <c r="K14" i="3"/>
  <c r="H14" i="3"/>
  <c r="J14" i="3" s="1"/>
  <c r="L14" i="3"/>
  <c r="C28" i="5" s="1"/>
  <c r="S13" i="2"/>
  <c r="L24" i="4"/>
  <c r="D18" i="5" s="1"/>
  <c r="K24" i="4"/>
  <c r="I24" i="4"/>
  <c r="H24" i="4"/>
  <c r="J24" i="4" s="1"/>
  <c r="Q24" i="4"/>
  <c r="P24" i="4"/>
  <c r="O24" i="4"/>
  <c r="R38" i="4"/>
  <c r="Q38" i="4"/>
  <c r="P38" i="4"/>
  <c r="L38" i="4"/>
  <c r="D4" i="5" s="1"/>
  <c r="K38" i="4"/>
  <c r="I38" i="4"/>
  <c r="H38" i="4"/>
  <c r="J38" i="4" s="1"/>
  <c r="S32" i="2"/>
  <c r="Q32" i="2"/>
  <c r="L32" i="2"/>
  <c r="B10" i="5" s="1"/>
  <c r="E10" i="5" s="1"/>
  <c r="K32" i="2"/>
  <c r="H32" i="2"/>
  <c r="J32" i="2" s="1"/>
  <c r="P16" i="4"/>
  <c r="O16" i="4"/>
  <c r="L16" i="4"/>
  <c r="D26" i="5" s="1"/>
  <c r="E26" i="5" s="1"/>
  <c r="K16" i="4"/>
  <c r="I16" i="4"/>
  <c r="H16" i="4"/>
  <c r="J16" i="4" s="1"/>
  <c r="H19" i="2"/>
  <c r="J19" i="2" s="1"/>
  <c r="R19" i="2"/>
  <c r="L19" i="2"/>
  <c r="B23" i="5" s="1"/>
  <c r="K19" i="2"/>
  <c r="S19" i="2"/>
  <c r="O19" i="2"/>
  <c r="Q19" i="2"/>
  <c r="G28" i="5"/>
  <c r="H28" i="5" s="1"/>
  <c r="P33" i="2"/>
  <c r="G32" i="5"/>
  <c r="H32" i="5" s="1"/>
  <c r="Q23" i="2"/>
  <c r="P20" i="4"/>
  <c r="O27" i="3"/>
  <c r="O23" i="3"/>
  <c r="P18" i="3"/>
  <c r="L18" i="3"/>
  <c r="C24" i="5" s="1"/>
  <c r="K18" i="3"/>
  <c r="H18" i="3"/>
  <c r="J18" i="3" s="1"/>
  <c r="O10" i="3"/>
  <c r="Q25" i="2"/>
  <c r="Q36" i="3"/>
  <c r="R9" i="2"/>
  <c r="G16" i="5"/>
  <c r="H16" i="5" s="1"/>
  <c r="R35" i="2"/>
  <c r="Q35" i="2"/>
  <c r="P35" i="2"/>
  <c r="L35" i="2"/>
  <c r="B7" i="5" s="1"/>
  <c r="K35" i="2"/>
  <c r="H35" i="2"/>
  <c r="J35" i="2" s="1"/>
  <c r="S35" i="2"/>
  <c r="R37" i="4"/>
  <c r="Q37" i="4"/>
  <c r="P37" i="4"/>
  <c r="L37" i="4"/>
  <c r="D5" i="5" s="1"/>
  <c r="K37" i="4"/>
  <c r="I37" i="4"/>
  <c r="H37" i="4"/>
  <c r="J37" i="4" s="1"/>
  <c r="S31" i="2"/>
  <c r="Q31" i="2"/>
  <c r="L31" i="2"/>
  <c r="B11" i="5" s="1"/>
  <c r="E11" i="5" s="1"/>
  <c r="K31" i="2"/>
  <c r="H31" i="2"/>
  <c r="J31" i="2" s="1"/>
  <c r="O28" i="2"/>
  <c r="O34" i="2"/>
  <c r="S36" i="2"/>
  <c r="S20" i="2"/>
  <c r="S32" i="4"/>
  <c r="Q26" i="2"/>
  <c r="O26" i="2"/>
  <c r="R17" i="3"/>
  <c r="P26" i="3"/>
  <c r="L26" i="3"/>
  <c r="C16" i="5" s="1"/>
  <c r="K26" i="3"/>
  <c r="H26" i="3"/>
  <c r="J26" i="3" s="1"/>
  <c r="S26" i="3"/>
  <c r="R26" i="3"/>
  <c r="Q26" i="3"/>
  <c r="S21" i="3"/>
  <c r="L21" i="3"/>
  <c r="C21" i="5" s="1"/>
  <c r="K21" i="3"/>
  <c r="H21" i="3"/>
  <c r="J21" i="3" s="1"/>
  <c r="Q9" i="3"/>
  <c r="P9" i="3"/>
  <c r="L9" i="3"/>
  <c r="C33" i="5" s="1"/>
  <c r="K9" i="3"/>
  <c r="H9" i="3"/>
  <c r="J9" i="3" s="1"/>
  <c r="R9" i="3"/>
  <c r="P23" i="2"/>
  <c r="G17" i="5"/>
  <c r="H17" i="5" s="1"/>
  <c r="Q36" i="4"/>
  <c r="L36" i="4"/>
  <c r="D6" i="5" s="1"/>
  <c r="K36" i="4"/>
  <c r="I36" i="4"/>
  <c r="H36" i="4"/>
  <c r="J36" i="4" s="1"/>
  <c r="S30" i="2"/>
  <c r="Q30" i="2"/>
  <c r="L30" i="2"/>
  <c r="B12" i="5" s="1"/>
  <c r="E12" i="5" s="1"/>
  <c r="K30" i="2"/>
  <c r="H30" i="2"/>
  <c r="J30" i="2" s="1"/>
  <c r="O25" i="2"/>
  <c r="G25" i="5"/>
  <c r="H25" i="5" s="1"/>
  <c r="S29" i="4"/>
  <c r="P24" i="2"/>
  <c r="O32" i="2"/>
  <c r="G26" i="5"/>
  <c r="H26" i="5" s="1"/>
  <c r="R12" i="3"/>
  <c r="Q35" i="4"/>
  <c r="L35" i="4"/>
  <c r="D7" i="5" s="1"/>
  <c r="K35" i="4"/>
  <c r="I35" i="4"/>
  <c r="H35" i="4"/>
  <c r="J35" i="4" s="1"/>
  <c r="S29" i="2"/>
  <c r="Q29" i="2"/>
  <c r="L29" i="2"/>
  <c r="B13" i="5" s="1"/>
  <c r="E13" i="5" s="1"/>
  <c r="K29" i="2"/>
  <c r="H29" i="2"/>
  <c r="J29" i="2" s="1"/>
  <c r="G20" i="5"/>
  <c r="H20" i="5" s="1"/>
  <c r="K17" i="2"/>
  <c r="L17" i="2"/>
  <c r="B25" i="5" s="1"/>
  <c r="E25" i="5" s="1"/>
  <c r="H17" i="2"/>
  <c r="J17" i="2" s="1"/>
  <c r="S17" i="2"/>
  <c r="Q17" i="2"/>
  <c r="P17" i="2"/>
  <c r="O17" i="2"/>
  <c r="O22" i="2"/>
  <c r="L22" i="2"/>
  <c r="B20" i="5" s="1"/>
  <c r="E20" i="5" s="1"/>
  <c r="H22" i="2"/>
  <c r="J22" i="2" s="1"/>
  <c r="K22" i="2"/>
  <c r="R34" i="4"/>
  <c r="P32" i="2"/>
  <c r="P13" i="2"/>
  <c r="H38" i="3"/>
  <c r="J38" i="3" s="1"/>
  <c r="R38" i="3"/>
  <c r="L38" i="3"/>
  <c r="C4" i="5" s="1"/>
  <c r="E4" i="5" s="1"/>
  <c r="K38" i="3"/>
  <c r="H34" i="3"/>
  <c r="J34" i="3" s="1"/>
  <c r="S34" i="3"/>
  <c r="R34" i="3"/>
  <c r="L34" i="3"/>
  <c r="C8" i="5" s="1"/>
  <c r="K34" i="3"/>
  <c r="K30" i="3"/>
  <c r="H30" i="3"/>
  <c r="J30" i="3" s="1"/>
  <c r="S30" i="3"/>
  <c r="L30" i="3"/>
  <c r="C12" i="5" s="1"/>
  <c r="L13" i="3"/>
  <c r="C29" i="5" s="1"/>
  <c r="K13" i="3"/>
  <c r="H13" i="3"/>
  <c r="J13" i="3" s="1"/>
  <c r="P13" i="3"/>
  <c r="Q34" i="4"/>
  <c r="L34" i="4"/>
  <c r="D8" i="5" s="1"/>
  <c r="K34" i="4"/>
  <c r="I34" i="4"/>
  <c r="H34" i="4"/>
  <c r="J34" i="4" s="1"/>
  <c r="S28" i="2"/>
  <c r="Q28" i="2"/>
  <c r="L28" i="2"/>
  <c r="B14" i="5" s="1"/>
  <c r="K28" i="2"/>
  <c r="H28" i="2"/>
  <c r="J28" i="2" s="1"/>
  <c r="H17" i="3"/>
  <c r="J17" i="3" s="1"/>
  <c r="Q17" i="3"/>
  <c r="L17" i="3"/>
  <c r="C25" i="5" s="1"/>
  <c r="K17" i="3"/>
  <c r="K23" i="2"/>
  <c r="H23" i="2"/>
  <c r="J23" i="2" s="1"/>
  <c r="S23" i="2"/>
  <c r="L23" i="2"/>
  <c r="B19" i="5" s="1"/>
  <c r="E19" i="5" s="1"/>
  <c r="K11" i="2"/>
  <c r="H11" i="2"/>
  <c r="J11" i="2" s="1"/>
  <c r="P11" i="2"/>
  <c r="S11" i="2"/>
  <c r="O11" i="2"/>
  <c r="L11" i="2"/>
  <c r="B31" i="5" s="1"/>
  <c r="E31" i="5" s="1"/>
  <c r="S27" i="2"/>
  <c r="R27" i="2"/>
  <c r="L27" i="2"/>
  <c r="B15" i="5" s="1"/>
  <c r="E15" i="5" s="1"/>
  <c r="K27" i="2"/>
  <c r="H27" i="2"/>
  <c r="J27" i="2" s="1"/>
  <c r="O37" i="4"/>
  <c r="R11" i="2"/>
  <c r="O36" i="4"/>
  <c r="L12" i="2"/>
  <c r="B30" i="5" s="1"/>
  <c r="E30" i="5" s="1"/>
  <c r="H12" i="2"/>
  <c r="J12" i="2" s="1"/>
  <c r="K12" i="2"/>
  <c r="S12" i="2"/>
  <c r="Q18" i="4"/>
  <c r="L15" i="2"/>
  <c r="B27" i="5" s="1"/>
  <c r="E27" i="5" s="1"/>
  <c r="K15" i="2"/>
  <c r="R15" i="2"/>
  <c r="H15" i="2"/>
  <c r="J15" i="2" s="1"/>
  <c r="S15" i="2"/>
  <c r="O21" i="4"/>
  <c r="P17" i="4"/>
  <c r="Q25" i="3"/>
  <c r="P25" i="3"/>
  <c r="L25" i="3"/>
  <c r="C17" i="5" s="1"/>
  <c r="K25" i="3"/>
  <c r="H25" i="3"/>
  <c r="J25" i="3" s="1"/>
  <c r="S25" i="3"/>
  <c r="R25" i="3"/>
  <c r="L20" i="3"/>
  <c r="C22" i="5" s="1"/>
  <c r="K20" i="3"/>
  <c r="H20" i="3"/>
  <c r="J20" i="3" s="1"/>
  <c r="O12" i="3"/>
  <c r="E32" i="5"/>
  <c r="C21" i="1" l="1"/>
  <c r="B22" i="1"/>
  <c r="D52" i="1"/>
  <c r="E23" i="5"/>
  <c r="E17" i="5"/>
  <c r="E6" i="5"/>
  <c r="F30" i="5"/>
  <c r="D44" i="1"/>
  <c r="E8" i="5"/>
  <c r="E29" i="5"/>
  <c r="E9" i="5"/>
  <c r="E28" i="5"/>
  <c r="E21" i="5"/>
  <c r="E7" i="5"/>
  <c r="E22" i="5"/>
  <c r="E14" i="5"/>
  <c r="E24" i="5"/>
  <c r="E18" i="5"/>
  <c r="E33" i="5"/>
  <c r="F29" i="5" l="1"/>
  <c r="D43" i="1"/>
  <c r="C22" i="1"/>
  <c r="B23" i="1"/>
  <c r="E52" i="1"/>
  <c r="B24" i="1" l="1"/>
  <c r="C23" i="1"/>
  <c r="F52" i="1"/>
  <c r="F28" i="5"/>
  <c r="D42" i="1"/>
  <c r="F27" i="5" l="1"/>
  <c r="D41" i="1"/>
  <c r="C24" i="1"/>
  <c r="B25" i="1"/>
  <c r="G52" i="1"/>
  <c r="H52" i="1" l="1"/>
  <c r="B26" i="1"/>
  <c r="C25" i="1"/>
  <c r="D40" i="1"/>
  <c r="F26" i="5"/>
  <c r="I52" i="1" l="1"/>
  <c r="B27" i="1"/>
  <c r="C26" i="1"/>
  <c r="F25" i="5"/>
  <c r="D39" i="1"/>
  <c r="F24" i="5" l="1"/>
  <c r="D38" i="1"/>
  <c r="C27" i="1"/>
  <c r="B28" i="1"/>
  <c r="J52" i="1"/>
  <c r="K52" i="1" l="1"/>
  <c r="B29" i="1"/>
  <c r="C28" i="1"/>
  <c r="F23" i="5"/>
  <c r="D37" i="1"/>
  <c r="C29" i="1" l="1"/>
  <c r="B30" i="1"/>
  <c r="L52" i="1"/>
  <c r="F22" i="5"/>
  <c r="D36" i="1"/>
  <c r="F21" i="5" l="1"/>
  <c r="D35" i="1"/>
  <c r="B31" i="1"/>
  <c r="C30" i="1"/>
  <c r="M52" i="1"/>
  <c r="F20" i="5" l="1"/>
  <c r="D34" i="1"/>
  <c r="B32" i="1"/>
  <c r="C31" i="1"/>
  <c r="N52" i="1"/>
  <c r="F19" i="5" l="1"/>
  <c r="D33" i="1"/>
  <c r="O52" i="1"/>
  <c r="B33" i="1"/>
  <c r="C32" i="1"/>
  <c r="P52" i="1" l="1"/>
  <c r="B34" i="1"/>
  <c r="C33" i="1"/>
  <c r="F18" i="5"/>
  <c r="D32" i="1"/>
  <c r="F17" i="5" l="1"/>
  <c r="D31" i="1"/>
  <c r="B35" i="1"/>
  <c r="Q52" i="1"/>
  <c r="C34" i="1"/>
  <c r="C35" i="1" l="1"/>
  <c r="R52" i="1"/>
  <c r="B36" i="1"/>
  <c r="D30" i="1"/>
  <c r="F16" i="5"/>
  <c r="F15" i="5" l="1"/>
  <c r="D29" i="1"/>
  <c r="S52" i="1"/>
  <c r="B37" i="1"/>
  <c r="C36" i="1"/>
  <c r="B38" i="1" l="1"/>
  <c r="T52" i="1"/>
  <c r="C37" i="1"/>
  <c r="F14" i="5"/>
  <c r="D28" i="1"/>
  <c r="F13" i="5" l="1"/>
  <c r="D27" i="1"/>
  <c r="U52" i="1"/>
  <c r="B39" i="1"/>
  <c r="C38" i="1"/>
  <c r="B40" i="1" l="1"/>
  <c r="C39" i="1"/>
  <c r="V52" i="1"/>
  <c r="F12" i="5"/>
  <c r="D26" i="1"/>
  <c r="D25" i="1" l="1"/>
  <c r="F11" i="5"/>
  <c r="C40" i="1"/>
  <c r="B41" i="1"/>
  <c r="W52" i="1"/>
  <c r="X52" i="1" l="1"/>
  <c r="B42" i="1"/>
  <c r="C41" i="1"/>
  <c r="F10" i="5"/>
  <c r="D24" i="1"/>
  <c r="F9" i="5" l="1"/>
  <c r="D23" i="1"/>
  <c r="Y52" i="1"/>
  <c r="C42" i="1"/>
  <c r="B43" i="1"/>
  <c r="C43" i="1" l="1"/>
  <c r="B44" i="1"/>
  <c r="Z52" i="1"/>
  <c r="D22" i="1"/>
  <c r="F8" i="5"/>
  <c r="B45" i="1" l="1"/>
  <c r="C44" i="1"/>
  <c r="AA52" i="1"/>
  <c r="F7" i="5"/>
  <c r="D21" i="1"/>
  <c r="F6" i="5" l="1"/>
  <c r="D20" i="1"/>
  <c r="B46" i="1"/>
  <c r="C45" i="1"/>
  <c r="AB52" i="1"/>
  <c r="B47" i="1" l="1"/>
  <c r="C46" i="1"/>
  <c r="AC52" i="1"/>
  <c r="F5" i="5"/>
  <c r="D19" i="1"/>
  <c r="F4" i="5" s="1"/>
  <c r="B48" i="1" l="1"/>
  <c r="C47" i="1"/>
  <c r="AD52" i="1"/>
  <c r="C48" i="1" l="1"/>
  <c r="AE52" i="1"/>
</calcChain>
</file>

<file path=xl/sharedStrings.xml><?xml version="1.0" encoding="utf-8"?>
<sst xmlns="http://schemas.openxmlformats.org/spreadsheetml/2006/main" count="422" uniqueCount="184">
  <si>
    <t>Clause 6 - Sizing Calibration - Initial Threshold Setting</t>
  </si>
  <si>
    <t>Reference Fluid Dilution Calculator</t>
  </si>
  <si>
    <t>Expected Counts vs Size</t>
  </si>
  <si>
    <t>Dilution to</t>
  </si>
  <si>
    <t>Captured</t>
  </si>
  <si>
    <t>RM</t>
  </si>
  <si>
    <t>37D</t>
  </si>
  <si>
    <t>Target Concentration</t>
  </si>
  <si>
    <t>Information Only</t>
  </si>
  <si>
    <t>ml</t>
  </si>
  <si>
    <t>Date</t>
  </si>
  <si>
    <t>Fluid Density</t>
  </si>
  <si>
    <t>um(c)</t>
  </si>
  <si>
    <t>SRM2806D</t>
  </si>
  <si>
    <t>34D</t>
  </si>
  <si>
    <t>RM USED</t>
  </si>
  <si>
    <t>Diluted</t>
  </si>
  <si>
    <t>Counted</t>
  </si>
  <si>
    <t>Operator</t>
  </si>
  <si>
    <t>JMD</t>
  </si>
  <si>
    <t>APC Model</t>
  </si>
  <si>
    <t>LPA4</t>
  </si>
  <si>
    <t>Bottle Number</t>
  </si>
  <si>
    <t>B0</t>
  </si>
  <si>
    <t>B1</t>
  </si>
  <si>
    <t>B2</t>
  </si>
  <si>
    <t>B3</t>
  </si>
  <si>
    <t>APC S/N</t>
  </si>
  <si>
    <t>11171-00009</t>
  </si>
  <si>
    <t>Ref Fluid to Add / g</t>
  </si>
  <si>
    <t>Sensor Model</t>
  </si>
  <si>
    <t>Ref Fluid Added / g</t>
  </si>
  <si>
    <t>Sensor S/N</t>
  </si>
  <si>
    <t>Diluent to add / g</t>
  </si>
  <si>
    <t>Bottle Sampler</t>
  </si>
  <si>
    <t>BS110-HP D2 BS2044</t>
  </si>
  <si>
    <t>Diluent Added / g</t>
  </si>
  <si>
    <t>Final Concentration</t>
  </si>
  <si>
    <t>Threshold Noise</t>
  </si>
  <si>
    <t>Lowest threshold J</t>
  </si>
  <si>
    <t>Highest threshold H</t>
  </si>
  <si>
    <t>Threshold Factor K</t>
  </si>
  <si>
    <t>Threshold#</t>
  </si>
  <si>
    <t>Initial Value</t>
  </si>
  <si>
    <t>INT</t>
  </si>
  <si>
    <t>Reversed</t>
  </si>
  <si>
    <t>1.5x noise</t>
  </si>
  <si>
    <t>~30um</t>
  </si>
  <si>
    <t>INITIAL Thresholds to Load into Instrument</t>
  </si>
  <si>
    <t>Number</t>
  </si>
  <si>
    <t>Value</t>
  </si>
  <si>
    <t>ENSURE CALIBRATION THRESHOLDS LOADED INTO INSTRUMENT</t>
  </si>
  <si>
    <t>Data Preprocessing and Quality Assessment per ISO 11171 Clause 6.6</t>
  </si>
  <si>
    <t>BOTTLE 1</t>
  </si>
  <si>
    <t>CHECK CALIBRATION THRESHOLDS ENTERED ON PARTICLE COUNTER</t>
  </si>
  <si>
    <t>Serial #</t>
  </si>
  <si>
    <t>Dilution Ratio</t>
  </si>
  <si>
    <t>BOTTLE</t>
  </si>
  <si>
    <t>Portion 1</t>
  </si>
  <si>
    <t>Portion 2</t>
  </si>
  <si>
    <t>Portion 3</t>
  </si>
  <si>
    <t>Portion 4</t>
  </si>
  <si>
    <t>Portion 5</t>
  </si>
  <si>
    <t>X / ml</t>
  </si>
  <si>
    <r>
      <rPr>
        <b/>
        <sz val="10"/>
        <rFont val="Arial"/>
        <family val="2"/>
      </rPr>
      <t>N</t>
    </r>
    <r>
      <rPr>
        <b/>
        <vertAlign val="subscript"/>
        <sz val="10"/>
        <rFont val="Arial"/>
        <family val="2"/>
      </rPr>
      <t>TOTAL</t>
    </r>
  </si>
  <si>
    <t>CV</t>
  </si>
  <si>
    <r>
      <rPr>
        <b/>
        <sz val="10"/>
        <rFont val="Arial"/>
        <family val="2"/>
      </rPr>
      <t>D</t>
    </r>
    <r>
      <rPr>
        <b/>
        <vertAlign val="subscript"/>
        <sz val="10"/>
        <rFont val="Arial"/>
        <family val="2"/>
      </rPr>
      <t>QMAX</t>
    </r>
  </si>
  <si>
    <r>
      <rPr>
        <b/>
        <sz val="10"/>
        <rFont val="Arial"/>
        <family val="2"/>
      </rPr>
      <t>D</t>
    </r>
    <r>
      <rPr>
        <b/>
        <vertAlign val="subscript"/>
        <sz val="10"/>
        <rFont val="Arial"/>
        <family val="2"/>
      </rPr>
      <t>Q</t>
    </r>
  </si>
  <si>
    <r>
      <t>X̅</t>
    </r>
    <r>
      <rPr>
        <b/>
        <vertAlign val="subscript"/>
        <sz val="10"/>
        <rFont val="Arial"/>
        <family val="2"/>
      </rPr>
      <t>N</t>
    </r>
  </si>
  <si>
    <r>
      <rPr>
        <b/>
        <sz val="10"/>
        <rFont val="Arial"/>
        <family val="2"/>
      </rPr>
      <t>N</t>
    </r>
    <r>
      <rPr>
        <b/>
        <vertAlign val="subscript"/>
        <sz val="10"/>
        <rFont val="Arial"/>
        <family val="2"/>
      </rPr>
      <t>C</t>
    </r>
  </si>
  <si>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</si>
  <si>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</si>
  <si>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</si>
  <si>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</si>
  <si>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</si>
  <si>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</si>
  <si>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</si>
  <si>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</si>
  <si>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</si>
  <si>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</si>
  <si>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</si>
  <si>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</si>
  <si>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</si>
  <si>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</si>
  <si>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</si>
  <si>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</si>
  <si>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</si>
  <si>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</si>
  <si>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</si>
  <si>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</si>
  <si>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</si>
  <si>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</si>
  <si>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</si>
  <si>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</si>
  <si>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</si>
  <si>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</si>
  <si>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</si>
  <si>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</si>
  <si>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</si>
  <si>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</si>
  <si>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</si>
  <si>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</si>
  <si>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</si>
  <si>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r>
      <rPr>
        <sz val="10"/>
        <rFont val="Arial"/>
        <family val="2"/>
      </rPr>
      <t>C</t>
    </r>
    <r>
      <rPr>
        <vertAlign val="subscript"/>
        <sz val="10"/>
        <rFont val="Arial"/>
        <family val="2"/>
      </rPr>
      <t>V_MAX</t>
    </r>
  </si>
  <si>
    <t>X &gt;=</t>
  </si>
  <si>
    <t>X &lt;</t>
  </si>
  <si>
    <r>
      <rPr>
        <sz val="10"/>
        <rFont val="Arial"/>
        <family val="2"/>
      </rPr>
      <t>D</t>
    </r>
    <r>
      <rPr>
        <vertAlign val="subscript"/>
        <sz val="10"/>
        <rFont val="Arial"/>
        <family val="2"/>
      </rPr>
      <t>QMAX / SAMPLE</t>
    </r>
  </si>
  <si>
    <t>N=3</t>
  </si>
  <si>
    <t>N=6</t>
  </si>
  <si>
    <t>N=10</t>
  </si>
  <si>
    <t>N=20</t>
  </si>
  <si>
    <t>N=40</t>
  </si>
  <si>
    <t>NAME\mL</t>
  </si>
  <si>
    <t>RAW CSV DATA</t>
  </si>
  <si>
    <t>BOTTLE 2</t>
  </si>
  <si>
    <t>BOTTLE 3</t>
  </si>
  <si>
    <r>
      <rPr>
        <sz val="10"/>
        <rFont val="Arial"/>
        <family val="2"/>
      </rPr>
      <t>X̅</t>
    </r>
    <r>
      <rPr>
        <vertAlign val="subscript"/>
        <sz val="11"/>
        <color rgb="FF000000"/>
        <rFont val="Calibri"/>
        <family val="2"/>
      </rPr>
      <t>N</t>
    </r>
    <r>
      <rPr>
        <sz val="11"/>
        <color rgb="FF000000"/>
        <rFont val="Calibri"/>
        <family val="2"/>
      </rPr>
      <t xml:space="preserve"> for First Sample</t>
    </r>
  </si>
  <si>
    <r>
      <rPr>
        <sz val="10"/>
        <rFont val="Arial"/>
        <family val="2"/>
      </rPr>
      <t>X̅</t>
    </r>
    <r>
      <rPr>
        <vertAlign val="subscript"/>
        <sz val="11"/>
        <color rgb="FF000000"/>
        <rFont val="Calibri"/>
        <family val="2"/>
      </rPr>
      <t>N</t>
    </r>
    <r>
      <rPr>
        <sz val="11"/>
        <color rgb="FF000000"/>
        <rFont val="Calibri"/>
        <family val="2"/>
      </rPr>
      <t xml:space="preserve"> for Second Sample</t>
    </r>
  </si>
  <si>
    <r>
      <rPr>
        <sz val="10"/>
        <rFont val="Arial"/>
        <family val="2"/>
      </rPr>
      <t>X̅</t>
    </r>
    <r>
      <rPr>
        <vertAlign val="subscript"/>
        <sz val="11"/>
        <color rgb="FF000000"/>
        <rFont val="Calibri"/>
        <family val="2"/>
      </rPr>
      <t>N</t>
    </r>
    <r>
      <rPr>
        <sz val="11"/>
        <color rgb="FF000000"/>
        <rFont val="Calibri"/>
        <family val="2"/>
      </rPr>
      <t xml:space="preserve"> for Third Sample</t>
    </r>
  </si>
  <si>
    <r>
      <t>Mean X̅</t>
    </r>
    <r>
      <rPr>
        <vertAlign val="subscript"/>
        <sz val="11"/>
        <color rgb="FF000000"/>
        <rFont val="Calibri"/>
        <family val="2"/>
      </rPr>
      <t>N</t>
    </r>
    <r>
      <rPr>
        <sz val="11"/>
        <color rgb="FF000000"/>
        <rFont val="Calibri"/>
        <family val="2"/>
      </rPr>
      <t xml:space="preserve"> </t>
    </r>
  </si>
  <si>
    <t>Threshold Voltage Setting</t>
  </si>
  <si>
    <t>Uncertainty
S</t>
  </si>
  <si>
    <t xml:space="preserve"> Particle Size</t>
  </si>
  <si>
    <t>Undiluted Particle Concentration</t>
  </si>
  <si>
    <t>Interpolated Threshold Voltage Setting</t>
  </si>
  <si>
    <t>particles per millilitre</t>
  </si>
  <si>
    <t>samples</t>
  </si>
  <si>
    <t>/ml</t>
  </si>
  <si>
    <t xml:space="preserve">µm(c) </t>
  </si>
  <si>
    <t>4-30um(c) threshold interpolation</t>
  </si>
  <si>
    <t>REF</t>
  </si>
  <si>
    <t>11171-00001</t>
  </si>
  <si>
    <t>BS110-HP BS2044</t>
  </si>
  <si>
    <t>Poly Spheres Concentrate Calculator</t>
  </si>
  <si>
    <t>microns</t>
  </si>
  <si>
    <t>diameter</t>
  </si>
  <si>
    <t>m^3</t>
  </si>
  <si>
    <t>volume of a sphere</t>
  </si>
  <si>
    <t>kg</t>
  </si>
  <si>
    <t>mass of a sphere</t>
  </si>
  <si>
    <t>spheres per mg</t>
  </si>
  <si>
    <t>Target concentration per ml</t>
  </si>
  <si>
    <t>mg/l</t>
  </si>
  <si>
    <t>spheres to add per liter</t>
  </si>
  <si>
    <t>litres</t>
  </si>
  <si>
    <t>Bottle / Rig volume</t>
  </si>
  <si>
    <t>mg</t>
  </si>
  <si>
    <t>Total mass of spheres to add</t>
  </si>
  <si>
    <t>Actual mass added</t>
  </si>
  <si>
    <t>N/ml</t>
  </si>
  <si>
    <t>Concentration expected</t>
  </si>
  <si>
    <t>Spheres added</t>
  </si>
  <si>
    <t>Adjusted volume required</t>
  </si>
  <si>
    <t>Extra volume to add</t>
  </si>
  <si>
    <t>Dilution</t>
  </si>
  <si>
    <t>Desired fluid quantity</t>
  </si>
  <si>
    <t>Desired final sphere concentration</t>
  </si>
  <si>
    <t>Desired final sphere concentration for analysis</t>
  </si>
  <si>
    <t>/bottle</t>
  </si>
  <si>
    <t>Desired sphere quantity total</t>
  </si>
  <si>
    <t>Required amount of concentrate</t>
  </si>
  <si>
    <t>Required amount of diluent</t>
  </si>
  <si>
    <t>Iterative Calculator for sliding window half-count method of PSL sphere threshold measurement</t>
  </si>
  <si>
    <t>Calibrated Channel Size</t>
  </si>
  <si>
    <t>μm(c)</t>
  </si>
  <si>
    <t>Channel Threshold (LPA-View value)</t>
  </si>
  <si>
    <t>Cumulative Counts / 100ml</t>
  </si>
  <si>
    <t>Differential Counts / 100ml</t>
  </si>
  <si>
    <t>D</t>
  </si>
  <si>
    <t>Data from Table 4</t>
  </si>
  <si>
    <t>Threshold Settings corresponding to Sizes of Interest</t>
  </si>
  <si>
    <r>
      <rPr>
        <sz val="10"/>
        <rFont val="Arial"/>
        <family val="2"/>
      </rPr>
      <t xml:space="preserve">Enter the particle sizes and corresponding threshold settings from Table 4 (also columns F and H of the Clause 6.9 worksheet) </t>
    </r>
    <r>
      <rPr>
        <u/>
        <sz val="11"/>
        <color rgb="FF000000"/>
        <rFont val="Calibri"/>
        <family val="2"/>
      </rPr>
      <t>in order of increasing value of particle size</t>
    </r>
    <r>
      <rPr>
        <sz val="11"/>
        <color rgb="FF000000"/>
        <rFont val="Calibri"/>
        <family val="2"/>
      </rPr>
      <t>.</t>
    </r>
  </si>
  <si>
    <r>
      <rPr>
        <sz val="10"/>
        <rFont val="Arial"/>
        <family val="2"/>
      </rPr>
      <t xml:space="preserve">Enter particle sizes of interest (that lie within the range of the data in column A) </t>
    </r>
    <r>
      <rPr>
        <u/>
        <sz val="11"/>
        <color rgb="FF000000"/>
        <rFont val="Calibri"/>
        <family val="2"/>
      </rPr>
      <t>in order of increasing particle size</t>
    </r>
    <r>
      <rPr>
        <sz val="11"/>
        <color rgb="FF000000"/>
        <rFont val="Calibri"/>
        <family val="2"/>
      </rPr>
      <t>. The corresponding interpolated threshold voltage settings are displayed in column D.</t>
    </r>
  </si>
  <si>
    <t>Particle Size</t>
  </si>
  <si>
    <t>Threshold Setting</t>
  </si>
  <si>
    <t>mV</t>
  </si>
  <si>
    <t>Thresholds to load</t>
  </si>
  <si>
    <t>ROUNDED</t>
  </si>
  <si>
    <t>THRESHOLD CALIBRATION</t>
  </si>
  <si>
    <r>
      <rPr>
        <sz val="10"/>
        <rFont val="Arial"/>
        <family val="2"/>
      </rPr>
      <t xml:space="preserve">Need &gt;10000 particles </t>
    </r>
    <r>
      <rPr>
        <b/>
        <sz val="10"/>
        <rFont val="Arial"/>
        <family val="2"/>
      </rPr>
      <t>at the smallest threshold setting</t>
    </r>
    <r>
      <rPr>
        <sz val="10"/>
        <rFont val="Arial"/>
        <family val="2"/>
      </rPr>
      <t xml:space="preserve"> for each sub-sample / test portion. </t>
    </r>
  </si>
  <si>
    <r>
      <rPr>
        <sz val="10"/>
        <rFont val="Arial"/>
        <family val="2"/>
      </rPr>
      <t xml:space="preserve">Need &gt;1000 particles </t>
    </r>
    <r>
      <rPr>
        <b/>
        <sz val="10"/>
        <rFont val="Arial"/>
        <family val="2"/>
      </rPr>
      <t>counted</t>
    </r>
    <r>
      <rPr>
        <sz val="10"/>
        <rFont val="Arial"/>
        <family val="2"/>
      </rPr>
      <t xml:space="preserve"> at each calibrated size, for each of the three calibration tests.</t>
    </r>
  </si>
  <si>
    <t>SRM2806D has 14/ml at 30um</t>
  </si>
  <si>
    <t>This implies we need at least 1000/14 = 71ml per test.</t>
  </si>
  <si>
    <t xml:space="preserve">At 21um we have 88.64/ml requiring 11.28ml counted volume per test which is more practical.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</si>
</sst>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numFmt numFmtId="165" formatCode="0.000"/>
    <numFmt numFmtId="166" formatCode="0.0"/>
    <numFmt numFmtId="167" formatCode="0.0%"/>
    <numFmt numFmtId="168" formatCode="0.000E+00"/>
  </numFmts>
  <fonts count="27" x14ac:knownFonts="1">
    <font>
      <sz val="10"/>
      <name val="Arial"/>
      <family val="2"/>
    </font>
    <font>
      <sz val="11"/>
      <color theme="1"/>
      <name val="Arial"/>
      <family val="2"/>
      <scheme val="minor"/>
    </font>
    <font>
      <sz val="10"/>
      <name val="Arial"/>
      <family val="2"/>
    </font>
    <font>
      <sz val="24"/>
      <color rgb="FFC00000"/>
      <name val="Arial Black"/>
      <family val="2"/>
    </font>
    <font>
      <sz val="12"/>
      <name val="Arial Black"/>
      <family val="2"/>
    </font>
    <font>
      <b/>
      <sz val="10"/>
      <name val="Arial Black"/>
      <family val="2"/>
    </font>
    <font>
      <b/>
      <sz val="12"/>
      <name val="Calibri"/>
      <family val="2"/>
    </font>
    <font>
      <sz val="10"/>
      <name val="Calibri"/>
      <family val="2"/>
    </font>
    <font>
      <sz val="10"/>
      <color theme="1"/>
      <name val="Arial"/>
      <family val="2"/>
      <scheme val="minor"/>
    </font>
    <font>
      <b/>
      <sz val="10"/>
      <name val="Calibri"/>
      <family val="2"/>
    </font>
    <font>
      <b/>
      <sz val="10"/>
      <name val="Arial"/>
      <family val="2"/>
    </font>
    <font>
      <sz val="10"/>
      <color rgb="FF006600"/>
      <name val="Arial"/>
      <family val="2"/>
    </font>
    <font>
      <sz val="32"/>
      <name val="Arial"/>
      <family val="2"/>
    </font>
    <font>
      <b/>
      <sz val="10"/>
      <color rgb="FFFC5C00"/>
      <name val="Arial"/>
      <family val="2"/>
    </font>
    <font>
      <b/>
      <vertAlign val="subscript"/>
      <sz val="10"/>
      <name val="Arial"/>
      <family val="2"/>
    </font>
    <font>
      <vertAlign val="subscript"/>
      <sz val="10"/>
      <name val="Arial"/>
      <family val="2"/>
    </font>
    <font>
      <i/>
      <sz val="10"/>
      <color theme="2" tint="-0.499984740745262"/>
      <name val="Arial"/>
      <family val="2"/>
    </font>
    <font>
      <b/>
      <i/>
      <sz val="10"/>
      <color theme="2" tint="-0.499984740745262"/>
      <name val="Arial"/>
      <family val="2"/>
    </font>
    <font>
      <b/>
      <sz val="20"/>
      <color rgb="FFFF0000"/>
      <name val="Arial"/>
      <family val="2"/>
    </font>
    <font>
      <vertAlign val="subscript"/>
      <sz val="11"/>
      <color rgb="FF000000"/>
      <name val="Calibri"/>
      <family val="2"/>
    </font>
    <font>
      <sz val="11"/>
      <color rgb="FF000000"/>
      <name val="Calibri"/>
      <family val="2"/>
    </font>
    <font>
      <b/>
      <u/>
      <sz val="10"/>
      <name val="Arial"/>
      <family val="2"/>
    </font>
    <font>
      <b/>
      <u/>
      <sz val="10"/>
      <color theme="4" tint="0.39997558519241921"/>
      <name val="Arial"/>
      <family val="2"/>
    </font>
    <font>
      <i/>
      <sz val="10"/>
      <name val="Arial"/>
      <family val="2"/>
    </font>
    <font>
      <u/>
      <sz val="11"/>
      <color rgb="FF000000"/>
      <name val="Calibri"/>
      <family val="2"/>
    </font>
    <font>
      <b/>
      <sz val="10"/>
      <color rgb="FF006600"/>
      <name val="Arial"/>
      <family val="2"/>
    </font>
    <font>
      <b/>
      <sz val="32"/>
      <color rgb="FFFC5C00"/>
      <name val="Arial"/>
      <family val="2"/>
    </font>
  </fonts>
  <fills count="9">
    <fill>
      <patternFill patternType="none"/>
    </fill>
    <fill>
      <patternFill patternType="gray125"/>
    </fill>
    <fill>
      <patternFill patternType="solid">
        <fgColor theme="5" tint="0.79998168889431442"/>
        <bgColor indexed="65"/>
      </patternFill>
    </fill>
    <fill>
      <patternFill patternType="solid">
        <fgColor rgb="FFCCFFCC"/>
        <bgColor rgb="FFCCF4C6"/>
      </patternFill>
    </fill>
    <fill>
      <patternFill patternType="solid">
        <fgColor theme="2" tint="-4.9989318521683403E-2"/>
        <bgColor rgb="FFB3B3B3"/>
      </patternFill>
    </fill>
    <fill>
      <patternFill patternType="solid">
        <fgColor theme="2" tint="-4.9989318521683403E-2"/>
        <bgColor indexed="64"/>
      </patternFill>
    </fill>
    <fill>
      <patternFill patternType="solid">
        <fgColor theme="8" tint="0.79998168889431442"/>
        <bgColor rgb="FFCCFFCC"/>
      </patternFill>
    </fill>
    <fill>
      <patternFill patternType="solid">
        <fgColor theme="5" tint="0.79998168889431442"/>
        <bgColor rgb="FFC0C0C0"/>
      </patternFill>
    </fill>
    <fill>
      <patternFill patternType="solid">
        <fgColor rgb="FFC0C0C0"/>
        <bgColor rgb="FFB3B3B3"/>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style="thin">
        <color auto="1"/>
      </top>
      <bottom style="thin">
        <color auto="1"/>
      </bottom>
      <diagonal/>
    </border>
  </borders>
  <cellStyleXfs count="4">
    <xf numFmtId="0" fontId="0" fillId="0" borderId="0"/>
    <xf numFmtId="9" fontId="2" fillId="0" borderId="0" applyFont="0" applyFill="0" applyBorder="0" applyAlignment="0" applyProtection="0"/>
    <xf numFmtId="0" fontId="11" fillId="3" borderId="0" applyBorder="0" applyAlignment="0" applyProtection="0"/>
    <xf numFmtId="0" fontId="1" fillId="2" borderId="0" applyNumberFormat="0" applyBorder="0" applyAlignment="0" applyProtection="0"/>
  </cellStyleXfs>
  <cellXfs count="123">
    <xf numFmtId="0" fontId="0" fillId="0" borderId="0" xfId="0"/>
    <xf numFmtId="0" fontId="3" fillId="0" borderId="0" xfId="0" applyFont="1" applyAlignment="1">
      <alignment vertical="center"/>
    </xf>
    <xf numFmtId="0" fontId="0" fillId="0" borderId="0" xfId="0" applyAlignment="1">
      <alignment vertical="center"/>
    </xf>
    <xf numFmtId="0" fontId="0" fillId="0" borderId="0" xfId="0" applyAlignment="1">
      <alignment vertical="center" wrapText="1"/>
    </xf>
    <xf numFmtId="0" fontId="4" fillId="0" borderId="0" xfId="0" applyFont="1"/>
    <xf numFmtId="0" fontId="5" fillId="0" borderId="1" xfId="0" applyFont="1" applyBorder="1" applyAlignment="1">
      <alignment horizontal="left"/>
    </xf>
    <xf numFmtId="0" fontId="0" fillId="0" borderId="2" xfId="0" applyBorder="1" applyAlignment="1">
      <alignment horizontal="right"/>
    </xf>
    <xf numFmtId="0" fontId="1" fillId="2" borderId="2" xfId="3" applyBorder="1" applyAlignment="1">
      <alignment horizontal="right"/>
    </xf>
    <xf numFmtId="0" fontId="0" fillId="0" borderId="3" xfId="0" applyBorder="1"/>
    <xf numFmtId="0" fontId="6" fillId="0" borderId="0" xfId="0" applyFont="1"/>
    <xf numFmtId="0" fontId="7" fillId="0" borderId="0" xfId="0" applyFont="1"/>
    <xf numFmtId="0" fontId="0" fillId="0" borderId="0" xfId="0" applyAlignment="1">
      <alignment horizontal="right" vertical="center"/>
    </xf>
    <xf numFmtId="0" fontId="8" fillId="2" borderId="0" xfId="3" applyFont="1"/>
    <xf numFmtId="0" fontId="2" fillId="0" borderId="0" xfId="0" applyFont="1"/>
    <xf numFmtId="0" fontId="0" fillId="0" borderId="4" xfId="0" applyBorder="1" applyAlignment="1">
      <alignment horizontal="left"/>
    </xf>
    <xf numFmtId="0" fontId="0" fillId="0" borderId="0" xfId="0" applyAlignment="1">
      <alignment horizontal="right"/>
    </xf>
    <xf numFmtId="0" fontId="0" fillId="0" borderId="5" xfId="0" applyBorder="1"/>
    <xf numFmtId="164" fontId="9" fillId="0" borderId="0" xfId="0" applyNumberFormat="1" applyFont="1" applyAlignment="1">
      <alignment horizontal="left"/>
    </xf>
    <xf numFmtId="0" fontId="10" fillId="0" borderId="4" xfId="0" applyFont="1" applyBorder="1" applyAlignment="1">
      <alignment horizontal="right"/>
    </xf>
    <xf numFmtId="0" fontId="10" fillId="0" borderId="0" xfId="0" applyFont="1" applyAlignment="1">
      <alignment horizontal="right"/>
    </xf>
    <xf numFmtId="164" fontId="7" fillId="0" borderId="0" xfId="0" applyNumberFormat="1" applyFont="1" applyAlignment="1">
      <alignment horizontal="left"/>
    </xf>
    <xf numFmtId="0" fontId="0" fillId="0" borderId="4" xfId="0" applyBorder="1"/>
    <xf numFmtId="1" fontId="0" fillId="0" borderId="0" xfId="0" applyNumberFormat="1"/>
    <xf numFmtId="0" fontId="9" fillId="0" borderId="0" xfId="0" applyFont="1" applyAlignment="1">
      <alignment horizontal="left"/>
    </xf>
    <xf numFmtId="0" fontId="9" fillId="0" borderId="0" xfId="0" applyFont="1"/>
    <xf numFmtId="0" fontId="7" fillId="0" borderId="0" xfId="0" applyFont="1" applyAlignment="1">
      <alignment horizontal="left"/>
    </xf>
    <xf numFmtId="164" fontId="0" fillId="0" borderId="0" xfId="0" applyNumberFormat="1" applyAlignment="1">
      <alignment horizontal="right" vertical="center"/>
    </xf>
    <xf numFmtId="2" fontId="2" fillId="0" borderId="0" xfId="0" applyNumberFormat="1" applyFont="1"/>
    <xf numFmtId="2" fontId="8" fillId="2" borderId="0" xfId="3" applyNumberFormat="1" applyFont="1"/>
    <xf numFmtId="0" fontId="0" fillId="0" borderId="0" xfId="0" applyAlignment="1">
      <alignment horizontal="left"/>
    </xf>
    <xf numFmtId="165" fontId="11" fillId="3" borderId="0" xfId="2" applyNumberFormat="1"/>
    <xf numFmtId="0" fontId="1" fillId="2" borderId="0" xfId="3" applyAlignment="1">
      <alignment horizontal="left"/>
    </xf>
    <xf numFmtId="0" fontId="0" fillId="0" borderId="4" xfId="0" applyBorder="1" applyAlignment="1">
      <alignment horizontal="right"/>
    </xf>
    <xf numFmtId="165" fontId="0" fillId="0" borderId="0" xfId="0" applyNumberFormat="1" applyAlignment="1">
      <alignment horizontal="left"/>
    </xf>
    <xf numFmtId="166" fontId="0" fillId="0" borderId="0" xfId="0" applyNumberFormat="1"/>
    <xf numFmtId="0" fontId="0" fillId="0" borderId="6" xfId="0" applyBorder="1"/>
    <xf numFmtId="1" fontId="0" fillId="0" borderId="7" xfId="0" applyNumberFormat="1" applyBorder="1"/>
    <xf numFmtId="0" fontId="0" fillId="0" borderId="8" xfId="0" applyBorder="1"/>
    <xf numFmtId="0" fontId="12" fillId="0" borderId="0" xfId="0" applyFont="1" applyAlignment="1">
      <alignment horizontal="left" vertical="center"/>
    </xf>
    <xf numFmtId="0" fontId="13" fillId="0" borderId="0" xfId="0" applyFont="1"/>
    <xf numFmtId="0" fontId="10" fillId="0" borderId="9" xfId="0" applyFont="1" applyBorder="1"/>
    <xf numFmtId="0" fontId="10" fillId="0" borderId="0" xfId="0" applyFont="1"/>
    <xf numFmtId="164" fontId="10" fillId="0" borderId="10" xfId="0" applyNumberFormat="1" applyFont="1" applyBorder="1"/>
    <xf numFmtId="0" fontId="12" fillId="0" borderId="0" xfId="0" applyFont="1"/>
    <xf numFmtId="0" fontId="10" fillId="0" borderId="10" xfId="0" applyFont="1" applyBorder="1" applyAlignment="1">
      <alignment horizontal="right"/>
    </xf>
    <xf numFmtId="164" fontId="0" fillId="0" borderId="0" xfId="0" applyNumberFormat="1"/>
    <xf numFmtId="0" fontId="10" fillId="0" borderId="11" xfId="0" applyFont="1" applyBorder="1" applyAlignment="1">
      <alignment horizontal="right" wrapText="1"/>
    </xf>
    <xf numFmtId="165" fontId="0" fillId="0" borderId="0" xfId="0" applyNumberFormat="1"/>
    <xf numFmtId="166" fontId="10" fillId="0" borderId="0" xfId="0" applyNumberFormat="1" applyFont="1" applyAlignment="1">
      <alignment horizontal="right"/>
    </xf>
    <xf numFmtId="167" fontId="0" fillId="0" borderId="0" xfId="0" applyNumberFormat="1"/>
    <xf numFmtId="166" fontId="10" fillId="0" borderId="0" xfId="0" applyNumberFormat="1" applyFont="1"/>
    <xf numFmtId="1" fontId="0" fillId="0" borderId="0" xfId="0" applyNumberFormat="1" applyAlignment="1">
      <alignment horizontal="right"/>
    </xf>
    <xf numFmtId="167" fontId="0" fillId="0" borderId="0" xfId="1" applyNumberFormat="1" applyFont="1"/>
    <xf numFmtId="10" fontId="0" fillId="0" borderId="0" xfId="0" applyNumberFormat="1"/>
    <xf numFmtId="0" fontId="0" fillId="0" borderId="12" xfId="0" applyBorder="1"/>
    <xf numFmtId="0" fontId="0" fillId="0" borderId="13" xfId="0" applyBorder="1" applyAlignment="1">
      <alignment horizontal="right"/>
    </xf>
    <xf numFmtId="0" fontId="0" fillId="0" borderId="12" xfId="0" applyBorder="1" applyAlignment="1">
      <alignment horizontal="right"/>
    </xf>
    <xf numFmtId="0" fontId="0" fillId="0" borderId="13" xfId="0" applyBorder="1"/>
    <xf numFmtId="0" fontId="0" fillId="0" borderId="14" xfId="0" applyBorder="1"/>
    <xf numFmtId="0" fontId="0" fillId="0" borderId="15" xfId="0" applyBorder="1" applyAlignment="1">
      <alignment horizontal="right"/>
    </xf>
    <xf numFmtId="0" fontId="0" fillId="0" borderId="16" xfId="0" applyBorder="1" applyAlignment="1">
      <alignment horizontal="right"/>
    </xf>
    <xf numFmtId="0" fontId="0" fillId="0" borderId="17" xfId="0" applyBorder="1" applyAlignment="1">
      <alignment horizontal="right"/>
    </xf>
    <xf numFmtId="0" fontId="0" fillId="0" borderId="18" xfId="0" applyBorder="1"/>
    <xf numFmtId="0" fontId="0" fillId="0" borderId="19" xfId="0" applyBorder="1"/>
    <xf numFmtId="0" fontId="0" fillId="0" borderId="15" xfId="0" applyBorder="1"/>
    <xf numFmtId="0" fontId="0" fillId="0" borderId="16" xfId="0" applyBorder="1"/>
    <xf numFmtId="0" fontId="0" fillId="0" borderId="17" xfId="0" applyBorder="1"/>
    <xf numFmtId="0" fontId="1" fillId="2" borderId="0" xfId="3"/>
    <xf numFmtId="0" fontId="10" fillId="0" borderId="11" xfId="0" applyFont="1" applyBorder="1" applyAlignment="1">
      <alignment horizontal="right"/>
    </xf>
    <xf numFmtId="0" fontId="16" fillId="0" borderId="0" xfId="0" applyFont="1"/>
    <xf numFmtId="0" fontId="17" fillId="0" borderId="0" xfId="0" applyFont="1" applyAlignment="1">
      <alignment horizontal="right"/>
    </xf>
    <xf numFmtId="0" fontId="17" fillId="0" borderId="0" xfId="0" applyFont="1"/>
    <xf numFmtId="0" fontId="18" fillId="0" borderId="0" xfId="0" applyFont="1"/>
    <xf numFmtId="0" fontId="0" fillId="0" borderId="0" xfId="0" applyAlignment="1">
      <alignment vertical="center" wrapText="1"/>
    </xf>
    <xf numFmtId="0" fontId="0" fillId="4" borderId="20" xfId="0" applyFill="1" applyBorder="1" applyAlignment="1">
      <alignment horizontal="center" vertical="center" wrapText="1"/>
    </xf>
    <xf numFmtId="0" fontId="0" fillId="4" borderId="20" xfId="0" applyFill="1" applyBorder="1" applyAlignment="1">
      <alignment horizontal="center" wrapText="1"/>
    </xf>
    <xf numFmtId="0" fontId="10" fillId="5" borderId="20" xfId="0" applyFont="1" applyFill="1" applyBorder="1" applyAlignment="1">
      <alignment horizontal="center"/>
    </xf>
    <xf numFmtId="0" fontId="10" fillId="5" borderId="20" xfId="0" applyFont="1" applyFill="1" applyBorder="1" applyAlignment="1">
      <alignment horizontal="center" wrapText="1"/>
    </xf>
    <xf numFmtId="0" fontId="0" fillId="5" borderId="20" xfId="0" applyFill="1" applyBorder="1" applyAlignment="1">
      <alignment horizontal="center" vertical="center"/>
    </xf>
    <xf numFmtId="0" fontId="0" fillId="5" borderId="20" xfId="0" applyFill="1" applyBorder="1" applyAlignment="1">
      <alignment horizontal="center" wrapText="1"/>
    </xf>
    <xf numFmtId="0" fontId="0" fillId="5" borderId="20" xfId="0" applyFill="1" applyBorder="1" applyAlignment="1">
      <alignment horizontal="center"/>
    </xf>
    <xf numFmtId="0" fontId="20" fillId="5" borderId="20" xfId="0" applyFont="1" applyFill="1" applyBorder="1" applyAlignment="1">
      <alignment horizontal="center"/>
    </xf>
    <xf numFmtId="0" fontId="21" fillId="0" borderId="0" xfId="0" applyFont="1" applyAlignment="1">
      <alignment horizontal="right"/>
    </xf>
    <xf numFmtId="10" fontId="22" fillId="0" borderId="0" xfId="0" applyNumberFormat="1" applyFont="1" applyAlignment="1">
      <alignment horizontal="right"/>
    </xf>
    <xf numFmtId="166" fontId="0" fillId="6" borderId="11" xfId="0" applyNumberFormat="1" applyFill="1" applyBorder="1"/>
    <xf numFmtId="0" fontId="0" fillId="7" borderId="20" xfId="0" applyFill="1" applyBorder="1"/>
    <xf numFmtId="0" fontId="0" fillId="0" borderId="20" xfId="0" applyBorder="1"/>
    <xf numFmtId="1" fontId="10" fillId="0" borderId="20" xfId="0" applyNumberFormat="1" applyFont="1" applyBorder="1"/>
    <xf numFmtId="166" fontId="0" fillId="6" borderId="20" xfId="0" applyNumberFormat="1" applyFill="1" applyBorder="1"/>
    <xf numFmtId="3" fontId="0" fillId="0" borderId="0" xfId="0" applyNumberFormat="1"/>
    <xf numFmtId="0" fontId="9" fillId="0" borderId="0" xfId="0" applyFont="1" applyAlignment="1">
      <alignment horizontal="right"/>
    </xf>
    <xf numFmtId="164" fontId="9" fillId="0" borderId="0" xfId="0" applyNumberFormat="1" applyFont="1" applyAlignment="1">
      <alignment horizontal="right"/>
    </xf>
    <xf numFmtId="0" fontId="7" fillId="0" borderId="0" xfId="0" applyFont="1" applyAlignment="1">
      <alignment horizontal="right"/>
    </xf>
    <xf numFmtId="164" fontId="7" fillId="0" borderId="0" xfId="0" applyNumberFormat="1" applyFont="1" applyAlignment="1">
      <alignment horizontal="right"/>
    </xf>
    <xf numFmtId="0" fontId="0" fillId="0" borderId="0" xfId="0" applyProtection="1">
      <protection locked="0"/>
    </xf>
    <xf numFmtId="0" fontId="0" fillId="0" borderId="12" xfId="0" applyBorder="1" applyProtection="1">
      <protection locked="0"/>
    </xf>
    <xf numFmtId="0" fontId="0" fillId="0" borderId="13" xfId="0" applyBorder="1" applyProtection="1">
      <protection locked="0"/>
    </xf>
    <xf numFmtId="0" fontId="0" fillId="0" borderId="14" xfId="0" applyBorder="1" applyProtection="1">
      <protection locked="0"/>
    </xf>
    <xf numFmtId="0" fontId="10" fillId="0" borderId="12" xfId="0" applyFont="1" applyBorder="1" applyProtection="1">
      <protection locked="0"/>
    </xf>
    <xf numFmtId="168" fontId="0" fillId="0" borderId="18" xfId="0" applyNumberFormat="1" applyBorder="1" applyProtection="1">
      <protection locked="0"/>
    </xf>
    <xf numFmtId="0" fontId="0" fillId="0" borderId="19" xfId="0" applyBorder="1" applyProtection="1">
      <protection locked="0"/>
    </xf>
    <xf numFmtId="0" fontId="10" fillId="0" borderId="18" xfId="0" applyFont="1" applyBorder="1" applyProtection="1">
      <protection locked="0"/>
    </xf>
    <xf numFmtId="2" fontId="0" fillId="0" borderId="18" xfId="0" applyNumberFormat="1" applyBorder="1" applyProtection="1">
      <protection locked="0"/>
    </xf>
    <xf numFmtId="1" fontId="10" fillId="0" borderId="18" xfId="0" applyNumberFormat="1" applyFont="1" applyBorder="1" applyProtection="1">
      <protection locked="0"/>
    </xf>
    <xf numFmtId="1" fontId="0" fillId="0" borderId="18" xfId="0" applyNumberFormat="1" applyBorder="1" applyProtection="1">
      <protection locked="0"/>
    </xf>
    <xf numFmtId="166" fontId="0" fillId="0" borderId="18" xfId="0" applyNumberFormat="1" applyBorder="1"/>
    <xf numFmtId="0" fontId="10" fillId="0" borderId="18" xfId="0" applyFont="1" applyBorder="1"/>
    <xf numFmtId="0" fontId="23" fillId="0" borderId="12" xfId="0" applyFont="1" applyBorder="1"/>
    <xf numFmtId="0" fontId="21" fillId="0" borderId="13" xfId="0" applyFont="1" applyBorder="1"/>
    <xf numFmtId="0" fontId="23" fillId="0" borderId="14" xfId="0" applyFont="1" applyBorder="1"/>
    <xf numFmtId="0" fontId="23" fillId="0" borderId="0" xfId="0" applyFont="1"/>
    <xf numFmtId="10" fontId="21" fillId="0" borderId="0" xfId="0" applyNumberFormat="1" applyFont="1"/>
    <xf numFmtId="0" fontId="20" fillId="8" borderId="20" xfId="0" applyFont="1" applyFill="1" applyBorder="1" applyAlignment="1">
      <alignment horizontal="center"/>
    </xf>
    <xf numFmtId="0" fontId="0" fillId="8" borderId="20" xfId="0" applyFill="1" applyBorder="1" applyAlignment="1">
      <alignment wrapText="1"/>
    </xf>
    <xf numFmtId="0" fontId="20" fillId="8" borderId="20" xfId="0" applyFont="1" applyFill="1" applyBorder="1" applyAlignment="1">
      <alignment horizontal="center" vertical="center"/>
    </xf>
    <xf numFmtId="0" fontId="20" fillId="8" borderId="20" xfId="0" applyFont="1" applyFill="1" applyBorder="1" applyAlignment="1">
      <alignment horizontal="center" vertical="center" wrapText="1"/>
    </xf>
    <xf numFmtId="0" fontId="20" fillId="8" borderId="20" xfId="0" applyFont="1" applyFill="1" applyBorder="1" applyAlignment="1">
      <alignment horizontal="center" wrapText="1"/>
    </xf>
    <xf numFmtId="0" fontId="20" fillId="8" borderId="20" xfId="0" applyFont="1" applyFill="1" applyBorder="1" applyAlignment="1">
      <alignment horizontal="center"/>
    </xf>
    <xf numFmtId="1" fontId="10" fillId="0" borderId="0" xfId="0" applyNumberFormat="1" applyFont="1"/>
    <xf numFmtId="0" fontId="11" fillId="3" borderId="0" xfId="2"/>
    <xf numFmtId="0" fontId="25" fillId="3" borderId="0" xfId="2" applyFont="1"/>
    <xf numFmtId="2" fontId="0" fillId="0" borderId="0" xfId="0" applyNumberFormat="1"/>
    <xf numFmtId="0" fontId="26" fillId="0" borderId="0" xfId="0" applyFont="1" applyAlignment="1">
      <alignment vertical="center"/>
    </xf>
  </cellXfs>
  <cellStyles count="4">
    <cellStyle name="20% - Accent2" xfId="3" builtinId="34"/>
    <cellStyle name="Good" xfId="2" builtinId="26"/>
    <cellStyle name="Normal" xfId="0" builtinId="0"/>
    <cellStyle name="Percent" xfId="1" builtinId="5"/>
  </cellStyles>
  <dxfs count="7">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'6 - B1'!$A$9</c:f>
              <c:strCache>
                <c:ptCount val="1"/>
                <c:pt idx="0">
                  <c:v>count_4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'6 - B1'!$O$9:$S$9</c:f>
              <c:numCache>
                <c:formatCode>0.0%</c:formatCode>
                <c:ptCount val="5"/>
                <c:pt idx="0">
                  <c:v>2.430771760394923E-2</c:v>
                </c:pt>
                <c:pt idx="1">
                  <c:v>-3.6321832977500801E-2</c:v>
                </c:pt>
                <c:pt idx="2">
                  <c:v>1.5150489898519082E-2</c:v>
                </c:pt>
                <c:pt idx="3">
                  <c:v>-1.6301037262087426E-2</c:v>
                </c:pt>
                <c:pt idx="4">
                  <c:v>1.3164662737119803E-2</c:v>
                </c:pt>
              </c:numCache>
            </c:numRef>
          </c:val>
          <c:smooth val="0"/>
          <c:extLst>
            <c:ext xmlns:c16="http://schemas.microsoft.com/office/drawing/2014/chart" uri="{C3380CC4-5D6E-409C-BE32-E72D297353CC}">
              <c16:uniqueId val="{00000000-3A04-4B7C-9495-17C2012AC6CD}"/>
            </c:ext>
          </c:extLst>
        </c:ser>
        <c:ser>
          <c:idx val="1"/>
          <c:order val="1"/>
          <c:tx>
            <c:strRef>
              <c:f>'6 - B1'!$A$10</c:f>
              <c:strCache>
                <c:ptCount val="1"/>
                <c:pt idx="0">
                  <c:v>count_5</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'6 - B1'!$O$10:$S$10</c:f>
              <c:numCache>
                <c:formatCode>0.0%</c:formatCode>
                <c:ptCount val="5"/>
                <c:pt idx="0">
                  <c:v>2.3174902688744003E-2</c:v>
                </c:pt>
                <c:pt idx="1">
                  <c:v>-3.470506351639302E-2</c:v>
                </c:pt>
                <c:pt idx="2">
                  <c:v>1.7757780208313312E-2</c:v>
                </c:pt>
                <c:pt idx="3">
                  <c:v>-1.7398561895008768E-2</c:v>
                </c:pt>
                <c:pt idx="4">
                  <c:v>1.1170942514344251E-2</c:v>
                </c:pt>
              </c:numCache>
            </c:numRef>
          </c:val>
          <c:smooth val="0"/>
          <c:extLst>
            <c:ext xmlns:c16="http://schemas.microsoft.com/office/drawing/2014/chart" uri="{C3380CC4-5D6E-409C-BE32-E72D297353CC}">
              <c16:uniqueId val="{00000001-3A04-4B7C-9495-17C2012AC6CD}"/>
            </c:ext>
          </c:extLst>
        </c:ser>
        <c:ser>
          <c:idx val="2"/>
          <c:order val="2"/>
          <c:tx>
            <c:strRef>
              <c:f>'6 - B1'!$A$11</c:f>
              <c:strCache>
                <c:ptCount val="1"/>
                <c:pt idx="0">
                  <c:v>count_6</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'6 - B1'!$O$11:$S$11</c:f>
              <c:numCache>
                <c:formatCode>0.0%</c:formatCode>
                <c:ptCount val="5"/>
                <c:pt idx="0">
                  <c:v>2.2360610181896501E-2</c:v>
                </c:pt>
                <c:pt idx="1">
                  <c:v>-3.2023873430224392E-2</c:v>
                </c:pt>
                <c:pt idx="2">
                  <c:v>1.8664576300954305E-2</c:v>
                </c:pt>
                <c:pt idx="3">
                  <c:v>-1.8373777485373055E-2</c:v>
                </c:pt>
                <c:pt idx="4">
                  <c:v>9.372464432745975E-3</c:v>
                </c:pt>
              </c:numCache>
            </c:numRef>
          </c:val>
          <c:smooth val="0"/>
          <c:extLst>
            <c:ext xmlns:c16="http://schemas.microsoft.com/office/drawing/2014/chart" uri="{C3380CC4-5D6E-409C-BE32-E72D297353CC}">
              <c16:uniqueId val="{00000002-3A04-4B7C-9495-17C2012AC6CD}"/>
            </c:ext>
          </c:extLst>
        </c:ser>
        <c:ser>
          <c:idx val="3"/>
          <c:order val="3"/>
          <c:tx>
            <c:strRef>
              <c:f>'6 - B1'!$A$12</c:f>
              <c:strCache>
                <c:ptCount val="1"/>
                <c:pt idx="0">
                  <c:v>count_7</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'6 - B1'!$O$12:$S$12</c:f>
              <c:numCache>
                <c:formatCode>0.0%</c:formatCode>
                <c:ptCount val="5"/>
                <c:pt idx="0">
                  <c:v>2.3462655395180665E-2</c:v>
                </c:pt>
                <c:pt idx="1">
                  <c:v>-3.0624584037989955E-2</c:v>
                </c:pt>
                <c:pt idx="2">
                  <c:v>1.9789952788564102E-2</c:v>
                </c:pt>
                <c:pt idx="3">
                  <c:v>-2.1109137370581177E-2</c:v>
                </c:pt>
                <c:pt idx="4">
                  <c:v>8.4811132248265864E-3</c:v>
                </c:pt>
              </c:numCache>
            </c:numRef>
          </c:val>
          <c:smooth val="0"/>
          <c:extLst>
            <c:ext xmlns:c16="http://schemas.microsoft.com/office/drawing/2014/chart" uri="{C3380CC4-5D6E-409C-BE32-E72D297353CC}">
              <c16:uniqueId val="{00000003-3A04-4B7C-9495-17C2012AC6CD}"/>
            </c:ext>
          </c:extLst>
        </c:ser>
        <c:ser>
          <c:idx val="4"/>
          <c:order val="4"/>
          <c:tx>
            <c:strRef>
              <c:f>'6 - B1'!$A$13</c:f>
              <c:strCache>
                <c:ptCount val="1"/>
                <c:pt idx="0">
                  <c:v>count_8</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'6 - B1'!$O$13:$S$13</c:f>
              <c:numCache>
                <c:formatCode>0.0%</c:formatCode>
                <c:ptCount val="5"/>
                <c:pt idx="0">
                  <c:v>2.7817053552598336E-2</c:v>
                </c:pt>
                <c:pt idx="1">
                  <c:v>-3.055554579057207E-2</c:v>
                </c:pt>
                <c:pt idx="2">
                  <c:v>2.0016387515724876E-2</c:v>
                </c:pt>
                <c:pt idx="3">
                  <c:v>-2.3733914024111957E-2</c:v>
                </c:pt>
                <c:pt idx="4">
                  <c:v>6.4560187463607033E-3</c:v>
                </c:pt>
              </c:numCache>
            </c:numRef>
          </c:val>
          <c:smooth val="0"/>
          <c:extLst>
            <c:ext xmlns:c16="http://schemas.microsoft.com/office/drawing/2014/chart" uri="{C3380CC4-5D6E-409C-BE32-E72D297353CC}">
              <c16:uniqueId val="{00000004-3A04-4B7C-9495-17C2012AC6CD}"/>
            </c:ext>
          </c:extLst>
        </c:ser>
        <c:ser>
          <c:idx val="5"/>
          <c:order val="5"/>
          <c:tx>
            <c:strRef>
              <c:f>'6 - B1'!$A$14</c:f>
              <c:strCache>
                <c:ptCount val="1"/>
                <c:pt idx="0">
                  <c:v>count_9</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val>
            <c:numRef>
              <c:f>'6 - B1'!$O$14:$S$14</c:f>
              <c:numCache>
                <c:formatCode>0.0%</c:formatCode>
                <c:ptCount val="5"/>
                <c:pt idx="0">
                  <c:v>3.3149109862779191E-2</c:v>
                </c:pt>
                <c:pt idx="1">
                  <c:v>-2.9615764192839955E-2</c:v>
                </c:pt>
                <c:pt idx="2">
                  <c:v>1.8161960714699887E-2</c:v>
                </c:pt>
                <c:pt idx="3">
                  <c:v>-2.4304473029065687E-2</c:v>
                </c:pt>
                <c:pt idx="4">
                  <c:v>2.6091666444265638E-3</c:v>
                </c:pt>
              </c:numCache>
            </c:numRef>
          </c:val>
          <c:smooth val="0"/>
          <c:extLst>
            <c:ext xmlns:c16="http://schemas.microsoft.com/office/drawing/2014/chart" uri="{C3380CC4-5D6E-409C-BE32-E72D297353CC}">
              <c16:uniqueId val="{00000005-3A04-4B7C-9495-17C2012AC6CD}"/>
            </c:ext>
          </c:extLst>
        </c:ser>
        <c:ser>
          <c:idx val="6"/>
          <c:order val="6"/>
          <c:tx>
            <c:strRef>
              <c:f>'6 - B1'!$A$15</c:f>
              <c:strCache>
                <c:ptCount val="1"/>
                <c:pt idx="0">
                  <c:v>count_10</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val>
            <c:numRef>
              <c:f>'6 - B1'!$O$15:$S$15</c:f>
              <c:numCache>
                <c:formatCode>0.0%</c:formatCode>
                <c:ptCount val="5"/>
                <c:pt idx="0">
                  <c:v>3.4562480885776958E-2</c:v>
                </c:pt>
                <c:pt idx="1">
                  <c:v>-2.8775277719689907E-2</c:v>
                </c:pt>
                <c:pt idx="2">
                  <c:v>1.8598132471272733E-2</c:v>
                </c:pt>
                <c:pt idx="3">
                  <c:v>-2.8747461225613224E-2</c:v>
                </c:pt>
                <c:pt idx="4">
                  <c:v>4.3621255882526633E-3</c:v>
                </c:pt>
              </c:numCache>
            </c:numRef>
          </c:val>
          <c:smooth val="0"/>
          <c:extLst>
            <c:ext xmlns:c16="http://schemas.microsoft.com/office/drawing/2014/chart" uri="{C3380CC4-5D6E-409C-BE32-E72D297353CC}">
              <c16:uniqueId val="{00000006-3A04-4B7C-9495-17C2012AC6CD}"/>
            </c:ext>
          </c:extLst>
        </c:ser>
        <c:ser>
          <c:idx val="7"/>
          <c:order val="7"/>
          <c:tx>
            <c:strRef>
              <c:f>'6 - B1'!$A$16</c:f>
              <c:strCache>
                <c:ptCount val="1"/>
                <c:pt idx="0">
                  <c:v>count_11</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val>
            <c:numRef>
              <c:f>'6 - B1'!$O$16:$S$16</c:f>
              <c:numCache>
                <c:formatCode>0.0%</c:formatCode>
                <c:ptCount val="5"/>
                <c:pt idx="0">
                  <c:v>3.2589814752104207E-2</c:v>
                </c:pt>
                <c:pt idx="1">
                  <c:v>-2.7598488834949642E-2</c:v>
                </c:pt>
                <c:pt idx="2">
                  <c:v>2.0463376462292349E-2</c:v>
                </c:pt>
                <c:pt idx="3">
                  <c:v>-3.0648580509767598E-2</c:v>
                </c:pt>
                <c:pt idx="4">
                  <c:v>5.1938781303213499E-3</c:v>
                </c:pt>
              </c:numCache>
            </c:numRef>
          </c:val>
          <c:smooth val="0"/>
          <c:extLst>
            <c:ext xmlns:c16="http://schemas.microsoft.com/office/drawing/2014/chart" uri="{C3380CC4-5D6E-409C-BE32-E72D297353CC}">
              <c16:uniqueId val="{00000007-3A04-4B7C-9495-17C2012AC6CD}"/>
            </c:ext>
          </c:extLst>
        </c:ser>
        <c:ser>
          <c:idx val="8"/>
          <c:order val="8"/>
          <c:tx>
            <c:strRef>
              <c:f>'6 - B1'!$A$17</c:f>
              <c:strCache>
                <c:ptCount val="1"/>
                <c:pt idx="0">
                  <c:v>count_12</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val>
            <c:numRef>
              <c:f>'6 - B1'!$O$17:$S$17</c:f>
              <c:numCache>
                <c:formatCode>0.0%</c:formatCode>
                <c:ptCount val="5"/>
                <c:pt idx="0">
                  <c:v>3.3090748092144517E-2</c:v>
                </c:pt>
                <c:pt idx="1">
                  <c:v>-2.3203608644016827E-2</c:v>
                </c:pt>
                <c:pt idx="2">
                  <c:v>1.88174017843874E-2</c:v>
                </c:pt>
                <c:pt idx="3">
                  <c:v>-2.844648054413923E-2</c:v>
                </c:pt>
                <c:pt idx="4">
                  <c:v>-2.580606883763048E-4</c:v>
                </c:pt>
              </c:numCache>
            </c:numRef>
          </c:val>
          <c:smooth val="0"/>
          <c:extLst>
            <c:ext xmlns:c16="http://schemas.microsoft.com/office/drawing/2014/chart" uri="{C3380CC4-5D6E-409C-BE32-E72D297353CC}">
              <c16:uniqueId val="{00000008-3A04-4B7C-9495-17C2012AC6CD}"/>
            </c:ext>
          </c:extLst>
        </c:ser>
        <c:ser>
          <c:idx val="9"/>
          <c:order val="9"/>
          <c:tx>
            <c:strRef>
              <c:f>'6 - B1'!$A$18</c:f>
              <c:strCache>
                <c:ptCount val="1"/>
                <c:pt idx="0">
                  <c:v>count_13</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val>
            <c:numRef>
              <c:f>'6 - B1'!$O$18:$S$18</c:f>
              <c:numCache>
                <c:formatCode>0.0%</c:formatCode>
                <c:ptCount val="5"/>
                <c:pt idx="0">
                  <c:v>3.2354931561754396E-2</c:v>
                </c:pt>
                <c:pt idx="1">
                  <c:v>-2.3730232822995356E-2</c:v>
                </c:pt>
                <c:pt idx="2">
                  <c:v>1.8972736934759427E-2</c:v>
                </c:pt>
                <c:pt idx="3">
                  <c:v>-2.703314963764325E-2</c:v>
                </c:pt>
                <c:pt idx="4">
                  <c:v>-5.642860358749946E-4</c:v>
                </c:pt>
              </c:numCache>
            </c:numRef>
          </c:val>
          <c:smooth val="0"/>
          <c:extLst>
            <c:ext xmlns:c16="http://schemas.microsoft.com/office/drawing/2014/chart" uri="{C3380CC4-5D6E-409C-BE32-E72D297353CC}">
              <c16:uniqueId val="{00000009-3A04-4B7C-9495-17C2012AC6CD}"/>
            </c:ext>
          </c:extLst>
        </c:ser>
        <c:ser>
          <c:idx val="10"/>
          <c:order val="10"/>
          <c:tx>
            <c:strRef>
              <c:f>'6 - B1'!$A$19</c:f>
              <c:strCache>
                <c:ptCount val="1"/>
                <c:pt idx="0">
                  <c:v>count_14</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val>
            <c:numRef>
              <c:f>'6 - B1'!$O$19:$S$19</c:f>
              <c:numCache>
                <c:formatCode>0.0%</c:formatCode>
                <c:ptCount val="5"/>
                <c:pt idx="0">
                  <c:v>3.6469594134881378E-2</c:v>
                </c:pt>
                <c:pt idx="1">
                  <c:v>-2.3342170291153264E-2</c:v>
                </c:pt>
                <c:pt idx="2">
                  <c:v>2.266651797826813E-2</c:v>
                </c:pt>
                <c:pt idx="3">
                  <c:v>-3.0061760296479445E-2</c:v>
                </c:pt>
                <c:pt idx="4">
                  <c:v>-5.7321815255170216E-3</c:v>
                </c:pt>
              </c:numCache>
            </c:numRef>
          </c:val>
          <c:smooth val="0"/>
          <c:extLst>
            <c:ext xmlns:c16="http://schemas.microsoft.com/office/drawing/2014/chart" uri="{C3380CC4-5D6E-409C-BE32-E72D297353CC}">
              <c16:uniqueId val="{0000000A-3A04-4B7C-9495-17C2012AC6CD}"/>
            </c:ext>
          </c:extLst>
        </c:ser>
        <c:ser>
          <c:idx val="11"/>
          <c:order val="11"/>
          <c:tx>
            <c:strRef>
              <c:f>'6 - B1'!$A$20</c:f>
              <c:strCache>
                <c:ptCount val="1"/>
                <c:pt idx="0">
                  <c:v>count_15</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val>
            <c:numRef>
              <c:f>'6 - B1'!$O$20:$S$20</c:f>
              <c:numCache>
                <c:formatCode>0.0%</c:formatCode>
                <c:ptCount val="5"/>
                <c:pt idx="0">
                  <c:v>3.5259838811041E-2</c:v>
                </c:pt>
                <c:pt idx="1">
                  <c:v>-1.8672659900931587E-2</c:v>
                </c:pt>
                <c:pt idx="2">
                  <c:v>2.3357054075515249E-2</c:v>
                </c:pt>
                <c:pt idx="3">
                  <c:v>-3.4274992476320154E-2</c:v>
                </c:pt>
                <c:pt idx="4">
                  <c:v>-5.6692405093049514E-3</c:v>
                </c:pt>
              </c:numCache>
            </c:numRef>
          </c:val>
          <c:smooth val="0"/>
          <c:extLst>
            <c:ext xmlns:c16="http://schemas.microsoft.com/office/drawing/2014/chart" uri="{C3380CC4-5D6E-409C-BE32-E72D297353CC}">
              <c16:uniqueId val="{0000000B-3A04-4B7C-9495-17C2012AC6CD}"/>
            </c:ext>
          </c:extLst>
        </c:ser>
        <c:ser>
          <c:idx val="12"/>
          <c:order val="12"/>
          <c:tx>
            <c:strRef>
              <c:f>'6 - B1'!$A$21</c:f>
              <c:strCache>
                <c:ptCount val="1"/>
                <c:pt idx="0">
                  <c:v>count_16</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'6 - B1'!$O$21:$S$21</c:f>
              <c:numCache>
                <c:formatCode>0.0%</c:formatCode>
                <c:ptCount val="5"/>
                <c:pt idx="0">
                  <c:v>4.1522283970150786E-2</c:v>
                </c:pt>
                <c:pt idx="1">
                  <c:v>-1.9543346026896002E-2</c:v>
                </c:pt>
                <c:pt idx="2">
                  <c:v>2.4456277194093046E-2</c:v>
                </c:pt>
                <c:pt idx="3">
                  <c:v>-4.2201035960783617E-2</c:v>
                </c:pt>
                <c:pt idx="4">
                  <c:v>-4.2341791765645453E-3</c:v>
                </c:pt>
              </c:numCache>
            </c:numRef>
          </c:val>
          <c:smooth val="0"/>
          <c:extLst>
            <c:ext xmlns:c16="http://schemas.microsoft.com/office/drawing/2014/chart" uri="{C3380CC4-5D6E-409C-BE32-E72D297353CC}">
              <c16:uniqueId val="{0000000C-3A04-4B7C-9495-17C2012AC6CD}"/>
            </c:ext>
          </c:extLst>
        </c:ser>
        <c:ser>
          <c:idx val="13"/>
          <c:order val="13"/>
          <c:tx>
            <c:strRef>
              <c:f>'6 - B1'!$A$22</c:f>
              <c:strCache>
                <c:ptCount val="1"/>
                <c:pt idx="0">
                  <c:v>count_17</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'6 - B1'!$O$22:$S$22</c:f>
              <c:numCache>
                <c:formatCode>0.0%</c:formatCode>
                <c:ptCount val="5"/>
                <c:pt idx="0">
                  <c:v>4.8369485515691535E-2</c:v>
                </c:pt>
                <c:pt idx="1">
                  <c:v>-1.4802788025925828E-2</c:v>
                </c:pt>
                <c:pt idx="2">
                  <c:v>2.4890155788251267E-2</c:v>
                </c:pt>
                <c:pt idx="3">
                  <c:v>-5.0095471565326788E-2</c:v>
                </c:pt>
                <c:pt idx="4">
                  <c:v>-8.3613817126904078E-3</c:v>
                </c:pt>
              </c:numCache>
            </c:numRef>
          </c:val>
          <c:smooth val="0"/>
          <c:extLst>
            <c:ext xmlns:c16="http://schemas.microsoft.com/office/drawing/2014/chart" uri="{C3380CC4-5D6E-409C-BE32-E72D297353CC}">
              <c16:uniqueId val="{0000000D-3A04-4B7C-9495-17C2012AC6CD}"/>
            </c:ext>
          </c:extLst>
        </c:ser>
        <c:ser>
          <c:idx val="14"/>
          <c:order val="14"/>
          <c:tx>
            <c:strRef>
              <c:f>'6 - B1'!$A$23</c:f>
              <c:strCache>
                <c:ptCount val="1"/>
                <c:pt idx="0">
                  <c:v>count_18</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'6 - B1'!$O$23:$S$23</c:f>
              <c:numCache>
                <c:formatCode>0.0%</c:formatCode>
                <c:ptCount val="5"/>
                <c:pt idx="0">
                  <c:v>4.6251960575206086E-2</c:v>
                </c:pt>
                <c:pt idx="1">
                  <c:v>-1.2361780397154409E-2</c:v>
                </c:pt>
                <c:pt idx="2">
                  <c:v>3.3149702257311953E-2</c:v>
                </c:pt>
                <c:pt idx="3">
                  <c:v>-5.7300640841792094E-2</c:v>
                </c:pt>
                <c:pt idx="4">
                  <c:v>-9.7392415935713128E-3</c:v>
                </c:pt>
              </c:numCache>
            </c:numRef>
          </c:val>
          <c:smooth val="0"/>
          <c:extLst>
            <c:ext xmlns:c16="http://schemas.microsoft.com/office/drawing/2014/chart" uri="{C3380CC4-5D6E-409C-BE32-E72D297353CC}">
              <c16:uniqueId val="{0000000E-3A04-4B7C-9495-17C2012AC6CD}"/>
            </c:ext>
          </c:extLst>
        </c:ser>
        <c:ser>
          <c:idx val="15"/>
          <c:order val="15"/>
          <c:tx>
            <c:strRef>
              <c:f>'6 - B1'!$A$24</c:f>
              <c:strCache>
                <c:ptCount val="1"/>
                <c:pt idx="0">
                  <c:v>count_19</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'6 - B1'!$O$24:$S$24</c:f>
              <c:numCache>
                <c:formatCode>0.0%</c:formatCode>
                <c:ptCount val="5"/>
                <c:pt idx="0">
                  <c:v>4.0765336647701211E-2</c:v>
                </c:pt>
                <c:pt idx="1">
                  <c:v>-1.0828337823116541E-2</c:v>
                </c:pt>
                <c:pt idx="2">
                  <c:v>3.7861287163275525E-2</c:v>
                </c:pt>
                <c:pt idx="3">
                  <c:v>-6.2713821805585379E-2</c:v>
                </c:pt>
                <c:pt idx="4">
                  <c:v>-5.0844641822753722E-3</c:v>
                </c:pt>
              </c:numCache>
            </c:numRef>
          </c:val>
          <c:smooth val="0"/>
          <c:extLst>
            <c:ext xmlns:c16="http://schemas.microsoft.com/office/drawing/2014/chart" uri="{C3380CC4-5D6E-409C-BE32-E72D297353CC}">
              <c16:uniqueId val="{0000000F-3A04-4B7C-9495-17C2012AC6CD}"/>
            </c:ext>
          </c:extLst>
        </c:ser>
        <c:ser>
          <c:idx val="16"/>
          <c:order val="16"/>
          <c:tx>
            <c:strRef>
              <c:f>'6 - B1'!$A$25</c:f>
              <c:strCache>
                <c:ptCount val="1"/>
                <c:pt idx="0">
                  <c:v>count_20</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'6 - B1'!$O$25:$S$25</c:f>
              <c:numCache>
                <c:formatCode>0.0%</c:formatCode>
                <c:ptCount val="5"/>
                <c:pt idx="0">
                  <c:v>2.9335682001234265E-2</c:v>
                </c:pt>
                <c:pt idx="1">
                  <c:v>-2.2900587734426159E-2</c:v>
                </c:pt>
                <c:pt idx="2">
                  <c:v>2.0095535370318496E-2</c:v>
                </c:pt>
                <c:pt idx="3">
                  <c:v>0</c:v>
                </c:pt>
                <c:pt idx="4">
                  <c:v>-2.6530629637126379E-2</c:v>
                </c:pt>
              </c:numCache>
            </c:numRef>
          </c:val>
          <c:smooth val="0"/>
          <c:extLst>
            <c:ext xmlns:c16="http://schemas.microsoft.com/office/drawing/2014/chart" uri="{C3380CC4-5D6E-409C-BE32-E72D297353CC}">
              <c16:uniqueId val="{00000010-3A04-4B7C-9495-17C2012AC6CD}"/>
            </c:ext>
          </c:extLst>
        </c:ser>
        <c:ser>
          <c:idx val="17"/>
          <c:order val="17"/>
          <c:tx>
            <c:strRef>
              <c:f>'6 - B1'!$A$26</c:f>
              <c:strCache>
                <c:ptCount val="1"/>
                <c:pt idx="0">
                  <c:v>count_21</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'6 - B1'!$O$26:$S$26</c:f>
              <c:numCache>
                <c:formatCode>0.0%</c:formatCode>
                <c:ptCount val="5"/>
                <c:pt idx="0">
                  <c:v>3.6188843048516883E-2</c:v>
                </c:pt>
                <c:pt idx="1">
                  <c:v>-1.7078266286324806E-2</c:v>
                </c:pt>
                <c:pt idx="2">
                  <c:v>1.0796114783419242E-2</c:v>
                </c:pt>
                <c:pt idx="3">
                  <c:v>0</c:v>
                </c:pt>
                <c:pt idx="4">
                  <c:v>-2.9906691545611652E-2</c:v>
                </c:pt>
              </c:numCache>
            </c:numRef>
          </c:val>
          <c:smooth val="0"/>
          <c:extLst>
            <c:ext xmlns:c16="http://schemas.microsoft.com/office/drawing/2014/chart" uri="{C3380CC4-5D6E-409C-BE32-E72D297353CC}">
              <c16:uniqueId val="{00000011-3A04-4B7C-9495-17C2012AC6CD}"/>
            </c:ext>
          </c:extLst>
        </c:ser>
        <c:ser>
          <c:idx val="18"/>
          <c:order val="18"/>
          <c:tx>
            <c:strRef>
              <c:f>'6 - B1'!$A$27</c:f>
              <c:strCache>
                <c:ptCount val="1"/>
                <c:pt idx="0">
                  <c:v>count_22</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val>
            <c:numRef>
              <c:f>'6 - B1'!$O$27:$S$27</c:f>
              <c:numCache>
                <c:formatCode>0.0%</c:formatCode>
                <c:ptCount val="5"/>
                <c:pt idx="0">
                  <c:v>3.7477297910006424E-2</c:v>
                </c:pt>
                <c:pt idx="1">
                  <c:v>1.0178459517957927E-2</c:v>
                </c:pt>
                <c:pt idx="2">
                  <c:v>3.7559219801313493E-2</c:v>
                </c:pt>
                <c:pt idx="3">
                  <c:v>-6.6393026559643187E-2</c:v>
                </c:pt>
                <c:pt idx="4">
                  <c:v>-1.8821950669635212E-2</c:v>
                </c:pt>
              </c:numCache>
            </c:numRef>
          </c:val>
          <c:smooth val="0"/>
          <c:extLst>
            <c:ext xmlns:c16="http://schemas.microsoft.com/office/drawing/2014/chart" uri="{C3380CC4-5D6E-409C-BE32-E72D297353CC}">
              <c16:uniqueId val="{00000012-3A04-4B7C-9495-17C2012AC6CD}"/>
            </c:ext>
          </c:extLst>
        </c:ser>
        <c:ser>
          <c:idx val="19"/>
          <c:order val="19"/>
          <c:tx>
            <c:strRef>
              <c:f>'6 - B1'!$A$28</c:f>
              <c:strCache>
                <c:ptCount val="1"/>
                <c:pt idx="0">
                  <c:v>count_23</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val>
            <c:numRef>
              <c:f>'6 - B1'!$O$28:$S$28</c:f>
              <c:numCache>
                <c:formatCode>0.0%</c:formatCode>
                <c:ptCount val="5"/>
                <c:pt idx="0">
                  <c:v>1.8846278832275631E-2</c:v>
                </c:pt>
                <c:pt idx="1">
                  <c:v>1.0728657715374679E-2</c:v>
                </c:pt>
                <c:pt idx="2">
                  <c:v>1.8064005182772958E-2</c:v>
                </c:pt>
                <c:pt idx="3">
                  <c:v>0</c:v>
                </c:pt>
                <c:pt idx="4">
                  <c:v>-4.7638941730423823E-2</c:v>
                </c:pt>
              </c:numCache>
            </c:numRef>
          </c:val>
          <c:smooth val="0"/>
          <c:extLst>
            <c:ext xmlns:c16="http://schemas.microsoft.com/office/drawing/2014/chart" uri="{C3380CC4-5D6E-409C-BE32-E72D297353CC}">
              <c16:uniqueId val="{00000013-3A04-4B7C-9495-17C2012AC6CD}"/>
            </c:ext>
          </c:extLst>
        </c:ser>
        <c:ser>
          <c:idx val="20"/>
          <c:order val="20"/>
          <c:tx>
            <c:strRef>
              <c:f>'6 - B1'!$A$29</c:f>
              <c:strCache>
                <c:ptCount val="1"/>
                <c:pt idx="0">
                  <c:v>count_24</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val>
            <c:numRef>
              <c:f>'6 - B1'!$O$29:$S$29</c:f>
              <c:numCache>
                <c:formatCode>0.0%</c:formatCode>
                <c:ptCount val="5"/>
                <c:pt idx="0">
                  <c:v>1.7259291103703722E-2</c:v>
                </c:pt>
                <c:pt idx="1">
                  <c:v>1.8309320100538651E-2</c:v>
                </c:pt>
                <c:pt idx="2">
                  <c:v>1.1834716064054618E-2</c:v>
                </c:pt>
                <c:pt idx="3">
                  <c:v>0</c:v>
                </c:pt>
                <c:pt idx="4">
                  <c:v>-4.7403327268296991E-2</c:v>
                </c:pt>
              </c:numCache>
            </c:numRef>
          </c:val>
          <c:smooth val="0"/>
          <c:extLst>
            <c:ext xmlns:c16="http://schemas.microsoft.com/office/drawing/2014/chart" uri="{C3380CC4-5D6E-409C-BE32-E72D297353CC}">
              <c16:uniqueId val="{00000014-3A04-4B7C-9495-17C2012AC6CD}"/>
            </c:ext>
          </c:extLst>
        </c:ser>
        <c:ser>
          <c:idx val="21"/>
          <c:order val="21"/>
          <c:tx>
            <c:strRef>
              <c:f>'6 - B1'!$A$30</c:f>
              <c:strCache>
                <c:ptCount val="1"/>
                <c:pt idx="0">
                  <c:v>count_25</c:v>
                </c:pt>
              </c:strCache>
            </c:strRef>
          </c:tx>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val>
            <c:numRef>
              <c:f>'6 - B1'!$O$30:$S$30</c:f>
              <c:numCache>
                <c:formatCode>0.0%</c:formatCode>
                <c:ptCount val="5"/>
                <c:pt idx="0">
                  <c:v>5.8552919150947069E-3</c:v>
                </c:pt>
                <c:pt idx="1">
                  <c:v>3.6184408051077588E-2</c:v>
                </c:pt>
                <c:pt idx="2">
                  <c:v>8.9684544595511895E-3</c:v>
                </c:pt>
                <c:pt idx="3">
                  <c:v>0</c:v>
                </c:pt>
                <c:pt idx="4">
                  <c:v>-5.1008154425723484E-2</c:v>
                </c:pt>
              </c:numCache>
            </c:numRef>
          </c:val>
          <c:smooth val="0"/>
          <c:extLst>
            <c:ext xmlns:c16="http://schemas.microsoft.com/office/drawing/2014/chart" uri="{C3380CC4-5D6E-409C-BE32-E72D297353CC}">
              <c16:uniqueId val="{00000015-3A04-4B7C-9495-17C2012AC6CD}"/>
            </c:ext>
          </c:extLst>
        </c:ser>
        <c:ser>
          <c:idx val="22"/>
          <c:order val="22"/>
          <c:tx>
            <c:strRef>
              <c:f>'6 - B1'!$A$31</c:f>
              <c:strCache>
                <c:ptCount val="1"/>
                <c:pt idx="0">
                  <c:v>count_26</c:v>
                </c:pt>
              </c:strCache>
            </c:strRef>
          </c:tx>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val>
            <c:numRef>
              <c:f>'6 - B1'!$O$31:$S$31</c:f>
              <c:numCache>
                <c:formatCode>0.0%</c:formatCode>
                <c:ptCount val="5"/>
                <c:pt idx="0">
                  <c:v>-1.6658460836172617E-2</c:v>
                </c:pt>
                <c:pt idx="1">
                  <c:v>5.4401284977155351E-2</c:v>
                </c:pt>
                <c:pt idx="2">
                  <c:v>1.4233347675261632E-2</c:v>
                </c:pt>
                <c:pt idx="3">
                  <c:v>0</c:v>
                </c:pt>
                <c:pt idx="4">
                  <c:v>-5.1976171816244587E-2</c:v>
                </c:pt>
              </c:numCache>
            </c:numRef>
          </c:val>
          <c:smooth val="0"/>
          <c:extLst>
            <c:ext xmlns:c16="http://schemas.microsoft.com/office/drawing/2014/chart" uri="{C3380CC4-5D6E-409C-BE32-E72D297353CC}">
              <c16:uniqueId val="{00000016-3A04-4B7C-9495-17C2012AC6CD}"/>
            </c:ext>
          </c:extLst>
        </c:ser>
        <c:ser>
          <c:idx val="23"/>
          <c:order val="23"/>
          <c:tx>
            <c:strRef>
              <c:f>'6 - B1'!$A$32</c:f>
              <c:strCache>
                <c:ptCount val="1"/>
                <c:pt idx="0">
                  <c:v>count_27</c:v>
                </c:pt>
              </c:strCache>
            </c:strRef>
          </c:tx>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val>
            <c:numRef>
              <c:f>'6 - B1'!$O$32:$S$32</c:f>
              <c:numCache>
                <c:formatCode>0.0%</c:formatCode>
                <c:ptCount val="5"/>
                <c:pt idx="0">
                  <c:v>-5.0667683491863458E-2</c:v>
                </c:pt>
                <c:pt idx="1">
                  <c:v>6.2913285559954124E-2</c:v>
                </c:pt>
                <c:pt idx="2">
                  <c:v>4.1738353916529247E-2</c:v>
                </c:pt>
                <c:pt idx="3">
                  <c:v>0</c:v>
                </c:pt>
                <c:pt idx="4">
                  <c:v>-5.3983955984619691E-2</c:v>
                </c:pt>
              </c:numCache>
            </c:numRef>
          </c:val>
          <c:smooth val="0"/>
          <c:extLst>
            <c:ext xmlns:c16="http://schemas.microsoft.com/office/drawing/2014/chart" uri="{C3380CC4-5D6E-409C-BE32-E72D297353CC}">
              <c16:uniqueId val="{00000017-3A04-4B7C-9495-17C2012AC6CD}"/>
            </c:ext>
          </c:extLst>
        </c:ser>
        <c:ser>
          <c:idx val="24"/>
          <c:order val="24"/>
          <c:tx>
            <c:strRef>
              <c:f>'6 - B1'!$A$33</c:f>
              <c:strCache>
                <c:ptCount val="1"/>
                <c:pt idx="0">
                  <c:v>count_28</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val>
            <c:numRef>
              <c:f>'6 - B1'!$O$33:$S$33</c:f>
              <c:numCache>
                <c:formatCode>0.0%</c:formatCode>
                <c:ptCount val="5"/>
                <c:pt idx="0">
                  <c:v>-0.10295668269646541</c:v>
                </c:pt>
                <c:pt idx="1">
                  <c:v>8.2781097905316736E-2</c:v>
                </c:pt>
                <c:pt idx="2">
                  <c:v>8.5522170688136612E-2</c:v>
                </c:pt>
                <c:pt idx="3">
                  <c:v>0</c:v>
                </c:pt>
                <c:pt idx="4">
                  <c:v>-6.5346585896988163E-2</c:v>
                </c:pt>
              </c:numCache>
            </c:numRef>
          </c:val>
          <c:smooth val="0"/>
          <c:extLst>
            <c:ext xmlns:c16="http://schemas.microsoft.com/office/drawing/2014/chart" uri="{C3380CC4-5D6E-409C-BE32-E72D297353CC}">
              <c16:uniqueId val="{00000018-3A04-4B7C-9495-17C2012AC6CD}"/>
            </c:ext>
          </c:extLst>
        </c:ser>
        <c:ser>
          <c:idx val="25"/>
          <c:order val="25"/>
          <c:tx>
            <c:strRef>
              <c:f>'6 - B1'!$A$34</c:f>
              <c:strCache>
                <c:ptCount val="1"/>
                <c:pt idx="0">
                  <c:v>count_29</c:v>
                </c:pt>
              </c:strCache>
            </c:strRef>
          </c:tx>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val>
            <c:numRef>
              <c:f>'6 - B1'!$O$34:$S$34</c:f>
              <c:numCache>
                <c:formatCode>0.0%</c:formatCode>
                <c:ptCount val="5"/>
                <c:pt idx="0">
                  <c:v>-0.11661357732705935</c:v>
                </c:pt>
                <c:pt idx="1">
                  <c:v>0.11150599235366188</c:v>
                </c:pt>
                <c:pt idx="2">
                  <c:v>0.14107628981657538</c:v>
                </c:pt>
                <c:pt idx="3">
                  <c:v>-0.13316555831218579</c:v>
                </c:pt>
                <c:pt idx="4">
                  <c:v>-2.8031465309914516E-3</c:v>
                </c:pt>
              </c:numCache>
            </c:numRef>
          </c:val>
          <c:smooth val="0"/>
          <c:extLst>
            <c:ext xmlns:c16="http://schemas.microsoft.com/office/drawing/2014/chart" uri="{C3380CC4-5D6E-409C-BE32-E72D297353CC}">
              <c16:uniqueId val="{00000019-3A04-4B7C-9495-17C2012AC6CD}"/>
            </c:ext>
          </c:extLst>
        </c:ser>
        <c:ser>
          <c:idx val="26"/>
          <c:order val="26"/>
          <c:tx>
            <c:strRef>
              <c:f>'6 - B1'!$A$35</c:f>
              <c:strCache>
                <c:ptCount val="1"/>
                <c:pt idx="0">
                  <c:v>count_30</c:v>
                </c:pt>
              </c:strCache>
            </c:strRef>
          </c:tx>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val>
            <c:numRef>
              <c:f>'6 - B1'!$O$35:$S$35</c:f>
              <c:numCache>
                <c:formatCode>0.0%</c:formatCode>
                <c:ptCount val="5"/>
                <c:pt idx="0">
                  <c:v>-9.9456048147043452E-2</c:v>
                </c:pt>
                <c:pt idx="1">
                  <c:v>0.13262055919419491</c:v>
                </c:pt>
                <c:pt idx="2">
                  <c:v>0.16337197986719265</c:v>
                </c:pt>
                <c:pt idx="3">
                  <c:v>-0.17136085262100775</c:v>
                </c:pt>
                <c:pt idx="4">
                  <c:v>-2.5175638293336355E-2</c:v>
                </c:pt>
              </c:numCache>
            </c:numRef>
          </c:val>
          <c:smooth val="0"/>
          <c:extLst>
            <c:ext xmlns:c16="http://schemas.microsoft.com/office/drawing/2014/chart" uri="{C3380CC4-5D6E-409C-BE32-E72D297353CC}">
              <c16:uniqueId val="{0000001A-3A04-4B7C-9495-17C2012AC6CD}"/>
            </c:ext>
          </c:extLst>
        </c:ser>
        <c:ser>
          <c:idx val="27"/>
          <c:order val="27"/>
          <c:tx>
            <c:strRef>
              <c:f>'6 - B1'!$A$36</c:f>
              <c:strCache>
                <c:ptCount val="1"/>
                <c:pt idx="0">
                  <c:v>count_38</c:v>
                </c:pt>
              </c:strCache>
            </c:strRef>
          </c:tx>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val>
            <c:numRef>
              <c:f>'6 - B1'!$O$36:$S$36</c:f>
              <c:numCache>
                <c:formatCode>0.0%</c:formatCode>
                <c:ptCount val="5"/>
                <c:pt idx="0">
                  <c:v>-9.3404861074768308E-2</c:v>
                </c:pt>
                <c:pt idx="1">
                  <c:v>4.391795285938227E-2</c:v>
                </c:pt>
                <c:pt idx="2">
                  <c:v>0.22447876743042938</c:v>
                </c:pt>
                <c:pt idx="3">
                  <c:v>-0.17042985567893298</c:v>
                </c:pt>
                <c:pt idx="4">
                  <c:v>-4.5620035361108036E-3</c:v>
                </c:pt>
              </c:numCache>
            </c:numRef>
          </c:val>
          <c:smooth val="0"/>
          <c:extLst>
            <c:ext xmlns:c16="http://schemas.microsoft.com/office/drawing/2014/chart" uri="{C3380CC4-5D6E-409C-BE32-E72D297353CC}">
              <c16:uniqueId val="{0000001B-3A04-4B7C-9495-17C2012AC6CD}"/>
            </c:ext>
          </c:extLst>
        </c:ser>
        <c:ser>
          <c:idx val="28"/>
          <c:order val="28"/>
          <c:tx>
            <c:strRef>
              <c:f>'6 - B1'!$A$37</c:f>
              <c:strCache>
                <c:ptCount val="1"/>
                <c:pt idx="0">
                  <c:v>count_50</c:v>
                </c:pt>
              </c:strCache>
            </c:strRef>
          </c:tx>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val>
            <c:numRef>
              <c:f>'6 - B1'!$O$37:$S$37</c:f>
              <c:numCache>
                <c:formatCode>0.0%</c:formatCode>
                <c:ptCount val="5"/>
                <c:pt idx="0">
                  <c:v>-1.7238962240370137E-2</c:v>
                </c:pt>
                <c:pt idx="1">
                  <c:v>9.4191208595549636E-2</c:v>
                </c:pt>
                <c:pt idx="2">
                  <c:v>0.29095491081299585</c:v>
                </c:pt>
                <c:pt idx="3">
                  <c:v>-0.29594133451259097</c:v>
                </c:pt>
                <c:pt idx="4">
                  <c:v>-7.1965822655584377E-2</c:v>
                </c:pt>
              </c:numCache>
            </c:numRef>
          </c:val>
          <c:smooth val="0"/>
          <c:extLst>
            <c:ext xmlns:c16="http://schemas.microsoft.com/office/drawing/2014/chart" uri="{C3380CC4-5D6E-409C-BE32-E72D297353CC}">
              <c16:uniqueId val="{0000001C-3A04-4B7C-9495-17C2012AC6CD}"/>
            </c:ext>
          </c:extLst>
        </c:ser>
        <c:ser>
          <c:idx val="29"/>
          <c:order val="29"/>
          <c:tx>
            <c:strRef>
              <c:f>'6 - B1'!$A$38</c:f>
              <c:strCache>
                <c:ptCount val="1"/>
                <c:pt idx="0">
                  <c:v>count_70</c:v>
                </c:pt>
              </c:strCache>
            </c:strRef>
          </c:tx>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val>
            <c:numRef>
              <c:f>'6 - B1'!$O$38:$S$38</c:f>
              <c:numCache>
                <c:formatCode>0.0%</c:formatCode>
                <c:ptCount val="5"/>
                <c:pt idx="0">
                  <c:v>-3.8547791250682639E-2</c:v>
                </c:pt>
                <c:pt idx="1">
                  <c:v>0.14110265294906243</c:v>
                </c:pt>
                <c:pt idx="2">
                  <c:v>0.31647920834879395</c:v>
                </c:pt>
                <c:pt idx="3">
                  <c:v>-0.24575940317621814</c:v>
                </c:pt>
                <c:pt idx="4">
                  <c:v>-0.17327466687095494</c:v>
                </c:pt>
              </c:numCache>
            </c:numRef>
          </c:val>
          <c:smooth val="0"/>
          <c:extLst>
            <c:ext xmlns:c16="http://schemas.microsoft.com/office/drawing/2014/chart" uri="{C3380CC4-5D6E-409C-BE32-E72D297353CC}">
              <c16:uniqueId val="{0000001D-3A04-4B7C-9495-17C2012AC6CD}"/>
            </c:ext>
          </c:extLst>
        </c:ser>
        <c:dLbls>
          <c:showLegendKey val="0"/>
          <c:showVal val="0"/>
          <c:showCatName val="0"/>
          <c:showSerName val="0"/>
          <c:showPercent val="0"/>
          <c:showBubbleSize val="0"/>
        </c:dLbls>
        <c:marker val="1"/>
        <c:smooth val="0"/>
        <c:axId val="298745935"/>
        <c:axId val="298744975"/>
      </c:lineChart>
      <c:catAx>
        <c:axId val="29874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4975"/>
        <c:crosses val="autoZero"/>
        <c:auto val="1"/>
        <c:lblAlgn val="ctr"/>
        <c:lblOffset val="100"/>
        <c:noMultiLvlLbl val="0"/>
      </c:catAx>
      <c:valAx>
        <c:axId val="29874497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5935"/>
        <c:crosses val="autoZero"/>
        <c:crossBetween val="between"/>
      </c:valAx>
      <c:spPr>
        <a:noFill/>
        <a:ln>
          <a:noFill/>
        </a:ln>
        <a:effectLst/>
      </c:spPr>
    </c:plotArea>
    <c:legend>
      <c:legendPos val="b"/>
      <c:layout>
        <c:manualLayout>
          <c:xMode val="edge"/>
          <c:yMode val="edge"/>
          <c:x val="8.6862497289557375E-2"/>
          <c:y val="5.3484928107644325E-2"/>
          <c:w val="0.78794611723936847"/>
          <c:h val="7.5132557696949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B2'!$O$7:$S$7</c:f>
              <c:strCache>
                <c:ptCount val="5"/>
                <c:pt idx="0">
                  <c:v>Portion 1</c:v>
                </c:pt>
                <c:pt idx="1">
                  <c:v>Portion 2</c:v>
                </c:pt>
                <c:pt idx="2">
                  <c:v>Portion 3</c:v>
                </c:pt>
                <c:pt idx="3">
                  <c:v>Portion 4</c:v>
                </c:pt>
                <c:pt idx="4">
                  <c:v>Portion 5</c:v>
                </c:pt>
              </c:strCache>
            </c:strRef>
          </c:cat>
          <c:val>
            <c:numRef>
              <c:f>'6 - B2'!$O$8:$S$8</c:f>
              <c:numCache>
                <c:formatCode>General</c:formatCode>
                <c:ptCount val="5"/>
              </c:numCache>
            </c:numRef>
          </c:val>
          <c:smooth val="0"/>
          <c:extLst>
            <c:ext xmlns:c16="http://schemas.microsoft.com/office/drawing/2014/chart" uri="{C3380CC4-5D6E-409C-BE32-E72D297353CC}">
              <c16:uniqueId val="{00000000-2297-43B4-9682-249C2958FBB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B2'!$O$7:$S$7</c:f>
              <c:strCache>
                <c:ptCount val="5"/>
                <c:pt idx="0">
                  <c:v>Portion 1</c:v>
                </c:pt>
                <c:pt idx="1">
                  <c:v>Portion 2</c:v>
                </c:pt>
                <c:pt idx="2">
                  <c:v>Portion 3</c:v>
                </c:pt>
                <c:pt idx="3">
                  <c:v>Portion 4</c:v>
                </c:pt>
                <c:pt idx="4">
                  <c:v>Portion 5</c:v>
                </c:pt>
              </c:strCache>
            </c:strRef>
          </c:cat>
          <c:val>
            <c:numRef>
              <c:f>'6 - B2'!$O$9:$S$9</c:f>
              <c:numCache>
                <c:formatCode>0.0%</c:formatCode>
                <c:ptCount val="5"/>
                <c:pt idx="0">
                  <c:v>1.8105292660596017E-2</c:v>
                </c:pt>
                <c:pt idx="1">
                  <c:v>1.908596323493339E-2</c:v>
                </c:pt>
                <c:pt idx="2">
                  <c:v>6.7203604139955964E-3</c:v>
                </c:pt>
                <c:pt idx="3">
                  <c:v>-1.8839009904001114E-2</c:v>
                </c:pt>
                <c:pt idx="4">
                  <c:v>-2.5072606405523667E-2</c:v>
                </c:pt>
              </c:numCache>
            </c:numRef>
          </c:val>
          <c:smooth val="0"/>
          <c:extLst>
            <c:ext xmlns:c16="http://schemas.microsoft.com/office/drawing/2014/chart" uri="{C3380CC4-5D6E-409C-BE32-E72D297353CC}">
              <c16:uniqueId val="{00000001-2297-43B4-9682-249C2958FBB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B2'!$O$7:$S$7</c:f>
              <c:strCache>
                <c:ptCount val="5"/>
                <c:pt idx="0">
                  <c:v>Portion 1</c:v>
                </c:pt>
                <c:pt idx="1">
                  <c:v>Portion 2</c:v>
                </c:pt>
                <c:pt idx="2">
                  <c:v>Portion 3</c:v>
                </c:pt>
                <c:pt idx="3">
                  <c:v>Portion 4</c:v>
                </c:pt>
                <c:pt idx="4">
                  <c:v>Portion 5</c:v>
                </c:pt>
              </c:strCache>
            </c:strRef>
          </c:cat>
          <c:val>
            <c:numRef>
              <c:f>'6 - B2'!$O$10:$S$10</c:f>
              <c:numCache>
                <c:formatCode>0.0%</c:formatCode>
                <c:ptCount val="5"/>
                <c:pt idx="0">
                  <c:v>1.6944986408353069E-2</c:v>
                </c:pt>
                <c:pt idx="1">
                  <c:v>1.6880804399434624E-2</c:v>
                </c:pt>
                <c:pt idx="2">
                  <c:v>4.3681428225588181E-3</c:v>
                </c:pt>
                <c:pt idx="3">
                  <c:v>-1.6243645934901574E-2</c:v>
                </c:pt>
                <c:pt idx="4">
                  <c:v>-2.1950287695444493E-2</c:v>
                </c:pt>
              </c:numCache>
            </c:numRef>
          </c:val>
          <c:smooth val="0"/>
          <c:extLst>
            <c:ext xmlns:c16="http://schemas.microsoft.com/office/drawing/2014/chart" uri="{C3380CC4-5D6E-409C-BE32-E72D297353CC}">
              <c16:uniqueId val="{00000002-2297-43B4-9682-249C2958FBB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B2'!$O$7:$S$7</c:f>
              <c:strCache>
                <c:ptCount val="5"/>
                <c:pt idx="0">
                  <c:v>Portion 1</c:v>
                </c:pt>
                <c:pt idx="1">
                  <c:v>Portion 2</c:v>
                </c:pt>
                <c:pt idx="2">
                  <c:v>Portion 3</c:v>
                </c:pt>
                <c:pt idx="3">
                  <c:v>Portion 4</c:v>
                </c:pt>
                <c:pt idx="4">
                  <c:v>Portion 5</c:v>
                </c:pt>
              </c:strCache>
            </c:strRef>
          </c:cat>
          <c:val>
            <c:numRef>
              <c:f>'6 - B2'!$O$11:$S$11</c:f>
              <c:numCache>
                <c:formatCode>0.0%</c:formatCode>
                <c:ptCount val="5"/>
                <c:pt idx="0">
                  <c:v>1.586614682596732E-2</c:v>
                </c:pt>
                <c:pt idx="1">
                  <c:v>1.6715032548522801E-2</c:v>
                </c:pt>
                <c:pt idx="2">
                  <c:v>2.1801131385077444E-3</c:v>
                </c:pt>
                <c:pt idx="3">
                  <c:v>-1.5792351456558218E-2</c:v>
                </c:pt>
                <c:pt idx="4">
                  <c:v>-1.8968941056439426E-2</c:v>
                </c:pt>
              </c:numCache>
            </c:numRef>
          </c:val>
          <c:smooth val="0"/>
          <c:extLst>
            <c:ext xmlns:c16="http://schemas.microsoft.com/office/drawing/2014/chart" uri="{C3380CC4-5D6E-409C-BE32-E72D297353CC}">
              <c16:uniqueId val="{00000003-2297-43B4-9682-249C2958FBB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B2'!$O$7:$S$7</c:f>
              <c:strCache>
                <c:ptCount val="5"/>
                <c:pt idx="0">
                  <c:v>Portion 1</c:v>
                </c:pt>
                <c:pt idx="1">
                  <c:v>Portion 2</c:v>
                </c:pt>
                <c:pt idx="2">
                  <c:v>Portion 3</c:v>
                </c:pt>
                <c:pt idx="3">
                  <c:v>Portion 4</c:v>
                </c:pt>
                <c:pt idx="4">
                  <c:v>Portion 5</c:v>
                </c:pt>
              </c:strCache>
            </c:strRef>
          </c:cat>
          <c:val>
            <c:numRef>
              <c:f>'6 - B2'!$O$12:$S$12</c:f>
              <c:numCache>
                <c:formatCode>0.0%</c:formatCode>
                <c:ptCount val="5"/>
                <c:pt idx="0">
                  <c:v>1.3285396622761958E-2</c:v>
                </c:pt>
                <c:pt idx="1">
                  <c:v>1.7958341188619942E-2</c:v>
                </c:pt>
                <c:pt idx="2">
                  <c:v>2.4253056552427932E-3</c:v>
                </c:pt>
                <c:pt idx="3">
                  <c:v>-1.6583930370133393E-2</c:v>
                </c:pt>
                <c:pt idx="4">
                  <c:v>-1.70851130964913E-2</c:v>
                </c:pt>
              </c:numCache>
            </c:numRef>
          </c:val>
          <c:smooth val="0"/>
          <c:extLst>
            <c:ext xmlns:c16="http://schemas.microsoft.com/office/drawing/2014/chart" uri="{C3380CC4-5D6E-409C-BE32-E72D297353CC}">
              <c16:uniqueId val="{00000004-2297-43B4-9682-249C2958FBB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B2'!$O$7:$S$7</c:f>
              <c:strCache>
                <c:ptCount val="5"/>
                <c:pt idx="0">
                  <c:v>Portion 1</c:v>
                </c:pt>
                <c:pt idx="1">
                  <c:v>Portion 2</c:v>
                </c:pt>
                <c:pt idx="2">
                  <c:v>Portion 3</c:v>
                </c:pt>
                <c:pt idx="3">
                  <c:v>Portion 4</c:v>
                </c:pt>
                <c:pt idx="4">
                  <c:v>Portion 5</c:v>
                </c:pt>
              </c:strCache>
            </c:strRef>
          </c:cat>
          <c:val>
            <c:numRef>
              <c:f>'6 - B2'!$O$13:$S$13</c:f>
              <c:numCache>
                <c:formatCode>0.0%</c:formatCode>
                <c:ptCount val="5"/>
                <c:pt idx="0">
                  <c:v>1.0051900049565354E-2</c:v>
                </c:pt>
                <c:pt idx="1">
                  <c:v>1.7447824948316537E-2</c:v>
                </c:pt>
                <c:pt idx="2">
                  <c:v>2.8428790950059124E-3</c:v>
                </c:pt>
                <c:pt idx="3">
                  <c:v>-1.4999842502304461E-2</c:v>
                </c:pt>
                <c:pt idx="4">
                  <c:v>-1.5342761590584009E-2</c:v>
                </c:pt>
              </c:numCache>
            </c:numRef>
          </c:val>
          <c:smooth val="0"/>
          <c:extLst>
            <c:ext xmlns:c16="http://schemas.microsoft.com/office/drawing/2014/chart" uri="{C3380CC4-5D6E-409C-BE32-E72D297353CC}">
              <c16:uniqueId val="{00000005-2297-43B4-9682-249C2958FBB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B2'!$O$14:$S$14</c:f>
              <c:numCache>
                <c:formatCode>0.0%</c:formatCode>
                <c:ptCount val="5"/>
                <c:pt idx="0">
                  <c:v>6.8353905615221588E-3</c:v>
                </c:pt>
                <c:pt idx="1">
                  <c:v>1.5374002731487701E-2</c:v>
                </c:pt>
                <c:pt idx="2">
                  <c:v>4.1848523710736885E-3</c:v>
                </c:pt>
                <c:pt idx="3">
                  <c:v>-1.3028105307265392E-2</c:v>
                </c:pt>
                <c:pt idx="4">
                  <c:v>-1.3366140356818268E-2</c:v>
                </c:pt>
              </c:numCache>
            </c:numRef>
          </c:val>
          <c:smooth val="0"/>
          <c:extLst>
            <c:ext xmlns:c16="http://schemas.microsoft.com/office/drawing/2014/chart" uri="{C3380CC4-5D6E-409C-BE32-E72D297353CC}">
              <c16:uniqueId val="{00000006-2297-43B4-9682-249C2958FBB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B2'!$O$15:$S$15</c:f>
              <c:numCache>
                <c:formatCode>0.0%</c:formatCode>
                <c:ptCount val="5"/>
                <c:pt idx="0">
                  <c:v>4.1187514902727429E-3</c:v>
                </c:pt>
                <c:pt idx="1">
                  <c:v>1.5201833332098458E-2</c:v>
                </c:pt>
                <c:pt idx="2">
                  <c:v>9.0386226140970471E-4</c:v>
                </c:pt>
                <c:pt idx="3">
                  <c:v>-1.0807611921530014E-2</c:v>
                </c:pt>
                <c:pt idx="4">
                  <c:v>-9.4168351622506696E-3</c:v>
                </c:pt>
              </c:numCache>
            </c:numRef>
          </c:val>
          <c:smooth val="0"/>
          <c:extLst>
            <c:ext xmlns:c16="http://schemas.microsoft.com/office/drawing/2014/chart" uri="{C3380CC4-5D6E-409C-BE32-E72D297353CC}">
              <c16:uniqueId val="{00000007-2297-43B4-9682-249C2958FBB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B2'!$O$16:$S$16</c:f>
              <c:numCache>
                <c:formatCode>0.0%</c:formatCode>
                <c:ptCount val="5"/>
                <c:pt idx="0">
                  <c:v>2.2920809513349294E-3</c:v>
                </c:pt>
                <c:pt idx="1">
                  <c:v>1.5145923300873276E-2</c:v>
                </c:pt>
                <c:pt idx="2">
                  <c:v>-1.0943576690813916E-3</c:v>
                </c:pt>
                <c:pt idx="3">
                  <c:v>-8.1942893788433668E-3</c:v>
                </c:pt>
                <c:pt idx="4">
                  <c:v>-8.1493572042836693E-3</c:v>
                </c:pt>
              </c:numCache>
            </c:numRef>
          </c:val>
          <c:smooth val="0"/>
          <c:extLst>
            <c:ext xmlns:c16="http://schemas.microsoft.com/office/drawing/2014/chart" uri="{C3380CC4-5D6E-409C-BE32-E72D297353CC}">
              <c16:uniqueId val="{00000008-2297-43B4-9682-249C2958FBB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B2'!$O$17:$S$17</c:f>
              <c:numCache>
                <c:formatCode>0.0%</c:formatCode>
                <c:ptCount val="5"/>
                <c:pt idx="0">
                  <c:v>8.0253750486658504E-4</c:v>
                </c:pt>
                <c:pt idx="1">
                  <c:v>1.5743233065627082E-2</c:v>
                </c:pt>
                <c:pt idx="2">
                  <c:v>-4.4511943249381236E-4</c:v>
                </c:pt>
                <c:pt idx="3">
                  <c:v>-9.260078984378306E-3</c:v>
                </c:pt>
                <c:pt idx="4">
                  <c:v>-6.8405721536213271E-3</c:v>
                </c:pt>
              </c:numCache>
            </c:numRef>
          </c:val>
          <c:smooth val="0"/>
          <c:extLst>
            <c:ext xmlns:c16="http://schemas.microsoft.com/office/drawing/2014/chart" uri="{C3380CC4-5D6E-409C-BE32-E72D297353CC}">
              <c16:uniqueId val="{00000009-2297-43B4-9682-249C2958FBB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B2'!$O$18:$S$18</c:f>
              <c:numCache>
                <c:formatCode>0.0%</c:formatCode>
                <c:ptCount val="5"/>
                <c:pt idx="0">
                  <c:v>1.4886020632784991E-3</c:v>
                </c:pt>
                <c:pt idx="1">
                  <c:v>1.3375986292599062E-2</c:v>
                </c:pt>
                <c:pt idx="2">
                  <c:v>-2.1538562662606342E-3</c:v>
                </c:pt>
                <c:pt idx="3">
                  <c:v>-5.0445529481144558E-3</c:v>
                </c:pt>
                <c:pt idx="4">
                  <c:v>-7.6661791415024716E-3</c:v>
                </c:pt>
              </c:numCache>
            </c:numRef>
          </c:val>
          <c:smooth val="0"/>
          <c:extLst>
            <c:ext xmlns:c16="http://schemas.microsoft.com/office/drawing/2014/chart" uri="{C3380CC4-5D6E-409C-BE32-E72D297353CC}">
              <c16:uniqueId val="{0000000A-2297-43B4-9682-249C2958FBB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B2'!$O$19:$S$19</c:f>
              <c:numCache>
                <c:formatCode>0.0%</c:formatCode>
                <c:ptCount val="5"/>
                <c:pt idx="0">
                  <c:v>-2.3165425863294065E-3</c:v>
                </c:pt>
                <c:pt idx="1">
                  <c:v>1.2608073520417484E-2</c:v>
                </c:pt>
                <c:pt idx="2">
                  <c:v>-1.023259905814311E-3</c:v>
                </c:pt>
                <c:pt idx="3">
                  <c:v>-5.4136391633469172E-3</c:v>
                </c:pt>
                <c:pt idx="4">
                  <c:v>-3.8546318649268496E-3</c:v>
                </c:pt>
              </c:numCache>
            </c:numRef>
          </c:val>
          <c:smooth val="0"/>
          <c:extLst>
            <c:ext xmlns:c16="http://schemas.microsoft.com/office/drawing/2014/chart" uri="{C3380CC4-5D6E-409C-BE32-E72D297353CC}">
              <c16:uniqueId val="{0000000B-2297-43B4-9682-249C2958FBB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B2'!$O$20:$S$20</c:f>
              <c:numCache>
                <c:formatCode>0.0%</c:formatCode>
                <c:ptCount val="5"/>
                <c:pt idx="0">
                  <c:v>-1.0454885033231665E-2</c:v>
                </c:pt>
                <c:pt idx="1">
                  <c:v>1.6872181254329766E-2</c:v>
                </c:pt>
                <c:pt idx="2">
                  <c:v>2.6563176468874516E-4</c:v>
                </c:pt>
                <c:pt idx="3">
                  <c:v>-2.9678669757489118E-3</c:v>
                </c:pt>
                <c:pt idx="4">
                  <c:v>-3.7150610100382675E-3</c:v>
                </c:pt>
              </c:numCache>
            </c:numRef>
          </c:val>
          <c:smooth val="0"/>
          <c:extLst>
            <c:ext xmlns:c16="http://schemas.microsoft.com/office/drawing/2014/chart" uri="{C3380CC4-5D6E-409C-BE32-E72D297353CC}">
              <c16:uniqueId val="{0000000C-2297-43B4-9682-249C2958FBB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B2'!$O$21:$S$21</c:f>
              <c:numCache>
                <c:formatCode>0.0%</c:formatCode>
                <c:ptCount val="5"/>
                <c:pt idx="0">
                  <c:v>-1.2394297202243609E-2</c:v>
                </c:pt>
                <c:pt idx="1">
                  <c:v>1.8287502616003204E-2</c:v>
                </c:pt>
                <c:pt idx="2">
                  <c:v>-1.9336136416268079E-3</c:v>
                </c:pt>
                <c:pt idx="3">
                  <c:v>-8.8098549865744946E-4</c:v>
                </c:pt>
                <c:pt idx="4">
                  <c:v>-3.0786062734747821E-3</c:v>
                </c:pt>
              </c:numCache>
            </c:numRef>
          </c:val>
          <c:smooth val="0"/>
          <c:extLst>
            <c:ext xmlns:c16="http://schemas.microsoft.com/office/drawing/2014/chart" uri="{C3380CC4-5D6E-409C-BE32-E72D297353CC}">
              <c16:uniqueId val="{0000000D-2297-43B4-9682-249C2958FBB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B2'!$O$22:$S$22</c:f>
              <c:numCache>
                <c:formatCode>0.0%</c:formatCode>
                <c:ptCount val="5"/>
                <c:pt idx="0">
                  <c:v>-1.6634690932442742E-2</c:v>
                </c:pt>
                <c:pt idx="1">
                  <c:v>1.3576911395607238E-2</c:v>
                </c:pt>
                <c:pt idx="2">
                  <c:v>7.5065254301349693E-3</c:v>
                </c:pt>
                <c:pt idx="3">
                  <c:v>-4.0710611862626589E-3</c:v>
                </c:pt>
                <c:pt idx="4">
                  <c:v>-3.7768470703658519E-4</c:v>
                </c:pt>
              </c:numCache>
            </c:numRef>
          </c:val>
          <c:smooth val="0"/>
          <c:extLst>
            <c:ext xmlns:c16="http://schemas.microsoft.com/office/drawing/2014/chart" uri="{C3380CC4-5D6E-409C-BE32-E72D297353CC}">
              <c16:uniqueId val="{0000000E-2297-43B4-9682-249C2958FBB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B2'!$O$23:$S$23</c:f>
              <c:numCache>
                <c:formatCode>0.0%</c:formatCode>
                <c:ptCount val="5"/>
                <c:pt idx="0">
                  <c:v>-1.7219959802159956E-2</c:v>
                </c:pt>
                <c:pt idx="1">
                  <c:v>5.7340523566828949E-3</c:v>
                </c:pt>
                <c:pt idx="2">
                  <c:v>1.2635244999550377E-2</c:v>
                </c:pt>
                <c:pt idx="3">
                  <c:v>-5.9904936302206391E-3</c:v>
                </c:pt>
                <c:pt idx="4">
                  <c:v>4.841156076148101E-3</c:v>
                </c:pt>
              </c:numCache>
            </c:numRef>
          </c:val>
          <c:smooth val="0"/>
          <c:extLst>
            <c:ext xmlns:c16="http://schemas.microsoft.com/office/drawing/2014/chart" uri="{C3380CC4-5D6E-409C-BE32-E72D297353CC}">
              <c16:uniqueId val="{0000000F-2297-43B4-9682-249C2958FBB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B2'!$O$24:$S$24</c:f>
              <c:numCache>
                <c:formatCode>0.0%</c:formatCode>
                <c:ptCount val="5"/>
                <c:pt idx="0">
                  <c:v>-1.7024196702023597E-2</c:v>
                </c:pt>
                <c:pt idx="1">
                  <c:v>-2.4415928262473408E-3</c:v>
                </c:pt>
                <c:pt idx="2">
                  <c:v>1.0584021231029972E-2</c:v>
                </c:pt>
                <c:pt idx="3">
                  <c:v>7.19354091861657E-3</c:v>
                </c:pt>
                <c:pt idx="4">
                  <c:v>1.688227378623397E-3</c:v>
                </c:pt>
              </c:numCache>
            </c:numRef>
          </c:val>
          <c:smooth val="0"/>
          <c:extLst>
            <c:ext xmlns:c16="http://schemas.microsoft.com/office/drawing/2014/chart" uri="{C3380CC4-5D6E-409C-BE32-E72D297353CC}">
              <c16:uniqueId val="{00000010-2297-43B4-9682-249C2958FBB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B2'!$O$25:$S$25</c:f>
              <c:numCache>
                <c:formatCode>0.0%</c:formatCode>
                <c:ptCount val="5"/>
                <c:pt idx="0">
                  <c:v>-6.9990198104096235E-3</c:v>
                </c:pt>
                <c:pt idx="1">
                  <c:v>-3.1563753572834141E-3</c:v>
                </c:pt>
                <c:pt idx="2">
                  <c:v>-7.9125985188047698E-3</c:v>
                </c:pt>
                <c:pt idx="3">
                  <c:v>1.1808487648543364E-2</c:v>
                </c:pt>
                <c:pt idx="4">
                  <c:v>6.2595060379539991E-3</c:v>
                </c:pt>
              </c:numCache>
            </c:numRef>
          </c:val>
          <c:smooth val="0"/>
          <c:extLst>
            <c:ext xmlns:c16="http://schemas.microsoft.com/office/drawing/2014/chart" uri="{C3380CC4-5D6E-409C-BE32-E72D297353CC}">
              <c16:uniqueId val="{00000011-2297-43B4-9682-249C2958FBB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B2'!$O$26:$S$26</c:f>
              <c:numCache>
                <c:formatCode>0.0%</c:formatCode>
                <c:ptCount val="5"/>
                <c:pt idx="0">
                  <c:v>-1.7338755536511208E-4</c:v>
                </c:pt>
                <c:pt idx="1">
                  <c:v>4.7749413502455873E-3</c:v>
                </c:pt>
                <c:pt idx="2">
                  <c:v>-2.8408964355901345E-2</c:v>
                </c:pt>
                <c:pt idx="3">
                  <c:v>2.0817831899837547E-2</c:v>
                </c:pt>
                <c:pt idx="4">
                  <c:v>2.989578661182879E-3</c:v>
                </c:pt>
              </c:numCache>
            </c:numRef>
          </c:val>
          <c:smooth val="0"/>
          <c:extLst>
            <c:ext xmlns:c16="http://schemas.microsoft.com/office/drawing/2014/chart" uri="{C3380CC4-5D6E-409C-BE32-E72D297353CC}">
              <c16:uniqueId val="{00000012-2297-43B4-9682-249C2958FBB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B2'!$O$27:$S$27</c:f>
              <c:numCache>
                <c:formatCode>0.0%</c:formatCode>
                <c:ptCount val="5"/>
                <c:pt idx="0">
                  <c:v>-1.4345011850861011E-2</c:v>
                </c:pt>
                <c:pt idx="1">
                  <c:v>3.5396019710132398E-2</c:v>
                </c:pt>
                <c:pt idx="2">
                  <c:v>-4.744602279443022E-2</c:v>
                </c:pt>
                <c:pt idx="3">
                  <c:v>3.1201084513586164E-2</c:v>
                </c:pt>
                <c:pt idx="4">
                  <c:v>-4.8060695784272189E-3</c:v>
                </c:pt>
              </c:numCache>
            </c:numRef>
          </c:val>
          <c:smooth val="0"/>
          <c:extLst>
            <c:ext xmlns:c16="http://schemas.microsoft.com/office/drawing/2014/chart" uri="{C3380CC4-5D6E-409C-BE32-E72D297353CC}">
              <c16:uniqueId val="{00000013-2297-43B4-9682-249C2958FBB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B2'!$O$28:$S$28</c:f>
              <c:numCache>
                <c:formatCode>0.0%</c:formatCode>
                <c:ptCount val="5"/>
                <c:pt idx="0">
                  <c:v>-1.1710857716927481E-2</c:v>
                </c:pt>
                <c:pt idx="1">
                  <c:v>2.0695632816559506E-2</c:v>
                </c:pt>
                <c:pt idx="2">
                  <c:v>-4.6909715553835163E-2</c:v>
                </c:pt>
                <c:pt idx="3">
                  <c:v>3.4990551536271397E-2</c:v>
                </c:pt>
                <c:pt idx="4">
                  <c:v>2.9343889179318516E-3</c:v>
                </c:pt>
              </c:numCache>
            </c:numRef>
          </c:val>
          <c:smooth val="0"/>
          <c:extLst>
            <c:ext xmlns:c16="http://schemas.microsoft.com/office/drawing/2014/chart" uri="{C3380CC4-5D6E-409C-BE32-E72D297353CC}">
              <c16:uniqueId val="{00000014-2297-43B4-9682-249C2958FBB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B2'!$O$29:$S$29</c:f>
              <c:numCache>
                <c:formatCode>0.0%</c:formatCode>
                <c:ptCount val="5"/>
                <c:pt idx="0">
                  <c:v>-1.7600322664786616E-2</c:v>
                </c:pt>
                <c:pt idx="1">
                  <c:v>2.6350506482521352E-2</c:v>
                </c:pt>
                <c:pt idx="2">
                  <c:v>-3.6988238303755638E-2</c:v>
                </c:pt>
                <c:pt idx="3">
                  <c:v>3.5587613133241991E-2</c:v>
                </c:pt>
                <c:pt idx="4">
                  <c:v>-7.3495586472215324E-3</c:v>
                </c:pt>
              </c:numCache>
            </c:numRef>
          </c:val>
          <c:smooth val="0"/>
          <c:extLst>
            <c:ext xmlns:c16="http://schemas.microsoft.com/office/drawing/2014/chart" uri="{C3380CC4-5D6E-409C-BE32-E72D297353CC}">
              <c16:uniqueId val="{00000015-2297-43B4-9682-249C2958FBB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B2'!$O$30:$S$30</c:f>
              <c:numCache>
                <c:formatCode>0.0%</c:formatCode>
                <c:ptCount val="5"/>
                <c:pt idx="0">
                  <c:v>-3.0391801627839499E-2</c:v>
                </c:pt>
                <c:pt idx="1">
                  <c:v>3.1182573108073486E-2</c:v>
                </c:pt>
                <c:pt idx="2">
                  <c:v>-5.0098121808907936E-2</c:v>
                </c:pt>
                <c:pt idx="3">
                  <c:v>4.1908287230433938E-2</c:v>
                </c:pt>
                <c:pt idx="4">
                  <c:v>7.3990630982394556E-3</c:v>
                </c:pt>
              </c:numCache>
            </c:numRef>
          </c:val>
          <c:smooth val="0"/>
          <c:extLst>
            <c:ext xmlns:c16="http://schemas.microsoft.com/office/drawing/2014/chart" uri="{C3380CC4-5D6E-409C-BE32-E72D297353CC}">
              <c16:uniqueId val="{00000016-2297-43B4-9682-249C2958FBB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B2'!$O$31:$S$31</c:f>
              <c:numCache>
                <c:formatCode>0.0%</c:formatCode>
                <c:ptCount val="5"/>
                <c:pt idx="0">
                  <c:v>-4.660781329975705E-2</c:v>
                </c:pt>
                <c:pt idx="1">
                  <c:v>1.7990801555890279E-2</c:v>
                </c:pt>
                <c:pt idx="2">
                  <c:v>-4.5460428104340811E-2</c:v>
                </c:pt>
                <c:pt idx="3">
                  <c:v>5.2174493963059287E-2</c:v>
                </c:pt>
                <c:pt idx="4">
                  <c:v>2.1902945885148739E-2</c:v>
                </c:pt>
              </c:numCache>
            </c:numRef>
          </c:val>
          <c:smooth val="0"/>
          <c:extLst>
            <c:ext xmlns:c16="http://schemas.microsoft.com/office/drawing/2014/chart" uri="{C3380CC4-5D6E-409C-BE32-E72D297353CC}">
              <c16:uniqueId val="{00000017-2297-43B4-9682-249C2958FBB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B2'!$O$32:$S$32</c:f>
              <c:numCache>
                <c:formatCode>0.0%</c:formatCode>
                <c:ptCount val="5"/>
                <c:pt idx="0">
                  <c:v>-7.7088092853442314E-3</c:v>
                </c:pt>
                <c:pt idx="1">
                  <c:v>-1.1674714874518877E-3</c:v>
                </c:pt>
                <c:pt idx="2">
                  <c:v>0</c:v>
                </c:pt>
                <c:pt idx="3">
                  <c:v>2.8369919795295351E-2</c:v>
                </c:pt>
                <c:pt idx="4">
                  <c:v>-1.9493639022498899E-2</c:v>
                </c:pt>
              </c:numCache>
            </c:numRef>
          </c:val>
          <c:smooth val="0"/>
          <c:extLst>
            <c:ext xmlns:c16="http://schemas.microsoft.com/office/drawing/2014/chart" uri="{C3380CC4-5D6E-409C-BE32-E72D297353CC}">
              <c16:uniqueId val="{00000018-2297-43B4-9682-249C2958FBB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B2'!$O$33:$S$33</c:f>
              <c:numCache>
                <c:formatCode>0.0%</c:formatCode>
                <c:ptCount val="5"/>
                <c:pt idx="0">
                  <c:v>9.1004420161620025E-3</c:v>
                </c:pt>
                <c:pt idx="1">
                  <c:v>6.3284969333934349E-3</c:v>
                </c:pt>
                <c:pt idx="2">
                  <c:v>0</c:v>
                </c:pt>
                <c:pt idx="3">
                  <c:v>-1.7913357817468056E-2</c:v>
                </c:pt>
                <c:pt idx="4">
                  <c:v>2.4844188679127299E-3</c:v>
                </c:pt>
              </c:numCache>
            </c:numRef>
          </c:val>
          <c:smooth val="0"/>
          <c:extLst>
            <c:ext xmlns:c16="http://schemas.microsoft.com/office/drawing/2014/chart" uri="{C3380CC4-5D6E-409C-BE32-E72D297353CC}">
              <c16:uniqueId val="{00000019-2297-43B4-9682-249C2958FBB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B2'!$O$34:$S$34</c:f>
              <c:numCache>
                <c:formatCode>0.0%</c:formatCode>
                <c:ptCount val="5"/>
                <c:pt idx="0">
                  <c:v>-2.7837941233216368E-2</c:v>
                </c:pt>
                <c:pt idx="1">
                  <c:v>5.6112680008090887E-2</c:v>
                </c:pt>
                <c:pt idx="2">
                  <c:v>0</c:v>
                </c:pt>
                <c:pt idx="3">
                  <c:v>-2.3586341180868442E-2</c:v>
                </c:pt>
                <c:pt idx="4">
                  <c:v>-4.6883975940064104E-3</c:v>
                </c:pt>
              </c:numCache>
            </c:numRef>
          </c:val>
          <c:smooth val="0"/>
          <c:extLst>
            <c:ext xmlns:c16="http://schemas.microsoft.com/office/drawing/2014/chart" uri="{C3380CC4-5D6E-409C-BE32-E72D297353CC}">
              <c16:uniqueId val="{0000001A-2297-43B4-9682-249C2958FBB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B2'!$O$35:$S$35</c:f>
              <c:numCache>
                <c:formatCode>0.0%</c:formatCode>
                <c:ptCount val="5"/>
                <c:pt idx="0">
                  <c:v>2.5858600066146487E-3</c:v>
                </c:pt>
                <c:pt idx="1">
                  <c:v>3.3140685832982353E-2</c:v>
                </c:pt>
                <c:pt idx="2">
                  <c:v>0</c:v>
                </c:pt>
                <c:pt idx="3">
                  <c:v>1.9961228837346523E-2</c:v>
                </c:pt>
                <c:pt idx="4">
                  <c:v>-5.568777467694408E-2</c:v>
                </c:pt>
              </c:numCache>
            </c:numRef>
          </c:val>
          <c:smooth val="0"/>
          <c:extLst>
            <c:ext xmlns:c16="http://schemas.microsoft.com/office/drawing/2014/chart" uri="{C3380CC4-5D6E-409C-BE32-E72D297353CC}">
              <c16:uniqueId val="{0000001B-2297-43B4-9682-249C2958FBB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B2'!$O$36:$S$36</c:f>
              <c:numCache>
                <c:formatCode>0.0%</c:formatCode>
                <c:ptCount val="5"/>
                <c:pt idx="0">
                  <c:v>1.94500209316808E-2</c:v>
                </c:pt>
                <c:pt idx="1">
                  <c:v>-8.1732929018634159E-3</c:v>
                </c:pt>
                <c:pt idx="2">
                  <c:v>-2.4472860246343764E-2</c:v>
                </c:pt>
                <c:pt idx="3">
                  <c:v>1.3196132216527046E-2</c:v>
                </c:pt>
                <c:pt idx="4">
                  <c:v>0</c:v>
                </c:pt>
              </c:numCache>
            </c:numRef>
          </c:val>
          <c:smooth val="0"/>
          <c:extLst>
            <c:ext xmlns:c16="http://schemas.microsoft.com/office/drawing/2014/chart" uri="{C3380CC4-5D6E-409C-BE32-E72D297353CC}">
              <c16:uniqueId val="{0000001C-2297-43B4-9682-249C2958FBB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B2'!$O$37:$S$37</c:f>
              <c:numCache>
                <c:formatCode>0.0%</c:formatCode>
                <c:ptCount val="5"/>
                <c:pt idx="0">
                  <c:v>5.6357626649409909E-2</c:v>
                </c:pt>
                <c:pt idx="1">
                  <c:v>-5.2536528768298285E-2</c:v>
                </c:pt>
                <c:pt idx="2">
                  <c:v>-6.8030052408909358E-2</c:v>
                </c:pt>
                <c:pt idx="3">
                  <c:v>6.4208954527797069E-2</c:v>
                </c:pt>
                <c:pt idx="4">
                  <c:v>0</c:v>
                </c:pt>
              </c:numCache>
            </c:numRef>
          </c:val>
          <c:smooth val="0"/>
          <c:extLst>
            <c:ext xmlns:c16="http://schemas.microsoft.com/office/drawing/2014/chart" uri="{C3380CC4-5D6E-409C-BE32-E72D297353CC}">
              <c16:uniqueId val="{0000001D-2297-43B4-9682-249C2958FBB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B2'!$O$38:$S$38</c:f>
              <c:numCache>
                <c:formatCode>0.0%</c:formatCode>
                <c:ptCount val="5"/>
                <c:pt idx="0">
                  <c:v>5.2540430270140437E-3</c:v>
                </c:pt>
                <c:pt idx="1">
                  <c:v>-3.5188220188552721E-2</c:v>
                </c:pt>
                <c:pt idx="2">
                  <c:v>1.4468449841348763E-2</c:v>
                </c:pt>
                <c:pt idx="3">
                  <c:v>1.5465727320189693E-2</c:v>
                </c:pt>
                <c:pt idx="4">
                  <c:v>0</c:v>
                </c:pt>
              </c:numCache>
            </c:numRef>
          </c:val>
          <c:smooth val="0"/>
          <c:extLst>
            <c:ext xmlns:c16="http://schemas.microsoft.com/office/drawing/2014/chart" uri="{C3380CC4-5D6E-409C-BE32-E72D297353CC}">
              <c16:uniqueId val="{0000001E-2297-43B4-9682-249C2958FBBD}"/>
            </c:ext>
          </c:extLst>
        </c:ser>
        <c:dLbls>
          <c:showLegendKey val="0"/>
          <c:showVal val="0"/>
          <c:showCatName val="0"/>
          <c:showSerName val="0"/>
          <c:showPercent val="0"/>
          <c:showBubbleSize val="0"/>
        </c:dLbls>
        <c:marker val="1"/>
        <c:smooth val="0"/>
        <c:axId val="694707440"/>
        <c:axId val="694707920"/>
      </c:lineChart>
      <c:catAx>
        <c:axId val="69470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920"/>
        <c:crosses val="autoZero"/>
        <c:auto val="1"/>
        <c:lblAlgn val="ctr"/>
        <c:lblOffset val="100"/>
        <c:noMultiLvlLbl val="0"/>
      </c:catAx>
      <c:valAx>
        <c:axId val="694707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B3'!$O$7:$S$7</c:f>
              <c:strCache>
                <c:ptCount val="5"/>
                <c:pt idx="0">
                  <c:v>Portion 1</c:v>
                </c:pt>
                <c:pt idx="1">
                  <c:v>Portion 2</c:v>
                </c:pt>
                <c:pt idx="2">
                  <c:v>Portion 3</c:v>
                </c:pt>
                <c:pt idx="3">
                  <c:v>Portion 4</c:v>
                </c:pt>
                <c:pt idx="4">
                  <c:v>Portion 5</c:v>
                </c:pt>
              </c:strCache>
            </c:strRef>
          </c:cat>
          <c:val>
            <c:numRef>
              <c:f>'6 - B3'!$O$8:$S$8</c:f>
              <c:numCache>
                <c:formatCode>General</c:formatCode>
                <c:ptCount val="5"/>
              </c:numCache>
            </c:numRef>
          </c:val>
          <c:smooth val="0"/>
          <c:extLst>
            <c:ext xmlns:c16="http://schemas.microsoft.com/office/drawing/2014/chart" uri="{C3380CC4-5D6E-409C-BE32-E72D297353CC}">
              <c16:uniqueId val="{00000000-BBC6-4DB9-A803-1275A88FB58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B3'!$O$7:$S$7</c:f>
              <c:strCache>
                <c:ptCount val="5"/>
                <c:pt idx="0">
                  <c:v>Portion 1</c:v>
                </c:pt>
                <c:pt idx="1">
                  <c:v>Portion 2</c:v>
                </c:pt>
                <c:pt idx="2">
                  <c:v>Portion 3</c:v>
                </c:pt>
                <c:pt idx="3">
                  <c:v>Portion 4</c:v>
                </c:pt>
                <c:pt idx="4">
                  <c:v>Portion 5</c:v>
                </c:pt>
              </c:strCache>
            </c:strRef>
          </c:cat>
          <c:val>
            <c:numRef>
              <c:f>'6 - B3'!$O$9:$S$9</c:f>
              <c:numCache>
                <c:formatCode>0.0%</c:formatCode>
                <c:ptCount val="5"/>
                <c:pt idx="0">
                  <c:v>2.2715333874257615E-2</c:v>
                </c:pt>
                <c:pt idx="1">
                  <c:v>-1.4421674387704475E-2</c:v>
                </c:pt>
                <c:pt idx="2">
                  <c:v>-2.0366284027877324E-2</c:v>
                </c:pt>
                <c:pt idx="3">
                  <c:v>1.0770025606097411E-2</c:v>
                </c:pt>
                <c:pt idx="4">
                  <c:v>1.302598935226662E-3</c:v>
                </c:pt>
              </c:numCache>
            </c:numRef>
          </c:val>
          <c:smooth val="0"/>
          <c:extLst>
            <c:ext xmlns:c16="http://schemas.microsoft.com/office/drawing/2014/chart" uri="{C3380CC4-5D6E-409C-BE32-E72D297353CC}">
              <c16:uniqueId val="{00000001-BBC6-4DB9-A803-1275A88FB58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B3'!$O$7:$S$7</c:f>
              <c:strCache>
                <c:ptCount val="5"/>
                <c:pt idx="0">
                  <c:v>Portion 1</c:v>
                </c:pt>
                <c:pt idx="1">
                  <c:v>Portion 2</c:v>
                </c:pt>
                <c:pt idx="2">
                  <c:v>Portion 3</c:v>
                </c:pt>
                <c:pt idx="3">
                  <c:v>Portion 4</c:v>
                </c:pt>
                <c:pt idx="4">
                  <c:v>Portion 5</c:v>
                </c:pt>
              </c:strCache>
            </c:strRef>
          </c:cat>
          <c:val>
            <c:numRef>
              <c:f>'6 - B3'!$O$10:$S$10</c:f>
              <c:numCache>
                <c:formatCode>0.0%</c:formatCode>
                <c:ptCount val="5"/>
                <c:pt idx="0">
                  <c:v>2.2841999757513332E-2</c:v>
                </c:pt>
                <c:pt idx="1">
                  <c:v>-1.5815481617653004E-2</c:v>
                </c:pt>
                <c:pt idx="2">
                  <c:v>-1.9148224130438707E-2</c:v>
                </c:pt>
                <c:pt idx="3">
                  <c:v>9.6148456094415913E-3</c:v>
                </c:pt>
                <c:pt idx="4">
                  <c:v>2.5068603811371215E-3</c:v>
                </c:pt>
              </c:numCache>
            </c:numRef>
          </c:val>
          <c:smooth val="0"/>
          <c:extLst>
            <c:ext xmlns:c16="http://schemas.microsoft.com/office/drawing/2014/chart" uri="{C3380CC4-5D6E-409C-BE32-E72D297353CC}">
              <c16:uniqueId val="{00000002-BBC6-4DB9-A803-1275A88FB58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B3'!$O$7:$S$7</c:f>
              <c:strCache>
                <c:ptCount val="5"/>
                <c:pt idx="0">
                  <c:v>Portion 1</c:v>
                </c:pt>
                <c:pt idx="1">
                  <c:v>Portion 2</c:v>
                </c:pt>
                <c:pt idx="2">
                  <c:v>Portion 3</c:v>
                </c:pt>
                <c:pt idx="3">
                  <c:v>Portion 4</c:v>
                </c:pt>
                <c:pt idx="4">
                  <c:v>Portion 5</c:v>
                </c:pt>
              </c:strCache>
            </c:strRef>
          </c:cat>
          <c:val>
            <c:numRef>
              <c:f>'6 - B3'!$O$11:$S$11</c:f>
              <c:numCache>
                <c:formatCode>0.0%</c:formatCode>
                <c:ptCount val="5"/>
                <c:pt idx="0">
                  <c:v>2.5556246932558757E-2</c:v>
                </c:pt>
                <c:pt idx="1">
                  <c:v>-1.8672917257228638E-2</c:v>
                </c:pt>
                <c:pt idx="2">
                  <c:v>-1.8862502660014213E-2</c:v>
                </c:pt>
                <c:pt idx="3">
                  <c:v>8.9906440317815139E-3</c:v>
                </c:pt>
                <c:pt idx="4">
                  <c:v>2.9885289529016923E-3</c:v>
                </c:pt>
              </c:numCache>
            </c:numRef>
          </c:val>
          <c:smooth val="0"/>
          <c:extLst>
            <c:ext xmlns:c16="http://schemas.microsoft.com/office/drawing/2014/chart" uri="{C3380CC4-5D6E-409C-BE32-E72D297353CC}">
              <c16:uniqueId val="{00000003-BBC6-4DB9-A803-1275A88FB58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B3'!$O$7:$S$7</c:f>
              <c:strCache>
                <c:ptCount val="5"/>
                <c:pt idx="0">
                  <c:v>Portion 1</c:v>
                </c:pt>
                <c:pt idx="1">
                  <c:v>Portion 2</c:v>
                </c:pt>
                <c:pt idx="2">
                  <c:v>Portion 3</c:v>
                </c:pt>
                <c:pt idx="3">
                  <c:v>Portion 4</c:v>
                </c:pt>
                <c:pt idx="4">
                  <c:v>Portion 5</c:v>
                </c:pt>
              </c:strCache>
            </c:strRef>
          </c:cat>
          <c:val>
            <c:numRef>
              <c:f>'6 - B3'!$O$12:$S$12</c:f>
              <c:numCache>
                <c:formatCode>0.0%</c:formatCode>
                <c:ptCount val="5"/>
                <c:pt idx="0">
                  <c:v>2.3378143467813972E-2</c:v>
                </c:pt>
                <c:pt idx="1">
                  <c:v>-1.9653830098060099E-2</c:v>
                </c:pt>
                <c:pt idx="2">
                  <c:v>-1.441948672614346E-2</c:v>
                </c:pt>
                <c:pt idx="3">
                  <c:v>6.9731486684274646E-3</c:v>
                </c:pt>
                <c:pt idx="4">
                  <c:v>3.7220246879619001E-3</c:v>
                </c:pt>
              </c:numCache>
            </c:numRef>
          </c:val>
          <c:smooth val="0"/>
          <c:extLst>
            <c:ext xmlns:c16="http://schemas.microsoft.com/office/drawing/2014/chart" uri="{C3380CC4-5D6E-409C-BE32-E72D297353CC}">
              <c16:uniqueId val="{00000004-BBC6-4DB9-A803-1275A88FB58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B3'!$O$7:$S$7</c:f>
              <c:strCache>
                <c:ptCount val="5"/>
                <c:pt idx="0">
                  <c:v>Portion 1</c:v>
                </c:pt>
                <c:pt idx="1">
                  <c:v>Portion 2</c:v>
                </c:pt>
                <c:pt idx="2">
                  <c:v>Portion 3</c:v>
                </c:pt>
                <c:pt idx="3">
                  <c:v>Portion 4</c:v>
                </c:pt>
                <c:pt idx="4">
                  <c:v>Portion 5</c:v>
                </c:pt>
              </c:strCache>
            </c:strRef>
          </c:cat>
          <c:val>
            <c:numRef>
              <c:f>'6 - B3'!$O$13:$S$13</c:f>
              <c:numCache>
                <c:formatCode>0.0%</c:formatCode>
                <c:ptCount val="5"/>
                <c:pt idx="0">
                  <c:v>2.1419683976102499E-2</c:v>
                </c:pt>
                <c:pt idx="1">
                  <c:v>-1.9319704247245051E-2</c:v>
                </c:pt>
                <c:pt idx="2">
                  <c:v>-1.3389245252994231E-2</c:v>
                </c:pt>
                <c:pt idx="3">
                  <c:v>5.7947907671105359E-3</c:v>
                </c:pt>
                <c:pt idx="4">
                  <c:v>5.4944747570269126E-3</c:v>
                </c:pt>
              </c:numCache>
            </c:numRef>
          </c:val>
          <c:smooth val="0"/>
          <c:extLst>
            <c:ext xmlns:c16="http://schemas.microsoft.com/office/drawing/2014/chart" uri="{C3380CC4-5D6E-409C-BE32-E72D297353CC}">
              <c16:uniqueId val="{00000005-BBC6-4DB9-A803-1275A88FB58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B3'!$O$14:$S$14</c:f>
              <c:numCache>
                <c:formatCode>0.0%</c:formatCode>
                <c:ptCount val="5"/>
                <c:pt idx="0">
                  <c:v>1.9832541517795566E-2</c:v>
                </c:pt>
                <c:pt idx="1">
                  <c:v>-2.1236073648113085E-2</c:v>
                </c:pt>
                <c:pt idx="2">
                  <c:v>-1.2033001976144986E-2</c:v>
                </c:pt>
                <c:pt idx="3">
                  <c:v>5.2794074077053832E-3</c:v>
                </c:pt>
                <c:pt idx="4">
                  <c:v>8.1571266987570112E-3</c:v>
                </c:pt>
              </c:numCache>
            </c:numRef>
          </c:val>
          <c:smooth val="0"/>
          <c:extLst>
            <c:ext xmlns:c16="http://schemas.microsoft.com/office/drawing/2014/chart" uri="{C3380CC4-5D6E-409C-BE32-E72D297353CC}">
              <c16:uniqueId val="{00000006-BBC6-4DB9-A803-1275A88FB58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B3'!$O$15:$S$15</c:f>
              <c:numCache>
                <c:formatCode>0.0%</c:formatCode>
                <c:ptCount val="5"/>
                <c:pt idx="0">
                  <c:v>1.9826099486014215E-2</c:v>
                </c:pt>
                <c:pt idx="1">
                  <c:v>-1.9369299870449108E-2</c:v>
                </c:pt>
                <c:pt idx="2">
                  <c:v>-1.3605583722956061E-2</c:v>
                </c:pt>
                <c:pt idx="3">
                  <c:v>4.8111082077852974E-3</c:v>
                </c:pt>
                <c:pt idx="4">
                  <c:v>8.3376758996058786E-3</c:v>
                </c:pt>
              </c:numCache>
            </c:numRef>
          </c:val>
          <c:smooth val="0"/>
          <c:extLst>
            <c:ext xmlns:c16="http://schemas.microsoft.com/office/drawing/2014/chart" uri="{C3380CC4-5D6E-409C-BE32-E72D297353CC}">
              <c16:uniqueId val="{00000007-BBC6-4DB9-A803-1275A88FB58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B3'!$O$16:$S$16</c:f>
              <c:numCache>
                <c:formatCode>0.0%</c:formatCode>
                <c:ptCount val="5"/>
                <c:pt idx="0">
                  <c:v>2.094525562866556E-2</c:v>
                </c:pt>
                <c:pt idx="1">
                  <c:v>-2.0263832517988245E-2</c:v>
                </c:pt>
                <c:pt idx="2">
                  <c:v>-1.3640640848134877E-2</c:v>
                </c:pt>
                <c:pt idx="3">
                  <c:v>3.2733765546866245E-3</c:v>
                </c:pt>
                <c:pt idx="4">
                  <c:v>9.6858411827707158E-3</c:v>
                </c:pt>
              </c:numCache>
            </c:numRef>
          </c:val>
          <c:smooth val="0"/>
          <c:extLst>
            <c:ext xmlns:c16="http://schemas.microsoft.com/office/drawing/2014/chart" uri="{C3380CC4-5D6E-409C-BE32-E72D297353CC}">
              <c16:uniqueId val="{00000008-BBC6-4DB9-A803-1275A88FB58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B3'!$O$17:$S$17</c:f>
              <c:numCache>
                <c:formatCode>0.0%</c:formatCode>
                <c:ptCount val="5"/>
                <c:pt idx="0">
                  <c:v>1.9140997013173955E-2</c:v>
                </c:pt>
                <c:pt idx="1">
                  <c:v>-2.0794613134184514E-2</c:v>
                </c:pt>
                <c:pt idx="2">
                  <c:v>-1.2744472396769568E-2</c:v>
                </c:pt>
                <c:pt idx="3">
                  <c:v>5.0177484555342655E-3</c:v>
                </c:pt>
                <c:pt idx="4">
                  <c:v>9.3803400622469724E-3</c:v>
                </c:pt>
              </c:numCache>
            </c:numRef>
          </c:val>
          <c:smooth val="0"/>
          <c:extLst>
            <c:ext xmlns:c16="http://schemas.microsoft.com/office/drawing/2014/chart" uri="{C3380CC4-5D6E-409C-BE32-E72D297353CC}">
              <c16:uniqueId val="{00000009-BBC6-4DB9-A803-1275A88FB58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B3'!$O$18:$S$18</c:f>
              <c:numCache>
                <c:formatCode>0.0%</c:formatCode>
                <c:ptCount val="5"/>
                <c:pt idx="0">
                  <c:v>1.9397678735883828E-2</c:v>
                </c:pt>
                <c:pt idx="1">
                  <c:v>-1.6377395342135892E-2</c:v>
                </c:pt>
                <c:pt idx="2">
                  <c:v>-1.4080126289194972E-2</c:v>
                </c:pt>
                <c:pt idx="3">
                  <c:v>3.2886494586386039E-3</c:v>
                </c:pt>
                <c:pt idx="4">
                  <c:v>7.7711934368089874E-3</c:v>
                </c:pt>
              </c:numCache>
            </c:numRef>
          </c:val>
          <c:smooth val="0"/>
          <c:extLst>
            <c:ext xmlns:c16="http://schemas.microsoft.com/office/drawing/2014/chart" uri="{C3380CC4-5D6E-409C-BE32-E72D297353CC}">
              <c16:uniqueId val="{0000000A-BBC6-4DB9-A803-1275A88FB58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B3'!$O$19:$S$19</c:f>
              <c:numCache>
                <c:formatCode>0.0%</c:formatCode>
                <c:ptCount val="5"/>
                <c:pt idx="0">
                  <c:v>1.7120497728770223E-2</c:v>
                </c:pt>
                <c:pt idx="1">
                  <c:v>-1.3831736145676121E-2</c:v>
                </c:pt>
                <c:pt idx="2">
                  <c:v>-1.5489546396999287E-2</c:v>
                </c:pt>
                <c:pt idx="3">
                  <c:v>6.7030377289045706E-3</c:v>
                </c:pt>
                <c:pt idx="4">
                  <c:v>5.4977470850003929E-3</c:v>
                </c:pt>
              </c:numCache>
            </c:numRef>
          </c:val>
          <c:smooth val="0"/>
          <c:extLst>
            <c:ext xmlns:c16="http://schemas.microsoft.com/office/drawing/2014/chart" uri="{C3380CC4-5D6E-409C-BE32-E72D297353CC}">
              <c16:uniqueId val="{0000000B-BBC6-4DB9-A803-1275A88FB58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B3'!$O$20:$S$20</c:f>
              <c:numCache>
                <c:formatCode>0.0%</c:formatCode>
                <c:ptCount val="5"/>
                <c:pt idx="0">
                  <c:v>2.5567022405727835E-2</c:v>
                </c:pt>
                <c:pt idx="1">
                  <c:v>-1.112375434753643E-2</c:v>
                </c:pt>
                <c:pt idx="2">
                  <c:v>-2.6344207315376678E-2</c:v>
                </c:pt>
                <c:pt idx="3">
                  <c:v>5.5698584586494349E-3</c:v>
                </c:pt>
                <c:pt idx="4">
                  <c:v>6.3310807985352824E-3</c:v>
                </c:pt>
              </c:numCache>
            </c:numRef>
          </c:val>
          <c:smooth val="0"/>
          <c:extLst>
            <c:ext xmlns:c16="http://schemas.microsoft.com/office/drawing/2014/chart" uri="{C3380CC4-5D6E-409C-BE32-E72D297353CC}">
              <c16:uniqueId val="{0000000C-BBC6-4DB9-A803-1275A88FB58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B3'!$O$21:$S$21</c:f>
              <c:numCache>
                <c:formatCode>0.0%</c:formatCode>
                <c:ptCount val="5"/>
                <c:pt idx="0">
                  <c:v>2.6108492379092629E-2</c:v>
                </c:pt>
                <c:pt idx="1">
                  <c:v>-1.2262634171592235E-2</c:v>
                </c:pt>
                <c:pt idx="2">
                  <c:v>-2.1929732144136405E-2</c:v>
                </c:pt>
                <c:pt idx="3">
                  <c:v>2.0301678971208492E-3</c:v>
                </c:pt>
                <c:pt idx="4">
                  <c:v>6.0537060395142728E-3</c:v>
                </c:pt>
              </c:numCache>
            </c:numRef>
          </c:val>
          <c:smooth val="0"/>
          <c:extLst>
            <c:ext xmlns:c16="http://schemas.microsoft.com/office/drawing/2014/chart" uri="{C3380CC4-5D6E-409C-BE32-E72D297353CC}">
              <c16:uniqueId val="{0000000D-BBC6-4DB9-A803-1275A88FB58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B3'!$O$22:$S$22</c:f>
              <c:numCache>
                <c:formatCode>0.0%</c:formatCode>
                <c:ptCount val="5"/>
                <c:pt idx="0">
                  <c:v>1.9442596588149286E-2</c:v>
                </c:pt>
                <c:pt idx="1">
                  <c:v>1.1246429756726073E-3</c:v>
                </c:pt>
                <c:pt idx="2">
                  <c:v>-2.0612094301250106E-2</c:v>
                </c:pt>
                <c:pt idx="3">
                  <c:v>1.9007068955083639E-3</c:v>
                </c:pt>
                <c:pt idx="4">
                  <c:v>-1.8558521580805953E-3</c:v>
                </c:pt>
              </c:numCache>
            </c:numRef>
          </c:val>
          <c:smooth val="0"/>
          <c:extLst>
            <c:ext xmlns:c16="http://schemas.microsoft.com/office/drawing/2014/chart" uri="{C3380CC4-5D6E-409C-BE32-E72D297353CC}">
              <c16:uniqueId val="{0000000E-BBC6-4DB9-A803-1275A88FB58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B3'!$O$23:$S$23</c:f>
              <c:numCache>
                <c:formatCode>0.0%</c:formatCode>
                <c:ptCount val="5"/>
                <c:pt idx="0">
                  <c:v>1.8946420759978766E-2</c:v>
                </c:pt>
                <c:pt idx="1">
                  <c:v>5.8030471703047759E-3</c:v>
                </c:pt>
                <c:pt idx="2">
                  <c:v>-1.8930065260072459E-2</c:v>
                </c:pt>
                <c:pt idx="3">
                  <c:v>-6.4681297609614496E-4</c:v>
                </c:pt>
                <c:pt idx="4">
                  <c:v>-5.1725896941148264E-3</c:v>
                </c:pt>
              </c:numCache>
            </c:numRef>
          </c:val>
          <c:smooth val="0"/>
          <c:extLst>
            <c:ext xmlns:c16="http://schemas.microsoft.com/office/drawing/2014/chart" uri="{C3380CC4-5D6E-409C-BE32-E72D297353CC}">
              <c16:uniqueId val="{0000000F-BBC6-4DB9-A803-1275A88FB58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B3'!$O$24:$S$24</c:f>
              <c:numCache>
                <c:formatCode>0.0%</c:formatCode>
                <c:ptCount val="5"/>
                <c:pt idx="0">
                  <c:v>-5.9812733630115744E-4</c:v>
                </c:pt>
                <c:pt idx="1">
                  <c:v>1.2535847277045153E-2</c:v>
                </c:pt>
                <c:pt idx="2">
                  <c:v>-6.6937244809298635E-3</c:v>
                </c:pt>
                <c:pt idx="3">
                  <c:v>-4.4987714908372167E-3</c:v>
                </c:pt>
                <c:pt idx="4">
                  <c:v>-7.4522396897769294E-4</c:v>
                </c:pt>
              </c:numCache>
            </c:numRef>
          </c:val>
          <c:smooth val="0"/>
          <c:extLst>
            <c:ext xmlns:c16="http://schemas.microsoft.com/office/drawing/2014/chart" uri="{C3380CC4-5D6E-409C-BE32-E72D297353CC}">
              <c16:uniqueId val="{00000010-BBC6-4DB9-A803-1275A88FB58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B3'!$O$25:$S$25</c:f>
              <c:numCache>
                <c:formatCode>0.0%</c:formatCode>
                <c:ptCount val="5"/>
                <c:pt idx="0">
                  <c:v>-5.5340599633774135E-3</c:v>
                </c:pt>
                <c:pt idx="1">
                  <c:v>5.1560996278441351E-3</c:v>
                </c:pt>
                <c:pt idx="2">
                  <c:v>1.8053434217524256E-4</c:v>
                </c:pt>
                <c:pt idx="3">
                  <c:v>-6.1014822557289294E-3</c:v>
                </c:pt>
                <c:pt idx="4">
                  <c:v>6.2989082490869652E-3</c:v>
                </c:pt>
              </c:numCache>
            </c:numRef>
          </c:val>
          <c:smooth val="0"/>
          <c:extLst>
            <c:ext xmlns:c16="http://schemas.microsoft.com/office/drawing/2014/chart" uri="{C3380CC4-5D6E-409C-BE32-E72D297353CC}">
              <c16:uniqueId val="{00000011-BBC6-4DB9-A803-1275A88FB58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B3'!$O$26:$S$26</c:f>
              <c:numCache>
                <c:formatCode>0.0%</c:formatCode>
                <c:ptCount val="5"/>
                <c:pt idx="0">
                  <c:v>1.0845648125757279E-2</c:v>
                </c:pt>
                <c:pt idx="1">
                  <c:v>8.620370461294824E-3</c:v>
                </c:pt>
                <c:pt idx="2">
                  <c:v>-1.8332084486740285E-2</c:v>
                </c:pt>
                <c:pt idx="3">
                  <c:v>-8.0398412400628505E-4</c:v>
                </c:pt>
                <c:pt idx="4">
                  <c:v>-3.2994997630586553E-4</c:v>
                </c:pt>
              </c:numCache>
            </c:numRef>
          </c:val>
          <c:smooth val="0"/>
          <c:extLst>
            <c:ext xmlns:c16="http://schemas.microsoft.com/office/drawing/2014/chart" uri="{C3380CC4-5D6E-409C-BE32-E72D297353CC}">
              <c16:uniqueId val="{00000012-BBC6-4DB9-A803-1275A88FB58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B3'!$O$27:$S$27</c:f>
              <c:numCache>
                <c:formatCode>0.0%</c:formatCode>
                <c:ptCount val="5"/>
                <c:pt idx="0">
                  <c:v>4.2132154989822368E-3</c:v>
                </c:pt>
                <c:pt idx="1">
                  <c:v>1.0225027669623854E-2</c:v>
                </c:pt>
                <c:pt idx="2">
                  <c:v>-1.653608093766723E-2</c:v>
                </c:pt>
                <c:pt idx="3">
                  <c:v>5.6776335930943667E-3</c:v>
                </c:pt>
                <c:pt idx="4">
                  <c:v>-3.5797958240332273E-3</c:v>
                </c:pt>
              </c:numCache>
            </c:numRef>
          </c:val>
          <c:smooth val="0"/>
          <c:extLst>
            <c:ext xmlns:c16="http://schemas.microsoft.com/office/drawing/2014/chart" uri="{C3380CC4-5D6E-409C-BE32-E72D297353CC}">
              <c16:uniqueId val="{00000013-BBC6-4DB9-A803-1275A88FB58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B3'!$O$28:$S$28</c:f>
              <c:numCache>
                <c:formatCode>0.0%</c:formatCode>
                <c:ptCount val="5"/>
                <c:pt idx="0">
                  <c:v>1.1593976013494212E-2</c:v>
                </c:pt>
                <c:pt idx="1">
                  <c:v>2.2557189156280355E-3</c:v>
                </c:pt>
                <c:pt idx="2">
                  <c:v>-1.2665071203185163E-2</c:v>
                </c:pt>
                <c:pt idx="3">
                  <c:v>7.1021254948895329E-3</c:v>
                </c:pt>
                <c:pt idx="4">
                  <c:v>-8.2867492208266169E-3</c:v>
                </c:pt>
              </c:numCache>
            </c:numRef>
          </c:val>
          <c:smooth val="0"/>
          <c:extLst>
            <c:ext xmlns:c16="http://schemas.microsoft.com/office/drawing/2014/chart" uri="{C3380CC4-5D6E-409C-BE32-E72D297353CC}">
              <c16:uniqueId val="{00000014-BBC6-4DB9-A803-1275A88FB58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B3'!$O$29:$S$29</c:f>
              <c:numCache>
                <c:formatCode>0.0%</c:formatCode>
                <c:ptCount val="5"/>
                <c:pt idx="0">
                  <c:v>4.3026842010546629E-2</c:v>
                </c:pt>
                <c:pt idx="1">
                  <c:v>2.4971267892316185E-2</c:v>
                </c:pt>
                <c:pt idx="2">
                  <c:v>-4.5405226392939313E-2</c:v>
                </c:pt>
                <c:pt idx="3">
                  <c:v>-1.518588614964167E-2</c:v>
                </c:pt>
                <c:pt idx="4">
                  <c:v>-7.4069973602814976E-3</c:v>
                </c:pt>
              </c:numCache>
            </c:numRef>
          </c:val>
          <c:smooth val="0"/>
          <c:extLst>
            <c:ext xmlns:c16="http://schemas.microsoft.com/office/drawing/2014/chart" uri="{C3380CC4-5D6E-409C-BE32-E72D297353CC}">
              <c16:uniqueId val="{00000015-BBC6-4DB9-A803-1275A88FB58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B3'!$O$30:$S$30</c:f>
              <c:numCache>
                <c:formatCode>0.0%</c:formatCode>
                <c:ptCount val="5"/>
                <c:pt idx="0">
                  <c:v>5.1374673484001043E-2</c:v>
                </c:pt>
                <c:pt idx="1">
                  <c:v>5.1693724804947827E-2</c:v>
                </c:pt>
                <c:pt idx="2">
                  <c:v>-5.4499765999021177E-2</c:v>
                </c:pt>
                <c:pt idx="3">
                  <c:v>-1.2249804511267004E-2</c:v>
                </c:pt>
                <c:pt idx="4">
                  <c:v>-3.6318827778660134E-2</c:v>
                </c:pt>
              </c:numCache>
            </c:numRef>
          </c:val>
          <c:smooth val="0"/>
          <c:extLst>
            <c:ext xmlns:c16="http://schemas.microsoft.com/office/drawing/2014/chart" uri="{C3380CC4-5D6E-409C-BE32-E72D297353CC}">
              <c16:uniqueId val="{00000016-BBC6-4DB9-A803-1275A88FB58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B3'!$O$31:$S$31</c:f>
              <c:numCache>
                <c:formatCode>0.0%</c:formatCode>
                <c:ptCount val="5"/>
                <c:pt idx="0">
                  <c:v>8.6876497451450874E-2</c:v>
                </c:pt>
                <c:pt idx="1">
                  <c:v>5.1060787591574508E-2</c:v>
                </c:pt>
                <c:pt idx="2">
                  <c:v>-9.7168110267542573E-2</c:v>
                </c:pt>
                <c:pt idx="3">
                  <c:v>-7.0226163644614426E-3</c:v>
                </c:pt>
                <c:pt idx="4">
                  <c:v>-3.3746558411022143E-2</c:v>
                </c:pt>
              </c:numCache>
            </c:numRef>
          </c:val>
          <c:smooth val="0"/>
          <c:extLst>
            <c:ext xmlns:c16="http://schemas.microsoft.com/office/drawing/2014/chart" uri="{C3380CC4-5D6E-409C-BE32-E72D297353CC}">
              <c16:uniqueId val="{00000017-BBC6-4DB9-A803-1275A88FB58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B3'!$O$32:$S$32</c:f>
              <c:numCache>
                <c:formatCode>0.0%</c:formatCode>
                <c:ptCount val="5"/>
                <c:pt idx="0">
                  <c:v>3.8365651775033038E-2</c:v>
                </c:pt>
                <c:pt idx="1">
                  <c:v>0.1127502214194247</c:v>
                </c:pt>
                <c:pt idx="2">
                  <c:v>-0.14200370606493362</c:v>
                </c:pt>
                <c:pt idx="3">
                  <c:v>-1.9549849916198792E-2</c:v>
                </c:pt>
                <c:pt idx="4">
                  <c:v>1.0437682786675229E-2</c:v>
                </c:pt>
              </c:numCache>
            </c:numRef>
          </c:val>
          <c:smooth val="0"/>
          <c:extLst>
            <c:ext xmlns:c16="http://schemas.microsoft.com/office/drawing/2014/chart" uri="{C3380CC4-5D6E-409C-BE32-E72D297353CC}">
              <c16:uniqueId val="{00000018-BBC6-4DB9-A803-1275A88FB58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B3'!$O$33:$S$33</c:f>
              <c:numCache>
                <c:formatCode>0.0%</c:formatCode>
                <c:ptCount val="5"/>
                <c:pt idx="0">
                  <c:v>5.3123870313576571E-2</c:v>
                </c:pt>
                <c:pt idx="1">
                  <c:v>0.17644283881225076</c:v>
                </c:pt>
                <c:pt idx="2">
                  <c:v>-0.14510302633385863</c:v>
                </c:pt>
                <c:pt idx="3">
                  <c:v>-4.5380602921089808E-2</c:v>
                </c:pt>
                <c:pt idx="4">
                  <c:v>-3.908307987087789E-2</c:v>
                </c:pt>
              </c:numCache>
            </c:numRef>
          </c:val>
          <c:smooth val="0"/>
          <c:extLst>
            <c:ext xmlns:c16="http://schemas.microsoft.com/office/drawing/2014/chart" uri="{C3380CC4-5D6E-409C-BE32-E72D297353CC}">
              <c16:uniqueId val="{00000019-BBC6-4DB9-A803-1275A88FB58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B3'!$O$34:$S$34</c:f>
              <c:numCache>
                <c:formatCode>0.0%</c:formatCode>
                <c:ptCount val="5"/>
                <c:pt idx="0">
                  <c:v>5.9094104091484523E-2</c:v>
                </c:pt>
                <c:pt idx="1">
                  <c:v>0.12992369408438109</c:v>
                </c:pt>
                <c:pt idx="2">
                  <c:v>-0.17829679347998806</c:v>
                </c:pt>
                <c:pt idx="3">
                  <c:v>8.3729219349282236E-3</c:v>
                </c:pt>
                <c:pt idx="4">
                  <c:v>-1.9093926630806002E-2</c:v>
                </c:pt>
              </c:numCache>
            </c:numRef>
          </c:val>
          <c:smooth val="0"/>
          <c:extLst>
            <c:ext xmlns:c16="http://schemas.microsoft.com/office/drawing/2014/chart" uri="{C3380CC4-5D6E-409C-BE32-E72D297353CC}">
              <c16:uniqueId val="{0000001A-BBC6-4DB9-A803-1275A88FB58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B3'!$O$35:$S$35</c:f>
              <c:numCache>
                <c:formatCode>0.0%</c:formatCode>
                <c:ptCount val="5"/>
                <c:pt idx="0">
                  <c:v>0.12524819300417644</c:v>
                </c:pt>
                <c:pt idx="1">
                  <c:v>0</c:v>
                </c:pt>
                <c:pt idx="2">
                  <c:v>-0.10625466261559569</c:v>
                </c:pt>
                <c:pt idx="3">
                  <c:v>5.1761183629636331E-2</c:v>
                </c:pt>
                <c:pt idx="4">
                  <c:v>-7.0754714018217313E-2</c:v>
                </c:pt>
              </c:numCache>
            </c:numRef>
          </c:val>
          <c:smooth val="0"/>
          <c:extLst>
            <c:ext xmlns:c16="http://schemas.microsoft.com/office/drawing/2014/chart" uri="{C3380CC4-5D6E-409C-BE32-E72D297353CC}">
              <c16:uniqueId val="{0000001B-BBC6-4DB9-A803-1275A88FB58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B3'!$O$36:$S$36</c:f>
              <c:numCache>
                <c:formatCode>0.0%</c:formatCode>
                <c:ptCount val="5"/>
                <c:pt idx="0">
                  <c:v>0.10978259841073745</c:v>
                </c:pt>
                <c:pt idx="1">
                  <c:v>0</c:v>
                </c:pt>
                <c:pt idx="2">
                  <c:v>-7.7334690328754063E-2</c:v>
                </c:pt>
                <c:pt idx="3">
                  <c:v>7.3328339414432619E-2</c:v>
                </c:pt>
                <c:pt idx="4">
                  <c:v>-0.10577624749641612</c:v>
                </c:pt>
              </c:numCache>
            </c:numRef>
          </c:val>
          <c:smooth val="0"/>
          <c:extLst>
            <c:ext xmlns:c16="http://schemas.microsoft.com/office/drawing/2014/chart" uri="{C3380CC4-5D6E-409C-BE32-E72D297353CC}">
              <c16:uniqueId val="{0000001C-BBC6-4DB9-A803-1275A88FB58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B3'!$O$37:$S$37</c:f>
              <c:numCache>
                <c:formatCode>0.0%</c:formatCode>
                <c:ptCount val="5"/>
                <c:pt idx="0">
                  <c:v>-3.2310918739182348E-2</c:v>
                </c:pt>
                <c:pt idx="1">
                  <c:v>0.10977564277080565</c:v>
                </c:pt>
                <c:pt idx="2">
                  <c:v>-4.8182328854409984E-2</c:v>
                </c:pt>
                <c:pt idx="3">
                  <c:v>-2.9282395177213538E-2</c:v>
                </c:pt>
                <c:pt idx="4">
                  <c:v>0</c:v>
                </c:pt>
              </c:numCache>
            </c:numRef>
          </c:val>
          <c:smooth val="0"/>
          <c:extLst>
            <c:ext xmlns:c16="http://schemas.microsoft.com/office/drawing/2014/chart" uri="{C3380CC4-5D6E-409C-BE32-E72D297353CC}">
              <c16:uniqueId val="{0000001D-BBC6-4DB9-A803-1275A88FB58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B3'!$O$38:$S$38</c:f>
              <c:numCache>
                <c:formatCode>0.0%</c:formatCode>
                <c:ptCount val="5"/>
                <c:pt idx="0">
                  <c:v>-1.4928969614786514E-2</c:v>
                </c:pt>
                <c:pt idx="1">
                  <c:v>7.9500451335133837E-2</c:v>
                </c:pt>
                <c:pt idx="2">
                  <c:v>2.9920196042243496E-2</c:v>
                </c:pt>
                <c:pt idx="3">
                  <c:v>-9.4491677762590709E-2</c:v>
                </c:pt>
                <c:pt idx="4">
                  <c:v>0</c:v>
                </c:pt>
              </c:numCache>
            </c:numRef>
          </c:val>
          <c:smooth val="0"/>
          <c:extLst>
            <c:ext xmlns:c16="http://schemas.microsoft.com/office/drawing/2014/chart" uri="{C3380CC4-5D6E-409C-BE32-E72D297353CC}">
              <c16:uniqueId val="{0000001E-BBC6-4DB9-A803-1275A88FB58D}"/>
            </c:ext>
          </c:extLst>
        </c:ser>
        <c:dLbls>
          <c:showLegendKey val="0"/>
          <c:showVal val="0"/>
          <c:showCatName val="0"/>
          <c:showSerName val="0"/>
          <c:showPercent val="0"/>
          <c:showBubbleSize val="0"/>
        </c:dLbls>
        <c:marker val="1"/>
        <c:smooth val="0"/>
        <c:axId val="694740080"/>
        <c:axId val="694744880"/>
      </c:lineChart>
      <c:catAx>
        <c:axId val="69474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4880"/>
        <c:crosses val="autoZero"/>
        <c:auto val="1"/>
        <c:lblAlgn val="ctr"/>
        <c:lblOffset val="100"/>
        <c:noMultiLvlLbl val="0"/>
      </c:catAx>
      <c:valAx>
        <c:axId val="694744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4400">
              <a:solidFill>
                <a:srgbClr val="004586"/>
              </a:solidFill>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'6 - Curve'!$C$5:$C$34</c:f>
              <c:numCache>
                <c:formatCode>General</c:formatCode>
                <c:ptCount val="30"/>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pt idx="21">
                  <c:v>25</c:v>
                </c:pt>
                <c:pt idx="22">
                  <c:v>26</c:v>
                </c:pt>
                <c:pt idx="23">
                  <c:v>27</c:v>
                </c:pt>
                <c:pt idx="24">
                  <c:v>28</c:v>
                </c:pt>
                <c:pt idx="25">
                  <c:v>29</c:v>
                </c:pt>
                <c:pt idx="26">
                  <c:v>30</c:v>
                </c:pt>
                <c:pt idx="27">
                  <c:v>38</c:v>
                </c:pt>
                <c:pt idx="28">
                  <c:v>50</c:v>
                </c:pt>
                <c:pt idx="29">
                  <c:v>70</c:v>
                </c:pt>
              </c:numCache>
            </c:numRef>
          </c:xVal>
          <c:yVal>
            <c:numRef>
              <c:f>'6 - Curve'!$D$5:$D$34</c:f>
              <c:numCache>
                <c:formatCode>0</c:formatCode>
                <c:ptCount val="30"/>
                <c:pt idx="0">
                  <c:v>55.824297191719552</c:v>
                </c:pt>
                <c:pt idx="1">
                  <c:v>93.819165044772774</c:v>
                </c:pt>
                <c:pt idx="2">
                  <c:v>145.93366328224386</c:v>
                </c:pt>
                <c:pt idx="3">
                  <c:v>202.96007381382276</c:v>
                </c:pt>
                <c:pt idx="4">
                  <c:v>274.02556560248922</c:v>
                </c:pt>
                <c:pt idx="5">
                  <c:v>354.72525507709457</c:v>
                </c:pt>
                <c:pt idx="6">
                  <c:v>439.16365330378312</c:v>
                </c:pt>
                <c:pt idx="7">
                  <c:v>533.40086228697442</c:v>
                </c:pt>
                <c:pt idx="8">
                  <c:v>636.84341796362787</c:v>
                </c:pt>
                <c:pt idx="9">
                  <c:v>742.4535962221895</c:v>
                </c:pt>
                <c:pt idx="10">
                  <c:v>846.52898028792617</c:v>
                </c:pt>
                <c:pt idx="11">
                  <c:v>958.16301083952055</c:v>
                </c:pt>
                <c:pt idx="12">
                  <c:v>1079.8099373992954</c:v>
                </c:pt>
                <c:pt idx="13">
                  <c:v>1198.8945291294419</c:v>
                </c:pt>
                <c:pt idx="14">
                  <c:v>1319.4997665049989</c:v>
                </c:pt>
                <c:pt idx="15">
                  <c:v>1450.8755093121931</c:v>
                </c:pt>
                <c:pt idx="16">
                  <c:v>1599.4503386671131</c:v>
                </c:pt>
                <c:pt idx="17">
                  <c:v>1771.7580624098962</c:v>
                </c:pt>
                <c:pt idx="18">
                  <c:v>1965.000734120249</c:v>
                </c:pt>
                <c:pt idx="19">
                  <c:v>2182.0701332973917</c:v>
                </c:pt>
                <c:pt idx="20">
                  <c:v>2427.4616684326684</c:v>
                </c:pt>
                <c:pt idx="21">
                  <c:v>2693.0727135542766</c:v>
                </c:pt>
                <c:pt idx="22">
                  <c:v>2973.606607704412</c:v>
                </c:pt>
                <c:pt idx="23">
                  <c:v>3253.0025662206435</c:v>
                </c:pt>
                <c:pt idx="24">
                  <c:v>3541.794787040978</c:v>
                </c:pt>
                <c:pt idx="25">
                  <c:v>3839.4268055058355</c:v>
                </c:pt>
                <c:pt idx="26">
                  <c:v>4200.0031012857889</c:v>
                </c:pt>
                <c:pt idx="27">
                  <c:v>9383.1992798272131</c:v>
                </c:pt>
                <c:pt idx="28">
                  <c:v>15895.418171796442</c:v>
                </c:pt>
                <c:pt idx="29">
                  <c:v>24999.999999999996</c:v>
                </c:pt>
              </c:numCache>
            </c:numRef>
          </c:yVal>
          <c:smooth val="1"/>
          <c:extLst>
            <c:ext xmlns:c16="http://schemas.microsoft.com/office/drawing/2014/chart" uri="{C3380CC4-5D6E-409C-BE32-E72D297353CC}">
              <c16:uniqueId val="{00000000-47F6-4963-BC5B-EA0E3B84A074}"/>
            </c:ext>
          </c:extLst>
        </c:ser>
        <c:dLbls>
          <c:showLegendKey val="0"/>
          <c:showVal val="0"/>
          <c:showCatName val="0"/>
          <c:showSerName val="0"/>
          <c:showPercent val="0"/>
          <c:showBubbleSize val="0"/>
        </c:dLbls>
        <c:axId val="2990862"/>
        <c:axId val="88998170"/>
      </c:scatterChart>
      <c:valAx>
        <c:axId val="2990862"/>
        <c:scaling>
          <c:orientation val="minMax"/>
        </c:scaling>
        <c:delete val="0"/>
        <c:axPos val="b"/>
        <c:majorGridlines>
          <c:spPr>
            <a:ln w="0">
              <a:solidFill>
                <a:srgbClr val="B3B3B3"/>
              </a:solidFill>
            </a:ln>
          </c:spPr>
        </c:majorGridlines>
        <c:minorGridlines>
          <c:spPr>
            <a:ln w="0">
              <a:solidFill>
                <a:srgbClr val="DDDDDD"/>
              </a:solidFill>
            </a:ln>
          </c:spPr>
        </c:minorGridlines>
        <c:title>
          <c:tx>
            <c:rich>
              <a:bodyPr rot="0"/>
              <a:lstStyle/>
              <a:p>
                <a:pPr>
                  <a:defRPr sz="900" b="0" strike="noStrike" spc="-1">
                    <a:latin typeface="Arial"/>
                  </a:defRPr>
                </a:pPr>
                <a:r>
                  <a:rPr lang="en-GB" sz="900" b="0" strike="noStrike" spc="-1">
                    <a:latin typeface="Arial"/>
                  </a:rPr>
                  <a:t>um(c)</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88998170"/>
        <c:crosses val="autoZero"/>
        <c:crossBetween val="between"/>
      </c:valAx>
      <c:valAx>
        <c:axId val="88998170"/>
        <c:scaling>
          <c:logBase val="10"/>
          <c:orientation val="minMax"/>
        </c:scaling>
        <c:delete val="0"/>
        <c:axPos val="l"/>
        <c:majorGridlines>
          <c:spPr>
            <a:ln w="0">
              <a:solidFill>
                <a:srgbClr val="B3B3B3"/>
              </a:solidFill>
            </a:ln>
          </c:spPr>
        </c:majorGridlines>
        <c:minorGridlines>
          <c:spPr>
            <a:ln w="0">
              <a:solidFill>
                <a:srgbClr val="DDDDDD"/>
              </a:solidFill>
            </a:ln>
          </c:spPr>
        </c:minorGridlines>
        <c:title>
          <c:tx>
            <c:rich>
              <a:bodyPr rot="-5400000"/>
              <a:lstStyle/>
              <a:p>
                <a:pPr>
                  <a:defRPr sz="900" b="0" strike="noStrike" spc="-1">
                    <a:latin typeface="Arial"/>
                  </a:defRPr>
                </a:pPr>
                <a:r>
                  <a:rPr lang="en-GB" sz="900" b="0" strike="noStrike" spc="-1">
                    <a:latin typeface="Arial"/>
                  </a:rPr>
                  <a:t>Threshold</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990862"/>
        <c:crosses val="autoZero"/>
        <c:crossBetween val="between"/>
      </c:valAx>
      <c:spPr>
        <a:noFill/>
        <a:ln w="0">
          <a:solidFill>
            <a:srgbClr val="B3B3B3"/>
          </a:solidFill>
        </a:ln>
      </c:spPr>
    </c:plotArea>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19</xdr:col>
      <xdr:colOff>568185</xdr:colOff>
      <xdr:row>71</xdr:row>
      <xdr:rowOff>79915</xdr:rowOff>
    </xdr:from>
    <xdr:to>
      <xdr:col>29</xdr:col>
      <xdr:colOff>555225</xdr:colOff>
      <xdr:row>79</xdr:row>
      <xdr:rowOff>73366</xdr:rowOff>
    </xdr:to>
    <xdr:sp macro="" textlink="">
      <xdr:nvSpPr>
        <xdr:cNvPr id="2" name="Text Frame 1">
          <a:extLst>
            <a:ext uri="{FF2B5EF4-FFF2-40B4-BE49-F238E27FC236}">
              <a16:creationId xmlns:a16="http://schemas.microsoft.com/office/drawing/2014/main" id="{1396723B-533A-4FFD-99B0-0DB6F39B54C1}"/>
            </a:ext>
          </a:extLst>
        </xdr:cNvPr>
        <xdr:cNvSpPr txBox="1"/>
      </xdr:nvSpPr>
      <xdr:spPr>
        <a:xfrm>
          <a:off x="16284435" y="12333828"/>
          <a:ext cx="8226165" cy="1326951"/>
        </a:xfrm>
        <a:prstGeom prst="rect">
          <a:avLst/>
        </a:prstGeom>
        <a:noFill/>
        <a:ln w="0">
          <a:noFill/>
        </a:ln>
      </xdr:spPr>
      <xdr:txBody>
        <a:bodyPr lIns="0" tIns="0" rIns="0" bIns="0" anchor="t">
          <a:noAutofit/>
        </a:bodyPr>
        <a:lstStyle/>
        <a:p>
          <a:r>
            <a:rPr lang="en-GB" sz="1200" b="0" strike="noStrike" spc="-1">
              <a:latin typeface="Times New Roman"/>
            </a:rPr>
            <a:t>Export into temportary CSV file 15 results from LPA-View, consisting of 3x bottles 5 portion samples. Exclude the portion 0 averages.</a:t>
          </a:r>
        </a:p>
        <a:p>
          <a:endParaRPr lang="en-GB" sz="1200" b="0" strike="noStrike" spc="-1">
            <a:latin typeface="Times New Roman"/>
          </a:endParaRPr>
        </a:p>
        <a:p>
          <a:r>
            <a:rPr lang="en-GB" sz="1200" b="0" strike="noStrike" spc="-1">
              <a:latin typeface="Times New Roman"/>
            </a:rPr>
            <a:t>Autofilter, sort by ascending date.</a:t>
          </a:r>
        </a:p>
        <a:p>
          <a:r>
            <a:rPr lang="en-GB" sz="1200" b="0" strike="noStrike" spc="-1">
              <a:latin typeface="Times New Roman"/>
            </a:rPr>
            <a:t>Copy / special paste the data block into this page below, ensuring appears in correct slots</a:t>
          </a:r>
        </a:p>
        <a:p>
          <a:r>
            <a:rPr lang="en-GB" sz="1200" b="0" strike="noStrike" spc="-1">
              <a:latin typeface="Times New Roman"/>
            </a:rPr>
            <a:t>Bottle 2 and 3 pages should be linked to correct regions of pasted data block.</a:t>
          </a:r>
        </a:p>
        <a:p>
          <a:r>
            <a:rPr lang="en-GB" sz="1200" b="0" strike="noStrike" spc="-1">
              <a:latin typeface="Times New Roman"/>
            </a:rPr>
            <a:t>Data quality evalution tables should pick up correct regions of pasted data block</a:t>
          </a:r>
        </a:p>
        <a:p>
          <a:r>
            <a:rPr lang="en-GB" sz="1200" b="0" strike="noStrike" spc="-1">
              <a:latin typeface="Times New Roman"/>
            </a:rPr>
            <a:t>If needed, on each bottle page can delete one indivual portion result per size line in order tp meet data quality requirements</a:t>
          </a:r>
        </a:p>
      </xdr:txBody>
    </xdr:sp>
    <xdr:clientData/>
  </xdr:twoCellAnchor>
  <xdr:twoCellAnchor>
    <xdr:from>
      <xdr:col>18</xdr:col>
      <xdr:colOff>439830</xdr:colOff>
      <xdr:row>1</xdr:row>
      <xdr:rowOff>208908</xdr:rowOff>
    </xdr:from>
    <xdr:to>
      <xdr:col>30</xdr:col>
      <xdr:colOff>397808</xdr:colOff>
      <xdr:row>62</xdr:row>
      <xdr:rowOff>34017</xdr:rowOff>
    </xdr:to>
    <xdr:graphicFrame macro="">
      <xdr:nvGraphicFramePr>
        <xdr:cNvPr id="3" name="Chart 2">
          <a:extLst>
            <a:ext uri="{FF2B5EF4-FFF2-40B4-BE49-F238E27FC236}">
              <a16:creationId xmlns:a16="http://schemas.microsoft.com/office/drawing/2014/main" id="{668AC87C-305B-41D2-BC8C-69946CE73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19</xdr:col>
      <xdr:colOff>452436</xdr:colOff>
      <xdr:row>1</xdr:row>
      <xdr:rowOff>496661</xdr:rowOff>
    </xdr:from>
    <xdr:to>
      <xdr:col>29</xdr:col>
      <xdr:colOff>251731</xdr:colOff>
      <xdr:row>67</xdr:row>
      <xdr:rowOff>20411</xdr:rowOff>
    </xdr:to>
    <xdr:graphicFrame macro="">
      <xdr:nvGraphicFramePr>
        <xdr:cNvPr id="2" name="Chart 1">
          <a:extLst>
            <a:ext uri="{FF2B5EF4-FFF2-40B4-BE49-F238E27FC236}">
              <a16:creationId xmlns:a16="http://schemas.microsoft.com/office/drawing/2014/main" id="{32571181-4161-4FF3-821D-E3ADEAE01A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248330</xdr:colOff>
      <xdr:row>1</xdr:row>
      <xdr:rowOff>274862</xdr:rowOff>
    </xdr:from>
    <xdr:to>
      <xdr:col>30</xdr:col>
      <xdr:colOff>142875</xdr:colOff>
      <xdr:row>66</xdr:row>
      <xdr:rowOff>47624</xdr:rowOff>
    </xdr:to>
    <xdr:graphicFrame macro="">
      <xdr:nvGraphicFramePr>
        <xdr:cNvPr id="2" name="Chart 1">
          <a:extLst>
            <a:ext uri="{FF2B5EF4-FFF2-40B4-BE49-F238E27FC236}">
              <a16:creationId xmlns:a16="http://schemas.microsoft.com/office/drawing/2014/main" id="{54051337-C623-4342-A74E-FD48B50F7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291352</xdr:colOff>
      <xdr:row>3</xdr:row>
      <xdr:rowOff>22411</xdr:rowOff>
    </xdr:from>
    <xdr:to>
      <xdr:col>23</xdr:col>
      <xdr:colOff>487455</xdr:colOff>
      <xdr:row>49</xdr:row>
      <xdr:rowOff>128868</xdr:rowOff>
    </xdr:to>
    <xdr:sp macro="" textlink="">
      <xdr:nvSpPr>
        <xdr:cNvPr id="2" name="TextBox 1">
          <a:extLst>
            <a:ext uri="{FF2B5EF4-FFF2-40B4-BE49-F238E27FC236}">
              <a16:creationId xmlns:a16="http://schemas.microsoft.com/office/drawing/2014/main" id="{05EB75E2-DF06-4D6F-A4AF-F0BCDBEF2AA3}"/>
            </a:ext>
          </a:extLst>
        </xdr:cNvPr>
        <xdr:cNvSpPr txBox="1"/>
      </xdr:nvSpPr>
      <xdr:spPr>
        <a:xfrm>
          <a:off x="15507540" y="522474"/>
          <a:ext cx="5139578" cy="76264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Procedure</a:t>
          </a:r>
        </a:p>
        <a:p>
          <a:endParaRPr lang="en-GB" sz="1100"/>
        </a:p>
        <a:p>
          <a:r>
            <a:rPr lang="en-GB" sz="1100"/>
            <a:t>Use the calculators to make concentrate if needed.</a:t>
          </a:r>
        </a:p>
        <a:p>
          <a:endParaRPr lang="en-GB" sz="1100"/>
        </a:p>
        <a:p>
          <a:r>
            <a:rPr lang="en-GB" sz="1100"/>
            <a:t>Or to calculate dilutions and record dilutions. Aim</a:t>
          </a:r>
          <a:r>
            <a:rPr lang="en-GB" sz="1100" baseline="0"/>
            <a:t> for a few hundred spheres / ml final concentration.</a:t>
          </a:r>
        </a:p>
        <a:p>
          <a:endParaRPr lang="en-GB" sz="1100" baseline="0"/>
        </a:p>
        <a:p>
          <a:r>
            <a:rPr lang="en-GB" sz="1100" baseline="0"/>
            <a:t>Run 3 bottles of clean fluid through unit using manual flush.</a:t>
          </a:r>
        </a:p>
        <a:p>
          <a:endParaRPr lang="en-GB" sz="1100" baseline="0"/>
        </a:p>
        <a:p>
          <a:r>
            <a:rPr lang="en-GB" sz="1100"/>
            <a:t>Acquire</a:t>
          </a:r>
          <a:r>
            <a:rPr lang="en-GB" sz="1100" baseline="0"/>
            <a:t> a test result, thresholds can be arbitrary at this point.</a:t>
          </a:r>
        </a:p>
        <a:p>
          <a:endParaRPr lang="en-GB" sz="1100" baseline="0"/>
        </a:p>
        <a:p>
          <a:r>
            <a:rPr lang="en-GB" sz="1100" baseline="0"/>
            <a:t>Set LPA-View to show plot and counts for differential (NAS) counts for 5-15 and 15-25um.</a:t>
          </a:r>
        </a:p>
        <a:p>
          <a:endParaRPr lang="en-GB" sz="1100" baseline="0"/>
        </a:p>
        <a:p>
          <a:r>
            <a:rPr lang="en-GB" sz="1100" baseline="0"/>
            <a:t>Enter initial thresholds for the 6,14,21um channels. These will be used for calibration. Base them on previously established values for other units.</a:t>
          </a:r>
        </a:p>
        <a:p>
          <a:endParaRPr lang="en-GB" sz="1100" baseline="0"/>
        </a:p>
        <a:p>
          <a:r>
            <a:rPr lang="en-GB" sz="1100" baseline="0"/>
            <a:t>Press the "RECALIBRATE" button to recalculate the counts based on the new thresholds.</a:t>
          </a:r>
        </a:p>
        <a:p>
          <a:endParaRPr lang="en-GB" sz="1100" baseline="0"/>
        </a:p>
        <a:p>
          <a:r>
            <a:rPr lang="en-GB" sz="1100" baseline="0"/>
            <a:t>The goal is to adjust the threee thresholds used to centre and bracket the threshold value for the size corresponding to the spheres per clause 6. This is acheived when the two differential counts are nearly equal and the upper and lower thresholds (6 and 21um) are the correct proportions of the middle one.</a:t>
          </a:r>
        </a:p>
        <a:p>
          <a:endParaRPr lang="en-GB" sz="1100" baseline="0"/>
        </a:p>
        <a:p>
          <a:r>
            <a:rPr lang="en-GB" sz="1100" baseline="0"/>
            <a:t>The middle (14um) threshold should be increased if the  "15-25" count is too high, reduced if too low, pressing "RECALCULATE" between each change.</a:t>
          </a:r>
        </a:p>
        <a:p>
          <a:endParaRPr lang="en-GB" sz="1100" baseline="0"/>
        </a:p>
        <a:p>
          <a:r>
            <a:rPr lang="en-GB" sz="1100" baseline="0"/>
            <a:t>Periodically enter new values for the 6um and 21um as calculated by the spreadsheet.</a:t>
          </a:r>
        </a:p>
        <a:p>
          <a:endParaRPr lang="en-GB" sz="1100" baseline="0"/>
        </a:p>
        <a:p>
          <a:r>
            <a:rPr lang="en-GB" sz="1100" baseline="0"/>
            <a:t>When close enough (within 3% per 11171) record the thresholds and final counts. Also serial number and date.</a:t>
          </a:r>
        </a:p>
        <a:p>
          <a:endParaRPr lang="en-GB" sz="1100"/>
        </a:p>
        <a:p>
          <a:endParaRPr lang="en-GB" sz="110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732157</xdr:colOff>
      <xdr:row>1</xdr:row>
      <xdr:rowOff>131307</xdr:rowOff>
    </xdr:from>
    <xdr:to>
      <xdr:col>13</xdr:col>
      <xdr:colOff>722076</xdr:colOff>
      <xdr:row>17</xdr:row>
      <xdr:rowOff>75050</xdr:rowOff>
    </xdr:to>
    <xdr:graphicFrame macro="">
      <xdr:nvGraphicFramePr>
        <xdr:cNvPr id="2" name="Chart 1">
          <a:extLst>
            <a:ext uri="{FF2B5EF4-FFF2-40B4-BE49-F238E27FC236}">
              <a16:creationId xmlns:a16="http://schemas.microsoft.com/office/drawing/2014/main" id="{2E80EEA8-6592-430A-B70C-3CAC7D8F5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mp\projects\PR0118%20-%20ISO%2011171%20Calibrations\__master__ISO11171-calibration-worksheet.xlsm" TargetMode="External"/><Relationship Id="rId1" Type="http://schemas.openxmlformats.org/officeDocument/2006/relationships/externalLinkPath" Target="__master__ISO11171-calibration-workshee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SO 11171_2020 Summary"/>
      <sheetName val="Annex A"/>
      <sheetName val="A - B1"/>
      <sheetName val="A - B2"/>
      <sheetName val="A - B3"/>
      <sheetName val="A - B4"/>
      <sheetName val="A - B5"/>
      <sheetName val="Annex B"/>
      <sheetName val="Clause 6"/>
      <sheetName val="6 - B1"/>
      <sheetName val="6 - B2"/>
      <sheetName val="6 - B3"/>
      <sheetName val="6 - Thresholds"/>
      <sheetName val="6 - Spheres"/>
      <sheetName val="6 - Curve"/>
      <sheetName val="Annex C"/>
      <sheetName val="C - B1"/>
      <sheetName val="C -B2"/>
      <sheetName val="C - B3"/>
      <sheetName val="C - B4"/>
      <sheetName val="C - B5"/>
      <sheetName val="D1"/>
      <sheetName val="Annex D"/>
      <sheetName val="E - B1"/>
      <sheetName val="E - B2"/>
      <sheetName val="E - B3"/>
      <sheetName val="Annex E"/>
    </sheetNames>
    <sheetDataSet>
      <sheetData sheetId="0"/>
      <sheetData sheetId="1"/>
      <sheetData sheetId="2"/>
      <sheetData sheetId="3"/>
      <sheetData sheetId="4"/>
      <sheetData sheetId="5"/>
      <sheetData sheetId="6"/>
      <sheetData sheetId="7"/>
      <sheetData sheetId="8"/>
      <sheetData sheetId="9">
        <row r="9">
          <cell r="A9" t="str">
            <v>count_4</v>
          </cell>
          <cell r="O9">
            <v>2.430771760394923E-2</v>
          </cell>
          <cell r="P9">
            <v>-3.6321832977500801E-2</v>
          </cell>
          <cell r="Q9">
            <v>1.5150489898519082E-2</v>
          </cell>
          <cell r="R9">
            <v>-1.6301037262087426E-2</v>
          </cell>
          <cell r="S9">
            <v>1.3164662737119803E-2</v>
          </cell>
        </row>
        <row r="10">
          <cell r="A10" t="str">
            <v>count_5</v>
          </cell>
          <cell r="O10">
            <v>2.3174902688744003E-2</v>
          </cell>
          <cell r="P10">
            <v>-3.470506351639302E-2</v>
          </cell>
          <cell r="Q10">
            <v>1.7757780208313312E-2</v>
          </cell>
          <cell r="R10">
            <v>-1.7398561895008768E-2</v>
          </cell>
          <cell r="S10">
            <v>1.1170942514344251E-2</v>
          </cell>
        </row>
        <row r="11">
          <cell r="A11" t="str">
            <v>count_6</v>
          </cell>
          <cell r="O11">
            <v>2.2360610181896501E-2</v>
          </cell>
          <cell r="P11">
            <v>-3.2023873430224392E-2</v>
          </cell>
          <cell r="Q11">
            <v>1.8664576300954305E-2</v>
          </cell>
          <cell r="R11">
            <v>-1.8373777485373055E-2</v>
          </cell>
          <cell r="S11">
            <v>9.372464432745975E-3</v>
          </cell>
        </row>
        <row r="12">
          <cell r="A12" t="str">
            <v>count_7</v>
          </cell>
          <cell r="O12">
            <v>2.3462655395180665E-2</v>
          </cell>
          <cell r="P12">
            <v>-3.0624584037989955E-2</v>
          </cell>
          <cell r="Q12">
            <v>1.9789952788564102E-2</v>
          </cell>
          <cell r="R12">
            <v>-2.1109137370581177E-2</v>
          </cell>
          <cell r="S12">
            <v>8.4811132248265864E-3</v>
          </cell>
        </row>
        <row r="13">
          <cell r="A13" t="str">
            <v>count_8</v>
          </cell>
          <cell r="O13">
            <v>2.7817053552598336E-2</v>
          </cell>
          <cell r="P13">
            <v>-3.055554579057207E-2</v>
          </cell>
          <cell r="Q13">
            <v>2.0016387515724876E-2</v>
          </cell>
          <cell r="R13">
            <v>-2.3733914024111957E-2</v>
          </cell>
          <cell r="S13">
            <v>6.4560187463607033E-3</v>
          </cell>
        </row>
        <row r="14">
          <cell r="A14" t="str">
            <v>count_9</v>
          </cell>
          <cell r="O14">
            <v>3.3149109862779191E-2</v>
          </cell>
          <cell r="P14">
            <v>-2.9615764192839955E-2</v>
          </cell>
          <cell r="Q14">
            <v>1.8161960714699887E-2</v>
          </cell>
          <cell r="R14">
            <v>-2.4304473029065687E-2</v>
          </cell>
          <cell r="S14">
            <v>2.6091666444265638E-3</v>
          </cell>
        </row>
        <row r="15">
          <cell r="A15" t="str">
            <v>count_10</v>
          </cell>
          <cell r="O15">
            <v>3.4562480885776958E-2</v>
          </cell>
          <cell r="P15">
            <v>-2.8775277719689907E-2</v>
          </cell>
          <cell r="Q15">
            <v>1.8598132471272733E-2</v>
          </cell>
          <cell r="R15">
            <v>-2.8747461225613224E-2</v>
          </cell>
          <cell r="S15">
            <v>4.3621255882526633E-3</v>
          </cell>
        </row>
        <row r="16">
          <cell r="A16" t="str">
            <v>count_11</v>
          </cell>
          <cell r="O16">
            <v>3.2589814752104207E-2</v>
          </cell>
          <cell r="P16">
            <v>-2.7598488834949642E-2</v>
          </cell>
          <cell r="Q16">
            <v>2.0463376462292349E-2</v>
          </cell>
          <cell r="R16">
            <v>-3.0648580509767598E-2</v>
          </cell>
          <cell r="S16">
            <v>5.1938781303213499E-3</v>
          </cell>
        </row>
        <row r="17">
          <cell r="A17" t="str">
            <v>count_12</v>
          </cell>
          <cell r="O17">
            <v>3.3090748092144517E-2</v>
          </cell>
          <cell r="P17">
            <v>-2.3203608644016827E-2</v>
          </cell>
          <cell r="Q17">
            <v>1.88174017843874E-2</v>
          </cell>
          <cell r="R17">
            <v>-2.844648054413923E-2</v>
          </cell>
          <cell r="S17">
            <v>-2.580606883763048E-4</v>
          </cell>
        </row>
        <row r="18">
          <cell r="A18" t="str">
            <v>count_13</v>
          </cell>
          <cell r="O18">
            <v>3.2354931561754396E-2</v>
          </cell>
          <cell r="P18">
            <v>-2.3730232822995356E-2</v>
          </cell>
          <cell r="Q18">
            <v>1.8972736934759427E-2</v>
          </cell>
          <cell r="R18">
            <v>-2.703314963764325E-2</v>
          </cell>
          <cell r="S18">
            <v>-5.642860358749946E-4</v>
          </cell>
        </row>
        <row r="19">
          <cell r="A19" t="str">
            <v>count_14</v>
          </cell>
          <cell r="O19">
            <v>3.6469594134881378E-2</v>
          </cell>
          <cell r="P19">
            <v>-2.3342170291153264E-2</v>
          </cell>
          <cell r="Q19">
            <v>2.266651797826813E-2</v>
          </cell>
          <cell r="R19">
            <v>-3.0061760296479445E-2</v>
          </cell>
          <cell r="S19">
            <v>-5.7321815255170216E-3</v>
          </cell>
        </row>
        <row r="20">
          <cell r="A20" t="str">
            <v>count_15</v>
          </cell>
          <cell r="O20">
            <v>3.5259838811041E-2</v>
          </cell>
          <cell r="P20">
            <v>-1.8672659900931587E-2</v>
          </cell>
          <cell r="Q20">
            <v>2.3357054075515249E-2</v>
          </cell>
          <cell r="R20">
            <v>-3.4274992476320154E-2</v>
          </cell>
          <cell r="S20">
            <v>-5.6692405093049514E-3</v>
          </cell>
        </row>
        <row r="21">
          <cell r="A21" t="str">
            <v>count_16</v>
          </cell>
          <cell r="O21">
            <v>4.1522283970150786E-2</v>
          </cell>
          <cell r="P21">
            <v>-1.9543346026896002E-2</v>
          </cell>
          <cell r="Q21">
            <v>2.4456277194093046E-2</v>
          </cell>
          <cell r="R21">
            <v>-4.2201035960783617E-2</v>
          </cell>
          <cell r="S21">
            <v>-4.2341791765645453E-3</v>
          </cell>
        </row>
        <row r="22">
          <cell r="A22" t="str">
            <v>count_17</v>
          </cell>
          <cell r="O22">
            <v>4.8369485515691535E-2</v>
          </cell>
          <cell r="P22">
            <v>-1.4802788025925828E-2</v>
          </cell>
          <cell r="Q22">
            <v>2.4890155788251267E-2</v>
          </cell>
          <cell r="R22">
            <v>-5.0095471565326788E-2</v>
          </cell>
          <cell r="S22">
            <v>-8.3613817126904078E-3</v>
          </cell>
        </row>
        <row r="23">
          <cell r="A23" t="str">
            <v>count_18</v>
          </cell>
          <cell r="O23">
            <v>4.6251960575206086E-2</v>
          </cell>
          <cell r="P23">
            <v>-1.2361780397154409E-2</v>
          </cell>
          <cell r="Q23">
            <v>3.3149702257311953E-2</v>
          </cell>
          <cell r="R23">
            <v>-5.7300640841792094E-2</v>
          </cell>
          <cell r="S23">
            <v>-9.7392415935713128E-3</v>
          </cell>
        </row>
        <row r="24">
          <cell r="A24" t="str">
            <v>count_19</v>
          </cell>
          <cell r="O24">
            <v>4.0765336647701211E-2</v>
          </cell>
          <cell r="P24">
            <v>-1.0828337823116541E-2</v>
          </cell>
          <cell r="Q24">
            <v>3.7861287163275525E-2</v>
          </cell>
          <cell r="R24">
            <v>-6.2713821805585379E-2</v>
          </cell>
          <cell r="S24">
            <v>-5.0844641822753722E-3</v>
          </cell>
        </row>
        <row r="25">
          <cell r="A25" t="str">
            <v>count_20</v>
          </cell>
          <cell r="O25">
            <v>2.9335682001234265E-2</v>
          </cell>
          <cell r="P25">
            <v>-2.2900587734426159E-2</v>
          </cell>
          <cell r="Q25">
            <v>2.0095535370318496E-2</v>
          </cell>
          <cell r="R25">
            <v>0</v>
          </cell>
          <cell r="S25">
            <v>-2.6530629637126379E-2</v>
          </cell>
        </row>
        <row r="26">
          <cell r="A26" t="str">
            <v>count_21</v>
          </cell>
          <cell r="O26">
            <v>3.6188843048516883E-2</v>
          </cell>
          <cell r="P26">
            <v>-1.7078266286324806E-2</v>
          </cell>
          <cell r="Q26">
            <v>1.0796114783419242E-2</v>
          </cell>
          <cell r="R26">
            <v>0</v>
          </cell>
          <cell r="S26">
            <v>-2.9906691545611652E-2</v>
          </cell>
        </row>
        <row r="27">
          <cell r="A27" t="str">
            <v>count_22</v>
          </cell>
          <cell r="O27">
            <v>3.7477297910006424E-2</v>
          </cell>
          <cell r="P27">
            <v>1.0178459517957927E-2</v>
          </cell>
          <cell r="Q27">
            <v>3.7559219801313493E-2</v>
          </cell>
          <cell r="R27">
            <v>-6.6393026559643187E-2</v>
          </cell>
          <cell r="S27">
            <v>-1.8821950669635212E-2</v>
          </cell>
        </row>
        <row r="28">
          <cell r="A28" t="str">
            <v>count_23</v>
          </cell>
          <cell r="O28">
            <v>1.8846278832275631E-2</v>
          </cell>
          <cell r="P28">
            <v>1.0728657715374679E-2</v>
          </cell>
          <cell r="Q28">
            <v>1.8064005182772958E-2</v>
          </cell>
          <cell r="R28">
            <v>0</v>
          </cell>
          <cell r="S28">
            <v>-4.7638941730423823E-2</v>
          </cell>
        </row>
        <row r="29">
          <cell r="A29" t="str">
            <v>count_24</v>
          </cell>
          <cell r="O29">
            <v>1.7259291103703722E-2</v>
          </cell>
          <cell r="P29">
            <v>1.8309320100538651E-2</v>
          </cell>
          <cell r="Q29">
            <v>1.1834716064054618E-2</v>
          </cell>
          <cell r="R29">
            <v>0</v>
          </cell>
          <cell r="S29">
            <v>-4.7403327268296991E-2</v>
          </cell>
        </row>
        <row r="30">
          <cell r="A30" t="str">
            <v>count_25</v>
          </cell>
          <cell r="O30">
            <v>5.8552919150947069E-3</v>
          </cell>
          <cell r="P30">
            <v>3.6184408051077588E-2</v>
          </cell>
          <cell r="Q30">
            <v>8.9684544595511895E-3</v>
          </cell>
          <cell r="R30">
            <v>0</v>
          </cell>
          <cell r="S30">
            <v>-5.1008154425723484E-2</v>
          </cell>
        </row>
        <row r="31">
          <cell r="A31" t="str">
            <v>count_26</v>
          </cell>
          <cell r="O31">
            <v>-1.6658460836172617E-2</v>
          </cell>
          <cell r="P31">
            <v>5.4401284977155351E-2</v>
          </cell>
          <cell r="Q31">
            <v>1.4233347675261632E-2</v>
          </cell>
          <cell r="R31">
            <v>0</v>
          </cell>
          <cell r="S31">
            <v>-5.1976171816244587E-2</v>
          </cell>
        </row>
        <row r="32">
          <cell r="A32" t="str">
            <v>count_27</v>
          </cell>
          <cell r="O32">
            <v>-5.0667683491863458E-2</v>
          </cell>
          <cell r="P32">
            <v>6.2913285559954124E-2</v>
          </cell>
          <cell r="Q32">
            <v>4.1738353916529247E-2</v>
          </cell>
          <cell r="R32">
            <v>0</v>
          </cell>
          <cell r="S32">
            <v>-5.3983955984619691E-2</v>
          </cell>
        </row>
        <row r="33">
          <cell r="A33" t="str">
            <v>count_28</v>
          </cell>
          <cell r="O33">
            <v>-0.10295668269646541</v>
          </cell>
          <cell r="P33">
            <v>8.2781097905316736E-2</v>
          </cell>
          <cell r="Q33">
            <v>8.5522170688136612E-2</v>
          </cell>
          <cell r="R33">
            <v>0</v>
          </cell>
          <cell r="S33">
            <v>-6.5346585896988163E-2</v>
          </cell>
        </row>
        <row r="34">
          <cell r="A34" t="str">
            <v>count_29</v>
          </cell>
          <cell r="O34">
            <v>-0.11661357732705935</v>
          </cell>
          <cell r="P34">
            <v>0.11150599235366188</v>
          </cell>
          <cell r="Q34">
            <v>0.14107628981657538</v>
          </cell>
          <cell r="R34">
            <v>-0.13316555831218579</v>
          </cell>
          <cell r="S34">
            <v>-2.8031465309914516E-3</v>
          </cell>
        </row>
        <row r="35">
          <cell r="A35" t="str">
            <v>count_30</v>
          </cell>
          <cell r="O35">
            <v>-9.9456048147043452E-2</v>
          </cell>
          <cell r="P35">
            <v>0.13262055919419491</v>
          </cell>
          <cell r="Q35">
            <v>0.16337197986719265</v>
          </cell>
          <cell r="R35">
            <v>-0.17136085262100775</v>
          </cell>
          <cell r="S35">
            <v>-2.5175638293336355E-2</v>
          </cell>
        </row>
        <row r="36">
          <cell r="A36" t="str">
            <v>count_38</v>
          </cell>
          <cell r="O36">
            <v>-9.3404861074768308E-2</v>
          </cell>
          <cell r="P36">
            <v>4.391795285938227E-2</v>
          </cell>
          <cell r="Q36">
            <v>0.22447876743042938</v>
          </cell>
          <cell r="R36">
            <v>-0.17042985567893298</v>
          </cell>
          <cell r="S36">
            <v>-4.5620035361108036E-3</v>
          </cell>
        </row>
        <row r="37">
          <cell r="A37" t="str">
            <v>count_50</v>
          </cell>
          <cell r="O37">
            <v>-1.7238962240370137E-2</v>
          </cell>
          <cell r="P37">
            <v>9.4191208595549636E-2</v>
          </cell>
          <cell r="Q37">
            <v>0.29095491081299585</v>
          </cell>
          <cell r="R37">
            <v>-0.29594133451259097</v>
          </cell>
          <cell r="S37">
            <v>-7.1965822655584377E-2</v>
          </cell>
        </row>
        <row r="38">
          <cell r="A38" t="str">
            <v>count_70</v>
          </cell>
          <cell r="O38">
            <v>-3.8547791250682639E-2</v>
          </cell>
          <cell r="P38">
            <v>0.14110265294906243</v>
          </cell>
          <cell r="Q38">
            <v>0.31647920834879395</v>
          </cell>
          <cell r="R38">
            <v>-0.24575940317621814</v>
          </cell>
          <cell r="S38">
            <v>-0.17327466687095494</v>
          </cell>
        </row>
      </sheetData>
      <sheetData sheetId="10">
        <row r="7">
          <cell r="O7" t="str">
            <v>Portion 1</v>
          </cell>
          <cell r="P7" t="str">
            <v>Portion 2</v>
          </cell>
          <cell r="Q7" t="str">
            <v>Portion 3</v>
          </cell>
          <cell r="R7" t="str">
            <v>Portion 4</v>
          </cell>
          <cell r="S7" t="str">
            <v>Portion 5</v>
          </cell>
        </row>
        <row r="9">
          <cell r="O9">
            <v>1.8105292660596017E-2</v>
          </cell>
          <cell r="P9">
            <v>1.908596323493339E-2</v>
          </cell>
          <cell r="Q9">
            <v>6.7203604139955964E-3</v>
          </cell>
          <cell r="R9">
            <v>-1.8839009904001114E-2</v>
          </cell>
          <cell r="S9">
            <v>-2.5072606405523667E-2</v>
          </cell>
        </row>
        <row r="10">
          <cell r="O10">
            <v>1.6944986408353069E-2</v>
          </cell>
          <cell r="P10">
            <v>1.6880804399434624E-2</v>
          </cell>
          <cell r="Q10">
            <v>4.3681428225588181E-3</v>
          </cell>
          <cell r="R10">
            <v>-1.6243645934901574E-2</v>
          </cell>
          <cell r="S10">
            <v>-2.1950287695444493E-2</v>
          </cell>
        </row>
        <row r="11">
          <cell r="O11">
            <v>1.586614682596732E-2</v>
          </cell>
          <cell r="P11">
            <v>1.6715032548522801E-2</v>
          </cell>
          <cell r="Q11">
            <v>2.1801131385077444E-3</v>
          </cell>
          <cell r="R11">
            <v>-1.5792351456558218E-2</v>
          </cell>
          <cell r="S11">
            <v>-1.8968941056439426E-2</v>
          </cell>
        </row>
        <row r="12">
          <cell r="O12">
            <v>1.3285396622761958E-2</v>
          </cell>
          <cell r="P12">
            <v>1.7958341188619942E-2</v>
          </cell>
          <cell r="Q12">
            <v>2.4253056552427932E-3</v>
          </cell>
          <cell r="R12">
            <v>-1.6583930370133393E-2</v>
          </cell>
          <cell r="S12">
            <v>-1.70851130964913E-2</v>
          </cell>
        </row>
        <row r="13">
          <cell r="O13">
            <v>1.0051900049565354E-2</v>
          </cell>
          <cell r="P13">
            <v>1.7447824948316537E-2</v>
          </cell>
          <cell r="Q13">
            <v>2.8428790950059124E-3</v>
          </cell>
          <cell r="R13">
            <v>-1.4999842502304461E-2</v>
          </cell>
          <cell r="S13">
            <v>-1.5342761590584009E-2</v>
          </cell>
        </row>
        <row r="14">
          <cell r="O14">
            <v>6.8353905615221588E-3</v>
          </cell>
          <cell r="P14">
            <v>1.5374002731487701E-2</v>
          </cell>
          <cell r="Q14">
            <v>4.1848523710736885E-3</v>
          </cell>
          <cell r="R14">
            <v>-1.3028105307265392E-2</v>
          </cell>
          <cell r="S14">
            <v>-1.3366140356818268E-2</v>
          </cell>
        </row>
        <row r="15">
          <cell r="O15">
            <v>4.1187514902727429E-3</v>
          </cell>
          <cell r="P15">
            <v>1.5201833332098458E-2</v>
          </cell>
          <cell r="Q15">
            <v>9.0386226140970471E-4</v>
          </cell>
          <cell r="R15">
            <v>-1.0807611921530014E-2</v>
          </cell>
          <cell r="S15">
            <v>-9.4168351622506696E-3</v>
          </cell>
        </row>
        <row r="16">
          <cell r="O16">
            <v>2.2920809513349294E-3</v>
          </cell>
          <cell r="P16">
            <v>1.5145923300873276E-2</v>
          </cell>
          <cell r="Q16">
            <v>-1.0943576690813916E-3</v>
          </cell>
          <cell r="R16">
            <v>-8.1942893788433668E-3</v>
          </cell>
          <cell r="S16">
            <v>-8.1493572042836693E-3</v>
          </cell>
        </row>
        <row r="17">
          <cell r="O17">
            <v>8.0253750486658504E-4</v>
          </cell>
          <cell r="P17">
            <v>1.5743233065627082E-2</v>
          </cell>
          <cell r="Q17">
            <v>-4.4511943249381236E-4</v>
          </cell>
          <cell r="R17">
            <v>-9.260078984378306E-3</v>
          </cell>
          <cell r="S17">
            <v>-6.8405721536213271E-3</v>
          </cell>
        </row>
        <row r="18">
          <cell r="O18">
            <v>1.4886020632784991E-3</v>
          </cell>
          <cell r="P18">
            <v>1.3375986292599062E-2</v>
          </cell>
          <cell r="Q18">
            <v>-2.1538562662606342E-3</v>
          </cell>
          <cell r="R18">
            <v>-5.0445529481144558E-3</v>
          </cell>
          <cell r="S18">
            <v>-7.6661791415024716E-3</v>
          </cell>
        </row>
        <row r="19">
          <cell r="O19">
            <v>-2.3165425863294065E-3</v>
          </cell>
          <cell r="P19">
            <v>1.2608073520417484E-2</v>
          </cell>
          <cell r="Q19">
            <v>-1.023259905814311E-3</v>
          </cell>
          <cell r="R19">
            <v>-5.4136391633469172E-3</v>
          </cell>
          <cell r="S19">
            <v>-3.8546318649268496E-3</v>
          </cell>
        </row>
        <row r="20">
          <cell r="O20">
            <v>-1.0454885033231665E-2</v>
          </cell>
          <cell r="P20">
            <v>1.6872181254329766E-2</v>
          </cell>
          <cell r="Q20">
            <v>2.6563176468874516E-4</v>
          </cell>
          <cell r="R20">
            <v>-2.9678669757489118E-3</v>
          </cell>
          <cell r="S20">
            <v>-3.7150610100382675E-3</v>
          </cell>
        </row>
        <row r="21">
          <cell r="O21">
            <v>-1.2394297202243609E-2</v>
          </cell>
          <cell r="P21">
            <v>1.8287502616003204E-2</v>
          </cell>
          <cell r="Q21">
            <v>-1.9336136416268079E-3</v>
          </cell>
          <cell r="R21">
            <v>-8.8098549865744946E-4</v>
          </cell>
          <cell r="S21">
            <v>-3.0786062734747821E-3</v>
          </cell>
        </row>
        <row r="22">
          <cell r="O22">
            <v>-1.6634690932442742E-2</v>
          </cell>
          <cell r="P22">
            <v>1.3576911395607238E-2</v>
          </cell>
          <cell r="Q22">
            <v>7.5065254301349693E-3</v>
          </cell>
          <cell r="R22">
            <v>-4.0710611862626589E-3</v>
          </cell>
          <cell r="S22">
            <v>-3.7768470703658519E-4</v>
          </cell>
        </row>
        <row r="23">
          <cell r="O23">
            <v>-1.7219959802159956E-2</v>
          </cell>
          <cell r="P23">
            <v>5.7340523566828949E-3</v>
          </cell>
          <cell r="Q23">
            <v>1.2635244999550377E-2</v>
          </cell>
          <cell r="R23">
            <v>-5.9904936302206391E-3</v>
          </cell>
          <cell r="S23">
            <v>4.841156076148101E-3</v>
          </cell>
        </row>
        <row r="24">
          <cell r="O24">
            <v>-1.7024196702023597E-2</v>
          </cell>
          <cell r="P24">
            <v>-2.4415928262473408E-3</v>
          </cell>
          <cell r="Q24">
            <v>1.0584021231029972E-2</v>
          </cell>
          <cell r="R24">
            <v>7.19354091861657E-3</v>
          </cell>
          <cell r="S24">
            <v>1.688227378623397E-3</v>
          </cell>
        </row>
        <row r="25">
          <cell r="O25">
            <v>-6.9990198104096235E-3</v>
          </cell>
          <cell r="P25">
            <v>-3.1563753572834141E-3</v>
          </cell>
          <cell r="Q25">
            <v>-7.9125985188047698E-3</v>
          </cell>
          <cell r="R25">
            <v>1.1808487648543364E-2</v>
          </cell>
          <cell r="S25">
            <v>6.2595060379539991E-3</v>
          </cell>
        </row>
        <row r="26">
          <cell r="O26">
            <v>-1.7338755536511208E-4</v>
          </cell>
          <cell r="P26">
            <v>4.7749413502455873E-3</v>
          </cell>
          <cell r="Q26">
            <v>-2.8408964355901345E-2</v>
          </cell>
          <cell r="R26">
            <v>2.0817831899837547E-2</v>
          </cell>
          <cell r="S26">
            <v>2.989578661182879E-3</v>
          </cell>
        </row>
        <row r="27">
          <cell r="O27">
            <v>-1.4345011850861011E-2</v>
          </cell>
          <cell r="P27">
            <v>3.5396019710132398E-2</v>
          </cell>
          <cell r="Q27">
            <v>-4.744602279443022E-2</v>
          </cell>
          <cell r="R27">
            <v>3.1201084513586164E-2</v>
          </cell>
          <cell r="S27">
            <v>-4.8060695784272189E-3</v>
          </cell>
        </row>
        <row r="28">
          <cell r="O28">
            <v>-1.1710857716927481E-2</v>
          </cell>
          <cell r="P28">
            <v>2.0695632816559506E-2</v>
          </cell>
          <cell r="Q28">
            <v>-4.6909715553835163E-2</v>
          </cell>
          <cell r="R28">
            <v>3.4990551536271397E-2</v>
          </cell>
          <cell r="S28">
            <v>2.9343889179318516E-3</v>
          </cell>
        </row>
        <row r="29">
          <cell r="O29">
            <v>-1.7600322664786616E-2</v>
          </cell>
          <cell r="P29">
            <v>2.6350506482521352E-2</v>
          </cell>
          <cell r="Q29">
            <v>-3.6988238303755638E-2</v>
          </cell>
          <cell r="R29">
            <v>3.5587613133241991E-2</v>
          </cell>
          <cell r="S29">
            <v>-7.3495586472215324E-3</v>
          </cell>
        </row>
        <row r="30">
          <cell r="O30">
            <v>-3.0391801627839499E-2</v>
          </cell>
          <cell r="P30">
            <v>3.1182573108073486E-2</v>
          </cell>
          <cell r="Q30">
            <v>-5.0098121808907936E-2</v>
          </cell>
          <cell r="R30">
            <v>4.1908287230433938E-2</v>
          </cell>
          <cell r="S30">
            <v>7.3990630982394556E-3</v>
          </cell>
        </row>
        <row r="31">
          <cell r="O31">
            <v>-4.660781329975705E-2</v>
          </cell>
          <cell r="P31">
            <v>1.7990801555890279E-2</v>
          </cell>
          <cell r="Q31">
            <v>-4.5460428104340811E-2</v>
          </cell>
          <cell r="R31">
            <v>5.2174493963059287E-2</v>
          </cell>
          <cell r="S31">
            <v>2.1902945885148739E-2</v>
          </cell>
        </row>
        <row r="32">
          <cell r="O32">
            <v>-7.7088092853442314E-3</v>
          </cell>
          <cell r="P32">
            <v>-1.1674714874518877E-3</v>
          </cell>
          <cell r="Q32">
            <v>0</v>
          </cell>
          <cell r="R32">
            <v>2.8369919795295351E-2</v>
          </cell>
          <cell r="S32">
            <v>-1.9493639022498899E-2</v>
          </cell>
        </row>
        <row r="33">
          <cell r="O33">
            <v>9.1004420161620025E-3</v>
          </cell>
          <cell r="P33">
            <v>6.3284969333934349E-3</v>
          </cell>
          <cell r="Q33">
            <v>0</v>
          </cell>
          <cell r="R33">
            <v>-1.7913357817468056E-2</v>
          </cell>
          <cell r="S33">
            <v>2.4844188679127299E-3</v>
          </cell>
        </row>
        <row r="34">
          <cell r="O34">
            <v>-2.7837941233216368E-2</v>
          </cell>
          <cell r="P34">
            <v>5.6112680008090887E-2</v>
          </cell>
          <cell r="Q34">
            <v>0</v>
          </cell>
          <cell r="R34">
            <v>-2.3586341180868442E-2</v>
          </cell>
          <cell r="S34">
            <v>-4.6883975940064104E-3</v>
          </cell>
        </row>
        <row r="35">
          <cell r="O35">
            <v>2.5858600066146487E-3</v>
          </cell>
          <cell r="P35">
            <v>3.3140685832982353E-2</v>
          </cell>
          <cell r="Q35">
            <v>0</v>
          </cell>
          <cell r="R35">
            <v>1.9961228837346523E-2</v>
          </cell>
          <cell r="S35">
            <v>-5.568777467694408E-2</v>
          </cell>
        </row>
        <row r="36">
          <cell r="O36">
            <v>1.94500209316808E-2</v>
          </cell>
          <cell r="P36">
            <v>-8.1732929018634159E-3</v>
          </cell>
          <cell r="Q36">
            <v>-2.4472860246343764E-2</v>
          </cell>
          <cell r="R36">
            <v>1.3196132216527046E-2</v>
          </cell>
          <cell r="S36">
            <v>0</v>
          </cell>
        </row>
        <row r="37">
          <cell r="O37">
            <v>5.6357626649409909E-2</v>
          </cell>
          <cell r="P37">
            <v>-5.2536528768298285E-2</v>
          </cell>
          <cell r="Q37">
            <v>-6.8030052408909358E-2</v>
          </cell>
          <cell r="R37">
            <v>6.4208954527797069E-2</v>
          </cell>
          <cell r="S37">
            <v>0</v>
          </cell>
        </row>
        <row r="38">
          <cell r="O38">
            <v>5.2540430270140437E-3</v>
          </cell>
          <cell r="P38">
            <v>-3.5188220188552721E-2</v>
          </cell>
          <cell r="Q38">
            <v>1.4468449841348763E-2</v>
          </cell>
          <cell r="R38">
            <v>1.5465727320189693E-2</v>
          </cell>
          <cell r="S38">
            <v>0</v>
          </cell>
        </row>
      </sheetData>
      <sheetData sheetId="11">
        <row r="7">
          <cell r="O7" t="str">
            <v>Portion 1</v>
          </cell>
          <cell r="P7" t="str">
            <v>Portion 2</v>
          </cell>
          <cell r="Q7" t="str">
            <v>Portion 3</v>
          </cell>
          <cell r="R7" t="str">
            <v>Portion 4</v>
          </cell>
          <cell r="S7" t="str">
            <v>Portion 5</v>
          </cell>
        </row>
        <row r="9">
          <cell r="O9">
            <v>2.2715333874257615E-2</v>
          </cell>
          <cell r="P9">
            <v>-1.4421674387704475E-2</v>
          </cell>
          <cell r="Q9">
            <v>-2.0366284027877324E-2</v>
          </cell>
          <cell r="R9">
            <v>1.0770025606097411E-2</v>
          </cell>
          <cell r="S9">
            <v>1.302598935226662E-3</v>
          </cell>
        </row>
        <row r="10">
          <cell r="O10">
            <v>2.2841999757513332E-2</v>
          </cell>
          <cell r="P10">
            <v>-1.5815481617653004E-2</v>
          </cell>
          <cell r="Q10">
            <v>-1.9148224130438707E-2</v>
          </cell>
          <cell r="R10">
            <v>9.6148456094415913E-3</v>
          </cell>
          <cell r="S10">
            <v>2.5068603811371215E-3</v>
          </cell>
        </row>
        <row r="11">
          <cell r="O11">
            <v>2.5556246932558757E-2</v>
          </cell>
          <cell r="P11">
            <v>-1.8672917257228638E-2</v>
          </cell>
          <cell r="Q11">
            <v>-1.8862502660014213E-2</v>
          </cell>
          <cell r="R11">
            <v>8.9906440317815139E-3</v>
          </cell>
          <cell r="S11">
            <v>2.9885289529016923E-3</v>
          </cell>
        </row>
        <row r="12">
          <cell r="O12">
            <v>2.3378143467813972E-2</v>
          </cell>
          <cell r="P12">
            <v>-1.9653830098060099E-2</v>
          </cell>
          <cell r="Q12">
            <v>-1.441948672614346E-2</v>
          </cell>
          <cell r="R12">
            <v>6.9731486684274646E-3</v>
          </cell>
          <cell r="S12">
            <v>3.7220246879619001E-3</v>
          </cell>
        </row>
        <row r="13">
          <cell r="O13">
            <v>2.1419683976102499E-2</v>
          </cell>
          <cell r="P13">
            <v>-1.9319704247245051E-2</v>
          </cell>
          <cell r="Q13">
            <v>-1.3389245252994231E-2</v>
          </cell>
          <cell r="R13">
            <v>5.7947907671105359E-3</v>
          </cell>
          <cell r="S13">
            <v>5.4944747570269126E-3</v>
          </cell>
        </row>
        <row r="14">
          <cell r="O14">
            <v>1.9832541517795566E-2</v>
          </cell>
          <cell r="P14">
            <v>-2.1236073648113085E-2</v>
          </cell>
          <cell r="Q14">
            <v>-1.2033001976144986E-2</v>
          </cell>
          <cell r="R14">
            <v>5.2794074077053832E-3</v>
          </cell>
          <cell r="S14">
            <v>8.1571266987570112E-3</v>
          </cell>
        </row>
        <row r="15">
          <cell r="O15">
            <v>1.9826099486014215E-2</v>
          </cell>
          <cell r="P15">
            <v>-1.9369299870449108E-2</v>
          </cell>
          <cell r="Q15">
            <v>-1.3605583722956061E-2</v>
          </cell>
          <cell r="R15">
            <v>4.8111082077852974E-3</v>
          </cell>
          <cell r="S15">
            <v>8.3376758996058786E-3</v>
          </cell>
        </row>
        <row r="16">
          <cell r="O16">
            <v>2.094525562866556E-2</v>
          </cell>
          <cell r="P16">
            <v>-2.0263832517988245E-2</v>
          </cell>
          <cell r="Q16">
            <v>-1.3640640848134877E-2</v>
          </cell>
          <cell r="R16">
            <v>3.2733765546866245E-3</v>
          </cell>
          <cell r="S16">
            <v>9.6858411827707158E-3</v>
          </cell>
        </row>
        <row r="17">
          <cell r="O17">
            <v>1.9140997013173955E-2</v>
          </cell>
          <cell r="P17">
            <v>-2.0794613134184514E-2</v>
          </cell>
          <cell r="Q17">
            <v>-1.2744472396769568E-2</v>
          </cell>
          <cell r="R17">
            <v>5.0177484555342655E-3</v>
          </cell>
          <cell r="S17">
            <v>9.3803400622469724E-3</v>
          </cell>
        </row>
        <row r="18">
          <cell r="O18">
            <v>1.9397678735883828E-2</v>
          </cell>
          <cell r="P18">
            <v>-1.6377395342135892E-2</v>
          </cell>
          <cell r="Q18">
            <v>-1.4080126289194972E-2</v>
          </cell>
          <cell r="R18">
            <v>3.2886494586386039E-3</v>
          </cell>
          <cell r="S18">
            <v>7.7711934368089874E-3</v>
          </cell>
        </row>
        <row r="19">
          <cell r="O19">
            <v>1.7120497728770223E-2</v>
          </cell>
          <cell r="P19">
            <v>-1.3831736145676121E-2</v>
          </cell>
          <cell r="Q19">
            <v>-1.5489546396999287E-2</v>
          </cell>
          <cell r="R19">
            <v>6.7030377289045706E-3</v>
          </cell>
          <cell r="S19">
            <v>5.4977470850003929E-3</v>
          </cell>
        </row>
        <row r="20">
          <cell r="O20">
            <v>2.5567022405727835E-2</v>
          </cell>
          <cell r="P20">
            <v>-1.112375434753643E-2</v>
          </cell>
          <cell r="Q20">
            <v>-2.6344207315376678E-2</v>
          </cell>
          <cell r="R20">
            <v>5.5698584586494349E-3</v>
          </cell>
          <cell r="S20">
            <v>6.3310807985352824E-3</v>
          </cell>
        </row>
        <row r="21">
          <cell r="O21">
            <v>2.6108492379092629E-2</v>
          </cell>
          <cell r="P21">
            <v>-1.2262634171592235E-2</v>
          </cell>
          <cell r="Q21">
            <v>-2.1929732144136405E-2</v>
          </cell>
          <cell r="R21">
            <v>2.0301678971208492E-3</v>
          </cell>
          <cell r="S21">
            <v>6.0537060395142728E-3</v>
          </cell>
        </row>
        <row r="22">
          <cell r="O22">
            <v>1.9442596588149286E-2</v>
          </cell>
          <cell r="P22">
            <v>1.1246429756726073E-3</v>
          </cell>
          <cell r="Q22">
            <v>-2.0612094301250106E-2</v>
          </cell>
          <cell r="R22">
            <v>1.9007068955083639E-3</v>
          </cell>
          <cell r="S22">
            <v>-1.8558521580805953E-3</v>
          </cell>
        </row>
        <row r="23">
          <cell r="O23">
            <v>1.8946420759978766E-2</v>
          </cell>
          <cell r="P23">
            <v>5.8030471703047759E-3</v>
          </cell>
          <cell r="Q23">
            <v>-1.8930065260072459E-2</v>
          </cell>
          <cell r="R23">
            <v>-6.4681297609614496E-4</v>
          </cell>
          <cell r="S23">
            <v>-5.1725896941148264E-3</v>
          </cell>
        </row>
        <row r="24">
          <cell r="O24">
            <v>-5.9812733630115744E-4</v>
          </cell>
          <cell r="P24">
            <v>1.2535847277045153E-2</v>
          </cell>
          <cell r="Q24">
            <v>-6.6937244809298635E-3</v>
          </cell>
          <cell r="R24">
            <v>-4.4987714908372167E-3</v>
          </cell>
          <cell r="S24">
            <v>-7.4522396897769294E-4</v>
          </cell>
        </row>
        <row r="25">
          <cell r="O25">
            <v>-5.5340599633774135E-3</v>
          </cell>
          <cell r="P25">
            <v>5.1560996278441351E-3</v>
          </cell>
          <cell r="Q25">
            <v>1.8053434217524256E-4</v>
          </cell>
          <cell r="R25">
            <v>-6.1014822557289294E-3</v>
          </cell>
          <cell r="S25">
            <v>6.2989082490869652E-3</v>
          </cell>
        </row>
        <row r="26">
          <cell r="O26">
            <v>1.0845648125757279E-2</v>
          </cell>
          <cell r="P26">
            <v>8.620370461294824E-3</v>
          </cell>
          <cell r="Q26">
            <v>-1.8332084486740285E-2</v>
          </cell>
          <cell r="R26">
            <v>-8.0398412400628505E-4</v>
          </cell>
          <cell r="S26">
            <v>-3.2994997630586553E-4</v>
          </cell>
        </row>
        <row r="27">
          <cell r="O27">
            <v>4.2132154989822368E-3</v>
          </cell>
          <cell r="P27">
            <v>1.0225027669623854E-2</v>
          </cell>
          <cell r="Q27">
            <v>-1.653608093766723E-2</v>
          </cell>
          <cell r="R27">
            <v>5.6776335930943667E-3</v>
          </cell>
          <cell r="S27">
            <v>-3.5797958240332273E-3</v>
          </cell>
        </row>
        <row r="28">
          <cell r="O28">
            <v>1.1593976013494212E-2</v>
          </cell>
          <cell r="P28">
            <v>2.2557189156280355E-3</v>
          </cell>
          <cell r="Q28">
            <v>-1.2665071203185163E-2</v>
          </cell>
          <cell r="R28">
            <v>7.1021254948895329E-3</v>
          </cell>
          <cell r="S28">
            <v>-8.2867492208266169E-3</v>
          </cell>
        </row>
        <row r="29">
          <cell r="O29">
            <v>4.3026842010546629E-2</v>
          </cell>
          <cell r="P29">
            <v>2.4971267892316185E-2</v>
          </cell>
          <cell r="Q29">
            <v>-4.5405226392939313E-2</v>
          </cell>
          <cell r="R29">
            <v>-1.518588614964167E-2</v>
          </cell>
          <cell r="S29">
            <v>-7.4069973602814976E-3</v>
          </cell>
        </row>
        <row r="30">
          <cell r="O30">
            <v>5.1374673484001043E-2</v>
          </cell>
          <cell r="P30">
            <v>5.1693724804947827E-2</v>
          </cell>
          <cell r="Q30">
            <v>-5.4499765999021177E-2</v>
          </cell>
          <cell r="R30">
            <v>-1.2249804511267004E-2</v>
          </cell>
          <cell r="S30">
            <v>-3.6318827778660134E-2</v>
          </cell>
        </row>
        <row r="31">
          <cell r="O31">
            <v>8.6876497451450874E-2</v>
          </cell>
          <cell r="P31">
            <v>5.1060787591574508E-2</v>
          </cell>
          <cell r="Q31">
            <v>-9.7168110267542573E-2</v>
          </cell>
          <cell r="R31">
            <v>-7.0226163644614426E-3</v>
          </cell>
          <cell r="S31">
            <v>-3.3746558411022143E-2</v>
          </cell>
        </row>
        <row r="32">
          <cell r="O32">
            <v>3.8365651775033038E-2</v>
          </cell>
          <cell r="P32">
            <v>0.1127502214194247</v>
          </cell>
          <cell r="Q32">
            <v>-0.14200370606493362</v>
          </cell>
          <cell r="R32">
            <v>-1.9549849916198792E-2</v>
          </cell>
          <cell r="S32">
            <v>1.0437682786675229E-2</v>
          </cell>
        </row>
        <row r="33">
          <cell r="O33">
            <v>5.3123870313576571E-2</v>
          </cell>
          <cell r="P33">
            <v>0.17644283881225076</v>
          </cell>
          <cell r="Q33">
            <v>-0.14510302633385863</v>
          </cell>
          <cell r="R33">
            <v>-4.5380602921089808E-2</v>
          </cell>
          <cell r="S33">
            <v>-3.908307987087789E-2</v>
          </cell>
        </row>
        <row r="34">
          <cell r="O34">
            <v>5.9094104091484523E-2</v>
          </cell>
          <cell r="P34">
            <v>0.12992369408438109</v>
          </cell>
          <cell r="Q34">
            <v>-0.17829679347998806</v>
          </cell>
          <cell r="R34">
            <v>8.3729219349282236E-3</v>
          </cell>
          <cell r="S34">
            <v>-1.9093926630806002E-2</v>
          </cell>
        </row>
        <row r="35">
          <cell r="O35">
            <v>0.12524819300417644</v>
          </cell>
          <cell r="P35">
            <v>0</v>
          </cell>
          <cell r="Q35">
            <v>-0.10625466261559569</v>
          </cell>
          <cell r="R35">
            <v>5.1761183629636331E-2</v>
          </cell>
          <cell r="S35">
            <v>-7.0754714018217313E-2</v>
          </cell>
        </row>
        <row r="36">
          <cell r="O36">
            <v>0.10978259841073745</v>
          </cell>
          <cell r="P36">
            <v>0</v>
          </cell>
          <cell r="Q36">
            <v>-7.7334690328754063E-2</v>
          </cell>
          <cell r="R36">
            <v>7.3328339414432619E-2</v>
          </cell>
          <cell r="S36">
            <v>-0.10577624749641612</v>
          </cell>
        </row>
        <row r="37">
          <cell r="O37">
            <v>-3.2310918739182348E-2</v>
          </cell>
          <cell r="P37">
            <v>0.10977564277080565</v>
          </cell>
          <cell r="Q37">
            <v>-4.8182328854409984E-2</v>
          </cell>
          <cell r="R37">
            <v>-2.9282395177213538E-2</v>
          </cell>
          <cell r="S37">
            <v>0</v>
          </cell>
        </row>
        <row r="38">
          <cell r="O38">
            <v>-1.4928969614786514E-2</v>
          </cell>
          <cell r="P38">
            <v>7.9500451335133837E-2</v>
          </cell>
          <cell r="Q38">
            <v>2.9920196042243496E-2</v>
          </cell>
          <cell r="R38">
            <v>-9.4491677762590709E-2</v>
          </cell>
          <cell r="S38">
            <v>0</v>
          </cell>
        </row>
      </sheetData>
      <sheetData sheetId="12"/>
      <sheetData sheetId="13"/>
      <sheetData sheetId="14">
        <row r="5">
          <cell r="C5">
            <v>4</v>
          </cell>
          <cell r="D5">
            <v>55.824297191719552</v>
          </cell>
        </row>
        <row r="6">
          <cell r="C6">
            <v>5</v>
          </cell>
          <cell r="D6">
            <v>93.819165044772774</v>
          </cell>
        </row>
        <row r="7">
          <cell r="C7">
            <v>6</v>
          </cell>
          <cell r="D7">
            <v>145.93366328224386</v>
          </cell>
        </row>
        <row r="8">
          <cell r="C8">
            <v>7</v>
          </cell>
          <cell r="D8">
            <v>202.96007381382276</v>
          </cell>
        </row>
        <row r="9">
          <cell r="C9">
            <v>8</v>
          </cell>
          <cell r="D9">
            <v>274.02556560248922</v>
          </cell>
        </row>
        <row r="10">
          <cell r="C10">
            <v>9</v>
          </cell>
          <cell r="D10">
            <v>354.72525507709457</v>
          </cell>
        </row>
        <row r="11">
          <cell r="C11">
            <v>10</v>
          </cell>
          <cell r="D11">
            <v>439.16365330378312</v>
          </cell>
        </row>
        <row r="12">
          <cell r="C12">
            <v>11</v>
          </cell>
          <cell r="D12">
            <v>533.40086228697442</v>
          </cell>
        </row>
        <row r="13">
          <cell r="C13">
            <v>12</v>
          </cell>
          <cell r="D13">
            <v>636.84341796362787</v>
          </cell>
        </row>
        <row r="14">
          <cell r="C14">
            <v>13</v>
          </cell>
          <cell r="D14">
            <v>742.4535962221895</v>
          </cell>
        </row>
        <row r="15">
          <cell r="C15">
            <v>14</v>
          </cell>
          <cell r="D15">
            <v>846.52898028792617</v>
          </cell>
        </row>
        <row r="16">
          <cell r="C16">
            <v>15</v>
          </cell>
          <cell r="D16">
            <v>958.16301083952055</v>
          </cell>
        </row>
        <row r="17">
          <cell r="C17">
            <v>16</v>
          </cell>
          <cell r="D17">
            <v>1079.8099373992954</v>
          </cell>
        </row>
        <row r="18">
          <cell r="C18">
            <v>17</v>
          </cell>
          <cell r="D18">
            <v>1198.8945291294419</v>
          </cell>
        </row>
        <row r="19">
          <cell r="C19">
            <v>18</v>
          </cell>
          <cell r="D19">
            <v>1319.4997665049989</v>
          </cell>
        </row>
        <row r="20">
          <cell r="C20">
            <v>19</v>
          </cell>
          <cell r="D20">
            <v>1450.8755093121931</v>
          </cell>
        </row>
        <row r="21">
          <cell r="C21">
            <v>20</v>
          </cell>
          <cell r="D21">
            <v>1599.4503386671131</v>
          </cell>
        </row>
        <row r="22">
          <cell r="C22">
            <v>21</v>
          </cell>
          <cell r="D22">
            <v>1771.7580624098962</v>
          </cell>
        </row>
        <row r="23">
          <cell r="C23">
            <v>22</v>
          </cell>
          <cell r="D23">
            <v>1965.000734120249</v>
          </cell>
        </row>
        <row r="24">
          <cell r="C24">
            <v>23</v>
          </cell>
          <cell r="D24">
            <v>2182.0701332973917</v>
          </cell>
        </row>
        <row r="25">
          <cell r="C25">
            <v>24</v>
          </cell>
          <cell r="D25">
            <v>2427.4616684326684</v>
          </cell>
        </row>
        <row r="26">
          <cell r="C26">
            <v>25</v>
          </cell>
          <cell r="D26">
            <v>2693.0727135542766</v>
          </cell>
        </row>
        <row r="27">
          <cell r="C27">
            <v>26</v>
          </cell>
          <cell r="D27">
            <v>2973.606607704412</v>
          </cell>
        </row>
        <row r="28">
          <cell r="C28">
            <v>27</v>
          </cell>
          <cell r="D28">
            <v>3253.0025662206435</v>
          </cell>
        </row>
        <row r="29">
          <cell r="C29">
            <v>28</v>
          </cell>
          <cell r="D29">
            <v>3541.794787040978</v>
          </cell>
        </row>
        <row r="30">
          <cell r="C30">
            <v>29</v>
          </cell>
          <cell r="D30">
            <v>3839.4268055058355</v>
          </cell>
        </row>
        <row r="31">
          <cell r="C31">
            <v>30</v>
          </cell>
          <cell r="D31">
            <v>4200.0031012857889</v>
          </cell>
        </row>
        <row r="32">
          <cell r="C32">
            <v>38</v>
          </cell>
          <cell r="D32">
            <v>9383.1992798272131</v>
          </cell>
        </row>
        <row r="33">
          <cell r="C33">
            <v>50</v>
          </cell>
          <cell r="D33">
            <v>15895.418171796442</v>
          </cell>
        </row>
        <row r="34">
          <cell r="C34">
            <v>70</v>
          </cell>
          <cell r="D34">
            <v>24999.999999999996</v>
          </cell>
        </row>
      </sheetData>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48095-E982-4EC7-9B34-26CA7F285F7D}">
  <sheetPr codeName="Sheet4"/>
  <dimension ref="A1:AMJ128"/>
  <sheetViews>
    <sheetView topLeftCell="A4" zoomScale="70" zoomScaleNormal="70" workbookViewId="0">
      <selection activeCell="B14" sqref="B14"/>
    </sheetView>
  </sheetViews>
  <sheetFormatPr defaultColWidth="11.53125" defaultRowHeight="12.75" x14ac:dyDescent="0.35"/>
  <cols>
    <col min="1" max="1" width="22.9296875" customWidth="1"/>
    <col min="2" max="2" width="17.1328125" customWidth="1"/>
  </cols>
  <sheetData>
    <row r="1" spans="1:1024" ht="67.150000000000006" customHeight="1" thickBot="1" x14ac:dyDescent="0.4">
      <c r="A1" s="1" t="s">
        <v>0</v>
      </c>
      <c r="B1" s="2"/>
      <c r="C1" s="3"/>
      <c r="D1" s="3"/>
      <c r="E1" s="3"/>
      <c r="F1" s="3"/>
      <c r="G1" s="3"/>
      <c r="H1" s="2"/>
      <c r="I1" s="2"/>
      <c r="J1" s="2"/>
      <c r="K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row>
    <row r="2" spans="1:1024" ht="18.399999999999999" x14ac:dyDescent="0.7">
      <c r="D2" s="4" t="s">
        <v>1</v>
      </c>
      <c r="L2" s="5" t="s">
        <v>2</v>
      </c>
      <c r="M2" s="6"/>
      <c r="N2" s="6"/>
      <c r="O2" s="6"/>
      <c r="P2" s="6" t="s">
        <v>3</v>
      </c>
      <c r="Q2" s="7">
        <v>0.89</v>
      </c>
      <c r="R2" s="8" t="s">
        <v>4</v>
      </c>
    </row>
    <row r="3" spans="1:1024" ht="15.75" x14ac:dyDescent="0.5">
      <c r="A3" s="9" t="s">
        <v>5</v>
      </c>
      <c r="B3" s="10" t="s">
        <v>6</v>
      </c>
      <c r="C3" s="10"/>
      <c r="E3" s="11" t="s">
        <v>7</v>
      </c>
      <c r="F3" s="12">
        <v>1</v>
      </c>
      <c r="G3" s="13"/>
      <c r="H3" s="13"/>
      <c r="L3" s="14" t="s">
        <v>8</v>
      </c>
      <c r="M3" s="15"/>
      <c r="N3" s="15"/>
      <c r="O3" s="15"/>
      <c r="P3" s="12">
        <v>1</v>
      </c>
      <c r="Q3" s="12">
        <v>90</v>
      </c>
      <c r="R3" s="16" t="s">
        <v>9</v>
      </c>
    </row>
    <row r="4" spans="1:1024" ht="13.15" x14ac:dyDescent="0.4">
      <c r="A4" s="10" t="s">
        <v>10</v>
      </c>
      <c r="B4" s="17">
        <v>46009</v>
      </c>
      <c r="C4" s="10"/>
      <c r="E4" s="11" t="s">
        <v>11</v>
      </c>
      <c r="F4" s="13">
        <v>0.86799999999999999</v>
      </c>
      <c r="G4" s="13"/>
      <c r="H4" s="13"/>
      <c r="L4" s="18" t="s">
        <v>12</v>
      </c>
      <c r="M4" s="19" t="s">
        <v>13</v>
      </c>
      <c r="N4" s="19" t="s">
        <v>14</v>
      </c>
      <c r="O4" s="19" t="s">
        <v>15</v>
      </c>
      <c r="P4" s="19" t="s">
        <v>16</v>
      </c>
      <c r="Q4" s="19" t="s">
        <v>17</v>
      </c>
      <c r="R4" s="16"/>
    </row>
    <row r="5" spans="1:1024" ht="13.15" x14ac:dyDescent="0.4">
      <c r="A5" s="10" t="s">
        <v>18</v>
      </c>
      <c r="B5" s="20" t="s">
        <v>19</v>
      </c>
      <c r="C5" s="10"/>
      <c r="L5" s="21">
        <v>1.5</v>
      </c>
      <c r="M5" s="22">
        <v>67392.070000000007</v>
      </c>
      <c r="N5" s="22"/>
      <c r="O5" s="22">
        <v>67392.070000000007</v>
      </c>
      <c r="P5" s="22">
        <f>O5*P$3</f>
        <v>67392.070000000007</v>
      </c>
      <c r="Q5" s="22">
        <f>P5*Q$2*Q$3</f>
        <v>5398104.807000001</v>
      </c>
      <c r="R5" s="16"/>
    </row>
    <row r="6" spans="1:1024" ht="13.15" x14ac:dyDescent="0.4">
      <c r="A6" s="10" t="s">
        <v>20</v>
      </c>
      <c r="B6" s="23" t="s">
        <v>21</v>
      </c>
      <c r="C6" s="24"/>
      <c r="E6" s="15" t="s">
        <v>22</v>
      </c>
      <c r="F6" s="19" t="s">
        <v>23</v>
      </c>
      <c r="G6" s="19" t="s">
        <v>24</v>
      </c>
      <c r="H6" s="19" t="s">
        <v>25</v>
      </c>
      <c r="I6" s="19" t="s">
        <v>26</v>
      </c>
      <c r="L6" s="21">
        <v>2</v>
      </c>
      <c r="M6" s="22">
        <v>41165</v>
      </c>
      <c r="N6" s="22"/>
      <c r="O6" s="22">
        <v>41165</v>
      </c>
      <c r="P6" s="22">
        <f t="shared" ref="P6:P34" si="0">O6*P$3</f>
        <v>41165</v>
      </c>
      <c r="Q6" s="22">
        <f t="shared" ref="Q6:Q34" si="1">P6*Q$2*Q$3</f>
        <v>3297316.5</v>
      </c>
      <c r="R6" s="16"/>
    </row>
    <row r="7" spans="1:1024" ht="13.15" x14ac:dyDescent="0.4">
      <c r="A7" s="10" t="s">
        <v>27</v>
      </c>
      <c r="B7" s="25" t="s">
        <v>28</v>
      </c>
      <c r="C7" s="10"/>
      <c r="E7" s="11" t="s">
        <v>29</v>
      </c>
      <c r="F7" s="13">
        <f>$F3*$F4*100</f>
        <v>86.8</v>
      </c>
      <c r="G7" s="13">
        <f>$F3*$F4*100</f>
        <v>86.8</v>
      </c>
      <c r="H7" s="13">
        <f>$F3*$F4*100</f>
        <v>86.8</v>
      </c>
      <c r="I7" s="13">
        <f>$F3*$F4*100</f>
        <v>86.8</v>
      </c>
      <c r="L7" s="21">
        <v>3</v>
      </c>
      <c r="M7" s="22">
        <v>17975.47</v>
      </c>
      <c r="N7" s="22">
        <v>17634.099999999999</v>
      </c>
      <c r="O7" s="22">
        <v>17975.47</v>
      </c>
      <c r="P7" s="22">
        <f t="shared" si="0"/>
        <v>17975.47</v>
      </c>
      <c r="Q7" s="22">
        <f t="shared" si="1"/>
        <v>1439835.1470000001</v>
      </c>
      <c r="R7" s="16"/>
    </row>
    <row r="8" spans="1:1024" ht="13.15" x14ac:dyDescent="0.4">
      <c r="A8" s="10" t="s">
        <v>30</v>
      </c>
      <c r="B8" s="23" t="s">
        <v>21</v>
      </c>
      <c r="C8" s="10"/>
      <c r="E8" s="11" t="s">
        <v>31</v>
      </c>
      <c r="F8" s="12">
        <v>26.08</v>
      </c>
      <c r="G8" s="12">
        <v>26.08</v>
      </c>
      <c r="H8" s="12">
        <v>26.11</v>
      </c>
      <c r="I8" s="12">
        <v>26.16</v>
      </c>
      <c r="L8" s="21">
        <v>4</v>
      </c>
      <c r="M8" s="22">
        <v>10898.56</v>
      </c>
      <c r="N8" s="22">
        <v>10750.3</v>
      </c>
      <c r="O8" s="22">
        <v>10898.56</v>
      </c>
      <c r="P8" s="22">
        <f t="shared" si="0"/>
        <v>10898.56</v>
      </c>
      <c r="Q8" s="22">
        <f t="shared" si="1"/>
        <v>872974.65599999996</v>
      </c>
      <c r="R8" s="16"/>
    </row>
    <row r="9" spans="1:1024" ht="13.15" x14ac:dyDescent="0.4">
      <c r="A9" s="10" t="s">
        <v>32</v>
      </c>
      <c r="B9" s="25" t="s">
        <v>28</v>
      </c>
      <c r="C9" s="10"/>
      <c r="E9" s="26" t="s">
        <v>33</v>
      </c>
      <c r="F9" s="27">
        <f>(1/$F$3-1)*F8</f>
        <v>0</v>
      </c>
      <c r="G9" s="27">
        <f>(1/$F$3-1)*G8</f>
        <v>0</v>
      </c>
      <c r="H9" s="27">
        <f>(1/$F$3-1)*H8</f>
        <v>0</v>
      </c>
      <c r="I9" s="27">
        <f>(1/$F$3-1)*I8</f>
        <v>0</v>
      </c>
      <c r="L9" s="21">
        <v>5</v>
      </c>
      <c r="M9" s="22">
        <v>6986.32</v>
      </c>
      <c r="N9" s="22">
        <v>7121.1</v>
      </c>
      <c r="O9" s="22">
        <v>6986.32</v>
      </c>
      <c r="P9" s="22">
        <f t="shared" si="0"/>
        <v>6986.32</v>
      </c>
      <c r="Q9" s="22">
        <f t="shared" si="1"/>
        <v>559604.23199999996</v>
      </c>
      <c r="R9" s="16"/>
    </row>
    <row r="10" spans="1:1024" ht="13.15" x14ac:dyDescent="0.4">
      <c r="A10" s="24" t="s">
        <v>34</v>
      </c>
      <c r="B10" s="25" t="s">
        <v>35</v>
      </c>
      <c r="C10" s="10"/>
      <c r="E10" s="11" t="s">
        <v>36</v>
      </c>
      <c r="F10" s="28">
        <v>61</v>
      </c>
      <c r="G10" s="28">
        <v>61.18</v>
      </c>
      <c r="H10" s="28">
        <v>61.2</v>
      </c>
      <c r="I10" s="28">
        <v>61.09</v>
      </c>
      <c r="L10" s="21">
        <v>6</v>
      </c>
      <c r="M10" s="22">
        <v>4679.6499999999996</v>
      </c>
      <c r="N10" s="22">
        <v>4729.1000000000004</v>
      </c>
      <c r="O10" s="22">
        <v>4679.6499999999996</v>
      </c>
      <c r="P10" s="22">
        <f t="shared" si="0"/>
        <v>4679.6499999999996</v>
      </c>
      <c r="Q10" s="22">
        <f t="shared" si="1"/>
        <v>374839.96500000003</v>
      </c>
      <c r="R10" s="16"/>
    </row>
    <row r="11" spans="1:1024" x14ac:dyDescent="0.35">
      <c r="B11" s="29"/>
      <c r="E11" s="11" t="s">
        <v>37</v>
      </c>
      <c r="F11" s="30">
        <f>IF($F3=1, 1, F8/(F8+F10))</f>
        <v>1</v>
      </c>
      <c r="G11" s="30">
        <f>IF($F3=1, 1, G8/(G8+G10))</f>
        <v>1</v>
      </c>
      <c r="H11" s="30">
        <f>IF($F3=1, 1, H8/(H8+H10))</f>
        <v>1</v>
      </c>
      <c r="I11" s="30">
        <f>IF($F3=1, 1, I8/(I8+I10))</f>
        <v>1</v>
      </c>
      <c r="L11" s="21">
        <v>7</v>
      </c>
      <c r="M11" s="22">
        <v>3163.23</v>
      </c>
      <c r="N11" s="22">
        <v>3199.3</v>
      </c>
      <c r="O11" s="22">
        <v>3163.23</v>
      </c>
      <c r="P11" s="22">
        <f t="shared" si="0"/>
        <v>3163.23</v>
      </c>
      <c r="Q11" s="22">
        <f t="shared" si="1"/>
        <v>253374.723</v>
      </c>
      <c r="R11" s="16"/>
    </row>
    <row r="12" spans="1:1024" ht="13.9" x14ac:dyDescent="0.4">
      <c r="A12" s="10" t="s">
        <v>38</v>
      </c>
      <c r="B12" s="31">
        <v>31</v>
      </c>
      <c r="C12" s="10"/>
      <c r="L12" s="21">
        <v>8</v>
      </c>
      <c r="M12" s="22">
        <v>2175.4699999999998</v>
      </c>
      <c r="N12" s="22">
        <v>2280.6</v>
      </c>
      <c r="O12" s="22">
        <v>2175.4699999999998</v>
      </c>
      <c r="P12" s="22">
        <f t="shared" si="0"/>
        <v>2175.4699999999998</v>
      </c>
      <c r="Q12" s="22">
        <f t="shared" si="1"/>
        <v>174255.147</v>
      </c>
      <c r="R12" s="16"/>
    </row>
    <row r="13" spans="1:1024" hidden="1" x14ac:dyDescent="0.35">
      <c r="B13" s="29"/>
      <c r="L13" s="32">
        <v>9</v>
      </c>
      <c r="M13" s="22">
        <v>1512.11</v>
      </c>
      <c r="N13" s="22">
        <v>1615</v>
      </c>
      <c r="O13" s="22">
        <v>1512.11</v>
      </c>
      <c r="P13" s="22">
        <f t="shared" si="0"/>
        <v>1512.11</v>
      </c>
      <c r="Q13" s="22">
        <f t="shared" si="1"/>
        <v>121120.01099999998</v>
      </c>
      <c r="R13" s="16"/>
    </row>
    <row r="14" spans="1:1024" x14ac:dyDescent="0.35">
      <c r="A14" t="s">
        <v>39</v>
      </c>
      <c r="B14" s="29">
        <f>B12*1.5</f>
        <v>46.5</v>
      </c>
      <c r="L14" s="21">
        <v>10</v>
      </c>
      <c r="M14" s="22">
        <v>1079.78</v>
      </c>
      <c r="N14" s="22">
        <v>1130.5</v>
      </c>
      <c r="O14" s="22">
        <v>1079.78</v>
      </c>
      <c r="P14" s="22">
        <f t="shared" si="0"/>
        <v>1079.78</v>
      </c>
      <c r="Q14" s="22">
        <f t="shared" si="1"/>
        <v>86490.377999999997</v>
      </c>
      <c r="R14" s="16"/>
    </row>
    <row r="15" spans="1:1024" ht="13.5" x14ac:dyDescent="0.35">
      <c r="A15" t="s">
        <v>40</v>
      </c>
      <c r="B15" s="31">
        <v>6000</v>
      </c>
      <c r="L15" s="21">
        <v>11</v>
      </c>
      <c r="M15" s="22">
        <v>786.62</v>
      </c>
      <c r="N15" s="22">
        <v>816.2</v>
      </c>
      <c r="O15" s="22">
        <v>786.62</v>
      </c>
      <c r="P15" s="22">
        <f t="shared" si="0"/>
        <v>786.62</v>
      </c>
      <c r="Q15" s="22">
        <f t="shared" si="1"/>
        <v>63008.262000000002</v>
      </c>
      <c r="R15" s="16"/>
    </row>
    <row r="16" spans="1:1024" x14ac:dyDescent="0.35">
      <c r="A16" t="s">
        <v>41</v>
      </c>
      <c r="B16" s="33">
        <f>10^((LOG(B15)-LOG(B14))/(30-1))</f>
        <v>1.1824497666517551</v>
      </c>
      <c r="L16" s="21">
        <v>12</v>
      </c>
      <c r="M16" s="22">
        <v>586.05999999999995</v>
      </c>
      <c r="N16" s="22">
        <v>618.6</v>
      </c>
      <c r="O16" s="22">
        <v>586.05999999999995</v>
      </c>
      <c r="P16" s="22">
        <f t="shared" si="0"/>
        <v>586.05999999999995</v>
      </c>
      <c r="Q16" s="22">
        <f t="shared" si="1"/>
        <v>46943.405999999995</v>
      </c>
      <c r="R16" s="16"/>
    </row>
    <row r="17" spans="1:18" x14ac:dyDescent="0.35">
      <c r="L17" s="21">
        <v>13</v>
      </c>
      <c r="M17" s="22">
        <v>449.93</v>
      </c>
      <c r="N17" s="22">
        <v>481.9</v>
      </c>
      <c r="O17" s="22">
        <v>449.93</v>
      </c>
      <c r="P17" s="22">
        <f t="shared" si="0"/>
        <v>449.93</v>
      </c>
      <c r="Q17" s="22">
        <f t="shared" si="1"/>
        <v>36039.393000000004</v>
      </c>
      <c r="R17" s="16"/>
    </row>
    <row r="18" spans="1:18" x14ac:dyDescent="0.35">
      <c r="A18" s="15" t="s">
        <v>42</v>
      </c>
      <c r="B18" s="15" t="s">
        <v>43</v>
      </c>
      <c r="C18" s="15" t="s">
        <v>44</v>
      </c>
      <c r="D18" s="15" t="s">
        <v>45</v>
      </c>
      <c r="L18" s="21">
        <v>14</v>
      </c>
      <c r="M18" s="22">
        <v>352.62</v>
      </c>
      <c r="N18" s="22">
        <v>384.7</v>
      </c>
      <c r="O18" s="22">
        <v>352.62</v>
      </c>
      <c r="P18" s="22">
        <f t="shared" si="0"/>
        <v>352.62</v>
      </c>
      <c r="Q18" s="22">
        <f t="shared" si="1"/>
        <v>28244.861999999997</v>
      </c>
      <c r="R18" s="16"/>
    </row>
    <row r="19" spans="1:18" x14ac:dyDescent="0.35">
      <c r="A19">
        <v>4</v>
      </c>
      <c r="B19" s="34">
        <f>B12*1.5</f>
        <v>46.5</v>
      </c>
      <c r="C19" s="22">
        <f t="shared" ref="C19:C48" si="2">INT($B19+0.5)</f>
        <v>47</v>
      </c>
      <c r="D19" s="22">
        <f t="shared" ref="D19:D47" si="3">D20*B$16</f>
        <v>6000.0000000000146</v>
      </c>
      <c r="E19" s="15" t="s">
        <v>46</v>
      </c>
      <c r="L19" s="21">
        <v>15</v>
      </c>
      <c r="M19" s="22">
        <v>282.04000000000002</v>
      </c>
      <c r="N19" s="22">
        <v>314.60000000000002</v>
      </c>
      <c r="O19" s="22">
        <v>282.04000000000002</v>
      </c>
      <c r="P19" s="22">
        <f t="shared" si="0"/>
        <v>282.04000000000002</v>
      </c>
      <c r="Q19" s="22">
        <f t="shared" si="1"/>
        <v>22591.404000000002</v>
      </c>
      <c r="R19" s="16"/>
    </row>
    <row r="20" spans="1:18" x14ac:dyDescent="0.35">
      <c r="A20">
        <v>5</v>
      </c>
      <c r="B20" s="34">
        <f t="shared" ref="B20:B48" si="4">B19*B$16</f>
        <v>54.983914149306607</v>
      </c>
      <c r="C20" s="22">
        <f t="shared" si="2"/>
        <v>55</v>
      </c>
      <c r="D20" s="22">
        <f t="shared" si="3"/>
        <v>5074.2113273781742</v>
      </c>
      <c r="L20" s="21">
        <v>16</v>
      </c>
      <c r="M20" s="22">
        <v>229.42</v>
      </c>
      <c r="N20" s="22">
        <v>261.8</v>
      </c>
      <c r="O20" s="22">
        <v>229.42</v>
      </c>
      <c r="P20" s="22">
        <f t="shared" si="0"/>
        <v>229.42</v>
      </c>
      <c r="Q20" s="22">
        <f t="shared" si="1"/>
        <v>18376.541999999998</v>
      </c>
      <c r="R20" s="16"/>
    </row>
    <row r="21" spans="1:18" x14ac:dyDescent="0.35">
      <c r="A21">
        <v>6</v>
      </c>
      <c r="B21" s="34">
        <f t="shared" si="4"/>
        <v>65.01571645544773</v>
      </c>
      <c r="C21" s="22">
        <f t="shared" si="2"/>
        <v>65</v>
      </c>
      <c r="D21" s="22">
        <f t="shared" si="3"/>
        <v>4291.2700991488182</v>
      </c>
      <c r="L21" s="21">
        <v>17</v>
      </c>
      <c r="M21" s="22">
        <v>186.1</v>
      </c>
      <c r="N21" s="22">
        <v>221.2</v>
      </c>
      <c r="O21" s="22">
        <v>186.1</v>
      </c>
      <c r="P21" s="22">
        <f t="shared" si="0"/>
        <v>186.1</v>
      </c>
      <c r="Q21" s="22">
        <f t="shared" si="1"/>
        <v>14906.609999999999</v>
      </c>
      <c r="R21" s="16"/>
    </row>
    <row r="22" spans="1:18" x14ac:dyDescent="0.35">
      <c r="A22">
        <v>7</v>
      </c>
      <c r="B22" s="34">
        <f t="shared" si="4"/>
        <v>76.877818751440842</v>
      </c>
      <c r="C22" s="22">
        <f t="shared" si="2"/>
        <v>77</v>
      </c>
      <c r="D22" s="22">
        <f t="shared" si="3"/>
        <v>3629.1352243233573</v>
      </c>
      <c r="L22" s="21">
        <v>18</v>
      </c>
      <c r="M22" s="22">
        <v>153.87</v>
      </c>
      <c r="N22" s="22">
        <v>188.7</v>
      </c>
      <c r="O22" s="22">
        <v>153.87</v>
      </c>
      <c r="P22" s="22">
        <f t="shared" si="0"/>
        <v>153.87</v>
      </c>
      <c r="Q22" s="22">
        <f t="shared" si="1"/>
        <v>12324.986999999999</v>
      </c>
      <c r="R22" s="16"/>
    </row>
    <row r="23" spans="1:18" x14ac:dyDescent="0.35">
      <c r="A23">
        <v>8</v>
      </c>
      <c r="B23" s="34">
        <f t="shared" si="4"/>
        <v>90.904158843337143</v>
      </c>
      <c r="C23" s="22">
        <f t="shared" si="2"/>
        <v>91</v>
      </c>
      <c r="D23" s="22">
        <f t="shared" si="3"/>
        <v>3069.1665106414443</v>
      </c>
      <c r="L23" s="21">
        <v>19</v>
      </c>
      <c r="M23" s="22">
        <v>128.62</v>
      </c>
      <c r="N23" s="22">
        <v>161</v>
      </c>
      <c r="O23" s="22">
        <v>128.62</v>
      </c>
      <c r="P23" s="22">
        <f t="shared" si="0"/>
        <v>128.62</v>
      </c>
      <c r="Q23" s="22">
        <f t="shared" si="1"/>
        <v>10302.462</v>
      </c>
      <c r="R23" s="16"/>
    </row>
    <row r="24" spans="1:18" x14ac:dyDescent="0.35">
      <c r="A24">
        <v>9</v>
      </c>
      <c r="B24" s="34">
        <f t="shared" si="4"/>
        <v>107.48960141197809</v>
      </c>
      <c r="C24" s="22">
        <f t="shared" si="2"/>
        <v>107</v>
      </c>
      <c r="D24" s="22">
        <f t="shared" si="3"/>
        <v>2595.5999123177544</v>
      </c>
      <c r="L24" s="21">
        <v>20</v>
      </c>
      <c r="M24" s="22">
        <v>107.35</v>
      </c>
      <c r="N24" s="22">
        <v>136.4</v>
      </c>
      <c r="O24" s="22">
        <v>107.35</v>
      </c>
      <c r="P24" s="22">
        <f t="shared" si="0"/>
        <v>107.35</v>
      </c>
      <c r="Q24" s="22">
        <f t="shared" si="1"/>
        <v>8598.7350000000006</v>
      </c>
      <c r="R24" s="16"/>
    </row>
    <row r="25" spans="1:18" x14ac:dyDescent="0.35">
      <c r="A25">
        <v>10</v>
      </c>
      <c r="B25" s="34">
        <f t="shared" si="4"/>
        <v>127.10105410708364</v>
      </c>
      <c r="C25" s="22">
        <f t="shared" si="2"/>
        <v>127</v>
      </c>
      <c r="D25" s="22">
        <f t="shared" si="3"/>
        <v>2195.1037460707521</v>
      </c>
      <c r="E25" s="34"/>
      <c r="F25" s="34"/>
      <c r="L25" s="21">
        <v>21</v>
      </c>
      <c r="M25" s="22">
        <v>88.64</v>
      </c>
      <c r="N25" s="22">
        <v>114.4</v>
      </c>
      <c r="O25" s="22">
        <v>88.64</v>
      </c>
      <c r="P25" s="22">
        <f t="shared" si="0"/>
        <v>88.64</v>
      </c>
      <c r="Q25" s="22">
        <f t="shared" si="1"/>
        <v>7100.0640000000003</v>
      </c>
      <c r="R25" s="16"/>
    </row>
    <row r="26" spans="1:18" x14ac:dyDescent="0.35">
      <c r="A26">
        <v>11</v>
      </c>
      <c r="B26" s="34">
        <f t="shared" si="4"/>
        <v>150.29061177011314</v>
      </c>
      <c r="C26" s="22">
        <f t="shared" si="2"/>
        <v>150</v>
      </c>
      <c r="D26" s="22">
        <f t="shared" si="3"/>
        <v>1856.403382180408</v>
      </c>
      <c r="E26" s="34"/>
      <c r="F26" s="34"/>
      <c r="L26" s="21">
        <v>22</v>
      </c>
      <c r="M26" s="22">
        <v>75.56</v>
      </c>
      <c r="N26" s="22">
        <v>95.3</v>
      </c>
      <c r="O26" s="22">
        <v>75.56</v>
      </c>
      <c r="P26" s="22">
        <f t="shared" si="0"/>
        <v>75.56</v>
      </c>
      <c r="Q26" s="22">
        <f t="shared" si="1"/>
        <v>6052.3560000000007</v>
      </c>
      <c r="R26" s="16"/>
    </row>
    <row r="27" spans="1:18" x14ac:dyDescent="0.35">
      <c r="A27">
        <v>12</v>
      </c>
      <c r="B27" s="34">
        <f t="shared" si="4"/>
        <v>177.7110988175198</v>
      </c>
      <c r="C27" s="22">
        <f t="shared" si="2"/>
        <v>178</v>
      </c>
      <c r="D27" s="22">
        <f t="shared" si="3"/>
        <v>1569.9638450071595</v>
      </c>
      <c r="E27" s="34"/>
      <c r="F27" s="34"/>
      <c r="L27" s="21">
        <v>23</v>
      </c>
      <c r="M27" s="22">
        <v>61.94</v>
      </c>
      <c r="N27" s="22">
        <v>79</v>
      </c>
      <c r="O27" s="22">
        <v>61.94</v>
      </c>
      <c r="P27" s="22">
        <f t="shared" si="0"/>
        <v>61.94</v>
      </c>
      <c r="Q27" s="22">
        <f t="shared" si="1"/>
        <v>4961.3939999999993</v>
      </c>
      <c r="R27" s="16"/>
    </row>
    <row r="28" spans="1:18" x14ac:dyDescent="0.35">
      <c r="A28">
        <v>13</v>
      </c>
      <c r="B28" s="34">
        <f t="shared" si="4"/>
        <v>210.13444732820327</v>
      </c>
      <c r="C28" s="22">
        <f t="shared" si="2"/>
        <v>210</v>
      </c>
      <c r="D28" s="22">
        <f t="shared" si="3"/>
        <v>1327.7213876515837</v>
      </c>
      <c r="E28" s="34"/>
      <c r="F28" s="34"/>
      <c r="L28" s="21">
        <v>24</v>
      </c>
      <c r="M28" s="22">
        <v>50.86</v>
      </c>
      <c r="N28" s="22">
        <v>65.3</v>
      </c>
      <c r="O28" s="22">
        <v>50.86</v>
      </c>
      <c r="P28" s="22">
        <f t="shared" si="0"/>
        <v>50.86</v>
      </c>
      <c r="Q28" s="22">
        <f t="shared" si="1"/>
        <v>4073.886</v>
      </c>
      <c r="R28" s="16"/>
    </row>
    <row r="29" spans="1:18" x14ac:dyDescent="0.35">
      <c r="A29">
        <v>14</v>
      </c>
      <c r="B29" s="34">
        <f t="shared" si="4"/>
        <v>248.47342820872947</v>
      </c>
      <c r="C29" s="22">
        <f t="shared" si="2"/>
        <v>248</v>
      </c>
      <c r="D29" s="22">
        <f t="shared" si="3"/>
        <v>1122.8564841373195</v>
      </c>
      <c r="E29" s="34"/>
      <c r="F29" s="34"/>
      <c r="L29" s="21">
        <v>25</v>
      </c>
      <c r="M29" s="22">
        <v>41.61</v>
      </c>
      <c r="N29" s="22">
        <v>53.8</v>
      </c>
      <c r="O29" s="22">
        <v>41.61</v>
      </c>
      <c r="P29" s="22">
        <f t="shared" si="0"/>
        <v>41.61</v>
      </c>
      <c r="Q29" s="22">
        <f t="shared" si="1"/>
        <v>3332.9609999999998</v>
      </c>
      <c r="R29" s="16"/>
    </row>
    <row r="30" spans="1:18" x14ac:dyDescent="0.35">
      <c r="A30">
        <v>15</v>
      </c>
      <c r="B30" s="34">
        <f t="shared" si="4"/>
        <v>293.80734720457377</v>
      </c>
      <c r="C30" s="22">
        <f t="shared" si="2"/>
        <v>294</v>
      </c>
      <c r="D30" s="22">
        <f t="shared" si="3"/>
        <v>949.60184847160065</v>
      </c>
      <c r="E30" s="34"/>
      <c r="F30" s="34"/>
      <c r="L30" s="21">
        <v>26</v>
      </c>
      <c r="M30" s="22">
        <v>33.44</v>
      </c>
      <c r="N30" s="22">
        <v>44.6</v>
      </c>
      <c r="O30" s="22">
        <v>33.44</v>
      </c>
      <c r="P30" s="22">
        <f t="shared" si="0"/>
        <v>33.44</v>
      </c>
      <c r="Q30" s="22">
        <f t="shared" si="1"/>
        <v>2678.5439999999999</v>
      </c>
      <c r="R30" s="16"/>
    </row>
    <row r="31" spans="1:18" x14ac:dyDescent="0.35">
      <c r="A31">
        <v>16</v>
      </c>
      <c r="B31" s="34">
        <f t="shared" si="4"/>
        <v>347.41242914261943</v>
      </c>
      <c r="C31" s="22">
        <f t="shared" si="2"/>
        <v>347</v>
      </c>
      <c r="D31" s="22">
        <f t="shared" si="3"/>
        <v>803.08007600230621</v>
      </c>
      <c r="E31" s="34"/>
      <c r="F31" s="34"/>
      <c r="L31" s="21">
        <v>27</v>
      </c>
      <c r="M31" s="22">
        <v>26.08</v>
      </c>
      <c r="N31" s="22">
        <v>37</v>
      </c>
      <c r="O31" s="22">
        <v>26.08</v>
      </c>
      <c r="P31" s="22">
        <f t="shared" si="0"/>
        <v>26.08</v>
      </c>
      <c r="Q31" s="22">
        <f t="shared" si="1"/>
        <v>2089.0079999999998</v>
      </c>
      <c r="R31" s="16"/>
    </row>
    <row r="32" spans="1:18" x14ac:dyDescent="0.35">
      <c r="A32">
        <v>17</v>
      </c>
      <c r="B32" s="34">
        <f t="shared" si="4"/>
        <v>410.79774577160975</v>
      </c>
      <c r="C32" s="22">
        <f t="shared" si="2"/>
        <v>411</v>
      </c>
      <c r="D32" s="22">
        <f t="shared" si="3"/>
        <v>679.1663364071029</v>
      </c>
      <c r="E32" s="34"/>
      <c r="F32" s="34"/>
      <c r="L32" s="21">
        <v>28</v>
      </c>
      <c r="M32" s="22">
        <v>20.41</v>
      </c>
      <c r="N32" s="22">
        <v>30.7</v>
      </c>
      <c r="O32" s="22">
        <v>20.41</v>
      </c>
      <c r="P32" s="22">
        <f t="shared" si="0"/>
        <v>20.41</v>
      </c>
      <c r="Q32" s="22">
        <f t="shared" si="1"/>
        <v>1634.8409999999999</v>
      </c>
      <c r="R32" s="16"/>
    </row>
    <row r="33" spans="1:18" x14ac:dyDescent="0.35">
      <c r="A33">
        <v>18</v>
      </c>
      <c r="B33" s="34">
        <f t="shared" si="4"/>
        <v>485.74769862870693</v>
      </c>
      <c r="C33" s="22">
        <f t="shared" si="2"/>
        <v>486</v>
      </c>
      <c r="D33" s="22">
        <f t="shared" si="3"/>
        <v>574.37225289514151</v>
      </c>
      <c r="E33" s="34"/>
      <c r="F33" s="34"/>
      <c r="L33" s="21">
        <v>29</v>
      </c>
      <c r="M33" s="22">
        <v>16.39</v>
      </c>
      <c r="N33" s="22">
        <v>25.2</v>
      </c>
      <c r="O33" s="22">
        <v>16.39</v>
      </c>
      <c r="P33" s="22">
        <f t="shared" si="0"/>
        <v>16.39</v>
      </c>
      <c r="Q33" s="22">
        <f t="shared" si="1"/>
        <v>1312.8390000000002</v>
      </c>
      <c r="R33" s="16"/>
    </row>
    <row r="34" spans="1:18" ht="13.15" thickBot="1" x14ac:dyDescent="0.4">
      <c r="A34">
        <v>19</v>
      </c>
      <c r="B34" s="34">
        <f t="shared" si="4"/>
        <v>574.37225289514151</v>
      </c>
      <c r="C34" s="22">
        <f t="shared" si="2"/>
        <v>574</v>
      </c>
      <c r="D34" s="22">
        <f t="shared" si="3"/>
        <v>485.74769862870693</v>
      </c>
      <c r="E34" s="34"/>
      <c r="F34" s="34"/>
      <c r="L34" s="35">
        <v>30</v>
      </c>
      <c r="M34" s="36">
        <v>13.94</v>
      </c>
      <c r="N34" s="36">
        <v>20.100000000000001</v>
      </c>
      <c r="O34" s="36">
        <v>13.94</v>
      </c>
      <c r="P34" s="36">
        <f t="shared" si="0"/>
        <v>13.94</v>
      </c>
      <c r="Q34" s="36">
        <f t="shared" si="1"/>
        <v>1116.5939999999998</v>
      </c>
      <c r="R34" s="37"/>
    </row>
    <row r="35" spans="1:18" x14ac:dyDescent="0.35">
      <c r="A35">
        <v>20</v>
      </c>
      <c r="B35" s="34">
        <f t="shared" si="4"/>
        <v>679.1663364071029</v>
      </c>
      <c r="C35" s="22">
        <f t="shared" si="2"/>
        <v>679</v>
      </c>
      <c r="D35" s="22">
        <f t="shared" si="3"/>
        <v>410.79774577160975</v>
      </c>
      <c r="E35" s="34"/>
      <c r="F35" s="34"/>
    </row>
    <row r="36" spans="1:18" x14ac:dyDescent="0.35">
      <c r="A36">
        <v>21</v>
      </c>
      <c r="B36" s="34">
        <f t="shared" si="4"/>
        <v>803.08007600230621</v>
      </c>
      <c r="C36" s="22">
        <f t="shared" si="2"/>
        <v>803</v>
      </c>
      <c r="D36" s="22">
        <f t="shared" si="3"/>
        <v>347.41242914261943</v>
      </c>
      <c r="E36" s="34"/>
      <c r="F36" s="34"/>
    </row>
    <row r="37" spans="1:18" x14ac:dyDescent="0.35">
      <c r="A37">
        <v>22</v>
      </c>
      <c r="B37" s="34">
        <f t="shared" si="4"/>
        <v>949.60184847160065</v>
      </c>
      <c r="C37" s="22">
        <f t="shared" si="2"/>
        <v>950</v>
      </c>
      <c r="D37" s="22">
        <f t="shared" si="3"/>
        <v>293.80734720457377</v>
      </c>
      <c r="E37" s="34"/>
      <c r="F37" s="34"/>
    </row>
    <row r="38" spans="1:18" x14ac:dyDescent="0.35">
      <c r="A38">
        <v>23</v>
      </c>
      <c r="B38" s="34">
        <f t="shared" si="4"/>
        <v>1122.8564841373195</v>
      </c>
      <c r="C38" s="22">
        <f t="shared" si="2"/>
        <v>1123</v>
      </c>
      <c r="D38" s="22">
        <f t="shared" si="3"/>
        <v>248.47342820872947</v>
      </c>
      <c r="E38" s="34"/>
      <c r="F38" s="34"/>
    </row>
    <row r="39" spans="1:18" x14ac:dyDescent="0.35">
      <c r="A39">
        <v>24</v>
      </c>
      <c r="B39" s="34">
        <f t="shared" si="4"/>
        <v>1327.7213876515837</v>
      </c>
      <c r="C39" s="22">
        <f t="shared" si="2"/>
        <v>1328</v>
      </c>
      <c r="D39" s="22">
        <f t="shared" si="3"/>
        <v>210.13444732820327</v>
      </c>
    </row>
    <row r="40" spans="1:18" x14ac:dyDescent="0.35">
      <c r="A40">
        <v>25</v>
      </c>
      <c r="B40" s="34">
        <f t="shared" si="4"/>
        <v>1569.9638450071595</v>
      </c>
      <c r="C40" s="22">
        <f t="shared" si="2"/>
        <v>1570</v>
      </c>
      <c r="D40" s="22">
        <f t="shared" si="3"/>
        <v>177.7110988175198</v>
      </c>
    </row>
    <row r="41" spans="1:18" x14ac:dyDescent="0.35">
      <c r="A41">
        <v>26</v>
      </c>
      <c r="B41" s="34">
        <f t="shared" si="4"/>
        <v>1856.403382180408</v>
      </c>
      <c r="C41" s="22">
        <f t="shared" si="2"/>
        <v>1856</v>
      </c>
      <c r="D41" s="22">
        <f t="shared" si="3"/>
        <v>150.29061177011314</v>
      </c>
    </row>
    <row r="42" spans="1:18" x14ac:dyDescent="0.35">
      <c r="A42">
        <v>27</v>
      </c>
      <c r="B42" s="34">
        <f t="shared" si="4"/>
        <v>2195.1037460707521</v>
      </c>
      <c r="C42" s="22">
        <f t="shared" si="2"/>
        <v>2195</v>
      </c>
      <c r="D42" s="22">
        <f t="shared" si="3"/>
        <v>127.10105410708364</v>
      </c>
    </row>
    <row r="43" spans="1:18" x14ac:dyDescent="0.35">
      <c r="A43">
        <v>28</v>
      </c>
      <c r="B43" s="34">
        <f t="shared" si="4"/>
        <v>2595.5999123177544</v>
      </c>
      <c r="C43" s="22">
        <f t="shared" si="2"/>
        <v>2596</v>
      </c>
      <c r="D43" s="22">
        <f t="shared" si="3"/>
        <v>107.48960141197809</v>
      </c>
    </row>
    <row r="44" spans="1:18" x14ac:dyDescent="0.35">
      <c r="A44">
        <v>29</v>
      </c>
      <c r="B44" s="34">
        <f t="shared" si="4"/>
        <v>3069.1665106414443</v>
      </c>
      <c r="C44" s="22">
        <f t="shared" si="2"/>
        <v>3069</v>
      </c>
      <c r="D44" s="22">
        <f t="shared" si="3"/>
        <v>90.904158843337143</v>
      </c>
    </row>
    <row r="45" spans="1:18" x14ac:dyDescent="0.35">
      <c r="A45">
        <v>30</v>
      </c>
      <c r="B45" s="34">
        <f t="shared" si="4"/>
        <v>3629.1352243233573</v>
      </c>
      <c r="C45" s="22">
        <f t="shared" si="2"/>
        <v>3629</v>
      </c>
      <c r="D45" s="22">
        <f t="shared" si="3"/>
        <v>76.877818751440842</v>
      </c>
    </row>
    <row r="46" spans="1:18" x14ac:dyDescent="0.35">
      <c r="A46">
        <v>38</v>
      </c>
      <c r="B46" s="34">
        <f t="shared" si="4"/>
        <v>4291.2700991488182</v>
      </c>
      <c r="C46" s="22">
        <f t="shared" si="2"/>
        <v>4291</v>
      </c>
      <c r="D46" s="22">
        <f t="shared" si="3"/>
        <v>65.01571645544773</v>
      </c>
    </row>
    <row r="47" spans="1:18" x14ac:dyDescent="0.35">
      <c r="A47">
        <v>50</v>
      </c>
      <c r="B47" s="34">
        <f t="shared" si="4"/>
        <v>5074.2113273781742</v>
      </c>
      <c r="C47" s="22">
        <f t="shared" si="2"/>
        <v>5074</v>
      </c>
      <c r="D47" s="22">
        <f t="shared" si="3"/>
        <v>54.983914149306607</v>
      </c>
    </row>
    <row r="48" spans="1:18" x14ac:dyDescent="0.35">
      <c r="A48">
        <v>70</v>
      </c>
      <c r="B48" s="34">
        <f t="shared" si="4"/>
        <v>6000.0000000000146</v>
      </c>
      <c r="C48" s="22">
        <f t="shared" si="2"/>
        <v>6000</v>
      </c>
      <c r="D48" s="22">
        <f>$B$12*1.5</f>
        <v>46.5</v>
      </c>
      <c r="E48" s="15" t="s">
        <v>47</v>
      </c>
    </row>
    <row r="49" spans="1:31" x14ac:dyDescent="0.35">
      <c r="C49" s="15"/>
      <c r="E49" s="34"/>
      <c r="F49" s="22"/>
      <c r="G49" s="22"/>
    </row>
    <row r="50" spans="1:31" ht="13.15" x14ac:dyDescent="0.4">
      <c r="B50" s="19" t="s">
        <v>48</v>
      </c>
      <c r="E50" s="22"/>
    </row>
    <row r="51" spans="1:31" x14ac:dyDescent="0.35">
      <c r="A51" s="15" t="s">
        <v>49</v>
      </c>
      <c r="B51" s="22">
        <v>4</v>
      </c>
      <c r="C51" s="22">
        <v>5</v>
      </c>
      <c r="D51" s="22">
        <v>6</v>
      </c>
      <c r="E51" s="22">
        <v>7</v>
      </c>
      <c r="F51" s="22">
        <v>8</v>
      </c>
      <c r="G51" s="22">
        <v>9</v>
      </c>
      <c r="H51" s="22">
        <v>10</v>
      </c>
      <c r="I51" s="22">
        <v>11</v>
      </c>
      <c r="J51" s="22">
        <v>12</v>
      </c>
      <c r="K51" s="22">
        <v>13</v>
      </c>
      <c r="L51" s="22">
        <v>14</v>
      </c>
      <c r="M51" s="22">
        <v>15</v>
      </c>
      <c r="N51" s="22">
        <v>16</v>
      </c>
      <c r="O51" s="22">
        <v>17</v>
      </c>
      <c r="P51" s="22">
        <v>18</v>
      </c>
      <c r="Q51" s="22">
        <v>19</v>
      </c>
      <c r="R51" s="22">
        <v>20</v>
      </c>
      <c r="S51" s="22">
        <v>21</v>
      </c>
      <c r="T51" s="22">
        <v>22</v>
      </c>
      <c r="U51" s="22">
        <v>23</v>
      </c>
      <c r="V51" s="22">
        <v>24</v>
      </c>
      <c r="W51" s="22">
        <v>25</v>
      </c>
      <c r="X51" s="22">
        <v>26</v>
      </c>
      <c r="Y51" s="22">
        <v>27</v>
      </c>
      <c r="Z51" s="22">
        <v>28</v>
      </c>
      <c r="AA51" s="22">
        <v>29</v>
      </c>
      <c r="AB51" s="22">
        <v>30</v>
      </c>
      <c r="AC51" s="22">
        <v>38</v>
      </c>
      <c r="AD51" s="22">
        <v>50</v>
      </c>
      <c r="AE51" s="22">
        <v>70</v>
      </c>
    </row>
    <row r="52" spans="1:31" x14ac:dyDescent="0.35">
      <c r="A52" s="15" t="s">
        <v>50</v>
      </c>
      <c r="B52" s="22">
        <f>INT($B19+0.5)</f>
        <v>47</v>
      </c>
      <c r="C52" s="22">
        <f>INT($B20+0.5)</f>
        <v>55</v>
      </c>
      <c r="D52" s="22">
        <f>INT($B21+0.5)</f>
        <v>65</v>
      </c>
      <c r="E52" s="22">
        <f>INT($B22+0.5)</f>
        <v>77</v>
      </c>
      <c r="F52" s="22">
        <f>INT($B23+0.5)</f>
        <v>91</v>
      </c>
      <c r="G52" s="22">
        <f>INT($B24+0.5)</f>
        <v>107</v>
      </c>
      <c r="H52" s="22">
        <f>INT($B25+0.5)</f>
        <v>127</v>
      </c>
      <c r="I52" s="22">
        <f>INT($B26+0.5)</f>
        <v>150</v>
      </c>
      <c r="J52" s="22">
        <f>INT($B27+0.5)</f>
        <v>178</v>
      </c>
      <c r="K52" s="22">
        <f>INT($B28+0.5)</f>
        <v>210</v>
      </c>
      <c r="L52" s="22">
        <f>INT($B29+0.5)</f>
        <v>248</v>
      </c>
      <c r="M52" s="22">
        <f>INT($B30+0.5)</f>
        <v>294</v>
      </c>
      <c r="N52" s="22">
        <f>INT($B31+0.5)</f>
        <v>347</v>
      </c>
      <c r="O52" s="22">
        <f>INT($B32+0.5)</f>
        <v>411</v>
      </c>
      <c r="P52" s="22">
        <f>INT($B33+0.5)</f>
        <v>486</v>
      </c>
      <c r="Q52" s="22">
        <f>INT($B34+0.5)</f>
        <v>574</v>
      </c>
      <c r="R52" s="22">
        <f>INT($B35+0.5)</f>
        <v>679</v>
      </c>
      <c r="S52" s="22">
        <f>INT($B36+0.5)</f>
        <v>803</v>
      </c>
      <c r="T52" s="22">
        <f>INT($B37+0.5)</f>
        <v>950</v>
      </c>
      <c r="U52" s="22">
        <f>INT($B38+0.5)</f>
        <v>1123</v>
      </c>
      <c r="V52" s="22">
        <f>INT($B39+0.5)</f>
        <v>1328</v>
      </c>
      <c r="W52" s="22">
        <f>INT($B40+0.5)</f>
        <v>1570</v>
      </c>
      <c r="X52" s="22">
        <f>INT($B41+0.5)</f>
        <v>1856</v>
      </c>
      <c r="Y52" s="22">
        <f>INT($B42+0.5)</f>
        <v>2195</v>
      </c>
      <c r="Z52" s="22">
        <f>INT($B43+0.5)</f>
        <v>2596</v>
      </c>
      <c r="AA52" s="22">
        <f>INT($B44+0.5)</f>
        <v>3069</v>
      </c>
      <c r="AB52" s="22">
        <f>INT($B45+0.5)</f>
        <v>3629</v>
      </c>
      <c r="AC52" s="22">
        <f>INT($B46+0.5)</f>
        <v>4291</v>
      </c>
      <c r="AD52" s="22">
        <f>INT($B47+0.5)</f>
        <v>5074</v>
      </c>
      <c r="AE52" s="22">
        <f>INT($B48+0.5)</f>
        <v>6000</v>
      </c>
    </row>
    <row r="54" spans="1:31" ht="36.4" x14ac:dyDescent="0.35">
      <c r="A54" s="1" t="s">
        <v>51</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Q5:Q34">
    <cfRule type="cellIs" dxfId="6" priority="1" operator="greaterThan">
      <formula>1000</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1D5CF-FEC8-4B7E-8030-3ADC17EE5D96}">
  <sheetPr codeName="Sheet5"/>
  <dimension ref="A1:AW100"/>
  <sheetViews>
    <sheetView tabSelected="1" zoomScale="55" zoomScaleNormal="55" workbookViewId="0"/>
  </sheetViews>
  <sheetFormatPr defaultColWidth="11.53125" defaultRowHeight="12.75" x14ac:dyDescent="0.35"/>
  <cols>
    <col min="12" max="12" width="12.3984375" customWidth="1"/>
  </cols>
  <sheetData>
    <row r="1" spans="1:49" x14ac:dyDescent="0.35">
      <c r="A1" t="s">
        <v>52</v>
      </c>
    </row>
    <row r="2" spans="1:49" ht="40.15" x14ac:dyDescent="0.4">
      <c r="A2" s="38" t="s">
        <v>53</v>
      </c>
      <c r="B2" s="38"/>
      <c r="C2" s="38"/>
      <c r="D2" s="38"/>
      <c r="E2" s="38"/>
      <c r="H2" s="39" t="s">
        <v>54</v>
      </c>
    </row>
    <row r="3" spans="1:49" ht="13.15" x14ac:dyDescent="0.4">
      <c r="A3" t="s">
        <v>55</v>
      </c>
      <c r="B3" s="40" t="s">
        <v>28</v>
      </c>
      <c r="D3" t="s">
        <v>56</v>
      </c>
      <c r="E3" s="41">
        <f>'Clause 6'!$G$11</f>
        <v>1</v>
      </c>
    </row>
    <row r="4" spans="1:49" ht="18.100000000000001" customHeight="1" x14ac:dyDescent="1.05">
      <c r="A4" s="41" t="s">
        <v>10</v>
      </c>
      <c r="B4" s="42">
        <v>46009</v>
      </c>
      <c r="O4" s="43"/>
    </row>
    <row r="5" spans="1:49" ht="13.15" x14ac:dyDescent="0.4">
      <c r="A5" s="41" t="s">
        <v>5</v>
      </c>
      <c r="B5" s="44" t="s">
        <v>6</v>
      </c>
      <c r="O5" s="45"/>
    </row>
    <row r="6" spans="1:49" ht="13.15" x14ac:dyDescent="0.4">
      <c r="A6" t="s">
        <v>57</v>
      </c>
      <c r="B6" s="46" t="str">
        <f ca="1">RIGHT(CELL("filename"),1)</f>
        <v>s</v>
      </c>
      <c r="C6" s="41"/>
      <c r="D6" s="41"/>
      <c r="E6" s="41"/>
      <c r="F6" s="41"/>
    </row>
    <row r="7" spans="1:49" ht="14.65" x14ac:dyDescent="0.5">
      <c r="B7" s="19" t="s">
        <v>58</v>
      </c>
      <c r="C7" s="19" t="s">
        <v>59</v>
      </c>
      <c r="D7" s="19" t="s">
        <v>60</v>
      </c>
      <c r="E7" s="19" t="s">
        <v>61</v>
      </c>
      <c r="F7" s="19" t="s">
        <v>62</v>
      </c>
      <c r="G7" s="19" t="s">
        <v>63</v>
      </c>
      <c r="H7" s="19" t="s">
        <v>64</v>
      </c>
      <c r="I7" s="19" t="s">
        <v>65</v>
      </c>
      <c r="J7" s="19" t="s">
        <v>66</v>
      </c>
      <c r="K7" s="19" t="s">
        <v>67</v>
      </c>
      <c r="L7" s="19" t="s">
        <v>68</v>
      </c>
      <c r="M7" s="19" t="s">
        <v>69</v>
      </c>
      <c r="O7" s="19" t="s">
        <v>58</v>
      </c>
      <c r="P7" s="19" t="s">
        <v>59</v>
      </c>
      <c r="Q7" s="19" t="s">
        <v>60</v>
      </c>
      <c r="R7" s="19" t="s">
        <v>61</v>
      </c>
      <c r="S7" s="19" t="s">
        <v>62</v>
      </c>
    </row>
    <row r="8" spans="1:49" ht="13.15" x14ac:dyDescent="0.4">
      <c r="A8" s="15" t="s">
        <v>70</v>
      </c>
      <c r="B8" s="47">
        <f>B52</f>
        <v>5.0462610000000003</v>
      </c>
      <c r="C8" s="47">
        <f>C52</f>
        <v>5.6930870000000002</v>
      </c>
      <c r="D8" s="47">
        <f>D52</f>
        <v>5.6217810000000004</v>
      </c>
      <c r="E8" s="47">
        <f>E52</f>
        <v>5.6694240000000002</v>
      </c>
      <c r="F8" s="47">
        <f>F52</f>
        <v>5.6696869999999997</v>
      </c>
      <c r="G8" s="48">
        <f>AVERAGE(B$8:F$8)*5</f>
        <v>27.700239999999997</v>
      </c>
      <c r="I8" s="49"/>
      <c r="K8" s="49"/>
    </row>
    <row r="9" spans="1:49" ht="13.15" x14ac:dyDescent="0.4">
      <c r="A9" s="15" t="s">
        <v>71</v>
      </c>
      <c r="B9" s="22">
        <f>B53</f>
        <v>12580.402344</v>
      </c>
      <c r="C9" s="22">
        <f t="shared" ref="C9:F9" si="0">C53</f>
        <v>11835.758789</v>
      </c>
      <c r="D9" s="22">
        <f t="shared" si="0"/>
        <v>12467.934569999999</v>
      </c>
      <c r="E9" s="22">
        <f t="shared" si="0"/>
        <v>12081.651367</v>
      </c>
      <c r="F9" s="22">
        <f t="shared" si="0"/>
        <v>12443.544921999999</v>
      </c>
      <c r="G9" s="50">
        <f t="shared" ref="G9:G38" si="1">AVERAGE(B9:F9)</f>
        <v>12281.8583984</v>
      </c>
      <c r="H9" s="51">
        <f t="shared" ref="H9:H38" si="2">G9*G$8</f>
        <v>340210.42528169556</v>
      </c>
      <c r="I9" s="49">
        <f t="shared" ref="I9:I38" si="3">STDEVP(B9:F9)/AVERAGE(B9:F9)</f>
        <v>2.2709954605529319E-2</v>
      </c>
      <c r="J9" s="49">
        <f t="shared" ref="J9:J38" si="4">IF(H9&gt;$A$43, $C$43, IF(H9&gt;$A$44, $C$44, IF(H9&gt;$A$45,$C$45,IF(H9&gt;$A$46,$C$46, IF(H9&gt;$A$47,$C$47,IF(H9&gt;$A$48,$C$48,$C$49))))))/100</f>
        <v>0.11</v>
      </c>
      <c r="K9" s="49">
        <f t="shared" ref="K9:K38" si="5">(MAX(B9:F9)-MIN(B9:F9))/G9</f>
        <v>6.0629550581450108E-2</v>
      </c>
      <c r="L9" s="22">
        <f>G9/'Clause 6'!$G$11</f>
        <v>12281.8583984</v>
      </c>
      <c r="M9">
        <f t="shared" ref="M9:M38" si="6">COUNTA(B9:F9)</f>
        <v>5</v>
      </c>
      <c r="O9" s="52">
        <f>IF(ISNUMBER(B9), (B9/$G9-1), 0)</f>
        <v>2.430771760394923E-2</v>
      </c>
      <c r="P9" s="52">
        <f t="shared" ref="P9:S38" si="7">IF(ISNUMBER(C9), (C9/$G9-1), 0)</f>
        <v>-3.6321832977500801E-2</v>
      </c>
      <c r="Q9" s="52">
        <f t="shared" si="7"/>
        <v>1.5150489898519082E-2</v>
      </c>
      <c r="R9" s="52">
        <f t="shared" si="7"/>
        <v>-1.6301037262087426E-2</v>
      </c>
      <c r="S9" s="52">
        <f t="shared" si="7"/>
        <v>1.3164662737119803E-2</v>
      </c>
    </row>
    <row r="10" spans="1:49" ht="13.15" x14ac:dyDescent="0.4">
      <c r="A10" s="15" t="s">
        <v>72</v>
      </c>
      <c r="B10" s="22">
        <f t="shared" ref="B10:F25" si="8">B54</f>
        <v>11118.528319999999</v>
      </c>
      <c r="C10" s="22">
        <f t="shared" si="8"/>
        <v>10489.564453000001</v>
      </c>
      <c r="D10" s="22">
        <f t="shared" si="8"/>
        <v>11059.662109000001</v>
      </c>
      <c r="E10" s="22">
        <f t="shared" si="8"/>
        <v>10677.628906</v>
      </c>
      <c r="F10" s="22">
        <f t="shared" si="8"/>
        <v>10988.084961</v>
      </c>
      <c r="G10" s="50">
        <f t="shared" si="1"/>
        <v>10866.693749800001</v>
      </c>
      <c r="H10" s="51">
        <f t="shared" si="2"/>
        <v>301010.02487595996</v>
      </c>
      <c r="I10" s="49">
        <f t="shared" si="3"/>
        <v>2.22906088696995E-2</v>
      </c>
      <c r="J10" s="49">
        <f t="shared" si="4"/>
        <v>0.11</v>
      </c>
      <c r="K10" s="49">
        <f t="shared" si="5"/>
        <v>5.78799662051371E-2</v>
      </c>
      <c r="L10" s="22">
        <f>G10/'Clause 6'!$G$11</f>
        <v>10866.693749800001</v>
      </c>
      <c r="M10">
        <f t="shared" si="6"/>
        <v>5</v>
      </c>
      <c r="O10" s="52">
        <f t="shared" ref="O10:O38" si="9">IF(ISNUMBER(B10), (B10/$G10-1), 0)</f>
        <v>2.3174902688744003E-2</v>
      </c>
      <c r="P10" s="52">
        <f t="shared" si="7"/>
        <v>-3.470506351639302E-2</v>
      </c>
      <c r="Q10" s="52">
        <f t="shared" si="7"/>
        <v>1.7757780208313312E-2</v>
      </c>
      <c r="R10" s="52">
        <f t="shared" si="7"/>
        <v>-1.7398561895008768E-2</v>
      </c>
      <c r="S10" s="52">
        <f t="shared" si="7"/>
        <v>1.1170942514344251E-2</v>
      </c>
    </row>
    <row r="11" spans="1:49" ht="13.15" x14ac:dyDescent="0.4">
      <c r="A11" s="15" t="s">
        <v>73</v>
      </c>
      <c r="B11" s="22">
        <f t="shared" si="8"/>
        <v>9738.8935550000006</v>
      </c>
      <c r="C11" s="22">
        <f t="shared" si="8"/>
        <v>9220.8330079999996</v>
      </c>
      <c r="D11" s="22">
        <f t="shared" si="8"/>
        <v>9703.6855469999991</v>
      </c>
      <c r="E11" s="22">
        <f t="shared" si="8"/>
        <v>9350.8623050000006</v>
      </c>
      <c r="F11" s="22">
        <f t="shared" si="8"/>
        <v>9615.1699219999991</v>
      </c>
      <c r="G11" s="50">
        <f t="shared" si="1"/>
        <v>9525.8888674000009</v>
      </c>
      <c r="H11" s="51">
        <f t="shared" si="2"/>
        <v>263869.40784030815</v>
      </c>
      <c r="I11" s="49">
        <f t="shared" si="3"/>
        <v>2.1444489055703828E-2</v>
      </c>
      <c r="J11" s="49">
        <f t="shared" si="4"/>
        <v>0.11</v>
      </c>
      <c r="K11" s="49">
        <f t="shared" si="5"/>
        <v>5.4384483612120969E-2</v>
      </c>
      <c r="L11" s="22">
        <f>G11/'Clause 6'!$G$11</f>
        <v>9525.8888674000009</v>
      </c>
      <c r="M11">
        <f t="shared" si="6"/>
        <v>5</v>
      </c>
      <c r="O11" s="52">
        <f t="shared" si="9"/>
        <v>2.2360610181896501E-2</v>
      </c>
      <c r="P11" s="52">
        <f t="shared" si="7"/>
        <v>-3.2023873430224392E-2</v>
      </c>
      <c r="Q11" s="52">
        <f t="shared" si="7"/>
        <v>1.8664576300954305E-2</v>
      </c>
      <c r="R11" s="52">
        <f t="shared" si="7"/>
        <v>-1.8373777485373055E-2</v>
      </c>
      <c r="S11" s="52">
        <f t="shared" si="7"/>
        <v>9.372464432745975E-3</v>
      </c>
    </row>
    <row r="12" spans="1:49" ht="13.15" x14ac:dyDescent="0.4">
      <c r="A12" s="15" t="s">
        <v>74</v>
      </c>
      <c r="B12" s="22">
        <f t="shared" si="8"/>
        <v>8515.4130860000005</v>
      </c>
      <c r="C12" s="22">
        <f t="shared" si="8"/>
        <v>8065.3964839999999</v>
      </c>
      <c r="D12" s="22">
        <f t="shared" si="8"/>
        <v>8484.8554690000001</v>
      </c>
      <c r="E12" s="22">
        <f t="shared" si="8"/>
        <v>8144.5668949999999</v>
      </c>
      <c r="F12" s="22">
        <f t="shared" si="8"/>
        <v>8390.7636719999991</v>
      </c>
      <c r="G12" s="50">
        <f t="shared" si="1"/>
        <v>8320.1991211999994</v>
      </c>
      <c r="H12" s="51">
        <f t="shared" si="2"/>
        <v>230471.51250502904</v>
      </c>
      <c r="I12" s="49">
        <f t="shared" si="3"/>
        <v>2.1897618770674147E-2</v>
      </c>
      <c r="J12" s="49">
        <f t="shared" si="4"/>
        <v>0.11</v>
      </c>
      <c r="K12" s="49">
        <f t="shared" si="5"/>
        <v>5.4087239433170675E-2</v>
      </c>
      <c r="L12" s="22">
        <f>G12/'Clause 6'!$G$11</f>
        <v>8320.1991211999994</v>
      </c>
      <c r="M12">
        <f t="shared" si="6"/>
        <v>5</v>
      </c>
      <c r="O12" s="52">
        <f t="shared" si="9"/>
        <v>2.3462655395180665E-2</v>
      </c>
      <c r="P12" s="52">
        <f t="shared" si="7"/>
        <v>-3.0624584037989955E-2</v>
      </c>
      <c r="Q12" s="52">
        <f t="shared" si="7"/>
        <v>1.9789952788564102E-2</v>
      </c>
      <c r="R12" s="52">
        <f t="shared" si="7"/>
        <v>-2.1109137370581177E-2</v>
      </c>
      <c r="S12" s="52">
        <f t="shared" si="7"/>
        <v>8.4811132248265864E-3</v>
      </c>
    </row>
    <row r="13" spans="1:49" ht="13.15" x14ac:dyDescent="0.4">
      <c r="A13" s="15" t="s">
        <v>75</v>
      </c>
      <c r="B13" s="22">
        <f t="shared" si="8"/>
        <v>7446.701172</v>
      </c>
      <c r="C13" s="22">
        <f t="shared" si="8"/>
        <v>7023.7822269999997</v>
      </c>
      <c r="D13" s="22">
        <f t="shared" si="8"/>
        <v>7390.1840819999998</v>
      </c>
      <c r="E13" s="22">
        <f t="shared" si="8"/>
        <v>7073.2060549999997</v>
      </c>
      <c r="F13" s="22">
        <f t="shared" si="8"/>
        <v>7291.9370120000003</v>
      </c>
      <c r="G13" s="50">
        <f t="shared" si="1"/>
        <v>7245.1621095999999</v>
      </c>
      <c r="H13" s="51">
        <f t="shared" si="2"/>
        <v>200692.72927482627</v>
      </c>
      <c r="I13" s="49">
        <f t="shared" si="3"/>
        <v>2.3294052756207273E-2</v>
      </c>
      <c r="J13" s="49">
        <f t="shared" si="4"/>
        <v>0.11</v>
      </c>
      <c r="K13" s="49">
        <f t="shared" si="5"/>
        <v>5.8372599343170448E-2</v>
      </c>
      <c r="L13" s="22">
        <f>G13/'Clause 6'!$G$11</f>
        <v>7245.1621095999999</v>
      </c>
      <c r="M13">
        <f t="shared" si="6"/>
        <v>5</v>
      </c>
      <c r="O13" s="52">
        <f t="shared" si="9"/>
        <v>2.7817053552598336E-2</v>
      </c>
      <c r="P13" s="52">
        <f t="shared" si="7"/>
        <v>-3.055554579057207E-2</v>
      </c>
      <c r="Q13" s="52">
        <f t="shared" si="7"/>
        <v>2.0016387515724876E-2</v>
      </c>
      <c r="R13" s="52">
        <f t="shared" si="7"/>
        <v>-2.3733914024111957E-2</v>
      </c>
      <c r="S13" s="52">
        <f t="shared" si="7"/>
        <v>6.4560187463607033E-3</v>
      </c>
    </row>
    <row r="14" spans="1:49" ht="13.15" x14ac:dyDescent="0.4">
      <c r="A14" s="15" t="s">
        <v>76</v>
      </c>
      <c r="B14" s="22">
        <f t="shared" si="8"/>
        <v>6502.4375</v>
      </c>
      <c r="C14" s="22">
        <f t="shared" si="8"/>
        <v>6107.4077150000003</v>
      </c>
      <c r="D14" s="22">
        <f t="shared" si="8"/>
        <v>6408.111328</v>
      </c>
      <c r="E14" s="22">
        <f t="shared" si="8"/>
        <v>6140.8359380000002</v>
      </c>
      <c r="F14" s="22">
        <f t="shared" si="8"/>
        <v>6310.2250979999999</v>
      </c>
      <c r="G14" s="50">
        <f t="shared" si="1"/>
        <v>6293.8035158000002</v>
      </c>
      <c r="H14" s="51">
        <f t="shared" si="2"/>
        <v>174339.86790050377</v>
      </c>
      <c r="I14" s="49">
        <f t="shared" si="3"/>
        <v>2.4097007906467457E-2</v>
      </c>
      <c r="J14" s="49">
        <f t="shared" si="4"/>
        <v>0.11</v>
      </c>
      <c r="K14" s="49">
        <f t="shared" si="5"/>
        <v>6.2764874055619105E-2</v>
      </c>
      <c r="L14" s="22">
        <f>G14/'Clause 6'!$G$11</f>
        <v>6293.8035158000002</v>
      </c>
      <c r="M14">
        <f t="shared" si="6"/>
        <v>5</v>
      </c>
      <c r="O14" s="52">
        <f t="shared" si="9"/>
        <v>3.3149109862779191E-2</v>
      </c>
      <c r="P14" s="52">
        <f t="shared" si="7"/>
        <v>-2.9615764192839955E-2</v>
      </c>
      <c r="Q14" s="52">
        <f t="shared" si="7"/>
        <v>1.8161960714699887E-2</v>
      </c>
      <c r="R14" s="52">
        <f t="shared" si="7"/>
        <v>-2.4304473029065687E-2</v>
      </c>
      <c r="S14" s="52">
        <f t="shared" si="7"/>
        <v>2.6091666444265638E-3</v>
      </c>
    </row>
    <row r="15" spans="1:49" ht="13.15" x14ac:dyDescent="0.4">
      <c r="A15" s="15" t="s">
        <v>77</v>
      </c>
      <c r="B15" s="22">
        <f t="shared" si="8"/>
        <v>5575.216797</v>
      </c>
      <c r="C15" s="22">
        <f t="shared" si="8"/>
        <v>5233.8920900000003</v>
      </c>
      <c r="D15" s="22">
        <f t="shared" si="8"/>
        <v>5489.185547</v>
      </c>
      <c r="E15" s="22">
        <f t="shared" si="8"/>
        <v>5234.0419920000004</v>
      </c>
      <c r="F15" s="22">
        <f t="shared" si="8"/>
        <v>5412.4682620000003</v>
      </c>
      <c r="G15" s="50">
        <f t="shared" si="1"/>
        <v>5388.9609376000008</v>
      </c>
      <c r="H15" s="51">
        <f t="shared" si="2"/>
        <v>149275.51132214503</v>
      </c>
      <c r="I15" s="49">
        <f t="shared" si="3"/>
        <v>2.5353172940718191E-2</v>
      </c>
      <c r="J15" s="49">
        <f t="shared" si="4"/>
        <v>0.11</v>
      </c>
      <c r="K15" s="49">
        <f t="shared" si="5"/>
        <v>6.3337758605466962E-2</v>
      </c>
      <c r="L15" s="22">
        <f>G15/'Clause 6'!$G$11</f>
        <v>5388.9609376000008</v>
      </c>
      <c r="M15">
        <f t="shared" si="6"/>
        <v>5</v>
      </c>
      <c r="O15" s="52">
        <f t="shared" si="9"/>
        <v>3.4562480885776958E-2</v>
      </c>
      <c r="P15" s="52">
        <f t="shared" si="7"/>
        <v>-2.8775277719689907E-2</v>
      </c>
      <c r="Q15" s="52">
        <f t="shared" si="7"/>
        <v>1.8598132471272733E-2</v>
      </c>
      <c r="R15" s="52">
        <f t="shared" si="7"/>
        <v>-2.8747461225613224E-2</v>
      </c>
      <c r="S15" s="52">
        <f t="shared" si="7"/>
        <v>4.3621255882526633E-3</v>
      </c>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row>
    <row r="16" spans="1:49" ht="13.15" x14ac:dyDescent="0.4">
      <c r="A16" s="15" t="s">
        <v>78</v>
      </c>
      <c r="B16" s="22">
        <f t="shared" si="8"/>
        <v>4739.9448240000002</v>
      </c>
      <c r="C16" s="22">
        <f t="shared" si="8"/>
        <v>4463.6596680000002</v>
      </c>
      <c r="D16" s="22">
        <f t="shared" si="8"/>
        <v>4684.2802730000003</v>
      </c>
      <c r="E16" s="22">
        <f t="shared" si="8"/>
        <v>4449.6586909999996</v>
      </c>
      <c r="F16" s="22">
        <f t="shared" si="8"/>
        <v>4614.1879879999997</v>
      </c>
      <c r="G16" s="50">
        <f t="shared" si="1"/>
        <v>4590.3462887999995</v>
      </c>
      <c r="H16" s="51">
        <f t="shared" si="2"/>
        <v>127153.69388286928</v>
      </c>
      <c r="I16" s="49">
        <f t="shared" si="3"/>
        <v>2.5333117633181832E-2</v>
      </c>
      <c r="J16" s="49">
        <f t="shared" si="4"/>
        <v>0.11</v>
      </c>
      <c r="K16" s="49">
        <f t="shared" si="5"/>
        <v>6.3238395261871763E-2</v>
      </c>
      <c r="L16" s="22">
        <f>G16/'Clause 6'!$G$11</f>
        <v>4590.3462887999995</v>
      </c>
      <c r="M16">
        <f t="shared" si="6"/>
        <v>5</v>
      </c>
      <c r="O16" s="52">
        <f t="shared" si="9"/>
        <v>3.2589814752104207E-2</v>
      </c>
      <c r="P16" s="52">
        <f t="shared" si="7"/>
        <v>-2.7598488834949642E-2</v>
      </c>
      <c r="Q16" s="52">
        <f t="shared" si="7"/>
        <v>2.0463376462292349E-2</v>
      </c>
      <c r="R16" s="52">
        <f t="shared" si="7"/>
        <v>-3.0648580509767598E-2</v>
      </c>
      <c r="S16" s="52">
        <f t="shared" si="7"/>
        <v>5.1938781303213499E-3</v>
      </c>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row>
    <row r="17" spans="1:49" ht="13.15" x14ac:dyDescent="0.4">
      <c r="A17" s="15" t="s">
        <v>79</v>
      </c>
      <c r="B17" s="22">
        <f t="shared" si="8"/>
        <v>3969.0771479999999</v>
      </c>
      <c r="C17" s="22">
        <f t="shared" si="8"/>
        <v>3752.7973630000001</v>
      </c>
      <c r="D17" s="22">
        <f t="shared" si="8"/>
        <v>3914.2397460000002</v>
      </c>
      <c r="E17" s="22">
        <f t="shared" si="8"/>
        <v>3732.6545409999999</v>
      </c>
      <c r="F17" s="22">
        <f t="shared" si="8"/>
        <v>3840.9528810000002</v>
      </c>
      <c r="G17" s="50">
        <f t="shared" si="1"/>
        <v>3841.9443358000003</v>
      </c>
      <c r="H17" s="51">
        <f t="shared" si="2"/>
        <v>106422.7801683006</v>
      </c>
      <c r="I17" s="49">
        <f t="shared" si="3"/>
        <v>2.3650659711663434E-2</v>
      </c>
      <c r="J17" s="49">
        <f t="shared" si="4"/>
        <v>0.11</v>
      </c>
      <c r="K17" s="49">
        <f t="shared" si="5"/>
        <v>6.1537228636283761E-2</v>
      </c>
      <c r="L17" s="22">
        <f>G17/'Clause 6'!$G$11</f>
        <v>3841.9443358000003</v>
      </c>
      <c r="M17">
        <f t="shared" si="6"/>
        <v>5</v>
      </c>
      <c r="O17" s="52">
        <f t="shared" si="9"/>
        <v>3.3090748092144517E-2</v>
      </c>
      <c r="P17" s="52">
        <f t="shared" si="7"/>
        <v>-2.3203608644016827E-2</v>
      </c>
      <c r="Q17" s="52">
        <f t="shared" si="7"/>
        <v>1.88174017843874E-2</v>
      </c>
      <c r="R17" s="52">
        <f t="shared" si="7"/>
        <v>-2.844648054413923E-2</v>
      </c>
      <c r="S17" s="52">
        <f t="shared" si="7"/>
        <v>-2.580606883763048E-4</v>
      </c>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row>
    <row r="18" spans="1:49" ht="13.15" x14ac:dyDescent="0.4">
      <c r="A18" s="15" t="s">
        <v>80</v>
      </c>
      <c r="B18" s="22">
        <f t="shared" si="8"/>
        <v>3282.6281739999999</v>
      </c>
      <c r="C18" s="22">
        <f t="shared" si="8"/>
        <v>3104.2915039999998</v>
      </c>
      <c r="D18" s="22">
        <f t="shared" si="8"/>
        <v>3240.076172</v>
      </c>
      <c r="E18" s="22">
        <f t="shared" si="8"/>
        <v>3093.7890619999998</v>
      </c>
      <c r="F18" s="22">
        <f t="shared" si="8"/>
        <v>3177.9533689999998</v>
      </c>
      <c r="G18" s="50">
        <f t="shared" si="1"/>
        <v>3179.7476561999997</v>
      </c>
      <c r="H18" s="51">
        <f t="shared" si="2"/>
        <v>88079.773216177477</v>
      </c>
      <c r="I18" s="49">
        <f t="shared" si="3"/>
        <v>2.3242374625052666E-2</v>
      </c>
      <c r="J18" s="49">
        <f t="shared" si="4"/>
        <v>0.11</v>
      </c>
      <c r="K18" s="49">
        <f t="shared" si="5"/>
        <v>5.9388081199397702E-2</v>
      </c>
      <c r="L18" s="22">
        <f>G18/'Clause 6'!$G$11</f>
        <v>3179.7476561999997</v>
      </c>
      <c r="M18">
        <f t="shared" si="6"/>
        <v>5</v>
      </c>
      <c r="O18" s="52">
        <f t="shared" si="9"/>
        <v>3.2354931561754396E-2</v>
      </c>
      <c r="P18" s="52">
        <f t="shared" si="7"/>
        <v>-2.3730232822995356E-2</v>
      </c>
      <c r="Q18" s="52">
        <f t="shared" si="7"/>
        <v>1.8972736934759427E-2</v>
      </c>
      <c r="R18" s="52">
        <f t="shared" si="7"/>
        <v>-2.703314963764325E-2</v>
      </c>
      <c r="S18" s="52">
        <f t="shared" si="7"/>
        <v>-5.642860358749946E-4</v>
      </c>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row>
    <row r="19" spans="1:49" ht="13.15" x14ac:dyDescent="0.4">
      <c r="A19" s="15" t="s">
        <v>81</v>
      </c>
      <c r="B19" s="22">
        <f t="shared" si="8"/>
        <v>2692.4882809999999</v>
      </c>
      <c r="C19" s="22">
        <f t="shared" si="8"/>
        <v>2537.1123050000001</v>
      </c>
      <c r="D19" s="22">
        <f t="shared" si="8"/>
        <v>2656.6313479999999</v>
      </c>
      <c r="E19" s="22">
        <f t="shared" si="8"/>
        <v>2519.6564939999998</v>
      </c>
      <c r="F19" s="22">
        <f t="shared" si="8"/>
        <v>2582.858643</v>
      </c>
      <c r="G19" s="50">
        <f t="shared" si="1"/>
        <v>2597.7494142</v>
      </c>
      <c r="H19" s="51">
        <f t="shared" si="2"/>
        <v>71958.282233199396</v>
      </c>
      <c r="I19" s="49">
        <f t="shared" si="3"/>
        <v>2.5788472559218348E-2</v>
      </c>
      <c r="J19" s="49">
        <f t="shared" si="4"/>
        <v>0.11</v>
      </c>
      <c r="K19" s="49">
        <f t="shared" si="5"/>
        <v>6.6531354431360795E-2</v>
      </c>
      <c r="L19" s="22">
        <f>G19/'Clause 6'!$G$11</f>
        <v>2597.7494142</v>
      </c>
      <c r="M19">
        <f t="shared" si="6"/>
        <v>5</v>
      </c>
      <c r="O19" s="52">
        <f t="shared" si="9"/>
        <v>3.6469594134881378E-2</v>
      </c>
      <c r="P19" s="52">
        <f t="shared" si="7"/>
        <v>-2.3342170291153264E-2</v>
      </c>
      <c r="Q19" s="52">
        <f t="shared" si="7"/>
        <v>2.266651797826813E-2</v>
      </c>
      <c r="R19" s="52">
        <f t="shared" si="7"/>
        <v>-3.0061760296479445E-2</v>
      </c>
      <c r="S19" s="52">
        <f t="shared" si="7"/>
        <v>-5.7321815255170216E-3</v>
      </c>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row>
    <row r="20" spans="1:49" ht="13.15" x14ac:dyDescent="0.4">
      <c r="A20" s="15" t="s">
        <v>82</v>
      </c>
      <c r="B20" s="22">
        <f t="shared" si="8"/>
        <v>2141.3872070000002</v>
      </c>
      <c r="C20" s="22">
        <f t="shared" si="8"/>
        <v>2029.830322</v>
      </c>
      <c r="D20" s="22">
        <f t="shared" si="8"/>
        <v>2116.766846</v>
      </c>
      <c r="E20" s="22">
        <f t="shared" si="8"/>
        <v>1997.5576169999999</v>
      </c>
      <c r="F20" s="22">
        <f t="shared" si="8"/>
        <v>2056.7272950000001</v>
      </c>
      <c r="G20" s="50">
        <f t="shared" si="1"/>
        <v>2068.4538574000003</v>
      </c>
      <c r="H20" s="51">
        <f t="shared" si="2"/>
        <v>57296.668278905781</v>
      </c>
      <c r="I20" s="49">
        <f t="shared" si="3"/>
        <v>2.586268289658725E-2</v>
      </c>
      <c r="J20" s="49">
        <f t="shared" si="4"/>
        <v>0.11</v>
      </c>
      <c r="K20" s="49">
        <f t="shared" si="5"/>
        <v>6.9534831287361099E-2</v>
      </c>
      <c r="L20" s="22">
        <f>G20/'Clause 6'!$G$11</f>
        <v>2068.4538574000003</v>
      </c>
      <c r="M20">
        <f t="shared" si="6"/>
        <v>5</v>
      </c>
      <c r="O20" s="52">
        <f t="shared" si="9"/>
        <v>3.5259838811041E-2</v>
      </c>
      <c r="P20" s="52">
        <f t="shared" si="7"/>
        <v>-1.8672659900931587E-2</v>
      </c>
      <c r="Q20" s="52">
        <f t="shared" si="7"/>
        <v>2.3357054075515249E-2</v>
      </c>
      <c r="R20" s="52">
        <f t="shared" si="7"/>
        <v>-3.4274992476320154E-2</v>
      </c>
      <c r="S20" s="52">
        <f t="shared" si="7"/>
        <v>-5.6692405093049514E-3</v>
      </c>
      <c r="T20" s="15"/>
      <c r="U20" s="15"/>
      <c r="V20" s="15"/>
      <c r="W20" s="15"/>
      <c r="X20" s="15"/>
      <c r="Y20" s="15"/>
      <c r="Z20" s="15"/>
      <c r="AA20" s="15"/>
      <c r="AB20" s="15"/>
      <c r="AC20" s="15"/>
      <c r="AD20" s="15"/>
      <c r="AE20" s="15"/>
      <c r="AF20" s="15"/>
      <c r="AG20" s="15"/>
      <c r="AH20" s="15"/>
      <c r="AI20" s="15"/>
      <c r="AJ20" s="15"/>
      <c r="AK20" s="15"/>
      <c r="AL20" s="15"/>
      <c r="AM20" s="15"/>
      <c r="AN20" s="15"/>
      <c r="AO20" s="15"/>
      <c r="AP20" s="15"/>
      <c r="AQ20" s="15"/>
      <c r="AR20" s="15"/>
      <c r="AS20" s="15"/>
      <c r="AT20" s="15"/>
      <c r="AU20" s="15"/>
      <c r="AV20" s="15"/>
      <c r="AW20" s="15"/>
    </row>
    <row r="21" spans="1:49" ht="13.15" x14ac:dyDescent="0.4">
      <c r="A21" s="15" t="s">
        <v>83</v>
      </c>
      <c r="B21" s="22">
        <f t="shared" si="8"/>
        <v>1696.305298</v>
      </c>
      <c r="C21" s="22">
        <f t="shared" si="8"/>
        <v>1596.848999</v>
      </c>
      <c r="D21" s="22">
        <f t="shared" si="8"/>
        <v>1668.510254</v>
      </c>
      <c r="E21" s="22">
        <f t="shared" si="8"/>
        <v>1559.946899</v>
      </c>
      <c r="F21" s="22">
        <f t="shared" si="8"/>
        <v>1621.7827150000001</v>
      </c>
      <c r="G21" s="50">
        <f t="shared" si="1"/>
        <v>1628.6788330000002</v>
      </c>
      <c r="H21" s="51">
        <f t="shared" si="2"/>
        <v>45114.794557019923</v>
      </c>
      <c r="I21" s="49">
        <f t="shared" si="3"/>
        <v>3.0010023804328288E-2</v>
      </c>
      <c r="J21" s="49">
        <f t="shared" si="4"/>
        <v>0.11</v>
      </c>
      <c r="K21" s="49">
        <f t="shared" si="5"/>
        <v>8.3723319930934445E-2</v>
      </c>
      <c r="L21" s="22">
        <f>G21/'Clause 6'!$G$11</f>
        <v>1628.6788330000002</v>
      </c>
      <c r="M21">
        <f t="shared" si="6"/>
        <v>5</v>
      </c>
      <c r="O21" s="52">
        <f t="shared" si="9"/>
        <v>4.1522283970150786E-2</v>
      </c>
      <c r="P21" s="52">
        <f t="shared" si="7"/>
        <v>-1.9543346026896002E-2</v>
      </c>
      <c r="Q21" s="52">
        <f t="shared" si="7"/>
        <v>2.4456277194093046E-2</v>
      </c>
      <c r="R21" s="52">
        <f t="shared" si="7"/>
        <v>-4.2201035960783617E-2</v>
      </c>
      <c r="S21" s="52">
        <f t="shared" si="7"/>
        <v>-4.2341791765645453E-3</v>
      </c>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c r="AR21" s="15"/>
      <c r="AS21" s="15"/>
      <c r="AT21" s="15"/>
      <c r="AU21" s="15"/>
      <c r="AV21" s="15"/>
      <c r="AW21" s="15"/>
    </row>
    <row r="22" spans="1:49" ht="13.15" x14ac:dyDescent="0.4">
      <c r="A22" s="15" t="s">
        <v>84</v>
      </c>
      <c r="B22" s="22">
        <f t="shared" si="8"/>
        <v>1323.355957</v>
      </c>
      <c r="C22" s="22">
        <f t="shared" si="8"/>
        <v>1243.6136469999999</v>
      </c>
      <c r="D22" s="22">
        <f t="shared" si="8"/>
        <v>1293.718018</v>
      </c>
      <c r="E22" s="22">
        <f t="shared" si="8"/>
        <v>1199.063721</v>
      </c>
      <c r="F22" s="22">
        <f t="shared" si="8"/>
        <v>1251.744629</v>
      </c>
      <c r="G22" s="50">
        <f t="shared" si="1"/>
        <v>1262.2991944</v>
      </c>
      <c r="H22" s="51">
        <f t="shared" si="2"/>
        <v>34965.990636686656</v>
      </c>
      <c r="I22" s="49">
        <f t="shared" si="3"/>
        <v>3.3934402876886989E-2</v>
      </c>
      <c r="J22" s="49">
        <f t="shared" si="4"/>
        <v>0.11</v>
      </c>
      <c r="K22" s="49">
        <f t="shared" si="5"/>
        <v>9.8464957081018323E-2</v>
      </c>
      <c r="L22" s="22">
        <f>G22/'Clause 6'!$G$11</f>
        <v>1262.2991944</v>
      </c>
      <c r="M22">
        <f t="shared" si="6"/>
        <v>5</v>
      </c>
      <c r="O22" s="52">
        <f t="shared" si="9"/>
        <v>4.8369485515691535E-2</v>
      </c>
      <c r="P22" s="52">
        <f t="shared" si="7"/>
        <v>-1.4802788025925828E-2</v>
      </c>
      <c r="Q22" s="52">
        <f t="shared" si="7"/>
        <v>2.4890155788251267E-2</v>
      </c>
      <c r="R22" s="52">
        <f t="shared" si="7"/>
        <v>-5.0095471565326788E-2</v>
      </c>
      <c r="S22" s="52">
        <f t="shared" si="7"/>
        <v>-8.3613817126904078E-3</v>
      </c>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row>
    <row r="23" spans="1:49" ht="13.15" x14ac:dyDescent="0.4">
      <c r="A23" s="15" t="s">
        <v>85</v>
      </c>
      <c r="B23" s="22">
        <f t="shared" si="8"/>
        <v>1015.603394</v>
      </c>
      <c r="C23" s="22">
        <f t="shared" si="8"/>
        <v>958.70666500000004</v>
      </c>
      <c r="D23" s="22">
        <f t="shared" si="8"/>
        <v>1002.884949</v>
      </c>
      <c r="E23" s="22">
        <f t="shared" si="8"/>
        <v>915.08422900000005</v>
      </c>
      <c r="F23" s="22">
        <f t="shared" si="8"/>
        <v>961.25238000000002</v>
      </c>
      <c r="G23" s="50">
        <f t="shared" si="1"/>
        <v>970.70632339999997</v>
      </c>
      <c r="H23" s="51">
        <f t="shared" si="2"/>
        <v>26888.798127697613</v>
      </c>
      <c r="I23" s="49">
        <f t="shared" si="3"/>
        <v>3.6794500945343263E-2</v>
      </c>
      <c r="J23" s="49">
        <f t="shared" si="4"/>
        <v>0.11</v>
      </c>
      <c r="K23" s="49">
        <f t="shared" si="5"/>
        <v>0.10355260141699818</v>
      </c>
      <c r="L23" s="22">
        <f>G23/'Clause 6'!$G$11</f>
        <v>970.70632339999997</v>
      </c>
      <c r="M23">
        <f t="shared" si="6"/>
        <v>5</v>
      </c>
      <c r="O23" s="52">
        <f t="shared" si="9"/>
        <v>4.6251960575206086E-2</v>
      </c>
      <c r="P23" s="52">
        <f t="shared" si="7"/>
        <v>-1.2361780397154409E-2</v>
      </c>
      <c r="Q23" s="52">
        <f t="shared" si="7"/>
        <v>3.3149702257311953E-2</v>
      </c>
      <c r="R23" s="52">
        <f t="shared" si="7"/>
        <v>-5.7300640841792094E-2</v>
      </c>
      <c r="S23" s="52">
        <f t="shared" si="7"/>
        <v>-9.7392415935713128E-3</v>
      </c>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row>
    <row r="24" spans="1:49" ht="13.15" x14ac:dyDescent="0.4">
      <c r="A24" s="15" t="s">
        <v>86</v>
      </c>
      <c r="B24" s="22">
        <f t="shared" si="8"/>
        <v>773.44390899999996</v>
      </c>
      <c r="C24" s="22">
        <f t="shared" si="8"/>
        <v>735.10211200000003</v>
      </c>
      <c r="D24" s="22">
        <f t="shared" si="8"/>
        <v>771.28576699999996</v>
      </c>
      <c r="E24" s="22">
        <f t="shared" si="8"/>
        <v>696.54345699999999</v>
      </c>
      <c r="F24" s="22">
        <f t="shared" si="8"/>
        <v>739.37066700000003</v>
      </c>
      <c r="G24" s="50">
        <f t="shared" si="1"/>
        <v>743.14918240000009</v>
      </c>
      <c r="H24" s="51">
        <f t="shared" si="2"/>
        <v>20585.410708283776</v>
      </c>
      <c r="I24" s="49">
        <f t="shared" si="3"/>
        <v>3.7871936467932354E-2</v>
      </c>
      <c r="J24" s="49">
        <f t="shared" si="4"/>
        <v>0.11</v>
      </c>
      <c r="K24" s="49">
        <f t="shared" si="5"/>
        <v>0.10347915845328658</v>
      </c>
      <c r="L24" s="22">
        <f>G24/'Clause 6'!$G$11</f>
        <v>743.14918240000009</v>
      </c>
      <c r="M24">
        <f t="shared" si="6"/>
        <v>5</v>
      </c>
      <c r="O24" s="52">
        <f t="shared" si="9"/>
        <v>4.0765336647701211E-2</v>
      </c>
      <c r="P24" s="52">
        <f t="shared" si="7"/>
        <v>-1.0828337823116541E-2</v>
      </c>
      <c r="Q24" s="52">
        <f t="shared" si="7"/>
        <v>3.7861287163275525E-2</v>
      </c>
      <c r="R24" s="52">
        <f t="shared" si="7"/>
        <v>-6.2713821805585379E-2</v>
      </c>
      <c r="S24" s="52">
        <f t="shared" si="7"/>
        <v>-5.0844641822753722E-3</v>
      </c>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row>
    <row r="25" spans="1:49" ht="13.15" x14ac:dyDescent="0.4">
      <c r="A25" s="15" t="s">
        <v>87</v>
      </c>
      <c r="B25" s="22">
        <f t="shared" si="8"/>
        <v>592.31970200000001</v>
      </c>
      <c r="C25" s="22">
        <f t="shared" si="8"/>
        <v>562.26092500000004</v>
      </c>
      <c r="D25" s="22">
        <f t="shared" si="8"/>
        <v>587.00256300000001</v>
      </c>
      <c r="E25" s="22"/>
      <c r="F25" s="22">
        <f t="shared" si="8"/>
        <v>560.17205799999999</v>
      </c>
      <c r="G25" s="50">
        <f t="shared" si="1"/>
        <v>575.43881199999998</v>
      </c>
      <c r="H25" s="51">
        <f t="shared" si="2"/>
        <v>15939.793197714878</v>
      </c>
      <c r="I25" s="49">
        <f t="shared" si="3"/>
        <v>2.4963593530488434E-2</v>
      </c>
      <c r="J25" s="49">
        <f t="shared" si="4"/>
        <v>0.11</v>
      </c>
      <c r="K25" s="49">
        <f t="shared" si="5"/>
        <v>5.586631163836063E-2</v>
      </c>
      <c r="L25" s="22">
        <f>G25/'Clause 6'!$G$11</f>
        <v>575.43881199999998</v>
      </c>
      <c r="M25">
        <f t="shared" si="6"/>
        <v>4</v>
      </c>
      <c r="O25" s="52">
        <f t="shared" si="9"/>
        <v>2.9335682001234265E-2</v>
      </c>
      <c r="P25" s="52">
        <f t="shared" si="7"/>
        <v>-2.2900587734426159E-2</v>
      </c>
      <c r="Q25" s="52">
        <f t="shared" si="7"/>
        <v>2.0095535370318496E-2</v>
      </c>
      <c r="R25" s="52">
        <f t="shared" si="7"/>
        <v>0</v>
      </c>
      <c r="S25" s="52">
        <f t="shared" si="7"/>
        <v>-2.6530629637126379E-2</v>
      </c>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row>
    <row r="26" spans="1:49" ht="13.15" x14ac:dyDescent="0.4">
      <c r="A26" s="15" t="s">
        <v>88</v>
      </c>
      <c r="B26" s="22">
        <f t="shared" ref="B26:F38" si="10">B70</f>
        <v>454.59396400000003</v>
      </c>
      <c r="C26" s="22">
        <f t="shared" si="10"/>
        <v>431.224762</v>
      </c>
      <c r="D26" s="22">
        <f t="shared" si="10"/>
        <v>443.45373499999999</v>
      </c>
      <c r="E26" s="22"/>
      <c r="F26" s="22">
        <f t="shared" si="10"/>
        <v>425.59670999999997</v>
      </c>
      <c r="G26" s="50">
        <f t="shared" si="1"/>
        <v>438.71729275000001</v>
      </c>
      <c r="H26" s="51">
        <f t="shared" si="2"/>
        <v>12152.57430132526</v>
      </c>
      <c r="I26" s="49">
        <f t="shared" si="3"/>
        <v>2.5555165007087779E-2</v>
      </c>
      <c r="J26" s="49">
        <f t="shared" si="4"/>
        <v>0.11</v>
      </c>
      <c r="K26" s="49">
        <f t="shared" si="5"/>
        <v>6.6095534594128563E-2</v>
      </c>
      <c r="L26" s="22">
        <f>G26/'Clause 6'!$G$11</f>
        <v>438.71729275000001</v>
      </c>
      <c r="M26">
        <f t="shared" si="6"/>
        <v>4</v>
      </c>
      <c r="O26" s="52">
        <f t="shared" si="9"/>
        <v>3.6188843048516883E-2</v>
      </c>
      <c r="P26" s="52">
        <f t="shared" si="7"/>
        <v>-1.7078266286324806E-2</v>
      </c>
      <c r="Q26" s="52">
        <f t="shared" si="7"/>
        <v>1.0796114783419242E-2</v>
      </c>
      <c r="R26" s="52">
        <f t="shared" si="7"/>
        <v>0</v>
      </c>
      <c r="S26" s="52">
        <f t="shared" si="7"/>
        <v>-2.9906691545611652E-2</v>
      </c>
    </row>
    <row r="27" spans="1:49" ht="13.15" x14ac:dyDescent="0.4">
      <c r="A27" s="15" t="s">
        <v>89</v>
      </c>
      <c r="B27" s="22">
        <f t="shared" si="10"/>
        <v>342.03539999999998</v>
      </c>
      <c r="C27" s="22">
        <f t="shared" si="10"/>
        <v>333.03552200000001</v>
      </c>
      <c r="D27" s="22">
        <f t="shared" si="10"/>
        <v>342.062408</v>
      </c>
      <c r="E27" s="22">
        <f t="shared" si="10"/>
        <v>307.79144300000002</v>
      </c>
      <c r="F27" s="22">
        <f t="shared" si="10"/>
        <v>323.47467</v>
      </c>
      <c r="G27" s="50">
        <f t="shared" si="1"/>
        <v>329.67988860000003</v>
      </c>
      <c r="H27" s="51">
        <f t="shared" si="2"/>
        <v>9132.212037393263</v>
      </c>
      <c r="I27" s="49">
        <f t="shared" si="3"/>
        <v>3.9194753964369104E-2</v>
      </c>
      <c r="J27" s="49">
        <f t="shared" si="4"/>
        <v>0.113</v>
      </c>
      <c r="K27" s="49">
        <f t="shared" si="5"/>
        <v>0.10395224636095678</v>
      </c>
      <c r="L27" s="22">
        <f>G27/'Clause 6'!$G$11</f>
        <v>329.67988860000003</v>
      </c>
      <c r="M27">
        <f t="shared" si="6"/>
        <v>5</v>
      </c>
      <c r="O27" s="52">
        <f t="shared" si="9"/>
        <v>3.7477297910006424E-2</v>
      </c>
      <c r="P27" s="52">
        <f t="shared" si="7"/>
        <v>1.0178459517957927E-2</v>
      </c>
      <c r="Q27" s="52">
        <f t="shared" si="7"/>
        <v>3.7559219801313493E-2</v>
      </c>
      <c r="R27" s="52">
        <f t="shared" si="7"/>
        <v>-6.6393026559643187E-2</v>
      </c>
      <c r="S27" s="52">
        <f t="shared" si="7"/>
        <v>-1.8821950669635212E-2</v>
      </c>
    </row>
    <row r="28" spans="1:49" ht="13.15" x14ac:dyDescent="0.4">
      <c r="A28" s="15" t="s">
        <v>90</v>
      </c>
      <c r="B28" s="22">
        <f t="shared" si="10"/>
        <v>264.35412600000001</v>
      </c>
      <c r="C28" s="22">
        <f t="shared" si="10"/>
        <v>262.24789399999997</v>
      </c>
      <c r="D28" s="22">
        <f t="shared" si="10"/>
        <v>264.15115400000002</v>
      </c>
      <c r="E28" s="22"/>
      <c r="F28" s="22">
        <f t="shared" si="10"/>
        <v>247.10359199999999</v>
      </c>
      <c r="G28" s="50">
        <f t="shared" si="1"/>
        <v>259.46419150000003</v>
      </c>
      <c r="H28" s="51">
        <f t="shared" si="2"/>
        <v>7187.2203759559598</v>
      </c>
      <c r="I28" s="49">
        <f t="shared" si="3"/>
        <v>2.7686022532297412E-2</v>
      </c>
      <c r="J28" s="49">
        <f t="shared" si="4"/>
        <v>0.113</v>
      </c>
      <c r="K28" s="49">
        <f t="shared" si="5"/>
        <v>6.6485220562699551E-2</v>
      </c>
      <c r="L28" s="22">
        <f>G28/'Clause 6'!$G$11</f>
        <v>259.46419150000003</v>
      </c>
      <c r="M28">
        <f t="shared" si="6"/>
        <v>4</v>
      </c>
      <c r="O28" s="52">
        <f t="shared" si="9"/>
        <v>1.8846278832275631E-2</v>
      </c>
      <c r="P28" s="52">
        <f t="shared" si="7"/>
        <v>1.0728657715374679E-2</v>
      </c>
      <c r="Q28" s="52">
        <f t="shared" si="7"/>
        <v>1.8064005182772958E-2</v>
      </c>
      <c r="R28" s="52">
        <f t="shared" si="7"/>
        <v>0</v>
      </c>
      <c r="S28" s="52">
        <f t="shared" si="7"/>
        <v>-4.7638941730423823E-2</v>
      </c>
    </row>
    <row r="29" spans="1:49" ht="13.15" x14ac:dyDescent="0.4">
      <c r="A29" s="15" t="s">
        <v>91</v>
      </c>
      <c r="B29" s="22">
        <f t="shared" si="10"/>
        <v>205.30050700000001</v>
      </c>
      <c r="C29" s="22">
        <f t="shared" si="10"/>
        <v>205.51242099999999</v>
      </c>
      <c r="D29" s="22">
        <f t="shared" si="10"/>
        <v>204.20573400000001</v>
      </c>
      <c r="E29" s="22"/>
      <c r="F29" s="22">
        <f t="shared" si="10"/>
        <v>192.250473</v>
      </c>
      <c r="G29" s="50">
        <f t="shared" si="1"/>
        <v>201.81728375</v>
      </c>
      <c r="H29" s="51">
        <f t="shared" si="2"/>
        <v>5590.3871960230999</v>
      </c>
      <c r="I29" s="49">
        <f t="shared" si="3"/>
        <v>2.7478401847489391E-2</v>
      </c>
      <c r="J29" s="49">
        <f t="shared" si="4"/>
        <v>0.113</v>
      </c>
      <c r="K29" s="49">
        <f t="shared" si="5"/>
        <v>6.5712647368835628E-2</v>
      </c>
      <c r="L29" s="22">
        <f>G29/'Clause 6'!$G$11</f>
        <v>201.81728375</v>
      </c>
      <c r="M29">
        <f t="shared" si="6"/>
        <v>4</v>
      </c>
      <c r="O29" s="52">
        <f t="shared" si="9"/>
        <v>1.7259291103703722E-2</v>
      </c>
      <c r="P29" s="52">
        <f t="shared" si="7"/>
        <v>1.8309320100538651E-2</v>
      </c>
      <c r="Q29" s="52">
        <f t="shared" si="7"/>
        <v>1.1834716064054618E-2</v>
      </c>
      <c r="R29" s="52">
        <f t="shared" si="7"/>
        <v>0</v>
      </c>
      <c r="S29" s="52">
        <f t="shared" si="7"/>
        <v>-4.7403327268296991E-2</v>
      </c>
    </row>
    <row r="30" spans="1:49" ht="13.15" x14ac:dyDescent="0.4">
      <c r="A30" s="15" t="s">
        <v>92</v>
      </c>
      <c r="B30" s="22">
        <f t="shared" si="10"/>
        <v>155.16438299999999</v>
      </c>
      <c r="C30" s="22">
        <f t="shared" si="10"/>
        <v>159.84298699999999</v>
      </c>
      <c r="D30" s="22">
        <f t="shared" si="10"/>
        <v>155.644623</v>
      </c>
      <c r="E30" s="22"/>
      <c r="F30" s="22">
        <f t="shared" si="10"/>
        <v>146.392563</v>
      </c>
      <c r="G30" s="50">
        <f t="shared" si="1"/>
        <v>154.26113899999999</v>
      </c>
      <c r="H30" s="51">
        <f t="shared" si="2"/>
        <v>4273.070572973359</v>
      </c>
      <c r="I30" s="49">
        <f t="shared" si="3"/>
        <v>3.1724835786530729E-2</v>
      </c>
      <c r="J30" s="49">
        <f t="shared" si="4"/>
        <v>0.11900000000000001</v>
      </c>
      <c r="K30" s="49">
        <f t="shared" si="5"/>
        <v>8.71925624768011E-2</v>
      </c>
      <c r="L30" s="22">
        <f>G30/'Clause 6'!$G$11</f>
        <v>154.26113899999999</v>
      </c>
      <c r="M30">
        <f t="shared" si="6"/>
        <v>4</v>
      </c>
      <c r="O30" s="52">
        <f t="shared" si="9"/>
        <v>5.8552919150947069E-3</v>
      </c>
      <c r="P30" s="52">
        <f t="shared" si="7"/>
        <v>3.6184408051077588E-2</v>
      </c>
      <c r="Q30" s="52">
        <f t="shared" si="7"/>
        <v>8.9684544595511895E-3</v>
      </c>
      <c r="R30" s="52">
        <f t="shared" si="7"/>
        <v>0</v>
      </c>
      <c r="S30" s="52">
        <f t="shared" si="7"/>
        <v>-5.1008154425723484E-2</v>
      </c>
    </row>
    <row r="31" spans="1:49" ht="13.15" x14ac:dyDescent="0.4">
      <c r="A31" s="15" t="s">
        <v>93</v>
      </c>
      <c r="B31" s="22">
        <f t="shared" si="10"/>
        <v>114.342079</v>
      </c>
      <c r="C31" s="22">
        <f t="shared" si="10"/>
        <v>122.604843</v>
      </c>
      <c r="D31" s="22">
        <f t="shared" si="10"/>
        <v>117.934151</v>
      </c>
      <c r="E31" s="22"/>
      <c r="F31" s="22">
        <f t="shared" si="10"/>
        <v>110.235367</v>
      </c>
      <c r="G31" s="50">
        <f t="shared" si="1"/>
        <v>116.27911</v>
      </c>
      <c r="H31" s="51">
        <f t="shared" si="2"/>
        <v>3220.9592539863997</v>
      </c>
      <c r="I31" s="49">
        <f t="shared" si="3"/>
        <v>3.9182632464245637E-2</v>
      </c>
      <c r="J31" s="49">
        <f t="shared" si="4"/>
        <v>0.11900000000000001</v>
      </c>
      <c r="K31" s="49">
        <f t="shared" si="5"/>
        <v>0.10637745679339999</v>
      </c>
      <c r="L31" s="22">
        <f>G31/'Clause 6'!$G$11</f>
        <v>116.27911</v>
      </c>
      <c r="M31">
        <f t="shared" si="6"/>
        <v>4</v>
      </c>
      <c r="O31" s="52">
        <f t="shared" si="9"/>
        <v>-1.6658460836172617E-2</v>
      </c>
      <c r="P31" s="52">
        <f t="shared" si="7"/>
        <v>5.4401284977155351E-2</v>
      </c>
      <c r="Q31" s="52">
        <f t="shared" si="7"/>
        <v>1.4233347675261632E-2</v>
      </c>
      <c r="R31" s="52">
        <f t="shared" si="7"/>
        <v>0</v>
      </c>
      <c r="S31" s="52">
        <f t="shared" si="7"/>
        <v>-5.1976171816244587E-2</v>
      </c>
    </row>
    <row r="32" spans="1:49" ht="13.15" x14ac:dyDescent="0.4">
      <c r="A32" s="15" t="s">
        <v>94</v>
      </c>
      <c r="B32" s="22">
        <f t="shared" si="10"/>
        <v>82.833602999999997</v>
      </c>
      <c r="C32" s="22">
        <f t="shared" si="10"/>
        <v>92.744063999999995</v>
      </c>
      <c r="D32" s="22">
        <f t="shared" si="10"/>
        <v>90.896454000000006</v>
      </c>
      <c r="E32" s="22"/>
      <c r="F32" s="22">
        <f t="shared" si="10"/>
        <v>82.544242999999994</v>
      </c>
      <c r="G32" s="50">
        <f t="shared" si="1"/>
        <v>87.254590999999991</v>
      </c>
      <c r="H32" s="51">
        <f t="shared" si="2"/>
        <v>2416.9731118018394</v>
      </c>
      <c r="I32" s="49">
        <f t="shared" si="3"/>
        <v>5.287166855176504E-2</v>
      </c>
      <c r="J32" s="49">
        <f t="shared" si="4"/>
        <v>0.11900000000000001</v>
      </c>
      <c r="K32" s="49">
        <f t="shared" si="5"/>
        <v>0.11689724154457387</v>
      </c>
      <c r="L32" s="22">
        <f>G32/'Clause 6'!$G$11</f>
        <v>87.254590999999991</v>
      </c>
      <c r="M32">
        <f t="shared" si="6"/>
        <v>4</v>
      </c>
      <c r="O32" s="52">
        <f t="shared" si="9"/>
        <v>-5.0667683491863458E-2</v>
      </c>
      <c r="P32" s="52">
        <f t="shared" si="7"/>
        <v>6.2913285559954124E-2</v>
      </c>
      <c r="Q32" s="52">
        <f t="shared" si="7"/>
        <v>4.1738353916529247E-2</v>
      </c>
      <c r="R32" s="52">
        <f t="shared" si="7"/>
        <v>0</v>
      </c>
      <c r="S32" s="52">
        <f t="shared" si="7"/>
        <v>-5.3983955984619691E-2</v>
      </c>
    </row>
    <row r="33" spans="1:19" ht="13.15" x14ac:dyDescent="0.4">
      <c r="A33" s="15" t="s">
        <v>95</v>
      </c>
      <c r="B33" s="22">
        <f t="shared" si="10"/>
        <v>58.062786000000003</v>
      </c>
      <c r="C33" s="22">
        <f t="shared" si="10"/>
        <v>70.085007000000004</v>
      </c>
      <c r="D33" s="22">
        <f t="shared" si="10"/>
        <v>70.262428</v>
      </c>
      <c r="E33" s="22"/>
      <c r="F33" s="22">
        <f t="shared" si="10"/>
        <v>60.497169</v>
      </c>
      <c r="G33" s="50">
        <f t="shared" si="1"/>
        <v>64.726847500000005</v>
      </c>
      <c r="H33" s="51">
        <f t="shared" si="2"/>
        <v>1792.9492101933999</v>
      </c>
      <c r="I33" s="49">
        <f t="shared" si="3"/>
        <v>8.5201242141581354E-2</v>
      </c>
      <c r="J33" s="49">
        <f t="shared" si="4"/>
        <v>0.13400000000000001</v>
      </c>
      <c r="K33" s="49">
        <f t="shared" si="5"/>
        <v>0.18847885338460205</v>
      </c>
      <c r="L33" s="22">
        <f>G33/'Clause 6'!$G$11</f>
        <v>64.726847500000005</v>
      </c>
      <c r="M33">
        <f t="shared" si="6"/>
        <v>4</v>
      </c>
      <c r="O33" s="52">
        <f t="shared" si="9"/>
        <v>-0.10295668269646541</v>
      </c>
      <c r="P33" s="52">
        <f t="shared" si="7"/>
        <v>8.2781097905316736E-2</v>
      </c>
      <c r="Q33" s="52">
        <f t="shared" si="7"/>
        <v>8.5522170688136612E-2</v>
      </c>
      <c r="R33" s="52">
        <f t="shared" si="7"/>
        <v>0</v>
      </c>
      <c r="S33" s="52">
        <f t="shared" si="7"/>
        <v>-6.5346585896988163E-2</v>
      </c>
    </row>
    <row r="34" spans="1:19" ht="13.15" x14ac:dyDescent="0.4">
      <c r="A34" s="15" t="s">
        <v>96</v>
      </c>
      <c r="B34" s="22">
        <f t="shared" si="10"/>
        <v>40.624133999999998</v>
      </c>
      <c r="C34" s="22">
        <f t="shared" si="10"/>
        <v>51.114628000000003</v>
      </c>
      <c r="D34" s="22">
        <f t="shared" si="10"/>
        <v>52.474471999999999</v>
      </c>
      <c r="E34" s="22">
        <f t="shared" si="10"/>
        <v>39.862960999999999</v>
      </c>
      <c r="F34" s="22">
        <f t="shared" si="10"/>
        <v>45.857914000000001</v>
      </c>
      <c r="G34" s="50">
        <f t="shared" si="1"/>
        <v>45.986821799999994</v>
      </c>
      <c r="H34" s="51">
        <f t="shared" si="2"/>
        <v>1273.8460006972316</v>
      </c>
      <c r="I34" s="49">
        <f t="shared" si="3"/>
        <v>0.11285012702453728</v>
      </c>
      <c r="J34" s="49">
        <f t="shared" si="4"/>
        <v>0.13400000000000001</v>
      </c>
      <c r="K34" s="49">
        <f t="shared" si="5"/>
        <v>0.27424184812876112</v>
      </c>
      <c r="L34" s="22">
        <f>G34/'Clause 6'!$G$11</f>
        <v>45.986821799999994</v>
      </c>
      <c r="M34">
        <f t="shared" si="6"/>
        <v>5</v>
      </c>
      <c r="O34" s="52">
        <f t="shared" si="9"/>
        <v>-0.11661357732705935</v>
      </c>
      <c r="P34" s="52">
        <f t="shared" si="7"/>
        <v>0.11150599235366188</v>
      </c>
      <c r="Q34" s="52">
        <f t="shared" si="7"/>
        <v>0.14107628981657538</v>
      </c>
      <c r="R34" s="52">
        <f t="shared" si="7"/>
        <v>-0.13316555831218579</v>
      </c>
      <c r="S34" s="52">
        <f t="shared" si="7"/>
        <v>-2.8031465309914516E-3</v>
      </c>
    </row>
    <row r="35" spans="1:19" ht="13.15" x14ac:dyDescent="0.4">
      <c r="A35" s="15" t="s">
        <v>97</v>
      </c>
      <c r="B35" s="22">
        <f t="shared" si="10"/>
        <v>29.328644000000001</v>
      </c>
      <c r="C35" s="22">
        <f t="shared" si="10"/>
        <v>36.886845000000001</v>
      </c>
      <c r="D35" s="22">
        <f t="shared" si="10"/>
        <v>37.888348000000001</v>
      </c>
      <c r="E35" s="22">
        <f t="shared" si="10"/>
        <v>26.98687</v>
      </c>
      <c r="F35" s="22">
        <f t="shared" si="10"/>
        <v>31.747786000000001</v>
      </c>
      <c r="G35" s="50">
        <f t="shared" si="1"/>
        <v>32.5676986</v>
      </c>
      <c r="H35" s="51">
        <f t="shared" si="2"/>
        <v>902.13306746766386</v>
      </c>
      <c r="I35" s="49">
        <f t="shared" si="3"/>
        <v>0.129744731387606</v>
      </c>
      <c r="J35" s="49">
        <f t="shared" si="4"/>
        <v>0.156</v>
      </c>
      <c r="K35" s="49">
        <f t="shared" si="5"/>
        <v>0.33473283248820046</v>
      </c>
      <c r="L35" s="22">
        <f>G35/'Clause 6'!$G$11</f>
        <v>32.5676986</v>
      </c>
      <c r="M35">
        <f t="shared" si="6"/>
        <v>5</v>
      </c>
      <c r="O35" s="52">
        <f t="shared" si="9"/>
        <v>-9.9456048147043452E-2</v>
      </c>
      <c r="P35" s="52">
        <f t="shared" si="7"/>
        <v>0.13262055919419491</v>
      </c>
      <c r="Q35" s="52">
        <f t="shared" si="7"/>
        <v>0.16337197986719265</v>
      </c>
      <c r="R35" s="52">
        <f t="shared" si="7"/>
        <v>-0.17136085262100775</v>
      </c>
      <c r="S35" s="52">
        <f t="shared" si="7"/>
        <v>-2.5175638293336355E-2</v>
      </c>
    </row>
    <row r="36" spans="1:19" ht="13.15" x14ac:dyDescent="0.4">
      <c r="A36" s="15" t="s">
        <v>98</v>
      </c>
      <c r="B36" s="22">
        <f t="shared" si="10"/>
        <v>21.203817000000001</v>
      </c>
      <c r="C36" s="22">
        <f t="shared" si="10"/>
        <v>24.415579000000001</v>
      </c>
      <c r="D36" s="22">
        <f t="shared" si="10"/>
        <v>28.638608999999999</v>
      </c>
      <c r="E36" s="22">
        <f t="shared" si="10"/>
        <v>19.402325000000001</v>
      </c>
      <c r="F36" s="22">
        <f t="shared" si="10"/>
        <v>23.28171</v>
      </c>
      <c r="G36" s="50">
        <f t="shared" si="1"/>
        <v>23.388408000000002</v>
      </c>
      <c r="H36" s="51">
        <f t="shared" si="2"/>
        <v>647.86451481791994</v>
      </c>
      <c r="I36" s="49">
        <f t="shared" si="3"/>
        <v>0.13424687651178019</v>
      </c>
      <c r="J36" s="49">
        <f t="shared" si="4"/>
        <v>0.156</v>
      </c>
      <c r="K36" s="49">
        <f t="shared" si="5"/>
        <v>0.39490862310936242</v>
      </c>
      <c r="L36" s="22">
        <f>G36/'Clause 6'!$G$11</f>
        <v>23.388408000000002</v>
      </c>
      <c r="M36">
        <f t="shared" si="6"/>
        <v>5</v>
      </c>
      <c r="O36" s="52">
        <f t="shared" si="9"/>
        <v>-9.3404861074768308E-2</v>
      </c>
      <c r="P36" s="52">
        <f t="shared" si="7"/>
        <v>4.391795285938227E-2</v>
      </c>
      <c r="Q36" s="52">
        <f t="shared" si="7"/>
        <v>0.22447876743042938</v>
      </c>
      <c r="R36" s="52">
        <f t="shared" si="7"/>
        <v>-0.17042985567893298</v>
      </c>
      <c r="S36" s="52">
        <f t="shared" si="7"/>
        <v>-4.5620035361108036E-3</v>
      </c>
    </row>
    <row r="37" spans="1:19" ht="13.15" x14ac:dyDescent="0.4">
      <c r="A37" s="15" t="s">
        <v>99</v>
      </c>
      <c r="B37" s="22">
        <f t="shared" si="10"/>
        <v>16.249655000000001</v>
      </c>
      <c r="C37" s="22">
        <f t="shared" si="10"/>
        <v>18.092119</v>
      </c>
      <c r="D37" s="22">
        <f t="shared" si="10"/>
        <v>21.345547</v>
      </c>
      <c r="E37" s="22">
        <f t="shared" si="10"/>
        <v>11.641396</v>
      </c>
      <c r="F37" s="22">
        <f t="shared" si="10"/>
        <v>15.344763</v>
      </c>
      <c r="G37" s="50">
        <f t="shared" si="1"/>
        <v>16.534696</v>
      </c>
      <c r="H37" s="51">
        <f t="shared" si="2"/>
        <v>458.01504752703994</v>
      </c>
      <c r="I37" s="49">
        <f t="shared" si="3"/>
        <v>0.19317571215119292</v>
      </c>
      <c r="J37" s="49">
        <f t="shared" si="4"/>
        <v>0.193</v>
      </c>
      <c r="K37" s="49">
        <f t="shared" si="5"/>
        <v>0.58689624532558682</v>
      </c>
      <c r="L37" s="22">
        <f>G37/'Clause 6'!$G$11</f>
        <v>16.534696</v>
      </c>
      <c r="M37">
        <f t="shared" si="6"/>
        <v>5</v>
      </c>
      <c r="O37" s="52">
        <f t="shared" si="9"/>
        <v>-1.7238962240370137E-2</v>
      </c>
      <c r="P37" s="52">
        <f t="shared" si="7"/>
        <v>9.4191208595549636E-2</v>
      </c>
      <c r="Q37" s="52">
        <f t="shared" si="7"/>
        <v>0.29095491081299585</v>
      </c>
      <c r="R37" s="52">
        <f t="shared" si="7"/>
        <v>-0.29594133451259097</v>
      </c>
      <c r="S37" s="52">
        <f t="shared" si="7"/>
        <v>-7.1965822655584377E-2</v>
      </c>
    </row>
    <row r="38" spans="1:19" ht="13.15" x14ac:dyDescent="0.4">
      <c r="A38" s="15" t="s">
        <v>100</v>
      </c>
      <c r="B38" s="22">
        <f t="shared" si="10"/>
        <v>11.691824</v>
      </c>
      <c r="C38" s="22">
        <f t="shared" si="10"/>
        <v>13.876479</v>
      </c>
      <c r="D38" s="22">
        <f t="shared" si="10"/>
        <v>16.009160999999999</v>
      </c>
      <c r="E38" s="22">
        <f t="shared" si="10"/>
        <v>9.1720089999999992</v>
      </c>
      <c r="F38" s="22">
        <f t="shared" si="10"/>
        <v>10.053466</v>
      </c>
      <c r="G38" s="50">
        <f t="shared" si="1"/>
        <v>12.160587799999998</v>
      </c>
      <c r="H38" s="51">
        <f t="shared" si="2"/>
        <v>336.85120060107192</v>
      </c>
      <c r="I38" s="49">
        <f t="shared" si="3"/>
        <v>0.20590132327181465</v>
      </c>
      <c r="J38" s="49">
        <f t="shared" si="4"/>
        <v>0.193</v>
      </c>
      <c r="K38" s="49">
        <f t="shared" si="5"/>
        <v>0.56223861152501198</v>
      </c>
      <c r="L38" s="22">
        <f>G38/'Clause 6'!$G$11</f>
        <v>12.160587799999998</v>
      </c>
      <c r="M38">
        <f t="shared" si="6"/>
        <v>5</v>
      </c>
      <c r="O38" s="52">
        <f t="shared" si="9"/>
        <v>-3.8547791250682639E-2</v>
      </c>
      <c r="P38" s="52">
        <f t="shared" si="7"/>
        <v>0.14110265294906243</v>
      </c>
      <c r="Q38" s="52">
        <f t="shared" si="7"/>
        <v>0.31647920834879395</v>
      </c>
      <c r="R38" s="52">
        <f t="shared" si="7"/>
        <v>-0.24575940317621814</v>
      </c>
      <c r="S38" s="52">
        <f t="shared" si="7"/>
        <v>-0.17327466687095494</v>
      </c>
    </row>
    <row r="40" spans="1:19" x14ac:dyDescent="0.35">
      <c r="A40" t="s">
        <v>101</v>
      </c>
    </row>
    <row r="41" spans="1:19" ht="15" x14ac:dyDescent="0.5">
      <c r="A41" s="54"/>
      <c r="B41" s="55" t="s">
        <v>102</v>
      </c>
      <c r="C41" s="54"/>
      <c r="D41" s="56" t="s">
        <v>103</v>
      </c>
      <c r="E41" s="57"/>
      <c r="F41" s="57"/>
      <c r="G41" s="57"/>
      <c r="H41" s="58"/>
    </row>
    <row r="42" spans="1:19" ht="15" x14ac:dyDescent="0.5">
      <c r="A42" s="59" t="s">
        <v>104</v>
      </c>
      <c r="B42" s="60" t="s">
        <v>105</v>
      </c>
      <c r="C42" s="59" t="s">
        <v>106</v>
      </c>
      <c r="D42" s="59" t="s">
        <v>107</v>
      </c>
      <c r="E42" s="60" t="s">
        <v>108</v>
      </c>
      <c r="F42" s="60" t="s">
        <v>109</v>
      </c>
      <c r="G42" s="60" t="s">
        <v>110</v>
      </c>
      <c r="H42" s="61" t="s">
        <v>111</v>
      </c>
    </row>
    <row r="43" spans="1:19" x14ac:dyDescent="0.35">
      <c r="A43" s="62">
        <v>10000</v>
      </c>
      <c r="C43" s="62">
        <v>11</v>
      </c>
      <c r="D43" s="62">
        <v>7.8</v>
      </c>
      <c r="E43">
        <v>5.3</v>
      </c>
      <c r="F43">
        <v>4</v>
      </c>
      <c r="G43">
        <v>2.7</v>
      </c>
      <c r="H43" s="63">
        <v>1.8</v>
      </c>
    </row>
    <row r="44" spans="1:19" x14ac:dyDescent="0.35">
      <c r="A44" s="62">
        <v>5000</v>
      </c>
      <c r="B44">
        <v>10000</v>
      </c>
      <c r="C44" s="62">
        <v>11.3</v>
      </c>
      <c r="D44" s="62">
        <v>7.8</v>
      </c>
      <c r="E44">
        <v>5.3</v>
      </c>
      <c r="F44">
        <v>4</v>
      </c>
      <c r="G44">
        <v>2.7</v>
      </c>
      <c r="H44" s="63">
        <v>1.9</v>
      </c>
    </row>
    <row r="45" spans="1:19" x14ac:dyDescent="0.35">
      <c r="A45" s="62">
        <v>2000</v>
      </c>
      <c r="B45">
        <v>5000</v>
      </c>
      <c r="C45" s="62">
        <v>11.9</v>
      </c>
      <c r="D45" s="62">
        <v>7.9</v>
      </c>
      <c r="E45">
        <v>5.4</v>
      </c>
      <c r="F45">
        <v>4.0999999999999996</v>
      </c>
      <c r="G45">
        <v>2.9</v>
      </c>
      <c r="H45" s="63">
        <v>2.1</v>
      </c>
    </row>
    <row r="46" spans="1:19" x14ac:dyDescent="0.35">
      <c r="A46" s="62">
        <v>1000</v>
      </c>
      <c r="B46">
        <v>2000</v>
      </c>
      <c r="C46" s="62">
        <v>13.4</v>
      </c>
      <c r="D46" s="62">
        <v>8</v>
      </c>
      <c r="E46">
        <v>5.6</v>
      </c>
      <c r="F46">
        <v>4.3</v>
      </c>
      <c r="G46">
        <v>3.1</v>
      </c>
      <c r="H46" s="63">
        <v>2.4</v>
      </c>
    </row>
    <row r="47" spans="1:19" x14ac:dyDescent="0.35">
      <c r="A47" s="62">
        <v>500</v>
      </c>
      <c r="B47">
        <v>1000</v>
      </c>
      <c r="C47" s="62">
        <v>15.6</v>
      </c>
      <c r="D47" s="62">
        <v>8.1999999999999993</v>
      </c>
      <c r="E47">
        <v>5.9</v>
      </c>
      <c r="F47">
        <v>4.7</v>
      </c>
      <c r="G47">
        <v>3.6</v>
      </c>
      <c r="H47" s="63">
        <v>2.9</v>
      </c>
    </row>
    <row r="48" spans="1:19" x14ac:dyDescent="0.35">
      <c r="A48" s="62">
        <v>200</v>
      </c>
      <c r="B48">
        <v>500</v>
      </c>
      <c r="C48" s="62">
        <v>19.3</v>
      </c>
      <c r="D48" s="62">
        <v>8.9</v>
      </c>
      <c r="E48">
        <v>6.8</v>
      </c>
      <c r="F48">
        <v>5.7</v>
      </c>
      <c r="G48">
        <v>4.7</v>
      </c>
      <c r="H48" s="63">
        <v>4.0999999999999996</v>
      </c>
    </row>
    <row r="49" spans="1:16" x14ac:dyDescent="0.35">
      <c r="A49" s="64">
        <v>100</v>
      </c>
      <c r="B49" s="65">
        <v>200</v>
      </c>
      <c r="C49" s="64">
        <v>27.5</v>
      </c>
      <c r="D49" s="64">
        <v>10</v>
      </c>
      <c r="E49" s="65">
        <v>8</v>
      </c>
      <c r="F49" s="65">
        <v>7</v>
      </c>
      <c r="G49" s="65">
        <v>6.1</v>
      </c>
      <c r="H49" s="66">
        <v>5.5</v>
      </c>
    </row>
    <row r="51" spans="1:16" ht="13.15" x14ac:dyDescent="0.4">
      <c r="B51" s="19" t="s">
        <v>58</v>
      </c>
      <c r="C51" s="19" t="s">
        <v>59</v>
      </c>
      <c r="D51" s="19" t="s">
        <v>60</v>
      </c>
      <c r="E51" s="19" t="s">
        <v>61</v>
      </c>
      <c r="F51" s="19" t="s">
        <v>62</v>
      </c>
      <c r="G51" s="19" t="s">
        <v>58</v>
      </c>
      <c r="H51" s="19" t="s">
        <v>59</v>
      </c>
      <c r="I51" s="19" t="s">
        <v>60</v>
      </c>
      <c r="J51" s="19" t="s">
        <v>61</v>
      </c>
      <c r="K51" s="19" t="s">
        <v>62</v>
      </c>
      <c r="L51" s="19" t="s">
        <v>58</v>
      </c>
      <c r="M51" s="19" t="s">
        <v>59</v>
      </c>
      <c r="N51" s="19" t="s">
        <v>60</v>
      </c>
      <c r="O51" s="19" t="s">
        <v>61</v>
      </c>
      <c r="P51" s="19" t="s">
        <v>62</v>
      </c>
    </row>
    <row r="52" spans="1:16" ht="13.15" x14ac:dyDescent="0.4">
      <c r="A52" s="19" t="s">
        <v>112</v>
      </c>
      <c r="B52">
        <v>5.0462610000000003</v>
      </c>
      <c r="C52">
        <v>5.6930870000000002</v>
      </c>
      <c r="D52">
        <v>5.6217810000000004</v>
      </c>
      <c r="E52">
        <v>5.6694240000000002</v>
      </c>
      <c r="F52">
        <v>5.6696869999999997</v>
      </c>
      <c r="G52">
        <v>5.0233230000000004</v>
      </c>
      <c r="H52">
        <v>5.6628939999999997</v>
      </c>
      <c r="I52">
        <v>5.630509</v>
      </c>
      <c r="J52">
        <v>5.7065010000000003</v>
      </c>
      <c r="K52">
        <v>5.684609</v>
      </c>
      <c r="L52">
        <v>5.0705140000000002</v>
      </c>
      <c r="M52">
        <v>5.6845629999999998</v>
      </c>
      <c r="N52">
        <v>5.6810910000000003</v>
      </c>
      <c r="O52">
        <v>5.6736360000000001</v>
      </c>
      <c r="P52">
        <v>5.6893779999999996</v>
      </c>
    </row>
    <row r="53" spans="1:16" ht="13.15" x14ac:dyDescent="0.4">
      <c r="A53" s="41">
        <v>4</v>
      </c>
      <c r="B53">
        <v>12580.402344</v>
      </c>
      <c r="C53">
        <v>11835.758789</v>
      </c>
      <c r="D53">
        <v>12467.934569999999</v>
      </c>
      <c r="E53">
        <v>12081.651367</v>
      </c>
      <c r="F53">
        <v>12443.544921999999</v>
      </c>
      <c r="G53">
        <v>12360.742188</v>
      </c>
      <c r="H53">
        <v>12372.648438</v>
      </c>
      <c r="I53">
        <v>12222.518555000001</v>
      </c>
      <c r="J53">
        <v>11912.204102</v>
      </c>
      <c r="K53">
        <v>11836.522461</v>
      </c>
      <c r="L53">
        <v>12126.1875</v>
      </c>
      <c r="M53">
        <v>11685.859375</v>
      </c>
      <c r="N53">
        <v>11615.375</v>
      </c>
      <c r="O53">
        <v>11984.553711</v>
      </c>
      <c r="P53">
        <v>11872.299805000001</v>
      </c>
    </row>
    <row r="54" spans="1:16" ht="13.15" x14ac:dyDescent="0.4">
      <c r="A54" s="41">
        <v>5</v>
      </c>
      <c r="B54">
        <v>11118.528319999999</v>
      </c>
      <c r="C54">
        <v>10489.564453000001</v>
      </c>
      <c r="D54">
        <v>11059.662109000001</v>
      </c>
      <c r="E54">
        <v>10677.628906</v>
      </c>
      <c r="F54">
        <v>10988.084961</v>
      </c>
      <c r="G54">
        <v>10908.714844</v>
      </c>
      <c r="H54">
        <v>10908.026367</v>
      </c>
      <c r="I54">
        <v>10773.803711</v>
      </c>
      <c r="J54">
        <v>10552.702148</v>
      </c>
      <c r="K54">
        <v>10491.487305000001</v>
      </c>
      <c r="L54">
        <v>10708.776367</v>
      </c>
      <c r="M54">
        <v>10304.046875</v>
      </c>
      <c r="N54">
        <v>10269.154296999999</v>
      </c>
      <c r="O54">
        <v>10570.292969</v>
      </c>
      <c r="P54">
        <v>10495.875</v>
      </c>
    </row>
    <row r="55" spans="1:16" ht="13.15" x14ac:dyDescent="0.4">
      <c r="A55" s="41">
        <v>6</v>
      </c>
      <c r="B55">
        <v>9738.8935550000006</v>
      </c>
      <c r="C55">
        <v>9220.8330079999996</v>
      </c>
      <c r="D55">
        <v>9703.6855469999991</v>
      </c>
      <c r="E55">
        <v>9350.8623050000006</v>
      </c>
      <c r="F55">
        <v>9615.1699219999991</v>
      </c>
      <c r="G55">
        <v>9542.0898440000001</v>
      </c>
      <c r="H55">
        <v>9550.0634769999997</v>
      </c>
      <c r="I55">
        <v>9413.5361329999996</v>
      </c>
      <c r="J55">
        <v>9244.7197269999997</v>
      </c>
      <c r="K55">
        <v>9214.8818360000005</v>
      </c>
      <c r="L55">
        <v>9376.7617190000001</v>
      </c>
      <c r="M55">
        <v>8972.3701170000004</v>
      </c>
      <c r="N55">
        <v>8970.6367190000001</v>
      </c>
      <c r="O55">
        <v>9225.3007809999999</v>
      </c>
      <c r="P55">
        <v>9170.4228519999997</v>
      </c>
    </row>
    <row r="56" spans="1:16" ht="13.15" x14ac:dyDescent="0.4">
      <c r="A56" s="41">
        <v>7</v>
      </c>
      <c r="B56">
        <v>8515.4130860000005</v>
      </c>
      <c r="C56">
        <v>8065.3964839999999</v>
      </c>
      <c r="D56">
        <v>8484.8554690000001</v>
      </c>
      <c r="E56">
        <v>8144.5668949999999</v>
      </c>
      <c r="F56">
        <v>8390.7636719999991</v>
      </c>
      <c r="G56">
        <v>8313.2216800000006</v>
      </c>
      <c r="H56">
        <v>8351.5595699999994</v>
      </c>
      <c r="I56">
        <v>8224.1230469999991</v>
      </c>
      <c r="J56">
        <v>8068.1669920000004</v>
      </c>
      <c r="K56">
        <v>8064.0551759999998</v>
      </c>
      <c r="L56">
        <v>8122.2539059999999</v>
      </c>
      <c r="M56">
        <v>7780.7216799999997</v>
      </c>
      <c r="N56">
        <v>7822.2651370000003</v>
      </c>
      <c r="O56">
        <v>7992.0522460000002</v>
      </c>
      <c r="P56">
        <v>7966.2490230000003</v>
      </c>
    </row>
    <row r="57" spans="1:16" ht="13.15" x14ac:dyDescent="0.4">
      <c r="A57" s="41">
        <v>8</v>
      </c>
      <c r="B57">
        <v>7446.701172</v>
      </c>
      <c r="C57">
        <v>7023.7822269999997</v>
      </c>
      <c r="D57">
        <v>7390.1840819999998</v>
      </c>
      <c r="E57">
        <v>7073.2060549999997</v>
      </c>
      <c r="F57">
        <v>7291.9370120000003</v>
      </c>
      <c r="G57">
        <v>7216.9360349999997</v>
      </c>
      <c r="H57">
        <v>7269.7807620000003</v>
      </c>
      <c r="I57">
        <v>7165.4267579999996</v>
      </c>
      <c r="J57">
        <v>7037.9384769999997</v>
      </c>
      <c r="K57">
        <v>7035.4882809999999</v>
      </c>
      <c r="L57">
        <v>7014.8710940000001</v>
      </c>
      <c r="M57">
        <v>6735.0825199999999</v>
      </c>
      <c r="N57">
        <v>6775.8115230000003</v>
      </c>
      <c r="O57">
        <v>6907.5629879999997</v>
      </c>
      <c r="P57">
        <v>6905.5004879999997</v>
      </c>
    </row>
    <row r="58" spans="1:16" ht="13.15" x14ac:dyDescent="0.4">
      <c r="A58" s="41">
        <v>9</v>
      </c>
      <c r="B58">
        <v>6502.4375</v>
      </c>
      <c r="C58">
        <v>6107.4077150000003</v>
      </c>
      <c r="D58">
        <v>6408.111328</v>
      </c>
      <c r="E58">
        <v>6140.8359380000002</v>
      </c>
      <c r="F58">
        <v>6310.2250979999999</v>
      </c>
      <c r="G58">
        <v>6247.8559569999998</v>
      </c>
      <c r="H58">
        <v>6300.841797</v>
      </c>
      <c r="I58">
        <v>6231.408203</v>
      </c>
      <c r="J58">
        <v>6124.5942379999997</v>
      </c>
      <c r="K58">
        <v>6122.4965819999998</v>
      </c>
      <c r="L58">
        <v>6049.8798829999996</v>
      </c>
      <c r="M58">
        <v>5806.2514650000003</v>
      </c>
      <c r="N58">
        <v>5860.8461909999996</v>
      </c>
      <c r="O58">
        <v>5963.5473629999997</v>
      </c>
      <c r="P58">
        <v>5980.6186520000001</v>
      </c>
    </row>
    <row r="59" spans="1:16" ht="13.15" x14ac:dyDescent="0.4">
      <c r="A59" s="41">
        <v>10</v>
      </c>
      <c r="B59">
        <v>5575.216797</v>
      </c>
      <c r="C59">
        <v>5233.8920900000003</v>
      </c>
      <c r="D59">
        <v>5489.185547</v>
      </c>
      <c r="E59">
        <v>5234.0419920000004</v>
      </c>
      <c r="F59">
        <v>5412.4682620000003</v>
      </c>
      <c r="G59">
        <v>5331.3315430000002</v>
      </c>
      <c r="H59">
        <v>5390.1767579999996</v>
      </c>
      <c r="I59">
        <v>5314.2622069999998</v>
      </c>
      <c r="J59">
        <v>5252.0805659999996</v>
      </c>
      <c r="K59">
        <v>5259.4648440000001</v>
      </c>
      <c r="L59">
        <v>5144.4492190000001</v>
      </c>
      <c r="M59">
        <v>4946.7304690000001</v>
      </c>
      <c r="N59">
        <v>4975.8051759999998</v>
      </c>
      <c r="O59">
        <v>5068.7070309999999</v>
      </c>
      <c r="P59">
        <v>5086.4965819999998</v>
      </c>
    </row>
    <row r="60" spans="1:16" ht="13.15" x14ac:dyDescent="0.4">
      <c r="A60" s="41">
        <v>11</v>
      </c>
      <c r="B60">
        <v>4739.9448240000002</v>
      </c>
      <c r="C60">
        <v>4463.6596680000002</v>
      </c>
      <c r="D60">
        <v>4684.2802730000003</v>
      </c>
      <c r="E60">
        <v>4449.6586909999996</v>
      </c>
      <c r="F60">
        <v>4614.1879879999997</v>
      </c>
      <c r="G60">
        <v>4531.064453</v>
      </c>
      <c r="H60">
        <v>4589.1728519999997</v>
      </c>
      <c r="I60">
        <v>4515.7553710000002</v>
      </c>
      <c r="J60">
        <v>4483.6586909999996</v>
      </c>
      <c r="K60">
        <v>4483.8618159999996</v>
      </c>
      <c r="L60">
        <v>4355.1801759999998</v>
      </c>
      <c r="M60">
        <v>4179.3891599999997</v>
      </c>
      <c r="N60">
        <v>4207.642578</v>
      </c>
      <c r="O60">
        <v>4279.794922</v>
      </c>
      <c r="P60">
        <v>4307.1494140000004</v>
      </c>
    </row>
    <row r="61" spans="1:16" ht="13.15" x14ac:dyDescent="0.4">
      <c r="A61" s="41">
        <v>12</v>
      </c>
      <c r="B61">
        <v>3969.0771479999999</v>
      </c>
      <c r="C61">
        <v>3752.7973630000001</v>
      </c>
      <c r="D61">
        <v>3914.2397460000002</v>
      </c>
      <c r="E61">
        <v>3732.6545409999999</v>
      </c>
      <c r="F61">
        <v>3840.9528810000002</v>
      </c>
      <c r="G61">
        <v>3783.9494629999999</v>
      </c>
      <c r="H61">
        <v>3840.4389649999998</v>
      </c>
      <c r="I61">
        <v>3779.2321780000002</v>
      </c>
      <c r="J61">
        <v>3745.9035640000002</v>
      </c>
      <c r="K61">
        <v>3755.0515140000002</v>
      </c>
      <c r="L61">
        <v>3611.0739749999998</v>
      </c>
      <c r="M61">
        <v>3469.5720209999999</v>
      </c>
      <c r="N61">
        <v>3498.095703</v>
      </c>
      <c r="O61">
        <v>3561.0317380000001</v>
      </c>
      <c r="P61">
        <v>3576.4895019999999</v>
      </c>
    </row>
    <row r="62" spans="1:16" ht="13.15" x14ac:dyDescent="0.4">
      <c r="A62" s="41">
        <v>13</v>
      </c>
      <c r="B62">
        <v>3282.6281739999999</v>
      </c>
      <c r="C62">
        <v>3104.2915039999998</v>
      </c>
      <c r="D62">
        <v>3240.076172</v>
      </c>
      <c r="E62">
        <v>3093.7890619999998</v>
      </c>
      <c r="F62">
        <v>3177.9533689999998</v>
      </c>
      <c r="G62">
        <v>3139.5551759999998</v>
      </c>
      <c r="H62">
        <v>3176.8208009999998</v>
      </c>
      <c r="I62">
        <v>3128.1364749999998</v>
      </c>
      <c r="J62">
        <v>3119.0744629999999</v>
      </c>
      <c r="K62">
        <v>3110.8559570000002</v>
      </c>
      <c r="L62">
        <v>2962.2246089999999</v>
      </c>
      <c r="M62">
        <v>2858.2673340000001</v>
      </c>
      <c r="N62">
        <v>2864.9428710000002</v>
      </c>
      <c r="O62">
        <v>2915.4140619999998</v>
      </c>
      <c r="P62">
        <v>2928.4396969999998</v>
      </c>
    </row>
    <row r="63" spans="1:16" ht="13.15" x14ac:dyDescent="0.4">
      <c r="A63" s="41">
        <v>14</v>
      </c>
      <c r="B63">
        <v>2692.4882809999999</v>
      </c>
      <c r="C63">
        <v>2537.1123050000001</v>
      </c>
      <c r="D63">
        <v>2656.6313479999999</v>
      </c>
      <c r="E63">
        <v>2519.6564939999998</v>
      </c>
      <c r="F63">
        <v>2582.858643</v>
      </c>
      <c r="G63">
        <v>2550.1047359999998</v>
      </c>
      <c r="H63">
        <v>2588.2524410000001</v>
      </c>
      <c r="I63">
        <v>2553.4104000000002</v>
      </c>
      <c r="J63">
        <v>2542.1884770000001</v>
      </c>
      <c r="K63">
        <v>2546.1733399999998</v>
      </c>
      <c r="L63">
        <v>2376.0905760000001</v>
      </c>
      <c r="M63">
        <v>2303.783203</v>
      </c>
      <c r="N63">
        <v>2299.9104000000002</v>
      </c>
      <c r="O63">
        <v>2351.7543949999999</v>
      </c>
      <c r="P63">
        <v>2348.938721</v>
      </c>
    </row>
    <row r="64" spans="1:16" ht="13.15" x14ac:dyDescent="0.4">
      <c r="A64" s="41">
        <v>15</v>
      </c>
      <c r="B64">
        <v>2141.3872070000002</v>
      </c>
      <c r="C64">
        <v>2029.830322</v>
      </c>
      <c r="D64">
        <v>2116.766846</v>
      </c>
      <c r="E64">
        <v>1997.5576169999999</v>
      </c>
      <c r="F64">
        <v>2056.7272950000001</v>
      </c>
      <c r="G64">
        <v>2011.4174800000001</v>
      </c>
      <c r="H64">
        <v>2066.9643550000001</v>
      </c>
      <c r="I64">
        <v>2033.20874</v>
      </c>
      <c r="J64">
        <v>2026.6361079999999</v>
      </c>
      <c r="K64">
        <v>2025.1173100000001</v>
      </c>
      <c r="L64">
        <v>1882.255005</v>
      </c>
      <c r="M64">
        <v>1814.915283</v>
      </c>
      <c r="N64">
        <v>1786.9807129999999</v>
      </c>
      <c r="O64">
        <v>1845.5535890000001</v>
      </c>
      <c r="P64">
        <v>1846.9506839999999</v>
      </c>
    </row>
    <row r="65" spans="1:16" ht="13.15" x14ac:dyDescent="0.4">
      <c r="A65" s="41">
        <v>16</v>
      </c>
      <c r="B65">
        <v>1696.305298</v>
      </c>
      <c r="C65">
        <v>1596.848999</v>
      </c>
      <c r="D65">
        <v>1668.510254</v>
      </c>
      <c r="E65">
        <v>1559.946899</v>
      </c>
      <c r="F65">
        <v>1621.7827150000001</v>
      </c>
      <c r="G65">
        <v>1580.626953</v>
      </c>
      <c r="H65">
        <v>1629.7320560000001</v>
      </c>
      <c r="I65">
        <v>1597.3688959999999</v>
      </c>
      <c r="J65">
        <v>1599.0535890000001</v>
      </c>
      <c r="K65">
        <v>1595.5363769999999</v>
      </c>
      <c r="L65">
        <v>1459.615356</v>
      </c>
      <c r="M65">
        <v>1405.0333250000001</v>
      </c>
      <c r="N65">
        <v>1391.2821039999999</v>
      </c>
      <c r="O65">
        <v>1425.3645019999999</v>
      </c>
      <c r="P65">
        <v>1431.0878909999999</v>
      </c>
    </row>
    <row r="66" spans="1:16" ht="13.15" x14ac:dyDescent="0.4">
      <c r="A66" s="41">
        <v>17</v>
      </c>
      <c r="B66">
        <v>1323.355957</v>
      </c>
      <c r="C66">
        <v>1243.6136469999999</v>
      </c>
      <c r="D66">
        <v>1293.718018</v>
      </c>
      <c r="E66">
        <v>1199.063721</v>
      </c>
      <c r="F66">
        <v>1251.744629</v>
      </c>
      <c r="G66">
        <v>1218.1179199999999</v>
      </c>
      <c r="H66">
        <v>1255.5417480000001</v>
      </c>
      <c r="I66">
        <v>1248.022217</v>
      </c>
      <c r="J66">
        <v>1233.6807859999999</v>
      </c>
      <c r="K66">
        <v>1238.2558590000001</v>
      </c>
      <c r="L66">
        <v>1091.9997559999999</v>
      </c>
      <c r="M66">
        <v>1072.378052</v>
      </c>
      <c r="N66">
        <v>1049.0942379999999</v>
      </c>
      <c r="O66">
        <v>1073.209351</v>
      </c>
      <c r="P66">
        <v>1069.1854249999999</v>
      </c>
    </row>
    <row r="67" spans="1:16" ht="13.15" x14ac:dyDescent="0.4">
      <c r="A67" s="41">
        <v>18</v>
      </c>
      <c r="B67">
        <v>1015.603394</v>
      </c>
      <c r="C67">
        <v>958.70666500000004</v>
      </c>
      <c r="D67">
        <v>1002.884949</v>
      </c>
      <c r="E67">
        <v>915.08422900000005</v>
      </c>
      <c r="F67">
        <v>961.25238000000002</v>
      </c>
      <c r="G67">
        <v>938.02447500000005</v>
      </c>
      <c r="H67">
        <v>959.93316700000003</v>
      </c>
      <c r="I67">
        <v>966.520081</v>
      </c>
      <c r="J67">
        <v>948.74255400000004</v>
      </c>
      <c r="K67">
        <v>959.08093299999996</v>
      </c>
      <c r="L67">
        <v>813.724243</v>
      </c>
      <c r="M67">
        <v>803.228027</v>
      </c>
      <c r="N67">
        <v>783.47631799999999</v>
      </c>
      <c r="O67">
        <v>798.07720900000004</v>
      </c>
      <c r="P67">
        <v>794.46295199999997</v>
      </c>
    </row>
    <row r="68" spans="1:16" ht="13.15" x14ac:dyDescent="0.4">
      <c r="A68" s="41">
        <v>19</v>
      </c>
      <c r="B68">
        <v>773.44390899999996</v>
      </c>
      <c r="C68">
        <v>735.10211200000003</v>
      </c>
      <c r="D68">
        <v>771.28576699999996</v>
      </c>
      <c r="E68">
        <v>696.54345699999999</v>
      </c>
      <c r="F68">
        <v>739.37066700000003</v>
      </c>
      <c r="G68">
        <v>718.64776600000005</v>
      </c>
      <c r="H68">
        <v>729.30902100000003</v>
      </c>
      <c r="I68">
        <v>738.83196999999996</v>
      </c>
      <c r="J68">
        <v>736.35320999999999</v>
      </c>
      <c r="K68">
        <v>732.32830799999999</v>
      </c>
      <c r="L68">
        <v>593.82543899999996</v>
      </c>
      <c r="M68">
        <v>601.62939500000005</v>
      </c>
      <c r="N68">
        <v>590.20355199999995</v>
      </c>
      <c r="O68">
        <v>591.50775099999998</v>
      </c>
      <c r="P68">
        <v>593.73803699999996</v>
      </c>
    </row>
    <row r="69" spans="1:16" ht="13.15" x14ac:dyDescent="0.4">
      <c r="A69" s="41">
        <v>20</v>
      </c>
      <c r="B69">
        <v>592.31970200000001</v>
      </c>
      <c r="C69">
        <v>562.26092500000004</v>
      </c>
      <c r="D69">
        <v>587.00256300000001</v>
      </c>
      <c r="E69">
        <v>526.50854500000003</v>
      </c>
      <c r="F69">
        <v>560.17205799999999</v>
      </c>
      <c r="G69">
        <v>554.81201199999998</v>
      </c>
      <c r="H69">
        <v>556.95898399999999</v>
      </c>
      <c r="I69">
        <v>554.30157499999996</v>
      </c>
      <c r="J69">
        <v>565.32019000000003</v>
      </c>
      <c r="K69">
        <v>562.21984899999995</v>
      </c>
      <c r="L69">
        <v>438.41711400000003</v>
      </c>
      <c r="M69">
        <v>443.12994400000002</v>
      </c>
      <c r="N69">
        <v>440.93643200000002</v>
      </c>
      <c r="O69">
        <v>438.16696200000001</v>
      </c>
      <c r="P69">
        <v>443.633759</v>
      </c>
    </row>
    <row r="70" spans="1:16" ht="13.15" x14ac:dyDescent="0.4">
      <c r="A70" s="41">
        <v>21</v>
      </c>
      <c r="B70">
        <v>454.59396400000003</v>
      </c>
      <c r="C70">
        <v>431.224762</v>
      </c>
      <c r="D70">
        <v>443.45373499999999</v>
      </c>
      <c r="E70">
        <v>400.21704099999999</v>
      </c>
      <c r="F70">
        <v>425.59670999999997</v>
      </c>
      <c r="G70">
        <v>428.40167200000002</v>
      </c>
      <c r="H70">
        <v>430.52191199999999</v>
      </c>
      <c r="I70">
        <v>416.303406</v>
      </c>
      <c r="J70">
        <v>437.39590500000003</v>
      </c>
      <c r="K70">
        <v>429.75692700000002</v>
      </c>
      <c r="L70">
        <v>329.15795900000001</v>
      </c>
      <c r="M70">
        <v>328.43335000000002</v>
      </c>
      <c r="N70">
        <v>319.65692100000001</v>
      </c>
      <c r="O70">
        <v>325.364532</v>
      </c>
      <c r="P70">
        <v>325.51889</v>
      </c>
    </row>
    <row r="71" spans="1:16" ht="13.15" x14ac:dyDescent="0.4">
      <c r="A71" s="41">
        <v>22</v>
      </c>
      <c r="B71">
        <v>342.03539999999998</v>
      </c>
      <c r="C71">
        <v>333.03552200000001</v>
      </c>
      <c r="D71">
        <v>342.062408</v>
      </c>
      <c r="E71">
        <v>307.79144300000002</v>
      </c>
      <c r="F71">
        <v>323.47467</v>
      </c>
      <c r="G71">
        <v>325.28268400000002</v>
      </c>
      <c r="H71">
        <v>341.698059</v>
      </c>
      <c r="I71">
        <v>314.35879499999999</v>
      </c>
      <c r="J71">
        <v>340.31366000000003</v>
      </c>
      <c r="K71">
        <v>328.43069500000001</v>
      </c>
      <c r="L71">
        <v>245.34002699999999</v>
      </c>
      <c r="M71">
        <v>246.80877699999999</v>
      </c>
      <c r="N71">
        <v>240.27075199999999</v>
      </c>
      <c r="O71">
        <v>245.6978</v>
      </c>
      <c r="P71">
        <v>243.43611100000001</v>
      </c>
    </row>
    <row r="72" spans="1:16" ht="13.15" x14ac:dyDescent="0.4">
      <c r="A72" s="41">
        <v>23</v>
      </c>
      <c r="B72">
        <v>264.35412600000001</v>
      </c>
      <c r="C72">
        <v>262.24789399999997</v>
      </c>
      <c r="D72">
        <v>264.15115400000002</v>
      </c>
      <c r="E72">
        <v>230.358521</v>
      </c>
      <c r="F72">
        <v>247.10359199999999</v>
      </c>
      <c r="G72">
        <v>250.829971</v>
      </c>
      <c r="H72">
        <v>259.05480999999997</v>
      </c>
      <c r="I72">
        <v>241.896423</v>
      </c>
      <c r="J72">
        <v>262.68289199999998</v>
      </c>
      <c r="K72">
        <v>254.546967</v>
      </c>
      <c r="L72">
        <v>183.41336100000001</v>
      </c>
      <c r="M72">
        <v>181.72022999999999</v>
      </c>
      <c r="N72">
        <v>179.01492300000001</v>
      </c>
      <c r="O72">
        <v>182.598938</v>
      </c>
      <c r="P72">
        <v>179.808762</v>
      </c>
    </row>
    <row r="73" spans="1:16" ht="13.15" x14ac:dyDescent="0.4">
      <c r="A73" s="41">
        <v>24</v>
      </c>
      <c r="B73">
        <v>205.30050700000001</v>
      </c>
      <c r="C73">
        <v>205.51242099999999</v>
      </c>
      <c r="D73">
        <v>204.20573400000001</v>
      </c>
      <c r="E73">
        <v>173.73899800000001</v>
      </c>
      <c r="F73">
        <v>192.250473</v>
      </c>
      <c r="G73">
        <v>191.506699</v>
      </c>
      <c r="H73">
        <v>200.07437100000001</v>
      </c>
      <c r="I73">
        <v>187.72726399999999</v>
      </c>
      <c r="J73">
        <v>201.87503100000001</v>
      </c>
      <c r="K73">
        <v>193.50495900000001</v>
      </c>
      <c r="L73">
        <v>139.63082900000001</v>
      </c>
      <c r="M73">
        <v>137.21371500000001</v>
      </c>
      <c r="N73">
        <v>127.79235799999999</v>
      </c>
      <c r="O73">
        <v>131.83784499999999</v>
      </c>
      <c r="P73">
        <v>132.879211</v>
      </c>
    </row>
    <row r="74" spans="1:16" ht="13.15" x14ac:dyDescent="0.4">
      <c r="A74" s="41">
        <v>25</v>
      </c>
      <c r="B74">
        <v>155.16438299999999</v>
      </c>
      <c r="C74">
        <v>159.84298699999999</v>
      </c>
      <c r="D74">
        <v>155.644623</v>
      </c>
      <c r="E74">
        <v>133.69966099999999</v>
      </c>
      <c r="F74">
        <v>146.392563</v>
      </c>
      <c r="G74">
        <v>146.11840799999999</v>
      </c>
      <c r="H74">
        <v>155.39756800000001</v>
      </c>
      <c r="I74">
        <v>143.148697</v>
      </c>
      <c r="J74">
        <v>157.01391599999999</v>
      </c>
      <c r="K74">
        <v>151.81343100000001</v>
      </c>
      <c r="L74">
        <v>103.934242</v>
      </c>
      <c r="M74">
        <v>103.965782</v>
      </c>
      <c r="N74">
        <v>93.467963999999995</v>
      </c>
      <c r="O74">
        <v>97.644608000000005</v>
      </c>
      <c r="P74">
        <v>95.265251000000006</v>
      </c>
    </row>
    <row r="75" spans="1:16" ht="13.15" x14ac:dyDescent="0.4">
      <c r="A75" s="41">
        <v>26</v>
      </c>
      <c r="B75">
        <v>114.342079</v>
      </c>
      <c r="C75">
        <v>122.604843</v>
      </c>
      <c r="D75">
        <v>117.934151</v>
      </c>
      <c r="E75">
        <v>101.42124200000001</v>
      </c>
      <c r="F75">
        <v>110.235367</v>
      </c>
      <c r="G75">
        <v>107.498558</v>
      </c>
      <c r="H75">
        <v>114.782295</v>
      </c>
      <c r="I75">
        <v>107.62793000000001</v>
      </c>
      <c r="J75">
        <v>118.636635</v>
      </c>
      <c r="K75">
        <v>115.223404</v>
      </c>
      <c r="L75">
        <v>79.676345999999995</v>
      </c>
      <c r="M75">
        <v>77.050781000000001</v>
      </c>
      <c r="N75">
        <v>66.184471000000002</v>
      </c>
      <c r="O75">
        <v>72.792823999999996</v>
      </c>
      <c r="P75">
        <v>70.833754999999996</v>
      </c>
    </row>
    <row r="76" spans="1:16" ht="13.15" x14ac:dyDescent="0.4">
      <c r="A76" s="41">
        <v>27</v>
      </c>
      <c r="B76">
        <v>82.833602999999997</v>
      </c>
      <c r="C76">
        <v>92.744063999999995</v>
      </c>
      <c r="D76">
        <v>90.896454000000006</v>
      </c>
      <c r="E76">
        <v>74.434371999999996</v>
      </c>
      <c r="F76">
        <v>82.544242999999994</v>
      </c>
      <c r="G76">
        <v>84.207206999999997</v>
      </c>
      <c r="H76">
        <v>84.762314000000003</v>
      </c>
      <c r="I76">
        <v>77.435271999999998</v>
      </c>
      <c r="J76">
        <v>87.268897999999993</v>
      </c>
      <c r="K76">
        <v>83.207130000000006</v>
      </c>
      <c r="L76">
        <v>55.812885000000001</v>
      </c>
      <c r="M76">
        <v>59.811107999999997</v>
      </c>
      <c r="N76">
        <v>46.117905</v>
      </c>
      <c r="O76">
        <v>52.699885999999999</v>
      </c>
      <c r="P76">
        <v>54.311737000000001</v>
      </c>
    </row>
    <row r="77" spans="1:16" ht="13.15" x14ac:dyDescent="0.4">
      <c r="A77" s="41">
        <v>28</v>
      </c>
      <c r="B77">
        <v>58.062786000000003</v>
      </c>
      <c r="C77">
        <v>70.085007000000004</v>
      </c>
      <c r="D77">
        <v>70.262428</v>
      </c>
      <c r="E77">
        <v>55.032051000000003</v>
      </c>
      <c r="F77">
        <v>60.497169</v>
      </c>
      <c r="G77">
        <v>64.100989999999996</v>
      </c>
      <c r="H77">
        <v>63.924908000000002</v>
      </c>
      <c r="I77">
        <v>59.319682999999998</v>
      </c>
      <c r="J77">
        <v>62.384995000000004</v>
      </c>
      <c r="K77">
        <v>63.680720999999998</v>
      </c>
      <c r="L77">
        <v>41.41592</v>
      </c>
      <c r="M77">
        <v>46.265652000000003</v>
      </c>
      <c r="N77">
        <v>33.620303999999997</v>
      </c>
      <c r="O77">
        <v>37.542060999999997</v>
      </c>
      <c r="P77">
        <v>37.789721999999998</v>
      </c>
    </row>
    <row r="78" spans="1:16" ht="13.15" x14ac:dyDescent="0.4">
      <c r="A78" s="41">
        <v>29</v>
      </c>
      <c r="B78">
        <v>40.624133999999998</v>
      </c>
      <c r="C78">
        <v>51.114628000000003</v>
      </c>
      <c r="D78">
        <v>52.474471999999999</v>
      </c>
      <c r="E78">
        <v>39.862960999999999</v>
      </c>
      <c r="F78">
        <v>45.857914000000001</v>
      </c>
      <c r="G78">
        <v>45.189208999999998</v>
      </c>
      <c r="H78">
        <v>49.091503000000003</v>
      </c>
      <c r="I78">
        <v>42.269714</v>
      </c>
      <c r="J78">
        <v>45.386837</v>
      </c>
      <c r="K78">
        <v>46.265273999999998</v>
      </c>
      <c r="L78">
        <v>30.174458000000001</v>
      </c>
      <c r="M78">
        <v>32.192450999999998</v>
      </c>
      <c r="N78">
        <v>23.410996999999998</v>
      </c>
      <c r="O78">
        <v>28.729369999999999</v>
      </c>
      <c r="P78">
        <v>27.946816999999999</v>
      </c>
    </row>
    <row r="79" spans="1:16" ht="13.15" x14ac:dyDescent="0.4">
      <c r="A79" s="41">
        <v>30</v>
      </c>
      <c r="B79">
        <v>29.328644000000001</v>
      </c>
      <c r="C79">
        <v>36.886845000000001</v>
      </c>
      <c r="D79">
        <v>37.888348000000001</v>
      </c>
      <c r="E79">
        <v>26.98687</v>
      </c>
      <c r="F79">
        <v>31.747786000000001</v>
      </c>
      <c r="G79">
        <v>33.244926</v>
      </c>
      <c r="H79">
        <v>34.258099000000001</v>
      </c>
      <c r="I79">
        <v>30.192654000000001</v>
      </c>
      <c r="J79">
        <v>33.821078999999997</v>
      </c>
      <c r="K79">
        <v>31.312619999999999</v>
      </c>
      <c r="L79">
        <v>21.496835999999998</v>
      </c>
      <c r="M79">
        <v>24.276274000000001</v>
      </c>
      <c r="N79">
        <v>17.074186000000001</v>
      </c>
      <c r="O79">
        <v>20.092934</v>
      </c>
      <c r="P79">
        <v>17.752379999999999</v>
      </c>
    </row>
    <row r="80" spans="1:16" ht="13.15" x14ac:dyDescent="0.4">
      <c r="A80" s="41">
        <v>38</v>
      </c>
      <c r="B80">
        <v>21.203817000000001</v>
      </c>
      <c r="C80">
        <v>24.415579000000001</v>
      </c>
      <c r="D80">
        <v>28.638608999999999</v>
      </c>
      <c r="E80">
        <v>19.402325000000001</v>
      </c>
      <c r="F80">
        <v>23.28171</v>
      </c>
      <c r="G80">
        <v>24.684854999999999</v>
      </c>
      <c r="H80">
        <v>24.015986999999999</v>
      </c>
      <c r="I80">
        <v>23.621310999999999</v>
      </c>
      <c r="J80">
        <v>24.533424</v>
      </c>
      <c r="K80">
        <v>22.341025999999999</v>
      </c>
      <c r="L80">
        <v>14.396963</v>
      </c>
      <c r="M80">
        <v>17.591502999999999</v>
      </c>
      <c r="N80">
        <v>11.969531999999999</v>
      </c>
      <c r="O80">
        <v>13.924049999999999</v>
      </c>
      <c r="P80">
        <v>11.600566000000001</v>
      </c>
    </row>
    <row r="81" spans="1:32" ht="13.15" x14ac:dyDescent="0.4">
      <c r="A81" s="41">
        <v>50</v>
      </c>
      <c r="B81">
        <v>16.249655000000001</v>
      </c>
      <c r="C81">
        <v>18.092119</v>
      </c>
      <c r="D81">
        <v>21.345547</v>
      </c>
      <c r="E81">
        <v>11.641396</v>
      </c>
      <c r="F81">
        <v>15.344763</v>
      </c>
      <c r="G81">
        <v>17.916428</v>
      </c>
      <c r="H81">
        <v>16.069521000000002</v>
      </c>
      <c r="I81">
        <v>15.806742</v>
      </c>
      <c r="J81">
        <v>18.049590999999999</v>
      </c>
      <c r="K81">
        <v>14.776742</v>
      </c>
      <c r="L81">
        <v>9.6637149999999998</v>
      </c>
      <c r="M81">
        <v>11.082646</v>
      </c>
      <c r="N81">
        <v>9.505217</v>
      </c>
      <c r="O81">
        <v>9.6939589999999995</v>
      </c>
      <c r="P81">
        <v>7.7337100000000003</v>
      </c>
    </row>
    <row r="82" spans="1:32" ht="13.15" x14ac:dyDescent="0.4">
      <c r="A82" s="41">
        <v>70</v>
      </c>
      <c r="B82">
        <v>11.691824</v>
      </c>
      <c r="C82">
        <v>13.876479</v>
      </c>
      <c r="D82">
        <v>16.009160999999999</v>
      </c>
      <c r="E82">
        <v>9.1720089999999992</v>
      </c>
      <c r="F82">
        <v>10.053466</v>
      </c>
      <c r="G82">
        <v>12.143356000000001</v>
      </c>
      <c r="H82">
        <v>11.654818000000001</v>
      </c>
      <c r="I82">
        <v>12.254664999999999</v>
      </c>
      <c r="J82">
        <v>12.266712</v>
      </c>
      <c r="K82">
        <v>8.7956800000000008</v>
      </c>
      <c r="L82">
        <v>6.9026540000000001</v>
      </c>
      <c r="M82">
        <v>7.5643459999999996</v>
      </c>
      <c r="N82">
        <v>7.2169239999999997</v>
      </c>
      <c r="O82">
        <v>6.3451370000000002</v>
      </c>
      <c r="P82">
        <v>4.7456860000000001</v>
      </c>
    </row>
    <row r="85" spans="1:32" ht="13.15" x14ac:dyDescent="0.4">
      <c r="B85" s="41" t="s">
        <v>113</v>
      </c>
    </row>
    <row r="86" spans="1:32" ht="13.5" x14ac:dyDescent="0.35">
      <c r="A86">
        <v>1</v>
      </c>
      <c r="B86" s="67">
        <v>5.0462610000000003</v>
      </c>
      <c r="C86" s="67">
        <v>12580.402344</v>
      </c>
      <c r="D86" s="67">
        <v>11118.528319999999</v>
      </c>
      <c r="E86" s="67">
        <v>9738.8935550000006</v>
      </c>
      <c r="F86" s="67">
        <v>8515.4130860000005</v>
      </c>
      <c r="G86" s="67">
        <v>7446.701172</v>
      </c>
      <c r="H86" s="67">
        <v>6502.4375</v>
      </c>
      <c r="I86" s="67">
        <v>5575.216797</v>
      </c>
      <c r="J86" s="67">
        <v>4739.9448240000002</v>
      </c>
      <c r="K86" s="67">
        <v>3969.0771479999999</v>
      </c>
      <c r="L86" s="67">
        <v>3282.6281739999999</v>
      </c>
      <c r="M86" s="67">
        <v>2692.4882809999999</v>
      </c>
      <c r="N86" s="67">
        <v>2141.3872070000002</v>
      </c>
      <c r="O86" s="67">
        <v>1696.305298</v>
      </c>
      <c r="P86" s="67">
        <v>1323.355957</v>
      </c>
      <c r="Q86" s="67">
        <v>1015.603394</v>
      </c>
      <c r="R86" s="67">
        <v>773.44390899999996</v>
      </c>
      <c r="S86" s="67">
        <v>592.31970200000001</v>
      </c>
      <c r="T86" s="67">
        <v>454.59396400000003</v>
      </c>
      <c r="U86" s="67">
        <v>342.03539999999998</v>
      </c>
      <c r="V86" s="67">
        <v>264.35412600000001</v>
      </c>
      <c r="W86" s="67">
        <v>205.30050700000001</v>
      </c>
      <c r="X86" s="67">
        <v>155.16438299999999</v>
      </c>
      <c r="Y86" s="67">
        <v>114.342079</v>
      </c>
      <c r="Z86" s="67">
        <v>82.833602999999997</v>
      </c>
      <c r="AA86" s="67">
        <v>58.062786000000003</v>
      </c>
      <c r="AB86" s="67">
        <v>40.624133999999998</v>
      </c>
      <c r="AC86" s="67">
        <v>29.328644000000001</v>
      </c>
      <c r="AD86" s="67">
        <v>21.203817000000001</v>
      </c>
      <c r="AE86" s="67">
        <v>16.249655000000001</v>
      </c>
      <c r="AF86" s="67">
        <v>11.691824</v>
      </c>
    </row>
    <row r="87" spans="1:32" ht="13.5" x14ac:dyDescent="0.35">
      <c r="A87">
        <v>2</v>
      </c>
      <c r="B87" s="67">
        <v>5.6930870000000002</v>
      </c>
      <c r="C87" s="67">
        <v>11835.758789</v>
      </c>
      <c r="D87" s="67">
        <v>10489.564453000001</v>
      </c>
      <c r="E87" s="67">
        <v>9220.8330079999996</v>
      </c>
      <c r="F87" s="67">
        <v>8065.3964839999999</v>
      </c>
      <c r="G87" s="67">
        <v>7023.7822269999997</v>
      </c>
      <c r="H87" s="67">
        <v>6107.4077150000003</v>
      </c>
      <c r="I87" s="67">
        <v>5233.8920900000003</v>
      </c>
      <c r="J87" s="67">
        <v>4463.6596680000002</v>
      </c>
      <c r="K87" s="67">
        <v>3752.7973630000001</v>
      </c>
      <c r="L87" s="67">
        <v>3104.2915039999998</v>
      </c>
      <c r="M87" s="67">
        <v>2537.1123050000001</v>
      </c>
      <c r="N87" s="67">
        <v>2029.830322</v>
      </c>
      <c r="O87" s="67">
        <v>1596.848999</v>
      </c>
      <c r="P87" s="67">
        <v>1243.6136469999999</v>
      </c>
      <c r="Q87" s="67">
        <v>958.70666500000004</v>
      </c>
      <c r="R87" s="67">
        <v>735.10211200000003</v>
      </c>
      <c r="S87" s="67">
        <v>562.26092500000004</v>
      </c>
      <c r="T87" s="67">
        <v>431.224762</v>
      </c>
      <c r="U87" s="67">
        <v>333.03552200000001</v>
      </c>
      <c r="V87" s="67">
        <v>262.24789399999997</v>
      </c>
      <c r="W87" s="67">
        <v>205.51242099999999</v>
      </c>
      <c r="X87" s="67">
        <v>159.84298699999999</v>
      </c>
      <c r="Y87" s="67">
        <v>122.604843</v>
      </c>
      <c r="Z87" s="67">
        <v>92.744063999999995</v>
      </c>
      <c r="AA87" s="67">
        <v>70.085007000000004</v>
      </c>
      <c r="AB87" s="67">
        <v>51.114628000000003</v>
      </c>
      <c r="AC87" s="67">
        <v>36.886845000000001</v>
      </c>
      <c r="AD87" s="67">
        <v>24.415579000000001</v>
      </c>
      <c r="AE87" s="67">
        <v>18.092119</v>
      </c>
      <c r="AF87" s="67">
        <v>13.876479</v>
      </c>
    </row>
    <row r="88" spans="1:32" ht="13.5" x14ac:dyDescent="0.35">
      <c r="A88">
        <v>3</v>
      </c>
      <c r="B88" s="67">
        <v>5.6217810000000004</v>
      </c>
      <c r="C88" s="67">
        <v>12467.934569999999</v>
      </c>
      <c r="D88" s="67">
        <v>11059.662109000001</v>
      </c>
      <c r="E88" s="67">
        <v>9703.6855469999991</v>
      </c>
      <c r="F88" s="67">
        <v>8484.8554690000001</v>
      </c>
      <c r="G88" s="67">
        <v>7390.1840819999998</v>
      </c>
      <c r="H88" s="67">
        <v>6408.111328</v>
      </c>
      <c r="I88" s="67">
        <v>5489.185547</v>
      </c>
      <c r="J88" s="67">
        <v>4684.2802730000003</v>
      </c>
      <c r="K88" s="67">
        <v>3914.2397460000002</v>
      </c>
      <c r="L88" s="67">
        <v>3240.076172</v>
      </c>
      <c r="M88" s="67">
        <v>2656.6313479999999</v>
      </c>
      <c r="N88" s="67">
        <v>2116.766846</v>
      </c>
      <c r="O88" s="67">
        <v>1668.510254</v>
      </c>
      <c r="P88" s="67">
        <v>1293.718018</v>
      </c>
      <c r="Q88" s="67">
        <v>1002.884949</v>
      </c>
      <c r="R88" s="67">
        <v>771.28576699999996</v>
      </c>
      <c r="S88" s="67">
        <v>587.00256300000001</v>
      </c>
      <c r="T88" s="67">
        <v>443.45373499999999</v>
      </c>
      <c r="U88" s="67">
        <v>342.062408</v>
      </c>
      <c r="V88" s="67">
        <v>264.15115400000002</v>
      </c>
      <c r="W88" s="67">
        <v>204.20573400000001</v>
      </c>
      <c r="X88" s="67">
        <v>155.644623</v>
      </c>
      <c r="Y88" s="67">
        <v>117.934151</v>
      </c>
      <c r="Z88" s="67">
        <v>90.896454000000006</v>
      </c>
      <c r="AA88" s="67">
        <v>70.262428</v>
      </c>
      <c r="AB88" s="67">
        <v>52.474471999999999</v>
      </c>
      <c r="AC88" s="67">
        <v>37.888348000000001</v>
      </c>
      <c r="AD88" s="67">
        <v>28.638608999999999</v>
      </c>
      <c r="AE88" s="67">
        <v>21.345547</v>
      </c>
      <c r="AF88" s="67">
        <v>16.009160999999999</v>
      </c>
    </row>
    <row r="89" spans="1:32" ht="13.5" x14ac:dyDescent="0.35">
      <c r="A89">
        <v>4</v>
      </c>
      <c r="B89" s="67">
        <v>5.6694240000000002</v>
      </c>
      <c r="C89" s="67">
        <v>12081.651367</v>
      </c>
      <c r="D89" s="67">
        <v>10677.628906</v>
      </c>
      <c r="E89" s="67">
        <v>9350.8623050000006</v>
      </c>
      <c r="F89" s="67">
        <v>8144.5668949999999</v>
      </c>
      <c r="G89" s="67">
        <v>7073.2060549999997</v>
      </c>
      <c r="H89" s="67">
        <v>6140.8359380000002</v>
      </c>
      <c r="I89" s="67">
        <v>5234.0419920000004</v>
      </c>
      <c r="J89" s="67">
        <v>4449.6586909999996</v>
      </c>
      <c r="K89" s="67">
        <v>3732.6545409999999</v>
      </c>
      <c r="L89" s="67">
        <v>3093.7890619999998</v>
      </c>
      <c r="M89" s="67">
        <v>2519.6564939999998</v>
      </c>
      <c r="N89" s="67">
        <v>1997.5576169999999</v>
      </c>
      <c r="O89" s="67">
        <v>1559.946899</v>
      </c>
      <c r="P89" s="67">
        <v>1199.063721</v>
      </c>
      <c r="Q89" s="67">
        <v>915.08422900000005</v>
      </c>
      <c r="R89" s="67">
        <v>696.54345699999999</v>
      </c>
      <c r="S89" s="67">
        <v>526.50854500000003</v>
      </c>
      <c r="T89" s="67">
        <v>400.21704099999999</v>
      </c>
      <c r="U89" s="67">
        <v>307.79144300000002</v>
      </c>
      <c r="V89" s="67">
        <v>230.358521</v>
      </c>
      <c r="W89" s="67">
        <v>173.73899800000001</v>
      </c>
      <c r="X89" s="67">
        <v>133.69966099999999</v>
      </c>
      <c r="Y89" s="67">
        <v>101.42124200000001</v>
      </c>
      <c r="Z89" s="67">
        <v>74.434371999999996</v>
      </c>
      <c r="AA89" s="67">
        <v>55.032051000000003</v>
      </c>
      <c r="AB89" s="67">
        <v>39.862960999999999</v>
      </c>
      <c r="AC89" s="67">
        <v>26.98687</v>
      </c>
      <c r="AD89" s="67">
        <v>19.402325000000001</v>
      </c>
      <c r="AE89" s="67">
        <v>11.641396</v>
      </c>
      <c r="AF89" s="67">
        <v>9.1720089999999992</v>
      </c>
    </row>
    <row r="90" spans="1:32" ht="13.5" x14ac:dyDescent="0.35">
      <c r="A90">
        <v>5</v>
      </c>
      <c r="B90" s="67">
        <v>5.6696869999999997</v>
      </c>
      <c r="C90" s="67">
        <v>12443.544921999999</v>
      </c>
      <c r="D90" s="67">
        <v>10988.084961</v>
      </c>
      <c r="E90" s="67">
        <v>9615.1699219999991</v>
      </c>
      <c r="F90" s="67">
        <v>8390.7636719999991</v>
      </c>
      <c r="G90" s="67">
        <v>7291.9370120000003</v>
      </c>
      <c r="H90" s="67">
        <v>6310.2250979999999</v>
      </c>
      <c r="I90" s="67">
        <v>5412.4682620000003</v>
      </c>
      <c r="J90" s="67">
        <v>4614.1879879999997</v>
      </c>
      <c r="K90" s="67">
        <v>3840.9528810000002</v>
      </c>
      <c r="L90" s="67">
        <v>3177.9533689999998</v>
      </c>
      <c r="M90" s="67">
        <v>2582.858643</v>
      </c>
      <c r="N90" s="67">
        <v>2056.7272950000001</v>
      </c>
      <c r="O90" s="67">
        <v>1621.7827150000001</v>
      </c>
      <c r="P90" s="67">
        <v>1251.744629</v>
      </c>
      <c r="Q90" s="67">
        <v>961.25238000000002</v>
      </c>
      <c r="R90" s="67">
        <v>739.37066700000003</v>
      </c>
      <c r="S90" s="67">
        <v>560.17205799999999</v>
      </c>
      <c r="T90" s="67">
        <v>425.59670999999997</v>
      </c>
      <c r="U90" s="67">
        <v>323.47467</v>
      </c>
      <c r="V90" s="67">
        <v>247.10359199999999</v>
      </c>
      <c r="W90" s="67">
        <v>192.250473</v>
      </c>
      <c r="X90" s="67">
        <v>146.392563</v>
      </c>
      <c r="Y90" s="67">
        <v>110.235367</v>
      </c>
      <c r="Z90" s="67">
        <v>82.544242999999994</v>
      </c>
      <c r="AA90" s="67">
        <v>60.497169</v>
      </c>
      <c r="AB90" s="67">
        <v>45.857914000000001</v>
      </c>
      <c r="AC90" s="67">
        <v>31.747786000000001</v>
      </c>
      <c r="AD90" s="67">
        <v>23.28171</v>
      </c>
      <c r="AE90" s="67">
        <v>15.344763</v>
      </c>
      <c r="AF90" s="67">
        <v>10.053466</v>
      </c>
    </row>
    <row r="91" spans="1:32" ht="13.5" x14ac:dyDescent="0.35">
      <c r="A91">
        <v>1</v>
      </c>
      <c r="B91" s="67">
        <v>5.0233230000000004</v>
      </c>
      <c r="C91" s="67">
        <v>12360.742188</v>
      </c>
      <c r="D91" s="67">
        <v>10908.714844</v>
      </c>
      <c r="E91" s="67">
        <v>9542.0898440000001</v>
      </c>
      <c r="F91" s="67">
        <v>8313.2216800000006</v>
      </c>
      <c r="G91" s="67">
        <v>7216.9360349999997</v>
      </c>
      <c r="H91" s="67">
        <v>6247.8559569999998</v>
      </c>
      <c r="I91" s="67">
        <v>5331.3315430000002</v>
      </c>
      <c r="J91" s="67">
        <v>4531.064453</v>
      </c>
      <c r="K91" s="67">
        <v>3783.9494629999999</v>
      </c>
      <c r="L91" s="67">
        <v>3139.5551759999998</v>
      </c>
      <c r="M91" s="67">
        <v>2550.1047359999998</v>
      </c>
      <c r="N91" s="67">
        <v>2011.4174800000001</v>
      </c>
      <c r="O91" s="67">
        <v>1580.626953</v>
      </c>
      <c r="P91" s="67">
        <v>1218.1179199999999</v>
      </c>
      <c r="Q91" s="67">
        <v>938.02447500000005</v>
      </c>
      <c r="R91" s="67">
        <v>718.64776600000005</v>
      </c>
      <c r="S91" s="67">
        <v>554.81201199999998</v>
      </c>
      <c r="T91" s="67">
        <v>428.40167200000002</v>
      </c>
      <c r="U91" s="67">
        <v>325.28268400000002</v>
      </c>
      <c r="V91" s="67">
        <v>250.829971</v>
      </c>
      <c r="W91" s="67">
        <v>191.506699</v>
      </c>
      <c r="X91" s="67">
        <v>146.11840799999999</v>
      </c>
      <c r="Y91" s="67">
        <v>107.498558</v>
      </c>
      <c r="Z91" s="67">
        <v>84.207206999999997</v>
      </c>
      <c r="AA91" s="67">
        <v>64.100989999999996</v>
      </c>
      <c r="AB91" s="67">
        <v>45.189208999999998</v>
      </c>
      <c r="AC91" s="67">
        <v>33.244926</v>
      </c>
      <c r="AD91" s="67">
        <v>24.684854999999999</v>
      </c>
      <c r="AE91" s="67">
        <v>17.916428</v>
      </c>
      <c r="AF91" s="67">
        <v>12.143356000000001</v>
      </c>
    </row>
    <row r="92" spans="1:32" ht="13.5" x14ac:dyDescent="0.35">
      <c r="A92">
        <v>2</v>
      </c>
      <c r="B92" s="67">
        <v>5.6628939999999997</v>
      </c>
      <c r="C92" s="67">
        <v>12372.648438</v>
      </c>
      <c r="D92" s="67">
        <v>10908.026367</v>
      </c>
      <c r="E92" s="67">
        <v>9550.0634769999997</v>
      </c>
      <c r="F92" s="67">
        <v>8351.5595699999994</v>
      </c>
      <c r="G92" s="67">
        <v>7269.7807620000003</v>
      </c>
      <c r="H92" s="67">
        <v>6300.841797</v>
      </c>
      <c r="I92" s="67">
        <v>5390.1767579999996</v>
      </c>
      <c r="J92" s="67">
        <v>4589.1728519999997</v>
      </c>
      <c r="K92" s="67">
        <v>3840.4389649999998</v>
      </c>
      <c r="L92" s="67">
        <v>3176.8208009999998</v>
      </c>
      <c r="M92" s="67">
        <v>2588.2524410000001</v>
      </c>
      <c r="N92" s="67">
        <v>2066.9643550000001</v>
      </c>
      <c r="O92" s="67">
        <v>1629.7320560000001</v>
      </c>
      <c r="P92" s="67">
        <v>1255.5417480000001</v>
      </c>
      <c r="Q92" s="67">
        <v>959.93316700000003</v>
      </c>
      <c r="R92" s="67">
        <v>729.30902100000003</v>
      </c>
      <c r="S92" s="67">
        <v>556.95898399999999</v>
      </c>
      <c r="T92" s="67">
        <v>430.52191199999999</v>
      </c>
      <c r="U92" s="67">
        <v>341.698059</v>
      </c>
      <c r="V92" s="67">
        <v>259.05480999999997</v>
      </c>
      <c r="W92" s="67">
        <v>200.07437100000001</v>
      </c>
      <c r="X92" s="67">
        <v>155.39756800000001</v>
      </c>
      <c r="Y92" s="67">
        <v>114.782295</v>
      </c>
      <c r="Z92" s="67">
        <v>84.762314000000003</v>
      </c>
      <c r="AA92" s="67">
        <v>63.924908000000002</v>
      </c>
      <c r="AB92" s="67">
        <v>49.091503000000003</v>
      </c>
      <c r="AC92" s="67">
        <v>34.258099000000001</v>
      </c>
      <c r="AD92" s="67">
        <v>24.015986999999999</v>
      </c>
      <c r="AE92" s="67">
        <v>16.069521000000002</v>
      </c>
      <c r="AF92" s="67">
        <v>11.654818000000001</v>
      </c>
    </row>
    <row r="93" spans="1:32" ht="13.5" x14ac:dyDescent="0.35">
      <c r="A93">
        <v>3</v>
      </c>
      <c r="B93" s="67">
        <v>5.630509</v>
      </c>
      <c r="C93" s="67">
        <v>12222.518555000001</v>
      </c>
      <c r="D93" s="67">
        <v>10773.803711</v>
      </c>
      <c r="E93" s="67">
        <v>9413.5361329999996</v>
      </c>
      <c r="F93" s="67">
        <v>8224.1230469999991</v>
      </c>
      <c r="G93" s="67">
        <v>7165.4267579999996</v>
      </c>
      <c r="H93" s="67">
        <v>6231.408203</v>
      </c>
      <c r="I93" s="67">
        <v>5314.2622069999998</v>
      </c>
      <c r="J93" s="67">
        <v>4515.7553710000002</v>
      </c>
      <c r="K93" s="67">
        <v>3779.2321780000002</v>
      </c>
      <c r="L93" s="67">
        <v>3128.1364749999998</v>
      </c>
      <c r="M93" s="67">
        <v>2553.4104000000002</v>
      </c>
      <c r="N93" s="67">
        <v>2033.20874</v>
      </c>
      <c r="O93" s="67">
        <v>1597.3688959999999</v>
      </c>
      <c r="P93" s="67">
        <v>1248.022217</v>
      </c>
      <c r="Q93" s="67">
        <v>966.520081</v>
      </c>
      <c r="R93" s="67">
        <v>738.83196999999996</v>
      </c>
      <c r="S93" s="67">
        <v>554.30157499999996</v>
      </c>
      <c r="T93" s="67">
        <v>416.303406</v>
      </c>
      <c r="U93" s="67">
        <v>314.35879499999999</v>
      </c>
      <c r="V93" s="67">
        <v>241.896423</v>
      </c>
      <c r="W93" s="67">
        <v>187.72726399999999</v>
      </c>
      <c r="X93" s="67">
        <v>143.148697</v>
      </c>
      <c r="Y93" s="67">
        <v>107.62793000000001</v>
      </c>
      <c r="Z93" s="67">
        <v>77.435271999999998</v>
      </c>
      <c r="AA93" s="67">
        <v>59.319682999999998</v>
      </c>
      <c r="AB93" s="67">
        <v>42.269714</v>
      </c>
      <c r="AC93" s="67">
        <v>30.192654000000001</v>
      </c>
      <c r="AD93" s="67">
        <v>23.621310999999999</v>
      </c>
      <c r="AE93" s="67">
        <v>15.806742</v>
      </c>
      <c r="AF93" s="67">
        <v>12.254664999999999</v>
      </c>
    </row>
    <row r="94" spans="1:32" ht="13.5" x14ac:dyDescent="0.35">
      <c r="A94">
        <v>4</v>
      </c>
      <c r="B94" s="67">
        <v>5.7065010000000003</v>
      </c>
      <c r="C94" s="67">
        <v>11912.204102</v>
      </c>
      <c r="D94" s="67">
        <v>10552.702148</v>
      </c>
      <c r="E94" s="67">
        <v>9244.7197269999997</v>
      </c>
      <c r="F94" s="67">
        <v>8068.1669920000004</v>
      </c>
      <c r="G94" s="67">
        <v>7037.9384769999997</v>
      </c>
      <c r="H94" s="67">
        <v>6124.5942379999997</v>
      </c>
      <c r="I94" s="67">
        <v>5252.0805659999996</v>
      </c>
      <c r="J94" s="67">
        <v>4483.6586909999996</v>
      </c>
      <c r="K94" s="67">
        <v>3745.9035640000002</v>
      </c>
      <c r="L94" s="67">
        <v>3119.0744629999999</v>
      </c>
      <c r="M94" s="67">
        <v>2542.1884770000001</v>
      </c>
      <c r="N94" s="67">
        <v>2026.6361079999999</v>
      </c>
      <c r="O94" s="67">
        <v>1599.0535890000001</v>
      </c>
      <c r="P94" s="67">
        <v>1233.6807859999999</v>
      </c>
      <c r="Q94" s="67">
        <v>948.74255400000004</v>
      </c>
      <c r="R94" s="67">
        <v>736.35320999999999</v>
      </c>
      <c r="S94" s="67">
        <v>565.32019000000003</v>
      </c>
      <c r="T94" s="67">
        <v>437.39590500000003</v>
      </c>
      <c r="U94" s="67">
        <v>340.31366000000003</v>
      </c>
      <c r="V94" s="67">
        <v>262.68289199999998</v>
      </c>
      <c r="W94" s="67">
        <v>201.87503100000001</v>
      </c>
      <c r="X94" s="67">
        <v>157.01391599999999</v>
      </c>
      <c r="Y94" s="67">
        <v>118.636635</v>
      </c>
      <c r="Z94" s="67">
        <v>87.268897999999993</v>
      </c>
      <c r="AA94" s="67">
        <v>62.384995000000004</v>
      </c>
      <c r="AB94" s="67">
        <v>45.386837</v>
      </c>
      <c r="AC94" s="67">
        <v>33.821078999999997</v>
      </c>
      <c r="AD94" s="67">
        <v>24.533424</v>
      </c>
      <c r="AE94" s="67">
        <v>18.049590999999999</v>
      </c>
      <c r="AF94" s="67">
        <v>12.266712</v>
      </c>
    </row>
    <row r="95" spans="1:32" ht="13.5" x14ac:dyDescent="0.35">
      <c r="A95">
        <v>5</v>
      </c>
      <c r="B95" s="67">
        <v>5.684609</v>
      </c>
      <c r="C95" s="67">
        <v>11836.522461</v>
      </c>
      <c r="D95" s="67">
        <v>10491.487305000001</v>
      </c>
      <c r="E95" s="67">
        <v>9214.8818360000005</v>
      </c>
      <c r="F95" s="67">
        <v>8064.0551759999998</v>
      </c>
      <c r="G95" s="67">
        <v>7035.4882809999999</v>
      </c>
      <c r="H95" s="67">
        <v>6122.4965819999998</v>
      </c>
      <c r="I95" s="67">
        <v>5259.4648440000001</v>
      </c>
      <c r="J95" s="67">
        <v>4483.8618159999996</v>
      </c>
      <c r="K95" s="67">
        <v>3755.0515140000002</v>
      </c>
      <c r="L95" s="67">
        <v>3110.8559570000002</v>
      </c>
      <c r="M95" s="67">
        <v>2546.1733399999998</v>
      </c>
      <c r="N95" s="67">
        <v>2025.1173100000001</v>
      </c>
      <c r="O95" s="67">
        <v>1595.5363769999999</v>
      </c>
      <c r="P95" s="67">
        <v>1238.2558590000001</v>
      </c>
      <c r="Q95" s="67">
        <v>959.08093299999996</v>
      </c>
      <c r="R95" s="67">
        <v>732.32830799999999</v>
      </c>
      <c r="S95" s="67">
        <v>562.21984899999995</v>
      </c>
      <c r="T95" s="67">
        <v>429.75692700000002</v>
      </c>
      <c r="U95" s="67">
        <v>328.43069500000001</v>
      </c>
      <c r="V95" s="67">
        <v>254.546967</v>
      </c>
      <c r="W95" s="67">
        <v>193.50495900000001</v>
      </c>
      <c r="X95" s="67">
        <v>151.81343100000001</v>
      </c>
      <c r="Y95" s="67">
        <v>115.223404</v>
      </c>
      <c r="Z95" s="67">
        <v>83.207130000000006</v>
      </c>
      <c r="AA95" s="67">
        <v>63.680720999999998</v>
      </c>
      <c r="AB95" s="67">
        <v>46.265273999999998</v>
      </c>
      <c r="AC95" s="67">
        <v>31.312619999999999</v>
      </c>
      <c r="AD95" s="67">
        <v>22.341025999999999</v>
      </c>
      <c r="AE95" s="67">
        <v>14.776742</v>
      </c>
      <c r="AF95" s="67">
        <v>8.7956800000000008</v>
      </c>
    </row>
    <row r="96" spans="1:32" ht="13.5" x14ac:dyDescent="0.35">
      <c r="A96">
        <v>1</v>
      </c>
      <c r="B96" s="67">
        <v>5.0705140000000002</v>
      </c>
      <c r="C96" s="67">
        <v>12126.1875</v>
      </c>
      <c r="D96" s="67">
        <v>10708.776367</v>
      </c>
      <c r="E96" s="67">
        <v>9376.7617190000001</v>
      </c>
      <c r="F96" s="67">
        <v>8122.2539059999999</v>
      </c>
      <c r="G96" s="67">
        <v>7014.8710940000001</v>
      </c>
      <c r="H96" s="67">
        <v>6049.8798829999996</v>
      </c>
      <c r="I96" s="67">
        <v>5144.4492190000001</v>
      </c>
      <c r="J96" s="67">
        <v>4355.1801759999998</v>
      </c>
      <c r="K96" s="67">
        <v>3611.0739749999998</v>
      </c>
      <c r="L96" s="67">
        <v>2962.2246089999999</v>
      </c>
      <c r="M96" s="67">
        <v>2376.0905760000001</v>
      </c>
      <c r="N96" s="67">
        <v>1882.255005</v>
      </c>
      <c r="O96" s="67">
        <v>1459.615356</v>
      </c>
      <c r="P96" s="67">
        <v>1091.9997559999999</v>
      </c>
      <c r="Q96" s="67">
        <v>813.724243</v>
      </c>
      <c r="R96" s="67">
        <v>593.82543899999996</v>
      </c>
      <c r="S96" s="67">
        <v>438.41711400000003</v>
      </c>
      <c r="T96" s="67">
        <v>329.15795900000001</v>
      </c>
      <c r="U96" s="67">
        <v>245.34002699999999</v>
      </c>
      <c r="V96" s="67">
        <v>183.41336100000001</v>
      </c>
      <c r="W96" s="67">
        <v>139.63082900000001</v>
      </c>
      <c r="X96" s="67">
        <v>103.934242</v>
      </c>
      <c r="Y96" s="67">
        <v>79.676345999999995</v>
      </c>
      <c r="Z96" s="67">
        <v>55.812885000000001</v>
      </c>
      <c r="AA96" s="67">
        <v>41.41592</v>
      </c>
      <c r="AB96" s="67">
        <v>30.174458000000001</v>
      </c>
      <c r="AC96" s="67">
        <v>21.496835999999998</v>
      </c>
      <c r="AD96" s="67">
        <v>14.396963</v>
      </c>
      <c r="AE96" s="67">
        <v>9.6637149999999998</v>
      </c>
      <c r="AF96" s="67">
        <v>6.9026540000000001</v>
      </c>
    </row>
    <row r="97" spans="1:32" ht="13.5" x14ac:dyDescent="0.35">
      <c r="A97">
        <v>2</v>
      </c>
      <c r="B97" s="67">
        <v>5.6845629999999998</v>
      </c>
      <c r="C97" s="67">
        <v>11685.859375</v>
      </c>
      <c r="D97" s="67">
        <v>10304.046875</v>
      </c>
      <c r="E97" s="67">
        <v>8972.3701170000004</v>
      </c>
      <c r="F97" s="67">
        <v>7780.7216799999997</v>
      </c>
      <c r="G97" s="67">
        <v>6735.0825199999999</v>
      </c>
      <c r="H97" s="67">
        <v>5806.2514650000003</v>
      </c>
      <c r="I97" s="67">
        <v>4946.7304690000001</v>
      </c>
      <c r="J97" s="67">
        <v>4179.3891599999997</v>
      </c>
      <c r="K97" s="67">
        <v>3469.5720209999999</v>
      </c>
      <c r="L97" s="67">
        <v>2858.2673340000001</v>
      </c>
      <c r="M97" s="67">
        <v>2303.783203</v>
      </c>
      <c r="N97" s="67">
        <v>1814.915283</v>
      </c>
      <c r="O97" s="67">
        <v>1405.0333250000001</v>
      </c>
      <c r="P97" s="67">
        <v>1072.378052</v>
      </c>
      <c r="Q97" s="67">
        <v>803.228027</v>
      </c>
      <c r="R97" s="67">
        <v>601.62939500000005</v>
      </c>
      <c r="S97" s="67">
        <v>443.12994400000002</v>
      </c>
      <c r="T97" s="67">
        <v>328.43335000000002</v>
      </c>
      <c r="U97" s="67">
        <v>246.80877699999999</v>
      </c>
      <c r="V97" s="67">
        <v>181.72022999999999</v>
      </c>
      <c r="W97" s="67">
        <v>137.21371500000001</v>
      </c>
      <c r="X97" s="67">
        <v>103.965782</v>
      </c>
      <c r="Y97" s="67">
        <v>77.050781000000001</v>
      </c>
      <c r="Z97" s="67">
        <v>59.811107999999997</v>
      </c>
      <c r="AA97" s="67">
        <v>46.265652000000003</v>
      </c>
      <c r="AB97" s="67">
        <v>32.192450999999998</v>
      </c>
      <c r="AC97" s="67">
        <v>24.276274000000001</v>
      </c>
      <c r="AD97" s="67">
        <v>17.591502999999999</v>
      </c>
      <c r="AE97" s="67">
        <v>11.082646</v>
      </c>
      <c r="AF97" s="67">
        <v>7.5643459999999996</v>
      </c>
    </row>
    <row r="98" spans="1:32" ht="13.5" x14ac:dyDescent="0.35">
      <c r="A98">
        <v>3</v>
      </c>
      <c r="B98" s="67">
        <v>5.6810910000000003</v>
      </c>
      <c r="C98" s="67">
        <v>11615.375</v>
      </c>
      <c r="D98" s="67">
        <v>10269.154296999999</v>
      </c>
      <c r="E98" s="67">
        <v>8970.6367190000001</v>
      </c>
      <c r="F98" s="67">
        <v>7822.2651370000003</v>
      </c>
      <c r="G98" s="67">
        <v>6775.8115230000003</v>
      </c>
      <c r="H98" s="67">
        <v>5860.8461909999996</v>
      </c>
      <c r="I98" s="67">
        <v>4975.8051759999998</v>
      </c>
      <c r="J98" s="67">
        <v>4207.642578</v>
      </c>
      <c r="K98" s="67">
        <v>3498.095703</v>
      </c>
      <c r="L98" s="67">
        <v>2864.9428710000002</v>
      </c>
      <c r="M98" s="67">
        <v>2299.9104000000002</v>
      </c>
      <c r="N98" s="67">
        <v>1786.9807129999999</v>
      </c>
      <c r="O98" s="67">
        <v>1391.2821039999999</v>
      </c>
      <c r="P98" s="67">
        <v>1049.0942379999999</v>
      </c>
      <c r="Q98" s="67">
        <v>783.47631799999999</v>
      </c>
      <c r="R98" s="67">
        <v>590.20355199999995</v>
      </c>
      <c r="S98" s="67">
        <v>440.93643200000002</v>
      </c>
      <c r="T98" s="67">
        <v>319.65692100000001</v>
      </c>
      <c r="U98" s="67">
        <v>240.27075199999999</v>
      </c>
      <c r="V98" s="67">
        <v>179.01492300000001</v>
      </c>
      <c r="W98" s="67">
        <v>127.79235799999999</v>
      </c>
      <c r="X98" s="67">
        <v>93.467963999999995</v>
      </c>
      <c r="Y98" s="67">
        <v>66.184471000000002</v>
      </c>
      <c r="Z98" s="67">
        <v>46.117905</v>
      </c>
      <c r="AA98" s="67">
        <v>33.620303999999997</v>
      </c>
      <c r="AB98" s="67">
        <v>23.410996999999998</v>
      </c>
      <c r="AC98" s="67">
        <v>17.074186000000001</v>
      </c>
      <c r="AD98" s="67">
        <v>11.969531999999999</v>
      </c>
      <c r="AE98" s="67">
        <v>9.505217</v>
      </c>
      <c r="AF98" s="67">
        <v>7.2169239999999997</v>
      </c>
    </row>
    <row r="99" spans="1:32" ht="13.5" x14ac:dyDescent="0.35">
      <c r="A99">
        <v>4</v>
      </c>
      <c r="B99" s="67">
        <v>5.6736360000000001</v>
      </c>
      <c r="C99" s="67">
        <v>11984.553711</v>
      </c>
      <c r="D99" s="67">
        <v>10570.292969</v>
      </c>
      <c r="E99" s="67">
        <v>9225.3007809999999</v>
      </c>
      <c r="F99" s="67">
        <v>7992.0522460000002</v>
      </c>
      <c r="G99" s="67">
        <v>6907.5629879999997</v>
      </c>
      <c r="H99" s="67">
        <v>5963.5473629999997</v>
      </c>
      <c r="I99" s="67">
        <v>5068.7070309999999</v>
      </c>
      <c r="J99" s="67">
        <v>4279.794922</v>
      </c>
      <c r="K99" s="67">
        <v>3561.0317380000001</v>
      </c>
      <c r="L99" s="67">
        <v>2915.4140619999998</v>
      </c>
      <c r="M99" s="67">
        <v>2351.7543949999999</v>
      </c>
      <c r="N99" s="67">
        <v>1845.5535890000001</v>
      </c>
      <c r="O99" s="67">
        <v>1425.3645019999999</v>
      </c>
      <c r="P99" s="67">
        <v>1073.209351</v>
      </c>
      <c r="Q99" s="67">
        <v>798.07720900000004</v>
      </c>
      <c r="R99" s="67">
        <v>591.50775099999998</v>
      </c>
      <c r="S99" s="67">
        <v>438.16696200000001</v>
      </c>
      <c r="T99" s="67">
        <v>325.364532</v>
      </c>
      <c r="U99" s="67">
        <v>245.6978</v>
      </c>
      <c r="V99" s="67">
        <v>182.598938</v>
      </c>
      <c r="W99" s="67">
        <v>131.83784499999999</v>
      </c>
      <c r="X99" s="67">
        <v>97.644608000000005</v>
      </c>
      <c r="Y99" s="67">
        <v>72.792823999999996</v>
      </c>
      <c r="Z99" s="67">
        <v>52.699885999999999</v>
      </c>
      <c r="AA99" s="67">
        <v>37.542060999999997</v>
      </c>
      <c r="AB99" s="67">
        <v>28.729369999999999</v>
      </c>
      <c r="AC99" s="67">
        <v>20.092934</v>
      </c>
      <c r="AD99" s="67">
        <v>13.924049999999999</v>
      </c>
      <c r="AE99" s="67">
        <v>9.6939589999999995</v>
      </c>
      <c r="AF99" s="67">
        <v>6.3451370000000002</v>
      </c>
    </row>
    <row r="100" spans="1:32" ht="13.5" x14ac:dyDescent="0.35">
      <c r="A100">
        <v>5</v>
      </c>
      <c r="B100" s="67">
        <v>5.6893779999999996</v>
      </c>
      <c r="C100" s="67">
        <v>11872.299805000001</v>
      </c>
      <c r="D100" s="67">
        <v>10495.875</v>
      </c>
      <c r="E100" s="67">
        <v>9170.4228519999997</v>
      </c>
      <c r="F100" s="67">
        <v>7966.2490230000003</v>
      </c>
      <c r="G100" s="67">
        <v>6905.5004879999997</v>
      </c>
      <c r="H100" s="67">
        <v>5980.6186520000001</v>
      </c>
      <c r="I100" s="67">
        <v>5086.4965819999998</v>
      </c>
      <c r="J100" s="67">
        <v>4307.1494140000004</v>
      </c>
      <c r="K100" s="67">
        <v>3576.4895019999999</v>
      </c>
      <c r="L100" s="67">
        <v>2928.4396969999998</v>
      </c>
      <c r="M100" s="67">
        <v>2348.938721</v>
      </c>
      <c r="N100" s="67">
        <v>1846.9506839999999</v>
      </c>
      <c r="O100" s="67">
        <v>1431.0878909999999</v>
      </c>
      <c r="P100" s="67">
        <v>1069.1854249999999</v>
      </c>
      <c r="Q100" s="67">
        <v>794.46295199999997</v>
      </c>
      <c r="R100" s="67">
        <v>593.73803699999996</v>
      </c>
      <c r="S100" s="67">
        <v>443.633759</v>
      </c>
      <c r="T100" s="67">
        <v>325.51889</v>
      </c>
      <c r="U100" s="67">
        <v>243.43611100000001</v>
      </c>
      <c r="V100" s="67">
        <v>179.808762</v>
      </c>
      <c r="W100" s="67">
        <v>132.879211</v>
      </c>
      <c r="X100" s="67">
        <v>95.265251000000006</v>
      </c>
      <c r="Y100" s="67">
        <v>70.833754999999996</v>
      </c>
      <c r="Z100" s="67">
        <v>54.311737000000001</v>
      </c>
      <c r="AA100" s="67">
        <v>37.789721999999998</v>
      </c>
      <c r="AB100" s="67">
        <v>27.946816999999999</v>
      </c>
      <c r="AC100" s="67">
        <v>17.752379999999999</v>
      </c>
      <c r="AD100" s="67">
        <v>11.600566000000001</v>
      </c>
      <c r="AE100" s="67">
        <v>7.7337100000000003</v>
      </c>
      <c r="AF100" s="67">
        <v>4.7456860000000001</v>
      </c>
    </row>
  </sheetData>
  <mergeCells count="1">
    <mergeCell ref="A2:E2"/>
  </mergeCells>
  <conditionalFormatting sqref="H9:H40">
    <cfRule type="cellIs" dxfId="5" priority="1" operator="greaterThan">
      <formula>1000</formula>
    </cfRule>
  </conditionalFormatting>
  <conditionalFormatting sqref="K9:K40">
    <cfRule type="cellIs" dxfId="4"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F253E-1300-4B2A-A53F-627FFA283EFA}">
  <sheetPr codeName="Sheet6"/>
  <dimension ref="A1:AW128"/>
  <sheetViews>
    <sheetView topLeftCell="A25" zoomScale="70" zoomScaleNormal="70" workbookViewId="0"/>
  </sheetViews>
  <sheetFormatPr defaultColWidth="11.53125" defaultRowHeight="12.75" x14ac:dyDescent="0.35"/>
  <sheetData>
    <row r="1" spans="1:49" x14ac:dyDescent="0.35">
      <c r="A1" t="str">
        <f>'6 - B1'!$A$1</f>
        <v>Data Preprocessing and Quality Assessment per ISO 11171 Clause 6.6</v>
      </c>
    </row>
    <row r="2" spans="1:49" ht="40.15" x14ac:dyDescent="1.05">
      <c r="A2" s="43" t="s">
        <v>114</v>
      </c>
      <c r="O2" s="43"/>
    </row>
    <row r="3" spans="1:49" ht="13.15" x14ac:dyDescent="0.4">
      <c r="A3" t="str">
        <f>'6 - B1'!$A$3</f>
        <v>Serial #</v>
      </c>
      <c r="B3" s="40" t="str">
        <f>'6 - B1'!$B$3</f>
        <v>11171-00009</v>
      </c>
    </row>
    <row r="4" spans="1:49" ht="19.149999999999999" customHeight="1" x14ac:dyDescent="1.05">
      <c r="A4" s="41" t="str">
        <f>'6 - B1'!$A$4</f>
        <v>Date</v>
      </c>
      <c r="B4" s="42">
        <f>'6 - B1'!$B$4</f>
        <v>46009</v>
      </c>
      <c r="O4" s="43"/>
    </row>
    <row r="5" spans="1:49" ht="13.15" x14ac:dyDescent="0.4">
      <c r="A5" s="41" t="str">
        <f>'6 - B1'!$A$5</f>
        <v>RM</v>
      </c>
      <c r="B5" s="68" t="str">
        <f>'6 - B1'!$B$5</f>
        <v>37D</v>
      </c>
      <c r="O5" s="45"/>
    </row>
    <row r="6" spans="1:49" ht="13.15" x14ac:dyDescent="0.4">
      <c r="B6" s="41"/>
      <c r="C6" s="41"/>
      <c r="D6" s="41"/>
      <c r="E6" s="41"/>
      <c r="F6" s="41"/>
    </row>
    <row r="7" spans="1:49" ht="14.65" x14ac:dyDescent="0.5">
      <c r="B7" s="19" t="s">
        <v>58</v>
      </c>
      <c r="C7" s="19" t="s">
        <v>59</v>
      </c>
      <c r="D7" s="19" t="s">
        <v>60</v>
      </c>
      <c r="E7" s="19" t="s">
        <v>61</v>
      </c>
      <c r="F7" s="19" t="s">
        <v>62</v>
      </c>
      <c r="G7" s="19" t="s">
        <v>63</v>
      </c>
      <c r="H7" s="19" t="s">
        <v>64</v>
      </c>
      <c r="I7" s="19" t="s">
        <v>65</v>
      </c>
      <c r="J7" s="19" t="s">
        <v>66</v>
      </c>
      <c r="K7" s="19" t="s">
        <v>67</v>
      </c>
      <c r="L7" s="19" t="s">
        <v>68</v>
      </c>
      <c r="M7" s="19" t="s">
        <v>69</v>
      </c>
      <c r="O7" s="19" t="s">
        <v>58</v>
      </c>
      <c r="P7" s="19" t="s">
        <v>59</v>
      </c>
      <c r="Q7" s="19" t="s">
        <v>60</v>
      </c>
      <c r="R7" s="19" t="s">
        <v>61</v>
      </c>
      <c r="S7" s="19" t="s">
        <v>62</v>
      </c>
    </row>
    <row r="8" spans="1:49" ht="13.15" x14ac:dyDescent="0.4">
      <c r="A8" s="15" t="s">
        <v>70</v>
      </c>
      <c r="B8" s="47">
        <f>G52</f>
        <v>5.0233230000000004</v>
      </c>
      <c r="C8" s="47">
        <f>H52</f>
        <v>5.6628939999999997</v>
      </c>
      <c r="D8" s="47">
        <f>I52</f>
        <v>5.630509</v>
      </c>
      <c r="E8" s="47">
        <f>J52</f>
        <v>5.7065010000000003</v>
      </c>
      <c r="F8" s="47">
        <f>K52</f>
        <v>5.684609</v>
      </c>
      <c r="G8" s="48">
        <f>AVERAGE(B$8:F$8)*5</f>
        <v>27.707836</v>
      </c>
      <c r="I8" s="49"/>
      <c r="K8" s="49"/>
    </row>
    <row r="9" spans="1:49" ht="13.15" x14ac:dyDescent="0.4">
      <c r="A9" s="15" t="s">
        <v>71</v>
      </c>
      <c r="B9" s="22">
        <f>G53</f>
        <v>12360.742188</v>
      </c>
      <c r="C9" s="22">
        <f t="shared" ref="C9:F9" si="0">H53</f>
        <v>12372.648438</v>
      </c>
      <c r="D9" s="22">
        <f t="shared" si="0"/>
        <v>12222.518555000001</v>
      </c>
      <c r="E9" s="22">
        <f t="shared" si="0"/>
        <v>11912.204102</v>
      </c>
      <c r="F9" s="22">
        <f t="shared" si="0"/>
        <v>11836.522461</v>
      </c>
      <c r="G9" s="50">
        <f t="shared" ref="G9:G38" si="1">AVERAGE(B9:F9)</f>
        <v>12140.927148799999</v>
      </c>
      <c r="H9" s="51">
        <f t="shared" ref="H9:H38" si="2">G9*G$8</f>
        <v>336398.81832689798</v>
      </c>
      <c r="I9" s="49">
        <f t="shared" ref="I9:I38" si="3">STDEVP(B9:F9)/AVERAGE(B9:F9)</f>
        <v>1.8551456789990494E-2</v>
      </c>
      <c r="J9" s="49">
        <f t="shared" ref="J9:J38" si="4">IF(H9&gt;$A$43, $C$43, IF(H9&gt;$A$44, $C$44, IF(H9&gt;$A$45,$C$45,IF(H9&gt;$A$46,$C$46, IF(H9&gt;$A$47,$C$47,IF(H9&gt;$A$48,$C$48,$C$49))))))/100</f>
        <v>0.11</v>
      </c>
      <c r="K9" s="49">
        <f t="shared" ref="K9:K38" si="5">(MAX(B9:F9)-MIN(B9:F9))/G9</f>
        <v>4.4158569640456988E-2</v>
      </c>
      <c r="L9" s="22">
        <f>G9/'Clause 6'!$H$11</f>
        <v>12140.927148799999</v>
      </c>
      <c r="M9">
        <f t="shared" ref="M9:M38" si="6">COUNTA(B9:F9)</f>
        <v>5</v>
      </c>
      <c r="O9" s="52">
        <f>IF(ISNUMBER(B9), (B9/$G9-1), 0)</f>
        <v>1.8105292660596017E-2</v>
      </c>
      <c r="P9" s="52">
        <f t="shared" ref="P9:S38" si="7">IF(ISNUMBER(C9), (C9/$G9-1), 0)</f>
        <v>1.908596323493339E-2</v>
      </c>
      <c r="Q9" s="52">
        <f t="shared" si="7"/>
        <v>6.7203604139955964E-3</v>
      </c>
      <c r="R9" s="52">
        <f t="shared" si="7"/>
        <v>-1.8839009904001114E-2</v>
      </c>
      <c r="S9" s="52">
        <f t="shared" si="7"/>
        <v>-2.5072606405523667E-2</v>
      </c>
    </row>
    <row r="10" spans="1:49" ht="13.15" x14ac:dyDescent="0.4">
      <c r="A10" s="15" t="s">
        <v>72</v>
      </c>
      <c r="B10" s="22">
        <f t="shared" ref="B10:F25" si="8">G54</f>
        <v>10908.714844</v>
      </c>
      <c r="C10" s="22">
        <f t="shared" si="8"/>
        <v>10908.026367</v>
      </c>
      <c r="D10" s="22">
        <f t="shared" si="8"/>
        <v>10773.803711</v>
      </c>
      <c r="E10" s="22">
        <f t="shared" si="8"/>
        <v>10552.702148</v>
      </c>
      <c r="F10" s="22">
        <f t="shared" si="8"/>
        <v>10491.487305000001</v>
      </c>
      <c r="G10" s="50">
        <f t="shared" si="1"/>
        <v>10726.946875</v>
      </c>
      <c r="H10" s="51">
        <f t="shared" si="2"/>
        <v>297220.4847932125</v>
      </c>
      <c r="I10" s="49">
        <f t="shared" si="3"/>
        <v>1.6351427805795665E-2</v>
      </c>
      <c r="J10" s="49">
        <f t="shared" si="4"/>
        <v>0.11</v>
      </c>
      <c r="K10" s="49">
        <f t="shared" si="5"/>
        <v>3.8895274103797547E-2</v>
      </c>
      <c r="L10" s="22">
        <f>G10/'Clause 6'!$H$11</f>
        <v>10726.946875</v>
      </c>
      <c r="M10">
        <f t="shared" si="6"/>
        <v>5</v>
      </c>
      <c r="O10" s="52">
        <f t="shared" ref="O10:O38" si="9">IF(ISNUMBER(B10), (B10/$G10-1), 0)</f>
        <v>1.6944986408353069E-2</v>
      </c>
      <c r="P10" s="52">
        <f t="shared" si="7"/>
        <v>1.6880804399434624E-2</v>
      </c>
      <c r="Q10" s="52">
        <f t="shared" si="7"/>
        <v>4.3681428225588181E-3</v>
      </c>
      <c r="R10" s="52">
        <f t="shared" si="7"/>
        <v>-1.6243645934901574E-2</v>
      </c>
      <c r="S10" s="52">
        <f t="shared" si="7"/>
        <v>-2.1950287695444493E-2</v>
      </c>
    </row>
    <row r="11" spans="1:49" ht="13.15" x14ac:dyDescent="0.4">
      <c r="A11" s="15" t="s">
        <v>73</v>
      </c>
      <c r="B11" s="22">
        <f t="shared" si="8"/>
        <v>9542.0898440000001</v>
      </c>
      <c r="C11" s="22">
        <f t="shared" si="8"/>
        <v>9550.0634769999997</v>
      </c>
      <c r="D11" s="22">
        <f t="shared" si="8"/>
        <v>9413.5361329999996</v>
      </c>
      <c r="E11" s="22">
        <f t="shared" si="8"/>
        <v>9244.7197269999997</v>
      </c>
      <c r="F11" s="22">
        <f t="shared" si="8"/>
        <v>9214.8818360000005</v>
      </c>
      <c r="G11" s="50">
        <f t="shared" si="1"/>
        <v>9393.0582033999999</v>
      </c>
      <c r="H11" s="51">
        <f t="shared" si="2"/>
        <v>260261.31623826185</v>
      </c>
      <c r="I11" s="49">
        <f t="shared" si="3"/>
        <v>1.5133399557456673E-2</v>
      </c>
      <c r="J11" s="49">
        <f t="shared" si="4"/>
        <v>0.11</v>
      </c>
      <c r="K11" s="49">
        <f t="shared" si="5"/>
        <v>3.5683973604962192E-2</v>
      </c>
      <c r="L11" s="22">
        <f>G11/'Clause 6'!$H$11</f>
        <v>9393.0582033999999</v>
      </c>
      <c r="M11">
        <f t="shared" si="6"/>
        <v>5</v>
      </c>
      <c r="O11" s="52">
        <f t="shared" si="9"/>
        <v>1.586614682596732E-2</v>
      </c>
      <c r="P11" s="52">
        <f t="shared" si="7"/>
        <v>1.6715032548522801E-2</v>
      </c>
      <c r="Q11" s="52">
        <f t="shared" si="7"/>
        <v>2.1801131385077444E-3</v>
      </c>
      <c r="R11" s="52">
        <f t="shared" si="7"/>
        <v>-1.5792351456558218E-2</v>
      </c>
      <c r="S11" s="52">
        <f t="shared" si="7"/>
        <v>-1.8968941056439426E-2</v>
      </c>
    </row>
    <row r="12" spans="1:49" ht="13.15" x14ac:dyDescent="0.4">
      <c r="A12" s="15" t="s">
        <v>74</v>
      </c>
      <c r="B12" s="22">
        <f t="shared" si="8"/>
        <v>8313.2216800000006</v>
      </c>
      <c r="C12" s="22">
        <f t="shared" si="8"/>
        <v>8351.5595699999994</v>
      </c>
      <c r="D12" s="22">
        <f t="shared" si="8"/>
        <v>8224.1230469999991</v>
      </c>
      <c r="E12" s="22">
        <f t="shared" si="8"/>
        <v>8068.1669920000004</v>
      </c>
      <c r="F12" s="22">
        <f t="shared" si="8"/>
        <v>8064.0551759999998</v>
      </c>
      <c r="G12" s="50">
        <f t="shared" si="1"/>
        <v>8204.2252929999995</v>
      </c>
      <c r="H12" s="51">
        <f t="shared" si="2"/>
        <v>227321.32892549594</v>
      </c>
      <c r="I12" s="49">
        <f t="shared" si="3"/>
        <v>1.4641131959200885E-2</v>
      </c>
      <c r="J12" s="49">
        <f t="shared" si="4"/>
        <v>0.11</v>
      </c>
      <c r="K12" s="49">
        <f t="shared" si="5"/>
        <v>3.5043454285111332E-2</v>
      </c>
      <c r="L12" s="22">
        <f>G12/'Clause 6'!$H$11</f>
        <v>8204.2252929999995</v>
      </c>
      <c r="M12">
        <f t="shared" si="6"/>
        <v>5</v>
      </c>
      <c r="O12" s="52">
        <f t="shared" si="9"/>
        <v>1.3285396622761958E-2</v>
      </c>
      <c r="P12" s="52">
        <f t="shared" si="7"/>
        <v>1.7958341188619942E-2</v>
      </c>
      <c r="Q12" s="52">
        <f t="shared" si="7"/>
        <v>2.4253056552427932E-3</v>
      </c>
      <c r="R12" s="52">
        <f t="shared" si="7"/>
        <v>-1.6583930370133393E-2</v>
      </c>
      <c r="S12" s="52">
        <f t="shared" si="7"/>
        <v>-1.70851130964913E-2</v>
      </c>
    </row>
    <row r="13" spans="1:49" ht="13.15" x14ac:dyDescent="0.4">
      <c r="A13" s="15" t="s">
        <v>75</v>
      </c>
      <c r="B13" s="22">
        <f t="shared" si="8"/>
        <v>7216.9360349999997</v>
      </c>
      <c r="C13" s="22">
        <f t="shared" si="8"/>
        <v>7269.7807620000003</v>
      </c>
      <c r="D13" s="22">
        <f t="shared" si="8"/>
        <v>7165.4267579999996</v>
      </c>
      <c r="E13" s="22">
        <f t="shared" si="8"/>
        <v>7037.9384769999997</v>
      </c>
      <c r="F13" s="22">
        <f t="shared" si="8"/>
        <v>7035.4882809999999</v>
      </c>
      <c r="G13" s="50">
        <f t="shared" si="1"/>
        <v>7145.1140626000006</v>
      </c>
      <c r="H13" s="51">
        <f t="shared" si="2"/>
        <v>197975.64864781455</v>
      </c>
      <c r="I13" s="49">
        <f t="shared" si="3"/>
        <v>1.322077803990227E-2</v>
      </c>
      <c r="J13" s="49">
        <f t="shared" si="4"/>
        <v>0.11</v>
      </c>
      <c r="K13" s="49">
        <f t="shared" si="5"/>
        <v>3.2790586538900525E-2</v>
      </c>
      <c r="L13" s="22">
        <f>G13/'Clause 6'!$H$11</f>
        <v>7145.1140626000006</v>
      </c>
      <c r="M13">
        <f t="shared" si="6"/>
        <v>5</v>
      </c>
      <c r="O13" s="52">
        <f t="shared" si="9"/>
        <v>1.0051900049565354E-2</v>
      </c>
      <c r="P13" s="52">
        <f t="shared" si="7"/>
        <v>1.7447824948316537E-2</v>
      </c>
      <c r="Q13" s="52">
        <f t="shared" si="7"/>
        <v>2.8428790950059124E-3</v>
      </c>
      <c r="R13" s="52">
        <f t="shared" si="7"/>
        <v>-1.4999842502304461E-2</v>
      </c>
      <c r="S13" s="52">
        <f t="shared" si="7"/>
        <v>-1.5342761590584009E-2</v>
      </c>
    </row>
    <row r="14" spans="1:49" ht="13.15" x14ac:dyDescent="0.4">
      <c r="A14" s="15" t="s">
        <v>76</v>
      </c>
      <c r="B14" s="22">
        <f t="shared" si="8"/>
        <v>6247.8559569999998</v>
      </c>
      <c r="C14" s="22">
        <f t="shared" si="8"/>
        <v>6300.841797</v>
      </c>
      <c r="D14" s="22">
        <f t="shared" si="8"/>
        <v>6231.408203</v>
      </c>
      <c r="E14" s="22">
        <f t="shared" si="8"/>
        <v>6124.5942379999997</v>
      </c>
      <c r="F14" s="22">
        <f t="shared" si="8"/>
        <v>6122.4965819999998</v>
      </c>
      <c r="G14" s="50">
        <f t="shared" si="1"/>
        <v>6205.4393553999998</v>
      </c>
      <c r="H14" s="51">
        <f t="shared" si="2"/>
        <v>171939.2959673689</v>
      </c>
      <c r="I14" s="49">
        <f t="shared" si="3"/>
        <v>1.1392811324860764E-2</v>
      </c>
      <c r="J14" s="49">
        <f t="shared" si="4"/>
        <v>0.11</v>
      </c>
      <c r="K14" s="49">
        <f t="shared" si="5"/>
        <v>2.8740143088305827E-2</v>
      </c>
      <c r="L14" s="22">
        <f>G14/'Clause 6'!$H$11</f>
        <v>6205.4393553999998</v>
      </c>
      <c r="M14">
        <f t="shared" si="6"/>
        <v>5</v>
      </c>
      <c r="O14" s="52">
        <f t="shared" si="9"/>
        <v>6.8353905615221588E-3</v>
      </c>
      <c r="P14" s="52">
        <f t="shared" si="7"/>
        <v>1.5374002731487701E-2</v>
      </c>
      <c r="Q14" s="52">
        <f t="shared" si="7"/>
        <v>4.1848523710736885E-3</v>
      </c>
      <c r="R14" s="52">
        <f t="shared" si="7"/>
        <v>-1.3028105307265392E-2</v>
      </c>
      <c r="S14" s="52">
        <f t="shared" si="7"/>
        <v>-1.3366140356818268E-2</v>
      </c>
    </row>
    <row r="15" spans="1:49" ht="13.15" x14ac:dyDescent="0.4">
      <c r="A15" s="15" t="s">
        <v>77</v>
      </c>
      <c r="B15" s="22">
        <f t="shared" si="8"/>
        <v>5331.3315430000002</v>
      </c>
      <c r="C15" s="22">
        <f t="shared" si="8"/>
        <v>5390.1767579999996</v>
      </c>
      <c r="D15" s="22">
        <f t="shared" si="8"/>
        <v>5314.2622069999998</v>
      </c>
      <c r="E15" s="22">
        <f t="shared" si="8"/>
        <v>5252.0805659999996</v>
      </c>
      <c r="F15" s="22">
        <f t="shared" si="8"/>
        <v>5259.4648440000001</v>
      </c>
      <c r="G15" s="50">
        <f t="shared" si="1"/>
        <v>5309.4631835999999</v>
      </c>
      <c r="H15" s="51">
        <f t="shared" si="2"/>
        <v>147113.73513922669</v>
      </c>
      <c r="I15" s="49">
        <f t="shared" si="3"/>
        <v>9.5326604618282754E-3</v>
      </c>
      <c r="J15" s="49">
        <f t="shared" si="4"/>
        <v>0.11</v>
      </c>
      <c r="K15" s="49">
        <f t="shared" si="5"/>
        <v>2.6009445253628444E-2</v>
      </c>
      <c r="L15" s="22">
        <f>G15/'Clause 6'!$H$11</f>
        <v>5309.4631835999999</v>
      </c>
      <c r="M15">
        <f t="shared" si="6"/>
        <v>5</v>
      </c>
      <c r="O15" s="52">
        <f t="shared" si="9"/>
        <v>4.1187514902727429E-3</v>
      </c>
      <c r="P15" s="52">
        <f t="shared" si="7"/>
        <v>1.5201833332098458E-2</v>
      </c>
      <c r="Q15" s="52">
        <f t="shared" si="7"/>
        <v>9.0386226140970471E-4</v>
      </c>
      <c r="R15" s="52">
        <f t="shared" si="7"/>
        <v>-1.0807611921530014E-2</v>
      </c>
      <c r="S15" s="52">
        <f t="shared" si="7"/>
        <v>-9.4168351622506696E-3</v>
      </c>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row>
    <row r="16" spans="1:49" ht="13.15" x14ac:dyDescent="0.4">
      <c r="A16" s="15" t="s">
        <v>78</v>
      </c>
      <c r="B16" s="22">
        <f t="shared" si="8"/>
        <v>4531.064453</v>
      </c>
      <c r="C16" s="22">
        <f t="shared" si="8"/>
        <v>4589.1728519999997</v>
      </c>
      <c r="D16" s="22">
        <f t="shared" si="8"/>
        <v>4515.7553710000002</v>
      </c>
      <c r="E16" s="22">
        <f t="shared" si="8"/>
        <v>4483.6586909999996</v>
      </c>
      <c r="F16" s="22">
        <f t="shared" si="8"/>
        <v>4483.8618159999996</v>
      </c>
      <c r="G16" s="50">
        <f t="shared" si="1"/>
        <v>4520.7026366</v>
      </c>
      <c r="H16" s="51">
        <f t="shared" si="2"/>
        <v>125258.8872596804</v>
      </c>
      <c r="I16" s="49">
        <f t="shared" si="3"/>
        <v>8.5954481872503076E-3</v>
      </c>
      <c r="J16" s="49">
        <f t="shared" si="4"/>
        <v>0.11</v>
      </c>
      <c r="K16" s="49">
        <f t="shared" si="5"/>
        <v>2.3340212679716706E-2</v>
      </c>
      <c r="L16" s="22">
        <f>G16/'Clause 6'!$H$11</f>
        <v>4520.7026366</v>
      </c>
      <c r="M16">
        <f t="shared" si="6"/>
        <v>5</v>
      </c>
      <c r="O16" s="52">
        <f t="shared" si="9"/>
        <v>2.2920809513349294E-3</v>
      </c>
      <c r="P16" s="52">
        <f t="shared" si="7"/>
        <v>1.5145923300873276E-2</v>
      </c>
      <c r="Q16" s="52">
        <f t="shared" si="7"/>
        <v>-1.0943576690813916E-3</v>
      </c>
      <c r="R16" s="52">
        <f t="shared" si="7"/>
        <v>-8.1942893788433668E-3</v>
      </c>
      <c r="S16" s="52">
        <f t="shared" si="7"/>
        <v>-8.1493572042836693E-3</v>
      </c>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row>
    <row r="17" spans="1:49" ht="13.15" x14ac:dyDescent="0.4">
      <c r="A17" s="15" t="s">
        <v>79</v>
      </c>
      <c r="B17" s="22">
        <f t="shared" si="8"/>
        <v>3783.9494629999999</v>
      </c>
      <c r="C17" s="22">
        <f t="shared" si="8"/>
        <v>3840.4389649999998</v>
      </c>
      <c r="D17" s="22">
        <f t="shared" si="8"/>
        <v>3779.2321780000002</v>
      </c>
      <c r="E17" s="22">
        <f t="shared" si="8"/>
        <v>3745.9035640000002</v>
      </c>
      <c r="F17" s="22">
        <f t="shared" si="8"/>
        <v>3755.0515140000002</v>
      </c>
      <c r="G17" s="50">
        <f t="shared" si="1"/>
        <v>3780.9151367999998</v>
      </c>
      <c r="H17" s="51">
        <f t="shared" si="2"/>
        <v>104760.97654037196</v>
      </c>
      <c r="I17" s="49">
        <f t="shared" si="3"/>
        <v>8.7319422272525739E-3</v>
      </c>
      <c r="J17" s="49">
        <f t="shared" si="4"/>
        <v>0.11</v>
      </c>
      <c r="K17" s="49">
        <f t="shared" si="5"/>
        <v>2.5003312050005503E-2</v>
      </c>
      <c r="L17" s="22">
        <f>G17/'Clause 6'!$H$11</f>
        <v>3780.9151367999998</v>
      </c>
      <c r="M17">
        <f t="shared" si="6"/>
        <v>5</v>
      </c>
      <c r="O17" s="52">
        <f t="shared" si="9"/>
        <v>8.0253750486658504E-4</v>
      </c>
      <c r="P17" s="52">
        <f t="shared" si="7"/>
        <v>1.5743233065627082E-2</v>
      </c>
      <c r="Q17" s="52">
        <f t="shared" si="7"/>
        <v>-4.4511943249381236E-4</v>
      </c>
      <c r="R17" s="52">
        <f t="shared" si="7"/>
        <v>-9.260078984378306E-3</v>
      </c>
      <c r="S17" s="52">
        <f t="shared" si="7"/>
        <v>-6.8405721536213271E-3</v>
      </c>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row>
    <row r="18" spans="1:49" ht="13.15" x14ac:dyDescent="0.4">
      <c r="A18" s="15" t="s">
        <v>80</v>
      </c>
      <c r="B18" s="22">
        <f t="shared" si="8"/>
        <v>3139.5551759999998</v>
      </c>
      <c r="C18" s="22">
        <f t="shared" si="8"/>
        <v>3176.8208009999998</v>
      </c>
      <c r="D18" s="22">
        <f t="shared" si="8"/>
        <v>3128.1364749999998</v>
      </c>
      <c r="E18" s="22">
        <f t="shared" si="8"/>
        <v>3119.0744629999999</v>
      </c>
      <c r="F18" s="22">
        <f t="shared" si="8"/>
        <v>3110.8559570000002</v>
      </c>
      <c r="G18" s="50">
        <f t="shared" si="1"/>
        <v>3134.8885743999999</v>
      </c>
      <c r="H18" s="51">
        <f t="shared" si="2"/>
        <v>86860.978497748991</v>
      </c>
      <c r="I18" s="49">
        <f t="shared" si="3"/>
        <v>7.3483312295274791E-3</v>
      </c>
      <c r="J18" s="49">
        <f t="shared" si="4"/>
        <v>0.11</v>
      </c>
      <c r="K18" s="49">
        <f t="shared" si="5"/>
        <v>2.1042165434101572E-2</v>
      </c>
      <c r="L18" s="22">
        <f>G18/'Clause 6'!$H$11</f>
        <v>3134.8885743999999</v>
      </c>
      <c r="M18">
        <f t="shared" si="6"/>
        <v>5</v>
      </c>
      <c r="O18" s="52">
        <f t="shared" si="9"/>
        <v>1.4886020632784991E-3</v>
      </c>
      <c r="P18" s="52">
        <f t="shared" si="7"/>
        <v>1.3375986292599062E-2</v>
      </c>
      <c r="Q18" s="52">
        <f t="shared" si="7"/>
        <v>-2.1538562662606342E-3</v>
      </c>
      <c r="R18" s="52">
        <f t="shared" si="7"/>
        <v>-5.0445529481144558E-3</v>
      </c>
      <c r="S18" s="52">
        <f t="shared" si="7"/>
        <v>-7.6661791415024716E-3</v>
      </c>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row>
    <row r="19" spans="1:49" ht="13.15" x14ac:dyDescent="0.4">
      <c r="A19" s="15" t="s">
        <v>81</v>
      </c>
      <c r="B19" s="22">
        <f t="shared" si="8"/>
        <v>2550.1047359999998</v>
      </c>
      <c r="C19" s="22">
        <f t="shared" si="8"/>
        <v>2588.2524410000001</v>
      </c>
      <c r="D19" s="22">
        <f t="shared" si="8"/>
        <v>2553.4104000000002</v>
      </c>
      <c r="E19" s="22">
        <f t="shared" si="8"/>
        <v>2542.1884770000001</v>
      </c>
      <c r="F19" s="22">
        <f t="shared" si="8"/>
        <v>2546.1733399999998</v>
      </c>
      <c r="G19" s="50">
        <f t="shared" si="1"/>
        <v>2556.0258788000001</v>
      </c>
      <c r="H19" s="51">
        <f t="shared" si="2"/>
        <v>70821.945861546279</v>
      </c>
      <c r="I19" s="49">
        <f t="shared" si="3"/>
        <v>6.4736793879587515E-3</v>
      </c>
      <c r="J19" s="49">
        <f t="shared" si="4"/>
        <v>0.11</v>
      </c>
      <c r="K19" s="49">
        <f t="shared" si="5"/>
        <v>1.8021712683764374E-2</v>
      </c>
      <c r="L19" s="22">
        <f>G19/'Clause 6'!$H$11</f>
        <v>2556.0258788000001</v>
      </c>
      <c r="M19">
        <f t="shared" si="6"/>
        <v>5</v>
      </c>
      <c r="O19" s="52">
        <f t="shared" si="9"/>
        <v>-2.3165425863294065E-3</v>
      </c>
      <c r="P19" s="52">
        <f t="shared" si="7"/>
        <v>1.2608073520417484E-2</v>
      </c>
      <c r="Q19" s="52">
        <f t="shared" si="7"/>
        <v>-1.023259905814311E-3</v>
      </c>
      <c r="R19" s="52">
        <f t="shared" si="7"/>
        <v>-5.4136391633469172E-3</v>
      </c>
      <c r="S19" s="52">
        <f t="shared" si="7"/>
        <v>-3.8546318649268496E-3</v>
      </c>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row>
    <row r="20" spans="1:49" ht="13.15" x14ac:dyDescent="0.4">
      <c r="A20" s="15" t="s">
        <v>82</v>
      </c>
      <c r="B20" s="22">
        <f t="shared" si="8"/>
        <v>2011.4174800000001</v>
      </c>
      <c r="C20" s="22">
        <f t="shared" si="8"/>
        <v>2066.9643550000001</v>
      </c>
      <c r="D20" s="22">
        <f t="shared" si="8"/>
        <v>2033.20874</v>
      </c>
      <c r="E20" s="22">
        <f t="shared" si="8"/>
        <v>2026.6361079999999</v>
      </c>
      <c r="F20" s="22">
        <f t="shared" si="8"/>
        <v>2025.1173100000001</v>
      </c>
      <c r="G20" s="50">
        <f t="shared" si="1"/>
        <v>2032.6687986000002</v>
      </c>
      <c r="H20" s="51">
        <f t="shared" si="2"/>
        <v>56320.853713925833</v>
      </c>
      <c r="I20" s="49">
        <f t="shared" si="3"/>
        <v>9.1285879988693367E-3</v>
      </c>
      <c r="J20" s="49">
        <f t="shared" si="4"/>
        <v>0.11</v>
      </c>
      <c r="K20" s="49">
        <f t="shared" si="5"/>
        <v>2.7327066287561402E-2</v>
      </c>
      <c r="L20" s="22">
        <f>G20/'Clause 6'!$H$11</f>
        <v>2032.6687986000002</v>
      </c>
      <c r="M20">
        <f t="shared" si="6"/>
        <v>5</v>
      </c>
      <c r="O20" s="52">
        <f t="shared" si="9"/>
        <v>-1.0454885033231665E-2</v>
      </c>
      <c r="P20" s="52">
        <f t="shared" si="7"/>
        <v>1.6872181254329766E-2</v>
      </c>
      <c r="Q20" s="52">
        <f t="shared" si="7"/>
        <v>2.6563176468874516E-4</v>
      </c>
      <c r="R20" s="52">
        <f t="shared" si="7"/>
        <v>-2.9678669757489118E-3</v>
      </c>
      <c r="S20" s="52">
        <f t="shared" si="7"/>
        <v>-3.7150610100382675E-3</v>
      </c>
      <c r="T20" s="15"/>
      <c r="U20" s="15"/>
      <c r="V20" s="15"/>
      <c r="W20" s="15"/>
      <c r="X20" s="15"/>
      <c r="Y20" s="15"/>
      <c r="Z20" s="15"/>
      <c r="AA20" s="15"/>
      <c r="AB20" s="15"/>
      <c r="AC20" s="15"/>
      <c r="AD20" s="15"/>
      <c r="AE20" s="15"/>
      <c r="AF20" s="15"/>
      <c r="AG20" s="15"/>
      <c r="AH20" s="15"/>
      <c r="AI20" s="15"/>
      <c r="AJ20" s="15"/>
      <c r="AK20" s="15"/>
      <c r="AL20" s="15"/>
      <c r="AM20" s="15"/>
      <c r="AN20" s="15"/>
      <c r="AO20" s="15"/>
      <c r="AP20" s="15"/>
      <c r="AQ20" s="15"/>
      <c r="AR20" s="15"/>
      <c r="AS20" s="15"/>
      <c r="AT20" s="15"/>
      <c r="AU20" s="15"/>
      <c r="AV20" s="15"/>
      <c r="AW20" s="15"/>
    </row>
    <row r="21" spans="1:49" ht="13.15" x14ac:dyDescent="0.4">
      <c r="A21" s="15" t="s">
        <v>83</v>
      </c>
      <c r="B21" s="22">
        <f t="shared" si="8"/>
        <v>1580.626953</v>
      </c>
      <c r="C21" s="22">
        <f t="shared" si="8"/>
        <v>1629.7320560000001</v>
      </c>
      <c r="D21" s="22">
        <f t="shared" si="8"/>
        <v>1597.3688959999999</v>
      </c>
      <c r="E21" s="22">
        <f t="shared" si="8"/>
        <v>1599.0535890000001</v>
      </c>
      <c r="F21" s="22">
        <f t="shared" si="8"/>
        <v>1595.5363769999999</v>
      </c>
      <c r="G21" s="50">
        <f t="shared" si="1"/>
        <v>1600.4635741999998</v>
      </c>
      <c r="H21" s="51">
        <f t="shared" si="2"/>
        <v>44345.382237907426</v>
      </c>
      <c r="I21" s="49">
        <f t="shared" si="3"/>
        <v>1.0020420837658202E-2</v>
      </c>
      <c r="J21" s="49">
        <f t="shared" si="4"/>
        <v>0.11</v>
      </c>
      <c r="K21" s="49">
        <f t="shared" si="5"/>
        <v>3.0681799818246751E-2</v>
      </c>
      <c r="L21" s="22">
        <f>G21/'Clause 6'!$H$11</f>
        <v>1600.4635741999998</v>
      </c>
      <c r="M21">
        <f t="shared" si="6"/>
        <v>5</v>
      </c>
      <c r="O21" s="52">
        <f t="shared" si="9"/>
        <v>-1.2394297202243609E-2</v>
      </c>
      <c r="P21" s="52">
        <f t="shared" si="7"/>
        <v>1.8287502616003204E-2</v>
      </c>
      <c r="Q21" s="52">
        <f t="shared" si="7"/>
        <v>-1.9336136416268079E-3</v>
      </c>
      <c r="R21" s="52">
        <f t="shared" si="7"/>
        <v>-8.8098549865744946E-4</v>
      </c>
      <c r="S21" s="52">
        <f t="shared" si="7"/>
        <v>-3.0786062734747821E-3</v>
      </c>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c r="AR21" s="15"/>
      <c r="AS21" s="15"/>
      <c r="AT21" s="15"/>
      <c r="AU21" s="15"/>
      <c r="AV21" s="15"/>
      <c r="AW21" s="15"/>
    </row>
    <row r="22" spans="1:49" ht="13.15" x14ac:dyDescent="0.4">
      <c r="A22" s="15" t="s">
        <v>84</v>
      </c>
      <c r="B22" s="22">
        <f t="shared" si="8"/>
        <v>1218.1179199999999</v>
      </c>
      <c r="C22" s="22">
        <f t="shared" si="8"/>
        <v>1255.5417480000001</v>
      </c>
      <c r="D22" s="22">
        <f t="shared" si="8"/>
        <v>1248.022217</v>
      </c>
      <c r="E22" s="22">
        <f t="shared" si="8"/>
        <v>1233.6807859999999</v>
      </c>
      <c r="F22" s="22">
        <f t="shared" si="8"/>
        <v>1238.2558590000001</v>
      </c>
      <c r="G22" s="50">
        <f t="shared" si="1"/>
        <v>1238.723706</v>
      </c>
      <c r="H22" s="51">
        <f t="shared" si="2"/>
        <v>34322.353295160217</v>
      </c>
      <c r="I22" s="49">
        <f t="shared" si="3"/>
        <v>1.0335468779068961E-2</v>
      </c>
      <c r="J22" s="49">
        <f t="shared" si="4"/>
        <v>0.11</v>
      </c>
      <c r="K22" s="49">
        <f t="shared" si="5"/>
        <v>3.021160232804989E-2</v>
      </c>
      <c r="L22" s="22">
        <f>G22/'Clause 6'!$H$11</f>
        <v>1238.723706</v>
      </c>
      <c r="M22">
        <f t="shared" si="6"/>
        <v>5</v>
      </c>
      <c r="O22" s="52">
        <f t="shared" si="9"/>
        <v>-1.6634690932442742E-2</v>
      </c>
      <c r="P22" s="52">
        <f t="shared" si="7"/>
        <v>1.3576911395607238E-2</v>
      </c>
      <c r="Q22" s="52">
        <f t="shared" si="7"/>
        <v>7.5065254301349693E-3</v>
      </c>
      <c r="R22" s="52">
        <f t="shared" si="7"/>
        <v>-4.0710611862626589E-3</v>
      </c>
      <c r="S22" s="52">
        <f t="shared" si="7"/>
        <v>-3.7768470703658519E-4</v>
      </c>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row>
    <row r="23" spans="1:49" ht="13.15" x14ac:dyDescent="0.4">
      <c r="A23" s="15" t="s">
        <v>85</v>
      </c>
      <c r="B23" s="22">
        <f t="shared" si="8"/>
        <v>938.02447500000005</v>
      </c>
      <c r="C23" s="22">
        <f t="shared" si="8"/>
        <v>959.93316700000003</v>
      </c>
      <c r="D23" s="22">
        <f t="shared" si="8"/>
        <v>966.520081</v>
      </c>
      <c r="E23" s="22">
        <f t="shared" si="8"/>
        <v>948.74255400000004</v>
      </c>
      <c r="F23" s="22">
        <f t="shared" si="8"/>
        <v>959.08093299999996</v>
      </c>
      <c r="G23" s="50">
        <f t="shared" si="1"/>
        <v>954.46024199999988</v>
      </c>
      <c r="H23" s="51">
        <f t="shared" si="2"/>
        <v>26446.027853856311</v>
      </c>
      <c r="I23" s="49">
        <f t="shared" si="3"/>
        <v>1.0472617574447996E-2</v>
      </c>
      <c r="J23" s="49">
        <f t="shared" si="4"/>
        <v>0.11</v>
      </c>
      <c r="K23" s="49">
        <f t="shared" si="5"/>
        <v>2.9855204801710281E-2</v>
      </c>
      <c r="L23" s="22">
        <f>G23/'Clause 6'!$H$11</f>
        <v>954.46024199999988</v>
      </c>
      <c r="M23">
        <f t="shared" si="6"/>
        <v>5</v>
      </c>
      <c r="O23" s="52">
        <f t="shared" si="9"/>
        <v>-1.7219959802159956E-2</v>
      </c>
      <c r="P23" s="52">
        <f t="shared" si="7"/>
        <v>5.7340523566828949E-3</v>
      </c>
      <c r="Q23" s="52">
        <f t="shared" si="7"/>
        <v>1.2635244999550377E-2</v>
      </c>
      <c r="R23" s="52">
        <f t="shared" si="7"/>
        <v>-5.9904936302206391E-3</v>
      </c>
      <c r="S23" s="52">
        <f t="shared" si="7"/>
        <v>4.841156076148101E-3</v>
      </c>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row>
    <row r="24" spans="1:49" ht="13.15" x14ac:dyDescent="0.4">
      <c r="A24" s="15" t="s">
        <v>86</v>
      </c>
      <c r="B24" s="22">
        <f t="shared" si="8"/>
        <v>718.64776600000005</v>
      </c>
      <c r="C24" s="22">
        <f t="shared" si="8"/>
        <v>729.30902100000003</v>
      </c>
      <c r="D24" s="22">
        <f t="shared" si="8"/>
        <v>738.83196999999996</v>
      </c>
      <c r="E24" s="22">
        <f t="shared" si="8"/>
        <v>736.35320999999999</v>
      </c>
      <c r="F24" s="22">
        <f t="shared" si="8"/>
        <v>732.32830799999999</v>
      </c>
      <c r="G24" s="50">
        <f t="shared" si="1"/>
        <v>731.09405500000014</v>
      </c>
      <c r="H24" s="51">
        <f t="shared" si="2"/>
        <v>20257.034176514982</v>
      </c>
      <c r="I24" s="49">
        <f t="shared" si="3"/>
        <v>9.6166865075972465E-3</v>
      </c>
      <c r="J24" s="49">
        <f t="shared" si="4"/>
        <v>0.11</v>
      </c>
      <c r="K24" s="49">
        <f t="shared" si="5"/>
        <v>2.7608217933053642E-2</v>
      </c>
      <c r="L24" s="22">
        <f>G24/'Clause 6'!$H$11</f>
        <v>731.09405500000014</v>
      </c>
      <c r="M24">
        <f t="shared" si="6"/>
        <v>5</v>
      </c>
      <c r="O24" s="52">
        <f t="shared" si="9"/>
        <v>-1.7024196702023597E-2</v>
      </c>
      <c r="P24" s="52">
        <f t="shared" si="7"/>
        <v>-2.4415928262473408E-3</v>
      </c>
      <c r="Q24" s="52">
        <f t="shared" si="7"/>
        <v>1.0584021231029972E-2</v>
      </c>
      <c r="R24" s="52">
        <f t="shared" si="7"/>
        <v>7.19354091861657E-3</v>
      </c>
      <c r="S24" s="52">
        <f t="shared" si="7"/>
        <v>1.688227378623397E-3</v>
      </c>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row>
    <row r="25" spans="1:49" ht="13.15" x14ac:dyDescent="0.4">
      <c r="A25" s="15" t="s">
        <v>87</v>
      </c>
      <c r="B25" s="22">
        <f t="shared" si="8"/>
        <v>554.81201199999998</v>
      </c>
      <c r="C25" s="22">
        <f t="shared" si="8"/>
        <v>556.95898399999999</v>
      </c>
      <c r="D25" s="22">
        <f t="shared" si="8"/>
        <v>554.30157499999996</v>
      </c>
      <c r="E25" s="22">
        <f t="shared" si="8"/>
        <v>565.32019000000003</v>
      </c>
      <c r="F25" s="22">
        <f t="shared" si="8"/>
        <v>562.21984899999995</v>
      </c>
      <c r="G25" s="50">
        <f t="shared" si="1"/>
        <v>558.72252200000003</v>
      </c>
      <c r="H25" s="51">
        <f t="shared" si="2"/>
        <v>15480.992009082393</v>
      </c>
      <c r="I25" s="49">
        <f t="shared" si="3"/>
        <v>7.7482900746854979E-3</v>
      </c>
      <c r="J25" s="49">
        <f t="shared" si="4"/>
        <v>0.11</v>
      </c>
      <c r="K25" s="49">
        <f t="shared" si="5"/>
        <v>1.9721086167348141E-2</v>
      </c>
      <c r="L25" s="22">
        <f>G25/'Clause 6'!$H$11</f>
        <v>558.72252200000003</v>
      </c>
      <c r="M25">
        <f t="shared" si="6"/>
        <v>5</v>
      </c>
      <c r="O25" s="52">
        <f t="shared" si="9"/>
        <v>-6.9990198104096235E-3</v>
      </c>
      <c r="P25" s="52">
        <f t="shared" si="7"/>
        <v>-3.1563753572834141E-3</v>
      </c>
      <c r="Q25" s="52">
        <f t="shared" si="7"/>
        <v>-7.9125985188047698E-3</v>
      </c>
      <c r="R25" s="52">
        <f t="shared" si="7"/>
        <v>1.1808487648543364E-2</v>
      </c>
      <c r="S25" s="52">
        <f t="shared" si="7"/>
        <v>6.2595060379539991E-3</v>
      </c>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row>
    <row r="26" spans="1:49" ht="13.15" x14ac:dyDescent="0.4">
      <c r="A26" s="15" t="s">
        <v>88</v>
      </c>
      <c r="B26" s="22">
        <f t="shared" ref="B26:F38" si="10">G70</f>
        <v>428.40167200000002</v>
      </c>
      <c r="C26" s="22">
        <f t="shared" si="10"/>
        <v>430.52191199999999</v>
      </c>
      <c r="D26" s="22">
        <f t="shared" si="10"/>
        <v>416.303406</v>
      </c>
      <c r="E26" s="22">
        <f t="shared" si="10"/>
        <v>437.39590500000003</v>
      </c>
      <c r="F26" s="22">
        <f t="shared" si="10"/>
        <v>429.75692700000002</v>
      </c>
      <c r="G26" s="50">
        <f t="shared" si="1"/>
        <v>428.47596440000007</v>
      </c>
      <c r="H26" s="51">
        <f t="shared" si="2"/>
        <v>11872.141751537041</v>
      </c>
      <c r="I26" s="49">
        <f t="shared" si="3"/>
        <v>1.5951295179381562E-2</v>
      </c>
      <c r="J26" s="49">
        <f t="shared" si="4"/>
        <v>0.11</v>
      </c>
      <c r="K26" s="49">
        <f t="shared" si="5"/>
        <v>4.9226796255738885E-2</v>
      </c>
      <c r="L26" s="22">
        <f>G26/'Clause 6'!$H$11</f>
        <v>428.47596440000007</v>
      </c>
      <c r="M26">
        <f t="shared" si="6"/>
        <v>5</v>
      </c>
      <c r="O26" s="52">
        <f t="shared" si="9"/>
        <v>-1.7338755536511208E-4</v>
      </c>
      <c r="P26" s="52">
        <f t="shared" si="7"/>
        <v>4.7749413502455873E-3</v>
      </c>
      <c r="Q26" s="52">
        <f t="shared" si="7"/>
        <v>-2.8408964355901345E-2</v>
      </c>
      <c r="R26" s="52">
        <f t="shared" si="7"/>
        <v>2.0817831899837547E-2</v>
      </c>
      <c r="S26" s="52">
        <f t="shared" si="7"/>
        <v>2.989578661182879E-3</v>
      </c>
    </row>
    <row r="27" spans="1:49" ht="13.15" x14ac:dyDescent="0.4">
      <c r="A27" s="15" t="s">
        <v>89</v>
      </c>
      <c r="B27" s="22">
        <f t="shared" si="10"/>
        <v>325.28268400000002</v>
      </c>
      <c r="C27" s="22">
        <f t="shared" si="10"/>
        <v>341.698059</v>
      </c>
      <c r="D27" s="22">
        <f t="shared" si="10"/>
        <v>314.35879499999999</v>
      </c>
      <c r="E27" s="22">
        <f t="shared" si="10"/>
        <v>340.31366000000003</v>
      </c>
      <c r="F27" s="22">
        <f t="shared" si="10"/>
        <v>328.43069500000001</v>
      </c>
      <c r="G27" s="50">
        <f t="shared" si="1"/>
        <v>330.01677860000001</v>
      </c>
      <c r="H27" s="51">
        <f t="shared" si="2"/>
        <v>9144.0507786971102</v>
      </c>
      <c r="I27" s="49">
        <f t="shared" si="3"/>
        <v>3.0680249786948076E-2</v>
      </c>
      <c r="J27" s="49">
        <f t="shared" si="4"/>
        <v>0.113</v>
      </c>
      <c r="K27" s="49">
        <f t="shared" si="5"/>
        <v>8.2842042504562563E-2</v>
      </c>
      <c r="L27" s="22">
        <f>G27/'Clause 6'!$H$11</f>
        <v>330.01677860000001</v>
      </c>
      <c r="M27">
        <f t="shared" si="6"/>
        <v>5</v>
      </c>
      <c r="O27" s="52">
        <f t="shared" si="9"/>
        <v>-1.4345011850861011E-2</v>
      </c>
      <c r="P27" s="52">
        <f t="shared" si="7"/>
        <v>3.5396019710132398E-2</v>
      </c>
      <c r="Q27" s="52">
        <f t="shared" si="7"/>
        <v>-4.744602279443022E-2</v>
      </c>
      <c r="R27" s="52">
        <f t="shared" si="7"/>
        <v>3.1201084513586164E-2</v>
      </c>
      <c r="S27" s="52">
        <f t="shared" si="7"/>
        <v>-4.8060695784272189E-3</v>
      </c>
    </row>
    <row r="28" spans="1:49" ht="13.15" x14ac:dyDescent="0.4">
      <c r="A28" s="15" t="s">
        <v>90</v>
      </c>
      <c r="B28" s="22">
        <f t="shared" si="10"/>
        <v>250.829971</v>
      </c>
      <c r="C28" s="22">
        <f t="shared" si="10"/>
        <v>259.05480999999997</v>
      </c>
      <c r="D28" s="22">
        <f t="shared" si="10"/>
        <v>241.896423</v>
      </c>
      <c r="E28" s="22">
        <f t="shared" si="10"/>
        <v>262.68289199999998</v>
      </c>
      <c r="F28" s="22">
        <f t="shared" si="10"/>
        <v>254.546967</v>
      </c>
      <c r="G28" s="50">
        <f t="shared" si="1"/>
        <v>253.80221259999999</v>
      </c>
      <c r="H28" s="51">
        <f t="shared" si="2"/>
        <v>7032.3100831579331</v>
      </c>
      <c r="I28" s="49">
        <f t="shared" si="3"/>
        <v>2.8280467303847159E-2</v>
      </c>
      <c r="J28" s="49">
        <f t="shared" si="4"/>
        <v>0.113</v>
      </c>
      <c r="K28" s="49">
        <f t="shared" si="5"/>
        <v>8.1900267090106463E-2</v>
      </c>
      <c r="L28" s="22">
        <f>G28/'Clause 6'!$H$11</f>
        <v>253.80221259999999</v>
      </c>
      <c r="M28">
        <f t="shared" si="6"/>
        <v>5</v>
      </c>
      <c r="O28" s="52">
        <f t="shared" si="9"/>
        <v>-1.1710857716927481E-2</v>
      </c>
      <c r="P28" s="52">
        <f t="shared" si="7"/>
        <v>2.0695632816559506E-2</v>
      </c>
      <c r="Q28" s="52">
        <f t="shared" si="7"/>
        <v>-4.6909715553835163E-2</v>
      </c>
      <c r="R28" s="52">
        <f t="shared" si="7"/>
        <v>3.4990551536271397E-2</v>
      </c>
      <c r="S28" s="52">
        <f t="shared" si="7"/>
        <v>2.9343889179318516E-3</v>
      </c>
    </row>
    <row r="29" spans="1:49" ht="13.15" x14ac:dyDescent="0.4">
      <c r="A29" s="15" t="s">
        <v>91</v>
      </c>
      <c r="B29" s="22">
        <f t="shared" si="10"/>
        <v>191.506699</v>
      </c>
      <c r="C29" s="22">
        <f t="shared" si="10"/>
        <v>200.07437100000001</v>
      </c>
      <c r="D29" s="22">
        <f t="shared" si="10"/>
        <v>187.72726399999999</v>
      </c>
      <c r="E29" s="22">
        <f t="shared" si="10"/>
        <v>201.87503100000001</v>
      </c>
      <c r="F29" s="22">
        <f t="shared" si="10"/>
        <v>193.50495900000001</v>
      </c>
      <c r="G29" s="50">
        <f t="shared" si="1"/>
        <v>194.93766480000002</v>
      </c>
      <c r="H29" s="51">
        <f t="shared" si="2"/>
        <v>5401.3008465013736</v>
      </c>
      <c r="I29" s="49">
        <f t="shared" si="3"/>
        <v>2.7176256340547194E-2</v>
      </c>
      <c r="J29" s="49">
        <f t="shared" si="4"/>
        <v>0.113</v>
      </c>
      <c r="K29" s="49">
        <f t="shared" si="5"/>
        <v>7.2575851436997491E-2</v>
      </c>
      <c r="L29" s="22">
        <f>G29/'Clause 6'!$H$11</f>
        <v>194.93766480000002</v>
      </c>
      <c r="M29">
        <f t="shared" si="6"/>
        <v>5</v>
      </c>
      <c r="O29" s="52">
        <f t="shared" si="9"/>
        <v>-1.7600322664786616E-2</v>
      </c>
      <c r="P29" s="52">
        <f t="shared" si="7"/>
        <v>2.6350506482521352E-2</v>
      </c>
      <c r="Q29" s="52">
        <f t="shared" si="7"/>
        <v>-3.6988238303755638E-2</v>
      </c>
      <c r="R29" s="52">
        <f t="shared" si="7"/>
        <v>3.5587613133241991E-2</v>
      </c>
      <c r="S29" s="52">
        <f t="shared" si="7"/>
        <v>-7.3495586472215324E-3</v>
      </c>
    </row>
    <row r="30" spans="1:49" ht="13.15" x14ac:dyDescent="0.4">
      <c r="A30" s="15" t="s">
        <v>92</v>
      </c>
      <c r="B30" s="22">
        <f t="shared" si="10"/>
        <v>146.11840799999999</v>
      </c>
      <c r="C30" s="22">
        <f t="shared" si="10"/>
        <v>155.39756800000001</v>
      </c>
      <c r="D30" s="22">
        <f t="shared" si="10"/>
        <v>143.148697</v>
      </c>
      <c r="E30" s="22">
        <f t="shared" si="10"/>
        <v>157.01391599999999</v>
      </c>
      <c r="F30" s="22">
        <f t="shared" si="10"/>
        <v>151.81343100000001</v>
      </c>
      <c r="G30" s="50">
        <f t="shared" si="1"/>
        <v>150.69840400000001</v>
      </c>
      <c r="H30" s="51">
        <f t="shared" si="2"/>
        <v>4175.5266634937443</v>
      </c>
      <c r="I30" s="49">
        <f t="shared" si="3"/>
        <v>3.5261556840068077E-2</v>
      </c>
      <c r="J30" s="49">
        <f t="shared" si="4"/>
        <v>0.11900000000000001</v>
      </c>
      <c r="K30" s="49">
        <f t="shared" si="5"/>
        <v>9.2006409039341888E-2</v>
      </c>
      <c r="L30" s="22">
        <f>G30/'Clause 6'!$H$11</f>
        <v>150.69840400000001</v>
      </c>
      <c r="M30">
        <f t="shared" si="6"/>
        <v>5</v>
      </c>
      <c r="O30" s="52">
        <f t="shared" si="9"/>
        <v>-3.0391801627839499E-2</v>
      </c>
      <c r="P30" s="52">
        <f t="shared" si="7"/>
        <v>3.1182573108073486E-2</v>
      </c>
      <c r="Q30" s="52">
        <f t="shared" si="7"/>
        <v>-5.0098121808907936E-2</v>
      </c>
      <c r="R30" s="52">
        <f t="shared" si="7"/>
        <v>4.1908287230433938E-2</v>
      </c>
      <c r="S30" s="52">
        <f t="shared" si="7"/>
        <v>7.3990630982394556E-3</v>
      </c>
    </row>
    <row r="31" spans="1:49" ht="13.15" x14ac:dyDescent="0.4">
      <c r="A31" s="15" t="s">
        <v>93</v>
      </c>
      <c r="B31" s="22">
        <f t="shared" si="10"/>
        <v>107.498558</v>
      </c>
      <c r="C31" s="22">
        <f t="shared" si="10"/>
        <v>114.782295</v>
      </c>
      <c r="D31" s="22">
        <f t="shared" si="10"/>
        <v>107.62793000000001</v>
      </c>
      <c r="E31" s="22">
        <f t="shared" si="10"/>
        <v>118.636635</v>
      </c>
      <c r="F31" s="22">
        <f t="shared" si="10"/>
        <v>115.223404</v>
      </c>
      <c r="G31" s="50">
        <f t="shared" si="1"/>
        <v>112.75376439999999</v>
      </c>
      <c r="H31" s="51">
        <f t="shared" si="2"/>
        <v>3124.1628123778382</v>
      </c>
      <c r="I31" s="49">
        <f t="shared" si="3"/>
        <v>3.9406914579518761E-2</v>
      </c>
      <c r="J31" s="49">
        <f t="shared" si="4"/>
        <v>0.11900000000000001</v>
      </c>
      <c r="K31" s="49">
        <f t="shared" si="5"/>
        <v>9.8782307262816282E-2</v>
      </c>
      <c r="L31" s="22">
        <f>G31/'Clause 6'!$H$11</f>
        <v>112.75376439999999</v>
      </c>
      <c r="M31">
        <f t="shared" si="6"/>
        <v>5</v>
      </c>
      <c r="O31" s="52">
        <f t="shared" si="9"/>
        <v>-4.660781329975705E-2</v>
      </c>
      <c r="P31" s="52">
        <f t="shared" si="7"/>
        <v>1.7990801555890279E-2</v>
      </c>
      <c r="Q31" s="52">
        <f t="shared" si="7"/>
        <v>-4.5460428104340811E-2</v>
      </c>
      <c r="R31" s="52">
        <f t="shared" si="7"/>
        <v>5.2174493963059287E-2</v>
      </c>
      <c r="S31" s="52">
        <f t="shared" si="7"/>
        <v>2.1902945885148739E-2</v>
      </c>
    </row>
    <row r="32" spans="1:49" ht="13.15" x14ac:dyDescent="0.4">
      <c r="A32" s="15" t="s">
        <v>94</v>
      </c>
      <c r="B32" s="22">
        <f t="shared" si="10"/>
        <v>84.207206999999997</v>
      </c>
      <c r="C32" s="22">
        <f t="shared" si="10"/>
        <v>84.762314000000003</v>
      </c>
      <c r="D32" s="22"/>
      <c r="E32" s="22">
        <f t="shared" si="10"/>
        <v>87.268897999999993</v>
      </c>
      <c r="F32" s="22">
        <f t="shared" si="10"/>
        <v>83.207130000000006</v>
      </c>
      <c r="G32" s="50">
        <f t="shared" si="1"/>
        <v>84.861387249999993</v>
      </c>
      <c r="H32" s="51">
        <f t="shared" si="2"/>
        <v>2351.3254006554907</v>
      </c>
      <c r="I32" s="49">
        <f t="shared" si="3"/>
        <v>1.7646834289772803E-2</v>
      </c>
      <c r="J32" s="49">
        <f t="shared" si="4"/>
        <v>0.11900000000000001</v>
      </c>
      <c r="K32" s="49">
        <f t="shared" si="5"/>
        <v>4.7863558817794215E-2</v>
      </c>
      <c r="L32" s="22">
        <f>G32/'Clause 6'!$H$11</f>
        <v>84.861387249999993</v>
      </c>
      <c r="M32">
        <f t="shared" si="6"/>
        <v>4</v>
      </c>
      <c r="O32" s="52">
        <f t="shared" si="9"/>
        <v>-7.7088092853442314E-3</v>
      </c>
      <c r="P32" s="52">
        <f t="shared" si="7"/>
        <v>-1.1674714874518877E-3</v>
      </c>
      <c r="Q32" s="52">
        <f t="shared" si="7"/>
        <v>0</v>
      </c>
      <c r="R32" s="52">
        <f t="shared" si="7"/>
        <v>2.8369919795295351E-2</v>
      </c>
      <c r="S32" s="52">
        <f t="shared" si="7"/>
        <v>-1.9493639022498899E-2</v>
      </c>
    </row>
    <row r="33" spans="1:19" ht="13.15" x14ac:dyDescent="0.4">
      <c r="A33" s="15" t="s">
        <v>95</v>
      </c>
      <c r="B33" s="22">
        <f t="shared" si="10"/>
        <v>64.100989999999996</v>
      </c>
      <c r="C33" s="22">
        <f t="shared" si="10"/>
        <v>63.924908000000002</v>
      </c>
      <c r="D33" s="22"/>
      <c r="E33" s="22">
        <f t="shared" si="10"/>
        <v>62.384995000000004</v>
      </c>
      <c r="F33" s="22">
        <f t="shared" si="10"/>
        <v>63.680720999999998</v>
      </c>
      <c r="G33" s="50">
        <f t="shared" si="1"/>
        <v>63.522903499999998</v>
      </c>
      <c r="H33" s="51">
        <f t="shared" si="2"/>
        <v>1760.082192421826</v>
      </c>
      <c r="I33" s="49">
        <f t="shared" si="3"/>
        <v>1.0605760742791879E-2</v>
      </c>
      <c r="J33" s="49">
        <f t="shared" si="4"/>
        <v>0.13400000000000001</v>
      </c>
      <c r="K33" s="49">
        <f t="shared" si="5"/>
        <v>2.7013799833629965E-2</v>
      </c>
      <c r="L33" s="22">
        <f>G33/'Clause 6'!$H$11</f>
        <v>63.522903499999998</v>
      </c>
      <c r="M33">
        <f t="shared" si="6"/>
        <v>4</v>
      </c>
      <c r="O33" s="52">
        <f t="shared" si="9"/>
        <v>9.1004420161620025E-3</v>
      </c>
      <c r="P33" s="52">
        <f t="shared" si="7"/>
        <v>6.3284969333934349E-3</v>
      </c>
      <c r="Q33" s="52">
        <f t="shared" si="7"/>
        <v>0</v>
      </c>
      <c r="R33" s="52">
        <f t="shared" si="7"/>
        <v>-1.7913357817468056E-2</v>
      </c>
      <c r="S33" s="52">
        <f t="shared" si="7"/>
        <v>2.4844188679127299E-3</v>
      </c>
    </row>
    <row r="34" spans="1:19" ht="13.15" x14ac:dyDescent="0.4">
      <c r="A34" s="15" t="s">
        <v>96</v>
      </c>
      <c r="B34" s="22">
        <f t="shared" si="10"/>
        <v>45.189208999999998</v>
      </c>
      <c r="C34" s="22">
        <f t="shared" si="10"/>
        <v>49.091503000000003</v>
      </c>
      <c r="D34" s="22"/>
      <c r="E34" s="22">
        <f t="shared" si="10"/>
        <v>45.386837</v>
      </c>
      <c r="F34" s="22">
        <f t="shared" si="10"/>
        <v>46.265273999999998</v>
      </c>
      <c r="G34" s="50">
        <f t="shared" si="1"/>
        <v>46.483205750000003</v>
      </c>
      <c r="H34" s="51">
        <f t="shared" si="2"/>
        <v>1287.9490416752571</v>
      </c>
      <c r="I34" s="49">
        <f t="shared" si="3"/>
        <v>3.3548026738148926E-2</v>
      </c>
      <c r="J34" s="49">
        <f t="shared" si="4"/>
        <v>0.13400000000000001</v>
      </c>
      <c r="K34" s="49">
        <f t="shared" si="5"/>
        <v>8.3950621241307227E-2</v>
      </c>
      <c r="L34" s="22">
        <f>G34/'Clause 6'!$H$11</f>
        <v>46.483205750000003</v>
      </c>
      <c r="M34">
        <f t="shared" si="6"/>
        <v>4</v>
      </c>
      <c r="O34" s="52">
        <f t="shared" si="9"/>
        <v>-2.7837941233216368E-2</v>
      </c>
      <c r="P34" s="52">
        <f t="shared" si="7"/>
        <v>5.6112680008090887E-2</v>
      </c>
      <c r="Q34" s="52">
        <f t="shared" si="7"/>
        <v>0</v>
      </c>
      <c r="R34" s="52">
        <f t="shared" si="7"/>
        <v>-2.3586341180868442E-2</v>
      </c>
      <c r="S34" s="52">
        <f t="shared" si="7"/>
        <v>-4.6883975940064104E-3</v>
      </c>
    </row>
    <row r="35" spans="1:19" ht="13.15" x14ac:dyDescent="0.4">
      <c r="A35" s="15" t="s">
        <v>97</v>
      </c>
      <c r="B35" s="22">
        <f t="shared" si="10"/>
        <v>33.244926</v>
      </c>
      <c r="C35" s="22">
        <f t="shared" si="10"/>
        <v>34.258099000000001</v>
      </c>
      <c r="D35" s="22"/>
      <c r="E35" s="22">
        <f t="shared" si="10"/>
        <v>33.821078999999997</v>
      </c>
      <c r="F35" s="22">
        <f t="shared" si="10"/>
        <v>31.312619999999999</v>
      </c>
      <c r="G35" s="50">
        <f t="shared" si="1"/>
        <v>33.159181000000004</v>
      </c>
      <c r="H35" s="51">
        <f t="shared" si="2"/>
        <v>918.76914904231614</v>
      </c>
      <c r="I35" s="49">
        <f t="shared" si="3"/>
        <v>3.392849331543199E-2</v>
      </c>
      <c r="J35" s="49">
        <f t="shared" si="4"/>
        <v>0.156</v>
      </c>
      <c r="K35" s="49">
        <f t="shared" si="5"/>
        <v>8.8828460509926405E-2</v>
      </c>
      <c r="L35" s="22">
        <f>G35/'Clause 6'!$H$11</f>
        <v>33.159181000000004</v>
      </c>
      <c r="M35">
        <f t="shared" si="6"/>
        <v>4</v>
      </c>
      <c r="O35" s="52">
        <f t="shared" si="9"/>
        <v>2.5858600066146487E-3</v>
      </c>
      <c r="P35" s="52">
        <f t="shared" si="7"/>
        <v>3.3140685832982353E-2</v>
      </c>
      <c r="Q35" s="52">
        <f t="shared" si="7"/>
        <v>0</v>
      </c>
      <c r="R35" s="52">
        <f t="shared" si="7"/>
        <v>1.9961228837346523E-2</v>
      </c>
      <c r="S35" s="52">
        <f t="shared" si="7"/>
        <v>-5.568777467694408E-2</v>
      </c>
    </row>
    <row r="36" spans="1:19" ht="13.15" x14ac:dyDescent="0.4">
      <c r="A36" s="15" t="s">
        <v>98</v>
      </c>
      <c r="B36" s="22">
        <f t="shared" si="10"/>
        <v>24.684854999999999</v>
      </c>
      <c r="C36" s="22">
        <f t="shared" si="10"/>
        <v>24.015986999999999</v>
      </c>
      <c r="D36" s="22">
        <f t="shared" si="10"/>
        <v>23.621310999999999</v>
      </c>
      <c r="E36" s="22">
        <f t="shared" si="10"/>
        <v>24.533424</v>
      </c>
      <c r="F36" s="22"/>
      <c r="G36" s="50">
        <f t="shared" si="1"/>
        <v>24.213894249999996</v>
      </c>
      <c r="H36" s="51">
        <f t="shared" si="2"/>
        <v>670.91461080034287</v>
      </c>
      <c r="I36" s="49">
        <f t="shared" si="3"/>
        <v>1.7451109027907124E-2</v>
      </c>
      <c r="J36" s="49">
        <f t="shared" si="4"/>
        <v>0.156</v>
      </c>
      <c r="K36" s="49">
        <f t="shared" si="5"/>
        <v>4.3922881178024495E-2</v>
      </c>
      <c r="L36" s="22">
        <f>G36/'Clause 6'!$H$11</f>
        <v>24.213894249999996</v>
      </c>
      <c r="M36">
        <f t="shared" si="6"/>
        <v>4</v>
      </c>
      <c r="O36" s="52">
        <f t="shared" si="9"/>
        <v>1.94500209316808E-2</v>
      </c>
      <c r="P36" s="52">
        <f t="shared" si="7"/>
        <v>-8.1732929018634159E-3</v>
      </c>
      <c r="Q36" s="52">
        <f t="shared" si="7"/>
        <v>-2.4472860246343764E-2</v>
      </c>
      <c r="R36" s="52">
        <f t="shared" si="7"/>
        <v>1.3196132216527046E-2</v>
      </c>
      <c r="S36" s="52">
        <f t="shared" si="7"/>
        <v>0</v>
      </c>
    </row>
    <row r="37" spans="1:19" ht="13.15" x14ac:dyDescent="0.4">
      <c r="A37" s="15" t="s">
        <v>99</v>
      </c>
      <c r="B37" s="22">
        <f t="shared" si="10"/>
        <v>17.916428</v>
      </c>
      <c r="C37" s="22">
        <f t="shared" si="10"/>
        <v>16.069521000000002</v>
      </c>
      <c r="D37" s="22">
        <f t="shared" si="10"/>
        <v>15.806742</v>
      </c>
      <c r="E37" s="22">
        <f t="shared" si="10"/>
        <v>18.049590999999999</v>
      </c>
      <c r="F37" s="22"/>
      <c r="G37" s="50">
        <f t="shared" si="1"/>
        <v>16.960570500000003</v>
      </c>
      <c r="H37" s="51">
        <f t="shared" si="2"/>
        <v>469.94070588043809</v>
      </c>
      <c r="I37" s="49">
        <f t="shared" si="3"/>
        <v>6.0595269635690611E-2</v>
      </c>
      <c r="J37" s="49">
        <f t="shared" si="4"/>
        <v>0.193</v>
      </c>
      <c r="K37" s="49">
        <f t="shared" si="5"/>
        <v>0.13223900693670648</v>
      </c>
      <c r="L37" s="22">
        <f>G37/'Clause 6'!$H$11</f>
        <v>16.960570500000003</v>
      </c>
      <c r="M37">
        <f t="shared" si="6"/>
        <v>4</v>
      </c>
      <c r="O37" s="52">
        <f t="shared" si="9"/>
        <v>5.6357626649409909E-2</v>
      </c>
      <c r="P37" s="52">
        <f t="shared" si="7"/>
        <v>-5.2536528768298285E-2</v>
      </c>
      <c r="Q37" s="52">
        <f t="shared" si="7"/>
        <v>-6.8030052408909358E-2</v>
      </c>
      <c r="R37" s="52">
        <f t="shared" si="7"/>
        <v>6.4208954527797069E-2</v>
      </c>
      <c r="S37" s="52">
        <f t="shared" si="7"/>
        <v>0</v>
      </c>
    </row>
    <row r="38" spans="1:19" ht="13.15" x14ac:dyDescent="0.4">
      <c r="A38" s="15" t="s">
        <v>100</v>
      </c>
      <c r="B38" s="22">
        <f t="shared" si="10"/>
        <v>12.143356000000001</v>
      </c>
      <c r="C38" s="22">
        <f t="shared" si="10"/>
        <v>11.654818000000001</v>
      </c>
      <c r="D38" s="22">
        <f t="shared" si="10"/>
        <v>12.254664999999999</v>
      </c>
      <c r="E38" s="22">
        <f t="shared" si="10"/>
        <v>12.266712</v>
      </c>
      <c r="F38" s="22"/>
      <c r="G38" s="50">
        <f t="shared" si="1"/>
        <v>12.079887750000001</v>
      </c>
      <c r="H38" s="51">
        <f t="shared" si="2"/>
        <v>334.70754867540904</v>
      </c>
      <c r="I38" s="49">
        <f t="shared" si="3"/>
        <v>2.0702298003614641E-2</v>
      </c>
      <c r="J38" s="49">
        <f t="shared" si="4"/>
        <v>0.193</v>
      </c>
      <c r="K38" s="49">
        <f t="shared" si="5"/>
        <v>5.0653947508742324E-2</v>
      </c>
      <c r="L38" s="22">
        <f>G38/'Clause 6'!$H$11</f>
        <v>12.079887750000001</v>
      </c>
      <c r="M38">
        <f t="shared" si="6"/>
        <v>4</v>
      </c>
      <c r="O38" s="52">
        <f t="shared" si="9"/>
        <v>5.2540430270140437E-3</v>
      </c>
      <c r="P38" s="52">
        <f t="shared" si="7"/>
        <v>-3.5188220188552721E-2</v>
      </c>
      <c r="Q38" s="52">
        <f t="shared" si="7"/>
        <v>1.4468449841348763E-2</v>
      </c>
      <c r="R38" s="52">
        <f t="shared" si="7"/>
        <v>1.5465727320189693E-2</v>
      </c>
      <c r="S38" s="52">
        <f t="shared" si="7"/>
        <v>0</v>
      </c>
    </row>
    <row r="40" spans="1:19" x14ac:dyDescent="0.35">
      <c r="A40" t="s">
        <v>101</v>
      </c>
    </row>
    <row r="41" spans="1:19" ht="15" x14ac:dyDescent="0.5">
      <c r="A41" s="54"/>
      <c r="B41" s="55" t="s">
        <v>102</v>
      </c>
      <c r="C41" s="54"/>
      <c r="D41" s="56" t="s">
        <v>103</v>
      </c>
      <c r="E41" s="57"/>
      <c r="F41" s="57"/>
      <c r="G41" s="57"/>
      <c r="H41" s="58"/>
    </row>
    <row r="42" spans="1:19" ht="15" x14ac:dyDescent="0.5">
      <c r="A42" s="59" t="s">
        <v>104</v>
      </c>
      <c r="B42" s="60" t="s">
        <v>105</v>
      </c>
      <c r="C42" s="59" t="s">
        <v>106</v>
      </c>
      <c r="D42" s="59" t="s">
        <v>107</v>
      </c>
      <c r="E42" s="60" t="s">
        <v>108</v>
      </c>
      <c r="F42" s="60" t="s">
        <v>109</v>
      </c>
      <c r="G42" s="60" t="s">
        <v>110</v>
      </c>
      <c r="H42" s="61" t="s">
        <v>111</v>
      </c>
    </row>
    <row r="43" spans="1:19" x14ac:dyDescent="0.35">
      <c r="A43" s="62">
        <v>10000</v>
      </c>
      <c r="C43" s="62">
        <v>11</v>
      </c>
      <c r="D43" s="62">
        <v>7.8</v>
      </c>
      <c r="E43">
        <v>5.3</v>
      </c>
      <c r="F43">
        <v>4</v>
      </c>
      <c r="G43">
        <v>2.7</v>
      </c>
      <c r="H43" s="63">
        <v>1.8</v>
      </c>
    </row>
    <row r="44" spans="1:19" x14ac:dyDescent="0.35">
      <c r="A44" s="62">
        <v>5000</v>
      </c>
      <c r="B44">
        <v>10000</v>
      </c>
      <c r="C44" s="62">
        <v>11.3</v>
      </c>
      <c r="D44" s="62">
        <v>7.8</v>
      </c>
      <c r="E44">
        <v>5.3</v>
      </c>
      <c r="F44">
        <v>4</v>
      </c>
      <c r="G44">
        <v>2.7</v>
      </c>
      <c r="H44" s="63">
        <v>1.9</v>
      </c>
    </row>
    <row r="45" spans="1:19" x14ac:dyDescent="0.35">
      <c r="A45" s="62">
        <v>2000</v>
      </c>
      <c r="B45">
        <v>5000</v>
      </c>
      <c r="C45" s="62">
        <v>11.9</v>
      </c>
      <c r="D45" s="62">
        <v>7.9</v>
      </c>
      <c r="E45">
        <v>5.4</v>
      </c>
      <c r="F45">
        <v>4.0999999999999996</v>
      </c>
      <c r="G45">
        <v>2.9</v>
      </c>
      <c r="H45" s="63">
        <v>2.1</v>
      </c>
    </row>
    <row r="46" spans="1:19" x14ac:dyDescent="0.35">
      <c r="A46" s="62">
        <v>1000</v>
      </c>
      <c r="B46">
        <v>2000</v>
      </c>
      <c r="C46" s="62">
        <v>13.4</v>
      </c>
      <c r="D46" s="62">
        <v>8</v>
      </c>
      <c r="E46">
        <v>5.6</v>
      </c>
      <c r="F46">
        <v>4.3</v>
      </c>
      <c r="G46">
        <v>3.1</v>
      </c>
      <c r="H46" s="63">
        <v>2.4</v>
      </c>
    </row>
    <row r="47" spans="1:19" x14ac:dyDescent="0.35">
      <c r="A47" s="62">
        <v>500</v>
      </c>
      <c r="B47">
        <v>1000</v>
      </c>
      <c r="C47" s="62">
        <v>15.6</v>
      </c>
      <c r="D47" s="62">
        <v>8.1999999999999993</v>
      </c>
      <c r="E47">
        <v>5.9</v>
      </c>
      <c r="F47">
        <v>4.7</v>
      </c>
      <c r="G47">
        <v>3.6</v>
      </c>
      <c r="H47" s="63">
        <v>2.9</v>
      </c>
    </row>
    <row r="48" spans="1:19" x14ac:dyDescent="0.35">
      <c r="A48" s="62">
        <v>200</v>
      </c>
      <c r="B48">
        <v>500</v>
      </c>
      <c r="C48" s="62">
        <v>19.3</v>
      </c>
      <c r="D48" s="62">
        <v>8.9</v>
      </c>
      <c r="E48">
        <v>6.8</v>
      </c>
      <c r="F48">
        <v>5.7</v>
      </c>
      <c r="G48">
        <v>4.7</v>
      </c>
      <c r="H48" s="63">
        <v>4.0999999999999996</v>
      </c>
    </row>
    <row r="49" spans="1:16" x14ac:dyDescent="0.35">
      <c r="A49" s="64">
        <v>100</v>
      </c>
      <c r="B49" s="65">
        <v>200</v>
      </c>
      <c r="C49" s="64">
        <v>27.5</v>
      </c>
      <c r="D49" s="64">
        <v>10</v>
      </c>
      <c r="E49" s="65">
        <v>8</v>
      </c>
      <c r="F49" s="65">
        <v>7</v>
      </c>
      <c r="G49" s="65">
        <v>6.1</v>
      </c>
      <c r="H49" s="66">
        <v>5.5</v>
      </c>
    </row>
    <row r="51" spans="1:16" x14ac:dyDescent="0.35">
      <c r="A51" s="69">
        <f>'6 - B1'!A51</f>
        <v>0</v>
      </c>
      <c r="B51" s="70" t="str">
        <f>'6 - B1'!B51</f>
        <v>Portion 1</v>
      </c>
      <c r="C51" s="70" t="str">
        <f>'6 - B1'!C51</f>
        <v>Portion 2</v>
      </c>
      <c r="D51" s="70" t="str">
        <f>'6 - B1'!D51</f>
        <v>Portion 3</v>
      </c>
      <c r="E51" s="70" t="str">
        <f>'6 - B1'!E51</f>
        <v>Portion 4</v>
      </c>
      <c r="F51" s="70" t="str">
        <f>'6 - B1'!F51</f>
        <v>Portion 5</v>
      </c>
      <c r="G51" s="70" t="str">
        <f>'6 - B1'!G51</f>
        <v>Portion 1</v>
      </c>
      <c r="H51" s="70" t="str">
        <f>'6 - B1'!H51</f>
        <v>Portion 2</v>
      </c>
      <c r="I51" s="70" t="str">
        <f>'6 - B1'!I51</f>
        <v>Portion 3</v>
      </c>
      <c r="J51" s="70" t="str">
        <f>'6 - B1'!J51</f>
        <v>Portion 4</v>
      </c>
      <c r="K51" s="70" t="str">
        <f>'6 - B1'!K51</f>
        <v>Portion 5</v>
      </c>
      <c r="L51" s="70" t="str">
        <f>'6 - B1'!L51</f>
        <v>Portion 1</v>
      </c>
      <c r="M51" s="70" t="str">
        <f>'6 - B1'!M51</f>
        <v>Portion 2</v>
      </c>
      <c r="N51" s="70" t="str">
        <f>'6 - B1'!N51</f>
        <v>Portion 3</v>
      </c>
      <c r="O51" s="70" t="str">
        <f>'6 - B1'!O51</f>
        <v>Portion 4</v>
      </c>
      <c r="P51" s="70" t="str">
        <f>'6 - B1'!P51</f>
        <v>Portion 5</v>
      </c>
    </row>
    <row r="52" spans="1:16" x14ac:dyDescent="0.35">
      <c r="A52" s="71" t="str">
        <f>'6 - B1'!A52</f>
        <v>NAME\mL</v>
      </c>
      <c r="B52" s="69">
        <f>'6 - B1'!B52</f>
        <v>5.0462610000000003</v>
      </c>
      <c r="C52" s="69">
        <f>'6 - B1'!C52</f>
        <v>5.6930870000000002</v>
      </c>
      <c r="D52" s="69">
        <f>'6 - B1'!D52</f>
        <v>5.6217810000000004</v>
      </c>
      <c r="E52" s="69">
        <f>'6 - B1'!E52</f>
        <v>5.6694240000000002</v>
      </c>
      <c r="F52" s="69">
        <f>'6 - B1'!F52</f>
        <v>5.6696869999999997</v>
      </c>
      <c r="G52" s="69">
        <f>'6 - B1'!G52</f>
        <v>5.0233230000000004</v>
      </c>
      <c r="H52" s="69">
        <f>'6 - B1'!H52</f>
        <v>5.6628939999999997</v>
      </c>
      <c r="I52" s="69">
        <f>'6 - B1'!I52</f>
        <v>5.630509</v>
      </c>
      <c r="J52" s="69">
        <f>'6 - B1'!J52</f>
        <v>5.7065010000000003</v>
      </c>
      <c r="K52" s="69">
        <f>'6 - B1'!K52</f>
        <v>5.684609</v>
      </c>
      <c r="L52" s="69">
        <f>'6 - B1'!L52</f>
        <v>5.0705140000000002</v>
      </c>
      <c r="M52" s="69">
        <f>'6 - B1'!M52</f>
        <v>5.6845629999999998</v>
      </c>
      <c r="N52" s="69">
        <f>'6 - B1'!N52</f>
        <v>5.6810910000000003</v>
      </c>
      <c r="O52" s="69">
        <f>'6 - B1'!O52</f>
        <v>5.6736360000000001</v>
      </c>
      <c r="P52" s="69">
        <f>'6 - B1'!P52</f>
        <v>5.6893779999999996</v>
      </c>
    </row>
    <row r="53" spans="1:16" x14ac:dyDescent="0.35">
      <c r="A53" s="71">
        <f>'6 - B1'!A53</f>
        <v>4</v>
      </c>
      <c r="B53" s="69">
        <f>'6 - B1'!B53</f>
        <v>12580.402344</v>
      </c>
      <c r="C53" s="69">
        <f>'6 - B1'!C53</f>
        <v>11835.758789</v>
      </c>
      <c r="D53" s="69">
        <f>'6 - B1'!D53</f>
        <v>12467.934569999999</v>
      </c>
      <c r="E53" s="69">
        <f>'6 - B1'!E53</f>
        <v>12081.651367</v>
      </c>
      <c r="F53" s="69">
        <f>'6 - B1'!F53</f>
        <v>12443.544921999999</v>
      </c>
      <c r="G53" s="69">
        <f>'6 - B1'!G53</f>
        <v>12360.742188</v>
      </c>
      <c r="H53" s="69">
        <f>'6 - B1'!H53</f>
        <v>12372.648438</v>
      </c>
      <c r="I53" s="69">
        <f>'6 - B1'!I53</f>
        <v>12222.518555000001</v>
      </c>
      <c r="J53" s="69">
        <f>'6 - B1'!J53</f>
        <v>11912.204102</v>
      </c>
      <c r="K53" s="69">
        <f>'6 - B1'!K53</f>
        <v>11836.522461</v>
      </c>
      <c r="L53" s="69">
        <f>'6 - B1'!L53</f>
        <v>12126.1875</v>
      </c>
      <c r="M53" s="69">
        <f>'6 - B1'!M53</f>
        <v>11685.859375</v>
      </c>
      <c r="N53" s="69">
        <f>'6 - B1'!N53</f>
        <v>11615.375</v>
      </c>
      <c r="O53" s="69">
        <f>'6 - B1'!O53</f>
        <v>11984.553711</v>
      </c>
      <c r="P53" s="69">
        <f>'6 - B1'!P53</f>
        <v>11872.299805000001</v>
      </c>
    </row>
    <row r="54" spans="1:16" x14ac:dyDescent="0.35">
      <c r="A54" s="71">
        <f>'6 - B1'!A54</f>
        <v>5</v>
      </c>
      <c r="B54" s="69">
        <f>'6 - B1'!B54</f>
        <v>11118.528319999999</v>
      </c>
      <c r="C54" s="69">
        <f>'6 - B1'!C54</f>
        <v>10489.564453000001</v>
      </c>
      <c r="D54" s="69">
        <f>'6 - B1'!D54</f>
        <v>11059.662109000001</v>
      </c>
      <c r="E54" s="69">
        <f>'6 - B1'!E54</f>
        <v>10677.628906</v>
      </c>
      <c r="F54" s="69">
        <f>'6 - B1'!F54</f>
        <v>10988.084961</v>
      </c>
      <c r="G54" s="69">
        <f>'6 - B1'!G54</f>
        <v>10908.714844</v>
      </c>
      <c r="H54" s="69">
        <f>'6 - B1'!H54</f>
        <v>10908.026367</v>
      </c>
      <c r="I54" s="69">
        <f>'6 - B1'!I54</f>
        <v>10773.803711</v>
      </c>
      <c r="J54" s="69">
        <f>'6 - B1'!J54</f>
        <v>10552.702148</v>
      </c>
      <c r="K54" s="69">
        <f>'6 - B1'!K54</f>
        <v>10491.487305000001</v>
      </c>
      <c r="L54" s="69">
        <f>'6 - B1'!L54</f>
        <v>10708.776367</v>
      </c>
      <c r="M54" s="69">
        <f>'6 - B1'!M54</f>
        <v>10304.046875</v>
      </c>
      <c r="N54" s="69">
        <f>'6 - B1'!N54</f>
        <v>10269.154296999999</v>
      </c>
      <c r="O54" s="69">
        <f>'6 - B1'!O54</f>
        <v>10570.292969</v>
      </c>
      <c r="P54" s="69">
        <f>'6 - B1'!P54</f>
        <v>10495.875</v>
      </c>
    </row>
    <row r="55" spans="1:16" x14ac:dyDescent="0.35">
      <c r="A55" s="71">
        <f>'6 - B1'!A55</f>
        <v>6</v>
      </c>
      <c r="B55" s="69">
        <f>'6 - B1'!B55</f>
        <v>9738.8935550000006</v>
      </c>
      <c r="C55" s="69">
        <f>'6 - B1'!C55</f>
        <v>9220.8330079999996</v>
      </c>
      <c r="D55" s="69">
        <f>'6 - B1'!D55</f>
        <v>9703.6855469999991</v>
      </c>
      <c r="E55" s="69">
        <f>'6 - B1'!E55</f>
        <v>9350.8623050000006</v>
      </c>
      <c r="F55" s="69">
        <f>'6 - B1'!F55</f>
        <v>9615.1699219999991</v>
      </c>
      <c r="G55" s="69">
        <f>'6 - B1'!G55</f>
        <v>9542.0898440000001</v>
      </c>
      <c r="H55" s="69">
        <f>'6 - B1'!H55</f>
        <v>9550.0634769999997</v>
      </c>
      <c r="I55" s="69">
        <f>'6 - B1'!I55</f>
        <v>9413.5361329999996</v>
      </c>
      <c r="J55" s="69">
        <f>'6 - B1'!J55</f>
        <v>9244.7197269999997</v>
      </c>
      <c r="K55" s="69">
        <f>'6 - B1'!K55</f>
        <v>9214.8818360000005</v>
      </c>
      <c r="L55" s="69">
        <f>'6 - B1'!L55</f>
        <v>9376.7617190000001</v>
      </c>
      <c r="M55" s="69">
        <f>'6 - B1'!M55</f>
        <v>8972.3701170000004</v>
      </c>
      <c r="N55" s="69">
        <f>'6 - B1'!N55</f>
        <v>8970.6367190000001</v>
      </c>
      <c r="O55" s="69">
        <f>'6 - B1'!O55</f>
        <v>9225.3007809999999</v>
      </c>
      <c r="P55" s="69">
        <f>'6 - B1'!P55</f>
        <v>9170.4228519999997</v>
      </c>
    </row>
    <row r="56" spans="1:16" x14ac:dyDescent="0.35">
      <c r="A56" s="71">
        <f>'6 - B1'!A56</f>
        <v>7</v>
      </c>
      <c r="B56" s="69">
        <f>'6 - B1'!B56</f>
        <v>8515.4130860000005</v>
      </c>
      <c r="C56" s="69">
        <f>'6 - B1'!C56</f>
        <v>8065.3964839999999</v>
      </c>
      <c r="D56" s="69">
        <f>'6 - B1'!D56</f>
        <v>8484.8554690000001</v>
      </c>
      <c r="E56" s="69">
        <f>'6 - B1'!E56</f>
        <v>8144.5668949999999</v>
      </c>
      <c r="F56" s="69">
        <f>'6 - B1'!F56</f>
        <v>8390.7636719999991</v>
      </c>
      <c r="G56" s="69">
        <f>'6 - B1'!G56</f>
        <v>8313.2216800000006</v>
      </c>
      <c r="H56" s="69">
        <f>'6 - B1'!H56</f>
        <v>8351.5595699999994</v>
      </c>
      <c r="I56" s="69">
        <f>'6 - B1'!I56</f>
        <v>8224.1230469999991</v>
      </c>
      <c r="J56" s="69">
        <f>'6 - B1'!J56</f>
        <v>8068.1669920000004</v>
      </c>
      <c r="K56" s="69">
        <f>'6 - B1'!K56</f>
        <v>8064.0551759999998</v>
      </c>
      <c r="L56" s="69">
        <f>'6 - B1'!L56</f>
        <v>8122.2539059999999</v>
      </c>
      <c r="M56" s="69">
        <f>'6 - B1'!M56</f>
        <v>7780.7216799999997</v>
      </c>
      <c r="N56" s="69">
        <f>'6 - B1'!N56</f>
        <v>7822.2651370000003</v>
      </c>
      <c r="O56" s="69">
        <f>'6 - B1'!O56</f>
        <v>7992.0522460000002</v>
      </c>
      <c r="P56" s="69">
        <f>'6 - B1'!P56</f>
        <v>7966.2490230000003</v>
      </c>
    </row>
    <row r="57" spans="1:16" x14ac:dyDescent="0.35">
      <c r="A57" s="71">
        <f>'6 - B1'!A57</f>
        <v>8</v>
      </c>
      <c r="B57" s="69">
        <f>'6 - B1'!B57</f>
        <v>7446.701172</v>
      </c>
      <c r="C57" s="69">
        <f>'6 - B1'!C57</f>
        <v>7023.7822269999997</v>
      </c>
      <c r="D57" s="69">
        <f>'6 - B1'!D57</f>
        <v>7390.1840819999998</v>
      </c>
      <c r="E57" s="69">
        <f>'6 - B1'!E57</f>
        <v>7073.2060549999997</v>
      </c>
      <c r="F57" s="69">
        <f>'6 - B1'!F57</f>
        <v>7291.9370120000003</v>
      </c>
      <c r="G57" s="69">
        <f>'6 - B1'!G57</f>
        <v>7216.9360349999997</v>
      </c>
      <c r="H57" s="69">
        <f>'6 - B1'!H57</f>
        <v>7269.7807620000003</v>
      </c>
      <c r="I57" s="69">
        <f>'6 - B1'!I57</f>
        <v>7165.4267579999996</v>
      </c>
      <c r="J57" s="69">
        <f>'6 - B1'!J57</f>
        <v>7037.9384769999997</v>
      </c>
      <c r="K57" s="69">
        <f>'6 - B1'!K57</f>
        <v>7035.4882809999999</v>
      </c>
      <c r="L57" s="69">
        <f>'6 - B1'!L57</f>
        <v>7014.8710940000001</v>
      </c>
      <c r="M57" s="69">
        <f>'6 - B1'!M57</f>
        <v>6735.0825199999999</v>
      </c>
      <c r="N57" s="69">
        <f>'6 - B1'!N57</f>
        <v>6775.8115230000003</v>
      </c>
      <c r="O57" s="69">
        <f>'6 - B1'!O57</f>
        <v>6907.5629879999997</v>
      </c>
      <c r="P57" s="69">
        <f>'6 - B1'!P57</f>
        <v>6905.5004879999997</v>
      </c>
    </row>
    <row r="58" spans="1:16" x14ac:dyDescent="0.35">
      <c r="A58" s="71">
        <f>'6 - B1'!A58</f>
        <v>9</v>
      </c>
      <c r="B58" s="69">
        <f>'6 - B1'!B58</f>
        <v>6502.4375</v>
      </c>
      <c r="C58" s="69">
        <f>'6 - B1'!C58</f>
        <v>6107.4077150000003</v>
      </c>
      <c r="D58" s="69">
        <f>'6 - B1'!D58</f>
        <v>6408.111328</v>
      </c>
      <c r="E58" s="69">
        <f>'6 - B1'!E58</f>
        <v>6140.8359380000002</v>
      </c>
      <c r="F58" s="69">
        <f>'6 - B1'!F58</f>
        <v>6310.2250979999999</v>
      </c>
      <c r="G58" s="69">
        <f>'6 - B1'!G58</f>
        <v>6247.8559569999998</v>
      </c>
      <c r="H58" s="69">
        <f>'6 - B1'!H58</f>
        <v>6300.841797</v>
      </c>
      <c r="I58" s="69">
        <f>'6 - B1'!I58</f>
        <v>6231.408203</v>
      </c>
      <c r="J58" s="69">
        <f>'6 - B1'!J58</f>
        <v>6124.5942379999997</v>
      </c>
      <c r="K58" s="69">
        <f>'6 - B1'!K58</f>
        <v>6122.4965819999998</v>
      </c>
      <c r="L58" s="69">
        <f>'6 - B1'!L58</f>
        <v>6049.8798829999996</v>
      </c>
      <c r="M58" s="69">
        <f>'6 - B1'!M58</f>
        <v>5806.2514650000003</v>
      </c>
      <c r="N58" s="69">
        <f>'6 - B1'!N58</f>
        <v>5860.8461909999996</v>
      </c>
      <c r="O58" s="69">
        <f>'6 - B1'!O58</f>
        <v>5963.5473629999997</v>
      </c>
      <c r="P58" s="69">
        <f>'6 - B1'!P58</f>
        <v>5980.6186520000001</v>
      </c>
    </row>
    <row r="59" spans="1:16" x14ac:dyDescent="0.35">
      <c r="A59" s="71">
        <f>'6 - B1'!A59</f>
        <v>10</v>
      </c>
      <c r="B59" s="69">
        <f>'6 - B1'!B59</f>
        <v>5575.216797</v>
      </c>
      <c r="C59" s="69">
        <f>'6 - B1'!C59</f>
        <v>5233.8920900000003</v>
      </c>
      <c r="D59" s="69">
        <f>'6 - B1'!D59</f>
        <v>5489.185547</v>
      </c>
      <c r="E59" s="69">
        <f>'6 - B1'!E59</f>
        <v>5234.0419920000004</v>
      </c>
      <c r="F59" s="69">
        <f>'6 - B1'!F59</f>
        <v>5412.4682620000003</v>
      </c>
      <c r="G59" s="69">
        <f>'6 - B1'!G59</f>
        <v>5331.3315430000002</v>
      </c>
      <c r="H59" s="69">
        <f>'6 - B1'!H59</f>
        <v>5390.1767579999996</v>
      </c>
      <c r="I59" s="69">
        <f>'6 - B1'!I59</f>
        <v>5314.2622069999998</v>
      </c>
      <c r="J59" s="69">
        <f>'6 - B1'!J59</f>
        <v>5252.0805659999996</v>
      </c>
      <c r="K59" s="69">
        <f>'6 - B1'!K59</f>
        <v>5259.4648440000001</v>
      </c>
      <c r="L59" s="69">
        <f>'6 - B1'!L59</f>
        <v>5144.4492190000001</v>
      </c>
      <c r="M59" s="69">
        <f>'6 - B1'!M59</f>
        <v>4946.7304690000001</v>
      </c>
      <c r="N59" s="69">
        <f>'6 - B1'!N59</f>
        <v>4975.8051759999998</v>
      </c>
      <c r="O59" s="69">
        <f>'6 - B1'!O59</f>
        <v>5068.7070309999999</v>
      </c>
      <c r="P59" s="69">
        <f>'6 - B1'!P59</f>
        <v>5086.4965819999998</v>
      </c>
    </row>
    <row r="60" spans="1:16" x14ac:dyDescent="0.35">
      <c r="A60" s="71">
        <f>'6 - B1'!A60</f>
        <v>11</v>
      </c>
      <c r="B60" s="69">
        <f>'6 - B1'!B60</f>
        <v>4739.9448240000002</v>
      </c>
      <c r="C60" s="69">
        <f>'6 - B1'!C60</f>
        <v>4463.6596680000002</v>
      </c>
      <c r="D60" s="69">
        <f>'6 - B1'!D60</f>
        <v>4684.2802730000003</v>
      </c>
      <c r="E60" s="69">
        <f>'6 - B1'!E60</f>
        <v>4449.6586909999996</v>
      </c>
      <c r="F60" s="69">
        <f>'6 - B1'!F60</f>
        <v>4614.1879879999997</v>
      </c>
      <c r="G60" s="69">
        <f>'6 - B1'!G60</f>
        <v>4531.064453</v>
      </c>
      <c r="H60" s="69">
        <f>'6 - B1'!H60</f>
        <v>4589.1728519999997</v>
      </c>
      <c r="I60" s="69">
        <f>'6 - B1'!I60</f>
        <v>4515.7553710000002</v>
      </c>
      <c r="J60" s="69">
        <f>'6 - B1'!J60</f>
        <v>4483.6586909999996</v>
      </c>
      <c r="K60" s="69">
        <f>'6 - B1'!K60</f>
        <v>4483.8618159999996</v>
      </c>
      <c r="L60" s="69">
        <f>'6 - B1'!L60</f>
        <v>4355.1801759999998</v>
      </c>
      <c r="M60" s="69">
        <f>'6 - B1'!M60</f>
        <v>4179.3891599999997</v>
      </c>
      <c r="N60" s="69">
        <f>'6 - B1'!N60</f>
        <v>4207.642578</v>
      </c>
      <c r="O60" s="69">
        <f>'6 - B1'!O60</f>
        <v>4279.794922</v>
      </c>
      <c r="P60" s="69">
        <f>'6 - B1'!P60</f>
        <v>4307.1494140000004</v>
      </c>
    </row>
    <row r="61" spans="1:16" x14ac:dyDescent="0.35">
      <c r="A61" s="71">
        <f>'6 - B1'!A61</f>
        <v>12</v>
      </c>
      <c r="B61" s="69">
        <f>'6 - B1'!B61</f>
        <v>3969.0771479999999</v>
      </c>
      <c r="C61" s="69">
        <f>'6 - B1'!C61</f>
        <v>3752.7973630000001</v>
      </c>
      <c r="D61" s="69">
        <f>'6 - B1'!D61</f>
        <v>3914.2397460000002</v>
      </c>
      <c r="E61" s="69">
        <f>'6 - B1'!E61</f>
        <v>3732.6545409999999</v>
      </c>
      <c r="F61" s="69">
        <f>'6 - B1'!F61</f>
        <v>3840.9528810000002</v>
      </c>
      <c r="G61" s="69">
        <f>'6 - B1'!G61</f>
        <v>3783.9494629999999</v>
      </c>
      <c r="H61" s="69">
        <f>'6 - B1'!H61</f>
        <v>3840.4389649999998</v>
      </c>
      <c r="I61" s="69">
        <f>'6 - B1'!I61</f>
        <v>3779.2321780000002</v>
      </c>
      <c r="J61" s="69">
        <f>'6 - B1'!J61</f>
        <v>3745.9035640000002</v>
      </c>
      <c r="K61" s="69">
        <f>'6 - B1'!K61</f>
        <v>3755.0515140000002</v>
      </c>
      <c r="L61" s="69">
        <f>'6 - B1'!L61</f>
        <v>3611.0739749999998</v>
      </c>
      <c r="M61" s="69">
        <f>'6 - B1'!M61</f>
        <v>3469.5720209999999</v>
      </c>
      <c r="N61" s="69">
        <f>'6 - B1'!N61</f>
        <v>3498.095703</v>
      </c>
      <c r="O61" s="69">
        <f>'6 - B1'!O61</f>
        <v>3561.0317380000001</v>
      </c>
      <c r="P61" s="69">
        <f>'6 - B1'!P61</f>
        <v>3576.4895019999999</v>
      </c>
    </row>
    <row r="62" spans="1:16" x14ac:dyDescent="0.35">
      <c r="A62" s="71">
        <f>'6 - B1'!A62</f>
        <v>13</v>
      </c>
      <c r="B62" s="69">
        <f>'6 - B1'!B62</f>
        <v>3282.6281739999999</v>
      </c>
      <c r="C62" s="69">
        <f>'6 - B1'!C62</f>
        <v>3104.2915039999998</v>
      </c>
      <c r="D62" s="69">
        <f>'6 - B1'!D62</f>
        <v>3240.076172</v>
      </c>
      <c r="E62" s="69">
        <f>'6 - B1'!E62</f>
        <v>3093.7890619999998</v>
      </c>
      <c r="F62" s="69">
        <f>'6 - B1'!F62</f>
        <v>3177.9533689999998</v>
      </c>
      <c r="G62" s="69">
        <f>'6 - B1'!G62</f>
        <v>3139.5551759999998</v>
      </c>
      <c r="H62" s="69">
        <f>'6 - B1'!H62</f>
        <v>3176.8208009999998</v>
      </c>
      <c r="I62" s="69">
        <f>'6 - B1'!I62</f>
        <v>3128.1364749999998</v>
      </c>
      <c r="J62" s="69">
        <f>'6 - B1'!J62</f>
        <v>3119.0744629999999</v>
      </c>
      <c r="K62" s="69">
        <f>'6 - B1'!K62</f>
        <v>3110.8559570000002</v>
      </c>
      <c r="L62" s="69">
        <f>'6 - B1'!L62</f>
        <v>2962.2246089999999</v>
      </c>
      <c r="M62" s="69">
        <f>'6 - B1'!M62</f>
        <v>2858.2673340000001</v>
      </c>
      <c r="N62" s="69">
        <f>'6 - B1'!N62</f>
        <v>2864.9428710000002</v>
      </c>
      <c r="O62" s="69">
        <f>'6 - B1'!O62</f>
        <v>2915.4140619999998</v>
      </c>
      <c r="P62" s="69">
        <f>'6 - B1'!P62</f>
        <v>2928.4396969999998</v>
      </c>
    </row>
    <row r="63" spans="1:16" x14ac:dyDescent="0.35">
      <c r="A63" s="71">
        <f>'6 - B1'!A63</f>
        <v>14</v>
      </c>
      <c r="B63" s="69">
        <f>'6 - B1'!B63</f>
        <v>2692.4882809999999</v>
      </c>
      <c r="C63" s="69">
        <f>'6 - B1'!C63</f>
        <v>2537.1123050000001</v>
      </c>
      <c r="D63" s="69">
        <f>'6 - B1'!D63</f>
        <v>2656.6313479999999</v>
      </c>
      <c r="E63" s="69">
        <f>'6 - B1'!E63</f>
        <v>2519.6564939999998</v>
      </c>
      <c r="F63" s="69">
        <f>'6 - B1'!F63</f>
        <v>2582.858643</v>
      </c>
      <c r="G63" s="69">
        <f>'6 - B1'!G63</f>
        <v>2550.1047359999998</v>
      </c>
      <c r="H63" s="69">
        <f>'6 - B1'!H63</f>
        <v>2588.2524410000001</v>
      </c>
      <c r="I63" s="69">
        <f>'6 - B1'!I63</f>
        <v>2553.4104000000002</v>
      </c>
      <c r="J63" s="69">
        <f>'6 - B1'!J63</f>
        <v>2542.1884770000001</v>
      </c>
      <c r="K63" s="69">
        <f>'6 - B1'!K63</f>
        <v>2546.1733399999998</v>
      </c>
      <c r="L63" s="69">
        <f>'6 - B1'!L63</f>
        <v>2376.0905760000001</v>
      </c>
      <c r="M63" s="69">
        <f>'6 - B1'!M63</f>
        <v>2303.783203</v>
      </c>
      <c r="N63" s="69">
        <f>'6 - B1'!N63</f>
        <v>2299.9104000000002</v>
      </c>
      <c r="O63" s="69">
        <f>'6 - B1'!O63</f>
        <v>2351.7543949999999</v>
      </c>
      <c r="P63" s="69">
        <f>'6 - B1'!P63</f>
        <v>2348.938721</v>
      </c>
    </row>
    <row r="64" spans="1:16" x14ac:dyDescent="0.35">
      <c r="A64" s="71">
        <f>'6 - B1'!A64</f>
        <v>15</v>
      </c>
      <c r="B64" s="69">
        <f>'6 - B1'!B64</f>
        <v>2141.3872070000002</v>
      </c>
      <c r="C64" s="69">
        <f>'6 - B1'!C64</f>
        <v>2029.830322</v>
      </c>
      <c r="D64" s="69">
        <f>'6 - B1'!D64</f>
        <v>2116.766846</v>
      </c>
      <c r="E64" s="69">
        <f>'6 - B1'!E64</f>
        <v>1997.5576169999999</v>
      </c>
      <c r="F64" s="69">
        <f>'6 - B1'!F64</f>
        <v>2056.7272950000001</v>
      </c>
      <c r="G64" s="69">
        <f>'6 - B1'!G64</f>
        <v>2011.4174800000001</v>
      </c>
      <c r="H64" s="69">
        <f>'6 - B1'!H64</f>
        <v>2066.9643550000001</v>
      </c>
      <c r="I64" s="69">
        <f>'6 - B1'!I64</f>
        <v>2033.20874</v>
      </c>
      <c r="J64" s="69">
        <f>'6 - B1'!J64</f>
        <v>2026.6361079999999</v>
      </c>
      <c r="K64" s="69">
        <f>'6 - B1'!K64</f>
        <v>2025.1173100000001</v>
      </c>
      <c r="L64" s="69">
        <f>'6 - B1'!L64</f>
        <v>1882.255005</v>
      </c>
      <c r="M64" s="69">
        <f>'6 - B1'!M64</f>
        <v>1814.915283</v>
      </c>
      <c r="N64" s="69">
        <f>'6 - B1'!N64</f>
        <v>1786.9807129999999</v>
      </c>
      <c r="O64" s="69">
        <f>'6 - B1'!O64</f>
        <v>1845.5535890000001</v>
      </c>
      <c r="P64" s="69">
        <f>'6 - B1'!P64</f>
        <v>1846.9506839999999</v>
      </c>
    </row>
    <row r="65" spans="1:16" x14ac:dyDescent="0.35">
      <c r="A65" s="71">
        <f>'6 - B1'!A65</f>
        <v>16</v>
      </c>
      <c r="B65" s="69">
        <f>'6 - B1'!B65</f>
        <v>1696.305298</v>
      </c>
      <c r="C65" s="69">
        <f>'6 - B1'!C65</f>
        <v>1596.848999</v>
      </c>
      <c r="D65" s="69">
        <f>'6 - B1'!D65</f>
        <v>1668.510254</v>
      </c>
      <c r="E65" s="69">
        <f>'6 - B1'!E65</f>
        <v>1559.946899</v>
      </c>
      <c r="F65" s="69">
        <f>'6 - B1'!F65</f>
        <v>1621.7827150000001</v>
      </c>
      <c r="G65" s="69">
        <f>'6 - B1'!G65</f>
        <v>1580.626953</v>
      </c>
      <c r="H65" s="69">
        <f>'6 - B1'!H65</f>
        <v>1629.7320560000001</v>
      </c>
      <c r="I65" s="69">
        <f>'6 - B1'!I65</f>
        <v>1597.3688959999999</v>
      </c>
      <c r="J65" s="69">
        <f>'6 - B1'!J65</f>
        <v>1599.0535890000001</v>
      </c>
      <c r="K65" s="69">
        <f>'6 - B1'!K65</f>
        <v>1595.5363769999999</v>
      </c>
      <c r="L65" s="69">
        <f>'6 - B1'!L65</f>
        <v>1459.615356</v>
      </c>
      <c r="M65" s="69">
        <f>'6 - B1'!M65</f>
        <v>1405.0333250000001</v>
      </c>
      <c r="N65" s="69">
        <f>'6 - B1'!N65</f>
        <v>1391.2821039999999</v>
      </c>
      <c r="O65" s="69">
        <f>'6 - B1'!O65</f>
        <v>1425.3645019999999</v>
      </c>
      <c r="P65" s="69">
        <f>'6 - B1'!P65</f>
        <v>1431.0878909999999</v>
      </c>
    </row>
    <row r="66" spans="1:16" x14ac:dyDescent="0.35">
      <c r="A66" s="71">
        <f>'6 - B1'!A66</f>
        <v>17</v>
      </c>
      <c r="B66" s="69">
        <f>'6 - B1'!B66</f>
        <v>1323.355957</v>
      </c>
      <c r="C66" s="69">
        <f>'6 - B1'!C66</f>
        <v>1243.6136469999999</v>
      </c>
      <c r="D66" s="69">
        <f>'6 - B1'!D66</f>
        <v>1293.718018</v>
      </c>
      <c r="E66" s="69">
        <f>'6 - B1'!E66</f>
        <v>1199.063721</v>
      </c>
      <c r="F66" s="69">
        <f>'6 - B1'!F66</f>
        <v>1251.744629</v>
      </c>
      <c r="G66" s="69">
        <f>'6 - B1'!G66</f>
        <v>1218.1179199999999</v>
      </c>
      <c r="H66" s="69">
        <f>'6 - B1'!H66</f>
        <v>1255.5417480000001</v>
      </c>
      <c r="I66" s="69">
        <f>'6 - B1'!I66</f>
        <v>1248.022217</v>
      </c>
      <c r="J66" s="69">
        <f>'6 - B1'!J66</f>
        <v>1233.6807859999999</v>
      </c>
      <c r="K66" s="69">
        <f>'6 - B1'!K66</f>
        <v>1238.2558590000001</v>
      </c>
      <c r="L66" s="69">
        <f>'6 - B1'!L66</f>
        <v>1091.9997559999999</v>
      </c>
      <c r="M66" s="69">
        <f>'6 - B1'!M66</f>
        <v>1072.378052</v>
      </c>
      <c r="N66" s="69">
        <f>'6 - B1'!N66</f>
        <v>1049.0942379999999</v>
      </c>
      <c r="O66" s="69">
        <f>'6 - B1'!O66</f>
        <v>1073.209351</v>
      </c>
      <c r="P66" s="69">
        <f>'6 - B1'!P66</f>
        <v>1069.1854249999999</v>
      </c>
    </row>
    <row r="67" spans="1:16" x14ac:dyDescent="0.35">
      <c r="A67" s="71">
        <f>'6 - B1'!A67</f>
        <v>18</v>
      </c>
      <c r="B67" s="69">
        <f>'6 - B1'!B67</f>
        <v>1015.603394</v>
      </c>
      <c r="C67" s="69">
        <f>'6 - B1'!C67</f>
        <v>958.70666500000004</v>
      </c>
      <c r="D67" s="69">
        <f>'6 - B1'!D67</f>
        <v>1002.884949</v>
      </c>
      <c r="E67" s="69">
        <f>'6 - B1'!E67</f>
        <v>915.08422900000005</v>
      </c>
      <c r="F67" s="69">
        <f>'6 - B1'!F67</f>
        <v>961.25238000000002</v>
      </c>
      <c r="G67" s="69">
        <f>'6 - B1'!G67</f>
        <v>938.02447500000005</v>
      </c>
      <c r="H67" s="69">
        <f>'6 - B1'!H67</f>
        <v>959.93316700000003</v>
      </c>
      <c r="I67" s="69">
        <f>'6 - B1'!I67</f>
        <v>966.520081</v>
      </c>
      <c r="J67" s="69">
        <f>'6 - B1'!J67</f>
        <v>948.74255400000004</v>
      </c>
      <c r="K67" s="69">
        <f>'6 - B1'!K67</f>
        <v>959.08093299999996</v>
      </c>
      <c r="L67" s="69">
        <f>'6 - B1'!L67</f>
        <v>813.724243</v>
      </c>
      <c r="M67" s="69">
        <f>'6 - B1'!M67</f>
        <v>803.228027</v>
      </c>
      <c r="N67" s="69">
        <f>'6 - B1'!N67</f>
        <v>783.47631799999999</v>
      </c>
      <c r="O67" s="69">
        <f>'6 - B1'!O67</f>
        <v>798.07720900000004</v>
      </c>
      <c r="P67" s="69">
        <f>'6 - B1'!P67</f>
        <v>794.46295199999997</v>
      </c>
    </row>
    <row r="68" spans="1:16" x14ac:dyDescent="0.35">
      <c r="A68" s="71">
        <f>'6 - B1'!A68</f>
        <v>19</v>
      </c>
      <c r="B68" s="69">
        <f>'6 - B1'!B68</f>
        <v>773.44390899999996</v>
      </c>
      <c r="C68" s="69">
        <f>'6 - B1'!C68</f>
        <v>735.10211200000003</v>
      </c>
      <c r="D68" s="69">
        <f>'6 - B1'!D68</f>
        <v>771.28576699999996</v>
      </c>
      <c r="E68" s="69">
        <f>'6 - B1'!E68</f>
        <v>696.54345699999999</v>
      </c>
      <c r="F68" s="69">
        <f>'6 - B1'!F68</f>
        <v>739.37066700000003</v>
      </c>
      <c r="G68" s="69">
        <f>'6 - B1'!G68</f>
        <v>718.64776600000005</v>
      </c>
      <c r="H68" s="69">
        <f>'6 - B1'!H68</f>
        <v>729.30902100000003</v>
      </c>
      <c r="I68" s="69">
        <f>'6 - B1'!I68</f>
        <v>738.83196999999996</v>
      </c>
      <c r="J68" s="69">
        <f>'6 - B1'!J68</f>
        <v>736.35320999999999</v>
      </c>
      <c r="K68" s="69">
        <f>'6 - B1'!K68</f>
        <v>732.32830799999999</v>
      </c>
      <c r="L68" s="69">
        <f>'6 - B1'!L68</f>
        <v>593.82543899999996</v>
      </c>
      <c r="M68" s="69">
        <f>'6 - B1'!M68</f>
        <v>601.62939500000005</v>
      </c>
      <c r="N68" s="69">
        <f>'6 - B1'!N68</f>
        <v>590.20355199999995</v>
      </c>
      <c r="O68" s="69">
        <f>'6 - B1'!O68</f>
        <v>591.50775099999998</v>
      </c>
      <c r="P68" s="69">
        <f>'6 - B1'!P68</f>
        <v>593.73803699999996</v>
      </c>
    </row>
    <row r="69" spans="1:16" x14ac:dyDescent="0.35">
      <c r="A69" s="71">
        <f>'6 - B1'!A69</f>
        <v>20</v>
      </c>
      <c r="B69" s="69">
        <f>'6 - B1'!B69</f>
        <v>592.31970200000001</v>
      </c>
      <c r="C69" s="69">
        <f>'6 - B1'!C69</f>
        <v>562.26092500000004</v>
      </c>
      <c r="D69" s="69">
        <f>'6 - B1'!D69</f>
        <v>587.00256300000001</v>
      </c>
      <c r="E69" s="69">
        <f>'6 - B1'!E69</f>
        <v>526.50854500000003</v>
      </c>
      <c r="F69" s="69">
        <f>'6 - B1'!F69</f>
        <v>560.17205799999999</v>
      </c>
      <c r="G69" s="69">
        <f>'6 - B1'!G69</f>
        <v>554.81201199999998</v>
      </c>
      <c r="H69" s="69">
        <f>'6 - B1'!H69</f>
        <v>556.95898399999999</v>
      </c>
      <c r="I69" s="69">
        <f>'6 - B1'!I69</f>
        <v>554.30157499999996</v>
      </c>
      <c r="J69" s="69">
        <f>'6 - B1'!J69</f>
        <v>565.32019000000003</v>
      </c>
      <c r="K69" s="69">
        <f>'6 - B1'!K69</f>
        <v>562.21984899999995</v>
      </c>
      <c r="L69" s="69">
        <f>'6 - B1'!L69</f>
        <v>438.41711400000003</v>
      </c>
      <c r="M69" s="69">
        <f>'6 - B1'!M69</f>
        <v>443.12994400000002</v>
      </c>
      <c r="N69" s="69">
        <f>'6 - B1'!N69</f>
        <v>440.93643200000002</v>
      </c>
      <c r="O69" s="69">
        <f>'6 - B1'!O69</f>
        <v>438.16696200000001</v>
      </c>
      <c r="P69" s="69">
        <f>'6 - B1'!P69</f>
        <v>443.633759</v>
      </c>
    </row>
    <row r="70" spans="1:16" x14ac:dyDescent="0.35">
      <c r="A70" s="71">
        <f>'6 - B1'!A70</f>
        <v>21</v>
      </c>
      <c r="B70" s="69">
        <f>'6 - B1'!B70</f>
        <v>454.59396400000003</v>
      </c>
      <c r="C70" s="69">
        <f>'6 - B1'!C70</f>
        <v>431.224762</v>
      </c>
      <c r="D70" s="69">
        <f>'6 - B1'!D70</f>
        <v>443.45373499999999</v>
      </c>
      <c r="E70" s="69">
        <f>'6 - B1'!E70</f>
        <v>400.21704099999999</v>
      </c>
      <c r="F70" s="69">
        <f>'6 - B1'!F70</f>
        <v>425.59670999999997</v>
      </c>
      <c r="G70" s="69">
        <f>'6 - B1'!G70</f>
        <v>428.40167200000002</v>
      </c>
      <c r="H70" s="69">
        <f>'6 - B1'!H70</f>
        <v>430.52191199999999</v>
      </c>
      <c r="I70" s="69">
        <f>'6 - B1'!I70</f>
        <v>416.303406</v>
      </c>
      <c r="J70" s="69">
        <f>'6 - B1'!J70</f>
        <v>437.39590500000003</v>
      </c>
      <c r="K70" s="69">
        <f>'6 - B1'!K70</f>
        <v>429.75692700000002</v>
      </c>
      <c r="L70" s="69">
        <f>'6 - B1'!L70</f>
        <v>329.15795900000001</v>
      </c>
      <c r="M70" s="69">
        <f>'6 - B1'!M70</f>
        <v>328.43335000000002</v>
      </c>
      <c r="N70" s="69">
        <f>'6 - B1'!N70</f>
        <v>319.65692100000001</v>
      </c>
      <c r="O70" s="69">
        <f>'6 - B1'!O70</f>
        <v>325.364532</v>
      </c>
      <c r="P70" s="69">
        <f>'6 - B1'!P70</f>
        <v>325.51889</v>
      </c>
    </row>
    <row r="71" spans="1:16" x14ac:dyDescent="0.35">
      <c r="A71" s="71">
        <f>'6 - B1'!A71</f>
        <v>22</v>
      </c>
      <c r="B71" s="69">
        <f>'6 - B1'!B71</f>
        <v>342.03539999999998</v>
      </c>
      <c r="C71" s="69">
        <f>'6 - B1'!C71</f>
        <v>333.03552200000001</v>
      </c>
      <c r="D71" s="69">
        <f>'6 - B1'!D71</f>
        <v>342.062408</v>
      </c>
      <c r="E71" s="69">
        <f>'6 - B1'!E71</f>
        <v>307.79144300000002</v>
      </c>
      <c r="F71" s="69">
        <f>'6 - B1'!F71</f>
        <v>323.47467</v>
      </c>
      <c r="G71" s="69">
        <f>'6 - B1'!G71</f>
        <v>325.28268400000002</v>
      </c>
      <c r="H71" s="69">
        <f>'6 - B1'!H71</f>
        <v>341.698059</v>
      </c>
      <c r="I71" s="69">
        <f>'6 - B1'!I71</f>
        <v>314.35879499999999</v>
      </c>
      <c r="J71" s="69">
        <f>'6 - B1'!J71</f>
        <v>340.31366000000003</v>
      </c>
      <c r="K71" s="69">
        <f>'6 - B1'!K71</f>
        <v>328.43069500000001</v>
      </c>
      <c r="L71" s="69">
        <f>'6 - B1'!L71</f>
        <v>245.34002699999999</v>
      </c>
      <c r="M71" s="69">
        <f>'6 - B1'!M71</f>
        <v>246.80877699999999</v>
      </c>
      <c r="N71" s="69">
        <f>'6 - B1'!N71</f>
        <v>240.27075199999999</v>
      </c>
      <c r="O71" s="69">
        <f>'6 - B1'!O71</f>
        <v>245.6978</v>
      </c>
      <c r="P71" s="69">
        <f>'6 - B1'!P71</f>
        <v>243.43611100000001</v>
      </c>
    </row>
    <row r="72" spans="1:16" x14ac:dyDescent="0.35">
      <c r="A72" s="71">
        <f>'6 - B1'!A72</f>
        <v>23</v>
      </c>
      <c r="B72" s="69">
        <f>'6 - B1'!B72</f>
        <v>264.35412600000001</v>
      </c>
      <c r="C72" s="69">
        <f>'6 - B1'!C72</f>
        <v>262.24789399999997</v>
      </c>
      <c r="D72" s="69">
        <f>'6 - B1'!D72</f>
        <v>264.15115400000002</v>
      </c>
      <c r="E72" s="69">
        <f>'6 - B1'!E72</f>
        <v>230.358521</v>
      </c>
      <c r="F72" s="69">
        <f>'6 - B1'!F72</f>
        <v>247.10359199999999</v>
      </c>
      <c r="G72" s="69">
        <f>'6 - B1'!G72</f>
        <v>250.829971</v>
      </c>
      <c r="H72" s="69">
        <f>'6 - B1'!H72</f>
        <v>259.05480999999997</v>
      </c>
      <c r="I72" s="69">
        <f>'6 - B1'!I72</f>
        <v>241.896423</v>
      </c>
      <c r="J72" s="69">
        <f>'6 - B1'!J72</f>
        <v>262.68289199999998</v>
      </c>
      <c r="K72" s="69">
        <f>'6 - B1'!K72</f>
        <v>254.546967</v>
      </c>
      <c r="L72" s="69">
        <f>'6 - B1'!L72</f>
        <v>183.41336100000001</v>
      </c>
      <c r="M72" s="69">
        <f>'6 - B1'!M72</f>
        <v>181.72022999999999</v>
      </c>
      <c r="N72" s="69">
        <f>'6 - B1'!N72</f>
        <v>179.01492300000001</v>
      </c>
      <c r="O72" s="69">
        <f>'6 - B1'!O72</f>
        <v>182.598938</v>
      </c>
      <c r="P72" s="69">
        <f>'6 - B1'!P72</f>
        <v>179.808762</v>
      </c>
    </row>
    <row r="73" spans="1:16" x14ac:dyDescent="0.35">
      <c r="A73" s="71">
        <f>'6 - B1'!A73</f>
        <v>24</v>
      </c>
      <c r="B73" s="69">
        <f>'6 - B1'!B73</f>
        <v>205.30050700000001</v>
      </c>
      <c r="C73" s="69">
        <f>'6 - B1'!C73</f>
        <v>205.51242099999999</v>
      </c>
      <c r="D73" s="69">
        <f>'6 - B1'!D73</f>
        <v>204.20573400000001</v>
      </c>
      <c r="E73" s="69">
        <f>'6 - B1'!E73</f>
        <v>173.73899800000001</v>
      </c>
      <c r="F73" s="69">
        <f>'6 - B1'!F73</f>
        <v>192.250473</v>
      </c>
      <c r="G73" s="69">
        <f>'6 - B1'!G73</f>
        <v>191.506699</v>
      </c>
      <c r="H73" s="69">
        <f>'6 - B1'!H73</f>
        <v>200.07437100000001</v>
      </c>
      <c r="I73" s="69">
        <f>'6 - B1'!I73</f>
        <v>187.72726399999999</v>
      </c>
      <c r="J73" s="69">
        <f>'6 - B1'!J73</f>
        <v>201.87503100000001</v>
      </c>
      <c r="K73" s="69">
        <f>'6 - B1'!K73</f>
        <v>193.50495900000001</v>
      </c>
      <c r="L73" s="69">
        <f>'6 - B1'!L73</f>
        <v>139.63082900000001</v>
      </c>
      <c r="M73" s="69">
        <f>'6 - B1'!M73</f>
        <v>137.21371500000001</v>
      </c>
      <c r="N73" s="69">
        <f>'6 - B1'!N73</f>
        <v>127.79235799999999</v>
      </c>
      <c r="O73" s="69">
        <f>'6 - B1'!O73</f>
        <v>131.83784499999999</v>
      </c>
      <c r="P73" s="69">
        <f>'6 - B1'!P73</f>
        <v>132.879211</v>
      </c>
    </row>
    <row r="74" spans="1:16" x14ac:dyDescent="0.35">
      <c r="A74" s="71">
        <f>'6 - B1'!A74</f>
        <v>25</v>
      </c>
      <c r="B74" s="69">
        <f>'6 - B1'!B74</f>
        <v>155.16438299999999</v>
      </c>
      <c r="C74" s="69">
        <f>'6 - B1'!C74</f>
        <v>159.84298699999999</v>
      </c>
      <c r="D74" s="69">
        <f>'6 - B1'!D74</f>
        <v>155.644623</v>
      </c>
      <c r="E74" s="69">
        <f>'6 - B1'!E74</f>
        <v>133.69966099999999</v>
      </c>
      <c r="F74" s="69">
        <f>'6 - B1'!F74</f>
        <v>146.392563</v>
      </c>
      <c r="G74" s="69">
        <f>'6 - B1'!G74</f>
        <v>146.11840799999999</v>
      </c>
      <c r="H74" s="69">
        <f>'6 - B1'!H74</f>
        <v>155.39756800000001</v>
      </c>
      <c r="I74" s="69">
        <f>'6 - B1'!I74</f>
        <v>143.148697</v>
      </c>
      <c r="J74" s="69">
        <f>'6 - B1'!J74</f>
        <v>157.01391599999999</v>
      </c>
      <c r="K74" s="69">
        <f>'6 - B1'!K74</f>
        <v>151.81343100000001</v>
      </c>
      <c r="L74" s="69">
        <f>'6 - B1'!L74</f>
        <v>103.934242</v>
      </c>
      <c r="M74" s="69">
        <f>'6 - B1'!M74</f>
        <v>103.965782</v>
      </c>
      <c r="N74" s="69">
        <f>'6 - B1'!N74</f>
        <v>93.467963999999995</v>
      </c>
      <c r="O74" s="69">
        <f>'6 - B1'!O74</f>
        <v>97.644608000000005</v>
      </c>
      <c r="P74" s="69">
        <f>'6 - B1'!P74</f>
        <v>95.265251000000006</v>
      </c>
    </row>
    <row r="75" spans="1:16" x14ac:dyDescent="0.35">
      <c r="A75" s="71">
        <f>'6 - B1'!A75</f>
        <v>26</v>
      </c>
      <c r="B75" s="69">
        <f>'6 - B1'!B75</f>
        <v>114.342079</v>
      </c>
      <c r="C75" s="69">
        <f>'6 - B1'!C75</f>
        <v>122.604843</v>
      </c>
      <c r="D75" s="69">
        <f>'6 - B1'!D75</f>
        <v>117.934151</v>
      </c>
      <c r="E75" s="69">
        <f>'6 - B1'!E75</f>
        <v>101.42124200000001</v>
      </c>
      <c r="F75" s="69">
        <f>'6 - B1'!F75</f>
        <v>110.235367</v>
      </c>
      <c r="G75" s="69">
        <f>'6 - B1'!G75</f>
        <v>107.498558</v>
      </c>
      <c r="H75" s="69">
        <f>'6 - B1'!H75</f>
        <v>114.782295</v>
      </c>
      <c r="I75" s="69">
        <f>'6 - B1'!I75</f>
        <v>107.62793000000001</v>
      </c>
      <c r="J75" s="69">
        <f>'6 - B1'!J75</f>
        <v>118.636635</v>
      </c>
      <c r="K75" s="69">
        <f>'6 - B1'!K75</f>
        <v>115.223404</v>
      </c>
      <c r="L75" s="69">
        <f>'6 - B1'!L75</f>
        <v>79.676345999999995</v>
      </c>
      <c r="M75" s="69">
        <f>'6 - B1'!M75</f>
        <v>77.050781000000001</v>
      </c>
      <c r="N75" s="69">
        <f>'6 - B1'!N75</f>
        <v>66.184471000000002</v>
      </c>
      <c r="O75" s="69">
        <f>'6 - B1'!O75</f>
        <v>72.792823999999996</v>
      </c>
      <c r="P75" s="69">
        <f>'6 - B1'!P75</f>
        <v>70.833754999999996</v>
      </c>
    </row>
    <row r="76" spans="1:16" x14ac:dyDescent="0.35">
      <c r="A76" s="71">
        <f>'6 - B1'!A76</f>
        <v>27</v>
      </c>
      <c r="B76" s="69">
        <f>'6 - B1'!B76</f>
        <v>82.833602999999997</v>
      </c>
      <c r="C76" s="69">
        <f>'6 - B1'!C76</f>
        <v>92.744063999999995</v>
      </c>
      <c r="D76" s="69">
        <f>'6 - B1'!D76</f>
        <v>90.896454000000006</v>
      </c>
      <c r="E76" s="69">
        <f>'6 - B1'!E76</f>
        <v>74.434371999999996</v>
      </c>
      <c r="F76" s="69">
        <f>'6 - B1'!F76</f>
        <v>82.544242999999994</v>
      </c>
      <c r="G76" s="69">
        <f>'6 - B1'!G76</f>
        <v>84.207206999999997</v>
      </c>
      <c r="H76" s="69">
        <f>'6 - B1'!H76</f>
        <v>84.762314000000003</v>
      </c>
      <c r="I76" s="69">
        <f>'6 - B1'!I76</f>
        <v>77.435271999999998</v>
      </c>
      <c r="J76" s="69">
        <f>'6 - B1'!J76</f>
        <v>87.268897999999993</v>
      </c>
      <c r="K76" s="69">
        <f>'6 - B1'!K76</f>
        <v>83.207130000000006</v>
      </c>
      <c r="L76" s="69">
        <f>'6 - B1'!L76</f>
        <v>55.812885000000001</v>
      </c>
      <c r="M76" s="69">
        <f>'6 - B1'!M76</f>
        <v>59.811107999999997</v>
      </c>
      <c r="N76" s="69">
        <f>'6 - B1'!N76</f>
        <v>46.117905</v>
      </c>
      <c r="O76" s="69">
        <f>'6 - B1'!O76</f>
        <v>52.699885999999999</v>
      </c>
      <c r="P76" s="69">
        <f>'6 - B1'!P76</f>
        <v>54.311737000000001</v>
      </c>
    </row>
    <row r="77" spans="1:16" x14ac:dyDescent="0.35">
      <c r="A77" s="71">
        <f>'6 - B1'!A77</f>
        <v>28</v>
      </c>
      <c r="B77" s="69">
        <f>'6 - B1'!B77</f>
        <v>58.062786000000003</v>
      </c>
      <c r="C77" s="69">
        <f>'6 - B1'!C77</f>
        <v>70.085007000000004</v>
      </c>
      <c r="D77" s="69">
        <f>'6 - B1'!D77</f>
        <v>70.262428</v>
      </c>
      <c r="E77" s="69">
        <f>'6 - B1'!E77</f>
        <v>55.032051000000003</v>
      </c>
      <c r="F77" s="69">
        <f>'6 - B1'!F77</f>
        <v>60.497169</v>
      </c>
      <c r="G77" s="69">
        <f>'6 - B1'!G77</f>
        <v>64.100989999999996</v>
      </c>
      <c r="H77" s="69">
        <f>'6 - B1'!H77</f>
        <v>63.924908000000002</v>
      </c>
      <c r="I77" s="69">
        <f>'6 - B1'!I77</f>
        <v>59.319682999999998</v>
      </c>
      <c r="J77" s="69">
        <f>'6 - B1'!J77</f>
        <v>62.384995000000004</v>
      </c>
      <c r="K77" s="69">
        <f>'6 - B1'!K77</f>
        <v>63.680720999999998</v>
      </c>
      <c r="L77" s="69">
        <f>'6 - B1'!L77</f>
        <v>41.41592</v>
      </c>
      <c r="M77" s="69">
        <f>'6 - B1'!M77</f>
        <v>46.265652000000003</v>
      </c>
      <c r="N77" s="69">
        <f>'6 - B1'!N77</f>
        <v>33.620303999999997</v>
      </c>
      <c r="O77" s="69">
        <f>'6 - B1'!O77</f>
        <v>37.542060999999997</v>
      </c>
      <c r="P77" s="69">
        <f>'6 - B1'!P77</f>
        <v>37.789721999999998</v>
      </c>
    </row>
    <row r="78" spans="1:16" x14ac:dyDescent="0.35">
      <c r="A78" s="71">
        <f>'6 - B1'!A78</f>
        <v>29</v>
      </c>
      <c r="B78" s="69">
        <f>'6 - B1'!B78</f>
        <v>40.624133999999998</v>
      </c>
      <c r="C78" s="69">
        <f>'6 - B1'!C78</f>
        <v>51.114628000000003</v>
      </c>
      <c r="D78" s="69">
        <f>'6 - B1'!D78</f>
        <v>52.474471999999999</v>
      </c>
      <c r="E78" s="69">
        <f>'6 - B1'!E78</f>
        <v>39.862960999999999</v>
      </c>
      <c r="F78" s="69">
        <f>'6 - B1'!F78</f>
        <v>45.857914000000001</v>
      </c>
      <c r="G78" s="69">
        <f>'6 - B1'!G78</f>
        <v>45.189208999999998</v>
      </c>
      <c r="H78" s="69">
        <f>'6 - B1'!H78</f>
        <v>49.091503000000003</v>
      </c>
      <c r="I78" s="69">
        <f>'6 - B1'!I78</f>
        <v>42.269714</v>
      </c>
      <c r="J78" s="69">
        <f>'6 - B1'!J78</f>
        <v>45.386837</v>
      </c>
      <c r="K78" s="69">
        <f>'6 - B1'!K78</f>
        <v>46.265273999999998</v>
      </c>
      <c r="L78" s="69">
        <f>'6 - B1'!L78</f>
        <v>30.174458000000001</v>
      </c>
      <c r="M78" s="69">
        <f>'6 - B1'!M78</f>
        <v>32.192450999999998</v>
      </c>
      <c r="N78" s="69">
        <f>'6 - B1'!N78</f>
        <v>23.410996999999998</v>
      </c>
      <c r="O78" s="69">
        <f>'6 - B1'!O78</f>
        <v>28.729369999999999</v>
      </c>
      <c r="P78" s="69">
        <f>'6 - B1'!P78</f>
        <v>27.946816999999999</v>
      </c>
    </row>
    <row r="79" spans="1:16" x14ac:dyDescent="0.35">
      <c r="A79" s="71">
        <f>'6 - B1'!A79</f>
        <v>30</v>
      </c>
      <c r="B79" s="69">
        <f>'6 - B1'!B79</f>
        <v>29.328644000000001</v>
      </c>
      <c r="C79" s="69">
        <f>'6 - B1'!C79</f>
        <v>36.886845000000001</v>
      </c>
      <c r="D79" s="69">
        <f>'6 - B1'!D79</f>
        <v>37.888348000000001</v>
      </c>
      <c r="E79" s="69">
        <f>'6 - B1'!E79</f>
        <v>26.98687</v>
      </c>
      <c r="F79" s="69">
        <f>'6 - B1'!F79</f>
        <v>31.747786000000001</v>
      </c>
      <c r="G79" s="69">
        <f>'6 - B1'!G79</f>
        <v>33.244926</v>
      </c>
      <c r="H79" s="69">
        <f>'6 - B1'!H79</f>
        <v>34.258099000000001</v>
      </c>
      <c r="I79" s="69">
        <f>'6 - B1'!I79</f>
        <v>30.192654000000001</v>
      </c>
      <c r="J79" s="69">
        <f>'6 - B1'!J79</f>
        <v>33.821078999999997</v>
      </c>
      <c r="K79" s="69">
        <f>'6 - B1'!K79</f>
        <v>31.312619999999999</v>
      </c>
      <c r="L79" s="69">
        <f>'6 - B1'!L79</f>
        <v>21.496835999999998</v>
      </c>
      <c r="M79" s="69">
        <f>'6 - B1'!M79</f>
        <v>24.276274000000001</v>
      </c>
      <c r="N79" s="69">
        <f>'6 - B1'!N79</f>
        <v>17.074186000000001</v>
      </c>
      <c r="O79" s="69">
        <f>'6 - B1'!O79</f>
        <v>20.092934</v>
      </c>
      <c r="P79" s="69">
        <f>'6 - B1'!P79</f>
        <v>17.752379999999999</v>
      </c>
    </row>
    <row r="80" spans="1:16" x14ac:dyDescent="0.35">
      <c r="A80" s="71">
        <f>'6 - B1'!A80</f>
        <v>38</v>
      </c>
      <c r="B80" s="69">
        <f>'6 - B1'!B80</f>
        <v>21.203817000000001</v>
      </c>
      <c r="C80" s="69">
        <f>'6 - B1'!C80</f>
        <v>24.415579000000001</v>
      </c>
      <c r="D80" s="69">
        <f>'6 - B1'!D80</f>
        <v>28.638608999999999</v>
      </c>
      <c r="E80" s="69">
        <f>'6 - B1'!E80</f>
        <v>19.402325000000001</v>
      </c>
      <c r="F80" s="69">
        <f>'6 - B1'!F80</f>
        <v>23.28171</v>
      </c>
      <c r="G80" s="69">
        <f>'6 - B1'!G80</f>
        <v>24.684854999999999</v>
      </c>
      <c r="H80" s="69">
        <f>'6 - B1'!H80</f>
        <v>24.015986999999999</v>
      </c>
      <c r="I80" s="69">
        <f>'6 - B1'!I80</f>
        <v>23.621310999999999</v>
      </c>
      <c r="J80" s="69">
        <f>'6 - B1'!J80</f>
        <v>24.533424</v>
      </c>
      <c r="K80" s="69">
        <f>'6 - B1'!K80</f>
        <v>22.341025999999999</v>
      </c>
      <c r="L80" s="69">
        <f>'6 - B1'!L80</f>
        <v>14.396963</v>
      </c>
      <c r="M80" s="69">
        <f>'6 - B1'!M80</f>
        <v>17.591502999999999</v>
      </c>
      <c r="N80" s="69">
        <f>'6 - B1'!N80</f>
        <v>11.969531999999999</v>
      </c>
      <c r="O80" s="69">
        <f>'6 - B1'!O80</f>
        <v>13.924049999999999</v>
      </c>
      <c r="P80" s="69">
        <f>'6 - B1'!P80</f>
        <v>11.600566000000001</v>
      </c>
    </row>
    <row r="81" spans="1:16" x14ac:dyDescent="0.35">
      <c r="A81" s="71">
        <f>'6 - B1'!A81</f>
        <v>50</v>
      </c>
      <c r="B81" s="69">
        <f>'6 - B1'!B81</f>
        <v>16.249655000000001</v>
      </c>
      <c r="C81" s="69">
        <f>'6 - B1'!C81</f>
        <v>18.092119</v>
      </c>
      <c r="D81" s="69">
        <f>'6 - B1'!D81</f>
        <v>21.345547</v>
      </c>
      <c r="E81" s="69">
        <f>'6 - B1'!E81</f>
        <v>11.641396</v>
      </c>
      <c r="F81" s="69">
        <f>'6 - B1'!F81</f>
        <v>15.344763</v>
      </c>
      <c r="G81" s="69">
        <f>'6 - B1'!G81</f>
        <v>17.916428</v>
      </c>
      <c r="H81" s="69">
        <f>'6 - B1'!H81</f>
        <v>16.069521000000002</v>
      </c>
      <c r="I81" s="69">
        <f>'6 - B1'!I81</f>
        <v>15.806742</v>
      </c>
      <c r="J81" s="69">
        <f>'6 - B1'!J81</f>
        <v>18.049590999999999</v>
      </c>
      <c r="K81" s="69">
        <f>'6 - B1'!K81</f>
        <v>14.776742</v>
      </c>
      <c r="L81" s="69">
        <f>'6 - B1'!L81</f>
        <v>9.6637149999999998</v>
      </c>
      <c r="M81" s="69">
        <f>'6 - B1'!M81</f>
        <v>11.082646</v>
      </c>
      <c r="N81" s="69">
        <f>'6 - B1'!N81</f>
        <v>9.505217</v>
      </c>
      <c r="O81" s="69">
        <f>'6 - B1'!O81</f>
        <v>9.6939589999999995</v>
      </c>
      <c r="P81" s="69">
        <f>'6 - B1'!P81</f>
        <v>7.7337100000000003</v>
      </c>
    </row>
    <row r="82" spans="1:16" x14ac:dyDescent="0.35">
      <c r="A82" s="71">
        <f>'6 - B1'!A82</f>
        <v>70</v>
      </c>
      <c r="B82" s="69">
        <f>'6 - B1'!B82</f>
        <v>11.691824</v>
      </c>
      <c r="C82" s="69">
        <f>'6 - B1'!C82</f>
        <v>13.876479</v>
      </c>
      <c r="D82" s="69">
        <f>'6 - B1'!D82</f>
        <v>16.009160999999999</v>
      </c>
      <c r="E82" s="69">
        <f>'6 - B1'!E82</f>
        <v>9.1720089999999992</v>
      </c>
      <c r="F82" s="69">
        <f>'6 - B1'!F82</f>
        <v>10.053466</v>
      </c>
      <c r="G82" s="69">
        <f>'6 - B1'!G82</f>
        <v>12.143356000000001</v>
      </c>
      <c r="H82" s="69">
        <f>'6 - B1'!H82</f>
        <v>11.654818000000001</v>
      </c>
      <c r="I82" s="69">
        <f>'6 - B1'!I82</f>
        <v>12.254664999999999</v>
      </c>
      <c r="J82" s="69">
        <f>'6 - B1'!J82</f>
        <v>12.266712</v>
      </c>
      <c r="K82" s="69">
        <f>'6 - B1'!K82</f>
        <v>8.7956800000000008</v>
      </c>
      <c r="L82" s="69">
        <f>'6 - B1'!L82</f>
        <v>6.9026540000000001</v>
      </c>
      <c r="M82" s="69">
        <f>'6 - B1'!M82</f>
        <v>7.5643459999999996</v>
      </c>
      <c r="N82" s="69">
        <f>'6 - B1'!N82</f>
        <v>7.2169239999999997</v>
      </c>
      <c r="O82" s="69">
        <f>'6 - B1'!O82</f>
        <v>6.3451370000000002</v>
      </c>
      <c r="P82" s="69">
        <f>'6 - B1'!P82</f>
        <v>4.7456860000000001</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3" priority="1" operator="greaterThan">
      <formula>1000</formula>
    </cfRule>
  </conditionalFormatting>
  <conditionalFormatting sqref="K9:K40">
    <cfRule type="cellIs" dxfId="2"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54574-598C-44B0-9FF3-BF780664957E}">
  <sheetPr codeName="Sheet7"/>
  <dimension ref="A1:AW128"/>
  <sheetViews>
    <sheetView topLeftCell="A13" zoomScale="70" zoomScaleNormal="70" workbookViewId="0"/>
  </sheetViews>
  <sheetFormatPr defaultColWidth="11.53125" defaultRowHeight="12.75" x14ac:dyDescent="0.35"/>
  <sheetData>
    <row r="1" spans="1:49" x14ac:dyDescent="0.35">
      <c r="A1" t="str">
        <f>'6 - B1'!$A$1</f>
        <v>Data Preprocessing and Quality Assessment per ISO 11171 Clause 6.6</v>
      </c>
    </row>
    <row r="2" spans="1:49" ht="40.15" x14ac:dyDescent="1.05">
      <c r="A2" s="43" t="s">
        <v>115</v>
      </c>
      <c r="O2" s="43"/>
    </row>
    <row r="3" spans="1:49" ht="13.15" x14ac:dyDescent="0.4">
      <c r="A3" t="str">
        <f>'6 - B1'!$A$3</f>
        <v>Serial #</v>
      </c>
      <c r="B3" s="40" t="str">
        <f>'6 - B1'!$B$3</f>
        <v>11171-00009</v>
      </c>
    </row>
    <row r="4" spans="1:49" ht="17.100000000000001" customHeight="1" x14ac:dyDescent="1.05">
      <c r="A4" s="41" t="str">
        <f>'6 - B1'!$A$4</f>
        <v>Date</v>
      </c>
      <c r="B4" s="42">
        <f>'6 - B1'!$B$4</f>
        <v>46009</v>
      </c>
      <c r="O4" s="43"/>
    </row>
    <row r="5" spans="1:49" ht="13.15" x14ac:dyDescent="0.4">
      <c r="A5" s="41" t="str">
        <f>'6 - B1'!$A$5</f>
        <v>RM</v>
      </c>
      <c r="B5" s="68" t="str">
        <f>'6 - B1'!$B$5</f>
        <v>37D</v>
      </c>
    </row>
    <row r="6" spans="1:49" ht="13.15" x14ac:dyDescent="0.4">
      <c r="B6" s="41"/>
      <c r="C6" s="41"/>
      <c r="D6" s="41"/>
      <c r="E6" s="41"/>
      <c r="F6" s="41"/>
    </row>
    <row r="7" spans="1:49" ht="14.65" x14ac:dyDescent="0.5">
      <c r="B7" s="19" t="s">
        <v>58</v>
      </c>
      <c r="C7" s="19" t="s">
        <v>59</v>
      </c>
      <c r="D7" s="19" t="s">
        <v>60</v>
      </c>
      <c r="E7" s="19" t="s">
        <v>61</v>
      </c>
      <c r="F7" s="19" t="s">
        <v>62</v>
      </c>
      <c r="G7" s="19" t="s">
        <v>63</v>
      </c>
      <c r="H7" s="19" t="s">
        <v>64</v>
      </c>
      <c r="I7" s="19" t="s">
        <v>65</v>
      </c>
      <c r="J7" s="19" t="s">
        <v>66</v>
      </c>
      <c r="K7" s="19" t="s">
        <v>67</v>
      </c>
      <c r="L7" s="19" t="s">
        <v>68</v>
      </c>
      <c r="M7" s="19" t="s">
        <v>69</v>
      </c>
      <c r="O7" s="19" t="s">
        <v>58</v>
      </c>
      <c r="P7" s="19" t="s">
        <v>59</v>
      </c>
      <c r="Q7" s="19" t="s">
        <v>60</v>
      </c>
      <c r="R7" s="19" t="s">
        <v>61</v>
      </c>
      <c r="S7" s="19" t="s">
        <v>62</v>
      </c>
    </row>
    <row r="8" spans="1:49" ht="13.15" x14ac:dyDescent="0.4">
      <c r="A8" s="15" t="s">
        <v>70</v>
      </c>
      <c r="B8" s="47">
        <f>L52</f>
        <v>5.0705140000000002</v>
      </c>
      <c r="C8" s="47">
        <f>M52</f>
        <v>5.6845629999999998</v>
      </c>
      <c r="D8" s="47">
        <f>N52</f>
        <v>5.6810910000000003</v>
      </c>
      <c r="E8" s="47">
        <f>O52</f>
        <v>5.6736360000000001</v>
      </c>
      <c r="F8" s="47">
        <f>P52</f>
        <v>5.6893779999999996</v>
      </c>
      <c r="G8" s="48">
        <f>AVERAGE(B$8:F$8)*5</f>
        <v>27.799182000000002</v>
      </c>
      <c r="I8" s="49"/>
      <c r="K8" s="49"/>
    </row>
    <row r="9" spans="1:49" x14ac:dyDescent="0.35">
      <c r="A9" s="15" t="s">
        <v>71</v>
      </c>
      <c r="B9" s="22">
        <f>L53</f>
        <v>12126.1875</v>
      </c>
      <c r="C9" s="22">
        <f t="shared" ref="C9:F9" si="0">M53</f>
        <v>11685.859375</v>
      </c>
      <c r="D9" s="22">
        <f t="shared" si="0"/>
        <v>11615.375</v>
      </c>
      <c r="E9" s="22">
        <f t="shared" si="0"/>
        <v>11984.553711</v>
      </c>
      <c r="F9" s="22">
        <f t="shared" si="0"/>
        <v>11872.299805000001</v>
      </c>
      <c r="G9" s="34">
        <f t="shared" ref="G9:G38" si="1">AVERAGE(B9:F9)</f>
        <v>11856.8550782</v>
      </c>
      <c r="H9" s="51">
        <f t="shared" ref="H9:H38" si="2">G9*G$8</f>
        <v>329610.87226650608</v>
      </c>
      <c r="I9" s="49">
        <f t="shared" ref="I9:I38" si="3">STDEVP(B9:F9)/G9</f>
        <v>1.5852109170770821E-2</v>
      </c>
      <c r="J9" s="49">
        <f t="shared" ref="J9:J38" si="4">IF(H9&gt;$A$43, $C$43, IF(H9&gt;$A$44, $C$44, IF(H9&gt;$A$45,$C$45,IF(H9&gt;$A$46,$C$46, IF(H9&gt;$A$47,$C$47,IF(H9&gt;$A$48,$C$48,$C$49))))))/100</f>
        <v>0.11</v>
      </c>
      <c r="K9" s="49">
        <f t="shared" ref="K9:K38" si="5">(MAX(B9:F9)-MIN(B9:F9))/G9</f>
        <v>4.3081617902134883E-2</v>
      </c>
      <c r="L9" s="22">
        <f>G9/'Clause 6'!$I$11</f>
        <v>11856.8550782</v>
      </c>
      <c r="M9">
        <f t="shared" ref="M9:M38" si="6">COUNTA(B9:F9)</f>
        <v>5</v>
      </c>
      <c r="O9" s="52">
        <f>IF(ISNUMBER(B9), (B9/$G9-1), 0)</f>
        <v>2.2715333874257615E-2</v>
      </c>
      <c r="P9" s="52">
        <f t="shared" ref="P9:S38" si="7">IF(ISNUMBER(C9), (C9/$G9-1), 0)</f>
        <v>-1.4421674387704475E-2</v>
      </c>
      <c r="Q9" s="52">
        <f t="shared" si="7"/>
        <v>-2.0366284027877324E-2</v>
      </c>
      <c r="R9" s="52">
        <f t="shared" si="7"/>
        <v>1.0770025606097411E-2</v>
      </c>
      <c r="S9" s="52">
        <f t="shared" si="7"/>
        <v>1.302598935226662E-3</v>
      </c>
    </row>
    <row r="10" spans="1:49" x14ac:dyDescent="0.35">
      <c r="A10" s="15" t="s">
        <v>72</v>
      </c>
      <c r="B10" s="22">
        <f t="shared" ref="B10:F25" si="8">L54</f>
        <v>10708.776367</v>
      </c>
      <c r="C10" s="22">
        <f t="shared" si="8"/>
        <v>10304.046875</v>
      </c>
      <c r="D10" s="22">
        <f t="shared" si="8"/>
        <v>10269.154296999999</v>
      </c>
      <c r="E10" s="22">
        <f t="shared" si="8"/>
        <v>10570.292969</v>
      </c>
      <c r="F10" s="22">
        <f t="shared" si="8"/>
        <v>10495.875</v>
      </c>
      <c r="G10" s="34">
        <f t="shared" si="1"/>
        <v>10469.6291016</v>
      </c>
      <c r="H10" s="51">
        <f t="shared" si="2"/>
        <v>291047.1248678749</v>
      </c>
      <c r="I10" s="49">
        <f t="shared" si="3"/>
        <v>1.5730673883429039E-2</v>
      </c>
      <c r="J10" s="49">
        <f t="shared" si="4"/>
        <v>0.11</v>
      </c>
      <c r="K10" s="49">
        <f t="shared" si="5"/>
        <v>4.1990223887951955E-2</v>
      </c>
      <c r="L10" s="22">
        <f>G10/'Clause 6'!$I$11</f>
        <v>10469.6291016</v>
      </c>
      <c r="M10">
        <f t="shared" si="6"/>
        <v>5</v>
      </c>
      <c r="O10" s="52">
        <f t="shared" ref="O10:O38" si="9">IF(ISNUMBER(B10), (B10/$G10-1), 0)</f>
        <v>2.2841999757513332E-2</v>
      </c>
      <c r="P10" s="52">
        <f t="shared" si="7"/>
        <v>-1.5815481617653004E-2</v>
      </c>
      <c r="Q10" s="52">
        <f t="shared" si="7"/>
        <v>-1.9148224130438707E-2</v>
      </c>
      <c r="R10" s="52">
        <f t="shared" si="7"/>
        <v>9.6148456094415913E-3</v>
      </c>
      <c r="S10" s="52">
        <f t="shared" si="7"/>
        <v>2.5068603811371215E-3</v>
      </c>
    </row>
    <row r="11" spans="1:49" x14ac:dyDescent="0.35">
      <c r="A11" s="15" t="s">
        <v>73</v>
      </c>
      <c r="B11" s="22">
        <f t="shared" si="8"/>
        <v>9376.7617190000001</v>
      </c>
      <c r="C11" s="22">
        <f t="shared" si="8"/>
        <v>8972.3701170000004</v>
      </c>
      <c r="D11" s="22">
        <f t="shared" si="8"/>
        <v>8970.6367190000001</v>
      </c>
      <c r="E11" s="22">
        <f t="shared" si="8"/>
        <v>9225.3007809999999</v>
      </c>
      <c r="F11" s="22">
        <f t="shared" si="8"/>
        <v>9170.4228519999997</v>
      </c>
      <c r="G11" s="34">
        <f t="shared" si="1"/>
        <v>9143.0984376000015</v>
      </c>
      <c r="H11" s="51">
        <f t="shared" si="2"/>
        <v>254170.65751075812</v>
      </c>
      <c r="I11" s="49">
        <f t="shared" si="3"/>
        <v>1.7013856636170471E-2</v>
      </c>
      <c r="J11" s="49">
        <f t="shared" si="4"/>
        <v>0.11</v>
      </c>
      <c r="K11" s="49">
        <f t="shared" si="5"/>
        <v>4.4418749592573012E-2</v>
      </c>
      <c r="L11" s="22">
        <f>G11/'Clause 6'!$I$11</f>
        <v>9143.0984376000015</v>
      </c>
      <c r="M11">
        <f t="shared" si="6"/>
        <v>5</v>
      </c>
      <c r="O11" s="52">
        <f t="shared" si="9"/>
        <v>2.5556246932558757E-2</v>
      </c>
      <c r="P11" s="52">
        <f t="shared" si="7"/>
        <v>-1.8672917257228638E-2</v>
      </c>
      <c r="Q11" s="52">
        <f t="shared" si="7"/>
        <v>-1.8862502660014213E-2</v>
      </c>
      <c r="R11" s="52">
        <f t="shared" si="7"/>
        <v>8.9906440317815139E-3</v>
      </c>
      <c r="S11" s="52">
        <f t="shared" si="7"/>
        <v>2.9885289529016923E-3</v>
      </c>
    </row>
    <row r="12" spans="1:49" x14ac:dyDescent="0.35">
      <c r="A12" s="15" t="s">
        <v>74</v>
      </c>
      <c r="B12" s="22">
        <f t="shared" si="8"/>
        <v>8122.2539059999999</v>
      </c>
      <c r="C12" s="22">
        <f t="shared" si="8"/>
        <v>7780.7216799999997</v>
      </c>
      <c r="D12" s="22">
        <f t="shared" si="8"/>
        <v>7822.2651370000003</v>
      </c>
      <c r="E12" s="22">
        <f t="shared" si="8"/>
        <v>7992.0522460000002</v>
      </c>
      <c r="F12" s="22">
        <f t="shared" si="8"/>
        <v>7966.2490230000003</v>
      </c>
      <c r="G12" s="34">
        <f t="shared" si="1"/>
        <v>7936.7083984000001</v>
      </c>
      <c r="H12" s="51">
        <f t="shared" si="2"/>
        <v>220634.00124805013</v>
      </c>
      <c r="I12" s="49">
        <f t="shared" si="3"/>
        <v>1.5512643211911547E-2</v>
      </c>
      <c r="J12" s="49">
        <f t="shared" si="4"/>
        <v>0.11</v>
      </c>
      <c r="K12" s="49">
        <f t="shared" si="5"/>
        <v>4.3031973565874161E-2</v>
      </c>
      <c r="L12" s="22">
        <f>G12/'Clause 6'!$I$11</f>
        <v>7936.7083984000001</v>
      </c>
      <c r="M12">
        <f t="shared" si="6"/>
        <v>5</v>
      </c>
      <c r="O12" s="52">
        <f t="shared" si="9"/>
        <v>2.3378143467813972E-2</v>
      </c>
      <c r="P12" s="52">
        <f t="shared" si="7"/>
        <v>-1.9653830098060099E-2</v>
      </c>
      <c r="Q12" s="52">
        <f t="shared" si="7"/>
        <v>-1.441948672614346E-2</v>
      </c>
      <c r="R12" s="52">
        <f t="shared" si="7"/>
        <v>6.9731486684274646E-3</v>
      </c>
      <c r="S12" s="52">
        <f t="shared" si="7"/>
        <v>3.7220246879619001E-3</v>
      </c>
    </row>
    <row r="13" spans="1:49" x14ac:dyDescent="0.35">
      <c r="A13" s="15" t="s">
        <v>75</v>
      </c>
      <c r="B13" s="22">
        <f t="shared" si="8"/>
        <v>7014.8710940000001</v>
      </c>
      <c r="C13" s="22">
        <f t="shared" si="8"/>
        <v>6735.0825199999999</v>
      </c>
      <c r="D13" s="22">
        <f t="shared" si="8"/>
        <v>6775.8115230000003</v>
      </c>
      <c r="E13" s="22">
        <f t="shared" si="8"/>
        <v>6907.5629879999997</v>
      </c>
      <c r="F13" s="22">
        <f t="shared" si="8"/>
        <v>6905.5004879999997</v>
      </c>
      <c r="G13" s="34">
        <f t="shared" si="1"/>
        <v>6867.7657225999992</v>
      </c>
      <c r="H13" s="51">
        <f t="shared" si="2"/>
        <v>190918.26925591892</v>
      </c>
      <c r="I13" s="49">
        <f t="shared" si="3"/>
        <v>1.4663523281750156E-2</v>
      </c>
      <c r="J13" s="49">
        <f t="shared" si="4"/>
        <v>0.11</v>
      </c>
      <c r="K13" s="49">
        <f t="shared" si="5"/>
        <v>4.0739388223347515E-2</v>
      </c>
      <c r="L13" s="22">
        <f>G13/'Clause 6'!$I$11</f>
        <v>6867.7657225999992</v>
      </c>
      <c r="M13">
        <f t="shared" si="6"/>
        <v>5</v>
      </c>
      <c r="O13" s="52">
        <f t="shared" si="9"/>
        <v>2.1419683976102499E-2</v>
      </c>
      <c r="P13" s="52">
        <f t="shared" si="7"/>
        <v>-1.9319704247245051E-2</v>
      </c>
      <c r="Q13" s="52">
        <f t="shared" si="7"/>
        <v>-1.3389245252994231E-2</v>
      </c>
      <c r="R13" s="52">
        <f t="shared" si="7"/>
        <v>5.7947907671105359E-3</v>
      </c>
      <c r="S13" s="52">
        <f t="shared" si="7"/>
        <v>5.4944747570269126E-3</v>
      </c>
    </row>
    <row r="14" spans="1:49" x14ac:dyDescent="0.35">
      <c r="A14" s="15" t="s">
        <v>76</v>
      </c>
      <c r="B14" s="22">
        <f t="shared" si="8"/>
        <v>6049.8798829999996</v>
      </c>
      <c r="C14" s="22">
        <f t="shared" si="8"/>
        <v>5806.2514650000003</v>
      </c>
      <c r="D14" s="22">
        <f t="shared" si="8"/>
        <v>5860.8461909999996</v>
      </c>
      <c r="E14" s="22">
        <f t="shared" si="8"/>
        <v>5963.5473629999997</v>
      </c>
      <c r="F14" s="22">
        <f t="shared" si="8"/>
        <v>5980.6186520000001</v>
      </c>
      <c r="G14" s="34">
        <f t="shared" si="1"/>
        <v>5932.2287108</v>
      </c>
      <c r="H14" s="51">
        <f t="shared" si="2"/>
        <v>164911.10559715459</v>
      </c>
      <c r="I14" s="49">
        <f t="shared" si="3"/>
        <v>1.4720764396981461E-2</v>
      </c>
      <c r="J14" s="49">
        <f t="shared" si="4"/>
        <v>0.11</v>
      </c>
      <c r="K14" s="49">
        <f t="shared" si="5"/>
        <v>4.1068615165908602E-2</v>
      </c>
      <c r="L14" s="22">
        <f>G14/'Clause 6'!$I$11</f>
        <v>5932.2287108</v>
      </c>
      <c r="M14">
        <f t="shared" si="6"/>
        <v>5</v>
      </c>
      <c r="O14" s="52">
        <f t="shared" si="9"/>
        <v>1.9832541517795566E-2</v>
      </c>
      <c r="P14" s="52">
        <f t="shared" si="7"/>
        <v>-2.1236073648113085E-2</v>
      </c>
      <c r="Q14" s="52">
        <f t="shared" si="7"/>
        <v>-1.2033001976144986E-2</v>
      </c>
      <c r="R14" s="52">
        <f t="shared" si="7"/>
        <v>5.2794074077053832E-3</v>
      </c>
      <c r="S14" s="52">
        <f t="shared" si="7"/>
        <v>8.1571266987570112E-3</v>
      </c>
    </row>
    <row r="15" spans="1:49" x14ac:dyDescent="0.35">
      <c r="A15" s="15" t="s">
        <v>77</v>
      </c>
      <c r="B15" s="22">
        <f t="shared" si="8"/>
        <v>5144.4492190000001</v>
      </c>
      <c r="C15" s="22">
        <f t="shared" si="8"/>
        <v>4946.7304690000001</v>
      </c>
      <c r="D15" s="22">
        <f t="shared" si="8"/>
        <v>4975.8051759999998</v>
      </c>
      <c r="E15" s="22">
        <f t="shared" si="8"/>
        <v>5068.7070309999999</v>
      </c>
      <c r="F15" s="22">
        <f t="shared" si="8"/>
        <v>5086.4965819999998</v>
      </c>
      <c r="G15" s="34">
        <f t="shared" si="1"/>
        <v>5044.4376953999999</v>
      </c>
      <c r="H15" s="51">
        <f t="shared" si="2"/>
        <v>140231.24158208517</v>
      </c>
      <c r="I15" s="49">
        <f t="shared" si="3"/>
        <v>1.4463882662251942E-2</v>
      </c>
      <c r="J15" s="49">
        <f t="shared" si="4"/>
        <v>0.11</v>
      </c>
      <c r="K15" s="49">
        <f t="shared" si="5"/>
        <v>3.9195399356463226E-2</v>
      </c>
      <c r="L15" s="22">
        <f>G15/'Clause 6'!$I$11</f>
        <v>5044.4376953999999</v>
      </c>
      <c r="M15">
        <f t="shared" si="6"/>
        <v>5</v>
      </c>
      <c r="O15" s="52">
        <f t="shared" si="9"/>
        <v>1.9826099486014215E-2</v>
      </c>
      <c r="P15" s="52">
        <f t="shared" si="7"/>
        <v>-1.9369299870449108E-2</v>
      </c>
      <c r="Q15" s="52">
        <f t="shared" si="7"/>
        <v>-1.3605583722956061E-2</v>
      </c>
      <c r="R15" s="52">
        <f t="shared" si="7"/>
        <v>4.8111082077852974E-3</v>
      </c>
      <c r="S15" s="52">
        <f t="shared" si="7"/>
        <v>8.3376758996058786E-3</v>
      </c>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row>
    <row r="16" spans="1:49" x14ac:dyDescent="0.35">
      <c r="A16" s="15" t="s">
        <v>78</v>
      </c>
      <c r="B16" s="22">
        <f t="shared" si="8"/>
        <v>4355.1801759999998</v>
      </c>
      <c r="C16" s="22">
        <f t="shared" si="8"/>
        <v>4179.3891599999997</v>
      </c>
      <c r="D16" s="22">
        <f t="shared" si="8"/>
        <v>4207.642578</v>
      </c>
      <c r="E16" s="22">
        <f t="shared" si="8"/>
        <v>4279.794922</v>
      </c>
      <c r="F16" s="22">
        <f t="shared" si="8"/>
        <v>4307.1494140000004</v>
      </c>
      <c r="G16" s="34">
        <f t="shared" si="1"/>
        <v>4265.8312500000002</v>
      </c>
      <c r="H16" s="51">
        <f t="shared" si="2"/>
        <v>118586.61930003751</v>
      </c>
      <c r="I16" s="49">
        <f t="shared" si="3"/>
        <v>1.509916711545148E-2</v>
      </c>
      <c r="J16" s="49">
        <f t="shared" si="4"/>
        <v>0.11</v>
      </c>
      <c r="K16" s="49">
        <f t="shared" si="5"/>
        <v>4.1209088146653743E-2</v>
      </c>
      <c r="L16" s="22">
        <f>G16/'Clause 6'!$I$11</f>
        <v>4265.8312500000002</v>
      </c>
      <c r="M16">
        <f t="shared" si="6"/>
        <v>5</v>
      </c>
      <c r="O16" s="52">
        <f t="shared" si="9"/>
        <v>2.094525562866556E-2</v>
      </c>
      <c r="P16" s="52">
        <f t="shared" si="7"/>
        <v>-2.0263832517988245E-2</v>
      </c>
      <c r="Q16" s="52">
        <f t="shared" si="7"/>
        <v>-1.3640640848134877E-2</v>
      </c>
      <c r="R16" s="52">
        <f t="shared" si="7"/>
        <v>3.2733765546866245E-3</v>
      </c>
      <c r="S16" s="52">
        <f t="shared" si="7"/>
        <v>9.6858411827707158E-3</v>
      </c>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row>
    <row r="17" spans="1:49" x14ac:dyDescent="0.35">
      <c r="A17" s="15" t="s">
        <v>79</v>
      </c>
      <c r="B17" s="22">
        <f t="shared" si="8"/>
        <v>3611.0739749999998</v>
      </c>
      <c r="C17" s="22">
        <f t="shared" si="8"/>
        <v>3469.5720209999999</v>
      </c>
      <c r="D17" s="22">
        <f t="shared" si="8"/>
        <v>3498.095703</v>
      </c>
      <c r="E17" s="22">
        <f t="shared" si="8"/>
        <v>3561.0317380000001</v>
      </c>
      <c r="F17" s="22">
        <f t="shared" si="8"/>
        <v>3576.4895019999999</v>
      </c>
      <c r="G17" s="34">
        <f t="shared" si="1"/>
        <v>3543.2525877999992</v>
      </c>
      <c r="H17" s="51">
        <f t="shared" si="2"/>
        <v>98499.52356022317</v>
      </c>
      <c r="I17" s="49">
        <f t="shared" si="3"/>
        <v>1.4658675642616326E-2</v>
      </c>
      <c r="J17" s="49">
        <f t="shared" si="4"/>
        <v>0.11</v>
      </c>
      <c r="K17" s="49">
        <f t="shared" si="5"/>
        <v>3.9935610147358483E-2</v>
      </c>
      <c r="L17" s="22">
        <f>G17/'Clause 6'!$I$11</f>
        <v>3543.2525877999992</v>
      </c>
      <c r="M17">
        <f t="shared" si="6"/>
        <v>5</v>
      </c>
      <c r="O17" s="52">
        <f t="shared" si="9"/>
        <v>1.9140997013173955E-2</v>
      </c>
      <c r="P17" s="52">
        <f t="shared" si="7"/>
        <v>-2.0794613134184514E-2</v>
      </c>
      <c r="Q17" s="52">
        <f t="shared" si="7"/>
        <v>-1.2744472396769568E-2</v>
      </c>
      <c r="R17" s="52">
        <f t="shared" si="7"/>
        <v>5.0177484555342655E-3</v>
      </c>
      <c r="S17" s="52">
        <f t="shared" si="7"/>
        <v>9.3803400622469724E-3</v>
      </c>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row>
    <row r="18" spans="1:49" x14ac:dyDescent="0.35">
      <c r="A18" s="15" t="s">
        <v>80</v>
      </c>
      <c r="B18" s="22">
        <f t="shared" si="8"/>
        <v>2962.2246089999999</v>
      </c>
      <c r="C18" s="22">
        <f t="shared" si="8"/>
        <v>2858.2673340000001</v>
      </c>
      <c r="D18" s="22">
        <f t="shared" si="8"/>
        <v>2864.9428710000002</v>
      </c>
      <c r="E18" s="22">
        <f t="shared" si="8"/>
        <v>2915.4140619999998</v>
      </c>
      <c r="F18" s="22">
        <f t="shared" si="8"/>
        <v>2928.4396969999998</v>
      </c>
      <c r="G18" s="34">
        <f t="shared" si="1"/>
        <v>2905.8577145999998</v>
      </c>
      <c r="H18" s="51">
        <f t="shared" si="2"/>
        <v>80780.467474269462</v>
      </c>
      <c r="I18" s="49">
        <f t="shared" si="3"/>
        <v>1.3519952940354159E-2</v>
      </c>
      <c r="J18" s="49">
        <f t="shared" si="4"/>
        <v>0.11</v>
      </c>
      <c r="K18" s="49">
        <f t="shared" si="5"/>
        <v>3.5775074078019609E-2</v>
      </c>
      <c r="L18" s="22">
        <f>G18/'Clause 6'!$I$11</f>
        <v>2905.8577145999998</v>
      </c>
      <c r="M18">
        <f t="shared" si="6"/>
        <v>5</v>
      </c>
      <c r="O18" s="52">
        <f t="shared" si="9"/>
        <v>1.9397678735883828E-2</v>
      </c>
      <c r="P18" s="52">
        <f t="shared" si="7"/>
        <v>-1.6377395342135892E-2</v>
      </c>
      <c r="Q18" s="52">
        <f t="shared" si="7"/>
        <v>-1.4080126289194972E-2</v>
      </c>
      <c r="R18" s="52">
        <f t="shared" si="7"/>
        <v>3.2886494586386039E-3</v>
      </c>
      <c r="S18" s="52">
        <f t="shared" si="7"/>
        <v>7.7711934368089874E-3</v>
      </c>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row>
    <row r="19" spans="1:49" x14ac:dyDescent="0.35">
      <c r="A19" s="15" t="s">
        <v>81</v>
      </c>
      <c r="B19" s="22">
        <f t="shared" si="8"/>
        <v>2376.0905760000001</v>
      </c>
      <c r="C19" s="22">
        <f t="shared" si="8"/>
        <v>2303.783203</v>
      </c>
      <c r="D19" s="22">
        <f t="shared" si="8"/>
        <v>2299.9104000000002</v>
      </c>
      <c r="E19" s="22">
        <f t="shared" si="8"/>
        <v>2351.7543949999999</v>
      </c>
      <c r="F19" s="22">
        <f t="shared" si="8"/>
        <v>2348.938721</v>
      </c>
      <c r="G19" s="34">
        <f t="shared" si="1"/>
        <v>2336.0954590000001</v>
      </c>
      <c r="H19" s="51">
        <f t="shared" si="2"/>
        <v>64941.542834114545</v>
      </c>
      <c r="I19" s="49">
        <f t="shared" si="3"/>
        <v>1.2645239046178397E-2</v>
      </c>
      <c r="J19" s="49">
        <f t="shared" si="4"/>
        <v>0.11</v>
      </c>
      <c r="K19" s="49">
        <f t="shared" si="5"/>
        <v>3.2610044125769538E-2</v>
      </c>
      <c r="L19" s="22">
        <f>G19/'Clause 6'!$I$11</f>
        <v>2336.0954590000001</v>
      </c>
      <c r="M19">
        <f t="shared" si="6"/>
        <v>5</v>
      </c>
      <c r="O19" s="52">
        <f t="shared" si="9"/>
        <v>1.7120497728770223E-2</v>
      </c>
      <c r="P19" s="52">
        <f t="shared" si="7"/>
        <v>-1.3831736145676121E-2</v>
      </c>
      <c r="Q19" s="52">
        <f t="shared" si="7"/>
        <v>-1.5489546396999287E-2</v>
      </c>
      <c r="R19" s="52">
        <f t="shared" si="7"/>
        <v>6.7030377289045706E-3</v>
      </c>
      <c r="S19" s="52">
        <f t="shared" si="7"/>
        <v>5.4977470850003929E-3</v>
      </c>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row>
    <row r="20" spans="1:49" x14ac:dyDescent="0.35">
      <c r="A20" s="15" t="s">
        <v>82</v>
      </c>
      <c r="B20" s="22">
        <f t="shared" si="8"/>
        <v>1882.255005</v>
      </c>
      <c r="C20" s="22">
        <f t="shared" si="8"/>
        <v>1814.915283</v>
      </c>
      <c r="D20" s="22">
        <f t="shared" si="8"/>
        <v>1786.9807129999999</v>
      </c>
      <c r="E20" s="22">
        <f t="shared" si="8"/>
        <v>1845.5535890000001</v>
      </c>
      <c r="F20" s="22">
        <f t="shared" si="8"/>
        <v>1846.9506839999999</v>
      </c>
      <c r="G20" s="34">
        <f t="shared" si="1"/>
        <v>1835.3310548000002</v>
      </c>
      <c r="H20" s="51">
        <f t="shared" si="2"/>
        <v>51020.702022637182</v>
      </c>
      <c r="I20" s="49">
        <f t="shared" si="3"/>
        <v>1.7564360004747384E-2</v>
      </c>
      <c r="J20" s="49">
        <f t="shared" si="4"/>
        <v>0.11</v>
      </c>
      <c r="K20" s="49">
        <f t="shared" si="5"/>
        <v>5.1911229721104617E-2</v>
      </c>
      <c r="L20" s="22">
        <f>G20/'Clause 6'!$I$11</f>
        <v>1835.3310548000002</v>
      </c>
      <c r="M20">
        <f t="shared" si="6"/>
        <v>5</v>
      </c>
      <c r="O20" s="52">
        <f t="shared" si="9"/>
        <v>2.5567022405727835E-2</v>
      </c>
      <c r="P20" s="52">
        <f t="shared" si="7"/>
        <v>-1.112375434753643E-2</v>
      </c>
      <c r="Q20" s="52">
        <f t="shared" si="7"/>
        <v>-2.6344207315376678E-2</v>
      </c>
      <c r="R20" s="52">
        <f t="shared" si="7"/>
        <v>5.5698584586494349E-3</v>
      </c>
      <c r="S20" s="52">
        <f t="shared" si="7"/>
        <v>6.3310807985352824E-3</v>
      </c>
      <c r="T20" s="15"/>
      <c r="U20" s="15"/>
      <c r="V20" s="15"/>
      <c r="W20" s="15"/>
      <c r="X20" s="15"/>
      <c r="Y20" s="15"/>
      <c r="Z20" s="15"/>
      <c r="AA20" s="15"/>
      <c r="AB20" s="15"/>
      <c r="AC20" s="15"/>
      <c r="AD20" s="15"/>
      <c r="AE20" s="15"/>
      <c r="AF20" s="15"/>
      <c r="AG20" s="15"/>
      <c r="AH20" s="15"/>
      <c r="AI20" s="15"/>
      <c r="AJ20" s="15"/>
      <c r="AK20" s="15"/>
      <c r="AL20" s="15"/>
      <c r="AM20" s="15"/>
      <c r="AN20" s="15"/>
      <c r="AO20" s="15"/>
      <c r="AP20" s="15"/>
      <c r="AQ20" s="15"/>
      <c r="AR20" s="15"/>
      <c r="AS20" s="15"/>
      <c r="AT20" s="15"/>
      <c r="AU20" s="15"/>
      <c r="AV20" s="15"/>
      <c r="AW20" s="15"/>
    </row>
    <row r="21" spans="1:49" x14ac:dyDescent="0.35">
      <c r="A21" s="15" t="s">
        <v>83</v>
      </c>
      <c r="B21" s="22">
        <f t="shared" si="8"/>
        <v>1459.615356</v>
      </c>
      <c r="C21" s="22">
        <f t="shared" si="8"/>
        <v>1405.0333250000001</v>
      </c>
      <c r="D21" s="22">
        <f t="shared" si="8"/>
        <v>1391.2821039999999</v>
      </c>
      <c r="E21" s="22">
        <f t="shared" si="8"/>
        <v>1425.3645019999999</v>
      </c>
      <c r="F21" s="22">
        <f t="shared" si="8"/>
        <v>1431.0878909999999</v>
      </c>
      <c r="G21" s="34">
        <f t="shared" si="1"/>
        <v>1422.4766356000002</v>
      </c>
      <c r="H21" s="51">
        <f t="shared" si="2"/>
        <v>39543.686883792092</v>
      </c>
      <c r="I21" s="49">
        <f t="shared" si="3"/>
        <v>1.6454225363427815E-2</v>
      </c>
      <c r="J21" s="49">
        <f t="shared" si="4"/>
        <v>0.11</v>
      </c>
      <c r="K21" s="49">
        <f t="shared" si="5"/>
        <v>4.8038224523228944E-2</v>
      </c>
      <c r="L21" s="22">
        <f>G21/'Clause 6'!$I$11</f>
        <v>1422.4766356000002</v>
      </c>
      <c r="M21">
        <f t="shared" si="6"/>
        <v>5</v>
      </c>
      <c r="O21" s="52">
        <f t="shared" si="9"/>
        <v>2.6108492379092629E-2</v>
      </c>
      <c r="P21" s="52">
        <f t="shared" si="7"/>
        <v>-1.2262634171592235E-2</v>
      </c>
      <c r="Q21" s="52">
        <f t="shared" si="7"/>
        <v>-2.1929732144136405E-2</v>
      </c>
      <c r="R21" s="52">
        <f t="shared" si="7"/>
        <v>2.0301678971208492E-3</v>
      </c>
      <c r="S21" s="52">
        <f t="shared" si="7"/>
        <v>6.0537060395142728E-3</v>
      </c>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c r="AR21" s="15"/>
      <c r="AS21" s="15"/>
      <c r="AT21" s="15"/>
      <c r="AU21" s="15"/>
      <c r="AV21" s="15"/>
      <c r="AW21" s="15"/>
    </row>
    <row r="22" spans="1:49" x14ac:dyDescent="0.35">
      <c r="A22" s="15" t="s">
        <v>84</v>
      </c>
      <c r="B22" s="22">
        <f t="shared" si="8"/>
        <v>1091.9997559999999</v>
      </c>
      <c r="C22" s="22">
        <f t="shared" si="8"/>
        <v>1072.378052</v>
      </c>
      <c r="D22" s="22">
        <f t="shared" si="8"/>
        <v>1049.0942379999999</v>
      </c>
      <c r="E22" s="22">
        <f t="shared" si="8"/>
        <v>1073.209351</v>
      </c>
      <c r="F22" s="22">
        <f t="shared" si="8"/>
        <v>1069.1854249999999</v>
      </c>
      <c r="G22" s="34">
        <f t="shared" si="1"/>
        <v>1071.1733644000001</v>
      </c>
      <c r="H22" s="51">
        <f t="shared" si="2"/>
        <v>29777.743310507925</v>
      </c>
      <c r="I22" s="49">
        <f t="shared" si="3"/>
        <v>1.2737304968722055E-2</v>
      </c>
      <c r="J22" s="49">
        <f t="shared" si="4"/>
        <v>0.11</v>
      </c>
      <c r="K22" s="49">
        <f t="shared" si="5"/>
        <v>4.005469088939944E-2</v>
      </c>
      <c r="L22" s="22">
        <f>G22/'Clause 6'!$I$11</f>
        <v>1071.1733644000001</v>
      </c>
      <c r="M22">
        <f t="shared" si="6"/>
        <v>5</v>
      </c>
      <c r="O22" s="52">
        <f t="shared" si="9"/>
        <v>1.9442596588149286E-2</v>
      </c>
      <c r="P22" s="52">
        <f t="shared" si="7"/>
        <v>1.1246429756726073E-3</v>
      </c>
      <c r="Q22" s="52">
        <f t="shared" si="7"/>
        <v>-2.0612094301250106E-2</v>
      </c>
      <c r="R22" s="52">
        <f t="shared" si="7"/>
        <v>1.9007068955083639E-3</v>
      </c>
      <c r="S22" s="52">
        <f t="shared" si="7"/>
        <v>-1.8558521580805953E-3</v>
      </c>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row>
    <row r="23" spans="1:49" x14ac:dyDescent="0.35">
      <c r="A23" s="15" t="s">
        <v>85</v>
      </c>
      <c r="B23" s="22">
        <f t="shared" si="8"/>
        <v>813.724243</v>
      </c>
      <c r="C23" s="22">
        <f t="shared" si="8"/>
        <v>803.228027</v>
      </c>
      <c r="D23" s="22">
        <f t="shared" si="8"/>
        <v>783.47631799999999</v>
      </c>
      <c r="E23" s="22">
        <f t="shared" si="8"/>
        <v>798.07720900000004</v>
      </c>
      <c r="F23" s="22">
        <f t="shared" si="8"/>
        <v>794.46295199999997</v>
      </c>
      <c r="G23" s="34">
        <f t="shared" si="1"/>
        <v>798.59374979999996</v>
      </c>
      <c r="H23" s="51">
        <f t="shared" si="2"/>
        <v>22200.252994752664</v>
      </c>
      <c r="I23" s="49">
        <f t="shared" si="3"/>
        <v>1.2475284670060642E-2</v>
      </c>
      <c r="J23" s="49">
        <f t="shared" si="4"/>
        <v>0.11</v>
      </c>
      <c r="K23" s="49">
        <f t="shared" si="5"/>
        <v>3.7876486020051253E-2</v>
      </c>
      <c r="L23" s="22">
        <f>G23/'Clause 6'!$I$11</f>
        <v>798.59374979999996</v>
      </c>
      <c r="M23">
        <f t="shared" si="6"/>
        <v>5</v>
      </c>
      <c r="O23" s="52">
        <f t="shared" si="9"/>
        <v>1.8946420759978766E-2</v>
      </c>
      <c r="P23" s="52">
        <f t="shared" si="7"/>
        <v>5.8030471703047759E-3</v>
      </c>
      <c r="Q23" s="52">
        <f t="shared" si="7"/>
        <v>-1.8930065260072459E-2</v>
      </c>
      <c r="R23" s="52">
        <f t="shared" si="7"/>
        <v>-6.4681297609614496E-4</v>
      </c>
      <c r="S23" s="52">
        <f t="shared" si="7"/>
        <v>-5.1725896941148264E-3</v>
      </c>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row>
    <row r="24" spans="1:49" x14ac:dyDescent="0.35">
      <c r="A24" s="15" t="s">
        <v>86</v>
      </c>
      <c r="B24" s="22">
        <f t="shared" si="8"/>
        <v>593.82543899999996</v>
      </c>
      <c r="C24" s="22">
        <f t="shared" si="8"/>
        <v>601.62939500000005</v>
      </c>
      <c r="D24" s="22">
        <f t="shared" si="8"/>
        <v>590.20355199999995</v>
      </c>
      <c r="E24" s="22">
        <f t="shared" si="8"/>
        <v>591.50775099999998</v>
      </c>
      <c r="F24" s="22">
        <f t="shared" si="8"/>
        <v>593.73803699999996</v>
      </c>
      <c r="G24" s="34">
        <f t="shared" si="1"/>
        <v>594.18083480000007</v>
      </c>
      <c r="H24" s="51">
        <f t="shared" si="2"/>
        <v>16517.741167517135</v>
      </c>
      <c r="I24" s="49">
        <f t="shared" si="3"/>
        <v>6.6799023103805751E-3</v>
      </c>
      <c r="J24" s="49">
        <f t="shared" si="4"/>
        <v>0.11</v>
      </c>
      <c r="K24" s="49">
        <f t="shared" si="5"/>
        <v>1.9229571757975017E-2</v>
      </c>
      <c r="L24" s="22">
        <f>G24/'Clause 6'!$I$11</f>
        <v>594.18083480000007</v>
      </c>
      <c r="M24">
        <f t="shared" si="6"/>
        <v>5</v>
      </c>
      <c r="O24" s="52">
        <f t="shared" si="9"/>
        <v>-5.9812733630115744E-4</v>
      </c>
      <c r="P24" s="52">
        <f t="shared" si="7"/>
        <v>1.2535847277045153E-2</v>
      </c>
      <c r="Q24" s="52">
        <f t="shared" si="7"/>
        <v>-6.6937244809298635E-3</v>
      </c>
      <c r="R24" s="52">
        <f t="shared" si="7"/>
        <v>-4.4987714908372167E-3</v>
      </c>
      <c r="S24" s="52">
        <f t="shared" si="7"/>
        <v>-7.4522396897769294E-4</v>
      </c>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row>
    <row r="25" spans="1:49" x14ac:dyDescent="0.35">
      <c r="A25" s="15" t="s">
        <v>87</v>
      </c>
      <c r="B25" s="22">
        <f t="shared" si="8"/>
        <v>438.41711400000003</v>
      </c>
      <c r="C25" s="22">
        <f t="shared" si="8"/>
        <v>443.12994400000002</v>
      </c>
      <c r="D25" s="22">
        <f t="shared" si="8"/>
        <v>440.93643200000002</v>
      </c>
      <c r="E25" s="22">
        <f t="shared" si="8"/>
        <v>438.16696200000001</v>
      </c>
      <c r="F25" s="22">
        <f t="shared" si="8"/>
        <v>443.633759</v>
      </c>
      <c r="G25" s="34">
        <f t="shared" si="1"/>
        <v>440.85684220000002</v>
      </c>
      <c r="H25" s="51">
        <f t="shared" si="2"/>
        <v>12255.459592263082</v>
      </c>
      <c r="I25" s="49">
        <f t="shared" si="3"/>
        <v>5.1797317796698069E-3</v>
      </c>
      <c r="J25" s="49">
        <f t="shared" si="4"/>
        <v>0.11</v>
      </c>
      <c r="K25" s="49">
        <f t="shared" si="5"/>
        <v>1.2400390504815863E-2</v>
      </c>
      <c r="L25" s="22">
        <f>G25/'Clause 6'!$I$11</f>
        <v>440.85684220000002</v>
      </c>
      <c r="M25">
        <f t="shared" si="6"/>
        <v>5</v>
      </c>
      <c r="O25" s="52">
        <f t="shared" si="9"/>
        <v>-5.5340599633774135E-3</v>
      </c>
      <c r="P25" s="52">
        <f t="shared" si="7"/>
        <v>5.1560996278441351E-3</v>
      </c>
      <c r="Q25" s="52">
        <f t="shared" si="7"/>
        <v>1.8053434217524256E-4</v>
      </c>
      <c r="R25" s="52">
        <f t="shared" si="7"/>
        <v>-6.1014822557289294E-3</v>
      </c>
      <c r="S25" s="52">
        <f t="shared" si="7"/>
        <v>6.2989082490869652E-3</v>
      </c>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row>
    <row r="26" spans="1:49" x14ac:dyDescent="0.35">
      <c r="A26" s="15" t="s">
        <v>88</v>
      </c>
      <c r="B26" s="22">
        <f t="shared" ref="B26:F38" si="10">L70</f>
        <v>329.15795900000001</v>
      </c>
      <c r="C26" s="22">
        <f t="shared" si="10"/>
        <v>328.43335000000002</v>
      </c>
      <c r="D26" s="22">
        <f t="shared" si="10"/>
        <v>319.65692100000001</v>
      </c>
      <c r="E26" s="22">
        <f t="shared" si="10"/>
        <v>325.364532</v>
      </c>
      <c r="F26" s="22">
        <f t="shared" si="10"/>
        <v>325.51889</v>
      </c>
      <c r="G26" s="34">
        <f t="shared" si="1"/>
        <v>325.62633040000003</v>
      </c>
      <c r="H26" s="51">
        <f t="shared" si="2"/>
        <v>9052.1456227817343</v>
      </c>
      <c r="I26" s="49">
        <f t="shared" si="3"/>
        <v>1.0283573787795854E-2</v>
      </c>
      <c r="J26" s="49">
        <f t="shared" si="4"/>
        <v>0.113</v>
      </c>
      <c r="K26" s="49">
        <f t="shared" si="5"/>
        <v>2.9177732612497582E-2</v>
      </c>
      <c r="L26" s="22">
        <f>G26/'Clause 6'!$I$11</f>
        <v>325.62633040000003</v>
      </c>
      <c r="M26">
        <f t="shared" si="6"/>
        <v>5</v>
      </c>
      <c r="O26" s="52">
        <f t="shared" si="9"/>
        <v>1.0845648125757279E-2</v>
      </c>
      <c r="P26" s="52">
        <f t="shared" si="7"/>
        <v>8.620370461294824E-3</v>
      </c>
      <c r="Q26" s="52">
        <f t="shared" si="7"/>
        <v>-1.8332084486740285E-2</v>
      </c>
      <c r="R26" s="52">
        <f t="shared" si="7"/>
        <v>-8.0398412400628505E-4</v>
      </c>
      <c r="S26" s="52">
        <f t="shared" si="7"/>
        <v>-3.2994997630586553E-4</v>
      </c>
    </row>
    <row r="27" spans="1:49" x14ac:dyDescent="0.35">
      <c r="A27" s="15" t="s">
        <v>89</v>
      </c>
      <c r="B27" s="22">
        <f t="shared" si="10"/>
        <v>245.34002699999999</v>
      </c>
      <c r="C27" s="22">
        <f t="shared" si="10"/>
        <v>246.80877699999999</v>
      </c>
      <c r="D27" s="22">
        <f t="shared" si="10"/>
        <v>240.27075199999999</v>
      </c>
      <c r="E27" s="22">
        <f t="shared" si="10"/>
        <v>245.6978</v>
      </c>
      <c r="F27" s="22">
        <f t="shared" si="10"/>
        <v>243.43611100000001</v>
      </c>
      <c r="G27" s="34">
        <f t="shared" si="1"/>
        <v>244.31069339999999</v>
      </c>
      <c r="H27" s="51">
        <f t="shared" si="2"/>
        <v>6791.6374303727989</v>
      </c>
      <c r="I27" s="49">
        <f t="shared" si="3"/>
        <v>9.3893003980245505E-3</v>
      </c>
      <c r="J27" s="49">
        <f t="shared" si="4"/>
        <v>0.113</v>
      </c>
      <c r="K27" s="49">
        <f t="shared" si="5"/>
        <v>2.6761108607291133E-2</v>
      </c>
      <c r="L27" s="22">
        <f>G27/'Clause 6'!$I$11</f>
        <v>244.31069339999999</v>
      </c>
      <c r="M27">
        <f t="shared" si="6"/>
        <v>5</v>
      </c>
      <c r="O27" s="52">
        <f t="shared" si="9"/>
        <v>4.2132154989822368E-3</v>
      </c>
      <c r="P27" s="52">
        <f t="shared" si="7"/>
        <v>1.0225027669623854E-2</v>
      </c>
      <c r="Q27" s="52">
        <f t="shared" si="7"/>
        <v>-1.653608093766723E-2</v>
      </c>
      <c r="R27" s="52">
        <f t="shared" si="7"/>
        <v>5.6776335930943667E-3</v>
      </c>
      <c r="S27" s="52">
        <f t="shared" si="7"/>
        <v>-3.5797958240332273E-3</v>
      </c>
    </row>
    <row r="28" spans="1:49" x14ac:dyDescent="0.35">
      <c r="A28" s="15" t="s">
        <v>90</v>
      </c>
      <c r="B28" s="22">
        <f t="shared" si="10"/>
        <v>183.41336100000001</v>
      </c>
      <c r="C28" s="22">
        <f t="shared" si="10"/>
        <v>181.72022999999999</v>
      </c>
      <c r="D28" s="22">
        <f t="shared" si="10"/>
        <v>179.01492300000001</v>
      </c>
      <c r="E28" s="22">
        <f t="shared" si="10"/>
        <v>182.598938</v>
      </c>
      <c r="F28" s="22">
        <f t="shared" si="10"/>
        <v>179.808762</v>
      </c>
      <c r="G28" s="34">
        <f t="shared" si="1"/>
        <v>181.3112428</v>
      </c>
      <c r="H28" s="51">
        <f t="shared" si="2"/>
        <v>5040.3042372433902</v>
      </c>
      <c r="I28" s="49">
        <f t="shared" si="3"/>
        <v>9.1544849708061673E-3</v>
      </c>
      <c r="J28" s="49">
        <f t="shared" si="4"/>
        <v>0.113</v>
      </c>
      <c r="K28" s="49">
        <f t="shared" si="5"/>
        <v>2.4259047216679267E-2</v>
      </c>
      <c r="L28" s="22">
        <f>G28/'Clause 6'!$I$11</f>
        <v>181.3112428</v>
      </c>
      <c r="M28">
        <f t="shared" si="6"/>
        <v>5</v>
      </c>
      <c r="O28" s="52">
        <f t="shared" si="9"/>
        <v>1.1593976013494212E-2</v>
      </c>
      <c r="P28" s="52">
        <f t="shared" si="7"/>
        <v>2.2557189156280355E-3</v>
      </c>
      <c r="Q28" s="52">
        <f t="shared" si="7"/>
        <v>-1.2665071203185163E-2</v>
      </c>
      <c r="R28" s="52">
        <f t="shared" si="7"/>
        <v>7.1021254948895329E-3</v>
      </c>
      <c r="S28" s="52">
        <f t="shared" si="7"/>
        <v>-8.2867492208266169E-3</v>
      </c>
    </row>
    <row r="29" spans="1:49" x14ac:dyDescent="0.35">
      <c r="A29" s="15" t="s">
        <v>91</v>
      </c>
      <c r="B29" s="22">
        <f t="shared" si="10"/>
        <v>139.63082900000001</v>
      </c>
      <c r="C29" s="22">
        <f t="shared" si="10"/>
        <v>137.21371500000001</v>
      </c>
      <c r="D29" s="22">
        <f t="shared" si="10"/>
        <v>127.79235799999999</v>
      </c>
      <c r="E29" s="22">
        <f t="shared" si="10"/>
        <v>131.83784499999999</v>
      </c>
      <c r="F29" s="22">
        <f t="shared" si="10"/>
        <v>132.879211</v>
      </c>
      <c r="G29" s="34">
        <f t="shared" si="1"/>
        <v>133.87079159999999</v>
      </c>
      <c r="H29" s="51">
        <f t="shared" si="2"/>
        <v>3721.4985001724713</v>
      </c>
      <c r="I29" s="49">
        <f t="shared" si="3"/>
        <v>3.1054734535621215E-2</v>
      </c>
      <c r="J29" s="49">
        <f t="shared" si="4"/>
        <v>0.11900000000000001</v>
      </c>
      <c r="K29" s="49">
        <f t="shared" si="5"/>
        <v>8.8432068403485956E-2</v>
      </c>
      <c r="L29" s="22">
        <f>G29/'Clause 6'!$I$11</f>
        <v>133.87079159999999</v>
      </c>
      <c r="M29">
        <f t="shared" si="6"/>
        <v>5</v>
      </c>
      <c r="O29" s="52">
        <f t="shared" si="9"/>
        <v>4.3026842010546629E-2</v>
      </c>
      <c r="P29" s="52">
        <f t="shared" si="7"/>
        <v>2.4971267892316185E-2</v>
      </c>
      <c r="Q29" s="52">
        <f t="shared" si="7"/>
        <v>-4.5405226392939313E-2</v>
      </c>
      <c r="R29" s="52">
        <f t="shared" si="7"/>
        <v>-1.518588614964167E-2</v>
      </c>
      <c r="S29" s="52">
        <f t="shared" si="7"/>
        <v>-7.4069973602814976E-3</v>
      </c>
    </row>
    <row r="30" spans="1:49" x14ac:dyDescent="0.35">
      <c r="A30" s="15" t="s">
        <v>92</v>
      </c>
      <c r="B30" s="22">
        <f t="shared" si="10"/>
        <v>103.934242</v>
      </c>
      <c r="C30" s="22">
        <f t="shared" si="10"/>
        <v>103.965782</v>
      </c>
      <c r="D30" s="22">
        <f t="shared" si="10"/>
        <v>93.467963999999995</v>
      </c>
      <c r="E30" s="22">
        <f t="shared" si="10"/>
        <v>97.644608000000005</v>
      </c>
      <c r="F30" s="22">
        <f t="shared" si="10"/>
        <v>95.265251000000006</v>
      </c>
      <c r="G30" s="34">
        <f t="shared" si="1"/>
        <v>98.855569399999993</v>
      </c>
      <c r="H30" s="51">
        <f t="shared" si="2"/>
        <v>2748.1039654642309</v>
      </c>
      <c r="I30" s="49">
        <f t="shared" si="3"/>
        <v>4.4160927788092691E-2</v>
      </c>
      <c r="J30" s="49">
        <f t="shared" si="4"/>
        <v>0.11900000000000001</v>
      </c>
      <c r="K30" s="49">
        <f t="shared" si="5"/>
        <v>0.10619349080396891</v>
      </c>
      <c r="L30" s="22">
        <f>G30/'Clause 6'!$I$11</f>
        <v>98.855569399999993</v>
      </c>
      <c r="M30">
        <f t="shared" si="6"/>
        <v>5</v>
      </c>
      <c r="O30" s="52">
        <f t="shared" si="9"/>
        <v>5.1374673484001043E-2</v>
      </c>
      <c r="P30" s="52">
        <f t="shared" si="7"/>
        <v>5.1693724804947827E-2</v>
      </c>
      <c r="Q30" s="52">
        <f t="shared" si="7"/>
        <v>-5.4499765999021177E-2</v>
      </c>
      <c r="R30" s="52">
        <f t="shared" si="7"/>
        <v>-1.2249804511267004E-2</v>
      </c>
      <c r="S30" s="52">
        <f t="shared" si="7"/>
        <v>-3.6318827778660134E-2</v>
      </c>
    </row>
    <row r="31" spans="1:49" x14ac:dyDescent="0.35">
      <c r="A31" s="15" t="s">
        <v>93</v>
      </c>
      <c r="B31" s="22">
        <f t="shared" si="10"/>
        <v>79.676345999999995</v>
      </c>
      <c r="C31" s="22">
        <f t="shared" si="10"/>
        <v>77.050781000000001</v>
      </c>
      <c r="D31" s="22">
        <f t="shared" si="10"/>
        <v>66.184471000000002</v>
      </c>
      <c r="E31" s="22">
        <f t="shared" si="10"/>
        <v>72.792823999999996</v>
      </c>
      <c r="F31" s="22">
        <f t="shared" si="10"/>
        <v>70.833754999999996</v>
      </c>
      <c r="G31" s="34">
        <f t="shared" si="1"/>
        <v>73.307635400000009</v>
      </c>
      <c r="H31" s="51">
        <f t="shared" si="2"/>
        <v>2037.8922984742433</v>
      </c>
      <c r="I31" s="49">
        <f t="shared" si="3"/>
        <v>6.4474054994330968E-2</v>
      </c>
      <c r="J31" s="49">
        <f t="shared" si="4"/>
        <v>0.11900000000000001</v>
      </c>
      <c r="K31" s="49">
        <f t="shared" si="5"/>
        <v>0.18404460771899336</v>
      </c>
      <c r="L31" s="22">
        <f>G31/'Clause 6'!$I$11</f>
        <v>73.307635400000009</v>
      </c>
      <c r="M31">
        <f t="shared" si="6"/>
        <v>5</v>
      </c>
      <c r="O31" s="52">
        <f t="shared" si="9"/>
        <v>8.6876497451450874E-2</v>
      </c>
      <c r="P31" s="52">
        <f t="shared" si="7"/>
        <v>5.1060787591574508E-2</v>
      </c>
      <c r="Q31" s="52">
        <f t="shared" si="7"/>
        <v>-9.7168110267542573E-2</v>
      </c>
      <c r="R31" s="52">
        <f t="shared" si="7"/>
        <v>-7.0226163644614426E-3</v>
      </c>
      <c r="S31" s="52">
        <f t="shared" si="7"/>
        <v>-3.3746558411022143E-2</v>
      </c>
    </row>
    <row r="32" spans="1:49" x14ac:dyDescent="0.35">
      <c r="A32" s="15" t="s">
        <v>94</v>
      </c>
      <c r="B32" s="22">
        <f t="shared" si="10"/>
        <v>55.812885000000001</v>
      </c>
      <c r="C32" s="22">
        <f t="shared" si="10"/>
        <v>59.811107999999997</v>
      </c>
      <c r="D32" s="22">
        <f t="shared" si="10"/>
        <v>46.117905</v>
      </c>
      <c r="E32" s="22">
        <f t="shared" si="10"/>
        <v>52.699885999999999</v>
      </c>
      <c r="F32" s="22">
        <f t="shared" si="10"/>
        <v>54.311737000000001</v>
      </c>
      <c r="G32" s="34">
        <f t="shared" si="1"/>
        <v>53.750704199999994</v>
      </c>
      <c r="H32" s="51">
        <f t="shared" si="2"/>
        <v>1494.2256086839643</v>
      </c>
      <c r="I32" s="49">
        <f t="shared" si="3"/>
        <v>8.3475421599569805E-2</v>
      </c>
      <c r="J32" s="49">
        <f t="shared" si="4"/>
        <v>0.13400000000000001</v>
      </c>
      <c r="K32" s="49">
        <f t="shared" si="5"/>
        <v>0.25475392748435838</v>
      </c>
      <c r="L32" s="22">
        <f>G32/'Clause 6'!$I$11</f>
        <v>53.750704199999994</v>
      </c>
      <c r="M32">
        <f t="shared" si="6"/>
        <v>5</v>
      </c>
      <c r="O32" s="52">
        <f t="shared" si="9"/>
        <v>3.8365651775033038E-2</v>
      </c>
      <c r="P32" s="52">
        <f t="shared" si="7"/>
        <v>0.1127502214194247</v>
      </c>
      <c r="Q32" s="52">
        <f t="shared" si="7"/>
        <v>-0.14200370606493362</v>
      </c>
      <c r="R32" s="52">
        <f t="shared" si="7"/>
        <v>-1.9549849916198792E-2</v>
      </c>
      <c r="S32" s="52">
        <f t="shared" si="7"/>
        <v>1.0437682786675229E-2</v>
      </c>
    </row>
    <row r="33" spans="1:19" x14ac:dyDescent="0.35">
      <c r="A33" s="15" t="s">
        <v>95</v>
      </c>
      <c r="B33" s="22">
        <f t="shared" si="10"/>
        <v>41.41592</v>
      </c>
      <c r="C33" s="22">
        <f t="shared" si="10"/>
        <v>46.265652000000003</v>
      </c>
      <c r="D33" s="22">
        <f t="shared" si="10"/>
        <v>33.620303999999997</v>
      </c>
      <c r="E33" s="22">
        <f t="shared" si="10"/>
        <v>37.542060999999997</v>
      </c>
      <c r="F33" s="22">
        <f t="shared" si="10"/>
        <v>37.789721999999998</v>
      </c>
      <c r="G33" s="34">
        <f t="shared" si="1"/>
        <v>39.32673179999999</v>
      </c>
      <c r="H33" s="51">
        <f t="shared" si="2"/>
        <v>1093.2509747733875</v>
      </c>
      <c r="I33" s="49">
        <f t="shared" si="3"/>
        <v>0.10825524972964594</v>
      </c>
      <c r="J33" s="49">
        <f t="shared" si="4"/>
        <v>0.13400000000000001</v>
      </c>
      <c r="K33" s="49">
        <f t="shared" si="5"/>
        <v>0.32154586514610933</v>
      </c>
      <c r="L33" s="22">
        <f>G33/'Clause 6'!$I$11</f>
        <v>39.32673179999999</v>
      </c>
      <c r="M33">
        <f t="shared" si="6"/>
        <v>5</v>
      </c>
      <c r="O33" s="52">
        <f t="shared" si="9"/>
        <v>5.3123870313576571E-2</v>
      </c>
      <c r="P33" s="52">
        <f t="shared" si="7"/>
        <v>0.17644283881225076</v>
      </c>
      <c r="Q33" s="52">
        <f t="shared" si="7"/>
        <v>-0.14510302633385863</v>
      </c>
      <c r="R33" s="52">
        <f t="shared" si="7"/>
        <v>-4.5380602921089808E-2</v>
      </c>
      <c r="S33" s="52">
        <f t="shared" si="7"/>
        <v>-3.908307987087789E-2</v>
      </c>
    </row>
    <row r="34" spans="1:19" x14ac:dyDescent="0.35">
      <c r="A34" s="15" t="s">
        <v>96</v>
      </c>
      <c r="B34" s="22">
        <f t="shared" si="10"/>
        <v>30.174458000000001</v>
      </c>
      <c r="C34" s="22">
        <f t="shared" si="10"/>
        <v>32.192450999999998</v>
      </c>
      <c r="D34" s="22">
        <f t="shared" si="10"/>
        <v>23.410996999999998</v>
      </c>
      <c r="E34" s="22">
        <f t="shared" si="10"/>
        <v>28.729369999999999</v>
      </c>
      <c r="F34" s="22">
        <f t="shared" si="10"/>
        <v>27.946816999999999</v>
      </c>
      <c r="G34" s="34">
        <f t="shared" si="1"/>
        <v>28.490818600000001</v>
      </c>
      <c r="H34" s="51">
        <f t="shared" si="2"/>
        <v>792.02145159038525</v>
      </c>
      <c r="I34" s="49">
        <f t="shared" si="3"/>
        <v>0.10256384337968456</v>
      </c>
      <c r="J34" s="49">
        <f t="shared" si="4"/>
        <v>0.156</v>
      </c>
      <c r="K34" s="49">
        <f t="shared" si="5"/>
        <v>0.30822048756436926</v>
      </c>
      <c r="L34" s="22">
        <f>G34/'Clause 6'!$I$11</f>
        <v>28.490818600000001</v>
      </c>
      <c r="M34">
        <f t="shared" si="6"/>
        <v>5</v>
      </c>
      <c r="O34" s="52">
        <f t="shared" si="9"/>
        <v>5.9094104091484523E-2</v>
      </c>
      <c r="P34" s="52">
        <f t="shared" si="7"/>
        <v>0.12992369408438109</v>
      </c>
      <c r="Q34" s="52">
        <f t="shared" si="7"/>
        <v>-0.17829679347998806</v>
      </c>
      <c r="R34" s="52">
        <f t="shared" si="7"/>
        <v>8.3729219349282236E-3</v>
      </c>
      <c r="S34" s="52">
        <f t="shared" si="7"/>
        <v>-1.9093926630806002E-2</v>
      </c>
    </row>
    <row r="35" spans="1:19" x14ac:dyDescent="0.35">
      <c r="A35" s="15" t="s">
        <v>97</v>
      </c>
      <c r="B35" s="22">
        <f t="shared" si="10"/>
        <v>21.496835999999998</v>
      </c>
      <c r="C35" s="22"/>
      <c r="D35" s="22">
        <f t="shared" si="10"/>
        <v>17.074186000000001</v>
      </c>
      <c r="E35" s="22">
        <f t="shared" si="10"/>
        <v>20.092934</v>
      </c>
      <c r="F35" s="22">
        <f t="shared" si="10"/>
        <v>17.752379999999999</v>
      </c>
      <c r="G35" s="34">
        <f t="shared" si="1"/>
        <v>19.104084</v>
      </c>
      <c r="H35" s="51">
        <f t="shared" si="2"/>
        <v>531.07790805928801</v>
      </c>
      <c r="I35" s="49">
        <f t="shared" si="3"/>
        <v>9.3089490363985422E-2</v>
      </c>
      <c r="J35" s="49">
        <f t="shared" si="4"/>
        <v>0.156</v>
      </c>
      <c r="K35" s="49">
        <f t="shared" si="5"/>
        <v>0.23150285561977205</v>
      </c>
      <c r="L35" s="22">
        <f>G35/'Clause 6'!$I$11</f>
        <v>19.104084</v>
      </c>
      <c r="M35">
        <f t="shared" si="6"/>
        <v>4</v>
      </c>
      <c r="O35" s="52">
        <f t="shared" si="9"/>
        <v>0.12524819300417644</v>
      </c>
      <c r="P35" s="52">
        <f t="shared" si="7"/>
        <v>0</v>
      </c>
      <c r="Q35" s="52">
        <f t="shared" si="7"/>
        <v>-0.10625466261559569</v>
      </c>
      <c r="R35" s="52">
        <f t="shared" si="7"/>
        <v>5.1761183629636331E-2</v>
      </c>
      <c r="S35" s="52">
        <f t="shared" si="7"/>
        <v>-7.0754714018217313E-2</v>
      </c>
    </row>
    <row r="36" spans="1:19" x14ac:dyDescent="0.35">
      <c r="A36" s="15" t="s">
        <v>98</v>
      </c>
      <c r="B36" s="22">
        <f t="shared" si="10"/>
        <v>14.396963</v>
      </c>
      <c r="C36" s="22"/>
      <c r="D36" s="22">
        <f t="shared" si="10"/>
        <v>11.969531999999999</v>
      </c>
      <c r="E36" s="22">
        <f t="shared" si="10"/>
        <v>13.924049999999999</v>
      </c>
      <c r="F36" s="22">
        <f t="shared" si="10"/>
        <v>11.600566000000001</v>
      </c>
      <c r="G36" s="34">
        <f t="shared" si="1"/>
        <v>12.972777750000001</v>
      </c>
      <c r="H36" s="51">
        <f t="shared" si="2"/>
        <v>360.63260971780056</v>
      </c>
      <c r="I36" s="49">
        <f t="shared" si="3"/>
        <v>9.3003404692729955E-2</v>
      </c>
      <c r="J36" s="49">
        <f t="shared" si="4"/>
        <v>0.193</v>
      </c>
      <c r="K36" s="49">
        <f t="shared" si="5"/>
        <v>0.21555884590715343</v>
      </c>
      <c r="L36" s="22">
        <f>G36/'Clause 6'!$I$11</f>
        <v>12.972777750000001</v>
      </c>
      <c r="M36">
        <f t="shared" si="6"/>
        <v>4</v>
      </c>
      <c r="O36" s="52">
        <f t="shared" si="9"/>
        <v>0.10978259841073745</v>
      </c>
      <c r="P36" s="52">
        <f t="shared" si="7"/>
        <v>0</v>
      </c>
      <c r="Q36" s="52">
        <f t="shared" si="7"/>
        <v>-7.7334690328754063E-2</v>
      </c>
      <c r="R36" s="52">
        <f t="shared" si="7"/>
        <v>7.3328339414432619E-2</v>
      </c>
      <c r="S36" s="52">
        <f t="shared" si="7"/>
        <v>-0.10577624749641612</v>
      </c>
    </row>
    <row r="37" spans="1:19" x14ac:dyDescent="0.35">
      <c r="A37" s="15" t="s">
        <v>99</v>
      </c>
      <c r="B37" s="22">
        <f t="shared" si="10"/>
        <v>9.6637149999999998</v>
      </c>
      <c r="C37" s="22">
        <f t="shared" si="10"/>
        <v>11.082646</v>
      </c>
      <c r="D37" s="22">
        <f t="shared" si="10"/>
        <v>9.505217</v>
      </c>
      <c r="E37" s="22">
        <f t="shared" si="10"/>
        <v>9.6939589999999995</v>
      </c>
      <c r="F37" s="22"/>
      <c r="G37" s="34">
        <f t="shared" si="1"/>
        <v>9.9863842500000004</v>
      </c>
      <c r="H37" s="51">
        <f t="shared" si="2"/>
        <v>277.61331328768352</v>
      </c>
      <c r="I37" s="49">
        <f t="shared" si="3"/>
        <v>6.3784172599208697E-2</v>
      </c>
      <c r="J37" s="49">
        <f t="shared" si="4"/>
        <v>0.193</v>
      </c>
      <c r="K37" s="49">
        <f t="shared" si="5"/>
        <v>0.15795797162521563</v>
      </c>
      <c r="L37" s="22">
        <f>G37/'Clause 6'!$I$11</f>
        <v>9.9863842500000004</v>
      </c>
      <c r="M37">
        <f t="shared" si="6"/>
        <v>4</v>
      </c>
      <c r="O37" s="52">
        <f t="shared" si="9"/>
        <v>-3.2310918739182348E-2</v>
      </c>
      <c r="P37" s="52">
        <f t="shared" si="7"/>
        <v>0.10977564277080565</v>
      </c>
      <c r="Q37" s="52">
        <f t="shared" si="7"/>
        <v>-4.8182328854409984E-2</v>
      </c>
      <c r="R37" s="52">
        <f t="shared" si="7"/>
        <v>-2.9282395177213538E-2</v>
      </c>
      <c r="S37" s="52">
        <f t="shared" si="7"/>
        <v>0</v>
      </c>
    </row>
    <row r="38" spans="1:19" x14ac:dyDescent="0.35">
      <c r="A38" s="15" t="s">
        <v>100</v>
      </c>
      <c r="B38" s="22">
        <f t="shared" si="10"/>
        <v>6.9026540000000001</v>
      </c>
      <c r="C38" s="22">
        <f t="shared" si="10"/>
        <v>7.5643459999999996</v>
      </c>
      <c r="D38" s="22">
        <f t="shared" si="10"/>
        <v>7.2169239999999997</v>
      </c>
      <c r="E38" s="22">
        <f t="shared" si="10"/>
        <v>6.3451370000000002</v>
      </c>
      <c r="F38" s="22"/>
      <c r="G38" s="34">
        <f t="shared" si="1"/>
        <v>7.0072652499999997</v>
      </c>
      <c r="H38" s="51">
        <f t="shared" si="2"/>
        <v>194.79624200702551</v>
      </c>
      <c r="I38" s="49">
        <f t="shared" si="3"/>
        <v>6.3966966462864192E-2</v>
      </c>
      <c r="J38" s="49">
        <f t="shared" si="4"/>
        <v>0.27500000000000002</v>
      </c>
      <c r="K38" s="49">
        <f t="shared" si="5"/>
        <v>0.1739921290977246</v>
      </c>
      <c r="L38" s="22">
        <f>G38/'Clause 6'!$I$11</f>
        <v>7.0072652499999997</v>
      </c>
      <c r="M38">
        <f t="shared" si="6"/>
        <v>4</v>
      </c>
      <c r="O38" s="52">
        <f t="shared" si="9"/>
        <v>-1.4928969614786514E-2</v>
      </c>
      <c r="P38" s="52">
        <f t="shared" si="7"/>
        <v>7.9500451335133837E-2</v>
      </c>
      <c r="Q38" s="52">
        <f t="shared" si="7"/>
        <v>2.9920196042243496E-2</v>
      </c>
      <c r="R38" s="52">
        <f t="shared" si="7"/>
        <v>-9.4491677762590709E-2</v>
      </c>
      <c r="S38" s="52">
        <f t="shared" si="7"/>
        <v>0</v>
      </c>
    </row>
    <row r="40" spans="1:19" x14ac:dyDescent="0.35">
      <c r="A40" t="s">
        <v>101</v>
      </c>
    </row>
    <row r="41" spans="1:19" ht="15" x14ac:dyDescent="0.5">
      <c r="A41" s="54"/>
      <c r="B41" s="55" t="s">
        <v>102</v>
      </c>
      <c r="C41" s="54"/>
      <c r="D41" s="56" t="s">
        <v>103</v>
      </c>
      <c r="E41" s="57"/>
      <c r="F41" s="57"/>
      <c r="G41" s="57"/>
      <c r="H41" s="58"/>
    </row>
    <row r="42" spans="1:19" ht="15" x14ac:dyDescent="0.5">
      <c r="A42" s="59" t="s">
        <v>104</v>
      </c>
      <c r="B42" s="60" t="s">
        <v>105</v>
      </c>
      <c r="C42" s="59" t="s">
        <v>106</v>
      </c>
      <c r="D42" s="59" t="s">
        <v>107</v>
      </c>
      <c r="E42" s="60" t="s">
        <v>108</v>
      </c>
      <c r="F42" s="60" t="s">
        <v>109</v>
      </c>
      <c r="G42" s="60" t="s">
        <v>110</v>
      </c>
      <c r="H42" s="61" t="s">
        <v>111</v>
      </c>
    </row>
    <row r="43" spans="1:19" x14ac:dyDescent="0.35">
      <c r="A43" s="62">
        <v>10000</v>
      </c>
      <c r="C43" s="62">
        <v>11</v>
      </c>
      <c r="D43" s="62">
        <v>7.8</v>
      </c>
      <c r="E43">
        <v>5.3</v>
      </c>
      <c r="F43">
        <v>4</v>
      </c>
      <c r="G43">
        <v>2.7</v>
      </c>
      <c r="H43" s="63">
        <v>1.8</v>
      </c>
    </row>
    <row r="44" spans="1:19" x14ac:dyDescent="0.35">
      <c r="A44" s="62">
        <v>5000</v>
      </c>
      <c r="B44">
        <v>10000</v>
      </c>
      <c r="C44" s="62">
        <v>11.3</v>
      </c>
      <c r="D44" s="62">
        <v>7.8</v>
      </c>
      <c r="E44">
        <v>5.3</v>
      </c>
      <c r="F44">
        <v>4</v>
      </c>
      <c r="G44">
        <v>2.7</v>
      </c>
      <c r="H44" s="63">
        <v>1.9</v>
      </c>
    </row>
    <row r="45" spans="1:19" x14ac:dyDescent="0.35">
      <c r="A45" s="62">
        <v>2000</v>
      </c>
      <c r="B45">
        <v>5000</v>
      </c>
      <c r="C45" s="62">
        <v>11.9</v>
      </c>
      <c r="D45" s="62">
        <v>7.9</v>
      </c>
      <c r="E45">
        <v>5.4</v>
      </c>
      <c r="F45">
        <v>4.0999999999999996</v>
      </c>
      <c r="G45">
        <v>2.9</v>
      </c>
      <c r="H45" s="63">
        <v>2.1</v>
      </c>
    </row>
    <row r="46" spans="1:19" x14ac:dyDescent="0.35">
      <c r="A46" s="62">
        <v>1000</v>
      </c>
      <c r="B46">
        <v>2000</v>
      </c>
      <c r="C46" s="62">
        <v>13.4</v>
      </c>
      <c r="D46" s="62">
        <v>8</v>
      </c>
      <c r="E46">
        <v>5.6</v>
      </c>
      <c r="F46">
        <v>4.3</v>
      </c>
      <c r="G46">
        <v>3.1</v>
      </c>
      <c r="H46" s="63">
        <v>2.4</v>
      </c>
    </row>
    <row r="47" spans="1:19" x14ac:dyDescent="0.35">
      <c r="A47" s="62">
        <v>500</v>
      </c>
      <c r="B47">
        <v>1000</v>
      </c>
      <c r="C47" s="62">
        <v>15.6</v>
      </c>
      <c r="D47" s="62">
        <v>8.1999999999999993</v>
      </c>
      <c r="E47">
        <v>5.9</v>
      </c>
      <c r="F47">
        <v>4.7</v>
      </c>
      <c r="G47">
        <v>3.6</v>
      </c>
      <c r="H47" s="63">
        <v>2.9</v>
      </c>
    </row>
    <row r="48" spans="1:19" x14ac:dyDescent="0.35">
      <c r="A48" s="62">
        <v>200</v>
      </c>
      <c r="B48">
        <v>500</v>
      </c>
      <c r="C48" s="62">
        <v>19.3</v>
      </c>
      <c r="D48" s="62">
        <v>8.9</v>
      </c>
      <c r="E48">
        <v>6.8</v>
      </c>
      <c r="F48">
        <v>5.7</v>
      </c>
      <c r="G48">
        <v>4.7</v>
      </c>
      <c r="H48" s="63">
        <v>4.0999999999999996</v>
      </c>
    </row>
    <row r="49" spans="1:16" x14ac:dyDescent="0.35">
      <c r="A49" s="64">
        <v>100</v>
      </c>
      <c r="B49" s="65">
        <v>200</v>
      </c>
      <c r="C49" s="64">
        <v>27.5</v>
      </c>
      <c r="D49" s="64">
        <v>10</v>
      </c>
      <c r="E49" s="65">
        <v>8</v>
      </c>
      <c r="F49" s="65">
        <v>7</v>
      </c>
      <c r="G49" s="65">
        <v>6.1</v>
      </c>
      <c r="H49" s="66">
        <v>5.5</v>
      </c>
    </row>
    <row r="51" spans="1:16" x14ac:dyDescent="0.35">
      <c r="A51" s="69">
        <f>'6 - B1'!A51</f>
        <v>0</v>
      </c>
      <c r="B51" s="70" t="str">
        <f>'6 - B1'!B51</f>
        <v>Portion 1</v>
      </c>
      <c r="C51" s="70" t="str">
        <f>'6 - B1'!C51</f>
        <v>Portion 2</v>
      </c>
      <c r="D51" s="70" t="str">
        <f>'6 - B1'!D51</f>
        <v>Portion 3</v>
      </c>
      <c r="E51" s="70" t="str">
        <f>'6 - B1'!E51</f>
        <v>Portion 4</v>
      </c>
      <c r="F51" s="70" t="str">
        <f>'6 - B1'!F51</f>
        <v>Portion 5</v>
      </c>
      <c r="G51" s="70" t="str">
        <f>'6 - B1'!G51</f>
        <v>Portion 1</v>
      </c>
      <c r="H51" s="70" t="str">
        <f>'6 - B1'!H51</f>
        <v>Portion 2</v>
      </c>
      <c r="I51" s="70" t="str">
        <f>'6 - B1'!I51</f>
        <v>Portion 3</v>
      </c>
      <c r="J51" s="70" t="str">
        <f>'6 - B1'!J51</f>
        <v>Portion 4</v>
      </c>
      <c r="K51" s="70" t="str">
        <f>'6 - B1'!K51</f>
        <v>Portion 5</v>
      </c>
      <c r="L51" s="70" t="str">
        <f>'6 - B1'!L51</f>
        <v>Portion 1</v>
      </c>
      <c r="M51" s="70" t="str">
        <f>'6 - B1'!M51</f>
        <v>Portion 2</v>
      </c>
      <c r="N51" s="70" t="str">
        <f>'6 - B1'!N51</f>
        <v>Portion 3</v>
      </c>
      <c r="O51" s="70" t="str">
        <f>'6 - B1'!O51</f>
        <v>Portion 4</v>
      </c>
      <c r="P51" s="70" t="str">
        <f>'6 - B1'!P51</f>
        <v>Portion 5</v>
      </c>
    </row>
    <row r="52" spans="1:16" x14ac:dyDescent="0.35">
      <c r="A52" s="69" t="str">
        <f>'6 - B1'!A52</f>
        <v>NAME\mL</v>
      </c>
      <c r="B52" s="69">
        <f>'6 - B1'!B52</f>
        <v>5.0462610000000003</v>
      </c>
      <c r="C52" s="69">
        <f>'6 - B1'!C52</f>
        <v>5.6930870000000002</v>
      </c>
      <c r="D52" s="69">
        <f>'6 - B1'!D52</f>
        <v>5.6217810000000004</v>
      </c>
      <c r="E52" s="69">
        <f>'6 - B1'!E52</f>
        <v>5.6694240000000002</v>
      </c>
      <c r="F52" s="69">
        <f>'6 - B1'!F52</f>
        <v>5.6696869999999997</v>
      </c>
      <c r="G52" s="69">
        <f>'6 - B1'!G52</f>
        <v>5.0233230000000004</v>
      </c>
      <c r="H52" s="69">
        <f>'6 - B1'!H52</f>
        <v>5.6628939999999997</v>
      </c>
      <c r="I52" s="69">
        <f>'6 - B1'!I52</f>
        <v>5.630509</v>
      </c>
      <c r="J52" s="69">
        <f>'6 - B1'!J52</f>
        <v>5.7065010000000003</v>
      </c>
      <c r="K52" s="69">
        <f>'6 - B1'!K52</f>
        <v>5.684609</v>
      </c>
      <c r="L52" s="69">
        <f>'6 - B1'!L52</f>
        <v>5.0705140000000002</v>
      </c>
      <c r="M52" s="69">
        <f>'6 - B1'!M52</f>
        <v>5.6845629999999998</v>
      </c>
      <c r="N52" s="69">
        <f>'6 - B1'!N52</f>
        <v>5.6810910000000003</v>
      </c>
      <c r="O52" s="69">
        <f>'6 - B1'!O52</f>
        <v>5.6736360000000001</v>
      </c>
      <c r="P52" s="69">
        <f>'6 - B1'!P52</f>
        <v>5.6893779999999996</v>
      </c>
    </row>
    <row r="53" spans="1:16" x14ac:dyDescent="0.35">
      <c r="A53" s="69">
        <f>'6 - B1'!A53</f>
        <v>4</v>
      </c>
      <c r="B53" s="69">
        <f>'6 - B1'!B53</f>
        <v>12580.402344</v>
      </c>
      <c r="C53" s="69">
        <f>'6 - B1'!C53</f>
        <v>11835.758789</v>
      </c>
      <c r="D53" s="69">
        <f>'6 - B1'!D53</f>
        <v>12467.934569999999</v>
      </c>
      <c r="E53" s="69">
        <f>'6 - B1'!E53</f>
        <v>12081.651367</v>
      </c>
      <c r="F53" s="69">
        <f>'6 - B1'!F53</f>
        <v>12443.544921999999</v>
      </c>
      <c r="G53" s="69">
        <f>'6 - B1'!G53</f>
        <v>12360.742188</v>
      </c>
      <c r="H53" s="69">
        <f>'6 - B1'!H53</f>
        <v>12372.648438</v>
      </c>
      <c r="I53" s="69">
        <f>'6 - B1'!I53</f>
        <v>12222.518555000001</v>
      </c>
      <c r="J53" s="69">
        <f>'6 - B1'!J53</f>
        <v>11912.204102</v>
      </c>
      <c r="K53" s="69">
        <f>'6 - B1'!K53</f>
        <v>11836.522461</v>
      </c>
      <c r="L53" s="69">
        <f>'6 - B1'!L53</f>
        <v>12126.1875</v>
      </c>
      <c r="M53" s="69">
        <f>'6 - B1'!M53</f>
        <v>11685.859375</v>
      </c>
      <c r="N53" s="69">
        <f>'6 - B1'!N53</f>
        <v>11615.375</v>
      </c>
      <c r="O53" s="69">
        <f>'6 - B1'!O53</f>
        <v>11984.553711</v>
      </c>
      <c r="P53" s="69">
        <f>'6 - B1'!P53</f>
        <v>11872.299805000001</v>
      </c>
    </row>
    <row r="54" spans="1:16" x14ac:dyDescent="0.35">
      <c r="A54" s="69">
        <f>'6 - B1'!A54</f>
        <v>5</v>
      </c>
      <c r="B54" s="69">
        <f>'6 - B1'!B54</f>
        <v>11118.528319999999</v>
      </c>
      <c r="C54" s="69">
        <f>'6 - B1'!C54</f>
        <v>10489.564453000001</v>
      </c>
      <c r="D54" s="69">
        <f>'6 - B1'!D54</f>
        <v>11059.662109000001</v>
      </c>
      <c r="E54" s="69">
        <f>'6 - B1'!E54</f>
        <v>10677.628906</v>
      </c>
      <c r="F54" s="69">
        <f>'6 - B1'!F54</f>
        <v>10988.084961</v>
      </c>
      <c r="G54" s="69">
        <f>'6 - B1'!G54</f>
        <v>10908.714844</v>
      </c>
      <c r="H54" s="69">
        <f>'6 - B1'!H54</f>
        <v>10908.026367</v>
      </c>
      <c r="I54" s="69">
        <f>'6 - B1'!I54</f>
        <v>10773.803711</v>
      </c>
      <c r="J54" s="69">
        <f>'6 - B1'!J54</f>
        <v>10552.702148</v>
      </c>
      <c r="K54" s="69">
        <f>'6 - B1'!K54</f>
        <v>10491.487305000001</v>
      </c>
      <c r="L54" s="69">
        <f>'6 - B1'!L54</f>
        <v>10708.776367</v>
      </c>
      <c r="M54" s="69">
        <f>'6 - B1'!M54</f>
        <v>10304.046875</v>
      </c>
      <c r="N54" s="69">
        <f>'6 - B1'!N54</f>
        <v>10269.154296999999</v>
      </c>
      <c r="O54" s="69">
        <f>'6 - B1'!O54</f>
        <v>10570.292969</v>
      </c>
      <c r="P54" s="69">
        <f>'6 - B1'!P54</f>
        <v>10495.875</v>
      </c>
    </row>
    <row r="55" spans="1:16" x14ac:dyDescent="0.35">
      <c r="A55" s="69">
        <f>'6 - B1'!A55</f>
        <v>6</v>
      </c>
      <c r="B55" s="69">
        <f>'6 - B1'!B55</f>
        <v>9738.8935550000006</v>
      </c>
      <c r="C55" s="69">
        <f>'6 - B1'!C55</f>
        <v>9220.8330079999996</v>
      </c>
      <c r="D55" s="69">
        <f>'6 - B1'!D55</f>
        <v>9703.6855469999991</v>
      </c>
      <c r="E55" s="69">
        <f>'6 - B1'!E55</f>
        <v>9350.8623050000006</v>
      </c>
      <c r="F55" s="69">
        <f>'6 - B1'!F55</f>
        <v>9615.1699219999991</v>
      </c>
      <c r="G55" s="69">
        <f>'6 - B1'!G55</f>
        <v>9542.0898440000001</v>
      </c>
      <c r="H55" s="69">
        <f>'6 - B1'!H55</f>
        <v>9550.0634769999997</v>
      </c>
      <c r="I55" s="69">
        <f>'6 - B1'!I55</f>
        <v>9413.5361329999996</v>
      </c>
      <c r="J55" s="69">
        <f>'6 - B1'!J55</f>
        <v>9244.7197269999997</v>
      </c>
      <c r="K55" s="69">
        <f>'6 - B1'!K55</f>
        <v>9214.8818360000005</v>
      </c>
      <c r="L55" s="69">
        <f>'6 - B1'!L55</f>
        <v>9376.7617190000001</v>
      </c>
      <c r="M55" s="69">
        <f>'6 - B1'!M55</f>
        <v>8972.3701170000004</v>
      </c>
      <c r="N55" s="69">
        <f>'6 - B1'!N55</f>
        <v>8970.6367190000001</v>
      </c>
      <c r="O55" s="69">
        <f>'6 - B1'!O55</f>
        <v>9225.3007809999999</v>
      </c>
      <c r="P55" s="69">
        <f>'6 - B1'!P55</f>
        <v>9170.4228519999997</v>
      </c>
    </row>
    <row r="56" spans="1:16" x14ac:dyDescent="0.35">
      <c r="A56" s="69">
        <f>'6 - B1'!A56</f>
        <v>7</v>
      </c>
      <c r="B56" s="69">
        <f>'6 - B1'!B56</f>
        <v>8515.4130860000005</v>
      </c>
      <c r="C56" s="69">
        <f>'6 - B1'!C56</f>
        <v>8065.3964839999999</v>
      </c>
      <c r="D56" s="69">
        <f>'6 - B1'!D56</f>
        <v>8484.8554690000001</v>
      </c>
      <c r="E56" s="69">
        <f>'6 - B1'!E56</f>
        <v>8144.5668949999999</v>
      </c>
      <c r="F56" s="69">
        <f>'6 - B1'!F56</f>
        <v>8390.7636719999991</v>
      </c>
      <c r="G56" s="69">
        <f>'6 - B1'!G56</f>
        <v>8313.2216800000006</v>
      </c>
      <c r="H56" s="69">
        <f>'6 - B1'!H56</f>
        <v>8351.5595699999994</v>
      </c>
      <c r="I56" s="69">
        <f>'6 - B1'!I56</f>
        <v>8224.1230469999991</v>
      </c>
      <c r="J56" s="69">
        <f>'6 - B1'!J56</f>
        <v>8068.1669920000004</v>
      </c>
      <c r="K56" s="69">
        <f>'6 - B1'!K56</f>
        <v>8064.0551759999998</v>
      </c>
      <c r="L56" s="69">
        <f>'6 - B1'!L56</f>
        <v>8122.2539059999999</v>
      </c>
      <c r="M56" s="69">
        <f>'6 - B1'!M56</f>
        <v>7780.7216799999997</v>
      </c>
      <c r="N56" s="69">
        <f>'6 - B1'!N56</f>
        <v>7822.2651370000003</v>
      </c>
      <c r="O56" s="69">
        <f>'6 - B1'!O56</f>
        <v>7992.0522460000002</v>
      </c>
      <c r="P56" s="69">
        <f>'6 - B1'!P56</f>
        <v>7966.2490230000003</v>
      </c>
    </row>
    <row r="57" spans="1:16" x14ac:dyDescent="0.35">
      <c r="A57" s="69">
        <f>'6 - B1'!A57</f>
        <v>8</v>
      </c>
      <c r="B57" s="69">
        <f>'6 - B1'!B57</f>
        <v>7446.701172</v>
      </c>
      <c r="C57" s="69">
        <f>'6 - B1'!C57</f>
        <v>7023.7822269999997</v>
      </c>
      <c r="D57" s="69">
        <f>'6 - B1'!D57</f>
        <v>7390.1840819999998</v>
      </c>
      <c r="E57" s="69">
        <f>'6 - B1'!E57</f>
        <v>7073.2060549999997</v>
      </c>
      <c r="F57" s="69">
        <f>'6 - B1'!F57</f>
        <v>7291.9370120000003</v>
      </c>
      <c r="G57" s="69">
        <f>'6 - B1'!G57</f>
        <v>7216.9360349999997</v>
      </c>
      <c r="H57" s="69">
        <f>'6 - B1'!H57</f>
        <v>7269.7807620000003</v>
      </c>
      <c r="I57" s="69">
        <f>'6 - B1'!I57</f>
        <v>7165.4267579999996</v>
      </c>
      <c r="J57" s="69">
        <f>'6 - B1'!J57</f>
        <v>7037.9384769999997</v>
      </c>
      <c r="K57" s="69">
        <f>'6 - B1'!K57</f>
        <v>7035.4882809999999</v>
      </c>
      <c r="L57" s="69">
        <f>'6 - B1'!L57</f>
        <v>7014.8710940000001</v>
      </c>
      <c r="M57" s="69">
        <f>'6 - B1'!M57</f>
        <v>6735.0825199999999</v>
      </c>
      <c r="N57" s="69">
        <f>'6 - B1'!N57</f>
        <v>6775.8115230000003</v>
      </c>
      <c r="O57" s="69">
        <f>'6 - B1'!O57</f>
        <v>6907.5629879999997</v>
      </c>
      <c r="P57" s="69">
        <f>'6 - B1'!P57</f>
        <v>6905.5004879999997</v>
      </c>
    </row>
    <row r="58" spans="1:16" x14ac:dyDescent="0.35">
      <c r="A58" s="69">
        <f>'6 - B1'!A58</f>
        <v>9</v>
      </c>
      <c r="B58" s="69">
        <f>'6 - B1'!B58</f>
        <v>6502.4375</v>
      </c>
      <c r="C58" s="69">
        <f>'6 - B1'!C58</f>
        <v>6107.4077150000003</v>
      </c>
      <c r="D58" s="69">
        <f>'6 - B1'!D58</f>
        <v>6408.111328</v>
      </c>
      <c r="E58" s="69">
        <f>'6 - B1'!E58</f>
        <v>6140.8359380000002</v>
      </c>
      <c r="F58" s="69">
        <f>'6 - B1'!F58</f>
        <v>6310.2250979999999</v>
      </c>
      <c r="G58" s="69">
        <f>'6 - B1'!G58</f>
        <v>6247.8559569999998</v>
      </c>
      <c r="H58" s="69">
        <f>'6 - B1'!H58</f>
        <v>6300.841797</v>
      </c>
      <c r="I58" s="69">
        <f>'6 - B1'!I58</f>
        <v>6231.408203</v>
      </c>
      <c r="J58" s="69">
        <f>'6 - B1'!J58</f>
        <v>6124.5942379999997</v>
      </c>
      <c r="K58" s="69">
        <f>'6 - B1'!K58</f>
        <v>6122.4965819999998</v>
      </c>
      <c r="L58" s="69">
        <f>'6 - B1'!L58</f>
        <v>6049.8798829999996</v>
      </c>
      <c r="M58" s="69">
        <f>'6 - B1'!M58</f>
        <v>5806.2514650000003</v>
      </c>
      <c r="N58" s="69">
        <f>'6 - B1'!N58</f>
        <v>5860.8461909999996</v>
      </c>
      <c r="O58" s="69">
        <f>'6 - B1'!O58</f>
        <v>5963.5473629999997</v>
      </c>
      <c r="P58" s="69">
        <f>'6 - B1'!P58</f>
        <v>5980.6186520000001</v>
      </c>
    </row>
    <row r="59" spans="1:16" x14ac:dyDescent="0.35">
      <c r="A59" s="69">
        <f>'6 - B1'!A59</f>
        <v>10</v>
      </c>
      <c r="B59" s="69">
        <f>'6 - B1'!B59</f>
        <v>5575.216797</v>
      </c>
      <c r="C59" s="69">
        <f>'6 - B1'!C59</f>
        <v>5233.8920900000003</v>
      </c>
      <c r="D59" s="69">
        <f>'6 - B1'!D59</f>
        <v>5489.185547</v>
      </c>
      <c r="E59" s="69">
        <f>'6 - B1'!E59</f>
        <v>5234.0419920000004</v>
      </c>
      <c r="F59" s="69">
        <f>'6 - B1'!F59</f>
        <v>5412.4682620000003</v>
      </c>
      <c r="G59" s="69">
        <f>'6 - B1'!G59</f>
        <v>5331.3315430000002</v>
      </c>
      <c r="H59" s="69">
        <f>'6 - B1'!H59</f>
        <v>5390.1767579999996</v>
      </c>
      <c r="I59" s="69">
        <f>'6 - B1'!I59</f>
        <v>5314.2622069999998</v>
      </c>
      <c r="J59" s="69">
        <f>'6 - B1'!J59</f>
        <v>5252.0805659999996</v>
      </c>
      <c r="K59" s="69">
        <f>'6 - B1'!K59</f>
        <v>5259.4648440000001</v>
      </c>
      <c r="L59" s="69">
        <f>'6 - B1'!L59</f>
        <v>5144.4492190000001</v>
      </c>
      <c r="M59" s="69">
        <f>'6 - B1'!M59</f>
        <v>4946.7304690000001</v>
      </c>
      <c r="N59" s="69">
        <f>'6 - B1'!N59</f>
        <v>4975.8051759999998</v>
      </c>
      <c r="O59" s="69">
        <f>'6 - B1'!O59</f>
        <v>5068.7070309999999</v>
      </c>
      <c r="P59" s="69">
        <f>'6 - B1'!P59</f>
        <v>5086.4965819999998</v>
      </c>
    </row>
    <row r="60" spans="1:16" x14ac:dyDescent="0.35">
      <c r="A60" s="69">
        <f>'6 - B1'!A60</f>
        <v>11</v>
      </c>
      <c r="B60" s="69">
        <f>'6 - B1'!B60</f>
        <v>4739.9448240000002</v>
      </c>
      <c r="C60" s="69">
        <f>'6 - B1'!C60</f>
        <v>4463.6596680000002</v>
      </c>
      <c r="D60" s="69">
        <f>'6 - B1'!D60</f>
        <v>4684.2802730000003</v>
      </c>
      <c r="E60" s="69">
        <f>'6 - B1'!E60</f>
        <v>4449.6586909999996</v>
      </c>
      <c r="F60" s="69">
        <f>'6 - B1'!F60</f>
        <v>4614.1879879999997</v>
      </c>
      <c r="G60" s="69">
        <f>'6 - B1'!G60</f>
        <v>4531.064453</v>
      </c>
      <c r="H60" s="69">
        <f>'6 - B1'!H60</f>
        <v>4589.1728519999997</v>
      </c>
      <c r="I60" s="69">
        <f>'6 - B1'!I60</f>
        <v>4515.7553710000002</v>
      </c>
      <c r="J60" s="69">
        <f>'6 - B1'!J60</f>
        <v>4483.6586909999996</v>
      </c>
      <c r="K60" s="69">
        <f>'6 - B1'!K60</f>
        <v>4483.8618159999996</v>
      </c>
      <c r="L60" s="69">
        <f>'6 - B1'!L60</f>
        <v>4355.1801759999998</v>
      </c>
      <c r="M60" s="69">
        <f>'6 - B1'!M60</f>
        <v>4179.3891599999997</v>
      </c>
      <c r="N60" s="69">
        <f>'6 - B1'!N60</f>
        <v>4207.642578</v>
      </c>
      <c r="O60" s="69">
        <f>'6 - B1'!O60</f>
        <v>4279.794922</v>
      </c>
      <c r="P60" s="69">
        <f>'6 - B1'!P60</f>
        <v>4307.1494140000004</v>
      </c>
    </row>
    <row r="61" spans="1:16" x14ac:dyDescent="0.35">
      <c r="A61" s="69">
        <f>'6 - B1'!A61</f>
        <v>12</v>
      </c>
      <c r="B61" s="69">
        <f>'6 - B1'!B61</f>
        <v>3969.0771479999999</v>
      </c>
      <c r="C61" s="69">
        <f>'6 - B1'!C61</f>
        <v>3752.7973630000001</v>
      </c>
      <c r="D61" s="69">
        <f>'6 - B1'!D61</f>
        <v>3914.2397460000002</v>
      </c>
      <c r="E61" s="69">
        <f>'6 - B1'!E61</f>
        <v>3732.6545409999999</v>
      </c>
      <c r="F61" s="69">
        <f>'6 - B1'!F61</f>
        <v>3840.9528810000002</v>
      </c>
      <c r="G61" s="69">
        <f>'6 - B1'!G61</f>
        <v>3783.9494629999999</v>
      </c>
      <c r="H61" s="69">
        <f>'6 - B1'!H61</f>
        <v>3840.4389649999998</v>
      </c>
      <c r="I61" s="69">
        <f>'6 - B1'!I61</f>
        <v>3779.2321780000002</v>
      </c>
      <c r="J61" s="69">
        <f>'6 - B1'!J61</f>
        <v>3745.9035640000002</v>
      </c>
      <c r="K61" s="69">
        <f>'6 - B1'!K61</f>
        <v>3755.0515140000002</v>
      </c>
      <c r="L61" s="69">
        <f>'6 - B1'!L61</f>
        <v>3611.0739749999998</v>
      </c>
      <c r="M61" s="69">
        <f>'6 - B1'!M61</f>
        <v>3469.5720209999999</v>
      </c>
      <c r="N61" s="69">
        <f>'6 - B1'!N61</f>
        <v>3498.095703</v>
      </c>
      <c r="O61" s="69">
        <f>'6 - B1'!O61</f>
        <v>3561.0317380000001</v>
      </c>
      <c r="P61" s="69">
        <f>'6 - B1'!P61</f>
        <v>3576.4895019999999</v>
      </c>
    </row>
    <row r="62" spans="1:16" x14ac:dyDescent="0.35">
      <c r="A62" s="69">
        <f>'6 - B1'!A62</f>
        <v>13</v>
      </c>
      <c r="B62" s="69">
        <f>'6 - B1'!B62</f>
        <v>3282.6281739999999</v>
      </c>
      <c r="C62" s="69">
        <f>'6 - B1'!C62</f>
        <v>3104.2915039999998</v>
      </c>
      <c r="D62" s="69">
        <f>'6 - B1'!D62</f>
        <v>3240.076172</v>
      </c>
      <c r="E62" s="69">
        <f>'6 - B1'!E62</f>
        <v>3093.7890619999998</v>
      </c>
      <c r="F62" s="69">
        <f>'6 - B1'!F62</f>
        <v>3177.9533689999998</v>
      </c>
      <c r="G62" s="69">
        <f>'6 - B1'!G62</f>
        <v>3139.5551759999998</v>
      </c>
      <c r="H62" s="69">
        <f>'6 - B1'!H62</f>
        <v>3176.8208009999998</v>
      </c>
      <c r="I62" s="69">
        <f>'6 - B1'!I62</f>
        <v>3128.1364749999998</v>
      </c>
      <c r="J62" s="69">
        <f>'6 - B1'!J62</f>
        <v>3119.0744629999999</v>
      </c>
      <c r="K62" s="69">
        <f>'6 - B1'!K62</f>
        <v>3110.8559570000002</v>
      </c>
      <c r="L62" s="69">
        <f>'6 - B1'!L62</f>
        <v>2962.2246089999999</v>
      </c>
      <c r="M62" s="69">
        <f>'6 - B1'!M62</f>
        <v>2858.2673340000001</v>
      </c>
      <c r="N62" s="69">
        <f>'6 - B1'!N62</f>
        <v>2864.9428710000002</v>
      </c>
      <c r="O62" s="69">
        <f>'6 - B1'!O62</f>
        <v>2915.4140619999998</v>
      </c>
      <c r="P62" s="69">
        <f>'6 - B1'!P62</f>
        <v>2928.4396969999998</v>
      </c>
    </row>
    <row r="63" spans="1:16" x14ac:dyDescent="0.35">
      <c r="A63" s="69">
        <f>'6 - B1'!A63</f>
        <v>14</v>
      </c>
      <c r="B63" s="69">
        <f>'6 - B1'!B63</f>
        <v>2692.4882809999999</v>
      </c>
      <c r="C63" s="69">
        <f>'6 - B1'!C63</f>
        <v>2537.1123050000001</v>
      </c>
      <c r="D63" s="69">
        <f>'6 - B1'!D63</f>
        <v>2656.6313479999999</v>
      </c>
      <c r="E63" s="69">
        <f>'6 - B1'!E63</f>
        <v>2519.6564939999998</v>
      </c>
      <c r="F63" s="69">
        <f>'6 - B1'!F63</f>
        <v>2582.858643</v>
      </c>
      <c r="G63" s="69">
        <f>'6 - B1'!G63</f>
        <v>2550.1047359999998</v>
      </c>
      <c r="H63" s="69">
        <f>'6 - B1'!H63</f>
        <v>2588.2524410000001</v>
      </c>
      <c r="I63" s="69">
        <f>'6 - B1'!I63</f>
        <v>2553.4104000000002</v>
      </c>
      <c r="J63" s="69">
        <f>'6 - B1'!J63</f>
        <v>2542.1884770000001</v>
      </c>
      <c r="K63" s="69">
        <f>'6 - B1'!K63</f>
        <v>2546.1733399999998</v>
      </c>
      <c r="L63" s="69">
        <f>'6 - B1'!L63</f>
        <v>2376.0905760000001</v>
      </c>
      <c r="M63" s="69">
        <f>'6 - B1'!M63</f>
        <v>2303.783203</v>
      </c>
      <c r="N63" s="69">
        <f>'6 - B1'!N63</f>
        <v>2299.9104000000002</v>
      </c>
      <c r="O63" s="69">
        <f>'6 - B1'!O63</f>
        <v>2351.7543949999999</v>
      </c>
      <c r="P63" s="69">
        <f>'6 - B1'!P63</f>
        <v>2348.938721</v>
      </c>
    </row>
    <row r="64" spans="1:16" x14ac:dyDescent="0.35">
      <c r="A64" s="69">
        <f>'6 - B1'!A64</f>
        <v>15</v>
      </c>
      <c r="B64" s="69">
        <f>'6 - B1'!B64</f>
        <v>2141.3872070000002</v>
      </c>
      <c r="C64" s="69">
        <f>'6 - B1'!C64</f>
        <v>2029.830322</v>
      </c>
      <c r="D64" s="69">
        <f>'6 - B1'!D64</f>
        <v>2116.766846</v>
      </c>
      <c r="E64" s="69">
        <f>'6 - B1'!E64</f>
        <v>1997.5576169999999</v>
      </c>
      <c r="F64" s="69">
        <f>'6 - B1'!F64</f>
        <v>2056.7272950000001</v>
      </c>
      <c r="G64" s="69">
        <f>'6 - B1'!G64</f>
        <v>2011.4174800000001</v>
      </c>
      <c r="H64" s="69">
        <f>'6 - B1'!H64</f>
        <v>2066.9643550000001</v>
      </c>
      <c r="I64" s="69">
        <f>'6 - B1'!I64</f>
        <v>2033.20874</v>
      </c>
      <c r="J64" s="69">
        <f>'6 - B1'!J64</f>
        <v>2026.6361079999999</v>
      </c>
      <c r="K64" s="69">
        <f>'6 - B1'!K64</f>
        <v>2025.1173100000001</v>
      </c>
      <c r="L64" s="69">
        <f>'6 - B1'!L64</f>
        <v>1882.255005</v>
      </c>
      <c r="M64" s="69">
        <f>'6 - B1'!M64</f>
        <v>1814.915283</v>
      </c>
      <c r="N64" s="69">
        <f>'6 - B1'!N64</f>
        <v>1786.9807129999999</v>
      </c>
      <c r="O64" s="69">
        <f>'6 - B1'!O64</f>
        <v>1845.5535890000001</v>
      </c>
      <c r="P64" s="69">
        <f>'6 - B1'!P64</f>
        <v>1846.9506839999999</v>
      </c>
    </row>
    <row r="65" spans="1:16" x14ac:dyDescent="0.35">
      <c r="A65" s="69">
        <f>'6 - B1'!A65</f>
        <v>16</v>
      </c>
      <c r="B65" s="69">
        <f>'6 - B1'!B65</f>
        <v>1696.305298</v>
      </c>
      <c r="C65" s="69">
        <f>'6 - B1'!C65</f>
        <v>1596.848999</v>
      </c>
      <c r="D65" s="69">
        <f>'6 - B1'!D65</f>
        <v>1668.510254</v>
      </c>
      <c r="E65" s="69">
        <f>'6 - B1'!E65</f>
        <v>1559.946899</v>
      </c>
      <c r="F65" s="69">
        <f>'6 - B1'!F65</f>
        <v>1621.7827150000001</v>
      </c>
      <c r="G65" s="69">
        <f>'6 - B1'!G65</f>
        <v>1580.626953</v>
      </c>
      <c r="H65" s="69">
        <f>'6 - B1'!H65</f>
        <v>1629.7320560000001</v>
      </c>
      <c r="I65" s="69">
        <f>'6 - B1'!I65</f>
        <v>1597.3688959999999</v>
      </c>
      <c r="J65" s="69">
        <f>'6 - B1'!J65</f>
        <v>1599.0535890000001</v>
      </c>
      <c r="K65" s="69">
        <f>'6 - B1'!K65</f>
        <v>1595.5363769999999</v>
      </c>
      <c r="L65" s="69">
        <f>'6 - B1'!L65</f>
        <v>1459.615356</v>
      </c>
      <c r="M65" s="69">
        <f>'6 - B1'!M65</f>
        <v>1405.0333250000001</v>
      </c>
      <c r="N65" s="69">
        <f>'6 - B1'!N65</f>
        <v>1391.2821039999999</v>
      </c>
      <c r="O65" s="69">
        <f>'6 - B1'!O65</f>
        <v>1425.3645019999999</v>
      </c>
      <c r="P65" s="69">
        <f>'6 - B1'!P65</f>
        <v>1431.0878909999999</v>
      </c>
    </row>
    <row r="66" spans="1:16" x14ac:dyDescent="0.35">
      <c r="A66" s="69">
        <f>'6 - B1'!A66</f>
        <v>17</v>
      </c>
      <c r="B66" s="69">
        <f>'6 - B1'!B66</f>
        <v>1323.355957</v>
      </c>
      <c r="C66" s="69">
        <f>'6 - B1'!C66</f>
        <v>1243.6136469999999</v>
      </c>
      <c r="D66" s="69">
        <f>'6 - B1'!D66</f>
        <v>1293.718018</v>
      </c>
      <c r="E66" s="69">
        <f>'6 - B1'!E66</f>
        <v>1199.063721</v>
      </c>
      <c r="F66" s="69">
        <f>'6 - B1'!F66</f>
        <v>1251.744629</v>
      </c>
      <c r="G66" s="69">
        <f>'6 - B1'!G66</f>
        <v>1218.1179199999999</v>
      </c>
      <c r="H66" s="69">
        <f>'6 - B1'!H66</f>
        <v>1255.5417480000001</v>
      </c>
      <c r="I66" s="69">
        <f>'6 - B1'!I66</f>
        <v>1248.022217</v>
      </c>
      <c r="J66" s="69">
        <f>'6 - B1'!J66</f>
        <v>1233.6807859999999</v>
      </c>
      <c r="K66" s="69">
        <f>'6 - B1'!K66</f>
        <v>1238.2558590000001</v>
      </c>
      <c r="L66" s="69">
        <f>'6 - B1'!L66</f>
        <v>1091.9997559999999</v>
      </c>
      <c r="M66" s="69">
        <f>'6 - B1'!M66</f>
        <v>1072.378052</v>
      </c>
      <c r="N66" s="69">
        <f>'6 - B1'!N66</f>
        <v>1049.0942379999999</v>
      </c>
      <c r="O66" s="69">
        <f>'6 - B1'!O66</f>
        <v>1073.209351</v>
      </c>
      <c r="P66" s="69">
        <f>'6 - B1'!P66</f>
        <v>1069.1854249999999</v>
      </c>
    </row>
    <row r="67" spans="1:16" x14ac:dyDescent="0.35">
      <c r="A67" s="69">
        <f>'6 - B1'!A67</f>
        <v>18</v>
      </c>
      <c r="B67" s="69">
        <f>'6 - B1'!B67</f>
        <v>1015.603394</v>
      </c>
      <c r="C67" s="69">
        <f>'6 - B1'!C67</f>
        <v>958.70666500000004</v>
      </c>
      <c r="D67" s="69">
        <f>'6 - B1'!D67</f>
        <v>1002.884949</v>
      </c>
      <c r="E67" s="69">
        <f>'6 - B1'!E67</f>
        <v>915.08422900000005</v>
      </c>
      <c r="F67" s="69">
        <f>'6 - B1'!F67</f>
        <v>961.25238000000002</v>
      </c>
      <c r="G67" s="69">
        <f>'6 - B1'!G67</f>
        <v>938.02447500000005</v>
      </c>
      <c r="H67" s="69">
        <f>'6 - B1'!H67</f>
        <v>959.93316700000003</v>
      </c>
      <c r="I67" s="69">
        <f>'6 - B1'!I67</f>
        <v>966.520081</v>
      </c>
      <c r="J67" s="69">
        <f>'6 - B1'!J67</f>
        <v>948.74255400000004</v>
      </c>
      <c r="K67" s="69">
        <f>'6 - B1'!K67</f>
        <v>959.08093299999996</v>
      </c>
      <c r="L67" s="69">
        <f>'6 - B1'!L67</f>
        <v>813.724243</v>
      </c>
      <c r="M67" s="69">
        <f>'6 - B1'!M67</f>
        <v>803.228027</v>
      </c>
      <c r="N67" s="69">
        <f>'6 - B1'!N67</f>
        <v>783.47631799999999</v>
      </c>
      <c r="O67" s="69">
        <f>'6 - B1'!O67</f>
        <v>798.07720900000004</v>
      </c>
      <c r="P67" s="69">
        <f>'6 - B1'!P67</f>
        <v>794.46295199999997</v>
      </c>
    </row>
    <row r="68" spans="1:16" x14ac:dyDescent="0.35">
      <c r="A68" s="69">
        <f>'6 - B1'!A68</f>
        <v>19</v>
      </c>
      <c r="B68" s="69">
        <f>'6 - B1'!B68</f>
        <v>773.44390899999996</v>
      </c>
      <c r="C68" s="69">
        <f>'6 - B1'!C68</f>
        <v>735.10211200000003</v>
      </c>
      <c r="D68" s="69">
        <f>'6 - B1'!D68</f>
        <v>771.28576699999996</v>
      </c>
      <c r="E68" s="69">
        <f>'6 - B1'!E68</f>
        <v>696.54345699999999</v>
      </c>
      <c r="F68" s="69">
        <f>'6 - B1'!F68</f>
        <v>739.37066700000003</v>
      </c>
      <c r="G68" s="69">
        <f>'6 - B1'!G68</f>
        <v>718.64776600000005</v>
      </c>
      <c r="H68" s="69">
        <f>'6 - B1'!H68</f>
        <v>729.30902100000003</v>
      </c>
      <c r="I68" s="69">
        <f>'6 - B1'!I68</f>
        <v>738.83196999999996</v>
      </c>
      <c r="J68" s="69">
        <f>'6 - B1'!J68</f>
        <v>736.35320999999999</v>
      </c>
      <c r="K68" s="69">
        <f>'6 - B1'!K68</f>
        <v>732.32830799999999</v>
      </c>
      <c r="L68" s="69">
        <f>'6 - B1'!L68</f>
        <v>593.82543899999996</v>
      </c>
      <c r="M68" s="69">
        <f>'6 - B1'!M68</f>
        <v>601.62939500000005</v>
      </c>
      <c r="N68" s="69">
        <f>'6 - B1'!N68</f>
        <v>590.20355199999995</v>
      </c>
      <c r="O68" s="69">
        <f>'6 - B1'!O68</f>
        <v>591.50775099999998</v>
      </c>
      <c r="P68" s="69">
        <f>'6 - B1'!P68</f>
        <v>593.73803699999996</v>
      </c>
    </row>
    <row r="69" spans="1:16" x14ac:dyDescent="0.35">
      <c r="A69" s="69">
        <f>'6 - B1'!A69</f>
        <v>20</v>
      </c>
      <c r="B69" s="69">
        <f>'6 - B1'!B69</f>
        <v>592.31970200000001</v>
      </c>
      <c r="C69" s="69">
        <f>'6 - B1'!C69</f>
        <v>562.26092500000004</v>
      </c>
      <c r="D69" s="69">
        <f>'6 - B1'!D69</f>
        <v>587.00256300000001</v>
      </c>
      <c r="E69" s="69">
        <f>'6 - B1'!E69</f>
        <v>526.50854500000003</v>
      </c>
      <c r="F69" s="69">
        <f>'6 - B1'!F69</f>
        <v>560.17205799999999</v>
      </c>
      <c r="G69" s="69">
        <f>'6 - B1'!G69</f>
        <v>554.81201199999998</v>
      </c>
      <c r="H69" s="69">
        <f>'6 - B1'!H69</f>
        <v>556.95898399999999</v>
      </c>
      <c r="I69" s="69">
        <f>'6 - B1'!I69</f>
        <v>554.30157499999996</v>
      </c>
      <c r="J69" s="69">
        <f>'6 - B1'!J69</f>
        <v>565.32019000000003</v>
      </c>
      <c r="K69" s="69">
        <f>'6 - B1'!K69</f>
        <v>562.21984899999995</v>
      </c>
      <c r="L69" s="69">
        <f>'6 - B1'!L69</f>
        <v>438.41711400000003</v>
      </c>
      <c r="M69" s="69">
        <f>'6 - B1'!M69</f>
        <v>443.12994400000002</v>
      </c>
      <c r="N69" s="69">
        <f>'6 - B1'!N69</f>
        <v>440.93643200000002</v>
      </c>
      <c r="O69" s="69">
        <f>'6 - B1'!O69</f>
        <v>438.16696200000001</v>
      </c>
      <c r="P69" s="69">
        <f>'6 - B1'!P69</f>
        <v>443.633759</v>
      </c>
    </row>
    <row r="70" spans="1:16" x14ac:dyDescent="0.35">
      <c r="A70" s="69">
        <f>'6 - B1'!A70</f>
        <v>21</v>
      </c>
      <c r="B70" s="69">
        <f>'6 - B1'!B70</f>
        <v>454.59396400000003</v>
      </c>
      <c r="C70" s="69">
        <f>'6 - B1'!C70</f>
        <v>431.224762</v>
      </c>
      <c r="D70" s="69">
        <f>'6 - B1'!D70</f>
        <v>443.45373499999999</v>
      </c>
      <c r="E70" s="69">
        <f>'6 - B1'!E70</f>
        <v>400.21704099999999</v>
      </c>
      <c r="F70" s="69">
        <f>'6 - B1'!F70</f>
        <v>425.59670999999997</v>
      </c>
      <c r="G70" s="69">
        <f>'6 - B1'!G70</f>
        <v>428.40167200000002</v>
      </c>
      <c r="H70" s="69">
        <f>'6 - B1'!H70</f>
        <v>430.52191199999999</v>
      </c>
      <c r="I70" s="69">
        <f>'6 - B1'!I70</f>
        <v>416.303406</v>
      </c>
      <c r="J70" s="69">
        <f>'6 - B1'!J70</f>
        <v>437.39590500000003</v>
      </c>
      <c r="K70" s="69">
        <f>'6 - B1'!K70</f>
        <v>429.75692700000002</v>
      </c>
      <c r="L70" s="69">
        <f>'6 - B1'!L70</f>
        <v>329.15795900000001</v>
      </c>
      <c r="M70" s="69">
        <f>'6 - B1'!M70</f>
        <v>328.43335000000002</v>
      </c>
      <c r="N70" s="69">
        <f>'6 - B1'!N70</f>
        <v>319.65692100000001</v>
      </c>
      <c r="O70" s="69">
        <f>'6 - B1'!O70</f>
        <v>325.364532</v>
      </c>
      <c r="P70" s="69">
        <f>'6 - B1'!P70</f>
        <v>325.51889</v>
      </c>
    </row>
    <row r="71" spans="1:16" x14ac:dyDescent="0.35">
      <c r="A71" s="69">
        <f>'6 - B1'!A71</f>
        <v>22</v>
      </c>
      <c r="B71" s="69">
        <f>'6 - B1'!B71</f>
        <v>342.03539999999998</v>
      </c>
      <c r="C71" s="69">
        <f>'6 - B1'!C71</f>
        <v>333.03552200000001</v>
      </c>
      <c r="D71" s="69">
        <f>'6 - B1'!D71</f>
        <v>342.062408</v>
      </c>
      <c r="E71" s="69">
        <f>'6 - B1'!E71</f>
        <v>307.79144300000002</v>
      </c>
      <c r="F71" s="69">
        <f>'6 - B1'!F71</f>
        <v>323.47467</v>
      </c>
      <c r="G71" s="69">
        <f>'6 - B1'!G71</f>
        <v>325.28268400000002</v>
      </c>
      <c r="H71" s="69">
        <f>'6 - B1'!H71</f>
        <v>341.698059</v>
      </c>
      <c r="I71" s="69">
        <f>'6 - B1'!I71</f>
        <v>314.35879499999999</v>
      </c>
      <c r="J71" s="69">
        <f>'6 - B1'!J71</f>
        <v>340.31366000000003</v>
      </c>
      <c r="K71" s="69">
        <f>'6 - B1'!K71</f>
        <v>328.43069500000001</v>
      </c>
      <c r="L71" s="69">
        <f>'6 - B1'!L71</f>
        <v>245.34002699999999</v>
      </c>
      <c r="M71" s="69">
        <f>'6 - B1'!M71</f>
        <v>246.80877699999999</v>
      </c>
      <c r="N71" s="69">
        <f>'6 - B1'!N71</f>
        <v>240.27075199999999</v>
      </c>
      <c r="O71" s="69">
        <f>'6 - B1'!O71</f>
        <v>245.6978</v>
      </c>
      <c r="P71" s="69">
        <f>'6 - B1'!P71</f>
        <v>243.43611100000001</v>
      </c>
    </row>
    <row r="72" spans="1:16" x14ac:dyDescent="0.35">
      <c r="A72" s="69">
        <f>'6 - B1'!A72</f>
        <v>23</v>
      </c>
      <c r="B72" s="69">
        <f>'6 - B1'!B72</f>
        <v>264.35412600000001</v>
      </c>
      <c r="C72" s="69">
        <f>'6 - B1'!C72</f>
        <v>262.24789399999997</v>
      </c>
      <c r="D72" s="69">
        <f>'6 - B1'!D72</f>
        <v>264.15115400000002</v>
      </c>
      <c r="E72" s="69">
        <f>'6 - B1'!E72</f>
        <v>230.358521</v>
      </c>
      <c r="F72" s="69">
        <f>'6 - B1'!F72</f>
        <v>247.10359199999999</v>
      </c>
      <c r="G72" s="69">
        <f>'6 - B1'!G72</f>
        <v>250.829971</v>
      </c>
      <c r="H72" s="69">
        <f>'6 - B1'!H72</f>
        <v>259.05480999999997</v>
      </c>
      <c r="I72" s="69">
        <f>'6 - B1'!I72</f>
        <v>241.896423</v>
      </c>
      <c r="J72" s="69">
        <f>'6 - B1'!J72</f>
        <v>262.68289199999998</v>
      </c>
      <c r="K72" s="69">
        <f>'6 - B1'!K72</f>
        <v>254.546967</v>
      </c>
      <c r="L72" s="69">
        <f>'6 - B1'!L72</f>
        <v>183.41336100000001</v>
      </c>
      <c r="M72" s="69">
        <f>'6 - B1'!M72</f>
        <v>181.72022999999999</v>
      </c>
      <c r="N72" s="69">
        <f>'6 - B1'!N72</f>
        <v>179.01492300000001</v>
      </c>
      <c r="O72" s="69">
        <f>'6 - B1'!O72</f>
        <v>182.598938</v>
      </c>
      <c r="P72" s="69">
        <f>'6 - B1'!P72</f>
        <v>179.808762</v>
      </c>
    </row>
    <row r="73" spans="1:16" x14ac:dyDescent="0.35">
      <c r="A73" s="69">
        <f>'6 - B1'!A73</f>
        <v>24</v>
      </c>
      <c r="B73" s="69">
        <f>'6 - B1'!B73</f>
        <v>205.30050700000001</v>
      </c>
      <c r="C73" s="69">
        <f>'6 - B1'!C73</f>
        <v>205.51242099999999</v>
      </c>
      <c r="D73" s="69">
        <f>'6 - B1'!D73</f>
        <v>204.20573400000001</v>
      </c>
      <c r="E73" s="69">
        <f>'6 - B1'!E73</f>
        <v>173.73899800000001</v>
      </c>
      <c r="F73" s="69">
        <f>'6 - B1'!F73</f>
        <v>192.250473</v>
      </c>
      <c r="G73" s="69">
        <f>'6 - B1'!G73</f>
        <v>191.506699</v>
      </c>
      <c r="H73" s="69">
        <f>'6 - B1'!H73</f>
        <v>200.07437100000001</v>
      </c>
      <c r="I73" s="69">
        <f>'6 - B1'!I73</f>
        <v>187.72726399999999</v>
      </c>
      <c r="J73" s="69">
        <f>'6 - B1'!J73</f>
        <v>201.87503100000001</v>
      </c>
      <c r="K73" s="69">
        <f>'6 - B1'!K73</f>
        <v>193.50495900000001</v>
      </c>
      <c r="L73" s="69">
        <f>'6 - B1'!L73</f>
        <v>139.63082900000001</v>
      </c>
      <c r="M73" s="69">
        <f>'6 - B1'!M73</f>
        <v>137.21371500000001</v>
      </c>
      <c r="N73" s="69">
        <f>'6 - B1'!N73</f>
        <v>127.79235799999999</v>
      </c>
      <c r="O73" s="69">
        <f>'6 - B1'!O73</f>
        <v>131.83784499999999</v>
      </c>
      <c r="P73" s="69">
        <f>'6 - B1'!P73</f>
        <v>132.879211</v>
      </c>
    </row>
    <row r="74" spans="1:16" x14ac:dyDescent="0.35">
      <c r="A74" s="69">
        <f>'6 - B1'!A74</f>
        <v>25</v>
      </c>
      <c r="B74" s="69">
        <f>'6 - B1'!B74</f>
        <v>155.16438299999999</v>
      </c>
      <c r="C74" s="69">
        <f>'6 - B1'!C74</f>
        <v>159.84298699999999</v>
      </c>
      <c r="D74" s="69">
        <f>'6 - B1'!D74</f>
        <v>155.644623</v>
      </c>
      <c r="E74" s="69">
        <f>'6 - B1'!E74</f>
        <v>133.69966099999999</v>
      </c>
      <c r="F74" s="69">
        <f>'6 - B1'!F74</f>
        <v>146.392563</v>
      </c>
      <c r="G74" s="69">
        <f>'6 - B1'!G74</f>
        <v>146.11840799999999</v>
      </c>
      <c r="H74" s="69">
        <f>'6 - B1'!H74</f>
        <v>155.39756800000001</v>
      </c>
      <c r="I74" s="69">
        <f>'6 - B1'!I74</f>
        <v>143.148697</v>
      </c>
      <c r="J74" s="69">
        <f>'6 - B1'!J74</f>
        <v>157.01391599999999</v>
      </c>
      <c r="K74" s="69">
        <f>'6 - B1'!K74</f>
        <v>151.81343100000001</v>
      </c>
      <c r="L74" s="69">
        <f>'6 - B1'!L74</f>
        <v>103.934242</v>
      </c>
      <c r="M74" s="69">
        <f>'6 - B1'!M74</f>
        <v>103.965782</v>
      </c>
      <c r="N74" s="69">
        <f>'6 - B1'!N74</f>
        <v>93.467963999999995</v>
      </c>
      <c r="O74" s="69">
        <f>'6 - B1'!O74</f>
        <v>97.644608000000005</v>
      </c>
      <c r="P74" s="69">
        <f>'6 - B1'!P74</f>
        <v>95.265251000000006</v>
      </c>
    </row>
    <row r="75" spans="1:16" x14ac:dyDescent="0.35">
      <c r="A75" s="69">
        <f>'6 - B1'!A75</f>
        <v>26</v>
      </c>
      <c r="B75" s="69">
        <f>'6 - B1'!B75</f>
        <v>114.342079</v>
      </c>
      <c r="C75" s="69">
        <f>'6 - B1'!C75</f>
        <v>122.604843</v>
      </c>
      <c r="D75" s="69">
        <f>'6 - B1'!D75</f>
        <v>117.934151</v>
      </c>
      <c r="E75" s="69">
        <f>'6 - B1'!E75</f>
        <v>101.42124200000001</v>
      </c>
      <c r="F75" s="69">
        <f>'6 - B1'!F75</f>
        <v>110.235367</v>
      </c>
      <c r="G75" s="69">
        <f>'6 - B1'!G75</f>
        <v>107.498558</v>
      </c>
      <c r="H75" s="69">
        <f>'6 - B1'!H75</f>
        <v>114.782295</v>
      </c>
      <c r="I75" s="69">
        <f>'6 - B1'!I75</f>
        <v>107.62793000000001</v>
      </c>
      <c r="J75" s="69">
        <f>'6 - B1'!J75</f>
        <v>118.636635</v>
      </c>
      <c r="K75" s="69">
        <f>'6 - B1'!K75</f>
        <v>115.223404</v>
      </c>
      <c r="L75" s="69">
        <f>'6 - B1'!L75</f>
        <v>79.676345999999995</v>
      </c>
      <c r="M75" s="69">
        <f>'6 - B1'!M75</f>
        <v>77.050781000000001</v>
      </c>
      <c r="N75" s="69">
        <f>'6 - B1'!N75</f>
        <v>66.184471000000002</v>
      </c>
      <c r="O75" s="69">
        <f>'6 - B1'!O75</f>
        <v>72.792823999999996</v>
      </c>
      <c r="P75" s="69">
        <f>'6 - B1'!P75</f>
        <v>70.833754999999996</v>
      </c>
    </row>
    <row r="76" spans="1:16" x14ac:dyDescent="0.35">
      <c r="A76" s="69">
        <f>'6 - B1'!A76</f>
        <v>27</v>
      </c>
      <c r="B76" s="69">
        <f>'6 - B1'!B76</f>
        <v>82.833602999999997</v>
      </c>
      <c r="C76" s="69">
        <f>'6 - B1'!C76</f>
        <v>92.744063999999995</v>
      </c>
      <c r="D76" s="69">
        <f>'6 - B1'!D76</f>
        <v>90.896454000000006</v>
      </c>
      <c r="E76" s="69">
        <f>'6 - B1'!E76</f>
        <v>74.434371999999996</v>
      </c>
      <c r="F76" s="69">
        <f>'6 - B1'!F76</f>
        <v>82.544242999999994</v>
      </c>
      <c r="G76" s="69">
        <f>'6 - B1'!G76</f>
        <v>84.207206999999997</v>
      </c>
      <c r="H76" s="69">
        <f>'6 - B1'!H76</f>
        <v>84.762314000000003</v>
      </c>
      <c r="I76" s="69">
        <f>'6 - B1'!I76</f>
        <v>77.435271999999998</v>
      </c>
      <c r="J76" s="69">
        <f>'6 - B1'!J76</f>
        <v>87.268897999999993</v>
      </c>
      <c r="K76" s="69">
        <f>'6 - B1'!K76</f>
        <v>83.207130000000006</v>
      </c>
      <c r="L76" s="69">
        <f>'6 - B1'!L76</f>
        <v>55.812885000000001</v>
      </c>
      <c r="M76" s="69">
        <f>'6 - B1'!M76</f>
        <v>59.811107999999997</v>
      </c>
      <c r="N76" s="69">
        <f>'6 - B1'!N76</f>
        <v>46.117905</v>
      </c>
      <c r="O76" s="69">
        <f>'6 - B1'!O76</f>
        <v>52.699885999999999</v>
      </c>
      <c r="P76" s="69">
        <f>'6 - B1'!P76</f>
        <v>54.311737000000001</v>
      </c>
    </row>
    <row r="77" spans="1:16" x14ac:dyDescent="0.35">
      <c r="A77" s="69">
        <f>'6 - B1'!A77</f>
        <v>28</v>
      </c>
      <c r="B77" s="69">
        <f>'6 - B1'!B77</f>
        <v>58.062786000000003</v>
      </c>
      <c r="C77" s="69">
        <f>'6 - B1'!C77</f>
        <v>70.085007000000004</v>
      </c>
      <c r="D77" s="69">
        <f>'6 - B1'!D77</f>
        <v>70.262428</v>
      </c>
      <c r="E77" s="69">
        <f>'6 - B1'!E77</f>
        <v>55.032051000000003</v>
      </c>
      <c r="F77" s="69">
        <f>'6 - B1'!F77</f>
        <v>60.497169</v>
      </c>
      <c r="G77" s="69">
        <f>'6 - B1'!G77</f>
        <v>64.100989999999996</v>
      </c>
      <c r="H77" s="69">
        <f>'6 - B1'!H77</f>
        <v>63.924908000000002</v>
      </c>
      <c r="I77" s="69">
        <f>'6 - B1'!I77</f>
        <v>59.319682999999998</v>
      </c>
      <c r="J77" s="69">
        <f>'6 - B1'!J77</f>
        <v>62.384995000000004</v>
      </c>
      <c r="K77" s="69">
        <f>'6 - B1'!K77</f>
        <v>63.680720999999998</v>
      </c>
      <c r="L77" s="69">
        <f>'6 - B1'!L77</f>
        <v>41.41592</v>
      </c>
      <c r="M77" s="69">
        <f>'6 - B1'!M77</f>
        <v>46.265652000000003</v>
      </c>
      <c r="N77" s="69">
        <f>'6 - B1'!N77</f>
        <v>33.620303999999997</v>
      </c>
      <c r="O77" s="69">
        <f>'6 - B1'!O77</f>
        <v>37.542060999999997</v>
      </c>
      <c r="P77" s="69">
        <f>'6 - B1'!P77</f>
        <v>37.789721999999998</v>
      </c>
    </row>
    <row r="78" spans="1:16" x14ac:dyDescent="0.35">
      <c r="A78" s="69">
        <f>'6 - B1'!A78</f>
        <v>29</v>
      </c>
      <c r="B78" s="69">
        <f>'6 - B1'!B78</f>
        <v>40.624133999999998</v>
      </c>
      <c r="C78" s="69">
        <f>'6 - B1'!C78</f>
        <v>51.114628000000003</v>
      </c>
      <c r="D78" s="69">
        <f>'6 - B1'!D78</f>
        <v>52.474471999999999</v>
      </c>
      <c r="E78" s="69">
        <f>'6 - B1'!E78</f>
        <v>39.862960999999999</v>
      </c>
      <c r="F78" s="69">
        <f>'6 - B1'!F78</f>
        <v>45.857914000000001</v>
      </c>
      <c r="G78" s="69">
        <f>'6 - B1'!G78</f>
        <v>45.189208999999998</v>
      </c>
      <c r="H78" s="69">
        <f>'6 - B1'!H78</f>
        <v>49.091503000000003</v>
      </c>
      <c r="I78" s="69">
        <f>'6 - B1'!I78</f>
        <v>42.269714</v>
      </c>
      <c r="J78" s="69">
        <f>'6 - B1'!J78</f>
        <v>45.386837</v>
      </c>
      <c r="K78" s="69">
        <f>'6 - B1'!K78</f>
        <v>46.265273999999998</v>
      </c>
      <c r="L78" s="69">
        <f>'6 - B1'!L78</f>
        <v>30.174458000000001</v>
      </c>
      <c r="M78" s="69">
        <f>'6 - B1'!M78</f>
        <v>32.192450999999998</v>
      </c>
      <c r="N78" s="69">
        <f>'6 - B1'!N78</f>
        <v>23.410996999999998</v>
      </c>
      <c r="O78" s="69">
        <f>'6 - B1'!O78</f>
        <v>28.729369999999999</v>
      </c>
      <c r="P78" s="69">
        <f>'6 - B1'!P78</f>
        <v>27.946816999999999</v>
      </c>
    </row>
    <row r="79" spans="1:16" x14ac:dyDescent="0.35">
      <c r="A79" s="69">
        <f>'6 - B1'!A79</f>
        <v>30</v>
      </c>
      <c r="B79" s="69">
        <f>'6 - B1'!B79</f>
        <v>29.328644000000001</v>
      </c>
      <c r="C79" s="69">
        <f>'6 - B1'!C79</f>
        <v>36.886845000000001</v>
      </c>
      <c r="D79" s="69">
        <f>'6 - B1'!D79</f>
        <v>37.888348000000001</v>
      </c>
      <c r="E79" s="69">
        <f>'6 - B1'!E79</f>
        <v>26.98687</v>
      </c>
      <c r="F79" s="69">
        <f>'6 - B1'!F79</f>
        <v>31.747786000000001</v>
      </c>
      <c r="G79" s="69">
        <f>'6 - B1'!G79</f>
        <v>33.244926</v>
      </c>
      <c r="H79" s="69">
        <f>'6 - B1'!H79</f>
        <v>34.258099000000001</v>
      </c>
      <c r="I79" s="69">
        <f>'6 - B1'!I79</f>
        <v>30.192654000000001</v>
      </c>
      <c r="J79" s="69">
        <f>'6 - B1'!J79</f>
        <v>33.821078999999997</v>
      </c>
      <c r="K79" s="69">
        <f>'6 - B1'!K79</f>
        <v>31.312619999999999</v>
      </c>
      <c r="L79" s="69">
        <f>'6 - B1'!L79</f>
        <v>21.496835999999998</v>
      </c>
      <c r="M79" s="69">
        <f>'6 - B1'!M79</f>
        <v>24.276274000000001</v>
      </c>
      <c r="N79" s="69">
        <f>'6 - B1'!N79</f>
        <v>17.074186000000001</v>
      </c>
      <c r="O79" s="69">
        <f>'6 - B1'!O79</f>
        <v>20.092934</v>
      </c>
      <c r="P79" s="69">
        <f>'6 - B1'!P79</f>
        <v>17.752379999999999</v>
      </c>
    </row>
    <row r="80" spans="1:16" x14ac:dyDescent="0.35">
      <c r="A80" s="69">
        <f>'6 - B1'!A80</f>
        <v>38</v>
      </c>
      <c r="B80" s="69">
        <f>'6 - B1'!B80</f>
        <v>21.203817000000001</v>
      </c>
      <c r="C80" s="69">
        <f>'6 - B1'!C80</f>
        <v>24.415579000000001</v>
      </c>
      <c r="D80" s="69">
        <f>'6 - B1'!D80</f>
        <v>28.638608999999999</v>
      </c>
      <c r="E80" s="69">
        <f>'6 - B1'!E80</f>
        <v>19.402325000000001</v>
      </c>
      <c r="F80" s="69">
        <f>'6 - B1'!F80</f>
        <v>23.28171</v>
      </c>
      <c r="G80" s="69">
        <f>'6 - B1'!G80</f>
        <v>24.684854999999999</v>
      </c>
      <c r="H80" s="69">
        <f>'6 - B1'!H80</f>
        <v>24.015986999999999</v>
      </c>
      <c r="I80" s="69">
        <f>'6 - B1'!I80</f>
        <v>23.621310999999999</v>
      </c>
      <c r="J80" s="69">
        <f>'6 - B1'!J80</f>
        <v>24.533424</v>
      </c>
      <c r="K80" s="69">
        <f>'6 - B1'!K80</f>
        <v>22.341025999999999</v>
      </c>
      <c r="L80" s="69">
        <f>'6 - B1'!L80</f>
        <v>14.396963</v>
      </c>
      <c r="M80" s="69">
        <f>'6 - B1'!M80</f>
        <v>17.591502999999999</v>
      </c>
      <c r="N80" s="69">
        <f>'6 - B1'!N80</f>
        <v>11.969531999999999</v>
      </c>
      <c r="O80" s="69">
        <f>'6 - B1'!O80</f>
        <v>13.924049999999999</v>
      </c>
      <c r="P80" s="69">
        <f>'6 - B1'!P80</f>
        <v>11.600566000000001</v>
      </c>
    </row>
    <row r="81" spans="1:16" x14ac:dyDescent="0.35">
      <c r="A81" s="69">
        <f>'6 - B1'!A81</f>
        <v>50</v>
      </c>
      <c r="B81" s="69">
        <f>'6 - B1'!B81</f>
        <v>16.249655000000001</v>
      </c>
      <c r="C81" s="69">
        <f>'6 - B1'!C81</f>
        <v>18.092119</v>
      </c>
      <c r="D81" s="69">
        <f>'6 - B1'!D81</f>
        <v>21.345547</v>
      </c>
      <c r="E81" s="69">
        <f>'6 - B1'!E81</f>
        <v>11.641396</v>
      </c>
      <c r="F81" s="69">
        <f>'6 - B1'!F81</f>
        <v>15.344763</v>
      </c>
      <c r="G81" s="69">
        <f>'6 - B1'!G81</f>
        <v>17.916428</v>
      </c>
      <c r="H81" s="69">
        <f>'6 - B1'!H81</f>
        <v>16.069521000000002</v>
      </c>
      <c r="I81" s="69">
        <f>'6 - B1'!I81</f>
        <v>15.806742</v>
      </c>
      <c r="J81" s="69">
        <f>'6 - B1'!J81</f>
        <v>18.049590999999999</v>
      </c>
      <c r="K81" s="69">
        <f>'6 - B1'!K81</f>
        <v>14.776742</v>
      </c>
      <c r="L81" s="69">
        <f>'6 - B1'!L81</f>
        <v>9.6637149999999998</v>
      </c>
      <c r="M81" s="69">
        <f>'6 - B1'!M81</f>
        <v>11.082646</v>
      </c>
      <c r="N81" s="69">
        <f>'6 - B1'!N81</f>
        <v>9.505217</v>
      </c>
      <c r="O81" s="69">
        <f>'6 - B1'!O81</f>
        <v>9.6939589999999995</v>
      </c>
      <c r="P81" s="69">
        <f>'6 - B1'!P81</f>
        <v>7.7337100000000003</v>
      </c>
    </row>
    <row r="82" spans="1:16" x14ac:dyDescent="0.35">
      <c r="A82" s="69">
        <f>'6 - B1'!A82</f>
        <v>70</v>
      </c>
      <c r="B82" s="69">
        <f>'6 - B1'!B82</f>
        <v>11.691824</v>
      </c>
      <c r="C82" s="69">
        <f>'6 - B1'!C82</f>
        <v>13.876479</v>
      </c>
      <c r="D82" s="69">
        <f>'6 - B1'!D82</f>
        <v>16.009160999999999</v>
      </c>
      <c r="E82" s="69">
        <f>'6 - B1'!E82</f>
        <v>9.1720089999999992</v>
      </c>
      <c r="F82" s="69">
        <f>'6 - B1'!F82</f>
        <v>10.053466</v>
      </c>
      <c r="G82" s="69">
        <f>'6 - B1'!G82</f>
        <v>12.143356000000001</v>
      </c>
      <c r="H82" s="69">
        <f>'6 - B1'!H82</f>
        <v>11.654818000000001</v>
      </c>
      <c r="I82" s="69">
        <f>'6 - B1'!I82</f>
        <v>12.254664999999999</v>
      </c>
      <c r="J82" s="69">
        <f>'6 - B1'!J82</f>
        <v>12.266712</v>
      </c>
      <c r="K82" s="69">
        <f>'6 - B1'!K82</f>
        <v>8.7956800000000008</v>
      </c>
      <c r="L82" s="69">
        <f>'6 - B1'!L82</f>
        <v>6.9026540000000001</v>
      </c>
      <c r="M82" s="69">
        <f>'6 - B1'!M82</f>
        <v>7.5643459999999996</v>
      </c>
      <c r="N82" s="69">
        <f>'6 - B1'!N82</f>
        <v>7.2169239999999997</v>
      </c>
      <c r="O82" s="69">
        <f>'6 - B1'!O82</f>
        <v>6.3451370000000002</v>
      </c>
      <c r="P82" s="69">
        <f>'6 - B1'!P82</f>
        <v>4.7456860000000001</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1" priority="1" operator="greaterThan">
      <formula>1000</formula>
    </cfRule>
  </conditionalFormatting>
  <conditionalFormatting sqref="K9:K40">
    <cfRule type="cellIs" dxfId="0"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7A51F5-BE18-4B18-B11C-2814223A00CE}">
  <sheetPr codeName="Sheet8"/>
  <dimension ref="A1:AN128"/>
  <sheetViews>
    <sheetView zoomScale="85" zoomScaleNormal="85" workbookViewId="0">
      <selection activeCell="M5" sqref="M5"/>
    </sheetView>
  </sheetViews>
  <sheetFormatPr defaultColWidth="11.53125" defaultRowHeight="12.75" x14ac:dyDescent="0.35"/>
  <cols>
    <col min="11" max="11" width="27.6640625" customWidth="1"/>
    <col min="12" max="12" width="15.3984375" customWidth="1"/>
  </cols>
  <sheetData>
    <row r="1" spans="1:16" ht="37.25" customHeight="1" x14ac:dyDescent="0.7">
      <c r="B1" s="72"/>
      <c r="K1" s="73"/>
      <c r="L1" s="73"/>
      <c r="M1" s="73"/>
      <c r="N1" s="73"/>
      <c r="O1" s="73"/>
    </row>
    <row r="2" spans="1:16" ht="52.15" x14ac:dyDescent="0.5">
      <c r="B2" s="74" t="s">
        <v>116</v>
      </c>
      <c r="C2" s="74" t="s">
        <v>117</v>
      </c>
      <c r="D2" s="74" t="s">
        <v>118</v>
      </c>
      <c r="E2" s="74" t="s">
        <v>119</v>
      </c>
      <c r="F2" s="75" t="s">
        <v>120</v>
      </c>
      <c r="G2" s="76" t="s">
        <v>69</v>
      </c>
      <c r="H2" s="77" t="s">
        <v>121</v>
      </c>
      <c r="K2" s="78" t="s">
        <v>122</v>
      </c>
      <c r="L2" s="79" t="s">
        <v>123</v>
      </c>
      <c r="M2" s="79" t="s">
        <v>124</v>
      </c>
      <c r="O2" s="15"/>
      <c r="P2" s="15"/>
    </row>
    <row r="3" spans="1:16" ht="26.25" x14ac:dyDescent="0.45">
      <c r="B3" s="75" t="s">
        <v>125</v>
      </c>
      <c r="C3" s="75" t="s">
        <v>125</v>
      </c>
      <c r="D3" s="75" t="s">
        <v>125</v>
      </c>
      <c r="E3" s="75" t="s">
        <v>125</v>
      </c>
      <c r="F3" s="75"/>
      <c r="G3" s="80" t="s">
        <v>126</v>
      </c>
      <c r="H3" s="80" t="s">
        <v>127</v>
      </c>
      <c r="K3" s="81" t="s">
        <v>128</v>
      </c>
      <c r="L3" s="79" t="str">
        <f>"/ml"</f>
        <v>/ml</v>
      </c>
      <c r="M3" s="79"/>
      <c r="O3" s="82"/>
      <c r="P3" s="83"/>
    </row>
    <row r="4" spans="1:16" ht="13.15" x14ac:dyDescent="0.4">
      <c r="A4">
        <v>30</v>
      </c>
      <c r="B4" s="34">
        <f>'6 - B1'!$L38</f>
        <v>12.160587799999998</v>
      </c>
      <c r="C4" s="34">
        <f>'6 - B2'!$L38</f>
        <v>12.079887750000001</v>
      </c>
      <c r="D4" s="34">
        <f>'6 - B3'!$L38</f>
        <v>7.0072652499999997</v>
      </c>
      <c r="E4" s="84">
        <f t="shared" ref="E4:E33" si="0">AVERAGE(B4:D4)</f>
        <v>10.4159136</v>
      </c>
      <c r="F4" s="22">
        <f>'Clause 6'!D19</f>
        <v>6000.0000000000146</v>
      </c>
      <c r="G4">
        <f>'6 - B1'!$M38+'6 - B2'!$M38+'6 - B3'!$M38</f>
        <v>13</v>
      </c>
      <c r="H4" s="34">
        <f>STDEVP('6 - B1'!$B38:F38,'6 - B2'!B38:F38,'6 - B3'!B38:F38)/SQRT(G4)</f>
        <v>0.78799043548221381</v>
      </c>
      <c r="K4" s="85">
        <v>4</v>
      </c>
      <c r="L4" s="86">
        <v>10563.4</v>
      </c>
      <c r="M4" s="87">
        <f>CubicSpline(L4,$E$4:$E$33,$F$4:$F$33)</f>
        <v>55.824297191719566</v>
      </c>
    </row>
    <row r="5" spans="1:16" ht="13.15" x14ac:dyDescent="0.4">
      <c r="A5">
        <v>29</v>
      </c>
      <c r="B5" s="34">
        <f>'6 - B1'!$L37</f>
        <v>16.534696</v>
      </c>
      <c r="C5" s="34">
        <f>'6 - B2'!$L37</f>
        <v>16.960570500000003</v>
      </c>
      <c r="D5" s="34">
        <f>'6 - B3'!$L37</f>
        <v>9.9863842500000004</v>
      </c>
      <c r="E5" s="88">
        <f t="shared" si="0"/>
        <v>14.493883583333334</v>
      </c>
      <c r="F5" s="22">
        <f>'Clause 6'!D20</f>
        <v>5074.2113273781742</v>
      </c>
      <c r="G5">
        <f>'6 - B1'!$M37+'6 - B2'!$M37+'6 - B3'!$M37</f>
        <v>13</v>
      </c>
      <c r="H5" s="34">
        <f>STDEVP('6 - B1'!$B37:F37,'6 - B2'!B37:F37,'6 - B3'!B37:F37)/SQRT(G5)</f>
        <v>1.0405160950237637</v>
      </c>
      <c r="K5" s="85">
        <v>5</v>
      </c>
      <c r="L5" s="86">
        <v>6899.8</v>
      </c>
      <c r="M5" s="87">
        <f t="shared" ref="M4:M9" si="1">CubicSpline(L5,$E$4:$E$33,$F$4:$F$33)</f>
        <v>93.819165044772802</v>
      </c>
    </row>
    <row r="6" spans="1:16" ht="13.15" x14ac:dyDescent="0.4">
      <c r="A6">
        <v>28</v>
      </c>
      <c r="B6" s="34">
        <f>'6 - B1'!$L36</f>
        <v>23.388408000000002</v>
      </c>
      <c r="C6" s="34">
        <f>'6 - B2'!$L36</f>
        <v>24.213894249999996</v>
      </c>
      <c r="D6" s="34">
        <f>'6 - B3'!$L36</f>
        <v>12.972777750000001</v>
      </c>
      <c r="E6" s="88">
        <f t="shared" si="0"/>
        <v>20.19169333333333</v>
      </c>
      <c r="F6" s="22">
        <f>'Clause 6'!D21</f>
        <v>4291.2700991488182</v>
      </c>
      <c r="G6">
        <f>'6 - B1'!$M36+'6 - B2'!$M36+'6 - B3'!$M36</f>
        <v>13</v>
      </c>
      <c r="H6" s="34">
        <f>STDEVP('6 - B1'!$B36:F36,'6 - B2'!B36:F36,'6 - B3'!B36:F36)/SQRT(G6)</f>
        <v>1.4981280293766643</v>
      </c>
      <c r="K6" s="85">
        <v>6</v>
      </c>
      <c r="L6" s="86">
        <v>4593.5</v>
      </c>
      <c r="M6" s="87">
        <f t="shared" si="1"/>
        <v>145.93366328224388</v>
      </c>
    </row>
    <row r="7" spans="1:16" ht="13.15" x14ac:dyDescent="0.4">
      <c r="A7">
        <v>27</v>
      </c>
      <c r="B7" s="34">
        <f>'6 - B1'!$L35</f>
        <v>32.5676986</v>
      </c>
      <c r="C7" s="34">
        <f>'6 - B2'!$L35</f>
        <v>33.159181000000004</v>
      </c>
      <c r="D7" s="34">
        <f>'6 - B3'!$L35</f>
        <v>19.104084</v>
      </c>
      <c r="E7" s="88">
        <f t="shared" si="0"/>
        <v>28.276987866666669</v>
      </c>
      <c r="F7" s="22">
        <f>'Clause 6'!D22</f>
        <v>3629.1352243233573</v>
      </c>
      <c r="G7">
        <f>'6 - B1'!$M35+'6 - B2'!$M35+'6 - B3'!$M35</f>
        <v>13</v>
      </c>
      <c r="H7" s="34">
        <f>STDEVP('6 - B1'!$B35:F35,'6 - B2'!B35:F35,'6 - B3'!B35:F35)/SQRT(G7)</f>
        <v>1.9300396795583845</v>
      </c>
      <c r="K7" s="85">
        <v>7</v>
      </c>
      <c r="L7" s="86">
        <v>3202.3</v>
      </c>
      <c r="M7" s="87">
        <f t="shared" si="1"/>
        <v>202.96007381382276</v>
      </c>
    </row>
    <row r="8" spans="1:16" ht="13.15" x14ac:dyDescent="0.4">
      <c r="A8">
        <v>26</v>
      </c>
      <c r="B8" s="34">
        <f>'6 - B1'!$L34</f>
        <v>45.986821799999994</v>
      </c>
      <c r="C8" s="34">
        <f>'6 - B2'!$L34</f>
        <v>46.483205750000003</v>
      </c>
      <c r="D8" s="34">
        <f>'6 - B3'!$L34</f>
        <v>28.490818600000001</v>
      </c>
      <c r="E8" s="88">
        <f t="shared" si="0"/>
        <v>40.320282049999996</v>
      </c>
      <c r="F8" s="22">
        <f>'Clause 6'!D23</f>
        <v>3069.1665106414443</v>
      </c>
      <c r="G8">
        <f>'6 - B1'!$M34+'6 - B2'!$M34+'6 - B3'!$M34</f>
        <v>14</v>
      </c>
      <c r="H8" s="34">
        <f>STDEVP('6 - B1'!$B34:F34,'6 - B2'!B34:F34,'6 - B3'!B34:F34)/SQRT(G8)</f>
        <v>2.4707729922184285</v>
      </c>
      <c r="K8" s="85">
        <v>8</v>
      </c>
      <c r="L8" s="86">
        <v>2184.8000000000002</v>
      </c>
      <c r="M8" s="87">
        <f t="shared" si="1"/>
        <v>274.02556560248922</v>
      </c>
    </row>
    <row r="9" spans="1:16" ht="13.15" x14ac:dyDescent="0.4">
      <c r="A9">
        <v>25</v>
      </c>
      <c r="B9" s="34">
        <f>'6 - B1'!$L33</f>
        <v>64.726847500000005</v>
      </c>
      <c r="C9" s="34">
        <f>'6 - B2'!$L33</f>
        <v>63.522903499999998</v>
      </c>
      <c r="D9" s="34">
        <f>'6 - B3'!$L33</f>
        <v>39.32673179999999</v>
      </c>
      <c r="E9" s="88">
        <f t="shared" si="0"/>
        <v>55.858827600000005</v>
      </c>
      <c r="F9" s="22">
        <f>'Clause 6'!D24</f>
        <v>2595.5999123177544</v>
      </c>
      <c r="G9">
        <f>'6 - B1'!$M33+'6 - B2'!$M33+'6 - B3'!$M33</f>
        <v>13</v>
      </c>
      <c r="H9" s="34">
        <f>STDEVP('6 - B1'!$B33:F33,'6 - B2'!B33:F33,'6 - B3'!B33:F33)/SQRT(G9)</f>
        <v>3.5327198270643754</v>
      </c>
      <c r="K9" s="85">
        <v>9</v>
      </c>
      <c r="L9" s="86">
        <v>1501.7</v>
      </c>
      <c r="M9" s="87">
        <f t="shared" si="1"/>
        <v>354.72525507709463</v>
      </c>
    </row>
    <row r="10" spans="1:16" ht="13.15" x14ac:dyDescent="0.4">
      <c r="A10">
        <v>24</v>
      </c>
      <c r="B10" s="34">
        <f>'6 - B1'!$L32</f>
        <v>87.254590999999991</v>
      </c>
      <c r="C10" s="34">
        <f>'6 - B2'!$L32</f>
        <v>84.861387249999993</v>
      </c>
      <c r="D10" s="34">
        <f>'6 - B3'!$L32</f>
        <v>53.750704199999994</v>
      </c>
      <c r="E10" s="88">
        <f t="shared" si="0"/>
        <v>75.28889414999999</v>
      </c>
      <c r="F10" s="22">
        <f>'Clause 6'!D25</f>
        <v>2195.1037460707521</v>
      </c>
      <c r="G10">
        <f>'6 - B1'!$M32+'6 - B2'!$M32+'6 - B3'!$M32</f>
        <v>13</v>
      </c>
      <c r="H10" s="34">
        <f>STDEVP('6 - B1'!$B32:F32,'6 - B2'!B32:F32,'6 - B3'!B32:F32)/SQRT(G10)</f>
        <v>4.4970642805257519</v>
      </c>
      <c r="K10" s="85">
        <v>10</v>
      </c>
      <c r="L10" s="86">
        <v>1069.5</v>
      </c>
      <c r="M10" s="87">
        <f t="shared" ref="M10:M30" si="2">CubicSpline(L10,$E$4:$E$33,$F$4:$F$33)</f>
        <v>439.16365330378318</v>
      </c>
    </row>
    <row r="11" spans="1:16" ht="13.15" x14ac:dyDescent="0.4">
      <c r="A11">
        <v>23</v>
      </c>
      <c r="B11" s="34">
        <f>'6 - B1'!$L31</f>
        <v>116.27911</v>
      </c>
      <c r="C11" s="34">
        <f>'6 - B2'!$L31</f>
        <v>112.75376439999999</v>
      </c>
      <c r="D11" s="34">
        <f>'6 - B3'!$L31</f>
        <v>73.307635400000009</v>
      </c>
      <c r="E11" s="88">
        <f t="shared" si="0"/>
        <v>100.78016993333334</v>
      </c>
      <c r="F11" s="22">
        <f>'Clause 6'!D26</f>
        <v>1856.403382180408</v>
      </c>
      <c r="G11">
        <f>'6 - B1'!$M31+'6 - B2'!$M31+'6 - B3'!$M31</f>
        <v>14</v>
      </c>
      <c r="H11" s="34">
        <f>STDEVP('6 - B1'!$B31:F31,'6 - B2'!B31:F31,'6 - B3'!B31:F31)/SQRT(G11)</f>
        <v>5.4058210161705329</v>
      </c>
      <c r="K11" s="85">
        <v>11</v>
      </c>
      <c r="L11" s="86">
        <v>779</v>
      </c>
      <c r="M11" s="87">
        <f t="shared" si="2"/>
        <v>533.40086228697442</v>
      </c>
    </row>
    <row r="12" spans="1:16" ht="13.15" x14ac:dyDescent="0.4">
      <c r="A12">
        <v>22</v>
      </c>
      <c r="B12" s="34">
        <f>'6 - B1'!$L30</f>
        <v>154.26113899999999</v>
      </c>
      <c r="C12" s="34">
        <f>'6 - B2'!$L30</f>
        <v>150.69840400000001</v>
      </c>
      <c r="D12" s="34">
        <f>'6 - B3'!$L30</f>
        <v>98.855569399999993</v>
      </c>
      <c r="E12" s="88">
        <f t="shared" si="0"/>
        <v>134.60503746666666</v>
      </c>
      <c r="F12" s="22">
        <f>'Clause 6'!D27</f>
        <v>1569.9638450071595</v>
      </c>
      <c r="G12">
        <f>'6 - B1'!$M30+'6 - B2'!$M30+'6 - B3'!$M30</f>
        <v>14</v>
      </c>
      <c r="H12" s="34">
        <f>STDEVP('6 - B1'!$B30:F30,'6 - B2'!B30:F30,'6 - B3'!B30:F30)/SQRT(G12)</f>
        <v>6.9748944156250055</v>
      </c>
      <c r="K12" s="85">
        <v>12</v>
      </c>
      <c r="L12" s="86">
        <v>583.4</v>
      </c>
      <c r="M12" s="87">
        <f t="shared" si="2"/>
        <v>636.84341796362764</v>
      </c>
    </row>
    <row r="13" spans="1:16" ht="13.15" x14ac:dyDescent="0.4">
      <c r="A13">
        <v>21</v>
      </c>
      <c r="B13" s="34">
        <f>'6 - B1'!$L29</f>
        <v>201.81728375</v>
      </c>
      <c r="C13" s="34">
        <f>'6 - B2'!$L29</f>
        <v>194.93766480000002</v>
      </c>
      <c r="D13" s="34">
        <f>'6 - B3'!$L29</f>
        <v>133.87079159999999</v>
      </c>
      <c r="E13" s="88">
        <f t="shared" si="0"/>
        <v>176.87524671666665</v>
      </c>
      <c r="F13" s="22">
        <f>'Clause 6'!D28</f>
        <v>1327.7213876515837</v>
      </c>
      <c r="G13">
        <f>'6 - B1'!$M29+'6 - B2'!$M29+'6 - B3'!$M29</f>
        <v>14</v>
      </c>
      <c r="H13" s="34">
        <f>STDEVP('6 - B1'!$B29:F29,'6 - B2'!B29:F29,'6 - B3'!B29:F29)/SQRT(G13)</f>
        <v>8.3519257887060263</v>
      </c>
      <c r="K13" s="85">
        <v>13</v>
      </c>
      <c r="L13" s="86">
        <v>453.2</v>
      </c>
      <c r="M13" s="87">
        <f t="shared" si="2"/>
        <v>742.45359622218973</v>
      </c>
    </row>
    <row r="14" spans="1:16" ht="13.15" x14ac:dyDescent="0.4">
      <c r="A14">
        <v>20</v>
      </c>
      <c r="B14" s="34">
        <f>'6 - B1'!$L28</f>
        <v>259.46419150000003</v>
      </c>
      <c r="C14" s="34">
        <f>'6 - B2'!$L28</f>
        <v>253.80221259999999</v>
      </c>
      <c r="D14" s="34">
        <f>'6 - B3'!$L28</f>
        <v>181.3112428</v>
      </c>
      <c r="E14" s="88">
        <f t="shared" si="0"/>
        <v>231.52588230000001</v>
      </c>
      <c r="F14" s="22">
        <f>'Clause 6'!D29</f>
        <v>1122.8564841373195</v>
      </c>
      <c r="G14">
        <f>'6 - B1'!$M28+'6 - B2'!$M28+'6 - B3'!$M28</f>
        <v>14</v>
      </c>
      <c r="H14" s="34">
        <f>STDEVP('6 - B1'!$B28:F28,'6 - B2'!B28:F28,'6 - B3'!B28:F28)/SQRT(G14)</f>
        <v>9.750182584707467</v>
      </c>
      <c r="K14" s="85">
        <v>14</v>
      </c>
      <c r="L14" s="86">
        <v>364.1</v>
      </c>
      <c r="M14" s="87">
        <f t="shared" si="2"/>
        <v>846.52898028792629</v>
      </c>
    </row>
    <row r="15" spans="1:16" ht="13.15" x14ac:dyDescent="0.4">
      <c r="A15">
        <v>19</v>
      </c>
      <c r="B15" s="34">
        <f>'6 - B1'!$L27</f>
        <v>329.67988860000003</v>
      </c>
      <c r="C15" s="34">
        <f>'6 - B2'!$L27</f>
        <v>330.01677860000001</v>
      </c>
      <c r="D15" s="34">
        <f>'6 - B3'!$L27</f>
        <v>244.31069339999999</v>
      </c>
      <c r="E15" s="88">
        <f t="shared" si="0"/>
        <v>301.33578686666669</v>
      </c>
      <c r="F15" s="22">
        <f>'Clause 6'!D30</f>
        <v>949.60184847160065</v>
      </c>
      <c r="G15">
        <f>'6 - B1'!$M27+'6 - B2'!$M27+'6 - B3'!$M27</f>
        <v>15</v>
      </c>
      <c r="H15" s="34">
        <f>STDEVP('6 - B1'!$B27:F27,'6 - B2'!B27:F27,'6 - B3'!B27:F27)/SQRT(G15)</f>
        <v>10.700568160033512</v>
      </c>
      <c r="K15" s="85">
        <v>15</v>
      </c>
      <c r="L15" s="86">
        <v>296.89999999999998</v>
      </c>
      <c r="M15" s="87">
        <f t="shared" si="2"/>
        <v>958.16301083952044</v>
      </c>
    </row>
    <row r="16" spans="1:16" ht="13.15" x14ac:dyDescent="0.4">
      <c r="A16">
        <v>18</v>
      </c>
      <c r="B16" s="34">
        <f>'6 - B1'!$L26</f>
        <v>438.71729275000001</v>
      </c>
      <c r="C16" s="34">
        <f>'6 - B2'!$L26</f>
        <v>428.47596440000007</v>
      </c>
      <c r="D16" s="34">
        <f>'6 - B3'!$L26</f>
        <v>325.62633040000003</v>
      </c>
      <c r="E16" s="88">
        <f t="shared" si="0"/>
        <v>397.60652918333335</v>
      </c>
      <c r="F16" s="22">
        <f>'Clause 6'!D31</f>
        <v>803.08007600230621</v>
      </c>
      <c r="G16">
        <f>'6 - B1'!$M26+'6 - B2'!$M26+'6 - B3'!$M26</f>
        <v>14</v>
      </c>
      <c r="H16" s="34">
        <f>STDEVP('6 - B1'!$B26:F26,'6 - B2'!B26:F26,'6 - B3'!B26:F26)/SQRT(G16)</f>
        <v>13.942747086253034</v>
      </c>
      <c r="K16" s="85">
        <v>16</v>
      </c>
      <c r="L16" s="86">
        <v>246.4</v>
      </c>
      <c r="M16" s="87">
        <f t="shared" si="2"/>
        <v>1079.8099373992954</v>
      </c>
    </row>
    <row r="17" spans="1:13" ht="13.15" x14ac:dyDescent="0.4">
      <c r="A17">
        <v>17</v>
      </c>
      <c r="B17" s="34">
        <f>'6 - B1'!$L25</f>
        <v>575.43881199999998</v>
      </c>
      <c r="C17" s="34">
        <f>'6 - B2'!$L25</f>
        <v>558.72252200000003</v>
      </c>
      <c r="D17" s="34">
        <f>'6 - B3'!$L25</f>
        <v>440.85684220000002</v>
      </c>
      <c r="E17" s="88">
        <f t="shared" si="0"/>
        <v>525.00605873333336</v>
      </c>
      <c r="F17" s="22">
        <f>'Clause 6'!D32</f>
        <v>679.1663364071029</v>
      </c>
      <c r="G17">
        <f>'6 - B1'!$M25+'6 - B2'!$M25+'6 - B3'!$M25</f>
        <v>14</v>
      </c>
      <c r="H17" s="34">
        <f>STDEVP('6 - B1'!$B25:F25,'6 - B2'!B25:F25,'6 - B3'!B25:F25)/SQRT(G17)</f>
        <v>16.292420648720878</v>
      </c>
      <c r="K17" s="85">
        <v>17</v>
      </c>
      <c r="L17" s="86">
        <v>208.5</v>
      </c>
      <c r="M17" s="87">
        <f t="shared" si="2"/>
        <v>1198.8945291294419</v>
      </c>
    </row>
    <row r="18" spans="1:13" ht="13.15" x14ac:dyDescent="0.4">
      <c r="A18">
        <v>16</v>
      </c>
      <c r="B18" s="34">
        <f>'6 - B1'!$L24</f>
        <v>743.14918240000009</v>
      </c>
      <c r="C18" s="34">
        <f>'6 - B2'!$L24</f>
        <v>731.09405500000014</v>
      </c>
      <c r="D18" s="34">
        <f>'6 - B3'!$L24</f>
        <v>594.18083480000007</v>
      </c>
      <c r="E18" s="88">
        <f t="shared" si="0"/>
        <v>689.47469073333343</v>
      </c>
      <c r="F18" s="22">
        <f>'Clause 6'!D33</f>
        <v>574.37225289514151</v>
      </c>
      <c r="G18">
        <f>'6 - B1'!$M24+'6 - B2'!$M24+'6 - B3'!$M24</f>
        <v>15</v>
      </c>
      <c r="H18" s="34">
        <f>STDEVP('6 - B1'!$B24:F24,'6 - B2'!B24:F24,'6 - B3'!B24:F24)/SQRT(G18)</f>
        <v>17.982299080794331</v>
      </c>
      <c r="K18" s="85">
        <v>18</v>
      </c>
      <c r="L18" s="86">
        <v>178.7</v>
      </c>
      <c r="M18" s="87">
        <f t="shared" si="2"/>
        <v>1319.4997665049991</v>
      </c>
    </row>
    <row r="19" spans="1:13" ht="13.15" x14ac:dyDescent="0.4">
      <c r="A19">
        <v>15</v>
      </c>
      <c r="B19" s="34">
        <f>'6 - B1'!$L23</f>
        <v>970.70632339999997</v>
      </c>
      <c r="C19" s="34">
        <f>'6 - B2'!$L23</f>
        <v>954.46024199999988</v>
      </c>
      <c r="D19" s="34">
        <f>'6 - B3'!$L23</f>
        <v>798.59374979999996</v>
      </c>
      <c r="E19" s="88">
        <f t="shared" si="0"/>
        <v>907.92010506666657</v>
      </c>
      <c r="F19" s="22">
        <f>'Clause 6'!D34</f>
        <v>485.74769862870693</v>
      </c>
      <c r="G19">
        <f>'6 - B1'!$M23+'6 - B2'!$M23+'6 - B3'!$M23</f>
        <v>15</v>
      </c>
      <c r="H19" s="34">
        <f>STDEVP('6 - B1'!$B23:F23,'6 - B2'!B23:F23,'6 - B3'!B23:F23)/SQRT(G19)</f>
        <v>20.835436683158566</v>
      </c>
      <c r="K19" s="85">
        <v>19</v>
      </c>
      <c r="L19" s="86">
        <v>153.30000000000001</v>
      </c>
      <c r="M19" s="87">
        <f t="shared" si="2"/>
        <v>1450.8755093121933</v>
      </c>
    </row>
    <row r="20" spans="1:13" ht="13.15" x14ac:dyDescent="0.4">
      <c r="A20">
        <v>14</v>
      </c>
      <c r="B20" s="34">
        <f>'6 - B1'!$L22</f>
        <v>1262.2991944</v>
      </c>
      <c r="C20" s="34">
        <f>'6 - B2'!$L22</f>
        <v>1238.723706</v>
      </c>
      <c r="D20" s="34">
        <f>'6 - B3'!$L22</f>
        <v>1071.1733644000001</v>
      </c>
      <c r="E20" s="88">
        <f t="shared" si="0"/>
        <v>1190.7320882666668</v>
      </c>
      <c r="F20" s="22">
        <f>'Clause 6'!D35</f>
        <v>410.79774577160975</v>
      </c>
      <c r="G20">
        <f>'6 - B1'!$M22+'6 - B2'!$M22+'6 - B3'!$M22</f>
        <v>15</v>
      </c>
      <c r="H20" s="34">
        <f>STDEVP('6 - B1'!$B22:F22,'6 - B2'!B22:F22,'6 - B3'!B22:F22)/SQRT(G20)</f>
        <v>23.047906523548807</v>
      </c>
      <c r="K20" s="85">
        <v>20</v>
      </c>
      <c r="L20" s="86">
        <v>130.4</v>
      </c>
      <c r="M20" s="87">
        <f t="shared" si="2"/>
        <v>1599.4503386671133</v>
      </c>
    </row>
    <row r="21" spans="1:13" ht="13.15" x14ac:dyDescent="0.4">
      <c r="A21">
        <v>13</v>
      </c>
      <c r="B21" s="34">
        <f>'6 - B1'!$L21</f>
        <v>1628.6788330000002</v>
      </c>
      <c r="C21" s="34">
        <f>'6 - B2'!$L21</f>
        <v>1600.4635741999998</v>
      </c>
      <c r="D21" s="34">
        <f>'6 - B3'!$L21</f>
        <v>1422.4766356000002</v>
      </c>
      <c r="E21" s="88">
        <f t="shared" si="0"/>
        <v>1550.5396809333333</v>
      </c>
      <c r="F21" s="22">
        <f>'Clause 6'!D36</f>
        <v>347.41242914261943</v>
      </c>
      <c r="G21">
        <f>'6 - B1'!$M21+'6 - B2'!$M21+'6 - B3'!$M21</f>
        <v>15</v>
      </c>
      <c r="H21" s="34">
        <f>STDEVP('6 - B1'!$B21:F21,'6 - B2'!B21:F21,'6 - B3'!B21:F21)/SQRT(G21)</f>
        <v>25.029858363367012</v>
      </c>
      <c r="K21" s="85">
        <v>21</v>
      </c>
      <c r="L21" s="86">
        <v>109.4</v>
      </c>
      <c r="M21" s="87">
        <f t="shared" si="2"/>
        <v>1771.7580624098953</v>
      </c>
    </row>
    <row r="22" spans="1:13" ht="13.15" x14ac:dyDescent="0.4">
      <c r="A22">
        <v>12</v>
      </c>
      <c r="B22" s="34">
        <f>'6 - B1'!$L20</f>
        <v>2068.4538574000003</v>
      </c>
      <c r="C22" s="34">
        <f>'6 - B2'!$L20</f>
        <v>2032.6687986000002</v>
      </c>
      <c r="D22" s="34">
        <f>'6 - B3'!$L20</f>
        <v>1835.3310548000002</v>
      </c>
      <c r="E22" s="88">
        <f t="shared" si="0"/>
        <v>1978.8179036000001</v>
      </c>
      <c r="F22" s="22">
        <f>'Clause 6'!D37</f>
        <v>293.80734720457377</v>
      </c>
      <c r="G22">
        <f>'6 - B1'!$M20+'6 - B2'!$M20+'6 - B3'!$M20</f>
        <v>15</v>
      </c>
      <c r="H22" s="34">
        <f>STDEVP('6 - B1'!$B20:F20,'6 - B2'!B20:F20,'6 - B3'!B20:F20)/SQRT(G22)</f>
        <v>28.193098084760607</v>
      </c>
      <c r="K22" s="85">
        <v>22</v>
      </c>
      <c r="L22" s="86">
        <v>91.3</v>
      </c>
      <c r="M22" s="87">
        <f t="shared" si="2"/>
        <v>1965.000734120249</v>
      </c>
    </row>
    <row r="23" spans="1:13" ht="13.15" x14ac:dyDescent="0.4">
      <c r="A23">
        <v>11</v>
      </c>
      <c r="B23" s="34">
        <f>'6 - B1'!$L19</f>
        <v>2597.7494142</v>
      </c>
      <c r="C23" s="34">
        <f>'6 - B2'!$L19</f>
        <v>2556.0258788000001</v>
      </c>
      <c r="D23" s="34">
        <f>'6 - B3'!$L19</f>
        <v>2336.0954590000001</v>
      </c>
      <c r="E23" s="88">
        <f t="shared" si="0"/>
        <v>2496.6235840000004</v>
      </c>
      <c r="F23" s="22">
        <f>'Clause 6'!D38</f>
        <v>248.47342820872947</v>
      </c>
      <c r="G23">
        <f>'6 - B1'!$M19+'6 - B2'!$M19+'6 - B3'!$M19</f>
        <v>15</v>
      </c>
      <c r="H23" s="34">
        <f>STDEVP('6 - B1'!$B19:F19,'6 - B2'!B19:F19,'6 - B3'!B19:F19)/SQRT(G23)</f>
        <v>31.678493108435486</v>
      </c>
      <c r="K23" s="85">
        <v>23</v>
      </c>
      <c r="L23" s="86">
        <v>76.099999999999994</v>
      </c>
      <c r="M23" s="87">
        <f t="shared" si="2"/>
        <v>2182.0701332973917</v>
      </c>
    </row>
    <row r="24" spans="1:13" ht="13.15" x14ac:dyDescent="0.4">
      <c r="A24">
        <v>10</v>
      </c>
      <c r="B24" s="34">
        <f>'6 - B1'!$L18</f>
        <v>3179.7476561999997</v>
      </c>
      <c r="C24" s="34">
        <f>'6 - B2'!$L18</f>
        <v>3134.8885743999999</v>
      </c>
      <c r="D24" s="34">
        <f>'6 - B3'!$L18</f>
        <v>2905.8577145999998</v>
      </c>
      <c r="E24" s="88">
        <f t="shared" si="0"/>
        <v>3073.4979817333333</v>
      </c>
      <c r="F24" s="22">
        <f>'Clause 6'!D39</f>
        <v>210.13444732820327</v>
      </c>
      <c r="G24">
        <f>'6 - B1'!$M18+'6 - B2'!$M18+'6 - B3'!$M18</f>
        <v>15</v>
      </c>
      <c r="H24" s="34">
        <f>STDEVP('6 - B1'!$B18:F18,'6 - B2'!B18:F18,'6 - B3'!B18:F18)/SQRT(G24)</f>
        <v>33.564905318761866</v>
      </c>
      <c r="K24" s="85">
        <v>24</v>
      </c>
      <c r="L24" s="86">
        <v>63.1</v>
      </c>
      <c r="M24" s="87">
        <f t="shared" si="2"/>
        <v>2427.4616684326702</v>
      </c>
    </row>
    <row r="25" spans="1:13" ht="13.15" x14ac:dyDescent="0.4">
      <c r="A25">
        <v>9</v>
      </c>
      <c r="B25" s="34">
        <f>'6 - B1'!$L17</f>
        <v>3841.9443358000003</v>
      </c>
      <c r="C25" s="34">
        <f>'6 - B2'!$L17</f>
        <v>3780.9151367999998</v>
      </c>
      <c r="D25" s="34">
        <f>'6 - B3'!$L17</f>
        <v>3543.2525877999992</v>
      </c>
      <c r="E25" s="88">
        <f t="shared" si="0"/>
        <v>3722.0373534666664</v>
      </c>
      <c r="F25" s="22">
        <f>'Clause 6'!D40</f>
        <v>177.7110988175198</v>
      </c>
      <c r="G25">
        <f>'6 - B1'!$M17+'6 - B2'!$M17+'6 - B3'!$M17</f>
        <v>15</v>
      </c>
      <c r="H25" s="34">
        <f>STDEVP('6 - B1'!$B17:F17,'6 - B2'!B17:F17,'6 - B3'!B17:F17)/SQRT(G25)</f>
        <v>37.07419099589282</v>
      </c>
      <c r="K25" s="85">
        <v>25</v>
      </c>
      <c r="L25" s="86">
        <v>52.1</v>
      </c>
      <c r="M25" s="87">
        <f t="shared" si="2"/>
        <v>2693.0727135542784</v>
      </c>
    </row>
    <row r="26" spans="1:13" ht="13.15" x14ac:dyDescent="0.4">
      <c r="A26">
        <v>8</v>
      </c>
      <c r="B26" s="34">
        <f>'6 - B1'!$L16</f>
        <v>4590.3462887999995</v>
      </c>
      <c r="C26" s="34">
        <f>'6 - B2'!$L16</f>
        <v>4520.7026366</v>
      </c>
      <c r="D26" s="34">
        <f>'6 - B3'!$L16</f>
        <v>4265.8312500000002</v>
      </c>
      <c r="E26" s="88">
        <f t="shared" si="0"/>
        <v>4458.9600584666659</v>
      </c>
      <c r="F26" s="22">
        <f>'Clause 6'!D41</f>
        <v>150.29061177011314</v>
      </c>
      <c r="G26">
        <f>'6 - B1'!$M16+'6 - B2'!$M16+'6 - B3'!$M16</f>
        <v>15</v>
      </c>
      <c r="H26" s="34">
        <f>STDEVP('6 - B1'!$B16:F16,'6 - B2'!B16:F16,'6 - B3'!B16:F16)/SQRT(G26)</f>
        <v>41.51430475752025</v>
      </c>
      <c r="K26" s="85">
        <v>26</v>
      </c>
      <c r="L26" s="86">
        <v>43</v>
      </c>
      <c r="M26" s="87">
        <f t="shared" si="2"/>
        <v>2973.6066077044229</v>
      </c>
    </row>
    <row r="27" spans="1:13" ht="13.15" x14ac:dyDescent="0.4">
      <c r="A27">
        <v>7</v>
      </c>
      <c r="B27" s="34">
        <f>'6 - B1'!$L15</f>
        <v>5388.9609376000008</v>
      </c>
      <c r="C27" s="34">
        <f>'6 - B2'!$L15</f>
        <v>5309.4631835999999</v>
      </c>
      <c r="D27" s="34">
        <f>'6 - B3'!$L15</f>
        <v>5044.4376953999999</v>
      </c>
      <c r="E27" s="88">
        <f t="shared" si="0"/>
        <v>5247.6206055333341</v>
      </c>
      <c r="F27" s="22">
        <f>'Clause 6'!D42</f>
        <v>127.10105410708364</v>
      </c>
      <c r="G27">
        <f>'6 - B1'!$M15+'6 - B2'!$M15+'6 - B3'!$M15</f>
        <v>15</v>
      </c>
      <c r="H27" s="34">
        <f>STDEVP('6 - B1'!$B15:F15,'6 - B2'!B15:F15,'6 - B3'!B15:F15)/SQRT(G27)</f>
        <v>45.126262340162896</v>
      </c>
      <c r="K27" s="85">
        <v>27</v>
      </c>
      <c r="L27" s="86">
        <v>35.700000000000003</v>
      </c>
      <c r="M27" s="87">
        <f t="shared" si="2"/>
        <v>3253.002566220649</v>
      </c>
    </row>
    <row r="28" spans="1:13" ht="13.15" x14ac:dyDescent="0.4">
      <c r="A28">
        <v>6</v>
      </c>
      <c r="B28" s="34">
        <f>'6 - B1'!$L14</f>
        <v>6293.8035158000002</v>
      </c>
      <c r="C28" s="34">
        <f>'6 - B2'!$L14</f>
        <v>6205.4393553999998</v>
      </c>
      <c r="D28" s="34">
        <f>'6 - B3'!$L14</f>
        <v>5932.2287108</v>
      </c>
      <c r="E28" s="88">
        <f t="shared" si="0"/>
        <v>6143.8238606666664</v>
      </c>
      <c r="F28" s="22">
        <f>'Clause 6'!D43</f>
        <v>107.48960141197809</v>
      </c>
      <c r="G28">
        <f>'6 - B1'!$M14+'6 - B2'!$M14+'6 - B3'!$M14</f>
        <v>15</v>
      </c>
      <c r="H28" s="34">
        <f>STDEVP('6 - B1'!$B14:F14,'6 - B2'!B14:F14,'6 - B3'!B14:F14)/SQRT(G28)</f>
        <v>48.691386917761953</v>
      </c>
      <c r="K28" s="85">
        <v>28</v>
      </c>
      <c r="L28" s="86">
        <v>29.8</v>
      </c>
      <c r="M28" s="87">
        <f t="shared" si="2"/>
        <v>3541.7947870409785</v>
      </c>
    </row>
    <row r="29" spans="1:13" ht="13.15" x14ac:dyDescent="0.4">
      <c r="A29">
        <v>5</v>
      </c>
      <c r="B29" s="34">
        <f>'6 - B1'!$L13</f>
        <v>7245.1621095999999</v>
      </c>
      <c r="C29" s="34">
        <f>'6 - B2'!$L13</f>
        <v>7145.1140626000006</v>
      </c>
      <c r="D29" s="34">
        <f>'6 - B3'!$L13</f>
        <v>6867.7657225999992</v>
      </c>
      <c r="E29" s="88">
        <f t="shared" si="0"/>
        <v>7086.0139649333332</v>
      </c>
      <c r="F29" s="22">
        <f>'Clause 6'!D44</f>
        <v>90.904158843337143</v>
      </c>
      <c r="G29">
        <f>'6 - B1'!$M13+'6 - B2'!$M13+'6 - B3'!$M13</f>
        <v>15</v>
      </c>
      <c r="H29" s="34">
        <f>STDEVP('6 - B1'!$B13:F13,'6 - B2'!B13:F13,'6 - B3'!B13:F13)/SQRT(G29)</f>
        <v>52.493672688791179</v>
      </c>
      <c r="K29" s="85">
        <v>29</v>
      </c>
      <c r="L29" s="86">
        <v>25.2</v>
      </c>
      <c r="M29" s="87">
        <f t="shared" si="2"/>
        <v>3839.4268055058837</v>
      </c>
    </row>
    <row r="30" spans="1:13" ht="13.15" x14ac:dyDescent="0.4">
      <c r="A30">
        <v>4</v>
      </c>
      <c r="B30" s="34">
        <f>'6 - B1'!$L12</f>
        <v>8320.1991211999994</v>
      </c>
      <c r="C30" s="34">
        <f>'6 - B2'!$L12</f>
        <v>8204.2252929999995</v>
      </c>
      <c r="D30" s="34">
        <f>'6 - B3'!$L12</f>
        <v>7936.7083984000001</v>
      </c>
      <c r="E30" s="88">
        <f t="shared" si="0"/>
        <v>8153.7109375333339</v>
      </c>
      <c r="F30" s="22">
        <f>'Clause 6'!D45</f>
        <v>76.877818751440842</v>
      </c>
      <c r="G30">
        <f>'6 - B1'!$M12+'6 - B2'!$M12+'6 - B3'!$M12</f>
        <v>15</v>
      </c>
      <c r="H30" s="34">
        <f>STDEVP('6 - B1'!$B12:F12,'6 - B2'!B12:F12,'6 - B3'!B12:F12)/SQRT(G30)</f>
        <v>55.805459607578143</v>
      </c>
      <c r="K30" s="85">
        <v>30</v>
      </c>
      <c r="L30" s="86">
        <v>21.1</v>
      </c>
      <c r="M30" s="87">
        <f t="shared" si="2"/>
        <v>4200.0031012857071</v>
      </c>
    </row>
    <row r="31" spans="1:13" x14ac:dyDescent="0.35">
      <c r="A31">
        <v>3</v>
      </c>
      <c r="B31" s="34">
        <f>'6 - B1'!$L11</f>
        <v>9525.8888674000009</v>
      </c>
      <c r="C31" s="34">
        <f>'6 - B2'!$L11</f>
        <v>9393.0582033999999</v>
      </c>
      <c r="D31" s="34">
        <f>'6 - B3'!$L11</f>
        <v>9143.0984376000015</v>
      </c>
      <c r="E31" s="88">
        <f t="shared" si="0"/>
        <v>9354.0151694666674</v>
      </c>
      <c r="F31" s="22">
        <f>'Clause 6'!D46</f>
        <v>65.01571645544773</v>
      </c>
      <c r="G31">
        <f>'6 - B1'!$M11+'6 - B2'!$M11+'6 - B3'!$M11</f>
        <v>15</v>
      </c>
      <c r="H31" s="34">
        <f>STDEVP('6 - B1'!$B11:F11,'6 - B2'!B11:F11,'6 - B3'!B11:F11)/SQRT(G31)</f>
        <v>59.941684406961663</v>
      </c>
    </row>
    <row r="32" spans="1:13" x14ac:dyDescent="0.35">
      <c r="A32">
        <v>2</v>
      </c>
      <c r="B32" s="34">
        <f>'6 - B1'!$L10</f>
        <v>10866.693749800001</v>
      </c>
      <c r="C32" s="34">
        <f>'6 - B2'!$L10</f>
        <v>10726.946875</v>
      </c>
      <c r="D32" s="34">
        <f>'6 - B3'!$L10</f>
        <v>10469.6291016</v>
      </c>
      <c r="E32" s="88">
        <f t="shared" si="0"/>
        <v>10687.756575466667</v>
      </c>
      <c r="F32" s="22">
        <f>'Clause 6'!D47</f>
        <v>54.983914149306607</v>
      </c>
      <c r="G32">
        <f>'6 - B1'!$M10+'6 - B2'!$M10+'6 - B3'!$M10</f>
        <v>15</v>
      </c>
      <c r="H32" s="34">
        <f>STDEVP('6 - B1'!$B10:F10,'6 - B2'!B10:F10,'6 - B3'!B10:F10)/SQRT(G32)</f>
        <v>66.281678085275217</v>
      </c>
      <c r="K32" t="s">
        <v>129</v>
      </c>
    </row>
    <row r="33" spans="1:40" x14ac:dyDescent="0.35">
      <c r="A33">
        <v>1</v>
      </c>
      <c r="B33" s="34">
        <f>'6 - B1'!$L9</f>
        <v>12281.8583984</v>
      </c>
      <c r="C33" s="34">
        <f>'6 - B2'!$L9</f>
        <v>12140.927148799999</v>
      </c>
      <c r="D33" s="34">
        <f>'6 - B3'!$L9</f>
        <v>11856.8550782</v>
      </c>
      <c r="E33" s="88">
        <f t="shared" si="0"/>
        <v>12093.213541800002</v>
      </c>
      <c r="F33" s="22">
        <f>'Clause 6'!D48</f>
        <v>46.5</v>
      </c>
      <c r="G33">
        <f>'6 - B1'!$M9+'6 - B2'!$M9+'6 - B3'!$M9</f>
        <v>15</v>
      </c>
      <c r="H33" s="34">
        <f>STDEVP('6 - B1'!$B9:F9,'6 - B2'!B9:F9,'6 - B3'!B9:F9)/SQRT(G33)</f>
        <v>75.657463436987641</v>
      </c>
    </row>
    <row r="34" spans="1:40" x14ac:dyDescent="0.35">
      <c r="B34" s="34"/>
      <c r="C34" s="34"/>
      <c r="D34" s="34"/>
      <c r="E34" s="34"/>
      <c r="F34" s="34"/>
    </row>
    <row r="35" spans="1:40" x14ac:dyDescent="0.35">
      <c r="B35" s="34"/>
      <c r="C35" s="34"/>
      <c r="D35" s="34"/>
      <c r="E35" s="34"/>
      <c r="F35" s="34"/>
    </row>
    <row r="36" spans="1:40" x14ac:dyDescent="0.35">
      <c r="B36" s="34"/>
      <c r="C36" s="34"/>
      <c r="D36" s="34"/>
      <c r="E36" s="34"/>
      <c r="F36" s="34"/>
    </row>
    <row r="37" spans="1:40" x14ac:dyDescent="0.35">
      <c r="B37" s="34"/>
      <c r="C37" s="34"/>
      <c r="D37" s="34"/>
      <c r="E37" s="34"/>
      <c r="F37" s="34"/>
    </row>
    <row r="38" spans="1:40" x14ac:dyDescent="0.35">
      <c r="B38" s="34"/>
      <c r="C38" s="34"/>
      <c r="D38" s="34"/>
      <c r="E38" s="34"/>
      <c r="F38" s="34"/>
    </row>
    <row r="42" spans="1:40" x14ac:dyDescent="0.35">
      <c r="M42" s="89"/>
      <c r="N42" s="89"/>
      <c r="O42" s="89"/>
      <c r="P42" s="89"/>
      <c r="Q42" s="89"/>
      <c r="R42" s="89"/>
      <c r="S42" s="89"/>
      <c r="T42" s="89"/>
      <c r="U42" s="89"/>
      <c r="V42" s="89"/>
      <c r="W42" s="89"/>
      <c r="X42" s="89"/>
      <c r="Y42" s="89"/>
      <c r="Z42" s="89"/>
      <c r="AA42" s="89"/>
      <c r="AB42" s="89"/>
      <c r="AC42" s="89"/>
      <c r="AD42" s="89"/>
      <c r="AE42" s="89"/>
      <c r="AF42" s="89"/>
      <c r="AG42" s="89"/>
      <c r="AH42" s="89"/>
      <c r="AI42" s="89"/>
      <c r="AJ42" s="89"/>
      <c r="AK42" s="89"/>
      <c r="AL42" s="89"/>
      <c r="AM42" s="89"/>
      <c r="AN42" s="89"/>
    </row>
    <row r="45" spans="1:40" x14ac:dyDescent="0.35">
      <c r="M45" s="89"/>
    </row>
    <row r="46" spans="1:40" x14ac:dyDescent="0.35">
      <c r="M46" s="89"/>
    </row>
    <row r="47" spans="1:40" x14ac:dyDescent="0.35">
      <c r="M47" s="89"/>
    </row>
    <row r="48" spans="1:40" x14ac:dyDescent="0.35">
      <c r="M48" s="89"/>
    </row>
    <row r="49" spans="13:13" x14ac:dyDescent="0.35">
      <c r="M49" s="89"/>
    </row>
    <row r="50" spans="13:13" x14ac:dyDescent="0.35">
      <c r="M50" s="89"/>
    </row>
    <row r="51" spans="13:13" x14ac:dyDescent="0.35">
      <c r="M51" s="89"/>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mergeCells count="1">
    <mergeCell ref="K1:O1"/>
  </mergeCells>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27513-DD05-4B0F-8D1C-79E5C353CFA9}">
  <sheetPr codeName="Sheet9"/>
  <dimension ref="A1:Q46"/>
  <sheetViews>
    <sheetView zoomScale="85" zoomScaleNormal="85" workbookViewId="0"/>
  </sheetViews>
  <sheetFormatPr defaultColWidth="11.53125" defaultRowHeight="12.75" x14ac:dyDescent="0.35"/>
  <cols>
    <col min="1" max="1" width="30.265625" customWidth="1"/>
    <col min="10" max="10" width="6.53125" customWidth="1"/>
    <col min="11" max="11" width="14.73046875" customWidth="1"/>
  </cols>
  <sheetData>
    <row r="1" spans="1:17" ht="13.15" x14ac:dyDescent="0.4">
      <c r="A1" s="10" t="s">
        <v>20</v>
      </c>
      <c r="B1" s="10"/>
      <c r="C1" s="24"/>
      <c r="D1" s="90" t="s">
        <v>130</v>
      </c>
    </row>
    <row r="2" spans="1:17" ht="13.15" x14ac:dyDescent="0.4">
      <c r="A2" s="10" t="s">
        <v>27</v>
      </c>
      <c r="B2" s="10"/>
      <c r="C2" s="10"/>
      <c r="D2" s="10" t="s">
        <v>131</v>
      </c>
    </row>
    <row r="3" spans="1:17" ht="13.15" x14ac:dyDescent="0.4">
      <c r="A3" s="10" t="s">
        <v>10</v>
      </c>
      <c r="B3" s="10"/>
      <c r="C3" s="10"/>
      <c r="D3" s="91"/>
    </row>
    <row r="4" spans="1:17" ht="13.15" x14ac:dyDescent="0.4">
      <c r="A4" s="10" t="s">
        <v>32</v>
      </c>
      <c r="B4" s="10"/>
      <c r="C4" s="10"/>
      <c r="D4" s="10" t="s">
        <v>131</v>
      </c>
    </row>
    <row r="5" spans="1:17" ht="13.15" x14ac:dyDescent="0.4">
      <c r="A5" s="10" t="s">
        <v>30</v>
      </c>
      <c r="B5" s="10"/>
      <c r="C5" s="10"/>
      <c r="D5" s="90" t="s">
        <v>130</v>
      </c>
    </row>
    <row r="6" spans="1:17" ht="13.15" x14ac:dyDescent="0.4">
      <c r="A6" s="24" t="s">
        <v>34</v>
      </c>
      <c r="B6" s="10"/>
      <c r="C6" s="10"/>
      <c r="D6" s="92" t="s">
        <v>132</v>
      </c>
    </row>
    <row r="7" spans="1:17" ht="13.15" x14ac:dyDescent="0.4">
      <c r="A7" s="10" t="s">
        <v>18</v>
      </c>
      <c r="B7" s="10"/>
      <c r="C7" s="10"/>
      <c r="D7" s="93" t="s">
        <v>19</v>
      </c>
    </row>
    <row r="10" spans="1:17" x14ac:dyDescent="0.35">
      <c r="A10" s="94" t="s">
        <v>133</v>
      </c>
      <c r="B10" s="94"/>
      <c r="C10" s="94"/>
      <c r="D10" s="94"/>
    </row>
    <row r="11" spans="1:17" ht="13.15" x14ac:dyDescent="0.4">
      <c r="A11" s="94"/>
      <c r="B11" s="94"/>
      <c r="C11" s="94"/>
      <c r="D11" s="94"/>
      <c r="H11" s="41"/>
    </row>
    <row r="12" spans="1:17" ht="13.15" x14ac:dyDescent="0.4">
      <c r="A12" s="95">
        <v>49.4</v>
      </c>
      <c r="B12" s="96" t="s">
        <v>134</v>
      </c>
      <c r="C12" s="96" t="s">
        <v>135</v>
      </c>
      <c r="D12" s="97"/>
      <c r="F12" s="98">
        <v>39</v>
      </c>
      <c r="G12" s="96" t="s">
        <v>134</v>
      </c>
      <c r="H12" s="96" t="s">
        <v>135</v>
      </c>
      <c r="I12" s="57"/>
      <c r="J12" s="58"/>
      <c r="M12" s="95">
        <v>69.7</v>
      </c>
      <c r="N12" s="96" t="s">
        <v>134</v>
      </c>
      <c r="O12" s="96" t="s">
        <v>135</v>
      </c>
      <c r="P12" s="57"/>
      <c r="Q12" s="58"/>
    </row>
    <row r="13" spans="1:17" x14ac:dyDescent="0.35">
      <c r="A13" s="99">
        <f>(4/3)*(3.1415936)*((A12*0.000001/2)^3)</f>
        <v>6.3121832711697054E-14</v>
      </c>
      <c r="B13" s="94" t="s">
        <v>136</v>
      </c>
      <c r="C13" s="94" t="s">
        <v>137</v>
      </c>
      <c r="D13" s="100"/>
      <c r="F13" s="99">
        <f>(4/3)*(3.1415936)*((F12*0.000001/2)^3)</f>
        <v>3.1059365126399994E-14</v>
      </c>
      <c r="G13" s="94" t="s">
        <v>136</v>
      </c>
      <c r="H13" s="94" t="s">
        <v>137</v>
      </c>
      <c r="J13" s="63"/>
      <c r="M13" s="99">
        <f>(4/3)*(3.1415936)*((M12*0.000001/2)^3)</f>
        <v>1.7729524472000214E-13</v>
      </c>
      <c r="N13" s="94" t="s">
        <v>136</v>
      </c>
      <c r="O13" s="94" t="s">
        <v>137</v>
      </c>
      <c r="Q13" s="63"/>
    </row>
    <row r="14" spans="1:17" x14ac:dyDescent="0.35">
      <c r="A14" s="99">
        <f>A13*1.05*1000</f>
        <v>6.6277924347281912E-11</v>
      </c>
      <c r="B14" s="94" t="s">
        <v>138</v>
      </c>
      <c r="C14" s="94" t="s">
        <v>139</v>
      </c>
      <c r="D14" s="100"/>
      <c r="F14" s="99">
        <f>F13*1.05*1000</f>
        <v>3.2612333382719997E-11</v>
      </c>
      <c r="G14" s="94" t="s">
        <v>138</v>
      </c>
      <c r="H14" s="94" t="s">
        <v>139</v>
      </c>
      <c r="J14" s="63"/>
      <c r="M14" s="99">
        <f>M13*1.05*1000</f>
        <v>1.8616000695600225E-10</v>
      </c>
      <c r="N14" s="94" t="s">
        <v>138</v>
      </c>
      <c r="O14" s="94" t="s">
        <v>139</v>
      </c>
      <c r="Q14" s="63"/>
    </row>
    <row r="15" spans="1:17" x14ac:dyDescent="0.35">
      <c r="A15" s="99">
        <f>0.000001/A14</f>
        <v>15087.980045364991</v>
      </c>
      <c r="B15" s="94" t="s">
        <v>49</v>
      </c>
      <c r="C15" s="94" t="s">
        <v>140</v>
      </c>
      <c r="D15" s="100"/>
      <c r="F15" s="99">
        <f>0.000001/F14</f>
        <v>30663.245964787693</v>
      </c>
      <c r="G15" s="94" t="s">
        <v>49</v>
      </c>
      <c r="H15" s="94" t="s">
        <v>140</v>
      </c>
      <c r="J15" s="63"/>
      <c r="M15" s="99">
        <f>0.000001/M14</f>
        <v>5371.7230480999269</v>
      </c>
      <c r="N15" s="94" t="s">
        <v>49</v>
      </c>
      <c r="O15" s="94" t="s">
        <v>140</v>
      </c>
      <c r="Q15" s="63"/>
    </row>
    <row r="16" spans="1:17" ht="13.15" x14ac:dyDescent="0.4">
      <c r="A16" s="101">
        <v>5000</v>
      </c>
      <c r="B16" s="94"/>
      <c r="C16" s="94" t="s">
        <v>141</v>
      </c>
      <c r="D16" s="100"/>
      <c r="F16" s="101">
        <v>3000</v>
      </c>
      <c r="G16" s="94"/>
      <c r="H16" s="94" t="s">
        <v>141</v>
      </c>
      <c r="J16" s="63"/>
      <c r="M16" s="101">
        <v>2000</v>
      </c>
      <c r="N16" s="94"/>
      <c r="O16" s="94" t="s">
        <v>141</v>
      </c>
      <c r="Q16" s="63"/>
    </row>
    <row r="17" spans="1:17" x14ac:dyDescent="0.35">
      <c r="A17" s="102">
        <f>A16/A15*1000</f>
        <v>331.38962173640959</v>
      </c>
      <c r="B17" s="94" t="s">
        <v>142</v>
      </c>
      <c r="C17" s="94" t="s">
        <v>143</v>
      </c>
      <c r="D17" s="100"/>
      <c r="F17" s="102">
        <f>F16/F15*1000</f>
        <v>97.837000148159987</v>
      </c>
      <c r="G17" s="94" t="s">
        <v>142</v>
      </c>
      <c r="H17" s="94" t="s">
        <v>143</v>
      </c>
      <c r="J17" s="63"/>
      <c r="M17" s="102">
        <f>M16/M15*1000</f>
        <v>372.32001391200447</v>
      </c>
      <c r="N17" s="94" t="s">
        <v>142</v>
      </c>
      <c r="O17" s="94" t="s">
        <v>143</v>
      </c>
      <c r="Q17" s="63"/>
    </row>
    <row r="18" spans="1:17" ht="13.15" x14ac:dyDescent="0.4">
      <c r="A18" s="101">
        <v>0.20280000000000001</v>
      </c>
      <c r="B18" s="94" t="s">
        <v>144</v>
      </c>
      <c r="C18" s="94" t="s">
        <v>145</v>
      </c>
      <c r="D18" s="100"/>
      <c r="F18" s="101">
        <v>0.2</v>
      </c>
      <c r="G18" s="94" t="s">
        <v>144</v>
      </c>
      <c r="H18" s="94" t="s">
        <v>145</v>
      </c>
      <c r="J18" s="63"/>
      <c r="M18" s="101">
        <v>0.2</v>
      </c>
      <c r="N18" s="94" t="s">
        <v>144</v>
      </c>
      <c r="O18" s="94" t="s">
        <v>145</v>
      </c>
      <c r="Q18" s="63"/>
    </row>
    <row r="19" spans="1:17" x14ac:dyDescent="0.35">
      <c r="A19" s="102">
        <f>A18*A17</f>
        <v>67.205815288143867</v>
      </c>
      <c r="B19" s="94" t="s">
        <v>146</v>
      </c>
      <c r="C19" s="94" t="s">
        <v>147</v>
      </c>
      <c r="D19" s="100"/>
      <c r="F19" s="102">
        <f>F18*F17</f>
        <v>19.567400029631997</v>
      </c>
      <c r="G19" s="94" t="s">
        <v>146</v>
      </c>
      <c r="H19" s="94" t="s">
        <v>147</v>
      </c>
      <c r="J19" s="63"/>
      <c r="M19" s="102">
        <f>M18*M17</f>
        <v>74.464002782400897</v>
      </c>
      <c r="N19" s="94" t="s">
        <v>146</v>
      </c>
      <c r="O19" s="94" t="s">
        <v>147</v>
      </c>
      <c r="Q19" s="63"/>
    </row>
    <row r="20" spans="1:17" ht="13.15" x14ac:dyDescent="0.4">
      <c r="A20" s="101">
        <v>67.2</v>
      </c>
      <c r="B20" s="94" t="s">
        <v>146</v>
      </c>
      <c r="C20" s="94" t="s">
        <v>148</v>
      </c>
      <c r="D20" s="100"/>
      <c r="F20" s="101">
        <v>20.8</v>
      </c>
      <c r="G20" s="94" t="s">
        <v>146</v>
      </c>
      <c r="H20" s="94" t="s">
        <v>148</v>
      </c>
      <c r="J20" s="63"/>
      <c r="M20" s="101">
        <v>77.569999999999993</v>
      </c>
      <c r="N20" s="94" t="s">
        <v>146</v>
      </c>
      <c r="O20" s="94" t="s">
        <v>148</v>
      </c>
      <c r="Q20" s="63"/>
    </row>
    <row r="21" spans="1:17" ht="13.15" x14ac:dyDescent="0.4">
      <c r="A21" s="103">
        <f>A20/A19*A16</f>
        <v>4999.5673523102923</v>
      </c>
      <c r="B21" s="94" t="s">
        <v>149</v>
      </c>
      <c r="C21" s="94" t="s">
        <v>150</v>
      </c>
      <c r="D21" s="100"/>
      <c r="F21" s="104">
        <f>F20/F19*F16</f>
        <v>3188.9775803379202</v>
      </c>
      <c r="G21" s="94" t="s">
        <v>149</v>
      </c>
      <c r="H21" s="94" t="s">
        <v>150</v>
      </c>
      <c r="J21" s="63"/>
      <c r="M21" s="103">
        <f>M20/M19*M16</f>
        <v>2083.4227842055566</v>
      </c>
      <c r="N21" s="94" t="s">
        <v>149</v>
      </c>
      <c r="O21" s="94" t="s">
        <v>150</v>
      </c>
      <c r="Q21" s="63"/>
    </row>
    <row r="22" spans="1:17" x14ac:dyDescent="0.35">
      <c r="A22" s="62"/>
      <c r="D22" s="63"/>
      <c r="F22" s="105">
        <f>F20*F15</f>
        <v>637795.51606758405</v>
      </c>
      <c r="H22" t="s">
        <v>151</v>
      </c>
      <c r="J22" s="63"/>
      <c r="M22" s="105">
        <f>M20*M15</f>
        <v>416684.55684111128</v>
      </c>
      <c r="O22" t="s">
        <v>151</v>
      </c>
      <c r="Q22" s="63"/>
    </row>
    <row r="23" spans="1:17" x14ac:dyDescent="0.35">
      <c r="A23" s="62"/>
      <c r="D23" s="63"/>
      <c r="F23" s="105">
        <f>F21/F16*F18*1000</f>
        <v>212.59850535586136</v>
      </c>
      <c r="G23" t="s">
        <v>9</v>
      </c>
      <c r="H23" t="s">
        <v>152</v>
      </c>
      <c r="J23" s="63"/>
      <c r="M23" s="105">
        <f>M21/M16*M18*1000</f>
        <v>208.34227842055566</v>
      </c>
      <c r="N23" t="s">
        <v>9</v>
      </c>
      <c r="O23" t="s">
        <v>152</v>
      </c>
      <c r="Q23" s="63"/>
    </row>
    <row r="24" spans="1:17" x14ac:dyDescent="0.35">
      <c r="A24" s="62"/>
      <c r="D24" s="63"/>
      <c r="F24" s="105">
        <f>F23-F18*1000</f>
        <v>12.598505355861363</v>
      </c>
      <c r="G24" t="s">
        <v>9</v>
      </c>
      <c r="H24" t="s">
        <v>153</v>
      </c>
      <c r="J24" s="63"/>
      <c r="M24" s="105">
        <f>M23-M18*1000</f>
        <v>8.3422784205556582</v>
      </c>
      <c r="N24" t="s">
        <v>9</v>
      </c>
      <c r="O24" t="s">
        <v>153</v>
      </c>
      <c r="Q24" s="63"/>
    </row>
    <row r="25" spans="1:17" ht="13.15" x14ac:dyDescent="0.4">
      <c r="A25" s="62"/>
      <c r="D25" s="63"/>
      <c r="F25" s="106">
        <f>F22/(F23)</f>
        <v>3000</v>
      </c>
      <c r="H25" t="s">
        <v>37</v>
      </c>
      <c r="J25" s="63"/>
      <c r="M25" s="62">
        <f>M22/(M23)</f>
        <v>1999.9999999999998</v>
      </c>
      <c r="O25" t="s">
        <v>37</v>
      </c>
      <c r="Q25" s="63"/>
    </row>
    <row r="26" spans="1:17" x14ac:dyDescent="0.35">
      <c r="A26" s="62"/>
      <c r="D26" s="63"/>
      <c r="F26" s="62"/>
      <c r="J26" s="63"/>
      <c r="M26" s="62"/>
      <c r="Q26" s="63"/>
    </row>
    <row r="27" spans="1:17" x14ac:dyDescent="0.35">
      <c r="A27" s="62" t="s">
        <v>154</v>
      </c>
      <c r="D27" s="63"/>
      <c r="F27" s="62" t="s">
        <v>154</v>
      </c>
      <c r="J27" s="63"/>
      <c r="M27" s="62" t="s">
        <v>154</v>
      </c>
      <c r="Q27" s="63"/>
    </row>
    <row r="28" spans="1:17" x14ac:dyDescent="0.35">
      <c r="A28" s="62">
        <v>100</v>
      </c>
      <c r="B28" t="s">
        <v>9</v>
      </c>
      <c r="C28" t="s">
        <v>155</v>
      </c>
      <c r="D28" s="63"/>
      <c r="F28" s="62">
        <v>100</v>
      </c>
      <c r="G28" t="s">
        <v>9</v>
      </c>
      <c r="H28" t="s">
        <v>155</v>
      </c>
      <c r="J28" s="63"/>
      <c r="M28" s="62">
        <v>100</v>
      </c>
      <c r="N28" t="s">
        <v>9</v>
      </c>
      <c r="O28" t="s">
        <v>155</v>
      </c>
      <c r="Q28" s="63"/>
    </row>
    <row r="29" spans="1:17" x14ac:dyDescent="0.35">
      <c r="A29" s="62">
        <v>300</v>
      </c>
      <c r="B29" t="s">
        <v>127</v>
      </c>
      <c r="C29" t="s">
        <v>156</v>
      </c>
      <c r="D29" s="63"/>
      <c r="F29" s="62">
        <v>300</v>
      </c>
      <c r="G29" t="s">
        <v>127</v>
      </c>
      <c r="H29" t="s">
        <v>157</v>
      </c>
      <c r="J29" s="63"/>
      <c r="M29" s="62">
        <v>300</v>
      </c>
      <c r="N29" t="s">
        <v>127</v>
      </c>
      <c r="O29" t="s">
        <v>157</v>
      </c>
      <c r="Q29" s="63"/>
    </row>
    <row r="30" spans="1:17" x14ac:dyDescent="0.35">
      <c r="A30" s="62">
        <f>A28*A29</f>
        <v>30000</v>
      </c>
      <c r="B30" t="s">
        <v>158</v>
      </c>
      <c r="C30" t="s">
        <v>159</v>
      </c>
      <c r="D30" s="63"/>
      <c r="F30" s="62">
        <f>F28*F29</f>
        <v>30000</v>
      </c>
      <c r="G30" t="s">
        <v>158</v>
      </c>
      <c r="H30" t="s">
        <v>159</v>
      </c>
      <c r="J30" s="63"/>
      <c r="M30" s="62">
        <f>M28*M29</f>
        <v>30000</v>
      </c>
      <c r="N30" t="s">
        <v>158</v>
      </c>
      <c r="O30" t="s">
        <v>159</v>
      </c>
      <c r="Q30" s="63"/>
    </row>
    <row r="31" spans="1:17" x14ac:dyDescent="0.35">
      <c r="A31" s="105">
        <f>A30/A21</f>
        <v>6.0005192221557024</v>
      </c>
      <c r="B31" t="s">
        <v>9</v>
      </c>
      <c r="C31" t="s">
        <v>160</v>
      </c>
      <c r="D31" s="63"/>
      <c r="F31" s="105">
        <f>F30/F25</f>
        <v>10</v>
      </c>
      <c r="G31" t="s">
        <v>9</v>
      </c>
      <c r="H31" t="s">
        <v>160</v>
      </c>
      <c r="J31" s="63"/>
      <c r="M31" s="105">
        <f>M30/M25</f>
        <v>15.000000000000002</v>
      </c>
      <c r="N31" t="s">
        <v>9</v>
      </c>
      <c r="O31" t="s">
        <v>160</v>
      </c>
      <c r="Q31" s="63"/>
    </row>
    <row r="32" spans="1:17" x14ac:dyDescent="0.35">
      <c r="A32" s="105">
        <f>A28-A31</f>
        <v>93.999480777844298</v>
      </c>
      <c r="B32" t="s">
        <v>9</v>
      </c>
      <c r="C32" t="s">
        <v>161</v>
      </c>
      <c r="D32" s="63"/>
      <c r="F32" s="105">
        <f>F28-F31</f>
        <v>90</v>
      </c>
      <c r="G32" t="s">
        <v>9</v>
      </c>
      <c r="H32" t="s">
        <v>161</v>
      </c>
      <c r="J32" s="63"/>
      <c r="M32" s="105">
        <f>M28-M31</f>
        <v>85</v>
      </c>
      <c r="N32" t="s">
        <v>9</v>
      </c>
      <c r="O32" t="s">
        <v>161</v>
      </c>
      <c r="Q32" s="63"/>
    </row>
    <row r="33" spans="1:17" x14ac:dyDescent="0.35">
      <c r="A33" s="62"/>
      <c r="D33" s="63"/>
      <c r="F33" s="62"/>
      <c r="J33" s="63"/>
      <c r="M33" s="62"/>
      <c r="Q33" s="63"/>
    </row>
    <row r="34" spans="1:17" x14ac:dyDescent="0.35">
      <c r="A34" s="64"/>
      <c r="B34" s="65"/>
      <c r="C34" s="65"/>
      <c r="D34" s="66"/>
      <c r="F34" s="64"/>
      <c r="G34" s="65"/>
      <c r="H34" s="65"/>
      <c r="I34" s="65"/>
      <c r="J34" s="66"/>
      <c r="M34" s="64"/>
      <c r="N34" s="65"/>
      <c r="O34" s="65"/>
      <c r="P34" s="65"/>
      <c r="Q34" s="66"/>
    </row>
    <row r="37" spans="1:17" ht="13.15" x14ac:dyDescent="0.4">
      <c r="A37" s="41" t="s">
        <v>162</v>
      </c>
    </row>
    <row r="39" spans="1:17" x14ac:dyDescent="0.35">
      <c r="F39" s="45"/>
    </row>
    <row r="40" spans="1:17" ht="13.15" x14ac:dyDescent="0.4">
      <c r="A40" t="s">
        <v>163</v>
      </c>
      <c r="C40" s="41">
        <f>A12</f>
        <v>49.4</v>
      </c>
      <c r="D40" t="s">
        <v>164</v>
      </c>
      <c r="G40" s="41">
        <f>F12</f>
        <v>39</v>
      </c>
      <c r="H40" t="s">
        <v>164</v>
      </c>
      <c r="N40" s="41">
        <v>70</v>
      </c>
    </row>
    <row r="42" spans="1:17" ht="13.15" x14ac:dyDescent="0.4">
      <c r="A42" t="s">
        <v>165</v>
      </c>
      <c r="B42" s="107">
        <f>0.56*C42</f>
        <v>8736</v>
      </c>
      <c r="C42" s="108">
        <v>15600</v>
      </c>
      <c r="D42" s="109">
        <f>1.56*C42</f>
        <v>24336</v>
      </c>
      <c r="F42" s="107">
        <f>0.56*G42</f>
        <v>5600.0000000000009</v>
      </c>
      <c r="G42" s="108">
        <v>10000</v>
      </c>
      <c r="H42" s="109">
        <f>1.56*G42</f>
        <v>15600</v>
      </c>
      <c r="M42" s="107">
        <f>0.56*N42</f>
        <v>14000.000000000002</v>
      </c>
      <c r="N42" s="108">
        <v>25000</v>
      </c>
      <c r="O42" s="109">
        <f>1.56*N42</f>
        <v>39000</v>
      </c>
    </row>
    <row r="43" spans="1:17" x14ac:dyDescent="0.35">
      <c r="A43" t="s">
        <v>166</v>
      </c>
      <c r="B43" s="64">
        <v>41252</v>
      </c>
      <c r="C43" s="65">
        <v>20600</v>
      </c>
      <c r="D43" s="66">
        <v>92</v>
      </c>
      <c r="F43" s="64">
        <v>43502</v>
      </c>
      <c r="G43" s="65"/>
      <c r="H43" s="66">
        <v>134</v>
      </c>
      <c r="M43" s="64">
        <v>20135</v>
      </c>
      <c r="N43" s="65">
        <v>10070</v>
      </c>
      <c r="O43" s="66">
        <v>0</v>
      </c>
    </row>
    <row r="44" spans="1:17" x14ac:dyDescent="0.35">
      <c r="A44" t="s">
        <v>167</v>
      </c>
      <c r="B44" s="110">
        <v>13047</v>
      </c>
      <c r="C44" s="110">
        <v>13354</v>
      </c>
      <c r="D44" s="110">
        <f>D43-L43</f>
        <v>92</v>
      </c>
      <c r="F44" s="110">
        <f>F43-G43</f>
        <v>43502</v>
      </c>
      <c r="G44" s="110">
        <f>G43-H43</f>
        <v>-134</v>
      </c>
      <c r="H44" s="110">
        <f>H43-P43</f>
        <v>134</v>
      </c>
      <c r="M44" s="110">
        <f>M43-N43</f>
        <v>10065</v>
      </c>
      <c r="N44" s="110">
        <f>N43-O43</f>
        <v>10070</v>
      </c>
      <c r="O44" s="110">
        <f>O43-B43</f>
        <v>-41252</v>
      </c>
    </row>
    <row r="46" spans="1:17" ht="13.15" x14ac:dyDescent="0.4">
      <c r="A46" t="s">
        <v>168</v>
      </c>
      <c r="B46" s="111">
        <f>(1-B44/C44)</f>
        <v>2.2989366481952933E-2</v>
      </c>
      <c r="F46" s="111">
        <f>(1-F44/G44)</f>
        <v>325.64179104477614</v>
      </c>
      <c r="M46" s="111">
        <f>(1-M44/N44)</f>
        <v>4.9652432969216065E-4</v>
      </c>
    </row>
  </sheetData>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A7697-56E9-4518-B6B7-99AA00E08D63}">
  <sheetPr codeName="Sheet10"/>
  <dimension ref="A1:AJ44"/>
  <sheetViews>
    <sheetView zoomScale="55" zoomScaleNormal="55" workbookViewId="0">
      <selection activeCell="B6" sqref="B6"/>
    </sheetView>
  </sheetViews>
  <sheetFormatPr defaultColWidth="11.53125" defaultRowHeight="12.75" x14ac:dyDescent="0.35"/>
  <sheetData>
    <row r="1" spans="1:4" ht="14.25" x14ac:dyDescent="0.45">
      <c r="A1" s="112" t="s">
        <v>169</v>
      </c>
      <c r="B1" s="112"/>
      <c r="C1" s="112" t="s">
        <v>170</v>
      </c>
      <c r="D1" s="112"/>
    </row>
    <row r="2" spans="1:4" ht="92.85" customHeight="1" x14ac:dyDescent="0.45">
      <c r="A2" s="113" t="s">
        <v>171</v>
      </c>
      <c r="B2" s="113"/>
      <c r="C2" s="113" t="s">
        <v>172</v>
      </c>
      <c r="D2" s="113"/>
    </row>
    <row r="3" spans="1:4" ht="57" x14ac:dyDescent="0.45">
      <c r="A3" s="114" t="s">
        <v>173</v>
      </c>
      <c r="B3" s="115" t="s">
        <v>174</v>
      </c>
      <c r="C3" s="114" t="s">
        <v>122</v>
      </c>
      <c r="D3" s="116" t="s">
        <v>124</v>
      </c>
    </row>
    <row r="4" spans="1:4" ht="14.25" x14ac:dyDescent="0.45">
      <c r="A4" s="117" t="s">
        <v>128</v>
      </c>
      <c r="B4" s="116" t="s">
        <v>175</v>
      </c>
      <c r="C4" s="117" t="s">
        <v>128</v>
      </c>
      <c r="D4" s="116" t="s">
        <v>175</v>
      </c>
    </row>
    <row r="5" spans="1:4" ht="13.15" x14ac:dyDescent="0.4">
      <c r="A5">
        <v>4</v>
      </c>
      <c r="B5" s="22">
        <f>'6 - Thresholds'!$M4</f>
        <v>55.824297191719566</v>
      </c>
      <c r="C5" s="41">
        <v>4</v>
      </c>
      <c r="D5" s="118">
        <f t="shared" ref="D5:D30" si="0">CubicSpline(C5,$A$5:$A$34,$B$5:$B$34)</f>
        <v>55.824297191719552</v>
      </c>
    </row>
    <row r="6" spans="1:4" ht="13.15" x14ac:dyDescent="0.4">
      <c r="A6">
        <v>5</v>
      </c>
      <c r="B6" s="22">
        <f>'6 - Thresholds'!$M5</f>
        <v>93.819165044772802</v>
      </c>
      <c r="C6">
        <v>5</v>
      </c>
      <c r="D6" s="118">
        <f t="shared" si="0"/>
        <v>93.819165044772774</v>
      </c>
    </row>
    <row r="7" spans="1:4" ht="13.15" x14ac:dyDescent="0.4">
      <c r="A7">
        <v>6</v>
      </c>
      <c r="B7" s="22">
        <f>'6 - Thresholds'!$M6</f>
        <v>145.93366328224388</v>
      </c>
      <c r="C7" s="41">
        <v>6</v>
      </c>
      <c r="D7" s="118">
        <f t="shared" si="0"/>
        <v>145.93366328224386</v>
      </c>
    </row>
    <row r="8" spans="1:4" ht="13.15" x14ac:dyDescent="0.4">
      <c r="A8">
        <v>7</v>
      </c>
      <c r="B8" s="22">
        <f>'6 - Thresholds'!$M7</f>
        <v>202.96007381382276</v>
      </c>
      <c r="C8">
        <v>7</v>
      </c>
      <c r="D8" s="118">
        <f t="shared" si="0"/>
        <v>202.96007381382276</v>
      </c>
    </row>
    <row r="9" spans="1:4" ht="13.15" x14ac:dyDescent="0.4">
      <c r="A9">
        <v>8</v>
      </c>
      <c r="B9" s="22">
        <f>'6 - Thresholds'!$M8</f>
        <v>274.02556560248922</v>
      </c>
      <c r="C9">
        <v>8</v>
      </c>
      <c r="D9" s="118">
        <f t="shared" si="0"/>
        <v>274.02556560248922</v>
      </c>
    </row>
    <row r="10" spans="1:4" ht="13.15" x14ac:dyDescent="0.4">
      <c r="A10">
        <v>9</v>
      </c>
      <c r="B10" s="22">
        <f>'6 - Thresholds'!$M9</f>
        <v>354.72525507709463</v>
      </c>
      <c r="C10">
        <v>9</v>
      </c>
      <c r="D10" s="118">
        <f t="shared" si="0"/>
        <v>354.72525507709457</v>
      </c>
    </row>
    <row r="11" spans="1:4" ht="13.15" x14ac:dyDescent="0.4">
      <c r="A11">
        <v>10</v>
      </c>
      <c r="B11" s="22">
        <f>'6 - Thresholds'!$M10</f>
        <v>439.16365330378318</v>
      </c>
      <c r="C11">
        <v>10</v>
      </c>
      <c r="D11" s="118">
        <f t="shared" si="0"/>
        <v>439.16365330378312</v>
      </c>
    </row>
    <row r="12" spans="1:4" ht="13.15" x14ac:dyDescent="0.4">
      <c r="A12">
        <v>11</v>
      </c>
      <c r="B12" s="22">
        <f>'6 - Thresholds'!$M11</f>
        <v>533.40086228697442</v>
      </c>
      <c r="C12">
        <v>11</v>
      </c>
      <c r="D12" s="118">
        <f t="shared" si="0"/>
        <v>533.40086228697442</v>
      </c>
    </row>
    <row r="13" spans="1:4" ht="13.15" x14ac:dyDescent="0.4">
      <c r="A13">
        <v>12</v>
      </c>
      <c r="B13" s="22">
        <f>'6 - Thresholds'!$M12</f>
        <v>636.84341796362764</v>
      </c>
      <c r="C13">
        <v>12</v>
      </c>
      <c r="D13" s="118">
        <f t="shared" si="0"/>
        <v>636.84341796362787</v>
      </c>
    </row>
    <row r="14" spans="1:4" ht="13.15" x14ac:dyDescent="0.4">
      <c r="A14">
        <v>13</v>
      </c>
      <c r="B14" s="22">
        <f>'6 - Thresholds'!$M13</f>
        <v>742.45359622218973</v>
      </c>
      <c r="C14">
        <v>13</v>
      </c>
      <c r="D14" s="118">
        <f t="shared" si="0"/>
        <v>742.4535962221895</v>
      </c>
    </row>
    <row r="15" spans="1:4" ht="13.15" x14ac:dyDescent="0.4">
      <c r="A15">
        <v>14</v>
      </c>
      <c r="B15" s="22">
        <f>'6 - Thresholds'!$M14</f>
        <v>846.52898028792629</v>
      </c>
      <c r="C15" s="41">
        <v>14</v>
      </c>
      <c r="D15" s="118">
        <f t="shared" si="0"/>
        <v>846.52898028792617</v>
      </c>
    </row>
    <row r="16" spans="1:4" ht="13.15" x14ac:dyDescent="0.4">
      <c r="A16">
        <v>15</v>
      </c>
      <c r="B16" s="22">
        <f>'6 - Thresholds'!$M15</f>
        <v>958.16301083952044</v>
      </c>
      <c r="C16">
        <v>15</v>
      </c>
      <c r="D16" s="118">
        <f t="shared" si="0"/>
        <v>958.16301083952055</v>
      </c>
    </row>
    <row r="17" spans="1:36" ht="13.15" x14ac:dyDescent="0.4">
      <c r="A17">
        <v>16</v>
      </c>
      <c r="B17" s="22">
        <f>'6 - Thresholds'!$M16</f>
        <v>1079.8099373992954</v>
      </c>
      <c r="C17">
        <v>16</v>
      </c>
      <c r="D17" s="118">
        <f t="shared" si="0"/>
        <v>1079.8099373992954</v>
      </c>
    </row>
    <row r="18" spans="1:36" ht="13.15" x14ac:dyDescent="0.4">
      <c r="A18">
        <v>17</v>
      </c>
      <c r="B18" s="22">
        <f>'6 - Thresholds'!$M17</f>
        <v>1198.8945291294419</v>
      </c>
      <c r="C18">
        <v>17</v>
      </c>
      <c r="D18" s="118">
        <f t="shared" si="0"/>
        <v>1198.8945291294419</v>
      </c>
    </row>
    <row r="19" spans="1:36" ht="13.15" x14ac:dyDescent="0.4">
      <c r="A19">
        <v>18</v>
      </c>
      <c r="B19" s="22">
        <f>'6 - Thresholds'!$M18</f>
        <v>1319.4997665049991</v>
      </c>
      <c r="C19">
        <v>18</v>
      </c>
      <c r="D19" s="118">
        <f t="shared" si="0"/>
        <v>1319.4997665049989</v>
      </c>
    </row>
    <row r="20" spans="1:36" ht="13.15" x14ac:dyDescent="0.4">
      <c r="A20">
        <v>19</v>
      </c>
      <c r="B20" s="22">
        <f>'6 - Thresholds'!$M19</f>
        <v>1450.8755093121933</v>
      </c>
      <c r="C20">
        <v>19</v>
      </c>
      <c r="D20" s="118">
        <f t="shared" si="0"/>
        <v>1450.8755093121931</v>
      </c>
    </row>
    <row r="21" spans="1:36" ht="13.15" x14ac:dyDescent="0.4">
      <c r="A21">
        <v>20</v>
      </c>
      <c r="B21" s="22">
        <f>'6 - Thresholds'!$M20</f>
        <v>1599.4503386671133</v>
      </c>
      <c r="C21">
        <v>20</v>
      </c>
      <c r="D21" s="118">
        <f t="shared" si="0"/>
        <v>1599.4503386671131</v>
      </c>
      <c r="F21" t="s">
        <v>176</v>
      </c>
    </row>
    <row r="22" spans="1:36" ht="13.15" x14ac:dyDescent="0.4">
      <c r="A22">
        <v>21</v>
      </c>
      <c r="B22" s="22">
        <f>'6 - Thresholds'!$M21</f>
        <v>1771.7580624098953</v>
      </c>
      <c r="C22" s="41">
        <v>21</v>
      </c>
      <c r="D22" s="118">
        <f t="shared" si="0"/>
        <v>1771.7580624098962</v>
      </c>
      <c r="G22" s="22">
        <f>'6 - Curve'!$D$5</f>
        <v>55.824297191719552</v>
      </c>
      <c r="H22" s="22">
        <f>'6 - Curve'!$D$6</f>
        <v>93.819165044772774</v>
      </c>
      <c r="I22" s="22">
        <f>'6 - Curve'!$D$7</f>
        <v>145.93366328224386</v>
      </c>
      <c r="J22" s="22">
        <f>'6 - Curve'!$D$8</f>
        <v>202.96007381382276</v>
      </c>
      <c r="K22" s="22">
        <f>'6 - Curve'!$D$9</f>
        <v>274.02556560248922</v>
      </c>
      <c r="L22" s="22">
        <f>'6 - Curve'!$D$10</f>
        <v>354.72525507709457</v>
      </c>
      <c r="M22" s="22">
        <f>'6 - Curve'!$D$11</f>
        <v>439.16365330378312</v>
      </c>
      <c r="N22" s="22">
        <f>'6 - Curve'!$D$12</f>
        <v>533.40086228697442</v>
      </c>
      <c r="O22" s="22">
        <f>'6 - Curve'!$D$13</f>
        <v>636.84341796362787</v>
      </c>
      <c r="P22" s="22">
        <f>'6 - Curve'!$D$14</f>
        <v>742.4535962221895</v>
      </c>
      <c r="Q22" s="22">
        <f>'6 - Curve'!$D$15</f>
        <v>846.52898028792617</v>
      </c>
      <c r="R22" s="22">
        <f>'6 - Curve'!$D$16</f>
        <v>958.16301083952055</v>
      </c>
      <c r="S22" s="22">
        <f>'6 - Curve'!$D$17</f>
        <v>1079.8099373992954</v>
      </c>
      <c r="T22" s="22">
        <f>'6 - Curve'!$D$18</f>
        <v>1198.8945291294419</v>
      </c>
      <c r="U22" s="22">
        <f>'6 - Curve'!$D$19</f>
        <v>1319.4997665049989</v>
      </c>
      <c r="V22" s="22">
        <f>'6 - Curve'!$D$20</f>
        <v>1450.8755093121931</v>
      </c>
      <c r="W22" s="22">
        <f>'6 - Curve'!$D$21</f>
        <v>1599.4503386671131</v>
      </c>
      <c r="X22" s="22">
        <f>'6 - Curve'!$D$22</f>
        <v>1771.7580624098962</v>
      </c>
      <c r="Y22" s="22">
        <f>'6 - Curve'!$D$23</f>
        <v>1965.000734120249</v>
      </c>
      <c r="Z22" s="22">
        <f>'6 - Curve'!$D$24</f>
        <v>2182.0701332973917</v>
      </c>
      <c r="AA22" s="22">
        <f>'6 - Curve'!$D$25</f>
        <v>2427.4616684326684</v>
      </c>
      <c r="AB22" s="22">
        <f>'6 - Curve'!$D$26</f>
        <v>2693.0727135542766</v>
      </c>
      <c r="AC22" s="22">
        <f>'6 - Curve'!$D$27</f>
        <v>2973.606607704412</v>
      </c>
      <c r="AD22" s="22">
        <f>'6 - Curve'!$D$28</f>
        <v>3253.0025662206435</v>
      </c>
      <c r="AE22" s="22">
        <f>'6 - Curve'!$D$29</f>
        <v>3541.794787040978</v>
      </c>
      <c r="AF22" s="22">
        <f>'6 - Curve'!$D$30</f>
        <v>3839.4268055058355</v>
      </c>
      <c r="AG22" s="22">
        <f>'6 - Curve'!$D$31</f>
        <v>4200.0031012857889</v>
      </c>
      <c r="AH22" s="118">
        <f>'6 - Curve'!$D$32</f>
        <v>9383.1992798272131</v>
      </c>
      <c r="AI22" s="118">
        <f>'6 - Curve'!$D$33</f>
        <v>15895.418171796442</v>
      </c>
      <c r="AJ22" s="118">
        <f>'6 - Curve'!$D$34</f>
        <v>24999.999999999996</v>
      </c>
    </row>
    <row r="23" spans="1:36" ht="13.15" x14ac:dyDescent="0.4">
      <c r="A23">
        <v>22</v>
      </c>
      <c r="B23" s="22">
        <f>'6 - Thresholds'!$M22</f>
        <v>1965.000734120249</v>
      </c>
      <c r="C23">
        <v>22</v>
      </c>
      <c r="D23" s="118">
        <f t="shared" si="0"/>
        <v>1965.000734120249</v>
      </c>
      <c r="F23" s="119" t="s">
        <v>177</v>
      </c>
      <c r="G23" s="119">
        <f t="shared" ref="G23:AJ23" si="1">INT(G22+0.5)</f>
        <v>56</v>
      </c>
      <c r="H23" s="119">
        <f t="shared" si="1"/>
        <v>94</v>
      </c>
      <c r="I23" s="119">
        <f t="shared" si="1"/>
        <v>146</v>
      </c>
      <c r="J23" s="119">
        <f t="shared" si="1"/>
        <v>203</v>
      </c>
      <c r="K23" s="119">
        <f t="shared" si="1"/>
        <v>274</v>
      </c>
      <c r="L23" s="119">
        <f t="shared" si="1"/>
        <v>355</v>
      </c>
      <c r="M23" s="119">
        <f t="shared" si="1"/>
        <v>439</v>
      </c>
      <c r="N23" s="119">
        <f t="shared" si="1"/>
        <v>533</v>
      </c>
      <c r="O23" s="119">
        <f t="shared" si="1"/>
        <v>637</v>
      </c>
      <c r="P23" s="119">
        <f t="shared" si="1"/>
        <v>742</v>
      </c>
      <c r="Q23" s="119">
        <f t="shared" si="1"/>
        <v>847</v>
      </c>
      <c r="R23" s="119">
        <f t="shared" si="1"/>
        <v>958</v>
      </c>
      <c r="S23" s="119">
        <f t="shared" si="1"/>
        <v>1080</v>
      </c>
      <c r="T23" s="119">
        <f t="shared" si="1"/>
        <v>1199</v>
      </c>
      <c r="U23" s="119">
        <f t="shared" si="1"/>
        <v>1319</v>
      </c>
      <c r="V23" s="119">
        <f t="shared" si="1"/>
        <v>1451</v>
      </c>
      <c r="W23" s="119">
        <f t="shared" si="1"/>
        <v>1599</v>
      </c>
      <c r="X23" s="119">
        <f t="shared" si="1"/>
        <v>1772</v>
      </c>
      <c r="Y23" s="119">
        <f t="shared" si="1"/>
        <v>1965</v>
      </c>
      <c r="Z23" s="119">
        <f t="shared" si="1"/>
        <v>2182</v>
      </c>
      <c r="AA23" s="119">
        <f t="shared" si="1"/>
        <v>2427</v>
      </c>
      <c r="AB23" s="119">
        <f t="shared" si="1"/>
        <v>2693</v>
      </c>
      <c r="AC23" s="119">
        <f t="shared" si="1"/>
        <v>2974</v>
      </c>
      <c r="AD23" s="119">
        <f t="shared" si="1"/>
        <v>3253</v>
      </c>
      <c r="AE23" s="119">
        <f t="shared" si="1"/>
        <v>3542</v>
      </c>
      <c r="AF23" s="119">
        <f t="shared" si="1"/>
        <v>3839</v>
      </c>
      <c r="AG23" s="119">
        <f t="shared" si="1"/>
        <v>4200</v>
      </c>
      <c r="AH23" s="120">
        <f t="shared" si="1"/>
        <v>9383</v>
      </c>
      <c r="AI23" s="120">
        <f t="shared" si="1"/>
        <v>15895</v>
      </c>
      <c r="AJ23" s="120">
        <f t="shared" si="1"/>
        <v>25000</v>
      </c>
    </row>
    <row r="24" spans="1:36" ht="13.15" x14ac:dyDescent="0.4">
      <c r="A24">
        <v>23</v>
      </c>
      <c r="B24" s="22">
        <f>'6 - Thresholds'!$M23</f>
        <v>2182.0701332973917</v>
      </c>
      <c r="C24">
        <v>23</v>
      </c>
      <c r="D24" s="118">
        <f t="shared" si="0"/>
        <v>2182.0701332973917</v>
      </c>
    </row>
    <row r="25" spans="1:36" ht="13.15" x14ac:dyDescent="0.4">
      <c r="A25">
        <v>24</v>
      </c>
      <c r="B25" s="22">
        <f>'6 - Thresholds'!$M24</f>
        <v>2427.4616684326702</v>
      </c>
      <c r="C25">
        <v>24</v>
      </c>
      <c r="D25" s="118">
        <f t="shared" si="0"/>
        <v>2427.4616684326684</v>
      </c>
    </row>
    <row r="26" spans="1:36" ht="13.15" x14ac:dyDescent="0.4">
      <c r="A26">
        <v>25</v>
      </c>
      <c r="B26" s="22">
        <f>'6 - Thresholds'!$M25</f>
        <v>2693.0727135542784</v>
      </c>
      <c r="C26" s="41">
        <v>25</v>
      </c>
      <c r="D26" s="118">
        <f t="shared" si="0"/>
        <v>2693.0727135542766</v>
      </c>
    </row>
    <row r="27" spans="1:36" ht="13.15" x14ac:dyDescent="0.4">
      <c r="A27">
        <v>26</v>
      </c>
      <c r="B27" s="22">
        <f>'6 - Thresholds'!$M26</f>
        <v>2973.6066077044229</v>
      </c>
      <c r="C27">
        <v>26</v>
      </c>
      <c r="D27" s="118">
        <f t="shared" si="0"/>
        <v>2973.606607704412</v>
      </c>
      <c r="F27" s="121">
        <v>10</v>
      </c>
      <c r="G27">
        <f>CubicSpline(F27, $A$5:$A$107, $B$5:$B$107)</f>
        <v>439.16365330378312</v>
      </c>
    </row>
    <row r="28" spans="1:36" ht="13.15" x14ac:dyDescent="0.4">
      <c r="A28">
        <v>27</v>
      </c>
      <c r="B28" s="22">
        <f>'6 - Thresholds'!$M27</f>
        <v>3253.002566220649</v>
      </c>
      <c r="C28">
        <v>27</v>
      </c>
      <c r="D28" s="118">
        <f t="shared" si="0"/>
        <v>3253.0025662206435</v>
      </c>
      <c r="F28" s="121">
        <v>11</v>
      </c>
      <c r="G28">
        <f>CubicSpline(F28, $A$5:$A$107, $B$5:$B$107)</f>
        <v>533.40086228697442</v>
      </c>
    </row>
    <row r="29" spans="1:36" ht="13.15" x14ac:dyDescent="0.4">
      <c r="A29">
        <v>28</v>
      </c>
      <c r="B29" s="22">
        <f>'6 - Thresholds'!$M28</f>
        <v>3541.7947870409785</v>
      </c>
      <c r="C29">
        <v>28</v>
      </c>
      <c r="D29" s="118">
        <f t="shared" si="0"/>
        <v>3541.794787040978</v>
      </c>
      <c r="F29">
        <v>9</v>
      </c>
      <c r="G29">
        <f>CubicSpline(F29, $A$5:$A$107, $B$5:$B$107)</f>
        <v>354.72525507709457</v>
      </c>
    </row>
    <row r="30" spans="1:36" ht="13.15" x14ac:dyDescent="0.4">
      <c r="A30">
        <v>29</v>
      </c>
      <c r="B30" s="22">
        <f>'6 - Thresholds'!$M29</f>
        <v>3839.4268055058837</v>
      </c>
      <c r="C30">
        <v>29</v>
      </c>
      <c r="D30" s="118">
        <f t="shared" si="0"/>
        <v>3839.4268055058355</v>
      </c>
    </row>
    <row r="31" spans="1:36" ht="13.15" x14ac:dyDescent="0.4">
      <c r="A31">
        <v>30</v>
      </c>
      <c r="B31" s="22">
        <f>'6 - Thresholds'!$M30</f>
        <v>4200.0031012857071</v>
      </c>
      <c r="C31">
        <v>30</v>
      </c>
      <c r="D31" s="118">
        <f>CubicSpline(C31,$A$5:$A$34,$B$5:$B$34)</f>
        <v>4200.0031012857889</v>
      </c>
    </row>
    <row r="32" spans="1:36" ht="13.15" x14ac:dyDescent="0.4">
      <c r="A32">
        <f>'6 - Spheres'!$G$40</f>
        <v>39</v>
      </c>
      <c r="B32">
        <f>'6 - Spheres'!$G$42</f>
        <v>10000</v>
      </c>
      <c r="C32" s="41">
        <v>38</v>
      </c>
      <c r="D32" s="118">
        <f t="shared" ref="D32:D34" si="2">CubicSpline(C32,$A$5:$A$34,$B$5:$B$34)</f>
        <v>9383.1992798272131</v>
      </c>
    </row>
    <row r="33" spans="1:4" ht="13.15" x14ac:dyDescent="0.4">
      <c r="A33">
        <f>'6 - Spheres'!$C$40</f>
        <v>49.4</v>
      </c>
      <c r="B33">
        <f>'6 - Spheres'!$C$42</f>
        <v>15600</v>
      </c>
      <c r="C33" s="41">
        <v>50</v>
      </c>
      <c r="D33" s="118">
        <f t="shared" si="2"/>
        <v>15895.418171796442</v>
      </c>
    </row>
    <row r="34" spans="1:4" ht="13.15" x14ac:dyDescent="0.4">
      <c r="A34">
        <f>'6 - Spheres'!$N$40</f>
        <v>70</v>
      </c>
      <c r="B34">
        <f>'6 - Spheres'!$N$42</f>
        <v>25000</v>
      </c>
      <c r="C34" s="41">
        <v>70</v>
      </c>
      <c r="D34" s="118">
        <f t="shared" si="2"/>
        <v>24999.999999999996</v>
      </c>
    </row>
    <row r="36" spans="1:4" ht="40.15" x14ac:dyDescent="0.35">
      <c r="A36" s="122" t="s">
        <v>178</v>
      </c>
    </row>
    <row r="39" spans="1:4" ht="13.15" x14ac:dyDescent="0.4">
      <c r="A39" t="s">
        <v>179</v>
      </c>
    </row>
    <row r="40" spans="1:4" ht="13.15" x14ac:dyDescent="0.4">
      <c r="A40" t="s">
        <v>180</v>
      </c>
    </row>
    <row r="41" spans="1:4" x14ac:dyDescent="0.35">
      <c r="A41" t="s">
        <v>181</v>
      </c>
    </row>
    <row r="42" spans="1:4" x14ac:dyDescent="0.35">
      <c r="A42" t="s">
        <v>182</v>
      </c>
    </row>
    <row r="44" spans="1:4" x14ac:dyDescent="0.35">
      <c r="A44" t="s">
        <v>183</v>
      </c>
    </row>
  </sheetData>
  <mergeCells count="4">
    <mergeCell ref="A1:B1"/>
    <mergeCell ref="C1:D1"/>
    <mergeCell ref="A2:B2"/>
    <mergeCell ref="C2:D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Clause 6</vt:lpstr>
      <vt:lpstr>6 - B1</vt:lpstr>
      <vt:lpstr>6 - B2</vt:lpstr>
      <vt:lpstr>6 - B3</vt:lpstr>
      <vt:lpstr>6 - Thresholds</vt:lpstr>
      <vt:lpstr>6 - Spheres</vt:lpstr>
      <vt:lpstr>6 - Curve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Devereux</dc:creator>
  <cp:lastModifiedBy>John Devereux</cp:lastModifiedBy>
  <dcterms:created xsi:type="dcterms:W3CDTF">2025-12-19T10:12:42Z</dcterms:created>
  <dcterms:modified xsi:type="dcterms:W3CDTF">2025-12-19T10:20:23Z</dcterms:modified>
</cp:coreProperties>
</file>