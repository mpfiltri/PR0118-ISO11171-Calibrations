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5-19-LPA3-NAVAIR-11171-00009\"/>
    </mc:Choice>
  </mc:AlternateContent>
  <xr:revisionPtr revIDLastSave="0" documentId="13_ncr:1_{85BFBEFC-540F-415E-B753-58F470B1D386}" xr6:coauthVersionLast="47" xr6:coauthVersionMax="47" xr10:uidLastSave="{00000000-0000-0000-0000-000000000000}"/>
  <bookViews>
    <workbookView xWindow="-98" yWindow="-98" windowWidth="28996" windowHeight="17745" tabRatio="500" firstSheet="6" activeTab="12" xr2:uid="{00000000-000D-0000-FFFF-FFFF00000000}"/>
  </bookViews>
  <sheets>
    <sheet name="ISO 11171_2020 Summary" sheetId="1" r:id="rId1"/>
    <sheet name="Annex A Preliminary Check" sheetId="2" r:id="rId2"/>
    <sheet name="Annex B Coincidence Limit" sheetId="3" r:id="rId3"/>
    <sheet name="Annex C - Flow Rate" sheetId="11" r:id="rId4"/>
    <sheet name="Annex D Resolution" sheetId="12" r:id="rId5"/>
    <sheet name="Clause 6 Sizing Calibration" sheetId="4" r:id="rId6"/>
    <sheet name="6 - B1" sheetId="5" r:id="rId7"/>
    <sheet name="6 - B2" sheetId="6" r:id="rId8"/>
    <sheet name="6 - B3" sheetId="7" r:id="rId9"/>
    <sheet name="6 - Interpolated Thresholds" sheetId="8" r:id="rId10"/>
    <sheet name="Clause 6 - Spheres" sheetId="9" r:id="rId11"/>
    <sheet name="6 - Calibration Curve" sheetId="10" r:id="rId12"/>
    <sheet name="ANNEX E - B1" sheetId="13" r:id="rId13"/>
    <sheet name="ANNEX E - B2" sheetId="14" r:id="rId14"/>
    <sheet name="ANNEX E - B3" sheetId="15" r:id="rId15"/>
    <sheet name="Annex E Verify Counting Accurac" sheetId="16" r:id="rId16"/>
  </sheets>
  <functionGroups builtInGroupCount="19"/>
  <definedNames>
    <definedName name="_xlnm.Print_Area" localSheetId="0">'ISO 11171_2020 Summary'!$A$1:$C$18</definedName>
  </definedNames>
  <calcPr calcId="191029"/>
</workbook>
</file>

<file path=xl/calcChain.xml><?xml version="1.0" encoding="utf-8"?>
<calcChain xmlns="http://schemas.openxmlformats.org/spreadsheetml/2006/main">
  <c r="G22" i="10" l="1"/>
  <c r="D38" i="6"/>
  <c r="H8" i="14"/>
  <c r="G9" i="14"/>
  <c r="H9" i="14" s="1"/>
  <c r="I9" i="14"/>
  <c r="G10" i="14"/>
  <c r="H10" i="14"/>
  <c r="I10" i="14"/>
  <c r="J10" i="14"/>
  <c r="K10" i="14"/>
  <c r="G11" i="14"/>
  <c r="H11" i="14"/>
  <c r="I11" i="14"/>
  <c r="J11" i="14"/>
  <c r="K11" i="14"/>
  <c r="G12" i="14"/>
  <c r="H12" i="14" s="1"/>
  <c r="I12" i="14"/>
  <c r="A34" i="10"/>
  <c r="D4" i="8"/>
  <c r="B4" i="8"/>
  <c r="F37" i="7"/>
  <c r="B33" i="7"/>
  <c r="F32" i="7"/>
  <c r="C9" i="5"/>
  <c r="D9" i="5"/>
  <c r="E9" i="5"/>
  <c r="F9" i="5"/>
  <c r="B10" i="5"/>
  <c r="C10" i="5"/>
  <c r="D10" i="5"/>
  <c r="E10" i="5"/>
  <c r="F10" i="5"/>
  <c r="B11" i="5"/>
  <c r="C11" i="5"/>
  <c r="D11" i="5"/>
  <c r="E11" i="5"/>
  <c r="F11" i="5"/>
  <c r="B12" i="5"/>
  <c r="C12" i="5"/>
  <c r="D12" i="5"/>
  <c r="E12" i="5"/>
  <c r="F12" i="5"/>
  <c r="B13" i="5"/>
  <c r="C13" i="5"/>
  <c r="D13" i="5"/>
  <c r="E13" i="5"/>
  <c r="F13" i="5"/>
  <c r="B14" i="5"/>
  <c r="C14" i="5"/>
  <c r="D14" i="5"/>
  <c r="E14" i="5"/>
  <c r="F14" i="5"/>
  <c r="B15" i="5"/>
  <c r="C15" i="5"/>
  <c r="D15" i="5"/>
  <c r="E15" i="5"/>
  <c r="F15" i="5"/>
  <c r="B16" i="5"/>
  <c r="C16" i="5"/>
  <c r="D16" i="5"/>
  <c r="E16" i="5"/>
  <c r="F16" i="5"/>
  <c r="B17" i="5"/>
  <c r="C17" i="5"/>
  <c r="D17" i="5"/>
  <c r="E17" i="5"/>
  <c r="F17" i="5"/>
  <c r="B18" i="5"/>
  <c r="C18" i="5"/>
  <c r="D18" i="5"/>
  <c r="E18" i="5"/>
  <c r="F18" i="5"/>
  <c r="B19" i="5"/>
  <c r="C19" i="5"/>
  <c r="D19" i="5"/>
  <c r="E19" i="5"/>
  <c r="F19" i="5"/>
  <c r="B20" i="5"/>
  <c r="C20" i="5"/>
  <c r="D20" i="5"/>
  <c r="E20" i="5"/>
  <c r="F20" i="5"/>
  <c r="B21" i="5"/>
  <c r="C21" i="5"/>
  <c r="D21" i="5"/>
  <c r="E21" i="5"/>
  <c r="F21" i="5"/>
  <c r="B22" i="5"/>
  <c r="C22" i="5"/>
  <c r="D22" i="5"/>
  <c r="E22" i="5"/>
  <c r="F22" i="5"/>
  <c r="B23" i="5"/>
  <c r="C23" i="5"/>
  <c r="D23" i="5"/>
  <c r="E23" i="5"/>
  <c r="F23" i="5"/>
  <c r="B24" i="5"/>
  <c r="C24" i="5"/>
  <c r="D24" i="5"/>
  <c r="E24" i="5"/>
  <c r="F24" i="5"/>
  <c r="B25" i="5"/>
  <c r="C25" i="5"/>
  <c r="D25" i="5"/>
  <c r="E25" i="5"/>
  <c r="F25" i="5"/>
  <c r="B26" i="5"/>
  <c r="C26" i="5"/>
  <c r="D26" i="5"/>
  <c r="E26" i="5"/>
  <c r="B27" i="5"/>
  <c r="C27" i="5"/>
  <c r="D27" i="5"/>
  <c r="E27" i="5"/>
  <c r="B28" i="5"/>
  <c r="C28" i="5"/>
  <c r="D28" i="5"/>
  <c r="E28" i="5"/>
  <c r="B29" i="5"/>
  <c r="C29" i="5"/>
  <c r="D29" i="5"/>
  <c r="E29" i="5"/>
  <c r="B30" i="5"/>
  <c r="C30" i="5"/>
  <c r="D30" i="5"/>
  <c r="E30" i="5"/>
  <c r="B31" i="5"/>
  <c r="C31" i="5"/>
  <c r="D31" i="5"/>
  <c r="E31" i="5"/>
  <c r="B32" i="5"/>
  <c r="C32" i="5"/>
  <c r="D32" i="5"/>
  <c r="E32" i="5"/>
  <c r="B33" i="5"/>
  <c r="C33" i="5"/>
  <c r="D33" i="5"/>
  <c r="E33" i="5"/>
  <c r="B34" i="5"/>
  <c r="C34" i="5"/>
  <c r="D34" i="5"/>
  <c r="E34" i="5"/>
  <c r="B35" i="5"/>
  <c r="C35" i="5"/>
  <c r="D35" i="5"/>
  <c r="E35" i="5"/>
  <c r="B36" i="5"/>
  <c r="C36" i="5"/>
  <c r="D36" i="5"/>
  <c r="E36" i="5"/>
  <c r="F36" i="5"/>
  <c r="B37" i="5"/>
  <c r="C37" i="5"/>
  <c r="D37" i="5"/>
  <c r="E37" i="5"/>
  <c r="F37" i="5"/>
  <c r="B38" i="5"/>
  <c r="C38" i="5"/>
  <c r="D38" i="5"/>
  <c r="E38" i="5"/>
  <c r="F38" i="5"/>
  <c r="H36" i="2"/>
  <c r="D21" i="2"/>
  <c r="K12" i="14" l="1"/>
  <c r="J12" i="14"/>
  <c r="K9" i="14"/>
  <c r="J9" i="14"/>
  <c r="A27" i="12"/>
  <c r="A28" i="12" s="1"/>
  <c r="A29" i="12"/>
  <c r="A30" i="12" s="1" a="1"/>
  <c r="A30" i="12" s="1"/>
  <c r="A33" i="10"/>
  <c r="A32" i="10"/>
  <c r="B34" i="10"/>
  <c r="B33" i="10"/>
  <c r="B32" i="10"/>
  <c r="A51" i="7"/>
  <c r="B51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A52" i="7"/>
  <c r="B52" i="7"/>
  <c r="C52" i="7"/>
  <c r="D52" i="7"/>
  <c r="E52" i="7"/>
  <c r="F52" i="7"/>
  <c r="G52" i="7"/>
  <c r="H52" i="7"/>
  <c r="I52" i="7"/>
  <c r="J52" i="7"/>
  <c r="K52" i="7"/>
  <c r="L52" i="7"/>
  <c r="B8" i="7" s="1"/>
  <c r="M52" i="7"/>
  <c r="C8" i="7" s="1"/>
  <c r="C26" i="7" s="1"/>
  <c r="N52" i="7"/>
  <c r="O52" i="7"/>
  <c r="P52" i="7"/>
  <c r="F8" i="7" s="1"/>
  <c r="A53" i="7"/>
  <c r="B53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A54" i="7"/>
  <c r="B54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A55" i="7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A56" i="7"/>
  <c r="B56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A57" i="7"/>
  <c r="B57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A58" i="7"/>
  <c r="B58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F14" i="7" s="1"/>
  <c r="A59" i="7"/>
  <c r="B59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A60" i="7"/>
  <c r="B60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A61" i="7"/>
  <c r="B61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F17" i="7" s="1"/>
  <c r="A62" i="7"/>
  <c r="B62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F18" i="7" s="1"/>
  <c r="A63" i="7"/>
  <c r="B63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A64" i="7"/>
  <c r="B64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F20" i="7" s="1"/>
  <c r="A65" i="7"/>
  <c r="B65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A66" i="7"/>
  <c r="B66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A67" i="7"/>
  <c r="B67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F23" i="7" s="1"/>
  <c r="A68" i="7"/>
  <c r="B68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A69" i="7"/>
  <c r="B69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A70" i="7"/>
  <c r="B70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A71" i="7"/>
  <c r="B71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A72" i="7"/>
  <c r="B72" i="7"/>
  <c r="C72" i="7"/>
  <c r="D72" i="7"/>
  <c r="E72" i="7"/>
  <c r="F72" i="7"/>
  <c r="G72" i="7"/>
  <c r="H72" i="7"/>
  <c r="I72" i="7"/>
  <c r="J72" i="7"/>
  <c r="K72" i="7"/>
  <c r="L72" i="7"/>
  <c r="B28" i="7" s="1"/>
  <c r="M72" i="7"/>
  <c r="N72" i="7"/>
  <c r="O72" i="7"/>
  <c r="P72" i="7"/>
  <c r="A73" i="7"/>
  <c r="B73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A74" i="7"/>
  <c r="B74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A75" i="7"/>
  <c r="B75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A76" i="7"/>
  <c r="B76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A77" i="7"/>
  <c r="B77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A78" i="7"/>
  <c r="B78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A79" i="7"/>
  <c r="B79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A80" i="7"/>
  <c r="B80" i="7"/>
  <c r="C80" i="7"/>
  <c r="D80" i="7"/>
  <c r="E80" i="7"/>
  <c r="F80" i="7"/>
  <c r="G80" i="7"/>
  <c r="H80" i="7"/>
  <c r="I80" i="7"/>
  <c r="J80" i="7"/>
  <c r="K80" i="7"/>
  <c r="L80" i="7"/>
  <c r="B36" i="7" s="1"/>
  <c r="M80" i="7"/>
  <c r="N80" i="7"/>
  <c r="O80" i="7"/>
  <c r="P80" i="7"/>
  <c r="A81" i="7"/>
  <c r="B81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A82" i="7"/>
  <c r="B82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F38" i="7" s="1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A52" i="6"/>
  <c r="B52" i="6"/>
  <c r="C52" i="6"/>
  <c r="D52" i="6"/>
  <c r="E52" i="6"/>
  <c r="F52" i="6"/>
  <c r="G52" i="6"/>
  <c r="H52" i="6"/>
  <c r="C8" i="6" s="1"/>
  <c r="I52" i="6"/>
  <c r="J52" i="6"/>
  <c r="E8" i="6" s="1"/>
  <c r="E33" i="6" s="1"/>
  <c r="K52" i="6"/>
  <c r="L52" i="6"/>
  <c r="M52" i="6"/>
  <c r="N52" i="6"/>
  <c r="O52" i="6"/>
  <c r="P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A63" i="6"/>
  <c r="B63" i="6"/>
  <c r="C63" i="6"/>
  <c r="D63" i="6"/>
  <c r="E63" i="6"/>
  <c r="F63" i="6"/>
  <c r="G63" i="6"/>
  <c r="H63" i="6"/>
  <c r="C19" i="6" s="1"/>
  <c r="I63" i="6"/>
  <c r="J63" i="6"/>
  <c r="K63" i="6"/>
  <c r="L63" i="6"/>
  <c r="M63" i="6"/>
  <c r="N63" i="6"/>
  <c r="O63" i="6"/>
  <c r="P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B27" i="16"/>
  <c r="C25" i="16"/>
  <c r="B20" i="16"/>
  <c r="B19" i="16"/>
  <c r="B18" i="16"/>
  <c r="B15" i="16"/>
  <c r="I38" i="15"/>
  <c r="G38" i="15"/>
  <c r="I37" i="15"/>
  <c r="G37" i="15"/>
  <c r="I36" i="15"/>
  <c r="G36" i="15"/>
  <c r="I35" i="15"/>
  <c r="G35" i="15"/>
  <c r="H35" i="15" s="1"/>
  <c r="K35" i="15" s="1"/>
  <c r="I34" i="15"/>
  <c r="G34" i="15"/>
  <c r="I33" i="15"/>
  <c r="G33" i="15"/>
  <c r="I32" i="15"/>
  <c r="G32" i="15"/>
  <c r="I31" i="15"/>
  <c r="G31" i="15"/>
  <c r="I30" i="15"/>
  <c r="G30" i="15"/>
  <c r="I29" i="15"/>
  <c r="G29" i="15"/>
  <c r="I28" i="15"/>
  <c r="G28" i="15"/>
  <c r="I27" i="15"/>
  <c r="G27" i="15"/>
  <c r="I26" i="15"/>
  <c r="G26" i="15"/>
  <c r="I25" i="15"/>
  <c r="G25" i="15"/>
  <c r="I24" i="15"/>
  <c r="G24" i="15"/>
  <c r="H24" i="15" s="1"/>
  <c r="K24" i="15" s="1"/>
  <c r="I23" i="15"/>
  <c r="G23" i="15"/>
  <c r="I22" i="15"/>
  <c r="G22" i="15"/>
  <c r="I21" i="15"/>
  <c r="G21" i="15"/>
  <c r="I20" i="15"/>
  <c r="G20" i="15"/>
  <c r="I19" i="15"/>
  <c r="G19" i="15"/>
  <c r="I18" i="15"/>
  <c r="G18" i="15"/>
  <c r="H18" i="15" s="1"/>
  <c r="K18" i="15" s="1"/>
  <c r="I17" i="15"/>
  <c r="G17" i="15"/>
  <c r="H17" i="15" s="1"/>
  <c r="I16" i="15"/>
  <c r="G16" i="15"/>
  <c r="I15" i="15"/>
  <c r="G15" i="15"/>
  <c r="I14" i="15"/>
  <c r="G14" i="15"/>
  <c r="I13" i="15"/>
  <c r="G13" i="15"/>
  <c r="H13" i="15" s="1"/>
  <c r="I12" i="15"/>
  <c r="G12" i="15"/>
  <c r="H12" i="15" s="1"/>
  <c r="I11" i="15"/>
  <c r="G11" i="15"/>
  <c r="D25" i="16" s="1"/>
  <c r="I10" i="15"/>
  <c r="G10" i="15"/>
  <c r="I9" i="15"/>
  <c r="G9" i="15"/>
  <c r="H8" i="15"/>
  <c r="H38" i="15" s="1"/>
  <c r="J38" i="15" s="1"/>
  <c r="I38" i="14"/>
  <c r="G38" i="14"/>
  <c r="H38" i="14" s="1"/>
  <c r="I37" i="14"/>
  <c r="G37" i="14"/>
  <c r="H37" i="14" s="1"/>
  <c r="I36" i="14"/>
  <c r="G36" i="14"/>
  <c r="H36" i="14" s="1"/>
  <c r="I35" i="14"/>
  <c r="G35" i="14"/>
  <c r="H35" i="14" s="1"/>
  <c r="I34" i="14"/>
  <c r="G34" i="14"/>
  <c r="H34" i="14" s="1"/>
  <c r="K34" i="14" s="1"/>
  <c r="I33" i="14"/>
  <c r="G33" i="14"/>
  <c r="I32" i="14"/>
  <c r="G32" i="14"/>
  <c r="H32" i="14" s="1"/>
  <c r="J32" i="14" s="1"/>
  <c r="I31" i="14"/>
  <c r="G31" i="14"/>
  <c r="H31" i="14" s="1"/>
  <c r="I30" i="14"/>
  <c r="G30" i="14"/>
  <c r="I29" i="14"/>
  <c r="G29" i="14"/>
  <c r="H29" i="14" s="1"/>
  <c r="I28" i="14"/>
  <c r="G28" i="14"/>
  <c r="H28" i="14" s="1"/>
  <c r="I27" i="14"/>
  <c r="G27" i="14"/>
  <c r="H27" i="14" s="1"/>
  <c r="I26" i="14"/>
  <c r="G26" i="14"/>
  <c r="H26" i="14" s="1"/>
  <c r="I25" i="14"/>
  <c r="G25" i="14"/>
  <c r="H25" i="14" s="1"/>
  <c r="K25" i="14" s="1"/>
  <c r="I24" i="14"/>
  <c r="G24" i="14"/>
  <c r="H24" i="14" s="1"/>
  <c r="I23" i="14"/>
  <c r="G23" i="14"/>
  <c r="H23" i="14" s="1"/>
  <c r="I22" i="14"/>
  <c r="G22" i="14"/>
  <c r="H22" i="14" s="1"/>
  <c r="I21" i="14"/>
  <c r="G21" i="14"/>
  <c r="H21" i="14" s="1"/>
  <c r="I20" i="14"/>
  <c r="G20" i="14"/>
  <c r="H20" i="14" s="1"/>
  <c r="I19" i="14"/>
  <c r="G19" i="14"/>
  <c r="H19" i="14" s="1"/>
  <c r="I18" i="14"/>
  <c r="G18" i="14"/>
  <c r="H18" i="14" s="1"/>
  <c r="K18" i="14" s="1"/>
  <c r="I17" i="14"/>
  <c r="G17" i="14"/>
  <c r="I16" i="14"/>
  <c r="G16" i="14"/>
  <c r="H16" i="14" s="1"/>
  <c r="J16" i="14" s="1"/>
  <c r="I15" i="14"/>
  <c r="G15" i="14"/>
  <c r="H15" i="14" s="1"/>
  <c r="I14" i="14"/>
  <c r="G14" i="14"/>
  <c r="C28" i="16" s="1"/>
  <c r="I13" i="14"/>
  <c r="G13" i="14"/>
  <c r="C27" i="16" s="1"/>
  <c r="C26" i="16"/>
  <c r="C23" i="16"/>
  <c r="H30" i="14"/>
  <c r="K30" i="14" s="1"/>
  <c r="I38" i="13"/>
  <c r="G38" i="13"/>
  <c r="I37" i="13"/>
  <c r="G37" i="13"/>
  <c r="I36" i="13"/>
  <c r="G36" i="13"/>
  <c r="I35" i="13"/>
  <c r="H35" i="13"/>
  <c r="G35" i="13"/>
  <c r="I34" i="13"/>
  <c r="G34" i="13"/>
  <c r="H34" i="13" s="1"/>
  <c r="I33" i="13"/>
  <c r="G33" i="13"/>
  <c r="H33" i="13" s="1"/>
  <c r="I32" i="13"/>
  <c r="G32" i="13"/>
  <c r="I31" i="13"/>
  <c r="G31" i="13"/>
  <c r="H31" i="13" s="1"/>
  <c r="I30" i="13"/>
  <c r="G30" i="13"/>
  <c r="H30" i="13" s="1"/>
  <c r="K30" i="13" s="1"/>
  <c r="I29" i="13"/>
  <c r="G29" i="13"/>
  <c r="H29" i="13" s="1"/>
  <c r="K29" i="13" s="1"/>
  <c r="I28" i="13"/>
  <c r="G28" i="13"/>
  <c r="H28" i="13" s="1"/>
  <c r="I27" i="13"/>
  <c r="G27" i="13"/>
  <c r="H27" i="13" s="1"/>
  <c r="J27" i="13" s="1"/>
  <c r="I26" i="13"/>
  <c r="G26" i="13"/>
  <c r="H26" i="13" s="1"/>
  <c r="I25" i="13"/>
  <c r="G25" i="13"/>
  <c r="I24" i="13"/>
  <c r="G24" i="13"/>
  <c r="H24" i="13" s="1"/>
  <c r="I23" i="13"/>
  <c r="G23" i="13"/>
  <c r="H23" i="13" s="1"/>
  <c r="I22" i="13"/>
  <c r="G22" i="13"/>
  <c r="I21" i="13"/>
  <c r="G21" i="13"/>
  <c r="I20" i="13"/>
  <c r="G20" i="13"/>
  <c r="H20" i="13" s="1"/>
  <c r="K20" i="13" s="1"/>
  <c r="I19" i="13"/>
  <c r="G19" i="13"/>
  <c r="H19" i="13" s="1"/>
  <c r="I18" i="13"/>
  <c r="G18" i="13"/>
  <c r="I17" i="13"/>
  <c r="G17" i="13"/>
  <c r="H17" i="13" s="1"/>
  <c r="I16" i="13"/>
  <c r="G16" i="13"/>
  <c r="I15" i="13"/>
  <c r="G15" i="13"/>
  <c r="I14" i="13"/>
  <c r="H14" i="13"/>
  <c r="K14" i="13" s="1"/>
  <c r="G14" i="13"/>
  <c r="B28" i="16" s="1"/>
  <c r="I13" i="13"/>
  <c r="H13" i="13"/>
  <c r="K13" i="13" s="1"/>
  <c r="G13" i="13"/>
  <c r="I12" i="13"/>
  <c r="H12" i="13"/>
  <c r="J12" i="13" s="1"/>
  <c r="G12" i="13"/>
  <c r="B26" i="16" s="1"/>
  <c r="I11" i="13"/>
  <c r="G11" i="13"/>
  <c r="I10" i="13"/>
  <c r="G10" i="13"/>
  <c r="B24" i="16" s="1"/>
  <c r="I9" i="13"/>
  <c r="H9" i="13"/>
  <c r="K9" i="13" s="1"/>
  <c r="G9" i="13"/>
  <c r="B23" i="16" s="1"/>
  <c r="H8" i="13"/>
  <c r="H25" i="13" s="1"/>
  <c r="B27" i="11"/>
  <c r="B34" i="11" s="1"/>
  <c r="C34" i="11" s="1"/>
  <c r="B26" i="11"/>
  <c r="C22" i="11" s="1"/>
  <c r="C24" i="11"/>
  <c r="C23" i="11"/>
  <c r="C21" i="11"/>
  <c r="C20" i="11"/>
  <c r="B46" i="9"/>
  <c r="O44" i="9"/>
  <c r="N44" i="9"/>
  <c r="M46" i="9" s="1"/>
  <c r="M44" i="9"/>
  <c r="H44" i="9"/>
  <c r="G44" i="9"/>
  <c r="F44" i="9"/>
  <c r="F46" i="9" s="1"/>
  <c r="D44" i="9"/>
  <c r="O42" i="9"/>
  <c r="M42" i="9"/>
  <c r="H42" i="9"/>
  <c r="F42" i="9"/>
  <c r="D42" i="9"/>
  <c r="B42" i="9"/>
  <c r="G40" i="9"/>
  <c r="C40" i="9"/>
  <c r="A31" i="9"/>
  <c r="A32" i="9" s="1"/>
  <c r="M30" i="9"/>
  <c r="F30" i="9"/>
  <c r="A30" i="9"/>
  <c r="A17" i="9"/>
  <c r="A19" i="9" s="1"/>
  <c r="A21" i="9" s="1"/>
  <c r="M15" i="9"/>
  <c r="M22" i="9" s="1"/>
  <c r="M14" i="9"/>
  <c r="M13" i="9"/>
  <c r="F13" i="9"/>
  <c r="F14" i="9" s="1"/>
  <c r="F15" i="9" s="1"/>
  <c r="A13" i="9"/>
  <c r="A14" i="9" s="1"/>
  <c r="A15" i="9" s="1"/>
  <c r="P30" i="8"/>
  <c r="L30" i="8" s="1"/>
  <c r="P29" i="8"/>
  <c r="L29" i="8" s="1"/>
  <c r="P28" i="8"/>
  <c r="L28" i="8" s="1"/>
  <c r="P27" i="8"/>
  <c r="L27" i="8" s="1"/>
  <c r="P26" i="8"/>
  <c r="L26" i="8" s="1"/>
  <c r="P25" i="8"/>
  <c r="L25" i="8" s="1"/>
  <c r="P24" i="8"/>
  <c r="L24" i="8" s="1"/>
  <c r="P23" i="8"/>
  <c r="L23" i="8" s="1"/>
  <c r="P22" i="8"/>
  <c r="L22" i="8" s="1"/>
  <c r="P21" i="8"/>
  <c r="L21" i="8" s="1"/>
  <c r="P20" i="8"/>
  <c r="L20" i="8" s="1"/>
  <c r="P19" i="8"/>
  <c r="L19" i="8" s="1"/>
  <c r="P18" i="8"/>
  <c r="L18" i="8" s="1"/>
  <c r="P17" i="8"/>
  <c r="L17" i="8" s="1"/>
  <c r="P16" i="8"/>
  <c r="L16" i="8" s="1"/>
  <c r="P15" i="8"/>
  <c r="L15" i="8" s="1"/>
  <c r="P14" i="8"/>
  <c r="L14" i="8" s="1"/>
  <c r="P13" i="8"/>
  <c r="L13" i="8" s="1"/>
  <c r="P12" i="8"/>
  <c r="L12" i="8" s="1"/>
  <c r="P11" i="8"/>
  <c r="L11" i="8" s="1"/>
  <c r="P10" i="8"/>
  <c r="L10" i="8" s="1"/>
  <c r="P9" i="8"/>
  <c r="L9" i="8" s="1"/>
  <c r="P8" i="8"/>
  <c r="L8" i="8" s="1"/>
  <c r="P7" i="8"/>
  <c r="L7" i="8" s="1"/>
  <c r="P6" i="8"/>
  <c r="L6" i="8" s="1"/>
  <c r="P5" i="8"/>
  <c r="L5" i="8" s="1"/>
  <c r="P4" i="8"/>
  <c r="L4" i="8" s="1"/>
  <c r="E8" i="7"/>
  <c r="E20" i="7" s="1"/>
  <c r="D8" i="7"/>
  <c r="D10" i="7" s="1"/>
  <c r="B5" i="7"/>
  <c r="A5" i="7"/>
  <c r="B4" i="7"/>
  <c r="A4" i="7"/>
  <c r="B3" i="7"/>
  <c r="A3" i="7"/>
  <c r="A1" i="7"/>
  <c r="B8" i="6"/>
  <c r="B22" i="6" s="1"/>
  <c r="F8" i="6"/>
  <c r="F33" i="6" s="1"/>
  <c r="D8" i="6"/>
  <c r="D23" i="6" s="1"/>
  <c r="B5" i="6"/>
  <c r="A5" i="6"/>
  <c r="B4" i="6"/>
  <c r="A4" i="6"/>
  <c r="B3" i="6"/>
  <c r="A3" i="6"/>
  <c r="A1" i="6"/>
  <c r="F8" i="5"/>
  <c r="E8" i="5"/>
  <c r="D8" i="5"/>
  <c r="C8" i="5"/>
  <c r="B8" i="5"/>
  <c r="B6" i="5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G46" i="4"/>
  <c r="E19" i="4"/>
  <c r="B16" i="4"/>
  <c r="B14" i="4"/>
  <c r="D102" i="3" a="1"/>
  <c r="D106" i="3" s="1"/>
  <c r="B102" i="3" a="1"/>
  <c r="B106" i="3" s="1"/>
  <c r="D101" i="3"/>
  <c r="B101" i="3"/>
  <c r="AD99" i="3"/>
  <c r="AC99" i="3"/>
  <c r="I99" i="3"/>
  <c r="B99" i="3"/>
  <c r="I98" i="3"/>
  <c r="B98" i="3"/>
  <c r="O97" i="3"/>
  <c r="N97" i="3"/>
  <c r="H97" i="3"/>
  <c r="G97" i="3"/>
  <c r="J91" i="3"/>
  <c r="C91" i="3"/>
  <c r="AC89" i="3"/>
  <c r="AD89" i="3" s="1"/>
  <c r="J86" i="3"/>
  <c r="C86" i="3"/>
  <c r="J85" i="3"/>
  <c r="C85" i="3"/>
  <c r="AC84" i="3"/>
  <c r="AD84" i="3" s="1"/>
  <c r="AC79" i="3"/>
  <c r="AD79" i="3" s="1"/>
  <c r="AC69" i="3"/>
  <c r="AD69" i="3" s="1"/>
  <c r="AC64" i="3"/>
  <c r="AD64" i="3" s="1"/>
  <c r="AC59" i="3"/>
  <c r="AD59" i="3" s="1"/>
  <c r="AD54" i="3"/>
  <c r="AC54" i="3"/>
  <c r="AC44" i="3"/>
  <c r="AD44" i="3" s="1"/>
  <c r="AC38" i="3"/>
  <c r="AD38" i="3" s="1"/>
  <c r="G37" i="3"/>
  <c r="G36" i="3"/>
  <c r="L36" i="3" s="1"/>
  <c r="L35" i="3"/>
  <c r="G35" i="3"/>
  <c r="G34" i="3"/>
  <c r="G33" i="3"/>
  <c r="L32" i="3"/>
  <c r="G32" i="3"/>
  <c r="G31" i="3"/>
  <c r="G30" i="3"/>
  <c r="L30" i="3" s="1"/>
  <c r="AC29" i="3"/>
  <c r="AD29" i="3" s="1"/>
  <c r="G29" i="3"/>
  <c r="L28" i="3"/>
  <c r="L27" i="3"/>
  <c r="L26" i="3"/>
  <c r="L25" i="3"/>
  <c r="L24" i="3"/>
  <c r="L23" i="3"/>
  <c r="C23" i="3"/>
  <c r="C24" i="3" s="1"/>
  <c r="L22" i="3"/>
  <c r="K22" i="3"/>
  <c r="AD21" i="3"/>
  <c r="AC21" i="3"/>
  <c r="K21" i="3"/>
  <c r="A13" i="3"/>
  <c r="A16" i="3" s="1"/>
  <c r="AD11" i="3"/>
  <c r="AC11" i="3"/>
  <c r="A9" i="3"/>
  <c r="A10" i="3" s="1"/>
  <c r="A11" i="3" s="1"/>
  <c r="A15" i="3" s="1"/>
  <c r="AD7" i="3"/>
  <c r="AC7" i="3"/>
  <c r="H38" i="2"/>
  <c r="H35" i="2"/>
  <c r="H33" i="2"/>
  <c r="C31" i="2"/>
  <c r="C38" i="2" s="1"/>
  <c r="D38" i="2" s="1"/>
  <c r="C30" i="2"/>
  <c r="D28" i="2" s="1"/>
  <c r="D19" i="2"/>
  <c r="D20" i="2" s="1"/>
  <c r="D15" i="2"/>
  <c r="H33" i="15" l="1"/>
  <c r="H34" i="15"/>
  <c r="K34" i="15" s="1"/>
  <c r="H19" i="15"/>
  <c r="J19" i="15" s="1"/>
  <c r="D27" i="16"/>
  <c r="H27" i="15"/>
  <c r="H29" i="15"/>
  <c r="H23" i="15"/>
  <c r="K23" i="15" s="1"/>
  <c r="H31" i="15"/>
  <c r="K19" i="14"/>
  <c r="J19" i="14"/>
  <c r="E27" i="16"/>
  <c r="I27" i="16" s="1"/>
  <c r="H13" i="14"/>
  <c r="K13" i="14" s="1"/>
  <c r="H14" i="14"/>
  <c r="K14" i="14" s="1"/>
  <c r="J27" i="15"/>
  <c r="K27" i="15"/>
  <c r="K19" i="15"/>
  <c r="K33" i="15"/>
  <c r="J33" i="15"/>
  <c r="K17" i="15"/>
  <c r="J17" i="15"/>
  <c r="D26" i="16"/>
  <c r="E26" i="16" s="1"/>
  <c r="I26" i="16" s="1"/>
  <c r="H30" i="15"/>
  <c r="K30" i="15" s="1"/>
  <c r="H14" i="15"/>
  <c r="J24" i="15"/>
  <c r="J35" i="15"/>
  <c r="D28" i="16"/>
  <c r="E28" i="16" s="1"/>
  <c r="I28" i="16" s="1"/>
  <c r="H9" i="15"/>
  <c r="H15" i="15"/>
  <c r="K15" i="15" s="1"/>
  <c r="H20" i="15"/>
  <c r="K20" i="15" s="1"/>
  <c r="H26" i="15"/>
  <c r="K26" i="15" s="1"/>
  <c r="H32" i="15"/>
  <c r="K32" i="15" s="1"/>
  <c r="H37" i="15"/>
  <c r="J37" i="15" s="1"/>
  <c r="H16" i="15"/>
  <c r="H21" i="15"/>
  <c r="H25" i="15"/>
  <c r="H11" i="15"/>
  <c r="K38" i="15"/>
  <c r="H36" i="15"/>
  <c r="H28" i="15"/>
  <c r="J22" i="14"/>
  <c r="K22" i="14"/>
  <c r="J38" i="14"/>
  <c r="K38" i="14"/>
  <c r="K35" i="14"/>
  <c r="J35" i="14"/>
  <c r="K28" i="14"/>
  <c r="J28" i="14"/>
  <c r="K29" i="14"/>
  <c r="J29" i="14"/>
  <c r="J14" i="14"/>
  <c r="J23" i="13"/>
  <c r="K23" i="13"/>
  <c r="K25" i="13"/>
  <c r="J25" i="13"/>
  <c r="K24" i="13"/>
  <c r="J24" i="13"/>
  <c r="J33" i="13"/>
  <c r="K33" i="13"/>
  <c r="J28" i="13"/>
  <c r="K28" i="13"/>
  <c r="J17" i="13"/>
  <c r="K17" i="13"/>
  <c r="J9" i="13"/>
  <c r="H32" i="13"/>
  <c r="J32" i="13" s="1"/>
  <c r="H16" i="13"/>
  <c r="H22" i="13"/>
  <c r="H38" i="13"/>
  <c r="K12" i="13"/>
  <c r="H18" i="13"/>
  <c r="K18" i="13" s="1"/>
  <c r="H36" i="13"/>
  <c r="H15" i="13"/>
  <c r="K15" i="13" s="1"/>
  <c r="H21" i="13"/>
  <c r="H37" i="13"/>
  <c r="I34" i="5"/>
  <c r="C32" i="6"/>
  <c r="C35" i="6"/>
  <c r="D21" i="6"/>
  <c r="E33" i="7"/>
  <c r="D27" i="2"/>
  <c r="B34" i="7"/>
  <c r="B13" i="7"/>
  <c r="C11" i="7"/>
  <c r="D12" i="7"/>
  <c r="D13" i="7"/>
  <c r="C23" i="7"/>
  <c r="D23" i="7"/>
  <c r="D24" i="7"/>
  <c r="D30" i="7"/>
  <c r="C26" i="6"/>
  <c r="C10" i="6"/>
  <c r="D13" i="6"/>
  <c r="C16" i="6"/>
  <c r="F24" i="7"/>
  <c r="C36" i="7"/>
  <c r="D14" i="7"/>
  <c r="C25" i="7"/>
  <c r="D36" i="7"/>
  <c r="B26" i="7"/>
  <c r="C15" i="7"/>
  <c r="D26" i="7"/>
  <c r="D38" i="7"/>
  <c r="D17" i="7"/>
  <c r="B18" i="7"/>
  <c r="D28" i="7"/>
  <c r="C20" i="7"/>
  <c r="D20" i="7"/>
  <c r="C31" i="7"/>
  <c r="B10" i="7"/>
  <c r="C33" i="7"/>
  <c r="C10" i="7"/>
  <c r="D22" i="7"/>
  <c r="D33" i="7"/>
  <c r="B23" i="7"/>
  <c r="E13" i="6"/>
  <c r="F17" i="6"/>
  <c r="E20" i="6"/>
  <c r="F23" i="6"/>
  <c r="E26" i="6"/>
  <c r="F26" i="6"/>
  <c r="B29" i="6"/>
  <c r="E29" i="6"/>
  <c r="G8" i="6"/>
  <c r="D32" i="6"/>
  <c r="E10" i="6"/>
  <c r="B35" i="6"/>
  <c r="B13" i="6"/>
  <c r="D24" i="3"/>
  <c r="E24" i="3" s="1"/>
  <c r="C25" i="3"/>
  <c r="D23" i="3"/>
  <c r="E23" i="3" s="1"/>
  <c r="D29" i="6"/>
  <c r="L29" i="3"/>
  <c r="L33" i="3"/>
  <c r="D20" i="6"/>
  <c r="D33" i="6"/>
  <c r="D17" i="6"/>
  <c r="D36" i="6"/>
  <c r="D30" i="6"/>
  <c r="D14" i="6"/>
  <c r="D27" i="6"/>
  <c r="D11" i="6"/>
  <c r="D24" i="6"/>
  <c r="D34" i="6"/>
  <c r="D18" i="6"/>
  <c r="D31" i="6"/>
  <c r="D15" i="6"/>
  <c r="D28" i="6"/>
  <c r="D12" i="6"/>
  <c r="D25" i="6"/>
  <c r="D9" i="6"/>
  <c r="D22" i="6"/>
  <c r="D35" i="6"/>
  <c r="D19" i="6"/>
  <c r="D26" i="6"/>
  <c r="D10" i="6"/>
  <c r="E11" i="7"/>
  <c r="E12" i="7"/>
  <c r="E15" i="7"/>
  <c r="E16" i="7"/>
  <c r="E18" i="7"/>
  <c r="E22" i="7"/>
  <c r="E24" i="7"/>
  <c r="E28" i="7"/>
  <c r="E29" i="7"/>
  <c r="E31" i="7"/>
  <c r="E32" i="7"/>
  <c r="E34" i="7"/>
  <c r="E38" i="7"/>
  <c r="E35" i="7"/>
  <c r="E30" i="7"/>
  <c r="E17" i="7"/>
  <c r="E27" i="7"/>
  <c r="E19" i="7"/>
  <c r="E14" i="7"/>
  <c r="E37" i="7"/>
  <c r="E26" i="7"/>
  <c r="E21" i="7"/>
  <c r="E36" i="7"/>
  <c r="E23" i="7"/>
  <c r="E25" i="7"/>
  <c r="E9" i="7"/>
  <c r="E10" i="7"/>
  <c r="E13" i="7"/>
  <c r="F30" i="6"/>
  <c r="F14" i="6"/>
  <c r="F38" i="6"/>
  <c r="F36" i="6"/>
  <c r="F27" i="6"/>
  <c r="F11" i="6"/>
  <c r="F24" i="6"/>
  <c r="F21" i="6"/>
  <c r="F34" i="6"/>
  <c r="F18" i="6"/>
  <c r="F31" i="6"/>
  <c r="F15" i="6"/>
  <c r="F28" i="6"/>
  <c r="F12" i="6"/>
  <c r="F25" i="6"/>
  <c r="F9" i="6"/>
  <c r="F22" i="6"/>
  <c r="F35" i="6"/>
  <c r="F19" i="6"/>
  <c r="F32" i="6"/>
  <c r="F16" i="6"/>
  <c r="F29" i="6"/>
  <c r="F13" i="6"/>
  <c r="F20" i="6"/>
  <c r="D16" i="6"/>
  <c r="B24" i="6"/>
  <c r="B21" i="6"/>
  <c r="B34" i="6"/>
  <c r="B18" i="6"/>
  <c r="B37" i="6"/>
  <c r="B28" i="6"/>
  <c r="B12" i="6"/>
  <c r="B25" i="6"/>
  <c r="B9" i="6"/>
  <c r="B32" i="6"/>
  <c r="B16" i="6"/>
  <c r="B10" i="6"/>
  <c r="B11" i="6"/>
  <c r="B14" i="6"/>
  <c r="B15" i="6"/>
  <c r="B17" i="6"/>
  <c r="B20" i="6"/>
  <c r="B23" i="6"/>
  <c r="B26" i="6"/>
  <c r="B27" i="6"/>
  <c r="B30" i="6"/>
  <c r="B31" i="6"/>
  <c r="B33" i="6"/>
  <c r="B36" i="6"/>
  <c r="B38" i="6"/>
  <c r="F19" i="4"/>
  <c r="C36" i="6"/>
  <c r="C30" i="6"/>
  <c r="C14" i="6"/>
  <c r="C38" i="6"/>
  <c r="C27" i="6"/>
  <c r="C11" i="6"/>
  <c r="C21" i="6"/>
  <c r="C34" i="6"/>
  <c r="C18" i="6"/>
  <c r="C31" i="6"/>
  <c r="C15" i="6"/>
  <c r="C25" i="6"/>
  <c r="C9" i="6"/>
  <c r="C22" i="6"/>
  <c r="C29" i="6"/>
  <c r="C13" i="6"/>
  <c r="C12" i="6"/>
  <c r="C17" i="6"/>
  <c r="C20" i="6"/>
  <c r="C23" i="6"/>
  <c r="C24" i="6"/>
  <c r="C28" i="6"/>
  <c r="C33" i="6"/>
  <c r="L34" i="3"/>
  <c r="F10" i="6"/>
  <c r="D26" i="2"/>
  <c r="D25" i="2"/>
  <c r="D24" i="2"/>
  <c r="L31" i="3"/>
  <c r="B19" i="6"/>
  <c r="L37" i="3"/>
  <c r="E23" i="6"/>
  <c r="M31" i="9"/>
  <c r="M32" i="9" s="1"/>
  <c r="E16" i="6"/>
  <c r="E32" i="6"/>
  <c r="D102" i="3"/>
  <c r="L30" i="5"/>
  <c r="E19" i="6"/>
  <c r="L35" i="6"/>
  <c r="E22" i="6"/>
  <c r="E37" i="6"/>
  <c r="C13" i="7"/>
  <c r="D103" i="3"/>
  <c r="E9" i="6"/>
  <c r="E25" i="6"/>
  <c r="F22" i="9"/>
  <c r="F17" i="9"/>
  <c r="F19" i="9" s="1"/>
  <c r="F21" i="9" s="1"/>
  <c r="F23" i="9" s="1"/>
  <c r="F24" i="9" s="1"/>
  <c r="D104" i="3"/>
  <c r="E12" i="6"/>
  <c r="E28" i="6"/>
  <c r="B17" i="7"/>
  <c r="B27" i="7"/>
  <c r="B11" i="7"/>
  <c r="B24" i="7"/>
  <c r="B37" i="7"/>
  <c r="B21" i="7"/>
  <c r="B31" i="7"/>
  <c r="B15" i="7"/>
  <c r="B25" i="7"/>
  <c r="B9" i="7"/>
  <c r="B22" i="7"/>
  <c r="G8" i="7"/>
  <c r="B16" i="7"/>
  <c r="B29" i="7"/>
  <c r="B102" i="3"/>
  <c r="D105" i="3"/>
  <c r="E15" i="6"/>
  <c r="E31" i="6"/>
  <c r="D37" i="6"/>
  <c r="C30" i="7"/>
  <c r="C14" i="7"/>
  <c r="C24" i="7"/>
  <c r="C37" i="7"/>
  <c r="C21" i="7"/>
  <c r="C34" i="7"/>
  <c r="C18" i="7"/>
  <c r="C28" i="7"/>
  <c r="C12" i="7"/>
  <c r="C38" i="7"/>
  <c r="C22" i="7"/>
  <c r="C35" i="7"/>
  <c r="C19" i="7"/>
  <c r="C16" i="7"/>
  <c r="C29" i="7"/>
  <c r="G8" i="5"/>
  <c r="E18" i="6"/>
  <c r="D27" i="7"/>
  <c r="D11" i="7"/>
  <c r="D37" i="7"/>
  <c r="D21" i="7"/>
  <c r="D34" i="7"/>
  <c r="D18" i="7"/>
  <c r="D31" i="7"/>
  <c r="D15" i="7"/>
  <c r="D25" i="7"/>
  <c r="D9" i="7"/>
  <c r="D35" i="7"/>
  <c r="D19" i="7"/>
  <c r="D32" i="7"/>
  <c r="D16" i="7"/>
  <c r="F11" i="7"/>
  <c r="B14" i="7"/>
  <c r="F16" i="7"/>
  <c r="D29" i="7"/>
  <c r="B103" i="3"/>
  <c r="B9" i="5"/>
  <c r="E21" i="6"/>
  <c r="F37" i="6"/>
  <c r="B19" i="7"/>
  <c r="C27" i="7"/>
  <c r="B104" i="3"/>
  <c r="E24" i="6"/>
  <c r="F21" i="7"/>
  <c r="F15" i="7"/>
  <c r="F12" i="7"/>
  <c r="F25" i="7"/>
  <c r="F9" i="7"/>
  <c r="F19" i="7"/>
  <c r="F13" i="7"/>
  <c r="F10" i="7"/>
  <c r="C32" i="7"/>
  <c r="M17" i="9"/>
  <c r="M19" i="9" s="1"/>
  <c r="M21" i="9" s="1"/>
  <c r="M23" i="9" s="1"/>
  <c r="M24" i="9" s="1"/>
  <c r="B105" i="3"/>
  <c r="E11" i="6"/>
  <c r="E27" i="6"/>
  <c r="E38" i="6"/>
  <c r="C9" i="7"/>
  <c r="C17" i="7"/>
  <c r="B30" i="7"/>
  <c r="E14" i="6"/>
  <c r="E30" i="6"/>
  <c r="B35" i="7"/>
  <c r="E17" i="6"/>
  <c r="B12" i="7"/>
  <c r="B20" i="7"/>
  <c r="F22" i="7"/>
  <c r="K21" i="14"/>
  <c r="J21" i="14"/>
  <c r="K37" i="14"/>
  <c r="J37" i="14"/>
  <c r="K12" i="15"/>
  <c r="J12" i="15"/>
  <c r="J35" i="13"/>
  <c r="K35" i="13"/>
  <c r="K27" i="14"/>
  <c r="J27" i="14"/>
  <c r="K28" i="15"/>
  <c r="J28" i="15"/>
  <c r="J14" i="13"/>
  <c r="J20" i="13"/>
  <c r="K16" i="14"/>
  <c r="K32" i="14"/>
  <c r="J13" i="15"/>
  <c r="K13" i="15"/>
  <c r="K21" i="13"/>
  <c r="J21" i="13"/>
  <c r="J30" i="13"/>
  <c r="J18" i="15"/>
  <c r="J29" i="15"/>
  <c r="K29" i="15"/>
  <c r="B25" i="16"/>
  <c r="E25" i="16" s="1"/>
  <c r="I25" i="16" s="1"/>
  <c r="H11" i="13"/>
  <c r="K16" i="13"/>
  <c r="J16" i="13"/>
  <c r="K26" i="13"/>
  <c r="J26" i="13"/>
  <c r="K31" i="13"/>
  <c r="J31" i="13"/>
  <c r="J34" i="15"/>
  <c r="K22" i="13"/>
  <c r="J22" i="13"/>
  <c r="K37" i="13"/>
  <c r="J37" i="13"/>
  <c r="K32" i="13"/>
  <c r="K23" i="14"/>
  <c r="J23" i="14"/>
  <c r="K9" i="15"/>
  <c r="J9" i="15"/>
  <c r="D23" i="16"/>
  <c r="E23" i="16" s="1"/>
  <c r="I23" i="16" s="1"/>
  <c r="K38" i="13"/>
  <c r="J38" i="13"/>
  <c r="K25" i="15"/>
  <c r="J25" i="15"/>
  <c r="J30" i="15"/>
  <c r="K27" i="13"/>
  <c r="H10" i="15"/>
  <c r="D24" i="16"/>
  <c r="K31" i="15"/>
  <c r="J31" i="15"/>
  <c r="C24" i="16"/>
  <c r="J24" i="14"/>
  <c r="K24" i="14"/>
  <c r="K16" i="15"/>
  <c r="J16" i="15"/>
  <c r="K36" i="15"/>
  <c r="J36" i="15"/>
  <c r="K34" i="13"/>
  <c r="J34" i="13"/>
  <c r="K20" i="14"/>
  <c r="J20" i="14"/>
  <c r="J25" i="14"/>
  <c r="J30" i="14"/>
  <c r="K36" i="14"/>
  <c r="J36" i="14"/>
  <c r="K37" i="15"/>
  <c r="J19" i="13"/>
  <c r="K19" i="13"/>
  <c r="K15" i="14"/>
  <c r="J15" i="14"/>
  <c r="K26" i="14"/>
  <c r="J26" i="14"/>
  <c r="K31" i="14"/>
  <c r="J31" i="14"/>
  <c r="H10" i="13"/>
  <c r="J13" i="13"/>
  <c r="J29" i="13"/>
  <c r="J18" i="14"/>
  <c r="J34" i="14"/>
  <c r="J23" i="15"/>
  <c r="H17" i="14"/>
  <c r="H33" i="14"/>
  <c r="H22" i="15"/>
  <c r="J20" i="15" l="1"/>
  <c r="J32" i="15"/>
  <c r="J26" i="15"/>
  <c r="J13" i="14"/>
  <c r="K14" i="15"/>
  <c r="J14" i="15"/>
  <c r="J15" i="15"/>
  <c r="J11" i="15"/>
  <c r="K11" i="15"/>
  <c r="J21" i="15"/>
  <c r="K21" i="15"/>
  <c r="E24" i="16"/>
  <c r="I24" i="16" s="1"/>
  <c r="J18" i="13"/>
  <c r="J15" i="13"/>
  <c r="K36" i="13"/>
  <c r="J36" i="13"/>
  <c r="G11" i="5"/>
  <c r="L18" i="7"/>
  <c r="I23" i="5"/>
  <c r="G34" i="5"/>
  <c r="B7" i="8" s="1"/>
  <c r="L34" i="5"/>
  <c r="G36" i="7"/>
  <c r="L23" i="5"/>
  <c r="L27" i="5"/>
  <c r="L19" i="5"/>
  <c r="L15" i="5"/>
  <c r="L13" i="6"/>
  <c r="I11" i="5"/>
  <c r="L11" i="5"/>
  <c r="K34" i="5"/>
  <c r="G26" i="7"/>
  <c r="D15" i="8" s="1"/>
  <c r="G35" i="6"/>
  <c r="C6" i="8" s="1"/>
  <c r="I27" i="5"/>
  <c r="G13" i="7"/>
  <c r="I13" i="7" s="1"/>
  <c r="G23" i="5"/>
  <c r="K23" i="5" s="1"/>
  <c r="H34" i="5"/>
  <c r="J34" i="5" s="1"/>
  <c r="I35" i="6"/>
  <c r="G10" i="7"/>
  <c r="D31" i="8" s="1"/>
  <c r="G37" i="5"/>
  <c r="K37" i="5" s="1"/>
  <c r="L37" i="5"/>
  <c r="L36" i="7"/>
  <c r="G28" i="7"/>
  <c r="I28" i="7" s="1"/>
  <c r="L34" i="7"/>
  <c r="G23" i="7"/>
  <c r="I23" i="7" s="1"/>
  <c r="L29" i="6"/>
  <c r="I29" i="6"/>
  <c r="I22" i="6"/>
  <c r="G13" i="6"/>
  <c r="K13" i="6" s="1"/>
  <c r="L26" i="7"/>
  <c r="L23" i="7"/>
  <c r="G18" i="7"/>
  <c r="H18" i="7"/>
  <c r="J18" i="7" s="1"/>
  <c r="G34" i="7"/>
  <c r="K34" i="7" s="1"/>
  <c r="L13" i="7"/>
  <c r="L10" i="7"/>
  <c r="L28" i="7"/>
  <c r="G22" i="6"/>
  <c r="C19" i="8" s="1"/>
  <c r="L22" i="6"/>
  <c r="G29" i="6"/>
  <c r="K29" i="6" s="1"/>
  <c r="I13" i="6"/>
  <c r="B30" i="8"/>
  <c r="K11" i="5"/>
  <c r="H11" i="5"/>
  <c r="J11" i="5" s="1"/>
  <c r="C28" i="8"/>
  <c r="L17" i="6"/>
  <c r="G17" i="6"/>
  <c r="I17" i="6"/>
  <c r="L35" i="7"/>
  <c r="G35" i="7"/>
  <c r="L11" i="7"/>
  <c r="G11" i="7"/>
  <c r="K10" i="13"/>
  <c r="J10" i="13"/>
  <c r="L17" i="7"/>
  <c r="G17" i="7"/>
  <c r="L17" i="5"/>
  <c r="G17" i="5"/>
  <c r="I17" i="5"/>
  <c r="G11" i="6"/>
  <c r="L11" i="6"/>
  <c r="I11" i="6"/>
  <c r="G19" i="5"/>
  <c r="L29" i="7"/>
  <c r="G29" i="7"/>
  <c r="L33" i="7"/>
  <c r="G33" i="7"/>
  <c r="I22" i="5"/>
  <c r="G22" i="5"/>
  <c r="L22" i="5"/>
  <c r="L33" i="5"/>
  <c r="I33" i="5"/>
  <c r="G33" i="5"/>
  <c r="L10" i="6"/>
  <c r="I10" i="6"/>
  <c r="G10" i="6"/>
  <c r="I19" i="5"/>
  <c r="F23" i="3"/>
  <c r="H23" i="3" s="1"/>
  <c r="I26" i="5"/>
  <c r="G26" i="5"/>
  <c r="L26" i="5"/>
  <c r="L31" i="5"/>
  <c r="I31" i="5"/>
  <c r="G31" i="5"/>
  <c r="L28" i="5"/>
  <c r="G28" i="5"/>
  <c r="I28" i="5"/>
  <c r="L13" i="5"/>
  <c r="G13" i="5"/>
  <c r="I13" i="5"/>
  <c r="G16" i="7"/>
  <c r="L16" i="7"/>
  <c r="I18" i="5"/>
  <c r="G18" i="5"/>
  <c r="L18" i="5"/>
  <c r="L16" i="6"/>
  <c r="I16" i="6"/>
  <c r="G16" i="6"/>
  <c r="L21" i="5"/>
  <c r="G21" i="5"/>
  <c r="I21" i="5"/>
  <c r="I15" i="6"/>
  <c r="G15" i="6"/>
  <c r="L15" i="6"/>
  <c r="J11" i="13"/>
  <c r="K11" i="13"/>
  <c r="L20" i="7"/>
  <c r="G20" i="7"/>
  <c r="K13" i="7"/>
  <c r="H13" i="7"/>
  <c r="J13" i="7" s="1"/>
  <c r="D28" i="8"/>
  <c r="I14" i="5"/>
  <c r="G14" i="5"/>
  <c r="L14" i="5"/>
  <c r="L32" i="6"/>
  <c r="I32" i="6"/>
  <c r="G32" i="6"/>
  <c r="K36" i="7"/>
  <c r="I36" i="7"/>
  <c r="H36" i="7"/>
  <c r="J36" i="7" s="1"/>
  <c r="D5" i="8"/>
  <c r="G12" i="7"/>
  <c r="L12" i="7"/>
  <c r="G32" i="7"/>
  <c r="L32" i="7"/>
  <c r="L9" i="5"/>
  <c r="G9" i="5"/>
  <c r="I9" i="5"/>
  <c r="I10" i="5"/>
  <c r="G10" i="5"/>
  <c r="L10" i="5"/>
  <c r="I38" i="6"/>
  <c r="G38" i="6"/>
  <c r="L38" i="6"/>
  <c r="L9" i="6"/>
  <c r="I9" i="6"/>
  <c r="G9" i="6"/>
  <c r="H23" i="5"/>
  <c r="J23" i="5" s="1"/>
  <c r="G22" i="7"/>
  <c r="L22" i="7"/>
  <c r="I37" i="5"/>
  <c r="F31" i="9"/>
  <c r="F32" i="9" s="1"/>
  <c r="G36" i="6"/>
  <c r="L36" i="6"/>
  <c r="I36" i="6"/>
  <c r="L25" i="6"/>
  <c r="I25" i="6"/>
  <c r="G25" i="6"/>
  <c r="G15" i="5"/>
  <c r="L14" i="6"/>
  <c r="I14" i="6"/>
  <c r="G14" i="6"/>
  <c r="I15" i="5"/>
  <c r="G30" i="5"/>
  <c r="L19" i="7"/>
  <c r="G19" i="7"/>
  <c r="L19" i="6"/>
  <c r="I19" i="6"/>
  <c r="G19" i="6"/>
  <c r="L33" i="6"/>
  <c r="G33" i="6"/>
  <c r="I33" i="6"/>
  <c r="K10" i="15"/>
  <c r="J10" i="15"/>
  <c r="G9" i="7"/>
  <c r="L9" i="7"/>
  <c r="I29" i="5"/>
  <c r="G29" i="5"/>
  <c r="L29" i="5"/>
  <c r="I31" i="6"/>
  <c r="G31" i="6"/>
  <c r="L31" i="6"/>
  <c r="L28" i="6"/>
  <c r="I28" i="6"/>
  <c r="G28" i="6"/>
  <c r="I30" i="5"/>
  <c r="J22" i="15"/>
  <c r="K22" i="15"/>
  <c r="L24" i="5"/>
  <c r="I24" i="5"/>
  <c r="G24" i="5"/>
  <c r="G38" i="7"/>
  <c r="L38" i="7"/>
  <c r="L12" i="6"/>
  <c r="I12" i="6"/>
  <c r="G12" i="6"/>
  <c r="J33" i="14"/>
  <c r="K33" i="14"/>
  <c r="J17" i="14"/>
  <c r="K17" i="14"/>
  <c r="L20" i="5"/>
  <c r="I20" i="5"/>
  <c r="G20" i="5"/>
  <c r="G25" i="7"/>
  <c r="L25" i="7"/>
  <c r="L30" i="6"/>
  <c r="I30" i="6"/>
  <c r="G30" i="6"/>
  <c r="L37" i="6"/>
  <c r="G4" i="8" s="1"/>
  <c r="H4" i="8" s="1"/>
  <c r="I37" i="6"/>
  <c r="G37" i="6"/>
  <c r="C4" i="8" s="1"/>
  <c r="E4" i="8" s="1"/>
  <c r="D25" i="3"/>
  <c r="E25" i="3" s="1"/>
  <c r="C26" i="3"/>
  <c r="L27" i="7"/>
  <c r="G27" i="7"/>
  <c r="L36" i="5"/>
  <c r="I36" i="5"/>
  <c r="G36" i="5"/>
  <c r="F24" i="3"/>
  <c r="H24" i="3" s="1"/>
  <c r="G14" i="7"/>
  <c r="L14" i="7"/>
  <c r="I32" i="5"/>
  <c r="G32" i="5"/>
  <c r="L32" i="5"/>
  <c r="L15" i="7"/>
  <c r="G15" i="7"/>
  <c r="G27" i="6"/>
  <c r="L27" i="6"/>
  <c r="I27" i="6"/>
  <c r="I18" i="6"/>
  <c r="G18" i="6"/>
  <c r="L18" i="6"/>
  <c r="L16" i="5"/>
  <c r="I16" i="5"/>
  <c r="G16" i="5"/>
  <c r="L30" i="7"/>
  <c r="G30" i="7"/>
  <c r="L31" i="7"/>
  <c r="G31" i="7"/>
  <c r="L26" i="6"/>
  <c r="I26" i="6"/>
  <c r="G26" i="6"/>
  <c r="I34" i="6"/>
  <c r="G34" i="6"/>
  <c r="L34" i="6"/>
  <c r="G27" i="5"/>
  <c r="K22" i="6"/>
  <c r="L21" i="7"/>
  <c r="G21" i="7"/>
  <c r="I21" i="6"/>
  <c r="G21" i="6"/>
  <c r="L21" i="6"/>
  <c r="H28" i="7"/>
  <c r="J28" i="7" s="1"/>
  <c r="L24" i="7"/>
  <c r="G24" i="7"/>
  <c r="L38" i="5"/>
  <c r="G38" i="5"/>
  <c r="I38" i="5"/>
  <c r="L23" i="6"/>
  <c r="I23" i="6"/>
  <c r="G23" i="6"/>
  <c r="L12" i="5"/>
  <c r="I12" i="5"/>
  <c r="G12" i="5"/>
  <c r="L25" i="5"/>
  <c r="I25" i="5"/>
  <c r="G25" i="5"/>
  <c r="G35" i="5"/>
  <c r="L35" i="5"/>
  <c r="I35" i="5"/>
  <c r="G37" i="7"/>
  <c r="L37" i="7"/>
  <c r="L20" i="6"/>
  <c r="I20" i="6"/>
  <c r="G20" i="6"/>
  <c r="G24" i="6"/>
  <c r="L24" i="6"/>
  <c r="I24" i="6"/>
  <c r="K35" i="6" l="1"/>
  <c r="H35" i="6"/>
  <c r="J35" i="6" s="1"/>
  <c r="D7" i="8"/>
  <c r="I26" i="7"/>
  <c r="K26" i="7"/>
  <c r="H26" i="7"/>
  <c r="J26" i="7" s="1"/>
  <c r="B18" i="8"/>
  <c r="G18" i="8"/>
  <c r="H18" i="8" s="1"/>
  <c r="H13" i="6"/>
  <c r="J13" i="6" s="1"/>
  <c r="G30" i="8"/>
  <c r="H30" i="8" s="1"/>
  <c r="H10" i="7"/>
  <c r="J10" i="7" s="1"/>
  <c r="I10" i="7"/>
  <c r="H37" i="5"/>
  <c r="J37" i="5" s="1"/>
  <c r="K10" i="7"/>
  <c r="G14" i="8"/>
  <c r="H14" i="8" s="1"/>
  <c r="D18" i="8"/>
  <c r="G6" i="8"/>
  <c r="H6" i="8" s="1"/>
  <c r="I34" i="7"/>
  <c r="G7" i="8"/>
  <c r="H7" i="8" s="1"/>
  <c r="H23" i="7"/>
  <c r="J23" i="7" s="1"/>
  <c r="H34" i="7"/>
  <c r="J34" i="7" s="1"/>
  <c r="K23" i="7"/>
  <c r="K28" i="7"/>
  <c r="D13" i="8"/>
  <c r="C12" i="8"/>
  <c r="G9" i="8"/>
  <c r="H9" i="8" s="1"/>
  <c r="G16" i="8"/>
  <c r="H16" i="8" s="1"/>
  <c r="H29" i="6"/>
  <c r="J29" i="6" s="1"/>
  <c r="G19" i="8"/>
  <c r="H19" i="8" s="1"/>
  <c r="G5" i="8"/>
  <c r="H5" i="8" s="1"/>
  <c r="G26" i="8"/>
  <c r="H26" i="8" s="1"/>
  <c r="G22" i="8"/>
  <c r="H22" i="8" s="1"/>
  <c r="G12" i="8"/>
  <c r="H12" i="8" s="1"/>
  <c r="G11" i="8"/>
  <c r="H11" i="8" s="1"/>
  <c r="D23" i="8"/>
  <c r="I18" i="7"/>
  <c r="K18" i="7"/>
  <c r="G28" i="8"/>
  <c r="H28" i="8" s="1"/>
  <c r="G29" i="8"/>
  <c r="H29" i="8" s="1"/>
  <c r="H22" i="6"/>
  <c r="J22" i="6" s="1"/>
  <c r="G21" i="8"/>
  <c r="H21" i="8" s="1"/>
  <c r="H9" i="7"/>
  <c r="J9" i="7" s="1"/>
  <c r="I9" i="7"/>
  <c r="D32" i="8"/>
  <c r="K9" i="7"/>
  <c r="C30" i="8"/>
  <c r="H11" i="6"/>
  <c r="J11" i="6" s="1"/>
  <c r="K11" i="6"/>
  <c r="C24" i="8"/>
  <c r="K17" i="6"/>
  <c r="H17" i="6"/>
  <c r="J17" i="6" s="1"/>
  <c r="B14" i="8"/>
  <c r="K27" i="5"/>
  <c r="H27" i="5"/>
  <c r="J27" i="5" s="1"/>
  <c r="B16" i="8"/>
  <c r="K25" i="5"/>
  <c r="H25" i="5"/>
  <c r="J25" i="5" s="1"/>
  <c r="K27" i="7"/>
  <c r="H27" i="7"/>
  <c r="J27" i="7" s="1"/>
  <c r="D14" i="8"/>
  <c r="I27" i="7"/>
  <c r="C13" i="8"/>
  <c r="K28" i="6"/>
  <c r="H28" i="6"/>
  <c r="J28" i="6" s="1"/>
  <c r="K9" i="6"/>
  <c r="H9" i="6"/>
  <c r="J9" i="6" s="1"/>
  <c r="C32" i="8"/>
  <c r="K16" i="6"/>
  <c r="C25" i="8"/>
  <c r="H16" i="6"/>
  <c r="J16" i="6" s="1"/>
  <c r="B13" i="8"/>
  <c r="K28" i="5"/>
  <c r="H28" i="5"/>
  <c r="J28" i="5" s="1"/>
  <c r="B24" i="8"/>
  <c r="K17" i="5"/>
  <c r="H17" i="5"/>
  <c r="J17" i="5" s="1"/>
  <c r="C14" i="8"/>
  <c r="H27" i="6"/>
  <c r="J27" i="6" s="1"/>
  <c r="K27" i="6"/>
  <c r="B26" i="8"/>
  <c r="K15" i="5"/>
  <c r="H15" i="5"/>
  <c r="J15" i="5" s="1"/>
  <c r="G13" i="8"/>
  <c r="H13" i="8" s="1"/>
  <c r="K33" i="5"/>
  <c r="H33" i="5"/>
  <c r="J33" i="5" s="1"/>
  <c r="B8" i="8"/>
  <c r="G24" i="8"/>
  <c r="H24" i="8" s="1"/>
  <c r="H35" i="5"/>
  <c r="J35" i="5" s="1"/>
  <c r="B6" i="8"/>
  <c r="K35" i="5"/>
  <c r="D26" i="3"/>
  <c r="E26" i="3" s="1"/>
  <c r="C27" i="3"/>
  <c r="C8" i="8"/>
  <c r="K33" i="6"/>
  <c r="H33" i="6"/>
  <c r="J33" i="6" s="1"/>
  <c r="K25" i="6"/>
  <c r="H25" i="6"/>
  <c r="J25" i="6" s="1"/>
  <c r="C16" i="8"/>
  <c r="K20" i="7"/>
  <c r="I20" i="7"/>
  <c r="H20" i="7"/>
  <c r="J20" i="7" s="1"/>
  <c r="D21" i="8"/>
  <c r="B10" i="8"/>
  <c r="K31" i="5"/>
  <c r="H31" i="5"/>
  <c r="J31" i="5" s="1"/>
  <c r="C15" i="8"/>
  <c r="K26" i="6"/>
  <c r="H26" i="6"/>
  <c r="J26" i="6" s="1"/>
  <c r="F25" i="3"/>
  <c r="H25" i="3" s="1"/>
  <c r="G8" i="8"/>
  <c r="H8" i="8" s="1"/>
  <c r="I12" i="7"/>
  <c r="D29" i="8"/>
  <c r="H12" i="7"/>
  <c r="J12" i="7" s="1"/>
  <c r="K12" i="7"/>
  <c r="K37" i="6"/>
  <c r="H37" i="6"/>
  <c r="J37" i="6" s="1"/>
  <c r="C29" i="8"/>
  <c r="K12" i="6"/>
  <c r="H12" i="6"/>
  <c r="J12" i="6" s="1"/>
  <c r="C10" i="8"/>
  <c r="K31" i="6"/>
  <c r="H31" i="6"/>
  <c r="J31" i="6" s="1"/>
  <c r="C22" i="8"/>
  <c r="K19" i="6"/>
  <c r="H19" i="6"/>
  <c r="J19" i="6" s="1"/>
  <c r="K38" i="6"/>
  <c r="H38" i="6"/>
  <c r="J38" i="6" s="1"/>
  <c r="C9" i="8"/>
  <c r="K32" i="6"/>
  <c r="H32" i="6"/>
  <c r="J32" i="6" s="1"/>
  <c r="G10" i="8"/>
  <c r="H10" i="8" s="1"/>
  <c r="C7" i="8"/>
  <c r="E7" i="8" s="1"/>
  <c r="H34" i="6"/>
  <c r="J34" i="6" s="1"/>
  <c r="K34" i="6"/>
  <c r="B29" i="8"/>
  <c r="K12" i="5"/>
  <c r="H12" i="5"/>
  <c r="J12" i="5" s="1"/>
  <c r="C18" i="8"/>
  <c r="E18" i="8" s="1"/>
  <c r="K23" i="6"/>
  <c r="H23" i="6"/>
  <c r="J23" i="6" s="1"/>
  <c r="H31" i="7"/>
  <c r="J31" i="7" s="1"/>
  <c r="D10" i="8"/>
  <c r="K31" i="7"/>
  <c r="I31" i="7"/>
  <c r="B9" i="8"/>
  <c r="H32" i="5"/>
  <c r="J32" i="5" s="1"/>
  <c r="K32" i="5"/>
  <c r="G15" i="8"/>
  <c r="H15" i="8" s="1"/>
  <c r="H22" i="5"/>
  <c r="J22" i="5" s="1"/>
  <c r="B19" i="8"/>
  <c r="K22" i="5"/>
  <c r="I17" i="7"/>
  <c r="D24" i="8"/>
  <c r="H17" i="7"/>
  <c r="J17" i="7" s="1"/>
  <c r="K17" i="7"/>
  <c r="H15" i="7"/>
  <c r="J15" i="7" s="1"/>
  <c r="K15" i="7"/>
  <c r="I15" i="7"/>
  <c r="D26" i="8"/>
  <c r="H24" i="6"/>
  <c r="J24" i="6" s="1"/>
  <c r="C17" i="8"/>
  <c r="K24" i="6"/>
  <c r="G31" i="8"/>
  <c r="H31" i="8" s="1"/>
  <c r="B15" i="8"/>
  <c r="K26" i="5"/>
  <c r="H26" i="5"/>
  <c r="J26" i="5" s="1"/>
  <c r="C21" i="8"/>
  <c r="K20" i="6"/>
  <c r="H20" i="6"/>
  <c r="J20" i="6" s="1"/>
  <c r="C20" i="8"/>
  <c r="H21" i="6"/>
  <c r="J21" i="6" s="1"/>
  <c r="K21" i="6"/>
  <c r="D11" i="8"/>
  <c r="K30" i="7"/>
  <c r="I30" i="7"/>
  <c r="H30" i="7"/>
  <c r="J30" i="7" s="1"/>
  <c r="C11" i="8"/>
  <c r="K30" i="6"/>
  <c r="H30" i="6"/>
  <c r="J30" i="6" s="1"/>
  <c r="D22" i="8"/>
  <c r="I19" i="7"/>
  <c r="H19" i="7"/>
  <c r="J19" i="7" s="1"/>
  <c r="K19" i="7"/>
  <c r="C5" i="8"/>
  <c r="H36" i="6"/>
  <c r="J36" i="6" s="1"/>
  <c r="K36" i="6"/>
  <c r="B31" i="8"/>
  <c r="H10" i="5"/>
  <c r="J10" i="5" s="1"/>
  <c r="K10" i="5"/>
  <c r="C26" i="8"/>
  <c r="K15" i="6"/>
  <c r="H15" i="6"/>
  <c r="J15" i="6" s="1"/>
  <c r="G23" i="8"/>
  <c r="H23" i="8" s="1"/>
  <c r="I33" i="7"/>
  <c r="D8" i="8"/>
  <c r="K33" i="7"/>
  <c r="H33" i="7"/>
  <c r="J33" i="7" s="1"/>
  <c r="H18" i="5"/>
  <c r="J18" i="5" s="1"/>
  <c r="K18" i="5"/>
  <c r="B23" i="8"/>
  <c r="B17" i="8"/>
  <c r="K24" i="5"/>
  <c r="H24" i="5"/>
  <c r="J24" i="5" s="1"/>
  <c r="B11" i="8"/>
  <c r="K30" i="5"/>
  <c r="H30" i="5"/>
  <c r="J30" i="5" s="1"/>
  <c r="B76" i="3" a="1"/>
  <c r="K29" i="7"/>
  <c r="H29" i="7"/>
  <c r="J29" i="7" s="1"/>
  <c r="D12" i="8"/>
  <c r="I29" i="7"/>
  <c r="K11" i="7"/>
  <c r="D30" i="8"/>
  <c r="I11" i="7"/>
  <c r="H11" i="7"/>
  <c r="J11" i="7" s="1"/>
  <c r="D20" i="8"/>
  <c r="K21" i="7"/>
  <c r="I21" i="7"/>
  <c r="H21" i="7"/>
  <c r="J21" i="7" s="1"/>
  <c r="B32" i="8"/>
  <c r="K9" i="5"/>
  <c r="H9" i="5"/>
  <c r="J9" i="5" s="1"/>
  <c r="B20" i="8"/>
  <c r="K21" i="5"/>
  <c r="H21" i="5"/>
  <c r="J21" i="5" s="1"/>
  <c r="D27" i="8"/>
  <c r="K14" i="7"/>
  <c r="H14" i="7"/>
  <c r="J14" i="7" s="1"/>
  <c r="I14" i="7"/>
  <c r="K38" i="5"/>
  <c r="H38" i="5"/>
  <c r="J38" i="5" s="1"/>
  <c r="K37" i="7"/>
  <c r="I37" i="7"/>
  <c r="H37" i="7"/>
  <c r="J37" i="7" s="1"/>
  <c r="G25" i="8"/>
  <c r="H25" i="8" s="1"/>
  <c r="G17" i="8"/>
  <c r="H17" i="8" s="1"/>
  <c r="H29" i="5"/>
  <c r="J29" i="5" s="1"/>
  <c r="B12" i="8"/>
  <c r="K29" i="5"/>
  <c r="C27" i="8"/>
  <c r="K14" i="6"/>
  <c r="H14" i="6"/>
  <c r="J14" i="6" s="1"/>
  <c r="G32" i="8"/>
  <c r="H32" i="8" s="1"/>
  <c r="G27" i="8"/>
  <c r="H27" i="8" s="1"/>
  <c r="G20" i="8"/>
  <c r="H20" i="8" s="1"/>
  <c r="K16" i="7"/>
  <c r="I16" i="7"/>
  <c r="H16" i="7"/>
  <c r="J16" i="7" s="1"/>
  <c r="D25" i="8"/>
  <c r="K19" i="5"/>
  <c r="B22" i="8"/>
  <c r="H19" i="5"/>
  <c r="J19" i="5" s="1"/>
  <c r="D6" i="8"/>
  <c r="I35" i="7"/>
  <c r="H35" i="7"/>
  <c r="J35" i="7" s="1"/>
  <c r="K35" i="7"/>
  <c r="H25" i="7"/>
  <c r="J25" i="7" s="1"/>
  <c r="D16" i="8"/>
  <c r="I25" i="7"/>
  <c r="K25" i="7"/>
  <c r="K22" i="7"/>
  <c r="I22" i="7"/>
  <c r="H22" i="7"/>
  <c r="J22" i="7" s="1"/>
  <c r="D19" i="8"/>
  <c r="B27" i="8"/>
  <c r="H14" i="5"/>
  <c r="J14" i="5" s="1"/>
  <c r="K14" i="5"/>
  <c r="K38" i="7"/>
  <c r="I38" i="7"/>
  <c r="H38" i="7"/>
  <c r="J38" i="7" s="1"/>
  <c r="B25" i="8"/>
  <c r="K16" i="5"/>
  <c r="H16" i="5"/>
  <c r="J16" i="5" s="1"/>
  <c r="D17" i="8"/>
  <c r="K24" i="7"/>
  <c r="I24" i="7"/>
  <c r="H24" i="7"/>
  <c r="J24" i="7" s="1"/>
  <c r="H18" i="6"/>
  <c r="J18" i="6" s="1"/>
  <c r="K18" i="6"/>
  <c r="C23" i="8"/>
  <c r="B5" i="8"/>
  <c r="K36" i="5"/>
  <c r="H36" i="5"/>
  <c r="J36" i="5" s="1"/>
  <c r="B21" i="8"/>
  <c r="K20" i="5"/>
  <c r="H20" i="5"/>
  <c r="J20" i="5" s="1"/>
  <c r="K32" i="7"/>
  <c r="I32" i="7"/>
  <c r="H32" i="7"/>
  <c r="J32" i="7" s="1"/>
  <c r="D9" i="8"/>
  <c r="B28" i="8"/>
  <c r="E28" i="8" s="1"/>
  <c r="K13" i="5"/>
  <c r="H13" i="5"/>
  <c r="J13" i="5" s="1"/>
  <c r="C31" i="8"/>
  <c r="K10" i="6"/>
  <c r="H10" i="6"/>
  <c r="J10" i="6" s="1"/>
  <c r="E6" i="8" l="1"/>
  <c r="E15" i="8"/>
  <c r="E8" i="8"/>
  <c r="E21" i="8"/>
  <c r="E32" i="8"/>
  <c r="E30" i="8"/>
  <c r="E22" i="8"/>
  <c r="E19" i="8"/>
  <c r="E16" i="8"/>
  <c r="E14" i="8"/>
  <c r="E20" i="8"/>
  <c r="E12" i="8"/>
  <c r="E9" i="8"/>
  <c r="E5" i="8"/>
  <c r="E17" i="8"/>
  <c r="E31" i="8"/>
  <c r="E10" i="8"/>
  <c r="E13" i="8"/>
  <c r="B76" i="3"/>
  <c r="B80" i="3"/>
  <c r="C79" i="3"/>
  <c r="B79" i="3"/>
  <c r="C78" i="3"/>
  <c r="C84" i="3" s="1"/>
  <c r="B78" i="3"/>
  <c r="C76" i="3"/>
  <c r="C98" i="3" s="1" a="1"/>
  <c r="C77" i="3"/>
  <c r="D98" i="3" s="1" a="1"/>
  <c r="C80" i="3"/>
  <c r="B77" i="3"/>
  <c r="E25" i="8"/>
  <c r="E11" i="8"/>
  <c r="E26" i="8"/>
  <c r="E23" i="8"/>
  <c r="E27" i="8"/>
  <c r="C28" i="3"/>
  <c r="D27" i="3"/>
  <c r="E27" i="3" s="1"/>
  <c r="F26" i="3"/>
  <c r="H26" i="3" s="1"/>
  <c r="E29" i="8"/>
  <c r="E24" i="8"/>
  <c r="M16" i="8"/>
  <c r="M11" i="8"/>
  <c r="M28" i="8"/>
  <c r="M7" i="8"/>
  <c r="M23" i="8"/>
  <c r="M24" i="8"/>
  <c r="M26" i="8"/>
  <c r="M12" i="8"/>
  <c r="M13" i="8"/>
  <c r="M21" i="8"/>
  <c r="M29" i="8"/>
  <c r="M8" i="8"/>
  <c r="M5" i="8"/>
  <c r="M6" i="8"/>
  <c r="M17" i="8"/>
  <c r="M19" i="8"/>
  <c r="M25" i="8"/>
  <c r="M4" i="8"/>
  <c r="M10" i="8"/>
  <c r="M18" i="8"/>
  <c r="M9" i="8"/>
  <c r="M20" i="8"/>
  <c r="M15" i="8"/>
  <c r="M14" i="8"/>
  <c r="M22" i="8"/>
  <c r="M30" i="8"/>
  <c r="M27" i="8"/>
  <c r="B5" i="10" l="1"/>
  <c r="B31" i="10"/>
  <c r="B15" i="10"/>
  <c r="B30" i="10"/>
  <c r="B14" i="10"/>
  <c r="B29" i="10"/>
  <c r="B13" i="10"/>
  <c r="B28" i="10"/>
  <c r="B12" i="10"/>
  <c r="B27" i="10"/>
  <c r="B11" i="10"/>
  <c r="B26" i="10"/>
  <c r="B10" i="10"/>
  <c r="B25" i="10"/>
  <c r="B9" i="10"/>
  <c r="B24" i="10"/>
  <c r="B8" i="10"/>
  <c r="B23" i="10"/>
  <c r="B7" i="10"/>
  <c r="B22" i="10"/>
  <c r="B6" i="10"/>
  <c r="B21" i="10"/>
  <c r="B20" i="10"/>
  <c r="B19" i="10"/>
  <c r="B18" i="10"/>
  <c r="B17" i="10"/>
  <c r="B16" i="10"/>
  <c r="C83" i="3"/>
  <c r="C87" i="3"/>
  <c r="F27" i="3"/>
  <c r="H27" i="3" s="1"/>
  <c r="D98" i="3"/>
  <c r="D99" i="3"/>
  <c r="C29" i="3"/>
  <c r="D28" i="3"/>
  <c r="E28" i="3" s="1"/>
  <c r="E91" i="3"/>
  <c r="D93" i="3"/>
  <c r="D91" i="3"/>
  <c r="C98" i="3"/>
  <c r="C99" i="3"/>
  <c r="F91" i="3"/>
  <c r="G91" i="3"/>
  <c r="E92" i="3"/>
  <c r="D92" i="3"/>
  <c r="C92" i="3"/>
  <c r="C93" i="3"/>
  <c r="D19" i="10"/>
  <c r="D5" i="10"/>
  <c r="D17" i="10"/>
  <c r="D15" i="10"/>
  <c r="D20" i="10"/>
  <c r="D10" i="10"/>
  <c r="D9" i="10"/>
  <c r="D29" i="10"/>
  <c r="G27" i="10"/>
  <c r="D33" i="10"/>
  <c r="D32" i="10"/>
  <c r="D21" i="10"/>
  <c r="D11" i="10"/>
  <c r="G29" i="10"/>
  <c r="D26" i="10"/>
  <c r="D30" i="10"/>
  <c r="D8" i="10"/>
  <c r="D24" i="10"/>
  <c r="D25" i="10"/>
  <c r="D13" i="10"/>
  <c r="G28" i="10"/>
  <c r="D12" i="10"/>
  <c r="D6" i="10"/>
  <c r="D23" i="10"/>
  <c r="D16" i="10"/>
  <c r="D28" i="10"/>
  <c r="D34" i="10"/>
  <c r="D31" i="10"/>
  <c r="D14" i="10"/>
  <c r="D27" i="10"/>
  <c r="D7" i="10"/>
  <c r="D22" i="10"/>
  <c r="D18" i="10"/>
  <c r="AJ22" i="10" l="1"/>
  <c r="AJ23" i="10" s="1"/>
  <c r="T22" i="10"/>
  <c r="T23" i="10" s="1"/>
  <c r="H22" i="10"/>
  <c r="H23" i="10" s="1"/>
  <c r="AI22" i="10"/>
  <c r="AI23" i="10" s="1"/>
  <c r="S22" i="10"/>
  <c r="S23" i="10" s="1"/>
  <c r="AH22" i="10"/>
  <c r="AH23" i="10" s="1"/>
  <c r="R22" i="10"/>
  <c r="R23" i="10" s="1"/>
  <c r="AG22" i="10"/>
  <c r="AG23" i="10" s="1"/>
  <c r="Q22" i="10"/>
  <c r="Q23" i="10" s="1"/>
  <c r="AF22" i="10"/>
  <c r="AF23" i="10" s="1"/>
  <c r="P22" i="10"/>
  <c r="P23" i="10" s="1"/>
  <c r="AE22" i="10"/>
  <c r="AE23" i="10" s="1"/>
  <c r="O22" i="10"/>
  <c r="O23" i="10" s="1"/>
  <c r="AD22" i="10"/>
  <c r="AD23" i="10" s="1"/>
  <c r="N22" i="10"/>
  <c r="N23" i="10" s="1"/>
  <c r="AC22" i="10"/>
  <c r="AC23" i="10" s="1"/>
  <c r="M22" i="10"/>
  <c r="M23" i="10" s="1"/>
  <c r="AB22" i="10"/>
  <c r="AB23" i="10" s="1"/>
  <c r="L22" i="10"/>
  <c r="L23" i="10" s="1"/>
  <c r="AA22" i="10"/>
  <c r="AA23" i="10" s="1"/>
  <c r="K22" i="10"/>
  <c r="K23" i="10" s="1"/>
  <c r="V22" i="10"/>
  <c r="V23" i="10" s="1"/>
  <c r="Z22" i="10"/>
  <c r="Z23" i="10" s="1"/>
  <c r="J22" i="10"/>
  <c r="J23" i="10" s="1"/>
  <c r="Y22" i="10"/>
  <c r="Y23" i="10" s="1"/>
  <c r="I22" i="10"/>
  <c r="I23" i="10" s="1"/>
  <c r="W22" i="10"/>
  <c r="W23" i="10" s="1"/>
  <c r="U22" i="10"/>
  <c r="U23" i="10" s="1"/>
  <c r="X22" i="10"/>
  <c r="X23" i="10" s="1"/>
  <c r="G23" i="10"/>
  <c r="H98" i="3" a="1"/>
  <c r="G98" i="3" a="1"/>
  <c r="E98" i="3" a="1"/>
  <c r="C102" i="3" a="1"/>
  <c r="I24" i="3"/>
  <c r="I23" i="3"/>
  <c r="I25" i="3"/>
  <c r="I26" i="3"/>
  <c r="D29" i="3"/>
  <c r="E29" i="3" s="1"/>
  <c r="C30" i="3"/>
  <c r="I27" i="3"/>
  <c r="F28" i="3"/>
  <c r="H28" i="3" s="1"/>
  <c r="I28" i="3"/>
  <c r="K28" i="3" l="1"/>
  <c r="J28" i="3"/>
  <c r="M28" i="3"/>
  <c r="D30" i="3"/>
  <c r="E30" i="3" s="1"/>
  <c r="C31" i="3"/>
  <c r="K26" i="3"/>
  <c r="J26" i="3"/>
  <c r="M26" i="3"/>
  <c r="K27" i="3"/>
  <c r="M27" i="3"/>
  <c r="J27" i="3"/>
  <c r="I29" i="3"/>
  <c r="F29" i="3"/>
  <c r="H29" i="3" s="1"/>
  <c r="K25" i="3"/>
  <c r="J25" i="3"/>
  <c r="M25" i="3"/>
  <c r="J23" i="3"/>
  <c r="M23" i="3"/>
  <c r="K23" i="3"/>
  <c r="M24" i="3"/>
  <c r="K24" i="3"/>
  <c r="J24" i="3"/>
  <c r="C102" i="3"/>
  <c r="C106" i="3"/>
  <c r="C103" i="3"/>
  <c r="C105" i="3"/>
  <c r="C104" i="3"/>
  <c r="E99" i="3"/>
  <c r="E98" i="3"/>
  <c r="F98" i="3" s="1" a="1"/>
  <c r="G99" i="3"/>
  <c r="G98" i="3"/>
  <c r="H99" i="3"/>
  <c r="H98" i="3"/>
  <c r="F99" i="3" l="1"/>
  <c r="F98" i="3"/>
  <c r="D31" i="3"/>
  <c r="E31" i="3" s="1"/>
  <c r="C32" i="3"/>
  <c r="K29" i="3"/>
  <c r="J29" i="3"/>
  <c r="M29" i="3"/>
  <c r="E102" i="3" a="1"/>
  <c r="F30" i="3"/>
  <c r="H30" i="3" s="1"/>
  <c r="I30" i="3"/>
  <c r="E105" i="3" l="1"/>
  <c r="E104" i="3"/>
  <c r="E103" i="3"/>
  <c r="E102" i="3"/>
  <c r="E106" i="3"/>
  <c r="C33" i="3"/>
  <c r="D32" i="3"/>
  <c r="E32" i="3" s="1"/>
  <c r="K30" i="3"/>
  <c r="J30" i="3"/>
  <c r="M30" i="3"/>
  <c r="I31" i="3"/>
  <c r="F31" i="3"/>
  <c r="H31" i="3" s="1"/>
  <c r="I32" i="3" l="1"/>
  <c r="F32" i="3"/>
  <c r="H32" i="3" s="1"/>
  <c r="D33" i="3"/>
  <c r="E33" i="3" s="1"/>
  <c r="C34" i="3"/>
  <c r="K31" i="3"/>
  <c r="J31" i="3"/>
  <c r="M31" i="3"/>
  <c r="F33" i="3" l="1"/>
  <c r="H33" i="3" s="1"/>
  <c r="I33" i="3"/>
  <c r="D34" i="3"/>
  <c r="E34" i="3" s="1"/>
  <c r="C35" i="3"/>
  <c r="M32" i="3"/>
  <c r="K32" i="3"/>
  <c r="J32" i="3"/>
  <c r="I34" i="3" l="1"/>
  <c r="F34" i="3"/>
  <c r="H34" i="3" s="1"/>
  <c r="C36" i="3"/>
  <c r="D35" i="3"/>
  <c r="E35" i="3" s="1"/>
  <c r="K33" i="3"/>
  <c r="J33" i="3"/>
  <c r="M33" i="3"/>
  <c r="I35" i="3" l="1"/>
  <c r="F35" i="3"/>
  <c r="H35" i="3" s="1"/>
  <c r="D36" i="3"/>
  <c r="E36" i="3" s="1"/>
  <c r="C37" i="3"/>
  <c r="D37" i="3" s="1"/>
  <c r="E37" i="3" s="1"/>
  <c r="K34" i="3"/>
  <c r="J34" i="3"/>
  <c r="M34" i="3"/>
  <c r="I36" i="3" l="1"/>
  <c r="F36" i="3"/>
  <c r="H36" i="3" s="1"/>
  <c r="I37" i="3"/>
  <c r="F37" i="3"/>
  <c r="H37" i="3" s="1"/>
  <c r="J35" i="3"/>
  <c r="K35" i="3"/>
  <c r="M35" i="3"/>
  <c r="K37" i="3" l="1"/>
  <c r="J37" i="3"/>
  <c r="M37" i="3"/>
  <c r="K36" i="3"/>
  <c r="J36" i="3"/>
  <c r="M36" i="3"/>
  <c r="I76" i="3" l="1" a="1"/>
  <c r="J78" i="3"/>
  <c r="J79" i="3"/>
  <c r="J92" i="3"/>
  <c r="I80" i="3"/>
  <c r="K91" i="3"/>
  <c r="J80" i="3"/>
  <c r="K93" i="3"/>
  <c r="L91" i="3"/>
  <c r="I79" i="3"/>
  <c r="M91" i="3"/>
  <c r="N91" i="3"/>
  <c r="L92" i="3"/>
  <c r="J76" i="3"/>
  <c r="I77" i="3"/>
  <c r="J77" i="3"/>
  <c r="K98" i="3" a="1"/>
  <c r="K98" i="3"/>
  <c r="K99" i="3"/>
  <c r="I78" i="3"/>
  <c r="J83" i="3"/>
  <c r="I76" i="3"/>
  <c r="J98" i="3" a="1"/>
  <c r="J99" i="3"/>
  <c r="J98" i="3"/>
  <c r="O98" i="3" a="1"/>
  <c r="O98" i="3"/>
  <c r="O99" i="3"/>
  <c r="L98" i="3" a="1"/>
  <c r="L98" i="3"/>
  <c r="M98" i="3" a="1"/>
  <c r="M98" i="3"/>
  <c r="L99" i="3"/>
  <c r="M99" i="3"/>
  <c r="N98" i="3" a="1"/>
  <c r="N98" i="3"/>
  <c r="N99" i="3"/>
  <c r="J87" i="3"/>
  <c r="J84" i="3"/>
  <c r="K92" i="3"/>
  <c r="J93" i="3"/>
  <c r="A31" i="12"/>
  <c r="A32" i="12" s="1"/>
  <c r="A33" i="12" s="1"/>
  <c r="A34" i="12" s="1"/>
  <c r="A35" i="12" s="1"/>
  <c r="A37" i="12" s="1"/>
  <c r="E20" i="4" l="1"/>
  <c r="G45" i="4"/>
  <c r="G44" i="4" s="1"/>
  <c r="G43" i="4" s="1"/>
  <c r="G42" i="4" s="1"/>
  <c r="G41" i="4" s="1"/>
  <c r="G40" i="4" s="1"/>
  <c r="G39" i="4" s="1"/>
  <c r="G38" i="4" s="1"/>
  <c r="G37" i="4" s="1"/>
  <c r="G36" i="4" s="1"/>
  <c r="G35" i="4" s="1"/>
  <c r="G34" i="4" s="1"/>
  <c r="G33" i="4" s="1"/>
  <c r="G32" i="4" s="1"/>
  <c r="G31" i="4" s="1"/>
  <c r="G30" i="4" s="1"/>
  <c r="G29" i="4" s="1"/>
  <c r="G28" i="4" s="1"/>
  <c r="G27" i="4" s="1"/>
  <c r="G26" i="4" s="1"/>
  <c r="G25" i="4" s="1"/>
  <c r="G24" i="4" s="1"/>
  <c r="G23" i="4" s="1"/>
  <c r="G22" i="4" s="1"/>
  <c r="G21" i="4" s="1"/>
  <c r="G20" i="4" s="1"/>
  <c r="G19" i="4" s="1"/>
  <c r="F20" i="4" l="1"/>
  <c r="E21" i="4"/>
  <c r="E22" i="4" l="1"/>
  <c r="F21" i="4"/>
  <c r="E23" i="4" l="1"/>
  <c r="F22" i="4"/>
  <c r="E24" i="4" l="1"/>
  <c r="F23" i="4"/>
  <c r="E25" i="4" l="1"/>
  <c r="F24" i="4"/>
  <c r="E26" i="4" l="1"/>
  <c r="F25" i="4"/>
  <c r="E27" i="4" l="1"/>
  <c r="F26" i="4"/>
  <c r="E28" i="4" l="1"/>
  <c r="F27" i="4"/>
  <c r="E29" i="4" l="1"/>
  <c r="F28" i="4"/>
  <c r="E30" i="4" l="1"/>
  <c r="F29" i="4"/>
  <c r="E31" i="4" l="1"/>
  <c r="F30" i="4"/>
  <c r="E32" i="4" l="1"/>
  <c r="F31" i="4"/>
  <c r="E33" i="4" l="1"/>
  <c r="F32" i="4"/>
  <c r="E34" i="4" l="1"/>
  <c r="F33" i="4"/>
  <c r="E35" i="4" l="1"/>
  <c r="F34" i="4"/>
  <c r="E36" i="4" l="1"/>
  <c r="F35" i="4"/>
  <c r="E37" i="4" l="1"/>
  <c r="F36" i="4"/>
  <c r="E38" i="4" l="1"/>
  <c r="F37" i="4"/>
  <c r="E39" i="4" l="1"/>
  <c r="F38" i="4"/>
  <c r="E40" i="4" l="1"/>
  <c r="F39" i="4"/>
  <c r="E41" i="4" l="1"/>
  <c r="F40" i="4"/>
  <c r="E42" i="4" l="1"/>
  <c r="F41" i="4"/>
  <c r="E43" i="4" l="1"/>
  <c r="F42" i="4"/>
  <c r="E44" i="4" l="1"/>
  <c r="F43" i="4"/>
  <c r="E45" i="4" l="1"/>
  <c r="F44" i="4"/>
  <c r="E46" i="4" l="1"/>
  <c r="F46" i="4" s="1"/>
  <c r="F45" i="4"/>
</calcChain>
</file>

<file path=xl/sharedStrings.xml><?xml version="1.0" encoding="utf-8"?>
<sst xmlns="http://schemas.openxmlformats.org/spreadsheetml/2006/main" count="912" uniqueCount="330">
  <si>
    <t>ISO 11171:2020</t>
  </si>
  <si>
    <t>Requirement</t>
  </si>
  <si>
    <t>Material</t>
  </si>
  <si>
    <t>Reference</t>
  </si>
  <si>
    <t>&gt;1000 particles per bottle at max certified size
Sample Cv per Table C.2</t>
  </si>
  <si>
    <t>SRM2806/RM8631x</t>
  </si>
  <si>
    <t>Clause 6. Sizing Calibration. 3 separate bottles, 5 sub-samples from each.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</si>
  <si>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4um</t>
    </r>
    <r>
      <rPr>
        <sz val="10"/>
        <rFont val="Arial"/>
        <family val="2"/>
      </rPr>
      <t xml:space="preserve"> &lt; 3%</t>
    </r>
  </si>
  <si>
    <t>RM8632x</t>
  </si>
  <si>
    <r>
      <rPr>
        <sz val="10"/>
        <rFont val="Arial"/>
        <family val="2"/>
      </rPr>
      <t>Annex A – Preliminary Instrument Check
Need traceable measurement of volume "actually measured" during a particle counting run. Test-test Cv</t>
    </r>
    <r>
      <rPr>
        <vertAlign val="subscript"/>
        <sz val="10"/>
        <rFont val="Arial"/>
        <family val="2"/>
      </rPr>
      <t>COUNTS</t>
    </r>
    <r>
      <rPr>
        <sz val="10"/>
        <rFont val="Arial"/>
        <family val="2"/>
      </rPr>
      <t xml:space="preserve"> &lt; 3% over 5 sample runs using RM8632 fine dust is required at threshold of 1.5x threshold noise.</t>
    </r>
  </si>
  <si>
    <r>
      <rPr>
        <sz val="10"/>
        <rFont val="Arial"/>
        <family val="2"/>
      </rPr>
      <t>Δ</t>
    </r>
    <r>
      <rPr>
        <vertAlign val="subscript"/>
        <sz val="10"/>
        <rFont val="Arial"/>
        <family val="2"/>
      </rPr>
      <t>COUNTS_4um</t>
    </r>
    <r>
      <rPr>
        <sz val="10"/>
        <rFont val="Arial"/>
        <family val="2"/>
      </rPr>
      <t xml:space="preserve"> &lt; 5%</t>
    </r>
  </si>
  <si>
    <r>
      <rPr>
        <sz val="10"/>
        <rFont val="Arial"/>
        <family val="2"/>
      </rPr>
      <t xml:space="preserve">Annex B – Coincidence error limit
Analyse </t>
    </r>
    <r>
      <rPr>
        <b/>
        <sz val="10"/>
        <rFont val="Arial"/>
        <family val="2"/>
      </rPr>
      <t>15 different concentrations</t>
    </r>
    <r>
      <rPr>
        <sz val="10"/>
        <rFont val="Arial"/>
        <family val="2"/>
      </rPr>
      <t xml:space="preserve"> 5 times, of 10%...150% of manufacturer recommended coincidence limit. 0-40% regression line of 4um channel used to project results. Error limit when counts cross 95% of this line.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</si>
  <si>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_4um</t>
    </r>
    <r>
      <rPr>
        <sz val="10"/>
        <rFont val="Arial"/>
        <family val="2"/>
      </rPr>
      <t xml:space="preserve"> &lt; 3%</t>
    </r>
  </si>
  <si>
    <r>
      <rPr>
        <sz val="10"/>
        <rFont val="Arial"/>
        <family val="2"/>
      </rPr>
      <t xml:space="preserve">Annex C – flow rate – </t>
    </r>
    <r>
      <rPr>
        <b/>
        <sz val="10"/>
        <rFont val="Arial"/>
        <family val="2"/>
      </rPr>
      <t>if fixed</t>
    </r>
    <r>
      <rPr>
        <sz val="10"/>
        <rFont val="Arial"/>
        <family val="2"/>
      </rPr>
      <t xml:space="preserve"> then just need traceable flow measurement and pass annex A. </t>
    </r>
    <r>
      <rPr>
        <b/>
        <sz val="10"/>
        <rFont val="Arial"/>
        <family val="2"/>
      </rPr>
      <t>Otherwise 8 flow rates</t>
    </r>
    <r>
      <rPr>
        <sz val="10"/>
        <rFont val="Arial"/>
        <family val="2"/>
      </rPr>
      <t xml:space="preserve"> 20..140% are used and the results at each analysed in order to establish a limit.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</si>
  <si>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DIAM_10</t>
    </r>
    <r>
      <rPr>
        <sz val="10"/>
        <rFont val="Arial"/>
        <family val="2"/>
      </rPr>
      <t xml:space="preserve"> &lt; +/-15%
→ Cv</t>
    </r>
    <r>
      <rPr>
        <vertAlign val="subscript"/>
        <sz val="10"/>
        <rFont val="Arial"/>
        <family val="2"/>
      </rPr>
      <t>SIGNAL_10</t>
    </r>
    <r>
      <rPr>
        <sz val="10"/>
        <rFont val="Arial"/>
        <family val="2"/>
      </rPr>
      <t xml:space="preserve"> &lt; +/-32%
</t>
    </r>
  </si>
  <si>
    <t>10um spheres</t>
  </si>
  <si>
    <t xml:space="preserve">Annex D – resolution. Establish threshold corresponding to spheres (equal diff counts for 0.72 and 1.0 relative channel thresholds). Set thresholds corresponding to 0.9, 1.0 and 1.1 times diameter so inferred from cal curve. </t>
  </si>
  <si>
    <t>Counts per Table A.1
Cv &lt; Table C.2
6 sizes 5-15um</t>
  </si>
  <si>
    <t>RM8632x 1mg/l</t>
  </si>
  <si>
    <t>Annex E – particle counting accuracy. Ensure RM8632x counts in permitted range.</t>
  </si>
  <si>
    <t>Analysis using Bottle Samples and RM8632a</t>
  </si>
  <si>
    <t>Volumetric Sampling Accuracy</t>
  </si>
  <si>
    <t>APC Model</t>
  </si>
  <si>
    <t>LPA3-NAVAIR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</si>
  <si>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</si>
  <si>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</si>
  <si>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</si>
  <si>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</si>
  <si>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</si>
  <si>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</si>
  <si>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</si>
  <si>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</si>
  <si>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4um(c) Coincidence Limit /ml</t>
  </si>
  <si>
    <t>A.1 RM8632 4um count/mg/l</t>
  </si>
  <si>
    <t>RM8632x mg/l at 25% coincidence limit</t>
  </si>
  <si>
    <t>Concentrate mg/l</t>
  </si>
  <si>
    <t>Target quantity of dust in dilution</t>
  </si>
  <si>
    <t>Concentrate to add ml</t>
  </si>
  <si>
    <t>/ml</t>
  </si>
  <si>
    <t>Deviation</t>
  </si>
  <si>
    <t>Portion 1</t>
  </si>
  <si>
    <t>Portion 2</t>
  </si>
  <si>
    <t>Particle Counter</t>
  </si>
  <si>
    <t>Portion 3</t>
  </si>
  <si>
    <t>Portion 4</t>
  </si>
  <si>
    <t>MIL5606 Fluid</t>
  </si>
  <si>
    <t>Portion 5</t>
  </si>
  <si>
    <t>Temperature</t>
  </si>
  <si>
    <t>40'C</t>
  </si>
  <si>
    <t>10ml Weight</t>
  </si>
  <si>
    <t>Mean</t>
  </si>
  <si>
    <t>Sample StdDev</t>
  </si>
  <si>
    <t>Flush</t>
  </si>
  <si>
    <t>ml</t>
  </si>
  <si>
    <t>Sample</t>
  </si>
  <si>
    <t>g</t>
  </si>
  <si>
    <t>Fluid Weight Taken</t>
  </si>
  <si>
    <t>ml taken</t>
  </si>
  <si>
    <r>
      <rPr>
        <sz val="10"/>
        <rFont val="Calibri"/>
        <family val="2"/>
      </rPr>
      <t>CV</t>
    </r>
    <r>
      <rPr>
        <vertAlign val="subscript"/>
        <sz val="10"/>
        <rFont val="Calibri"/>
        <family val="2"/>
      </rPr>
      <t>VOL</t>
    </r>
  </si>
  <si>
    <t>Error</t>
  </si>
  <si>
    <t>NAVAIR</t>
  </si>
  <si>
    <t>portion</t>
  </si>
  <si>
    <t>11171-00011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</si>
  <si>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</t>
    </r>
  </si>
  <si>
    <t>counts</t>
  </si>
  <si>
    <t>Averaged</t>
  </si>
  <si>
    <t>Dq % (&lt;11%)</t>
  </si>
  <si>
    <t>/ml/mg/l</t>
  </si>
  <si>
    <t>RM8632a 4μm particles</t>
  </si>
  <si>
    <t>l</t>
  </si>
  <si>
    <t>Tank fluid volume</t>
  </si>
  <si>
    <t>Manufacturer recommended coincidence limit</t>
  </si>
  <si>
    <t>10% of coincidence limit</t>
  </si>
  <si>
    <t>mg</t>
  </si>
  <si>
    <t>Amount of RM8632a to add to tank per 10% estimated coincidence limit</t>
  </si>
  <si>
    <t>Coincidence Correction</t>
  </si>
  <si>
    <t>ENABLED</t>
  </si>
  <si>
    <t>mg/l</t>
  </si>
  <si>
    <t>Required concentration of concentrate if want this per 10ml of concentrate</t>
  </si>
  <si>
    <t>Amount of fluid to use to make up concentrate</t>
  </si>
  <si>
    <t>Amount of RM8632a to add to fluid used to make up concentrate.</t>
  </si>
  <si>
    <t>added</t>
  </si>
  <si>
    <t>Actual concentration</t>
  </si>
  <si>
    <t>corrected volume to add to tank</t>
  </si>
  <si>
    <t>correction threshold</t>
  </si>
  <si>
    <t>correction factor</t>
  </si>
  <si>
    <t>Total</t>
  </si>
  <si>
    <t>Added</t>
  </si>
  <si>
    <t>Tank</t>
  </si>
  <si>
    <t>Expected</t>
  </si>
  <si>
    <t>4μm</t>
  </si>
  <si>
    <t>Ratio</t>
  </si>
  <si>
    <t>Regression</t>
  </si>
  <si>
    <t>Relative</t>
  </si>
  <si>
    <t>corrected</t>
  </si>
  <si>
    <t>Percent</t>
  </si>
  <si>
    <t>Added ml</t>
  </si>
  <si>
    <t>Dust mg</t>
  </si>
  <si>
    <t>Conc mg/l</t>
  </si>
  <si>
    <t>4μm/100ml</t>
  </si>
  <si>
    <t>Actual</t>
  </si>
  <si>
    <t>RM8632a</t>
  </si>
  <si>
    <t>Line 0-40%</t>
  </si>
  <si>
    <t>fraction</t>
  </si>
  <si>
    <t>Regression Model</t>
  </si>
  <si>
    <t>Linear</t>
  </si>
  <si>
    <t>Power</t>
  </si>
  <si>
    <t>LINEST raw output</t>
  </si>
  <si>
    <t>Regression Statistics</t>
  </si>
  <si>
    <t>R^2</t>
  </si>
  <si>
    <t>Standard Error</t>
  </si>
  <si>
    <t>Count of X variables</t>
  </si>
  <si>
    <t>Observations</t>
  </si>
  <si>
    <t>Adjusted R^2</t>
  </si>
  <si>
    <t>Analysis of Variance (ANOVA)</t>
  </si>
  <si>
    <t>df</t>
  </si>
  <si>
    <t>SS</t>
  </si>
  <si>
    <t>MS</t>
  </si>
  <si>
    <t>F</t>
  </si>
  <si>
    <t>Significance F</t>
  </si>
  <si>
    <t>Residual</t>
  </si>
  <si>
    <t>Confidence level</t>
  </si>
  <si>
    <t>Coefficients</t>
  </si>
  <si>
    <t>t-Statistic</t>
  </si>
  <si>
    <t>P-value</t>
  </si>
  <si>
    <t>Predicted Y</t>
  </si>
  <si>
    <t>RM</t>
  </si>
  <si>
    <t>Partistan 34D Lot 34D</t>
  </si>
  <si>
    <t>Bottle Sampler</t>
  </si>
  <si>
    <t>BS110-NAVAIR BS2042</t>
  </si>
  <si>
    <t>Lowest threshold J</t>
  </si>
  <si>
    <t>Highest threshold H</t>
  </si>
  <si>
    <t>Threshold Factor K</t>
  </si>
  <si>
    <t>Threshold#</t>
  </si>
  <si>
    <t>Initial Value</t>
  </si>
  <si>
    <t>INT</t>
  </si>
  <si>
    <t>Reversed</t>
  </si>
  <si>
    <t>Thresholds</t>
  </si>
  <si>
    <t>1.5x noise</t>
  </si>
  <si>
    <t>~30um</t>
  </si>
  <si>
    <t>Thresholds to Load into Instrument</t>
  </si>
  <si>
    <t>Data Preprocessing and Quality Assessment per ISO 11171 Clause 6.6</t>
  </si>
  <si>
    <t>CHECK CALIBRATION THRESHOLDS ENTERED ON PARTICLE COUNTER</t>
  </si>
  <si>
    <t>Serial #</t>
  </si>
  <si>
    <t>Dilution Ratio</t>
  </si>
  <si>
    <t>34D</t>
  </si>
  <si>
    <t>BOTTLE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</si>
  <si>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</si>
  <si>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</si>
  <si>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</si>
  <si>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</si>
  <si>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</si>
  <si>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</si>
  <si>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</si>
  <si>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</si>
  <si>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</si>
  <si>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</si>
  <si>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</si>
  <si>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</si>
  <si>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</si>
  <si>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</si>
  <si>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</si>
  <si>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</si>
  <si>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</si>
  <si>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</si>
  <si>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</si>
  <si>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</si>
  <si>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</si>
  <si>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</si>
  <si>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</si>
  <si>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</si>
  <si>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</si>
  <si>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</si>
  <si>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</si>
  <si>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</si>
  <si>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</si>
  <si>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</si>
  <si>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</si>
  <si>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</si>
  <si>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</si>
  <si>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</si>
  <si>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</si>
  <si>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</si>
  <si>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</si>
  <si>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</si>
  <si>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</si>
  <si>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</si>
  <si>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</si>
  <si>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</si>
  <si>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</si>
  <si>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</si>
  <si>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</si>
  <si>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</si>
  <si>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</si>
  <si>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</si>
  <si>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</si>
  <si>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t>BOTTLE 2</t>
  </si>
  <si>
    <t>BOTTLE 3</t>
  </si>
  <si>
    <r>
      <rPr>
        <sz val="10"/>
        <rFont val="Arial"/>
        <family val="2"/>
      </rPr>
      <t xml:space="preserve">Enter all of the threshold  settings determined in 6.3 in column A </t>
    </r>
    <r>
      <rPr>
        <u/>
        <sz val="11"/>
        <color rgb="FF000000"/>
        <rFont val="Calibri"/>
        <family val="2"/>
      </rPr>
      <t>in order of decreasing value of threshold  setting</t>
    </r>
    <r>
      <rPr>
        <sz val="11"/>
        <color rgb="FF000000"/>
        <rFont val="Calibri"/>
        <family val="2"/>
      </rPr>
      <t>. For each calibration suspension sample, enter the  values of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obtained for each threshold setting actually used for a sample in the a</t>
    </r>
  </si>
  <si>
    <t>Enter the  particle size and concentration data from the Particle Size Calibration Summary portion of Table 4  in columns F and G.  Enter in Table 4 the corresponding  interpolated threshold voltage setting displayed in column  H of this worksheet.</t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</si>
  <si>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First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</si>
  <si>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Second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</si>
  <si>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Third Sample</t>
    </r>
  </si>
  <si>
    <r>
      <rPr>
        <sz val="10"/>
        <rFont val="Arial"/>
        <family val="2"/>
      </rPr>
      <t>Mean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</t>
    </r>
  </si>
  <si>
    <t>Threshold Voltage Setting</t>
  </si>
  <si>
    <t>Uncertainty
S</t>
  </si>
  <si>
    <t xml:space="preserve"> Particle Size</t>
  </si>
  <si>
    <t>Particle Concentration</t>
  </si>
  <si>
    <t>Interpolated Threshold Voltage Setting</t>
  </si>
  <si>
    <t>Dilution</t>
  </si>
  <si>
    <t>particles per millilitre</t>
  </si>
  <si>
    <t>mV</t>
  </si>
  <si>
    <t>samples</t>
  </si>
  <si>
    <t xml:space="preserve">µm(c) </t>
  </si>
  <si>
    <t>Distribution</t>
  </si>
  <si>
    <t>BS110 BS2042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</si>
  <si>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</si>
  <si>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</si>
  <si>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</si>
  <si>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</si>
  <si>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</si>
  <si>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</si>
  <si>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</si>
  <si>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</si>
  <si>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</si>
  <si>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</si>
  <si>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</si>
  <si>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</si>
  <si>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</si>
  <si>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</si>
  <si>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</si>
  <si>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</si>
  <si>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</si>
  <si>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</si>
  <si>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</si>
  <si>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</si>
  <si>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</si>
  <si>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</si>
  <si>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</si>
  <si>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</si>
  <si>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</si>
  <si>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</si>
  <si>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</si>
  <si>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</si>
  <si>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</si>
  <si>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</si>
  <si>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</si>
  <si>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Cumulative Counts / 100ml</t>
  </si>
  <si>
    <t>Differential Counts / 100ml</t>
  </si>
  <si>
    <t>D</t>
  </si>
  <si>
    <t>Data from Table 4</t>
  </si>
  <si>
    <t>Threshold Settings corresponding to Sizes of Interest</t>
  </si>
  <si>
    <r>
      <rPr>
        <sz val="10"/>
        <rFont val="Arial"/>
        <family val="2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</rPr>
      <t>in order of increasing value of particle size</t>
    </r>
    <r>
      <rPr>
        <sz val="11"/>
        <color rgb="FF000000"/>
        <rFont val="Calibri"/>
        <family val="2"/>
      </rPr>
      <t>.</t>
    </r>
  </si>
  <si>
    <r>
      <rPr>
        <sz val="10"/>
        <rFont val="Arial"/>
        <family val="2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</rPr>
      <t>in order of increasing particle size</t>
    </r>
    <r>
      <rPr>
        <sz val="11"/>
        <color rgb="FF000000"/>
        <rFont val="Calibri"/>
        <family val="2"/>
      </rPr>
      <t>. The corresponding interpolated threshold voltage settings are displayed in column D.</t>
    </r>
  </si>
  <si>
    <t>Particle Size</t>
  </si>
  <si>
    <t>Threshold Setting</t>
  </si>
  <si>
    <t>ROUNDED</t>
  </si>
  <si>
    <t>THRESHOLD CALIBRATION</t>
  </si>
  <si>
    <r>
      <rPr>
        <sz val="10"/>
        <rFont val="Arial"/>
        <family val="2"/>
      </rPr>
      <t xml:space="preserve">Need &gt;10000 particles </t>
    </r>
    <r>
      <rPr>
        <b/>
        <sz val="10"/>
        <rFont val="Arial"/>
        <family val="2"/>
      </rPr>
      <t>at the smallest threshold setting</t>
    </r>
    <r>
      <rPr>
        <sz val="10"/>
        <rFont val="Arial"/>
        <family val="2"/>
      </rPr>
      <t xml:space="preserve"> for each sub-sample / test portion. </t>
    </r>
  </si>
  <si>
    <r>
      <rPr>
        <sz val="10"/>
        <rFont val="Arial"/>
        <family val="2"/>
      </rPr>
      <t xml:space="preserve">Need &gt;1000 particles </t>
    </r>
    <r>
      <rPr>
        <b/>
        <sz val="10"/>
        <rFont val="Arial"/>
        <family val="2"/>
      </rPr>
      <t>counted</t>
    </r>
    <r>
      <rPr>
        <sz val="10"/>
        <rFont val="Arial"/>
        <family val="2"/>
      </rPr>
      <t xml:space="preserve"> at each calibrated size, for each of the three calibration tests.</t>
    </r>
  </si>
  <si>
    <t>SRM2806D has 14/ml at 30um</t>
  </si>
  <si>
    <t>This implies we need at least 1000/14 = 71ml per test.</t>
  </si>
  <si>
    <t xml:space="preserve">At 21um we have 88.64/ml requiring 11.28ml counted volume per test which is more practical. </t>
  </si>
  <si>
    <t>Analysis using Bottle Sampler and RM8632a</t>
  </si>
  <si>
    <t>BS110</t>
  </si>
  <si>
    <t>See Annex A for Sample Preparation Calculations</t>
  </si>
  <si>
    <t>&gt;4μm(c)/100ml</t>
  </si>
  <si>
    <t>Bottle 1</t>
  </si>
  <si>
    <t>Bottle 2</t>
  </si>
  <si>
    <t>Bottle 3</t>
  </si>
  <si>
    <t>Bottle 4</t>
  </si>
  <si>
    <t>Bottle 5</t>
  </si>
  <si>
    <t>#</t>
  </si>
  <si>
    <t>Average</t>
  </si>
  <si>
    <t>LC10 spheres batch DC-10-033</t>
  </si>
  <si>
    <t>10.2±0.4</t>
  </si>
  <si>
    <t>NIST TRACEABLE</t>
  </si>
  <si>
    <t>Rig volume</t>
  </si>
  <si>
    <t>Total 10um particles Sized and Plotted</t>
  </si>
  <si>
    <t>Peak data value</t>
  </si>
  <si>
    <t>Peak Position</t>
  </si>
  <si>
    <t>half peak value</t>
  </si>
  <si>
    <t>LHS FWHM</t>
  </si>
  <si>
    <t>X value</t>
  </si>
  <si>
    <t>½ FWHM</t>
  </si>
  <si>
    <t>FWHM</t>
  </si>
  <si>
    <t>Std.Dev.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</si>
  <si>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SIGNAL</t>
    </r>
    <r>
      <rPr>
        <sz val="10"/>
        <rFont val="Arial"/>
        <family val="2"/>
      </rPr>
      <t xml:space="preserve"> &lt; 30%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</si>
  <si>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DIAMETER</t>
    </r>
    <r>
      <rPr>
        <sz val="10"/>
        <rFont val="Arial"/>
        <family val="2"/>
      </rPr>
      <t xml:space="preserve"> &lt; 15%</t>
    </r>
  </si>
  <si>
    <t>Capture Fraction</t>
  </si>
  <si>
    <t>Data Preprocessing and Quality Assessment</t>
  </si>
  <si>
    <t>BOTTLE 1</t>
  </si>
  <si>
    <t>Partistan 34D</t>
  </si>
  <si>
    <t>#00009</t>
  </si>
  <si>
    <t>scanned_volume_ml</t>
  </si>
  <si>
    <t>RM8632x
1mg/l</t>
  </si>
  <si>
    <t>RM8632a mg/l</t>
  </si>
  <si>
    <t>Sample Volume Total</t>
  </si>
  <si>
    <t>Portions</t>
  </si>
  <si>
    <t>Portion Volume V</t>
  </si>
  <si>
    <t>/100ml scanned</t>
  </si>
  <si>
    <t>Total scanned</t>
  </si>
  <si>
    <t>Portion scanned</t>
  </si>
  <si>
    <t>B1 / ml</t>
  </si>
  <si>
    <t>B2 / ml</t>
  </si>
  <si>
    <t>B3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</si>
  <si>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</si>
  <si>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</si>
  <si>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</si>
  <si>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</si>
  <si>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</si>
  <si>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</si>
  <si>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</si>
  <si>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</si>
  <si>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Annex A Preliminary Check</t>
  </si>
  <si>
    <t>Clause 6 - Sizing Calibration - Initial Threshold Setting</t>
  </si>
  <si>
    <t>Thresholds to load</t>
  </si>
  <si>
    <t>Calibration Rig</t>
  </si>
  <si>
    <t>Target concentration per 100ml</t>
  </si>
  <si>
    <t>N/100ml</t>
  </si>
  <si>
    <t>10?m particles</t>
  </si>
  <si>
    <t>Analysed Fluid Volume</t>
  </si>
  <si>
    <t>Pulse</t>
  </si>
  <si>
    <t>Annex C - Flow Rate</t>
  </si>
  <si>
    <t>Annex D - Resolution</t>
  </si>
  <si>
    <t>Wanted fluid volume ml</t>
  </si>
  <si>
    <t>Clean fluid to add</t>
  </si>
  <si>
    <t>After 110ml</t>
  </si>
  <si>
    <t>Total Fluid Programmed</t>
  </si>
  <si>
    <t>Final Measured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</si>
</sst>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-mm\-dd"/>
    <numFmt numFmtId="165" formatCode="0.000"/>
    <numFmt numFmtId="166" formatCode="0.0"/>
    <numFmt numFmtId="167" formatCode="0.0%"/>
    <numFmt numFmtId="168" formatCode="0.000E+00"/>
    <numFmt numFmtId="169" formatCode="0.00E+000"/>
  </numFmts>
  <fonts count="24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8"/>
      <color rgb="FFC9211E"/>
      <name val="Arial Black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vertAlign val="subscript"/>
      <sz val="10"/>
      <name val="Calibri"/>
      <family val="2"/>
    </font>
    <font>
      <b/>
      <sz val="32"/>
      <color rgb="FFC9211E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vertAlign val="subscript"/>
      <sz val="10"/>
      <name val="Arial"/>
      <family val="2"/>
    </font>
    <font>
      <i/>
      <sz val="10"/>
      <color rgb="FF808080"/>
      <name val="Arial"/>
      <family val="2"/>
    </font>
    <font>
      <b/>
      <i/>
      <sz val="10"/>
      <color rgb="FF808080"/>
      <name val="Arial"/>
      <family val="2"/>
    </font>
    <font>
      <u/>
      <sz val="11"/>
      <color rgb="FF000000"/>
      <name val="Calibri"/>
      <family val="2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b/>
      <sz val="32"/>
      <color rgb="FFFC5C0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24"/>
      <color rgb="FFC00000"/>
      <name val="Arial Black"/>
      <family val="2"/>
    </font>
  </fonts>
  <fills count="11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D3D3D3"/>
        <bgColor rgb="FFD9D9D9"/>
      </patternFill>
    </fill>
    <fill>
      <patternFill patternType="solid">
        <fgColor rgb="FFCCF4C6"/>
        <bgColor rgb="FFCCFFCC"/>
      </patternFill>
    </fill>
    <fill>
      <patternFill patternType="solid">
        <fgColor rgb="FFE0FFFF"/>
        <bgColor rgb="FFFFFFFF"/>
      </patternFill>
    </fill>
    <fill>
      <patternFill patternType="solid">
        <fgColor rgb="FFC0C0C0"/>
        <bgColor rgb="FFB3B3B3"/>
      </patternFill>
    </fill>
    <fill>
      <patternFill patternType="solid">
        <fgColor rgb="FFFFFF99"/>
        <bgColor rgb="FFCCFFCC"/>
      </patternFill>
    </fill>
    <fill>
      <patternFill patternType="solid">
        <fgColor rgb="FF99CCFF"/>
        <bgColor rgb="FFC0C0C0"/>
      </patternFill>
    </fill>
    <fill>
      <patternFill patternType="solid">
        <fgColor rgb="FFE7E7E7"/>
        <bgColor rgb="FFDDDDDD"/>
      </patternFill>
    </fill>
    <fill>
      <patternFill patternType="solid">
        <fgColor theme="5" tint="0.79998168889431442"/>
        <bgColor indexed="65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1" fillId="2" borderId="0" applyBorder="0" applyAlignment="0" applyProtection="0"/>
    <xf numFmtId="0" fontId="1" fillId="10" borderId="0" applyNumberFormat="0" applyBorder="0" applyAlignment="0" applyProtection="0"/>
  </cellStyleXfs>
  <cellXfs count="174">
    <xf numFmtId="0" fontId="0" fillId="0" borderId="0" xfId="0"/>
    <xf numFmtId="0" fontId="16" fillId="6" borderId="15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0" fillId="5" borderId="0" xfId="0" applyFill="1" applyAlignment="1">
      <alignment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top" wrapText="1"/>
    </xf>
    <xf numFmtId="0" fontId="2" fillId="3" borderId="0" xfId="0" applyFont="1" applyFill="1" applyAlignment="1">
      <alignment wrapText="1"/>
    </xf>
    <xf numFmtId="0" fontId="2" fillId="3" borderId="0" xfId="0" applyFont="1" applyFill="1"/>
    <xf numFmtId="0" fontId="2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right"/>
    </xf>
    <xf numFmtId="164" fontId="7" fillId="0" borderId="0" xfId="0" applyNumberFormat="1" applyFont="1"/>
    <xf numFmtId="164" fontId="5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165" fontId="5" fillId="0" borderId="0" xfId="0" applyNumberFormat="1" applyFont="1"/>
    <xf numFmtId="2" fontId="0" fillId="0" borderId="0" xfId="0" applyNumberFormat="1" applyAlignment="1">
      <alignment horizontal="right"/>
    </xf>
    <xf numFmtId="166" fontId="0" fillId="0" borderId="1" xfId="0" applyNumberFormat="1" applyBorder="1"/>
    <xf numFmtId="2" fontId="5" fillId="0" borderId="0" xfId="0" applyNumberFormat="1" applyFont="1" applyAlignment="1">
      <alignment horizontal="right"/>
    </xf>
    <xf numFmtId="0" fontId="7" fillId="0" borderId="2" xfId="0" applyFont="1" applyBorder="1"/>
    <xf numFmtId="10" fontId="5" fillId="0" borderId="0" xfId="0" applyNumberFormat="1" applyFont="1"/>
    <xf numFmtId="0" fontId="7" fillId="0" borderId="3" xfId="0" applyFont="1" applyBorder="1"/>
    <xf numFmtId="0" fontId="7" fillId="0" borderId="4" xfId="0" applyFont="1" applyBorder="1"/>
    <xf numFmtId="1" fontId="5" fillId="0" borderId="0" xfId="0" applyNumberFormat="1" applyFont="1"/>
    <xf numFmtId="0" fontId="5" fillId="0" borderId="1" xfId="0" applyFont="1" applyBorder="1"/>
    <xf numFmtId="0" fontId="7" fillId="0" borderId="1" xfId="0" applyFont="1" applyBorder="1"/>
    <xf numFmtId="2" fontId="5" fillId="4" borderId="1" xfId="0" applyNumberFormat="1" applyFont="1" applyFill="1" applyBorder="1" applyAlignment="1">
      <alignment horizontal="right"/>
    </xf>
    <xf numFmtId="10" fontId="5" fillId="4" borderId="0" xfId="0" applyNumberFormat="1" applyFont="1" applyFill="1" applyAlignment="1">
      <alignment horizontal="right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2" fontId="0" fillId="0" borderId="0" xfId="0" applyNumberFormat="1" applyProtection="1">
      <protection locked="0"/>
    </xf>
    <xf numFmtId="164" fontId="0" fillId="0" borderId="0" xfId="0" applyNumberFormat="1"/>
    <xf numFmtId="164" fontId="5" fillId="0" borderId="0" xfId="0" applyNumberFormat="1" applyFont="1"/>
    <xf numFmtId="1" fontId="2" fillId="0" borderId="0" xfId="0" applyNumberFormat="1" applyFont="1" applyProtection="1">
      <protection locked="0"/>
    </xf>
    <xf numFmtId="0" fontId="0" fillId="5" borderId="0" xfId="0" applyFill="1" applyAlignment="1">
      <alignment vertical="center"/>
    </xf>
    <xf numFmtId="0" fontId="9" fillId="0" borderId="0" xfId="0" applyFont="1"/>
    <xf numFmtId="164" fontId="2" fillId="0" borderId="0" xfId="0" applyNumberFormat="1" applyFont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0" fillId="0" borderId="9" xfId="0" applyBorder="1" applyAlignment="1">
      <alignment horizontal="right"/>
    </xf>
    <xf numFmtId="164" fontId="2" fillId="0" borderId="9" xfId="0" applyNumberFormat="1" applyFont="1" applyBorder="1" applyAlignment="1">
      <alignment horizontal="right"/>
    </xf>
    <xf numFmtId="164" fontId="0" fillId="0" borderId="9" xfId="0" applyNumberFormat="1" applyBorder="1" applyAlignment="1">
      <alignment horizontal="right"/>
    </xf>
    <xf numFmtId="1" fontId="0" fillId="0" borderId="0" xfId="0" applyNumberFormat="1"/>
    <xf numFmtId="166" fontId="0" fillId="0" borderId="0" xfId="0" applyNumberFormat="1"/>
    <xf numFmtId="0" fontId="2" fillId="0" borderId="9" xfId="0" applyFont="1" applyBorder="1" applyAlignment="1">
      <alignment horizontal="right"/>
    </xf>
    <xf numFmtId="0" fontId="0" fillId="0" borderId="9" xfId="0" applyBorder="1"/>
    <xf numFmtId="165" fontId="0" fillId="0" borderId="0" xfId="0" applyNumberFormat="1"/>
    <xf numFmtId="0" fontId="0" fillId="0" borderId="10" xfId="0" applyBorder="1"/>
    <xf numFmtId="0" fontId="0" fillId="0" borderId="11" xfId="0" applyBorder="1"/>
    <xf numFmtId="0" fontId="0" fillId="4" borderId="12" xfId="0" applyFill="1" applyBorder="1"/>
    <xf numFmtId="2" fontId="0" fillId="0" borderId="0" xfId="0" applyNumberFormat="1"/>
    <xf numFmtId="2" fontId="2" fillId="0" borderId="0" xfId="0" applyNumberFormat="1" applyFont="1"/>
    <xf numFmtId="11" fontId="0" fillId="0" borderId="0" xfId="0" applyNumberFormat="1"/>
    <xf numFmtId="0" fontId="2" fillId="5" borderId="6" xfId="0" applyFont="1" applyFill="1" applyBorder="1" applyAlignment="1">
      <alignment horizontal="right"/>
    </xf>
    <xf numFmtId="0" fontId="2" fillId="5" borderId="11" xfId="0" applyFont="1" applyFill="1" applyBorder="1" applyAlignment="1">
      <alignment horizontal="right"/>
    </xf>
    <xf numFmtId="10" fontId="2" fillId="5" borderId="11" xfId="0" applyNumberFormat="1" applyFont="1" applyFill="1" applyBorder="1" applyAlignment="1">
      <alignment horizontal="right"/>
    </xf>
    <xf numFmtId="0" fontId="0" fillId="5" borderId="0" xfId="0" applyFill="1"/>
    <xf numFmtId="166" fontId="0" fillId="5" borderId="0" xfId="0" applyNumberFormat="1" applyFill="1"/>
    <xf numFmtId="165" fontId="0" fillId="5" borderId="0" xfId="0" applyNumberFormat="1" applyFill="1"/>
    <xf numFmtId="0" fontId="0" fillId="5" borderId="0" xfId="0" applyFill="1" applyAlignment="1">
      <alignment horizontal="left" indent="2"/>
    </xf>
    <xf numFmtId="1" fontId="0" fillId="5" borderId="0" xfId="0" applyNumberFormat="1" applyFill="1"/>
    <xf numFmtId="2" fontId="0" fillId="5" borderId="0" xfId="0" applyNumberFormat="1" applyFill="1"/>
    <xf numFmtId="0" fontId="2" fillId="5" borderId="0" xfId="0" applyFont="1" applyFill="1"/>
    <xf numFmtId="1" fontId="2" fillId="0" borderId="0" xfId="0" applyNumberFormat="1" applyFont="1"/>
    <xf numFmtId="0" fontId="0" fillId="5" borderId="11" xfId="0" applyFill="1" applyBorder="1"/>
    <xf numFmtId="166" fontId="0" fillId="5" borderId="11" xfId="0" applyNumberFormat="1" applyFill="1" applyBorder="1"/>
    <xf numFmtId="165" fontId="0" fillId="5" borderId="11" xfId="0" applyNumberFormat="1" applyFill="1" applyBorder="1"/>
    <xf numFmtId="1" fontId="0" fillId="5" borderId="11" xfId="0" applyNumberFormat="1" applyFill="1" applyBorder="1"/>
    <xf numFmtId="2" fontId="0" fillId="5" borderId="11" xfId="0" applyNumberFormat="1" applyFill="1" applyBorder="1"/>
    <xf numFmtId="0" fontId="0" fillId="5" borderId="11" xfId="0" applyFill="1" applyBorder="1" applyAlignment="1">
      <alignment horizontal="left" indent="2"/>
    </xf>
    <xf numFmtId="164" fontId="7" fillId="0" borderId="0" xfId="0" applyNumberFormat="1" applyFont="1" applyAlignment="1">
      <alignment horizontal="left"/>
    </xf>
    <xf numFmtId="164" fontId="0" fillId="0" borderId="0" xfId="0" applyNumberFormat="1" applyAlignment="1">
      <alignment horizontal="right"/>
    </xf>
    <xf numFmtId="164" fontId="5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2" fillId="0" borderId="13" xfId="0" applyFont="1" applyBorder="1"/>
    <xf numFmtId="0" fontId="2" fillId="0" borderId="1" xfId="0" applyFont="1" applyBorder="1"/>
    <xf numFmtId="0" fontId="2" fillId="0" borderId="14" xfId="0" applyFont="1" applyBorder="1"/>
    <xf numFmtId="0" fontId="11" fillId="0" borderId="0" xfId="0" applyFont="1"/>
    <xf numFmtId="0" fontId="2" fillId="0" borderId="2" xfId="0" applyFont="1" applyBorder="1"/>
    <xf numFmtId="164" fontId="2" fillId="0" borderId="3" xfId="0" applyNumberFormat="1" applyFont="1" applyBorder="1"/>
    <xf numFmtId="0" fontId="10" fillId="0" borderId="0" xfId="0" applyFont="1"/>
    <xf numFmtId="0" fontId="2" fillId="0" borderId="3" xfId="0" applyFont="1" applyBorder="1" applyAlignment="1">
      <alignment horizontal="right"/>
    </xf>
    <xf numFmtId="0" fontId="2" fillId="0" borderId="4" xfId="0" applyFont="1" applyBorder="1" applyAlignment="1">
      <alignment horizontal="right" wrapText="1"/>
    </xf>
    <xf numFmtId="166" fontId="2" fillId="0" borderId="0" xfId="0" applyNumberFormat="1" applyFont="1" applyAlignment="1">
      <alignment horizontal="right"/>
    </xf>
    <xf numFmtId="167" fontId="0" fillId="0" borderId="0" xfId="0" applyNumberFormat="1"/>
    <xf numFmtId="166" fontId="2" fillId="0" borderId="0" xfId="0" applyNumberFormat="1" applyFont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6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7" xfId="0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/>
    <xf numFmtId="0" fontId="2" fillId="0" borderId="4" xfId="0" applyFont="1" applyBorder="1" applyAlignment="1">
      <alignment horizontal="right"/>
    </xf>
    <xf numFmtId="0" fontId="13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3" fillId="0" borderId="0" xfId="0" applyFont="1" applyAlignment="1">
      <alignment horizontal="right"/>
    </xf>
    <xf numFmtId="0" fontId="0" fillId="6" borderId="15" xfId="0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wrapText="1"/>
    </xf>
    <xf numFmtId="0" fontId="2" fillId="0" borderId="0" xfId="0" applyFont="1" applyAlignment="1">
      <alignment horizontal="right" wrapText="1"/>
    </xf>
    <xf numFmtId="0" fontId="0" fillId="6" borderId="15" xfId="0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10" fontId="18" fillId="0" borderId="0" xfId="0" applyNumberFormat="1" applyFont="1" applyAlignment="1">
      <alignment horizontal="right"/>
    </xf>
    <xf numFmtId="166" fontId="0" fillId="7" borderId="15" xfId="0" applyNumberFormat="1" applyFill="1" applyBorder="1"/>
    <xf numFmtId="0" fontId="0" fillId="8" borderId="15" xfId="0" applyFill="1" applyBorder="1"/>
    <xf numFmtId="3" fontId="0" fillId="0" borderId="0" xfId="0" applyNumberFormat="1"/>
    <xf numFmtId="164" fontId="7" fillId="0" borderId="0" xfId="0" applyNumberFormat="1" applyFont="1" applyAlignment="1">
      <alignment horizontal="right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2" fillId="0" borderId="5" xfId="0" applyFont="1" applyBorder="1" applyProtection="1">
      <protection locked="0"/>
    </xf>
    <xf numFmtId="168" fontId="0" fillId="0" borderId="8" xfId="0" applyNumberFormat="1" applyBorder="1" applyProtection="1">
      <protection locked="0"/>
    </xf>
    <xf numFmtId="0" fontId="0" fillId="0" borderId="9" xfId="0" applyBorder="1" applyProtection="1">
      <protection locked="0"/>
    </xf>
    <xf numFmtId="0" fontId="2" fillId="0" borderId="8" xfId="0" applyFont="1" applyBorder="1" applyProtection="1">
      <protection locked="0"/>
    </xf>
    <xf numFmtId="2" fontId="0" fillId="0" borderId="8" xfId="0" applyNumberFormat="1" applyBorder="1" applyProtection="1">
      <protection locked="0"/>
    </xf>
    <xf numFmtId="1" fontId="2" fillId="0" borderId="8" xfId="0" applyNumberFormat="1" applyFont="1" applyBorder="1" applyProtection="1">
      <protection locked="0"/>
    </xf>
    <xf numFmtId="166" fontId="0" fillId="0" borderId="8" xfId="0" applyNumberFormat="1" applyBorder="1"/>
    <xf numFmtId="0" fontId="19" fillId="0" borderId="5" xfId="0" applyFont="1" applyBorder="1"/>
    <xf numFmtId="0" fontId="18" fillId="0" borderId="6" xfId="0" applyFont="1" applyBorder="1"/>
    <xf numFmtId="0" fontId="19" fillId="0" borderId="7" xfId="0" applyFont="1" applyBorder="1"/>
    <xf numFmtId="0" fontId="19" fillId="0" borderId="0" xfId="0" applyFont="1"/>
    <xf numFmtId="10" fontId="18" fillId="0" borderId="0" xfId="0" applyNumberFormat="1" applyFont="1"/>
    <xf numFmtId="0" fontId="16" fillId="6" borderId="15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1" fillId="2" borderId="0" xfId="1" applyAlignment="1">
      <alignment vertical="center" wrapText="1"/>
    </xf>
    <xf numFmtId="11" fontId="0" fillId="0" borderId="0" xfId="0" applyNumberFormat="1" applyProtection="1">
      <protection locked="0"/>
    </xf>
    <xf numFmtId="0" fontId="0" fillId="0" borderId="0" xfId="1" applyFont="1" applyFill="1"/>
    <xf numFmtId="166" fontId="2" fillId="0" borderId="6" xfId="0" applyNumberFormat="1" applyFont="1" applyBorder="1"/>
    <xf numFmtId="1" fontId="0" fillId="0" borderId="6" xfId="0" applyNumberFormat="1" applyBorder="1" applyAlignment="1">
      <alignment horizontal="right"/>
    </xf>
    <xf numFmtId="167" fontId="0" fillId="0" borderId="6" xfId="0" applyNumberFormat="1" applyBorder="1"/>
    <xf numFmtId="166" fontId="2" fillId="0" borderId="11" xfId="0" applyNumberFormat="1" applyFont="1" applyBorder="1"/>
    <xf numFmtId="1" fontId="0" fillId="0" borderId="11" xfId="0" applyNumberFormat="1" applyBorder="1" applyAlignment="1">
      <alignment horizontal="right"/>
    </xf>
    <xf numFmtId="167" fontId="0" fillId="0" borderId="11" xfId="0" applyNumberFormat="1" applyBorder="1"/>
    <xf numFmtId="10" fontId="2" fillId="0" borderId="0" xfId="0" applyNumberFormat="1" applyFont="1"/>
    <xf numFmtId="164" fontId="2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applyBorder="1" applyAlignment="1">
      <alignment horizontal="right"/>
    </xf>
    <xf numFmtId="1" fontId="19" fillId="0" borderId="0" xfId="0" applyNumberFormat="1" applyFont="1"/>
    <xf numFmtId="0" fontId="19" fillId="0" borderId="0" xfId="0" applyFont="1" applyAlignment="1">
      <alignment horizontal="right"/>
    </xf>
    <xf numFmtId="1" fontId="19" fillId="0" borderId="11" xfId="0" applyNumberFormat="1" applyFont="1" applyBorder="1"/>
    <xf numFmtId="1" fontId="0" fillId="0" borderId="11" xfId="0" applyNumberFormat="1" applyBorder="1"/>
    <xf numFmtId="0" fontId="19" fillId="0" borderId="11" xfId="0" applyFont="1" applyBorder="1" applyAlignment="1">
      <alignment horizontal="right"/>
    </xf>
    <xf numFmtId="166" fontId="19" fillId="0" borderId="0" xfId="0" applyNumberFormat="1" applyFont="1"/>
    <xf numFmtId="0" fontId="2" fillId="9" borderId="0" xfId="0" applyFont="1" applyFill="1"/>
    <xf numFmtId="0" fontId="22" fillId="0" borderId="0" xfId="0" applyFont="1"/>
    <xf numFmtId="0" fontId="23" fillId="0" borderId="0" xfId="0" applyFont="1" applyAlignment="1">
      <alignment vertical="center"/>
    </xf>
    <xf numFmtId="0" fontId="21" fillId="2" borderId="0" xfId="1"/>
    <xf numFmtId="1" fontId="0" fillId="0" borderId="0" xfId="0" applyNumberFormat="1" applyProtection="1">
      <protection locked="0"/>
    </xf>
    <xf numFmtId="169" fontId="2" fillId="0" borderId="0" xfId="0" applyNumberFormat="1" applyFont="1" applyProtection="1">
      <protection locked="0"/>
    </xf>
    <xf numFmtId="165" fontId="0" fillId="5" borderId="0" xfId="0" applyNumberFormat="1" applyFill="1" applyAlignment="1">
      <alignment horizontal="right"/>
    </xf>
    <xf numFmtId="0" fontId="1" fillId="10" borderId="0" xfId="2" applyAlignment="1">
      <alignment horizontal="left"/>
    </xf>
    <xf numFmtId="166" fontId="0" fillId="0" borderId="0" xfId="0" applyNumberFormat="1" applyAlignment="1">
      <alignment horizontal="left" indent="1"/>
    </xf>
    <xf numFmtId="0" fontId="4" fillId="0" borderId="0" xfId="0" applyFont="1" applyAlignment="1">
      <alignment horizontal="left" vertical="center"/>
    </xf>
    <xf numFmtId="0" fontId="0" fillId="5" borderId="0" xfId="0" applyFill="1" applyAlignment="1">
      <alignment vertical="center" wrapText="1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horizontal="left" vertical="center"/>
    </xf>
    <xf numFmtId="0" fontId="0" fillId="6" borderId="15" xfId="0" applyFill="1" applyBorder="1" applyAlignment="1">
      <alignment vertical="center" wrapText="1"/>
    </xf>
    <xf numFmtId="0" fontId="16" fillId="6" borderId="15" xfId="0" applyFont="1" applyFill="1" applyBorder="1" applyAlignment="1">
      <alignment horizontal="center"/>
    </xf>
    <xf numFmtId="0" fontId="0" fillId="6" borderId="15" xfId="0" applyFill="1" applyBorder="1" applyAlignment="1">
      <alignment wrapText="1"/>
    </xf>
  </cellXfs>
  <cellStyles count="3">
    <cellStyle name="20% - Accent2" xfId="2" builtinId="34"/>
    <cellStyle name="Good" xfId="1" xr:uid="{00000000-0005-0000-0000-000006000000}"/>
    <cellStyle name="Normal" xfId="0" builtinId="0"/>
  </cellStyles>
  <dxfs count="24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800">
              <a:solidFill>
                <a:srgbClr val="004586"/>
              </a:solidFill>
              <a:prstDash val="sysDot"/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Limit'!$G$22:$G$37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D-4736-AEC2-21B3CD8468F9}"/>
            </c:ext>
          </c:extLst>
        </c:ser>
        <c:ser>
          <c:idx val="1"/>
          <c:order val="1"/>
          <c:spPr>
            <a:ln w="14400">
              <a:solidFill>
                <a:srgbClr val="579D1C"/>
              </a:solidFill>
              <a:round/>
            </a:ln>
          </c:spPr>
          <c:marker>
            <c:symbol val="triangle"/>
            <c:size val="2"/>
            <c:spPr>
              <a:solidFill>
                <a:srgbClr val="579D1C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Limit'!$L$21:$L$21</c15:sqref>
                        </c15:formulaRef>
                      </c:ext>
                    </c:extLst>
                    <c:strCache>
                      <c:ptCount val="1"/>
                      <c:pt idx="0">
                        <c:v>corrected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DD-4736-AEC2-21B3CD8468F9}"/>
            </c:ext>
          </c:extLst>
        </c:ser>
        <c:ser>
          <c:idx val="2"/>
          <c:order val="2"/>
          <c:spPr>
            <a:ln w="14400">
              <a:solidFill>
                <a:srgbClr val="FFD320"/>
              </a:solidFill>
              <a:round/>
            </a:ln>
          </c:spPr>
          <c:marker>
            <c:symbol val="triangle"/>
            <c:size val="2"/>
            <c:spPr>
              <a:solidFill>
                <a:srgbClr val="FFD32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Limit'!$K$22:$K$37</c:f>
              <c:numCache>
                <c:formatCode>General</c:formatCode>
                <c:ptCount val="32"/>
                <c:pt idx="16">
                  <c:v>0.95</c:v>
                </c:pt>
                <c:pt idx="17">
                  <c:v>148655.463751551</c:v>
                </c:pt>
                <c:pt idx="18">
                  <c:v>297059.35241786198</c:v>
                </c:pt>
                <c:pt idx="19">
                  <c:v>445212.30408360198</c:v>
                </c:pt>
                <c:pt idx="20">
                  <c:v>593114.95467737794</c:v>
                </c:pt>
                <c:pt idx="21">
                  <c:v>740767.93798083905</c:v>
                </c:pt>
                <c:pt idx="22">
                  <c:v>888171.88563772396</c:v>
                </c:pt>
                <c:pt idx="23">
                  <c:v>1035327.4271628699</c:v>
                </c:pt>
                <c:pt idx="24">
                  <c:v>1182235.18995119</c:v>
                </c:pt>
                <c:pt idx="25">
                  <c:v>1328895.7992865399</c:v>
                </c:pt>
                <c:pt idx="26">
                  <c:v>1475309.87835067</c:v>
                </c:pt>
                <c:pt idx="27">
                  <c:v>1621478.04823196</c:v>
                </c:pt>
                <c:pt idx="28">
                  <c:v>1767400.9279342799</c:v>
                </c:pt>
                <c:pt idx="29">
                  <c:v>1913079.1343856901</c:v>
                </c:pt>
                <c:pt idx="30">
                  <c:v>2058513.2824471199</c:v>
                </c:pt>
                <c:pt idx="31">
                  <c:v>2203703.98492106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Limit'!$K$21:$K$21</c15:sqref>
                        </c15:formulaRef>
                      </c:ext>
                    </c:extLst>
                    <c:strCache>
                      <c:ptCount val="1"/>
                      <c:pt idx="0">
                        <c:v>95%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DD-4736-AEC2-21B3CD8468F9}"/>
            </c:ext>
          </c:extLst>
        </c:ser>
        <c:ser>
          <c:idx val="3"/>
          <c:order val="3"/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Limit'!$I$22:$I$37</c:f>
              <c:numCache>
                <c:formatCode>General</c:formatCode>
                <c:ptCount val="32"/>
                <c:pt idx="16">
                  <c:v>1</c:v>
                </c:pt>
                <c:pt idx="17">
                  <c:v>156479.43552794799</c:v>
                </c:pt>
                <c:pt idx="18">
                  <c:v>312694.05517669697</c:v>
                </c:pt>
                <c:pt idx="19">
                  <c:v>468644.53061431798</c:v>
                </c:pt>
                <c:pt idx="20">
                  <c:v>624331.53123934602</c:v>
                </c:pt>
                <c:pt idx="21">
                  <c:v>779755.72419035702</c:v>
                </c:pt>
                <c:pt idx="22">
                  <c:v>934917.77435549896</c:v>
                </c:pt>
                <c:pt idx="23">
                  <c:v>1089818.3443819699</c:v>
                </c:pt>
                <c:pt idx="24">
                  <c:v>1244458.09468546</c:v>
                </c:pt>
                <c:pt idx="25">
                  <c:v>1398837.6834595201</c:v>
                </c:pt>
                <c:pt idx="26">
                  <c:v>1552957.76668491</c:v>
                </c:pt>
                <c:pt idx="27">
                  <c:v>1706818.9981389099</c:v>
                </c:pt>
                <c:pt idx="28">
                  <c:v>1860422.02940451</c:v>
                </c:pt>
                <c:pt idx="29">
                  <c:v>2013767.5098796701</c:v>
                </c:pt>
                <c:pt idx="30">
                  <c:v>2166856.0867864401</c:v>
                </c:pt>
                <c:pt idx="31">
                  <c:v>2319688.4051800598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Limit'!$I$21:$I$21</c15:sqref>
                        </c15:formulaRef>
                      </c:ext>
                    </c:extLst>
                    <c:strCache>
                      <c:ptCount val="1"/>
                      <c:pt idx="0">
                        <c:v>Line 0-40%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DD-4736-AEC2-21B3CD846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6740"/>
        <c:axId val="67844755"/>
      </c:scatterChart>
      <c:valAx>
        <c:axId val="494674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RM8632a mg/l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67844755"/>
        <c:crosses val="autoZero"/>
        <c:crossBetween val="midCat"/>
      </c:valAx>
      <c:valAx>
        <c:axId val="6784475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 / 100ml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4946740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9238476953907802"/>
          <c:y val="0.48556430446194199"/>
          <c:w val="0.22525155525865301"/>
          <c:h val="0.13642627468994001"/>
        </c:manualLayout>
      </c:layout>
      <c:overlay val="1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strike="noStrike" spc="-1">
                <a:latin typeface="Arial"/>
              </a:defRPr>
            </a:pPr>
            <a:r>
              <a:rPr lang="en-GB" sz="1300" b="0" strike="noStrike" spc="-1">
                <a:latin typeface="Arial"/>
              </a:rPr>
              <a:t>Fraction of Expected Counts
Based on extrapolating 0-40% linear regression fit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1.00</c:v>
          </c:tx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Limit'!$M$22:$M$22</c:f>
              <c:numCache>
                <c:formatCode>General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D-452F-8008-8FC63C7CF079}"/>
            </c:ext>
          </c:extLst>
        </c:ser>
        <c:ser>
          <c:idx val="1"/>
          <c:order val="1"/>
          <c:tx>
            <c:v>Count Fraction</c:v>
          </c:tx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1-1B0D-452F-8008-8FC63C7CF079}"/>
              </c:ext>
            </c:extLst>
          </c:dPt>
          <c:dLbls>
            <c:dLbl>
              <c:idx val="1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0D-452F-8008-8FC63C7CF0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Limit'!$M$22:$M$37</c:f>
              <c:numCache>
                <c:formatCode>General</c:formatCode>
                <c:ptCount val="32"/>
                <c:pt idx="16">
                  <c:v>1</c:v>
                </c:pt>
                <c:pt idx="17">
                  <c:v>1.01337916682143</c:v>
                </c:pt>
                <c:pt idx="18">
                  <c:v>1.0101439242953001</c:v>
                </c:pt>
                <c:pt idx="19">
                  <c:v>1.00522244307956</c:v>
                </c:pt>
                <c:pt idx="20">
                  <c:v>0.99367238231344301</c:v>
                </c:pt>
                <c:pt idx="21">
                  <c:v>0.97506049191168298</c:v>
                </c:pt>
                <c:pt idx="22">
                  <c:v>0.98660120205315904</c:v>
                </c:pt>
                <c:pt idx="23">
                  <c:v>0.99378488679614496</c:v>
                </c:pt>
                <c:pt idx="24">
                  <c:v>0.99974439100294399</c:v>
                </c:pt>
                <c:pt idx="25">
                  <c:v>1.0062139565178001</c:v>
                </c:pt>
                <c:pt idx="26">
                  <c:v>1.0062244019267299</c:v>
                </c:pt>
                <c:pt idx="27">
                  <c:v>1.0038516104333599</c:v>
                </c:pt>
                <c:pt idx="28">
                  <c:v>1.0068715433344899</c:v>
                </c:pt>
                <c:pt idx="29">
                  <c:v>1.00800464305897</c:v>
                </c:pt>
                <c:pt idx="30">
                  <c:v>1.0140945738850899</c:v>
                </c:pt>
                <c:pt idx="31">
                  <c:v>1.0031274005610999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0D-452F-8008-8FC63C7CF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6401"/>
        <c:axId val="94820767"/>
      </c:scatterChart>
      <c:valAx>
        <c:axId val="27386401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94820767"/>
        <c:crosses val="autoZero"/>
        <c:crossBetween val="between"/>
      </c:valAx>
      <c:valAx>
        <c:axId val="94820767"/>
        <c:scaling>
          <c:orientation val="minMax"/>
          <c:max val="1.2"/>
          <c:min val="0.8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Fraction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7386401"/>
        <c:crosses val="autoZero"/>
        <c:crossBetween val="between"/>
        <c:majorUnit val="0.05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8809278097203797"/>
          <c:y val="0.57661263862458201"/>
          <c:w val="0.22582071948103"/>
          <c:h val="7.1466071662947897E-2"/>
        </c:manualLayout>
      </c:layout>
      <c:overlay val="1"/>
      <c:spPr>
        <a:solidFill>
          <a:srgbClr val="D9D9D9">
            <a:alpha val="50000"/>
          </a:srgbClr>
        </a:solidFill>
        <a:ln w="0">
          <a:solidFill>
            <a:srgbClr val="000000"/>
          </a:solidFill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Pulse Height</c:v>
          </c:tx>
          <c:spPr>
            <a:ln w="28800">
              <a:noFill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Resolution'!$L$2:$L$1001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xVal>
          <c:yVal>
            <c:numRef>
              <c:f>'Annex D Resolution'!$M$2:$M$1001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140</c:v>
                </c:pt>
                <c:pt idx="21">
                  <c:v>125</c:v>
                </c:pt>
                <c:pt idx="22">
                  <c:v>141</c:v>
                </c:pt>
                <c:pt idx="23">
                  <c:v>136</c:v>
                </c:pt>
                <c:pt idx="24">
                  <c:v>84</c:v>
                </c:pt>
                <c:pt idx="25">
                  <c:v>114</c:v>
                </c:pt>
                <c:pt idx="26">
                  <c:v>113</c:v>
                </c:pt>
                <c:pt idx="27">
                  <c:v>106</c:v>
                </c:pt>
                <c:pt idx="28">
                  <c:v>95</c:v>
                </c:pt>
                <c:pt idx="29">
                  <c:v>77</c:v>
                </c:pt>
                <c:pt idx="30">
                  <c:v>79</c:v>
                </c:pt>
                <c:pt idx="31">
                  <c:v>87</c:v>
                </c:pt>
                <c:pt idx="32">
                  <c:v>62</c:v>
                </c:pt>
                <c:pt idx="33">
                  <c:v>70</c:v>
                </c:pt>
                <c:pt idx="34">
                  <c:v>79</c:v>
                </c:pt>
                <c:pt idx="35">
                  <c:v>59</c:v>
                </c:pt>
                <c:pt idx="36">
                  <c:v>56</c:v>
                </c:pt>
                <c:pt idx="37">
                  <c:v>70</c:v>
                </c:pt>
                <c:pt idx="38">
                  <c:v>49</c:v>
                </c:pt>
                <c:pt idx="39">
                  <c:v>51</c:v>
                </c:pt>
                <c:pt idx="40">
                  <c:v>44</c:v>
                </c:pt>
                <c:pt idx="41">
                  <c:v>48</c:v>
                </c:pt>
                <c:pt idx="42">
                  <c:v>44</c:v>
                </c:pt>
                <c:pt idx="43">
                  <c:v>35</c:v>
                </c:pt>
                <c:pt idx="44">
                  <c:v>43</c:v>
                </c:pt>
                <c:pt idx="45">
                  <c:v>45</c:v>
                </c:pt>
                <c:pt idx="46">
                  <c:v>43</c:v>
                </c:pt>
                <c:pt idx="47">
                  <c:v>48</c:v>
                </c:pt>
                <c:pt idx="48">
                  <c:v>45</c:v>
                </c:pt>
                <c:pt idx="49">
                  <c:v>55</c:v>
                </c:pt>
                <c:pt idx="50">
                  <c:v>49</c:v>
                </c:pt>
                <c:pt idx="51">
                  <c:v>34</c:v>
                </c:pt>
                <c:pt idx="52">
                  <c:v>40</c:v>
                </c:pt>
                <c:pt idx="53">
                  <c:v>33</c:v>
                </c:pt>
                <c:pt idx="54">
                  <c:v>33</c:v>
                </c:pt>
                <c:pt idx="55">
                  <c:v>41</c:v>
                </c:pt>
                <c:pt idx="56">
                  <c:v>33</c:v>
                </c:pt>
                <c:pt idx="57">
                  <c:v>38</c:v>
                </c:pt>
                <c:pt idx="58">
                  <c:v>35</c:v>
                </c:pt>
                <c:pt idx="59">
                  <c:v>37</c:v>
                </c:pt>
                <c:pt idx="60">
                  <c:v>31</c:v>
                </c:pt>
                <c:pt idx="61">
                  <c:v>29</c:v>
                </c:pt>
                <c:pt idx="62">
                  <c:v>43</c:v>
                </c:pt>
                <c:pt idx="63">
                  <c:v>40</c:v>
                </c:pt>
                <c:pt idx="64">
                  <c:v>48</c:v>
                </c:pt>
                <c:pt idx="65">
                  <c:v>34</c:v>
                </c:pt>
                <c:pt idx="66">
                  <c:v>33</c:v>
                </c:pt>
                <c:pt idx="67">
                  <c:v>33</c:v>
                </c:pt>
                <c:pt idx="68">
                  <c:v>35</c:v>
                </c:pt>
                <c:pt idx="69">
                  <c:v>42</c:v>
                </c:pt>
                <c:pt idx="70">
                  <c:v>28</c:v>
                </c:pt>
                <c:pt idx="71">
                  <c:v>20</c:v>
                </c:pt>
                <c:pt idx="72">
                  <c:v>37</c:v>
                </c:pt>
                <c:pt idx="73">
                  <c:v>38</c:v>
                </c:pt>
                <c:pt idx="74">
                  <c:v>27</c:v>
                </c:pt>
                <c:pt idx="75">
                  <c:v>27</c:v>
                </c:pt>
                <c:pt idx="76">
                  <c:v>37</c:v>
                </c:pt>
                <c:pt idx="77">
                  <c:v>27</c:v>
                </c:pt>
                <c:pt idx="78">
                  <c:v>37</c:v>
                </c:pt>
                <c:pt idx="79">
                  <c:v>27</c:v>
                </c:pt>
                <c:pt idx="80">
                  <c:v>30</c:v>
                </c:pt>
                <c:pt idx="81">
                  <c:v>34</c:v>
                </c:pt>
                <c:pt idx="82">
                  <c:v>37</c:v>
                </c:pt>
                <c:pt idx="83">
                  <c:v>32</c:v>
                </c:pt>
                <c:pt idx="84">
                  <c:v>34</c:v>
                </c:pt>
                <c:pt idx="85">
                  <c:v>31</c:v>
                </c:pt>
                <c:pt idx="86">
                  <c:v>34</c:v>
                </c:pt>
                <c:pt idx="87">
                  <c:v>39</c:v>
                </c:pt>
                <c:pt idx="88">
                  <c:v>36</c:v>
                </c:pt>
                <c:pt idx="89">
                  <c:v>43</c:v>
                </c:pt>
                <c:pt idx="90">
                  <c:v>44</c:v>
                </c:pt>
                <c:pt idx="91">
                  <c:v>34</c:v>
                </c:pt>
                <c:pt idx="92">
                  <c:v>36</c:v>
                </c:pt>
                <c:pt idx="93">
                  <c:v>46</c:v>
                </c:pt>
                <c:pt idx="94">
                  <c:v>35</c:v>
                </c:pt>
                <c:pt idx="95">
                  <c:v>34</c:v>
                </c:pt>
                <c:pt idx="96">
                  <c:v>29</c:v>
                </c:pt>
                <c:pt idx="97">
                  <c:v>35</c:v>
                </c:pt>
                <c:pt idx="98">
                  <c:v>35</c:v>
                </c:pt>
                <c:pt idx="99">
                  <c:v>38</c:v>
                </c:pt>
                <c:pt idx="100">
                  <c:v>44</c:v>
                </c:pt>
                <c:pt idx="101">
                  <c:v>34</c:v>
                </c:pt>
                <c:pt idx="102">
                  <c:v>40</c:v>
                </c:pt>
                <c:pt idx="103">
                  <c:v>45</c:v>
                </c:pt>
                <c:pt idx="104">
                  <c:v>40</c:v>
                </c:pt>
                <c:pt idx="105">
                  <c:v>45</c:v>
                </c:pt>
                <c:pt idx="106">
                  <c:v>31</c:v>
                </c:pt>
                <c:pt idx="107">
                  <c:v>34</c:v>
                </c:pt>
                <c:pt idx="108">
                  <c:v>31</c:v>
                </c:pt>
                <c:pt idx="109">
                  <c:v>31</c:v>
                </c:pt>
                <c:pt idx="110">
                  <c:v>33</c:v>
                </c:pt>
                <c:pt idx="111">
                  <c:v>36</c:v>
                </c:pt>
                <c:pt idx="112">
                  <c:v>23</c:v>
                </c:pt>
                <c:pt idx="113">
                  <c:v>36</c:v>
                </c:pt>
                <c:pt idx="114">
                  <c:v>36</c:v>
                </c:pt>
                <c:pt idx="115">
                  <c:v>37</c:v>
                </c:pt>
                <c:pt idx="116">
                  <c:v>29</c:v>
                </c:pt>
                <c:pt idx="117">
                  <c:v>37</c:v>
                </c:pt>
                <c:pt idx="118">
                  <c:v>36</c:v>
                </c:pt>
                <c:pt idx="119">
                  <c:v>33</c:v>
                </c:pt>
                <c:pt idx="120">
                  <c:v>30</c:v>
                </c:pt>
                <c:pt idx="121">
                  <c:v>22</c:v>
                </c:pt>
                <c:pt idx="122">
                  <c:v>24</c:v>
                </c:pt>
                <c:pt idx="123">
                  <c:v>29</c:v>
                </c:pt>
                <c:pt idx="124">
                  <c:v>39</c:v>
                </c:pt>
                <c:pt idx="125">
                  <c:v>44</c:v>
                </c:pt>
                <c:pt idx="126">
                  <c:v>28</c:v>
                </c:pt>
                <c:pt idx="127">
                  <c:v>23</c:v>
                </c:pt>
                <c:pt idx="128">
                  <c:v>33</c:v>
                </c:pt>
                <c:pt idx="129">
                  <c:v>31</c:v>
                </c:pt>
                <c:pt idx="130">
                  <c:v>31</c:v>
                </c:pt>
                <c:pt idx="131">
                  <c:v>30</c:v>
                </c:pt>
                <c:pt idx="132">
                  <c:v>21</c:v>
                </c:pt>
                <c:pt idx="133">
                  <c:v>33</c:v>
                </c:pt>
                <c:pt idx="134">
                  <c:v>41</c:v>
                </c:pt>
                <c:pt idx="135">
                  <c:v>30</c:v>
                </c:pt>
                <c:pt idx="136">
                  <c:v>32</c:v>
                </c:pt>
                <c:pt idx="137">
                  <c:v>36</c:v>
                </c:pt>
                <c:pt idx="138">
                  <c:v>29</c:v>
                </c:pt>
                <c:pt idx="139">
                  <c:v>33</c:v>
                </c:pt>
                <c:pt idx="140">
                  <c:v>39</c:v>
                </c:pt>
                <c:pt idx="141">
                  <c:v>47</c:v>
                </c:pt>
                <c:pt idx="142">
                  <c:v>26</c:v>
                </c:pt>
                <c:pt idx="143">
                  <c:v>35</c:v>
                </c:pt>
                <c:pt idx="144">
                  <c:v>46</c:v>
                </c:pt>
                <c:pt idx="145">
                  <c:v>49</c:v>
                </c:pt>
                <c:pt idx="146">
                  <c:v>42</c:v>
                </c:pt>
                <c:pt idx="147">
                  <c:v>47</c:v>
                </c:pt>
                <c:pt idx="148">
                  <c:v>37</c:v>
                </c:pt>
                <c:pt idx="149">
                  <c:v>47</c:v>
                </c:pt>
                <c:pt idx="150">
                  <c:v>47</c:v>
                </c:pt>
                <c:pt idx="151">
                  <c:v>38</c:v>
                </c:pt>
                <c:pt idx="152">
                  <c:v>44</c:v>
                </c:pt>
                <c:pt idx="153">
                  <c:v>51</c:v>
                </c:pt>
                <c:pt idx="154">
                  <c:v>66</c:v>
                </c:pt>
                <c:pt idx="155">
                  <c:v>64</c:v>
                </c:pt>
                <c:pt idx="156">
                  <c:v>63</c:v>
                </c:pt>
                <c:pt idx="157">
                  <c:v>70</c:v>
                </c:pt>
                <c:pt idx="158">
                  <c:v>80</c:v>
                </c:pt>
                <c:pt idx="159">
                  <c:v>77</c:v>
                </c:pt>
                <c:pt idx="160">
                  <c:v>84</c:v>
                </c:pt>
                <c:pt idx="161">
                  <c:v>75</c:v>
                </c:pt>
                <c:pt idx="162">
                  <c:v>97</c:v>
                </c:pt>
                <c:pt idx="163">
                  <c:v>101</c:v>
                </c:pt>
                <c:pt idx="164">
                  <c:v>114</c:v>
                </c:pt>
                <c:pt idx="165">
                  <c:v>119</c:v>
                </c:pt>
                <c:pt idx="166">
                  <c:v>148</c:v>
                </c:pt>
                <c:pt idx="167">
                  <c:v>130</c:v>
                </c:pt>
                <c:pt idx="168">
                  <c:v>169</c:v>
                </c:pt>
                <c:pt idx="169">
                  <c:v>178</c:v>
                </c:pt>
                <c:pt idx="170">
                  <c:v>197</c:v>
                </c:pt>
                <c:pt idx="171">
                  <c:v>199</c:v>
                </c:pt>
                <c:pt idx="172">
                  <c:v>204</c:v>
                </c:pt>
                <c:pt idx="173">
                  <c:v>232</c:v>
                </c:pt>
                <c:pt idx="174">
                  <c:v>266</c:v>
                </c:pt>
                <c:pt idx="175">
                  <c:v>279</c:v>
                </c:pt>
                <c:pt idx="176">
                  <c:v>301</c:v>
                </c:pt>
                <c:pt idx="177">
                  <c:v>324</c:v>
                </c:pt>
                <c:pt idx="178">
                  <c:v>334</c:v>
                </c:pt>
                <c:pt idx="179">
                  <c:v>418</c:v>
                </c:pt>
                <c:pt idx="180">
                  <c:v>377</c:v>
                </c:pt>
                <c:pt idx="181">
                  <c:v>391</c:v>
                </c:pt>
                <c:pt idx="182">
                  <c:v>406</c:v>
                </c:pt>
                <c:pt idx="183">
                  <c:v>502</c:v>
                </c:pt>
                <c:pt idx="184">
                  <c:v>451</c:v>
                </c:pt>
                <c:pt idx="185">
                  <c:v>546</c:v>
                </c:pt>
                <c:pt idx="186">
                  <c:v>559</c:v>
                </c:pt>
                <c:pt idx="187">
                  <c:v>574</c:v>
                </c:pt>
                <c:pt idx="188">
                  <c:v>590</c:v>
                </c:pt>
                <c:pt idx="189">
                  <c:v>589</c:v>
                </c:pt>
                <c:pt idx="190">
                  <c:v>622</c:v>
                </c:pt>
                <c:pt idx="191">
                  <c:v>671</c:v>
                </c:pt>
                <c:pt idx="192">
                  <c:v>648</c:v>
                </c:pt>
                <c:pt idx="193">
                  <c:v>743</c:v>
                </c:pt>
                <c:pt idx="194">
                  <c:v>711</c:v>
                </c:pt>
                <c:pt idx="195">
                  <c:v>752</c:v>
                </c:pt>
                <c:pt idx="196">
                  <c:v>789</c:v>
                </c:pt>
                <c:pt idx="197">
                  <c:v>794</c:v>
                </c:pt>
                <c:pt idx="198">
                  <c:v>785</c:v>
                </c:pt>
                <c:pt idx="199">
                  <c:v>747</c:v>
                </c:pt>
                <c:pt idx="200">
                  <c:v>782</c:v>
                </c:pt>
                <c:pt idx="201">
                  <c:v>824</c:v>
                </c:pt>
                <c:pt idx="202">
                  <c:v>790</c:v>
                </c:pt>
                <c:pt idx="203">
                  <c:v>834</c:v>
                </c:pt>
                <c:pt idx="204">
                  <c:v>854</c:v>
                </c:pt>
                <c:pt idx="205">
                  <c:v>766</c:v>
                </c:pt>
                <c:pt idx="206">
                  <c:v>837</c:v>
                </c:pt>
                <c:pt idx="207">
                  <c:v>773</c:v>
                </c:pt>
                <c:pt idx="208">
                  <c:v>787</c:v>
                </c:pt>
                <c:pt idx="209">
                  <c:v>837</c:v>
                </c:pt>
                <c:pt idx="210">
                  <c:v>800</c:v>
                </c:pt>
                <c:pt idx="211">
                  <c:v>732</c:v>
                </c:pt>
                <c:pt idx="212">
                  <c:v>795</c:v>
                </c:pt>
                <c:pt idx="213">
                  <c:v>753</c:v>
                </c:pt>
                <c:pt idx="214">
                  <c:v>738</c:v>
                </c:pt>
                <c:pt idx="215">
                  <c:v>715</c:v>
                </c:pt>
                <c:pt idx="216">
                  <c:v>716</c:v>
                </c:pt>
                <c:pt idx="217">
                  <c:v>691</c:v>
                </c:pt>
                <c:pt idx="218">
                  <c:v>691</c:v>
                </c:pt>
                <c:pt idx="219">
                  <c:v>690</c:v>
                </c:pt>
                <c:pt idx="220">
                  <c:v>664</c:v>
                </c:pt>
                <c:pt idx="221">
                  <c:v>600</c:v>
                </c:pt>
                <c:pt idx="222">
                  <c:v>599</c:v>
                </c:pt>
                <c:pt idx="223">
                  <c:v>622</c:v>
                </c:pt>
                <c:pt idx="224">
                  <c:v>526</c:v>
                </c:pt>
                <c:pt idx="225">
                  <c:v>532</c:v>
                </c:pt>
                <c:pt idx="226">
                  <c:v>504</c:v>
                </c:pt>
                <c:pt idx="227">
                  <c:v>516</c:v>
                </c:pt>
                <c:pt idx="228">
                  <c:v>469</c:v>
                </c:pt>
                <c:pt idx="229">
                  <c:v>451</c:v>
                </c:pt>
                <c:pt idx="230">
                  <c:v>435</c:v>
                </c:pt>
                <c:pt idx="231">
                  <c:v>409</c:v>
                </c:pt>
                <c:pt idx="232">
                  <c:v>364</c:v>
                </c:pt>
                <c:pt idx="233">
                  <c:v>353</c:v>
                </c:pt>
                <c:pt idx="234">
                  <c:v>364</c:v>
                </c:pt>
                <c:pt idx="235">
                  <c:v>339</c:v>
                </c:pt>
                <c:pt idx="236">
                  <c:v>323</c:v>
                </c:pt>
                <c:pt idx="237">
                  <c:v>290</c:v>
                </c:pt>
                <c:pt idx="238">
                  <c:v>275</c:v>
                </c:pt>
                <c:pt idx="239">
                  <c:v>239</c:v>
                </c:pt>
                <c:pt idx="240">
                  <c:v>256</c:v>
                </c:pt>
                <c:pt idx="241">
                  <c:v>208</c:v>
                </c:pt>
                <c:pt idx="242">
                  <c:v>203</c:v>
                </c:pt>
                <c:pt idx="243">
                  <c:v>188</c:v>
                </c:pt>
                <c:pt idx="244">
                  <c:v>175</c:v>
                </c:pt>
                <c:pt idx="245">
                  <c:v>163</c:v>
                </c:pt>
                <c:pt idx="246">
                  <c:v>143</c:v>
                </c:pt>
                <c:pt idx="247">
                  <c:v>130</c:v>
                </c:pt>
                <c:pt idx="248">
                  <c:v>120</c:v>
                </c:pt>
                <c:pt idx="249">
                  <c:v>123</c:v>
                </c:pt>
                <c:pt idx="250">
                  <c:v>122</c:v>
                </c:pt>
                <c:pt idx="251">
                  <c:v>101</c:v>
                </c:pt>
                <c:pt idx="252">
                  <c:v>86</c:v>
                </c:pt>
                <c:pt idx="253">
                  <c:v>84</c:v>
                </c:pt>
                <c:pt idx="254">
                  <c:v>84</c:v>
                </c:pt>
                <c:pt idx="255">
                  <c:v>65</c:v>
                </c:pt>
                <c:pt idx="256">
                  <c:v>61</c:v>
                </c:pt>
                <c:pt idx="257">
                  <c:v>45</c:v>
                </c:pt>
                <c:pt idx="258">
                  <c:v>44</c:v>
                </c:pt>
                <c:pt idx="259">
                  <c:v>61</c:v>
                </c:pt>
                <c:pt idx="260">
                  <c:v>46</c:v>
                </c:pt>
                <c:pt idx="261">
                  <c:v>40</c:v>
                </c:pt>
                <c:pt idx="262">
                  <c:v>46</c:v>
                </c:pt>
                <c:pt idx="263">
                  <c:v>29</c:v>
                </c:pt>
                <c:pt idx="264">
                  <c:v>29</c:v>
                </c:pt>
                <c:pt idx="265">
                  <c:v>38</c:v>
                </c:pt>
                <c:pt idx="266">
                  <c:v>27</c:v>
                </c:pt>
                <c:pt idx="267">
                  <c:v>18</c:v>
                </c:pt>
                <c:pt idx="268">
                  <c:v>19</c:v>
                </c:pt>
                <c:pt idx="269">
                  <c:v>19</c:v>
                </c:pt>
                <c:pt idx="270">
                  <c:v>18</c:v>
                </c:pt>
                <c:pt idx="271">
                  <c:v>13</c:v>
                </c:pt>
                <c:pt idx="272">
                  <c:v>23</c:v>
                </c:pt>
                <c:pt idx="273">
                  <c:v>13</c:v>
                </c:pt>
                <c:pt idx="274">
                  <c:v>16</c:v>
                </c:pt>
                <c:pt idx="275">
                  <c:v>9</c:v>
                </c:pt>
                <c:pt idx="276">
                  <c:v>14</c:v>
                </c:pt>
                <c:pt idx="277">
                  <c:v>15</c:v>
                </c:pt>
                <c:pt idx="278">
                  <c:v>8</c:v>
                </c:pt>
                <c:pt idx="279">
                  <c:v>6</c:v>
                </c:pt>
                <c:pt idx="280">
                  <c:v>12</c:v>
                </c:pt>
                <c:pt idx="281">
                  <c:v>6</c:v>
                </c:pt>
                <c:pt idx="282">
                  <c:v>8</c:v>
                </c:pt>
                <c:pt idx="283">
                  <c:v>6</c:v>
                </c:pt>
                <c:pt idx="284">
                  <c:v>11</c:v>
                </c:pt>
                <c:pt idx="285">
                  <c:v>8</c:v>
                </c:pt>
                <c:pt idx="286">
                  <c:v>6</c:v>
                </c:pt>
                <c:pt idx="287">
                  <c:v>7</c:v>
                </c:pt>
                <c:pt idx="288">
                  <c:v>9</c:v>
                </c:pt>
                <c:pt idx="289">
                  <c:v>4</c:v>
                </c:pt>
                <c:pt idx="290">
                  <c:v>4</c:v>
                </c:pt>
                <c:pt idx="291">
                  <c:v>6</c:v>
                </c:pt>
                <c:pt idx="292">
                  <c:v>5</c:v>
                </c:pt>
                <c:pt idx="293">
                  <c:v>1</c:v>
                </c:pt>
                <c:pt idx="294">
                  <c:v>8</c:v>
                </c:pt>
                <c:pt idx="295">
                  <c:v>2</c:v>
                </c:pt>
                <c:pt idx="296">
                  <c:v>4</c:v>
                </c:pt>
                <c:pt idx="297">
                  <c:v>4</c:v>
                </c:pt>
                <c:pt idx="298">
                  <c:v>0</c:v>
                </c:pt>
                <c:pt idx="299">
                  <c:v>5</c:v>
                </c:pt>
                <c:pt idx="300">
                  <c:v>3</c:v>
                </c:pt>
                <c:pt idx="301">
                  <c:v>2</c:v>
                </c:pt>
                <c:pt idx="302">
                  <c:v>6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1</c:v>
                </c:pt>
                <c:pt idx="307">
                  <c:v>2</c:v>
                </c:pt>
                <c:pt idx="308">
                  <c:v>4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4</c:v>
                </c:pt>
                <c:pt idx="315">
                  <c:v>3</c:v>
                </c:pt>
                <c:pt idx="316">
                  <c:v>2</c:v>
                </c:pt>
                <c:pt idx="317">
                  <c:v>3</c:v>
                </c:pt>
                <c:pt idx="318">
                  <c:v>3</c:v>
                </c:pt>
                <c:pt idx="319">
                  <c:v>6</c:v>
                </c:pt>
                <c:pt idx="320">
                  <c:v>6</c:v>
                </c:pt>
                <c:pt idx="321">
                  <c:v>3</c:v>
                </c:pt>
                <c:pt idx="322">
                  <c:v>3</c:v>
                </c:pt>
                <c:pt idx="323">
                  <c:v>4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6</c:v>
                </c:pt>
                <c:pt idx="328">
                  <c:v>3</c:v>
                </c:pt>
                <c:pt idx="329">
                  <c:v>4</c:v>
                </c:pt>
                <c:pt idx="330">
                  <c:v>5</c:v>
                </c:pt>
                <c:pt idx="331">
                  <c:v>7</c:v>
                </c:pt>
                <c:pt idx="332">
                  <c:v>3</c:v>
                </c:pt>
                <c:pt idx="333">
                  <c:v>7</c:v>
                </c:pt>
                <c:pt idx="334">
                  <c:v>6</c:v>
                </c:pt>
                <c:pt idx="335">
                  <c:v>4</c:v>
                </c:pt>
                <c:pt idx="336">
                  <c:v>4</c:v>
                </c:pt>
                <c:pt idx="337">
                  <c:v>5</c:v>
                </c:pt>
                <c:pt idx="338">
                  <c:v>1</c:v>
                </c:pt>
                <c:pt idx="339">
                  <c:v>3</c:v>
                </c:pt>
                <c:pt idx="340">
                  <c:v>3</c:v>
                </c:pt>
                <c:pt idx="341">
                  <c:v>1</c:v>
                </c:pt>
                <c:pt idx="342">
                  <c:v>2</c:v>
                </c:pt>
                <c:pt idx="343">
                  <c:v>2</c:v>
                </c:pt>
                <c:pt idx="344">
                  <c:v>9</c:v>
                </c:pt>
                <c:pt idx="345">
                  <c:v>6</c:v>
                </c:pt>
                <c:pt idx="346">
                  <c:v>1</c:v>
                </c:pt>
                <c:pt idx="347">
                  <c:v>5</c:v>
                </c:pt>
                <c:pt idx="348">
                  <c:v>2</c:v>
                </c:pt>
                <c:pt idx="349">
                  <c:v>5</c:v>
                </c:pt>
                <c:pt idx="350">
                  <c:v>9</c:v>
                </c:pt>
                <c:pt idx="351">
                  <c:v>3</c:v>
                </c:pt>
                <c:pt idx="352">
                  <c:v>4</c:v>
                </c:pt>
                <c:pt idx="353">
                  <c:v>9</c:v>
                </c:pt>
                <c:pt idx="354">
                  <c:v>3</c:v>
                </c:pt>
                <c:pt idx="355">
                  <c:v>4</c:v>
                </c:pt>
                <c:pt idx="356">
                  <c:v>6</c:v>
                </c:pt>
                <c:pt idx="357">
                  <c:v>3</c:v>
                </c:pt>
                <c:pt idx="358">
                  <c:v>7</c:v>
                </c:pt>
                <c:pt idx="359">
                  <c:v>2</c:v>
                </c:pt>
                <c:pt idx="360">
                  <c:v>6</c:v>
                </c:pt>
                <c:pt idx="361">
                  <c:v>1</c:v>
                </c:pt>
                <c:pt idx="362">
                  <c:v>9</c:v>
                </c:pt>
                <c:pt idx="363">
                  <c:v>7</c:v>
                </c:pt>
                <c:pt idx="364">
                  <c:v>4</c:v>
                </c:pt>
                <c:pt idx="365">
                  <c:v>10</c:v>
                </c:pt>
                <c:pt idx="366">
                  <c:v>10</c:v>
                </c:pt>
                <c:pt idx="367">
                  <c:v>8</c:v>
                </c:pt>
                <c:pt idx="368">
                  <c:v>4</c:v>
                </c:pt>
                <c:pt idx="369">
                  <c:v>7</c:v>
                </c:pt>
                <c:pt idx="370">
                  <c:v>5</c:v>
                </c:pt>
                <c:pt idx="371">
                  <c:v>6</c:v>
                </c:pt>
                <c:pt idx="372">
                  <c:v>4</c:v>
                </c:pt>
                <c:pt idx="373">
                  <c:v>6</c:v>
                </c:pt>
                <c:pt idx="374">
                  <c:v>9</c:v>
                </c:pt>
                <c:pt idx="375">
                  <c:v>6</c:v>
                </c:pt>
                <c:pt idx="376">
                  <c:v>0</c:v>
                </c:pt>
                <c:pt idx="377">
                  <c:v>3</c:v>
                </c:pt>
                <c:pt idx="378">
                  <c:v>7</c:v>
                </c:pt>
                <c:pt idx="379">
                  <c:v>3</c:v>
                </c:pt>
                <c:pt idx="380">
                  <c:v>5</c:v>
                </c:pt>
                <c:pt idx="381">
                  <c:v>7</c:v>
                </c:pt>
                <c:pt idx="382">
                  <c:v>6</c:v>
                </c:pt>
                <c:pt idx="383">
                  <c:v>8</c:v>
                </c:pt>
                <c:pt idx="384">
                  <c:v>5</c:v>
                </c:pt>
                <c:pt idx="385">
                  <c:v>6</c:v>
                </c:pt>
                <c:pt idx="386">
                  <c:v>8</c:v>
                </c:pt>
                <c:pt idx="387">
                  <c:v>5</c:v>
                </c:pt>
                <c:pt idx="388">
                  <c:v>2</c:v>
                </c:pt>
                <c:pt idx="389">
                  <c:v>10</c:v>
                </c:pt>
                <c:pt idx="390">
                  <c:v>7</c:v>
                </c:pt>
                <c:pt idx="391">
                  <c:v>2</c:v>
                </c:pt>
                <c:pt idx="392">
                  <c:v>3</c:v>
                </c:pt>
                <c:pt idx="393">
                  <c:v>4</c:v>
                </c:pt>
                <c:pt idx="394">
                  <c:v>5</c:v>
                </c:pt>
                <c:pt idx="395">
                  <c:v>5</c:v>
                </c:pt>
                <c:pt idx="396">
                  <c:v>3</c:v>
                </c:pt>
                <c:pt idx="397">
                  <c:v>5</c:v>
                </c:pt>
                <c:pt idx="398">
                  <c:v>2</c:v>
                </c:pt>
                <c:pt idx="399">
                  <c:v>9</c:v>
                </c:pt>
                <c:pt idx="400">
                  <c:v>8</c:v>
                </c:pt>
                <c:pt idx="401">
                  <c:v>5</c:v>
                </c:pt>
                <c:pt idx="402">
                  <c:v>7</c:v>
                </c:pt>
                <c:pt idx="403">
                  <c:v>7</c:v>
                </c:pt>
                <c:pt idx="404">
                  <c:v>6</c:v>
                </c:pt>
                <c:pt idx="405">
                  <c:v>4</c:v>
                </c:pt>
                <c:pt idx="406">
                  <c:v>4</c:v>
                </c:pt>
                <c:pt idx="407">
                  <c:v>5</c:v>
                </c:pt>
                <c:pt idx="408">
                  <c:v>7</c:v>
                </c:pt>
                <c:pt idx="409">
                  <c:v>6</c:v>
                </c:pt>
                <c:pt idx="410">
                  <c:v>4</c:v>
                </c:pt>
                <c:pt idx="411">
                  <c:v>11</c:v>
                </c:pt>
                <c:pt idx="412">
                  <c:v>6</c:v>
                </c:pt>
                <c:pt idx="413">
                  <c:v>5</c:v>
                </c:pt>
                <c:pt idx="414">
                  <c:v>4</c:v>
                </c:pt>
                <c:pt idx="415">
                  <c:v>5</c:v>
                </c:pt>
                <c:pt idx="416">
                  <c:v>2</c:v>
                </c:pt>
                <c:pt idx="417">
                  <c:v>5</c:v>
                </c:pt>
                <c:pt idx="418">
                  <c:v>2</c:v>
                </c:pt>
                <c:pt idx="419">
                  <c:v>3</c:v>
                </c:pt>
                <c:pt idx="420">
                  <c:v>8</c:v>
                </c:pt>
                <c:pt idx="421">
                  <c:v>6</c:v>
                </c:pt>
                <c:pt idx="422">
                  <c:v>2</c:v>
                </c:pt>
                <c:pt idx="423">
                  <c:v>3</c:v>
                </c:pt>
                <c:pt idx="424">
                  <c:v>3</c:v>
                </c:pt>
                <c:pt idx="425">
                  <c:v>2</c:v>
                </c:pt>
                <c:pt idx="426">
                  <c:v>7</c:v>
                </c:pt>
                <c:pt idx="427">
                  <c:v>3</c:v>
                </c:pt>
                <c:pt idx="428">
                  <c:v>4</c:v>
                </c:pt>
                <c:pt idx="429">
                  <c:v>2</c:v>
                </c:pt>
                <c:pt idx="430">
                  <c:v>6</c:v>
                </c:pt>
                <c:pt idx="431">
                  <c:v>5</c:v>
                </c:pt>
                <c:pt idx="432">
                  <c:v>0</c:v>
                </c:pt>
                <c:pt idx="433">
                  <c:v>3</c:v>
                </c:pt>
                <c:pt idx="434">
                  <c:v>3</c:v>
                </c:pt>
                <c:pt idx="435">
                  <c:v>0</c:v>
                </c:pt>
                <c:pt idx="436">
                  <c:v>2</c:v>
                </c:pt>
                <c:pt idx="437">
                  <c:v>1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3</c:v>
                </c:pt>
                <c:pt idx="442">
                  <c:v>2</c:v>
                </c:pt>
                <c:pt idx="443">
                  <c:v>1</c:v>
                </c:pt>
                <c:pt idx="444">
                  <c:v>3</c:v>
                </c:pt>
                <c:pt idx="445">
                  <c:v>3</c:v>
                </c:pt>
                <c:pt idx="446">
                  <c:v>2</c:v>
                </c:pt>
                <c:pt idx="447">
                  <c:v>4</c:v>
                </c:pt>
                <c:pt idx="448">
                  <c:v>1</c:v>
                </c:pt>
                <c:pt idx="449">
                  <c:v>0</c:v>
                </c:pt>
                <c:pt idx="450">
                  <c:v>2</c:v>
                </c:pt>
                <c:pt idx="451">
                  <c:v>0</c:v>
                </c:pt>
                <c:pt idx="452">
                  <c:v>0</c:v>
                </c:pt>
                <c:pt idx="453">
                  <c:v>1</c:v>
                </c:pt>
                <c:pt idx="454">
                  <c:v>4</c:v>
                </c:pt>
                <c:pt idx="455">
                  <c:v>2</c:v>
                </c:pt>
                <c:pt idx="456">
                  <c:v>4</c:v>
                </c:pt>
                <c:pt idx="457">
                  <c:v>1</c:v>
                </c:pt>
                <c:pt idx="458">
                  <c:v>1</c:v>
                </c:pt>
                <c:pt idx="459">
                  <c:v>0</c:v>
                </c:pt>
                <c:pt idx="460">
                  <c:v>3</c:v>
                </c:pt>
                <c:pt idx="461">
                  <c:v>0</c:v>
                </c:pt>
                <c:pt idx="462">
                  <c:v>1</c:v>
                </c:pt>
                <c:pt idx="463">
                  <c:v>0</c:v>
                </c:pt>
                <c:pt idx="464">
                  <c:v>1</c:v>
                </c:pt>
                <c:pt idx="465">
                  <c:v>2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2</c:v>
                </c:pt>
                <c:pt idx="479">
                  <c:v>1</c:v>
                </c:pt>
                <c:pt idx="480">
                  <c:v>1</c:v>
                </c:pt>
                <c:pt idx="481">
                  <c:v>0</c:v>
                </c:pt>
                <c:pt idx="482">
                  <c:v>0</c:v>
                </c:pt>
                <c:pt idx="483">
                  <c:v>1</c:v>
                </c:pt>
                <c:pt idx="484">
                  <c:v>1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</c:v>
                </c:pt>
                <c:pt idx="490">
                  <c:v>1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2</c:v>
                </c:pt>
                <c:pt idx="495">
                  <c:v>0</c:v>
                </c:pt>
                <c:pt idx="496">
                  <c:v>2</c:v>
                </c:pt>
                <c:pt idx="497">
                  <c:v>0</c:v>
                </c:pt>
                <c:pt idx="498">
                  <c:v>0</c:v>
                </c:pt>
                <c:pt idx="499">
                  <c:v>2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3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1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1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</c:v>
                </c:pt>
                <c:pt idx="560">
                  <c:v>0</c:v>
                </c:pt>
                <c:pt idx="561">
                  <c:v>1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1</c:v>
                </c:pt>
                <c:pt idx="600">
                  <c:v>1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1</c:v>
                </c:pt>
                <c:pt idx="632">
                  <c:v>0</c:v>
                </c:pt>
                <c:pt idx="633">
                  <c:v>1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1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1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1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1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1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1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1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1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1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B-4CDB-AC80-7E4857305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51948"/>
        <c:axId val="25909105"/>
      </c:scatterChart>
      <c:valAx>
        <c:axId val="31651948"/>
        <c:scaling>
          <c:orientation val="minMax"/>
          <c:max val="1000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5909105"/>
        <c:crosses val="autoZero"/>
        <c:crossBetween val="between"/>
        <c:majorUnit val="100"/>
      </c:valAx>
      <c:valAx>
        <c:axId val="2590910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31651948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'6 - Calibration Curve'!$C$5:$C$34</c:f>
              <c:numCache>
                <c:formatCode>General</c:formatCode>
                <c:ptCount val="3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38</c:v>
                </c:pt>
                <c:pt idx="28">
                  <c:v>50</c:v>
                </c:pt>
                <c:pt idx="29">
                  <c:v>70</c:v>
                </c:pt>
              </c:numCache>
            </c:numRef>
          </c:xVal>
          <c:yVal>
            <c:numRef>
              <c:f>'6 - Calibration Curve'!$D$5:$D$34</c:f>
              <c:numCache>
                <c:formatCode>0</c:formatCode>
                <c:ptCount val="30"/>
                <c:pt idx="0">
                  <c:v>82.073469253997644</c:v>
                </c:pt>
                <c:pt idx="1">
                  <c:v>128.08160383269302</c:v>
                </c:pt>
                <c:pt idx="2">
                  <c:v>188.12508270942806</c:v>
                </c:pt>
                <c:pt idx="3">
                  <c:v>257.67467064568558</c:v>
                </c:pt>
                <c:pt idx="4">
                  <c:v>327.28334558185634</c:v>
                </c:pt>
                <c:pt idx="5">
                  <c:v>409.70314664424626</c:v>
                </c:pt>
                <c:pt idx="6">
                  <c:v>511.48655726372147</c:v>
                </c:pt>
                <c:pt idx="7">
                  <c:v>625.101247445627</c:v>
                </c:pt>
                <c:pt idx="8">
                  <c:v>741.54030068396514</c:v>
                </c:pt>
                <c:pt idx="9">
                  <c:v>870.17058804949784</c:v>
                </c:pt>
                <c:pt idx="10">
                  <c:v>1009.1643455387659</c:v>
                </c:pt>
                <c:pt idx="11">
                  <c:v>1150.6065382645406</c:v>
                </c:pt>
                <c:pt idx="12">
                  <c:v>1295.1328707953439</c:v>
                </c:pt>
                <c:pt idx="13">
                  <c:v>1440.5607245557023</c:v>
                </c:pt>
                <c:pt idx="14">
                  <c:v>1588.7239706019909</c:v>
                </c:pt>
                <c:pt idx="15">
                  <c:v>1750.7872251435726</c:v>
                </c:pt>
                <c:pt idx="16">
                  <c:v>1929.6214567215657</c:v>
                </c:pt>
                <c:pt idx="17">
                  <c:v>2133.6963622757066</c:v>
                </c:pt>
                <c:pt idx="18">
                  <c:v>2354.2940399815961</c:v>
                </c:pt>
                <c:pt idx="19">
                  <c:v>2603.2431873747382</c:v>
                </c:pt>
                <c:pt idx="20">
                  <c:v>2911.1910136657534</c:v>
                </c:pt>
                <c:pt idx="21">
                  <c:v>3220.7839437034909</c:v>
                </c:pt>
                <c:pt idx="22">
                  <c:v>3526.528598661951</c:v>
                </c:pt>
                <c:pt idx="23">
                  <c:v>3872.1237307360325</c:v>
                </c:pt>
                <c:pt idx="24">
                  <c:v>4248.9831060737379</c:v>
                </c:pt>
                <c:pt idx="25">
                  <c:v>4666.4338273163894</c:v>
                </c:pt>
                <c:pt idx="26">
                  <c:v>5194.0028033521203</c:v>
                </c:pt>
                <c:pt idx="27">
                  <c:v>9463.9254490832809</c:v>
                </c:pt>
                <c:pt idx="28">
                  <c:v>15895.418171796442</c:v>
                </c:pt>
                <c:pt idx="29">
                  <c:v>24999.999999999996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B9-413C-A033-6E66CAEE3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62"/>
        <c:axId val="88998170"/>
      </c:scatterChart>
      <c:valAx>
        <c:axId val="2990862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um(c)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8998170"/>
        <c:crosses val="autoZero"/>
        <c:crossBetween val="between"/>
      </c:valAx>
      <c:valAx>
        <c:axId val="88998170"/>
        <c:scaling>
          <c:logBase val="10"/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Threshold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990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31</xdr:row>
      <xdr:rowOff>160920</xdr:rowOff>
    </xdr:from>
    <xdr:to>
      <xdr:col>3</xdr:col>
      <xdr:colOff>785520</xdr:colOff>
      <xdr:row>35</xdr:row>
      <xdr:rowOff>109800</xdr:rowOff>
    </xdr:to>
    <xdr:pic>
      <xdr:nvPicPr>
        <xdr:cNvPr id="2" name="Imag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82800" y="535896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4320</xdr:colOff>
      <xdr:row>3</xdr:row>
      <xdr:rowOff>127080</xdr:rowOff>
    </xdr:from>
    <xdr:to>
      <xdr:col>10</xdr:col>
      <xdr:colOff>13680</xdr:colOff>
      <xdr:row>15</xdr:row>
      <xdr:rowOff>132120</xdr:rowOff>
    </xdr:to>
    <xdr:sp macro="" textlink="">
      <xdr:nvSpPr>
        <xdr:cNvPr id="3" name="Text Fram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703400" y="760320"/>
          <a:ext cx="4073400" cy="195552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Calibri"/>
            </a:rPr>
            <a:t>Used microbalance to weigh 10ml sample of fluid, added using precision digital pipette. Added 11x 10ml I total to plastic sample bottle and weighed result (after taring empty bottle weight).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Used bottle sampler to sample 20ml pumped flush + 50ml pumped sample.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Measured final weight of bottle+remaining fluid.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66960</xdr:colOff>
      <xdr:row>37</xdr:row>
      <xdr:rowOff>1800</xdr:rowOff>
    </xdr:from>
    <xdr:to>
      <xdr:col>10</xdr:col>
      <xdr:colOff>561240</xdr:colOff>
      <xdr:row>70</xdr:row>
      <xdr:rowOff>123480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799200</xdr:colOff>
      <xdr:row>36</xdr:row>
      <xdr:rowOff>158760</xdr:rowOff>
    </xdr:from>
    <xdr:to>
      <xdr:col>20</xdr:col>
      <xdr:colOff>39815</xdr:colOff>
      <xdr:row>70</xdr:row>
      <xdr:rowOff>117360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38734</xdr:colOff>
      <xdr:row>13</xdr:row>
      <xdr:rowOff>19080</xdr:rowOff>
    </xdr:from>
    <xdr:to>
      <xdr:col>22</xdr:col>
      <xdr:colOff>609694</xdr:colOff>
      <xdr:row>36</xdr:row>
      <xdr:rowOff>27720</xdr:rowOff>
    </xdr:to>
    <xdr:sp macro="" textlink="">
      <xdr:nvSpPr>
        <xdr:cNvPr id="4" name="Text Fram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374920" y="2642400"/>
          <a:ext cx="7057440" cy="374724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Procedure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Make up concentrated suspension of RM8632a such that about 10ml or concentrate increases the tank contamination level by 10% of the estimated coincidence limit. Use the calculator in this worksheet to establish and record mass of dust and fluid volumes.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Each time another dose is added, start a single online test with 2m flush and 6x 10ml portions. Discard the first portion of each test.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results are then imported into this spreadsheet and the portions averaged for each dose level.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averages are entered into the table as well as the added ml of concentrate for each dose.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counts are plotted in the figure and the first 4 results (10,20,30,40% nominal coincidence limit) used to generate a linear regression line.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ENSURE UNIT REMAINS ONLINE SO RESULTS ARE LOGGED</a:t>
          </a: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27</xdr:row>
      <xdr:rowOff>97200</xdr:rowOff>
    </xdr:from>
    <xdr:to>
      <xdr:col>2</xdr:col>
      <xdr:colOff>528480</xdr:colOff>
      <xdr:row>30</xdr:row>
      <xdr:rowOff>132120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12880" y="569844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118080</xdr:colOff>
      <xdr:row>24</xdr:row>
      <xdr:rowOff>154080</xdr:rowOff>
    </xdr:from>
    <xdr:to>
      <xdr:col>10</xdr:col>
      <xdr:colOff>514080</xdr:colOff>
      <xdr:row>44</xdr:row>
      <xdr:rowOff>20881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520560</xdr:colOff>
      <xdr:row>102</xdr:row>
      <xdr:rowOff>11880</xdr:rowOff>
    </xdr:from>
    <xdr:to>
      <xdr:col>10</xdr:col>
      <xdr:colOff>507600</xdr:colOff>
      <xdr:row>110</xdr:row>
      <xdr:rowOff>59760</xdr:rowOff>
    </xdr:to>
    <xdr:sp macro="" textlink="">
      <xdr:nvSpPr>
        <xdr:cNvPr id="5" name="Text Frame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0560" y="16987320"/>
          <a:ext cx="8115120" cy="134820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Export into temportary CSV file 15 results from LPA-View, consisting of 3x bottles 5 portion samples. Exclude the portion 0 averages.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Autofilter, sort by ascending date.</a:t>
          </a:r>
        </a:p>
        <a:p>
          <a:r>
            <a:rPr lang="en-GB" sz="1200" b="0" strike="noStrike" spc="-1">
              <a:latin typeface="Times New Roman"/>
            </a:rPr>
            <a:t>Copy / special paste the data block into this page below, ensuring appears in correct slots</a:t>
          </a:r>
        </a:p>
        <a:p>
          <a:r>
            <a:rPr lang="en-GB" sz="1200" b="0" strike="noStrike" spc="-1">
              <a:latin typeface="Times New Roman"/>
            </a:rPr>
            <a:t>Bottle 2 and 3 pages should be linked to correct regions of pasted data block.</a:t>
          </a:r>
        </a:p>
        <a:p>
          <a:r>
            <a:rPr lang="en-GB" sz="1200" b="0" strike="noStrike" spc="-1">
              <a:latin typeface="Times New Roman"/>
            </a:rPr>
            <a:t>Data quality evalution tables should pick up correct regions of pasted data block</a:t>
          </a:r>
        </a:p>
        <a:p>
          <a:r>
            <a:rPr lang="en-GB" sz="1200" b="0" strike="noStrike" spc="-1">
              <a:latin typeface="Times New Roman"/>
            </a:rPr>
            <a:t>If needed, on each bottle page can delete one indivual portion result per size line in order tp meet data quality requirements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732157</xdr:colOff>
      <xdr:row>1</xdr:row>
      <xdr:rowOff>131307</xdr:rowOff>
    </xdr:from>
    <xdr:to>
      <xdr:col>13</xdr:col>
      <xdr:colOff>722076</xdr:colOff>
      <xdr:row>17</xdr:row>
      <xdr:rowOff>75050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18"/>
  <sheetViews>
    <sheetView zoomScale="95" zoomScaleNormal="95" workbookViewId="0">
      <selection activeCell="A9" sqref="A9"/>
    </sheetView>
  </sheetViews>
  <sheetFormatPr defaultColWidth="11.53125" defaultRowHeight="12.75" x14ac:dyDescent="0.35"/>
  <cols>
    <col min="1" max="1" width="21.19921875" style="4" customWidth="1"/>
    <col min="2" max="2" width="18.1328125" customWidth="1"/>
    <col min="3" max="3" width="77.46484375" style="4" customWidth="1"/>
  </cols>
  <sheetData>
    <row r="1" spans="1:1024" ht="22.35" customHeight="1" x14ac:dyDescent="0.35">
      <c r="A1" s="5" t="s">
        <v>0</v>
      </c>
      <c r="C1"/>
    </row>
    <row r="2" spans="1:1024" ht="13.15" x14ac:dyDescent="0.4">
      <c r="A2" s="6" t="s">
        <v>1</v>
      </c>
      <c r="B2" s="7" t="s">
        <v>2</v>
      </c>
      <c r="C2" s="6" t="s">
        <v>3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  <c r="AMA2" s="8"/>
      <c r="AMB2" s="8"/>
      <c r="AMC2" s="8"/>
      <c r="AMD2" s="8"/>
      <c r="AME2" s="8"/>
      <c r="AMF2" s="8"/>
      <c r="AMG2" s="8"/>
      <c r="AMH2" s="8"/>
      <c r="AMI2" s="8"/>
      <c r="AMJ2" s="8"/>
    </row>
    <row r="3" spans="1:1024" ht="67.150000000000006" customHeight="1" x14ac:dyDescent="0.35">
      <c r="A3" s="2" t="s">
        <v>4</v>
      </c>
      <c r="B3" s="9" t="s">
        <v>5</v>
      </c>
      <c r="C3" s="2" t="s">
        <v>6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  <c r="AAA3" s="9"/>
      <c r="AAB3" s="9"/>
      <c r="AAC3" s="9"/>
      <c r="AAD3" s="9"/>
      <c r="AAE3" s="9"/>
      <c r="AAF3" s="9"/>
      <c r="AAG3" s="9"/>
      <c r="AAH3" s="9"/>
      <c r="AAI3" s="9"/>
      <c r="AAJ3" s="9"/>
      <c r="AAK3" s="9"/>
      <c r="AAL3" s="9"/>
      <c r="AAM3" s="9"/>
      <c r="AAN3" s="9"/>
      <c r="AAO3" s="9"/>
      <c r="AAP3" s="9"/>
      <c r="AAQ3" s="9"/>
      <c r="AAR3" s="9"/>
      <c r="AAS3" s="9"/>
      <c r="AAT3" s="9"/>
      <c r="AAU3" s="9"/>
      <c r="AAV3" s="9"/>
      <c r="AAW3" s="9"/>
      <c r="AAX3" s="9"/>
      <c r="AAY3" s="9"/>
      <c r="AAZ3" s="9"/>
      <c r="ABA3" s="9"/>
      <c r="ABB3" s="9"/>
      <c r="ABC3" s="9"/>
      <c r="ABD3" s="9"/>
      <c r="ABE3" s="9"/>
      <c r="ABF3" s="9"/>
      <c r="ABG3" s="9"/>
      <c r="ABH3" s="9"/>
      <c r="ABI3" s="9"/>
      <c r="ABJ3" s="9"/>
      <c r="ABK3" s="9"/>
      <c r="ABL3" s="9"/>
      <c r="ABM3" s="9"/>
      <c r="ABN3" s="9"/>
      <c r="ABO3" s="9"/>
      <c r="ABP3" s="9"/>
      <c r="ABQ3" s="9"/>
      <c r="ABR3" s="9"/>
      <c r="ABS3" s="9"/>
      <c r="ABT3" s="9"/>
      <c r="ABU3" s="9"/>
      <c r="ABV3" s="9"/>
      <c r="ABW3" s="9"/>
      <c r="ABX3" s="9"/>
      <c r="ABY3" s="9"/>
      <c r="ABZ3" s="9"/>
      <c r="ACA3" s="9"/>
      <c r="ACB3" s="9"/>
      <c r="ACC3" s="9"/>
      <c r="ACD3" s="9"/>
      <c r="ACE3" s="9"/>
      <c r="ACF3" s="9"/>
      <c r="ACG3" s="9"/>
      <c r="ACH3" s="9"/>
      <c r="ACI3" s="9"/>
      <c r="ACJ3" s="9"/>
      <c r="ACK3" s="9"/>
      <c r="ACL3" s="9"/>
      <c r="ACM3" s="9"/>
      <c r="ACN3" s="9"/>
      <c r="ACO3" s="9"/>
      <c r="ACP3" s="9"/>
      <c r="ACQ3" s="9"/>
      <c r="ACR3" s="9"/>
      <c r="ACS3" s="9"/>
      <c r="ACT3" s="9"/>
      <c r="ACU3" s="9"/>
      <c r="ACV3" s="9"/>
      <c r="ACW3" s="9"/>
      <c r="ACX3" s="9"/>
      <c r="ACY3" s="9"/>
      <c r="ACZ3" s="9"/>
      <c r="ADA3" s="9"/>
      <c r="ADB3" s="9"/>
      <c r="ADC3" s="9"/>
      <c r="ADD3" s="9"/>
      <c r="ADE3" s="9"/>
      <c r="ADF3" s="9"/>
      <c r="ADG3" s="9"/>
      <c r="ADH3" s="9"/>
      <c r="ADI3" s="9"/>
      <c r="ADJ3" s="9"/>
      <c r="ADK3" s="9"/>
      <c r="ADL3" s="9"/>
      <c r="ADM3" s="9"/>
      <c r="ADN3" s="9"/>
      <c r="ADO3" s="9"/>
      <c r="ADP3" s="9"/>
      <c r="ADQ3" s="9"/>
      <c r="ADR3" s="9"/>
      <c r="ADS3" s="9"/>
      <c r="ADT3" s="9"/>
      <c r="ADU3" s="9"/>
      <c r="ADV3" s="9"/>
      <c r="ADW3" s="9"/>
      <c r="ADX3" s="9"/>
      <c r="ADY3" s="9"/>
      <c r="ADZ3" s="9"/>
      <c r="AEA3" s="9"/>
      <c r="AEB3" s="9"/>
      <c r="AEC3" s="9"/>
      <c r="AED3" s="9"/>
      <c r="AEE3" s="9"/>
      <c r="AEF3" s="9"/>
      <c r="AEG3" s="9"/>
      <c r="AEH3" s="9"/>
      <c r="AEI3" s="9"/>
      <c r="AEJ3" s="9"/>
      <c r="AEK3" s="9"/>
      <c r="AEL3" s="9"/>
      <c r="AEM3" s="9"/>
      <c r="AEN3" s="9"/>
      <c r="AEO3" s="9"/>
      <c r="AEP3" s="9"/>
      <c r="AEQ3" s="9"/>
      <c r="AER3" s="9"/>
      <c r="AES3" s="9"/>
      <c r="AET3" s="9"/>
      <c r="AEU3" s="9"/>
      <c r="AEV3" s="9"/>
      <c r="AEW3" s="9"/>
      <c r="AEX3" s="9"/>
      <c r="AEY3" s="9"/>
      <c r="AEZ3" s="9"/>
      <c r="AFA3" s="9"/>
      <c r="AFB3" s="9"/>
      <c r="AFC3" s="9"/>
      <c r="AFD3" s="9"/>
      <c r="AFE3" s="9"/>
      <c r="AFF3" s="9"/>
      <c r="AFG3" s="9"/>
      <c r="AFH3" s="9"/>
      <c r="AFI3" s="9"/>
      <c r="AFJ3" s="9"/>
      <c r="AFK3" s="9"/>
      <c r="AFL3" s="9"/>
      <c r="AFM3" s="9"/>
      <c r="AFN3" s="9"/>
      <c r="AFO3" s="9"/>
      <c r="AFP3" s="9"/>
      <c r="AFQ3" s="9"/>
      <c r="AFR3" s="9"/>
      <c r="AFS3" s="9"/>
      <c r="AFT3" s="9"/>
      <c r="AFU3" s="9"/>
      <c r="AFV3" s="9"/>
      <c r="AFW3" s="9"/>
      <c r="AFX3" s="9"/>
      <c r="AFY3" s="9"/>
      <c r="AFZ3" s="9"/>
      <c r="AGA3" s="9"/>
      <c r="AGB3" s="9"/>
      <c r="AGC3" s="9"/>
      <c r="AGD3" s="9"/>
      <c r="AGE3" s="9"/>
      <c r="AGF3" s="9"/>
      <c r="AGG3" s="9"/>
      <c r="AGH3" s="9"/>
      <c r="AGI3" s="9"/>
      <c r="AGJ3" s="9"/>
      <c r="AGK3" s="9"/>
      <c r="AGL3" s="9"/>
      <c r="AGM3" s="9"/>
      <c r="AGN3" s="9"/>
      <c r="AGO3" s="9"/>
      <c r="AGP3" s="9"/>
      <c r="AGQ3" s="9"/>
      <c r="AGR3" s="9"/>
      <c r="AGS3" s="9"/>
      <c r="AGT3" s="9"/>
      <c r="AGU3" s="9"/>
      <c r="AGV3" s="9"/>
      <c r="AGW3" s="9"/>
      <c r="AGX3" s="9"/>
      <c r="AGY3" s="9"/>
      <c r="AGZ3" s="9"/>
      <c r="AHA3" s="9"/>
      <c r="AHB3" s="9"/>
      <c r="AHC3" s="9"/>
      <c r="AHD3" s="9"/>
      <c r="AHE3" s="9"/>
      <c r="AHF3" s="9"/>
      <c r="AHG3" s="9"/>
      <c r="AHH3" s="9"/>
      <c r="AHI3" s="9"/>
      <c r="AHJ3" s="9"/>
      <c r="AHK3" s="9"/>
      <c r="AHL3" s="9"/>
      <c r="AHM3" s="9"/>
      <c r="AHN3" s="9"/>
      <c r="AHO3" s="9"/>
      <c r="AHP3" s="9"/>
      <c r="AHQ3" s="9"/>
      <c r="AHR3" s="9"/>
      <c r="AHS3" s="9"/>
      <c r="AHT3" s="9"/>
      <c r="AHU3" s="9"/>
      <c r="AHV3" s="9"/>
      <c r="AHW3" s="9"/>
      <c r="AHX3" s="9"/>
      <c r="AHY3" s="9"/>
      <c r="AHZ3" s="9"/>
      <c r="AIA3" s="9"/>
      <c r="AIB3" s="9"/>
      <c r="AIC3" s="9"/>
      <c r="AID3" s="9"/>
      <c r="AIE3" s="9"/>
      <c r="AIF3" s="9"/>
      <c r="AIG3" s="9"/>
      <c r="AIH3" s="9"/>
      <c r="AII3" s="9"/>
      <c r="AIJ3" s="9"/>
      <c r="AIK3" s="9"/>
      <c r="AIL3" s="9"/>
      <c r="AIM3" s="9"/>
      <c r="AIN3" s="9"/>
      <c r="AIO3" s="9"/>
      <c r="AIP3" s="9"/>
      <c r="AIQ3" s="9"/>
      <c r="AIR3" s="9"/>
      <c r="AIS3" s="9"/>
      <c r="AIT3" s="9"/>
      <c r="AIU3" s="9"/>
      <c r="AIV3" s="9"/>
      <c r="AIW3" s="9"/>
      <c r="AIX3" s="9"/>
      <c r="AIY3" s="9"/>
      <c r="AIZ3" s="9"/>
      <c r="AJA3" s="9"/>
      <c r="AJB3" s="9"/>
      <c r="AJC3" s="9"/>
      <c r="AJD3" s="9"/>
      <c r="AJE3" s="9"/>
      <c r="AJF3" s="9"/>
      <c r="AJG3" s="9"/>
      <c r="AJH3" s="9"/>
      <c r="AJI3" s="9"/>
      <c r="AJJ3" s="9"/>
      <c r="AJK3" s="9"/>
      <c r="AJL3" s="9"/>
      <c r="AJM3" s="9"/>
      <c r="AJN3" s="9"/>
      <c r="AJO3" s="9"/>
      <c r="AJP3" s="9"/>
      <c r="AJQ3" s="9"/>
      <c r="AJR3" s="9"/>
      <c r="AJS3" s="9"/>
      <c r="AJT3" s="9"/>
      <c r="AJU3" s="9"/>
      <c r="AJV3" s="9"/>
      <c r="AJW3" s="9"/>
      <c r="AJX3" s="9"/>
      <c r="AJY3" s="9"/>
      <c r="AJZ3" s="9"/>
      <c r="AKA3" s="9"/>
      <c r="AKB3" s="9"/>
      <c r="AKC3" s="9"/>
      <c r="AKD3" s="9"/>
      <c r="AKE3" s="9"/>
      <c r="AKF3" s="9"/>
      <c r="AKG3" s="9"/>
      <c r="AKH3" s="9"/>
      <c r="AKI3" s="9"/>
      <c r="AKJ3" s="9"/>
      <c r="AKK3" s="9"/>
      <c r="AKL3" s="9"/>
      <c r="AKM3" s="9"/>
      <c r="AKN3" s="9"/>
      <c r="AKO3" s="9"/>
      <c r="AKP3" s="9"/>
      <c r="AKQ3" s="9"/>
      <c r="AKR3" s="9"/>
      <c r="AKS3" s="9"/>
      <c r="AKT3" s="9"/>
      <c r="AKU3" s="9"/>
      <c r="AKV3" s="9"/>
      <c r="AKW3" s="9"/>
      <c r="AKX3" s="9"/>
      <c r="AKY3" s="9"/>
      <c r="AKZ3" s="9"/>
      <c r="ALA3" s="9"/>
      <c r="ALB3" s="9"/>
      <c r="ALC3" s="9"/>
      <c r="ALD3" s="9"/>
      <c r="ALE3" s="9"/>
      <c r="ALF3" s="9"/>
      <c r="ALG3" s="9"/>
      <c r="ALH3" s="9"/>
      <c r="ALI3" s="9"/>
      <c r="ALJ3" s="9"/>
      <c r="ALK3" s="9"/>
      <c r="ALL3" s="9"/>
      <c r="ALM3" s="9"/>
      <c r="ALN3" s="9"/>
      <c r="ALO3" s="9"/>
      <c r="ALP3" s="9"/>
      <c r="ALQ3" s="9"/>
      <c r="ALR3" s="9"/>
      <c r="ALS3" s="9"/>
      <c r="ALT3" s="9"/>
      <c r="ALU3" s="9"/>
      <c r="ALV3" s="9"/>
      <c r="ALW3" s="9"/>
      <c r="ALX3" s="9"/>
      <c r="ALY3" s="9"/>
      <c r="ALZ3" s="9"/>
      <c r="AMA3" s="9"/>
      <c r="AMB3" s="9"/>
      <c r="AMC3" s="9"/>
      <c r="AMD3" s="9"/>
      <c r="AME3" s="9"/>
      <c r="AMF3" s="9"/>
      <c r="AMG3" s="9"/>
      <c r="AMH3" s="9"/>
      <c r="AMI3" s="9"/>
      <c r="AMJ3" s="9"/>
    </row>
    <row r="4" spans="1:1024" ht="67.150000000000006" customHeight="1" x14ac:dyDescent="0.35">
      <c r="A4" s="2" t="s">
        <v>7</v>
      </c>
      <c r="B4" s="9" t="s">
        <v>8</v>
      </c>
      <c r="C4" s="2" t="s">
        <v>9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  <c r="AAA4" s="9"/>
      <c r="AAB4" s="9"/>
      <c r="AAC4" s="9"/>
      <c r="AAD4" s="9"/>
      <c r="AAE4" s="9"/>
      <c r="AAF4" s="9"/>
      <c r="AAG4" s="9"/>
      <c r="AAH4" s="9"/>
      <c r="AAI4" s="9"/>
      <c r="AAJ4" s="9"/>
      <c r="AAK4" s="9"/>
      <c r="AAL4" s="9"/>
      <c r="AAM4" s="9"/>
      <c r="AAN4" s="9"/>
      <c r="AAO4" s="9"/>
      <c r="AAP4" s="9"/>
      <c r="AAQ4" s="9"/>
      <c r="AAR4" s="9"/>
      <c r="AAS4" s="9"/>
      <c r="AAT4" s="9"/>
      <c r="AAU4" s="9"/>
      <c r="AAV4" s="9"/>
      <c r="AAW4" s="9"/>
      <c r="AAX4" s="9"/>
      <c r="AAY4" s="9"/>
      <c r="AAZ4" s="9"/>
      <c r="ABA4" s="9"/>
      <c r="ABB4" s="9"/>
      <c r="ABC4" s="9"/>
      <c r="ABD4" s="9"/>
      <c r="ABE4" s="9"/>
      <c r="ABF4" s="9"/>
      <c r="ABG4" s="9"/>
      <c r="ABH4" s="9"/>
      <c r="ABI4" s="9"/>
      <c r="ABJ4" s="9"/>
      <c r="ABK4" s="9"/>
      <c r="ABL4" s="9"/>
      <c r="ABM4" s="9"/>
      <c r="ABN4" s="9"/>
      <c r="ABO4" s="9"/>
      <c r="ABP4" s="9"/>
      <c r="ABQ4" s="9"/>
      <c r="ABR4" s="9"/>
      <c r="ABS4" s="9"/>
      <c r="ABT4" s="9"/>
      <c r="ABU4" s="9"/>
      <c r="ABV4" s="9"/>
      <c r="ABW4" s="9"/>
      <c r="ABX4" s="9"/>
      <c r="ABY4" s="9"/>
      <c r="ABZ4" s="9"/>
      <c r="ACA4" s="9"/>
      <c r="ACB4" s="9"/>
      <c r="ACC4" s="9"/>
      <c r="ACD4" s="9"/>
      <c r="ACE4" s="9"/>
      <c r="ACF4" s="9"/>
      <c r="ACG4" s="9"/>
      <c r="ACH4" s="9"/>
      <c r="ACI4" s="9"/>
      <c r="ACJ4" s="9"/>
      <c r="ACK4" s="9"/>
      <c r="ACL4" s="9"/>
      <c r="ACM4" s="9"/>
      <c r="ACN4" s="9"/>
      <c r="ACO4" s="9"/>
      <c r="ACP4" s="9"/>
      <c r="ACQ4" s="9"/>
      <c r="ACR4" s="9"/>
      <c r="ACS4" s="9"/>
      <c r="ACT4" s="9"/>
      <c r="ACU4" s="9"/>
      <c r="ACV4" s="9"/>
      <c r="ACW4" s="9"/>
      <c r="ACX4" s="9"/>
      <c r="ACY4" s="9"/>
      <c r="ACZ4" s="9"/>
      <c r="ADA4" s="9"/>
      <c r="ADB4" s="9"/>
      <c r="ADC4" s="9"/>
      <c r="ADD4" s="9"/>
      <c r="ADE4" s="9"/>
      <c r="ADF4" s="9"/>
      <c r="ADG4" s="9"/>
      <c r="ADH4" s="9"/>
      <c r="ADI4" s="9"/>
      <c r="ADJ4" s="9"/>
      <c r="ADK4" s="9"/>
      <c r="ADL4" s="9"/>
      <c r="ADM4" s="9"/>
      <c r="ADN4" s="9"/>
      <c r="ADO4" s="9"/>
      <c r="ADP4" s="9"/>
      <c r="ADQ4" s="9"/>
      <c r="ADR4" s="9"/>
      <c r="ADS4" s="9"/>
      <c r="ADT4" s="9"/>
      <c r="ADU4" s="9"/>
      <c r="ADV4" s="9"/>
      <c r="ADW4" s="9"/>
      <c r="ADX4" s="9"/>
      <c r="ADY4" s="9"/>
      <c r="ADZ4" s="9"/>
      <c r="AEA4" s="9"/>
      <c r="AEB4" s="9"/>
      <c r="AEC4" s="9"/>
      <c r="AED4" s="9"/>
      <c r="AEE4" s="9"/>
      <c r="AEF4" s="9"/>
      <c r="AEG4" s="9"/>
      <c r="AEH4" s="9"/>
      <c r="AEI4" s="9"/>
      <c r="AEJ4" s="9"/>
      <c r="AEK4" s="9"/>
      <c r="AEL4" s="9"/>
      <c r="AEM4" s="9"/>
      <c r="AEN4" s="9"/>
      <c r="AEO4" s="9"/>
      <c r="AEP4" s="9"/>
      <c r="AEQ4" s="9"/>
      <c r="AER4" s="9"/>
      <c r="AES4" s="9"/>
      <c r="AET4" s="9"/>
      <c r="AEU4" s="9"/>
      <c r="AEV4" s="9"/>
      <c r="AEW4" s="9"/>
      <c r="AEX4" s="9"/>
      <c r="AEY4" s="9"/>
      <c r="AEZ4" s="9"/>
      <c r="AFA4" s="9"/>
      <c r="AFB4" s="9"/>
      <c r="AFC4" s="9"/>
      <c r="AFD4" s="9"/>
      <c r="AFE4" s="9"/>
      <c r="AFF4" s="9"/>
      <c r="AFG4" s="9"/>
      <c r="AFH4" s="9"/>
      <c r="AFI4" s="9"/>
      <c r="AFJ4" s="9"/>
      <c r="AFK4" s="9"/>
      <c r="AFL4" s="9"/>
      <c r="AFM4" s="9"/>
      <c r="AFN4" s="9"/>
      <c r="AFO4" s="9"/>
      <c r="AFP4" s="9"/>
      <c r="AFQ4" s="9"/>
      <c r="AFR4" s="9"/>
      <c r="AFS4" s="9"/>
      <c r="AFT4" s="9"/>
      <c r="AFU4" s="9"/>
      <c r="AFV4" s="9"/>
      <c r="AFW4" s="9"/>
      <c r="AFX4" s="9"/>
      <c r="AFY4" s="9"/>
      <c r="AFZ4" s="9"/>
      <c r="AGA4" s="9"/>
      <c r="AGB4" s="9"/>
      <c r="AGC4" s="9"/>
      <c r="AGD4" s="9"/>
      <c r="AGE4" s="9"/>
      <c r="AGF4" s="9"/>
      <c r="AGG4" s="9"/>
      <c r="AGH4" s="9"/>
      <c r="AGI4" s="9"/>
      <c r="AGJ4" s="9"/>
      <c r="AGK4" s="9"/>
      <c r="AGL4" s="9"/>
      <c r="AGM4" s="9"/>
      <c r="AGN4" s="9"/>
      <c r="AGO4" s="9"/>
      <c r="AGP4" s="9"/>
      <c r="AGQ4" s="9"/>
      <c r="AGR4" s="9"/>
      <c r="AGS4" s="9"/>
      <c r="AGT4" s="9"/>
      <c r="AGU4" s="9"/>
      <c r="AGV4" s="9"/>
      <c r="AGW4" s="9"/>
      <c r="AGX4" s="9"/>
      <c r="AGY4" s="9"/>
      <c r="AGZ4" s="9"/>
      <c r="AHA4" s="9"/>
      <c r="AHB4" s="9"/>
      <c r="AHC4" s="9"/>
      <c r="AHD4" s="9"/>
      <c r="AHE4" s="9"/>
      <c r="AHF4" s="9"/>
      <c r="AHG4" s="9"/>
      <c r="AHH4" s="9"/>
      <c r="AHI4" s="9"/>
      <c r="AHJ4" s="9"/>
      <c r="AHK4" s="9"/>
      <c r="AHL4" s="9"/>
      <c r="AHM4" s="9"/>
      <c r="AHN4" s="9"/>
      <c r="AHO4" s="9"/>
      <c r="AHP4" s="9"/>
      <c r="AHQ4" s="9"/>
      <c r="AHR4" s="9"/>
      <c r="AHS4" s="9"/>
      <c r="AHT4" s="9"/>
      <c r="AHU4" s="9"/>
      <c r="AHV4" s="9"/>
      <c r="AHW4" s="9"/>
      <c r="AHX4" s="9"/>
      <c r="AHY4" s="9"/>
      <c r="AHZ4" s="9"/>
      <c r="AIA4" s="9"/>
      <c r="AIB4" s="9"/>
      <c r="AIC4" s="9"/>
      <c r="AID4" s="9"/>
      <c r="AIE4" s="9"/>
      <c r="AIF4" s="9"/>
      <c r="AIG4" s="9"/>
      <c r="AIH4" s="9"/>
      <c r="AII4" s="9"/>
      <c r="AIJ4" s="9"/>
      <c r="AIK4" s="9"/>
      <c r="AIL4" s="9"/>
      <c r="AIM4" s="9"/>
      <c r="AIN4" s="9"/>
      <c r="AIO4" s="9"/>
      <c r="AIP4" s="9"/>
      <c r="AIQ4" s="9"/>
      <c r="AIR4" s="9"/>
      <c r="AIS4" s="9"/>
      <c r="AIT4" s="9"/>
      <c r="AIU4" s="9"/>
      <c r="AIV4" s="9"/>
      <c r="AIW4" s="9"/>
      <c r="AIX4" s="9"/>
      <c r="AIY4" s="9"/>
      <c r="AIZ4" s="9"/>
      <c r="AJA4" s="9"/>
      <c r="AJB4" s="9"/>
      <c r="AJC4" s="9"/>
      <c r="AJD4" s="9"/>
      <c r="AJE4" s="9"/>
      <c r="AJF4" s="9"/>
      <c r="AJG4" s="9"/>
      <c r="AJH4" s="9"/>
      <c r="AJI4" s="9"/>
      <c r="AJJ4" s="9"/>
      <c r="AJK4" s="9"/>
      <c r="AJL4" s="9"/>
      <c r="AJM4" s="9"/>
      <c r="AJN4" s="9"/>
      <c r="AJO4" s="9"/>
      <c r="AJP4" s="9"/>
      <c r="AJQ4" s="9"/>
      <c r="AJR4" s="9"/>
      <c r="AJS4" s="9"/>
      <c r="AJT4" s="9"/>
      <c r="AJU4" s="9"/>
      <c r="AJV4" s="9"/>
      <c r="AJW4" s="9"/>
      <c r="AJX4" s="9"/>
      <c r="AJY4" s="9"/>
      <c r="AJZ4" s="9"/>
      <c r="AKA4" s="9"/>
      <c r="AKB4" s="9"/>
      <c r="AKC4" s="9"/>
      <c r="AKD4" s="9"/>
      <c r="AKE4" s="9"/>
      <c r="AKF4" s="9"/>
      <c r="AKG4" s="9"/>
      <c r="AKH4" s="9"/>
      <c r="AKI4" s="9"/>
      <c r="AKJ4" s="9"/>
      <c r="AKK4" s="9"/>
      <c r="AKL4" s="9"/>
      <c r="AKM4" s="9"/>
      <c r="AKN4" s="9"/>
      <c r="AKO4" s="9"/>
      <c r="AKP4" s="9"/>
      <c r="AKQ4" s="9"/>
      <c r="AKR4" s="9"/>
      <c r="AKS4" s="9"/>
      <c r="AKT4" s="9"/>
      <c r="AKU4" s="9"/>
      <c r="AKV4" s="9"/>
      <c r="AKW4" s="9"/>
      <c r="AKX4" s="9"/>
      <c r="AKY4" s="9"/>
      <c r="AKZ4" s="9"/>
      <c r="ALA4" s="9"/>
      <c r="ALB4" s="9"/>
      <c r="ALC4" s="9"/>
      <c r="ALD4" s="9"/>
      <c r="ALE4" s="9"/>
      <c r="ALF4" s="9"/>
      <c r="ALG4" s="9"/>
      <c r="ALH4" s="9"/>
      <c r="ALI4" s="9"/>
      <c r="ALJ4" s="9"/>
      <c r="ALK4" s="9"/>
      <c r="ALL4" s="9"/>
      <c r="ALM4" s="9"/>
      <c r="ALN4" s="9"/>
      <c r="ALO4" s="9"/>
      <c r="ALP4" s="9"/>
      <c r="ALQ4" s="9"/>
      <c r="ALR4" s="9"/>
      <c r="ALS4" s="9"/>
      <c r="ALT4" s="9"/>
      <c r="ALU4" s="9"/>
      <c r="ALV4" s="9"/>
      <c r="ALW4" s="9"/>
      <c r="ALX4" s="9"/>
      <c r="ALY4" s="9"/>
      <c r="ALZ4" s="9"/>
      <c r="AMA4" s="9"/>
      <c r="AMB4" s="9"/>
      <c r="AMC4" s="9"/>
      <c r="AMD4" s="9"/>
      <c r="AME4" s="9"/>
      <c r="AMF4" s="9"/>
      <c r="AMG4" s="9"/>
      <c r="AMH4" s="9"/>
      <c r="AMI4" s="9"/>
      <c r="AMJ4" s="9"/>
    </row>
    <row r="5" spans="1:1024" ht="67.150000000000006" customHeight="1" x14ac:dyDescent="0.35">
      <c r="A5" s="2" t="s">
        <v>10</v>
      </c>
      <c r="B5" s="9" t="s">
        <v>8</v>
      </c>
      <c r="C5" s="2" t="s">
        <v>11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  <c r="AAA5" s="9"/>
      <c r="AAB5" s="9"/>
      <c r="AAC5" s="9"/>
      <c r="AAD5" s="9"/>
      <c r="AAE5" s="9"/>
      <c r="AAF5" s="9"/>
      <c r="AAG5" s="9"/>
      <c r="AAH5" s="9"/>
      <c r="AAI5" s="9"/>
      <c r="AAJ5" s="9"/>
      <c r="AAK5" s="9"/>
      <c r="AAL5" s="9"/>
      <c r="AAM5" s="9"/>
      <c r="AAN5" s="9"/>
      <c r="AAO5" s="9"/>
      <c r="AAP5" s="9"/>
      <c r="AAQ5" s="9"/>
      <c r="AAR5" s="9"/>
      <c r="AAS5" s="9"/>
      <c r="AAT5" s="9"/>
      <c r="AAU5" s="9"/>
      <c r="AAV5" s="9"/>
      <c r="AAW5" s="9"/>
      <c r="AAX5" s="9"/>
      <c r="AAY5" s="9"/>
      <c r="AAZ5" s="9"/>
      <c r="ABA5" s="9"/>
      <c r="ABB5" s="9"/>
      <c r="ABC5" s="9"/>
      <c r="ABD5" s="9"/>
      <c r="ABE5" s="9"/>
      <c r="ABF5" s="9"/>
      <c r="ABG5" s="9"/>
      <c r="ABH5" s="9"/>
      <c r="ABI5" s="9"/>
      <c r="ABJ5" s="9"/>
      <c r="ABK5" s="9"/>
      <c r="ABL5" s="9"/>
      <c r="ABM5" s="9"/>
      <c r="ABN5" s="9"/>
      <c r="ABO5" s="9"/>
      <c r="ABP5" s="9"/>
      <c r="ABQ5" s="9"/>
      <c r="ABR5" s="9"/>
      <c r="ABS5" s="9"/>
      <c r="ABT5" s="9"/>
      <c r="ABU5" s="9"/>
      <c r="ABV5" s="9"/>
      <c r="ABW5" s="9"/>
      <c r="ABX5" s="9"/>
      <c r="ABY5" s="9"/>
      <c r="ABZ5" s="9"/>
      <c r="ACA5" s="9"/>
      <c r="ACB5" s="9"/>
      <c r="ACC5" s="9"/>
      <c r="ACD5" s="9"/>
      <c r="ACE5" s="9"/>
      <c r="ACF5" s="9"/>
      <c r="ACG5" s="9"/>
      <c r="ACH5" s="9"/>
      <c r="ACI5" s="9"/>
      <c r="ACJ5" s="9"/>
      <c r="ACK5" s="9"/>
      <c r="ACL5" s="9"/>
      <c r="ACM5" s="9"/>
      <c r="ACN5" s="9"/>
      <c r="ACO5" s="9"/>
      <c r="ACP5" s="9"/>
      <c r="ACQ5" s="9"/>
      <c r="ACR5" s="9"/>
      <c r="ACS5" s="9"/>
      <c r="ACT5" s="9"/>
      <c r="ACU5" s="9"/>
      <c r="ACV5" s="9"/>
      <c r="ACW5" s="9"/>
      <c r="ACX5" s="9"/>
      <c r="ACY5" s="9"/>
      <c r="ACZ5" s="9"/>
      <c r="ADA5" s="9"/>
      <c r="ADB5" s="9"/>
      <c r="ADC5" s="9"/>
      <c r="ADD5" s="9"/>
      <c r="ADE5" s="9"/>
      <c r="ADF5" s="9"/>
      <c r="ADG5" s="9"/>
      <c r="ADH5" s="9"/>
      <c r="ADI5" s="9"/>
      <c r="ADJ5" s="9"/>
      <c r="ADK5" s="9"/>
      <c r="ADL5" s="9"/>
      <c r="ADM5" s="9"/>
      <c r="ADN5" s="9"/>
      <c r="ADO5" s="9"/>
      <c r="ADP5" s="9"/>
      <c r="ADQ5" s="9"/>
      <c r="ADR5" s="9"/>
      <c r="ADS5" s="9"/>
      <c r="ADT5" s="9"/>
      <c r="ADU5" s="9"/>
      <c r="ADV5" s="9"/>
      <c r="ADW5" s="9"/>
      <c r="ADX5" s="9"/>
      <c r="ADY5" s="9"/>
      <c r="ADZ5" s="9"/>
      <c r="AEA5" s="9"/>
      <c r="AEB5" s="9"/>
      <c r="AEC5" s="9"/>
      <c r="AED5" s="9"/>
      <c r="AEE5" s="9"/>
      <c r="AEF5" s="9"/>
      <c r="AEG5" s="9"/>
      <c r="AEH5" s="9"/>
      <c r="AEI5" s="9"/>
      <c r="AEJ5" s="9"/>
      <c r="AEK5" s="9"/>
      <c r="AEL5" s="9"/>
      <c r="AEM5" s="9"/>
      <c r="AEN5" s="9"/>
      <c r="AEO5" s="9"/>
      <c r="AEP5" s="9"/>
      <c r="AEQ5" s="9"/>
      <c r="AER5" s="9"/>
      <c r="AES5" s="9"/>
      <c r="AET5" s="9"/>
      <c r="AEU5" s="9"/>
      <c r="AEV5" s="9"/>
      <c r="AEW5" s="9"/>
      <c r="AEX5" s="9"/>
      <c r="AEY5" s="9"/>
      <c r="AEZ5" s="9"/>
      <c r="AFA5" s="9"/>
      <c r="AFB5" s="9"/>
      <c r="AFC5" s="9"/>
      <c r="AFD5" s="9"/>
      <c r="AFE5" s="9"/>
      <c r="AFF5" s="9"/>
      <c r="AFG5" s="9"/>
      <c r="AFH5" s="9"/>
      <c r="AFI5" s="9"/>
      <c r="AFJ5" s="9"/>
      <c r="AFK5" s="9"/>
      <c r="AFL5" s="9"/>
      <c r="AFM5" s="9"/>
      <c r="AFN5" s="9"/>
      <c r="AFO5" s="9"/>
      <c r="AFP5" s="9"/>
      <c r="AFQ5" s="9"/>
      <c r="AFR5" s="9"/>
      <c r="AFS5" s="9"/>
      <c r="AFT5" s="9"/>
      <c r="AFU5" s="9"/>
      <c r="AFV5" s="9"/>
      <c r="AFW5" s="9"/>
      <c r="AFX5" s="9"/>
      <c r="AFY5" s="9"/>
      <c r="AFZ5" s="9"/>
      <c r="AGA5" s="9"/>
      <c r="AGB5" s="9"/>
      <c r="AGC5" s="9"/>
      <c r="AGD5" s="9"/>
      <c r="AGE5" s="9"/>
      <c r="AGF5" s="9"/>
      <c r="AGG5" s="9"/>
      <c r="AGH5" s="9"/>
      <c r="AGI5" s="9"/>
      <c r="AGJ5" s="9"/>
      <c r="AGK5" s="9"/>
      <c r="AGL5" s="9"/>
      <c r="AGM5" s="9"/>
      <c r="AGN5" s="9"/>
      <c r="AGO5" s="9"/>
      <c r="AGP5" s="9"/>
      <c r="AGQ5" s="9"/>
      <c r="AGR5" s="9"/>
      <c r="AGS5" s="9"/>
      <c r="AGT5" s="9"/>
      <c r="AGU5" s="9"/>
      <c r="AGV5" s="9"/>
      <c r="AGW5" s="9"/>
      <c r="AGX5" s="9"/>
      <c r="AGY5" s="9"/>
      <c r="AGZ5" s="9"/>
      <c r="AHA5" s="9"/>
      <c r="AHB5" s="9"/>
      <c r="AHC5" s="9"/>
      <c r="AHD5" s="9"/>
      <c r="AHE5" s="9"/>
      <c r="AHF5" s="9"/>
      <c r="AHG5" s="9"/>
      <c r="AHH5" s="9"/>
      <c r="AHI5" s="9"/>
      <c r="AHJ5" s="9"/>
      <c r="AHK5" s="9"/>
      <c r="AHL5" s="9"/>
      <c r="AHM5" s="9"/>
      <c r="AHN5" s="9"/>
      <c r="AHO5" s="9"/>
      <c r="AHP5" s="9"/>
      <c r="AHQ5" s="9"/>
      <c r="AHR5" s="9"/>
      <c r="AHS5" s="9"/>
      <c r="AHT5" s="9"/>
      <c r="AHU5" s="9"/>
      <c r="AHV5" s="9"/>
      <c r="AHW5" s="9"/>
      <c r="AHX5" s="9"/>
      <c r="AHY5" s="9"/>
      <c r="AHZ5" s="9"/>
      <c r="AIA5" s="9"/>
      <c r="AIB5" s="9"/>
      <c r="AIC5" s="9"/>
      <c r="AID5" s="9"/>
      <c r="AIE5" s="9"/>
      <c r="AIF5" s="9"/>
      <c r="AIG5" s="9"/>
      <c r="AIH5" s="9"/>
      <c r="AII5" s="9"/>
      <c r="AIJ5" s="9"/>
      <c r="AIK5" s="9"/>
      <c r="AIL5" s="9"/>
      <c r="AIM5" s="9"/>
      <c r="AIN5" s="9"/>
      <c r="AIO5" s="9"/>
      <c r="AIP5" s="9"/>
      <c r="AIQ5" s="9"/>
      <c r="AIR5" s="9"/>
      <c r="AIS5" s="9"/>
      <c r="AIT5" s="9"/>
      <c r="AIU5" s="9"/>
      <c r="AIV5" s="9"/>
      <c r="AIW5" s="9"/>
      <c r="AIX5" s="9"/>
      <c r="AIY5" s="9"/>
      <c r="AIZ5" s="9"/>
      <c r="AJA5" s="9"/>
      <c r="AJB5" s="9"/>
      <c r="AJC5" s="9"/>
      <c r="AJD5" s="9"/>
      <c r="AJE5" s="9"/>
      <c r="AJF5" s="9"/>
      <c r="AJG5" s="9"/>
      <c r="AJH5" s="9"/>
      <c r="AJI5" s="9"/>
      <c r="AJJ5" s="9"/>
      <c r="AJK5" s="9"/>
      <c r="AJL5" s="9"/>
      <c r="AJM5" s="9"/>
      <c r="AJN5" s="9"/>
      <c r="AJO5" s="9"/>
      <c r="AJP5" s="9"/>
      <c r="AJQ5" s="9"/>
      <c r="AJR5" s="9"/>
      <c r="AJS5" s="9"/>
      <c r="AJT5" s="9"/>
      <c r="AJU5" s="9"/>
      <c r="AJV5" s="9"/>
      <c r="AJW5" s="9"/>
      <c r="AJX5" s="9"/>
      <c r="AJY5" s="9"/>
      <c r="AJZ5" s="9"/>
      <c r="AKA5" s="9"/>
      <c r="AKB5" s="9"/>
      <c r="AKC5" s="9"/>
      <c r="AKD5" s="9"/>
      <c r="AKE5" s="9"/>
      <c r="AKF5" s="9"/>
      <c r="AKG5" s="9"/>
      <c r="AKH5" s="9"/>
      <c r="AKI5" s="9"/>
      <c r="AKJ5" s="9"/>
      <c r="AKK5" s="9"/>
      <c r="AKL5" s="9"/>
      <c r="AKM5" s="9"/>
      <c r="AKN5" s="9"/>
      <c r="AKO5" s="9"/>
      <c r="AKP5" s="9"/>
      <c r="AKQ5" s="9"/>
      <c r="AKR5" s="9"/>
      <c r="AKS5" s="9"/>
      <c r="AKT5" s="9"/>
      <c r="AKU5" s="9"/>
      <c r="AKV5" s="9"/>
      <c r="AKW5" s="9"/>
      <c r="AKX5" s="9"/>
      <c r="AKY5" s="9"/>
      <c r="AKZ5" s="9"/>
      <c r="ALA5" s="9"/>
      <c r="ALB5" s="9"/>
      <c r="ALC5" s="9"/>
      <c r="ALD5" s="9"/>
      <c r="ALE5" s="9"/>
      <c r="ALF5" s="9"/>
      <c r="ALG5" s="9"/>
      <c r="ALH5" s="9"/>
      <c r="ALI5" s="9"/>
      <c r="ALJ5" s="9"/>
      <c r="ALK5" s="9"/>
      <c r="ALL5" s="9"/>
      <c r="ALM5" s="9"/>
      <c r="ALN5" s="9"/>
      <c r="ALO5" s="9"/>
      <c r="ALP5" s="9"/>
      <c r="ALQ5" s="9"/>
      <c r="ALR5" s="9"/>
      <c r="ALS5" s="9"/>
      <c r="ALT5" s="9"/>
      <c r="ALU5" s="9"/>
      <c r="ALV5" s="9"/>
      <c r="ALW5" s="9"/>
      <c r="ALX5" s="9"/>
      <c r="ALY5" s="9"/>
      <c r="ALZ5" s="9"/>
      <c r="AMA5" s="9"/>
      <c r="AMB5" s="9"/>
      <c r="AMC5" s="9"/>
      <c r="AMD5" s="9"/>
      <c r="AME5" s="9"/>
      <c r="AMF5" s="9"/>
      <c r="AMG5" s="9"/>
      <c r="AMH5" s="9"/>
      <c r="AMI5" s="9"/>
      <c r="AMJ5" s="9"/>
    </row>
    <row r="6" spans="1:1024" ht="67.150000000000006" customHeight="1" x14ac:dyDescent="0.35">
      <c r="A6" s="2" t="s">
        <v>12</v>
      </c>
      <c r="B6" s="9" t="s">
        <v>8</v>
      </c>
      <c r="C6" s="2" t="s">
        <v>13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  <c r="AAA6" s="9"/>
      <c r="AAB6" s="9"/>
      <c r="AAC6" s="9"/>
      <c r="AAD6" s="9"/>
      <c r="AAE6" s="9"/>
      <c r="AAF6" s="9"/>
      <c r="AAG6" s="9"/>
      <c r="AAH6" s="9"/>
      <c r="AAI6" s="9"/>
      <c r="AAJ6" s="9"/>
      <c r="AAK6" s="9"/>
      <c r="AAL6" s="9"/>
      <c r="AAM6" s="9"/>
      <c r="AAN6" s="9"/>
      <c r="AAO6" s="9"/>
      <c r="AAP6" s="9"/>
      <c r="AAQ6" s="9"/>
      <c r="AAR6" s="9"/>
      <c r="AAS6" s="9"/>
      <c r="AAT6" s="9"/>
      <c r="AAU6" s="9"/>
      <c r="AAV6" s="9"/>
      <c r="AAW6" s="9"/>
      <c r="AAX6" s="9"/>
      <c r="AAY6" s="9"/>
      <c r="AAZ6" s="9"/>
      <c r="ABA6" s="9"/>
      <c r="ABB6" s="9"/>
      <c r="ABC6" s="9"/>
      <c r="ABD6" s="9"/>
      <c r="ABE6" s="9"/>
      <c r="ABF6" s="9"/>
      <c r="ABG6" s="9"/>
      <c r="ABH6" s="9"/>
      <c r="ABI6" s="9"/>
      <c r="ABJ6" s="9"/>
      <c r="ABK6" s="9"/>
      <c r="ABL6" s="9"/>
      <c r="ABM6" s="9"/>
      <c r="ABN6" s="9"/>
      <c r="ABO6" s="9"/>
      <c r="ABP6" s="9"/>
      <c r="ABQ6" s="9"/>
      <c r="ABR6" s="9"/>
      <c r="ABS6" s="9"/>
      <c r="ABT6" s="9"/>
      <c r="ABU6" s="9"/>
      <c r="ABV6" s="9"/>
      <c r="ABW6" s="9"/>
      <c r="ABX6" s="9"/>
      <c r="ABY6" s="9"/>
      <c r="ABZ6" s="9"/>
      <c r="ACA6" s="9"/>
      <c r="ACB6" s="9"/>
      <c r="ACC6" s="9"/>
      <c r="ACD6" s="9"/>
      <c r="ACE6" s="9"/>
      <c r="ACF6" s="9"/>
      <c r="ACG6" s="9"/>
      <c r="ACH6" s="9"/>
      <c r="ACI6" s="9"/>
      <c r="ACJ6" s="9"/>
      <c r="ACK6" s="9"/>
      <c r="ACL6" s="9"/>
      <c r="ACM6" s="9"/>
      <c r="ACN6" s="9"/>
      <c r="ACO6" s="9"/>
      <c r="ACP6" s="9"/>
      <c r="ACQ6" s="9"/>
      <c r="ACR6" s="9"/>
      <c r="ACS6" s="9"/>
      <c r="ACT6" s="9"/>
      <c r="ACU6" s="9"/>
      <c r="ACV6" s="9"/>
      <c r="ACW6" s="9"/>
      <c r="ACX6" s="9"/>
      <c r="ACY6" s="9"/>
      <c r="ACZ6" s="9"/>
      <c r="ADA6" s="9"/>
      <c r="ADB6" s="9"/>
      <c r="ADC6" s="9"/>
      <c r="ADD6" s="9"/>
      <c r="ADE6" s="9"/>
      <c r="ADF6" s="9"/>
      <c r="ADG6" s="9"/>
      <c r="ADH6" s="9"/>
      <c r="ADI6" s="9"/>
      <c r="ADJ6" s="9"/>
      <c r="ADK6" s="9"/>
      <c r="ADL6" s="9"/>
      <c r="ADM6" s="9"/>
      <c r="ADN6" s="9"/>
      <c r="ADO6" s="9"/>
      <c r="ADP6" s="9"/>
      <c r="ADQ6" s="9"/>
      <c r="ADR6" s="9"/>
      <c r="ADS6" s="9"/>
      <c r="ADT6" s="9"/>
      <c r="ADU6" s="9"/>
      <c r="ADV6" s="9"/>
      <c r="ADW6" s="9"/>
      <c r="ADX6" s="9"/>
      <c r="ADY6" s="9"/>
      <c r="ADZ6" s="9"/>
      <c r="AEA6" s="9"/>
      <c r="AEB6" s="9"/>
      <c r="AEC6" s="9"/>
      <c r="AED6" s="9"/>
      <c r="AEE6" s="9"/>
      <c r="AEF6" s="9"/>
      <c r="AEG6" s="9"/>
      <c r="AEH6" s="9"/>
      <c r="AEI6" s="9"/>
      <c r="AEJ6" s="9"/>
      <c r="AEK6" s="9"/>
      <c r="AEL6" s="9"/>
      <c r="AEM6" s="9"/>
      <c r="AEN6" s="9"/>
      <c r="AEO6" s="9"/>
      <c r="AEP6" s="9"/>
      <c r="AEQ6" s="9"/>
      <c r="AER6" s="9"/>
      <c r="AES6" s="9"/>
      <c r="AET6" s="9"/>
      <c r="AEU6" s="9"/>
      <c r="AEV6" s="9"/>
      <c r="AEW6" s="9"/>
      <c r="AEX6" s="9"/>
      <c r="AEY6" s="9"/>
      <c r="AEZ6" s="9"/>
      <c r="AFA6" s="9"/>
      <c r="AFB6" s="9"/>
      <c r="AFC6" s="9"/>
      <c r="AFD6" s="9"/>
      <c r="AFE6" s="9"/>
      <c r="AFF6" s="9"/>
      <c r="AFG6" s="9"/>
      <c r="AFH6" s="9"/>
      <c r="AFI6" s="9"/>
      <c r="AFJ6" s="9"/>
      <c r="AFK6" s="9"/>
      <c r="AFL6" s="9"/>
      <c r="AFM6" s="9"/>
      <c r="AFN6" s="9"/>
      <c r="AFO6" s="9"/>
      <c r="AFP6" s="9"/>
      <c r="AFQ6" s="9"/>
      <c r="AFR6" s="9"/>
      <c r="AFS6" s="9"/>
      <c r="AFT6" s="9"/>
      <c r="AFU6" s="9"/>
      <c r="AFV6" s="9"/>
      <c r="AFW6" s="9"/>
      <c r="AFX6" s="9"/>
      <c r="AFY6" s="9"/>
      <c r="AFZ6" s="9"/>
      <c r="AGA6" s="9"/>
      <c r="AGB6" s="9"/>
      <c r="AGC6" s="9"/>
      <c r="AGD6" s="9"/>
      <c r="AGE6" s="9"/>
      <c r="AGF6" s="9"/>
      <c r="AGG6" s="9"/>
      <c r="AGH6" s="9"/>
      <c r="AGI6" s="9"/>
      <c r="AGJ6" s="9"/>
      <c r="AGK6" s="9"/>
      <c r="AGL6" s="9"/>
      <c r="AGM6" s="9"/>
      <c r="AGN6" s="9"/>
      <c r="AGO6" s="9"/>
      <c r="AGP6" s="9"/>
      <c r="AGQ6" s="9"/>
      <c r="AGR6" s="9"/>
      <c r="AGS6" s="9"/>
      <c r="AGT6" s="9"/>
      <c r="AGU6" s="9"/>
      <c r="AGV6" s="9"/>
      <c r="AGW6" s="9"/>
      <c r="AGX6" s="9"/>
      <c r="AGY6" s="9"/>
      <c r="AGZ6" s="9"/>
      <c r="AHA6" s="9"/>
      <c r="AHB6" s="9"/>
      <c r="AHC6" s="9"/>
      <c r="AHD6" s="9"/>
      <c r="AHE6" s="9"/>
      <c r="AHF6" s="9"/>
      <c r="AHG6" s="9"/>
      <c r="AHH6" s="9"/>
      <c r="AHI6" s="9"/>
      <c r="AHJ6" s="9"/>
      <c r="AHK6" s="9"/>
      <c r="AHL6" s="9"/>
      <c r="AHM6" s="9"/>
      <c r="AHN6" s="9"/>
      <c r="AHO6" s="9"/>
      <c r="AHP6" s="9"/>
      <c r="AHQ6" s="9"/>
      <c r="AHR6" s="9"/>
      <c r="AHS6" s="9"/>
      <c r="AHT6" s="9"/>
      <c r="AHU6" s="9"/>
      <c r="AHV6" s="9"/>
      <c r="AHW6" s="9"/>
      <c r="AHX6" s="9"/>
      <c r="AHY6" s="9"/>
      <c r="AHZ6" s="9"/>
      <c r="AIA6" s="9"/>
      <c r="AIB6" s="9"/>
      <c r="AIC6" s="9"/>
      <c r="AID6" s="9"/>
      <c r="AIE6" s="9"/>
      <c r="AIF6" s="9"/>
      <c r="AIG6" s="9"/>
      <c r="AIH6" s="9"/>
      <c r="AII6" s="9"/>
      <c r="AIJ6" s="9"/>
      <c r="AIK6" s="9"/>
      <c r="AIL6" s="9"/>
      <c r="AIM6" s="9"/>
      <c r="AIN6" s="9"/>
      <c r="AIO6" s="9"/>
      <c r="AIP6" s="9"/>
      <c r="AIQ6" s="9"/>
      <c r="AIR6" s="9"/>
      <c r="AIS6" s="9"/>
      <c r="AIT6" s="9"/>
      <c r="AIU6" s="9"/>
      <c r="AIV6" s="9"/>
      <c r="AIW6" s="9"/>
      <c r="AIX6" s="9"/>
      <c r="AIY6" s="9"/>
      <c r="AIZ6" s="9"/>
      <c r="AJA6" s="9"/>
      <c r="AJB6" s="9"/>
      <c r="AJC6" s="9"/>
      <c r="AJD6" s="9"/>
      <c r="AJE6" s="9"/>
      <c r="AJF6" s="9"/>
      <c r="AJG6" s="9"/>
      <c r="AJH6" s="9"/>
      <c r="AJI6" s="9"/>
      <c r="AJJ6" s="9"/>
      <c r="AJK6" s="9"/>
      <c r="AJL6" s="9"/>
      <c r="AJM6" s="9"/>
      <c r="AJN6" s="9"/>
      <c r="AJO6" s="9"/>
      <c r="AJP6" s="9"/>
      <c r="AJQ6" s="9"/>
      <c r="AJR6" s="9"/>
      <c r="AJS6" s="9"/>
      <c r="AJT6" s="9"/>
      <c r="AJU6" s="9"/>
      <c r="AJV6" s="9"/>
      <c r="AJW6" s="9"/>
      <c r="AJX6" s="9"/>
      <c r="AJY6" s="9"/>
      <c r="AJZ6" s="9"/>
      <c r="AKA6" s="9"/>
      <c r="AKB6" s="9"/>
      <c r="AKC6" s="9"/>
      <c r="AKD6" s="9"/>
      <c r="AKE6" s="9"/>
      <c r="AKF6" s="9"/>
      <c r="AKG6" s="9"/>
      <c r="AKH6" s="9"/>
      <c r="AKI6" s="9"/>
      <c r="AKJ6" s="9"/>
      <c r="AKK6" s="9"/>
      <c r="AKL6" s="9"/>
      <c r="AKM6" s="9"/>
      <c r="AKN6" s="9"/>
      <c r="AKO6" s="9"/>
      <c r="AKP6" s="9"/>
      <c r="AKQ6" s="9"/>
      <c r="AKR6" s="9"/>
      <c r="AKS6" s="9"/>
      <c r="AKT6" s="9"/>
      <c r="AKU6" s="9"/>
      <c r="AKV6" s="9"/>
      <c r="AKW6" s="9"/>
      <c r="AKX6" s="9"/>
      <c r="AKY6" s="9"/>
      <c r="AKZ6" s="9"/>
      <c r="ALA6" s="9"/>
      <c r="ALB6" s="9"/>
      <c r="ALC6" s="9"/>
      <c r="ALD6" s="9"/>
      <c r="ALE6" s="9"/>
      <c r="ALF6" s="9"/>
      <c r="ALG6" s="9"/>
      <c r="ALH6" s="9"/>
      <c r="ALI6" s="9"/>
      <c r="ALJ6" s="9"/>
      <c r="ALK6" s="9"/>
      <c r="ALL6" s="9"/>
      <c r="ALM6" s="9"/>
      <c r="ALN6" s="9"/>
      <c r="ALO6" s="9"/>
      <c r="ALP6" s="9"/>
      <c r="ALQ6" s="9"/>
      <c r="ALR6" s="9"/>
      <c r="ALS6" s="9"/>
      <c r="ALT6" s="9"/>
      <c r="ALU6" s="9"/>
      <c r="ALV6" s="9"/>
      <c r="ALW6" s="9"/>
      <c r="ALX6" s="9"/>
      <c r="ALY6" s="9"/>
      <c r="ALZ6" s="9"/>
      <c r="AMA6" s="9"/>
      <c r="AMB6" s="9"/>
      <c r="AMC6" s="9"/>
      <c r="AMD6" s="9"/>
      <c r="AME6" s="9"/>
      <c r="AMF6" s="9"/>
      <c r="AMG6" s="9"/>
      <c r="AMH6" s="9"/>
      <c r="AMI6" s="9"/>
      <c r="AMJ6" s="9"/>
    </row>
    <row r="7" spans="1:1024" ht="67.150000000000006" customHeight="1" x14ac:dyDescent="0.35">
      <c r="A7" s="2" t="s">
        <v>14</v>
      </c>
      <c r="B7" s="9" t="s">
        <v>15</v>
      </c>
      <c r="C7" s="2" t="s">
        <v>16</v>
      </c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  <c r="AAA7" s="9"/>
      <c r="AAB7" s="9"/>
      <c r="AAC7" s="9"/>
      <c r="AAD7" s="9"/>
      <c r="AAE7" s="9"/>
      <c r="AAF7" s="9"/>
      <c r="AAG7" s="9"/>
      <c r="AAH7" s="9"/>
      <c r="AAI7" s="9"/>
      <c r="AAJ7" s="9"/>
      <c r="AAK7" s="9"/>
      <c r="AAL7" s="9"/>
      <c r="AAM7" s="9"/>
      <c r="AAN7" s="9"/>
      <c r="AAO7" s="9"/>
      <c r="AAP7" s="9"/>
      <c r="AAQ7" s="9"/>
      <c r="AAR7" s="9"/>
      <c r="AAS7" s="9"/>
      <c r="AAT7" s="9"/>
      <c r="AAU7" s="9"/>
      <c r="AAV7" s="9"/>
      <c r="AAW7" s="9"/>
      <c r="AAX7" s="9"/>
      <c r="AAY7" s="9"/>
      <c r="AAZ7" s="9"/>
      <c r="ABA7" s="9"/>
      <c r="ABB7" s="9"/>
      <c r="ABC7" s="9"/>
      <c r="ABD7" s="9"/>
      <c r="ABE7" s="9"/>
      <c r="ABF7" s="9"/>
      <c r="ABG7" s="9"/>
      <c r="ABH7" s="9"/>
      <c r="ABI7" s="9"/>
      <c r="ABJ7" s="9"/>
      <c r="ABK7" s="9"/>
      <c r="ABL7" s="9"/>
      <c r="ABM7" s="9"/>
      <c r="ABN7" s="9"/>
      <c r="ABO7" s="9"/>
      <c r="ABP7" s="9"/>
      <c r="ABQ7" s="9"/>
      <c r="ABR7" s="9"/>
      <c r="ABS7" s="9"/>
      <c r="ABT7" s="9"/>
      <c r="ABU7" s="9"/>
      <c r="ABV7" s="9"/>
      <c r="ABW7" s="9"/>
      <c r="ABX7" s="9"/>
      <c r="ABY7" s="9"/>
      <c r="ABZ7" s="9"/>
      <c r="ACA7" s="9"/>
      <c r="ACB7" s="9"/>
      <c r="ACC7" s="9"/>
      <c r="ACD7" s="9"/>
      <c r="ACE7" s="9"/>
      <c r="ACF7" s="9"/>
      <c r="ACG7" s="9"/>
      <c r="ACH7" s="9"/>
      <c r="ACI7" s="9"/>
      <c r="ACJ7" s="9"/>
      <c r="ACK7" s="9"/>
      <c r="ACL7" s="9"/>
      <c r="ACM7" s="9"/>
      <c r="ACN7" s="9"/>
      <c r="ACO7" s="9"/>
      <c r="ACP7" s="9"/>
      <c r="ACQ7" s="9"/>
      <c r="ACR7" s="9"/>
      <c r="ACS7" s="9"/>
      <c r="ACT7" s="9"/>
      <c r="ACU7" s="9"/>
      <c r="ACV7" s="9"/>
      <c r="ACW7" s="9"/>
      <c r="ACX7" s="9"/>
      <c r="ACY7" s="9"/>
      <c r="ACZ7" s="9"/>
      <c r="ADA7" s="9"/>
      <c r="ADB7" s="9"/>
      <c r="ADC7" s="9"/>
      <c r="ADD7" s="9"/>
      <c r="ADE7" s="9"/>
      <c r="ADF7" s="9"/>
      <c r="ADG7" s="9"/>
      <c r="ADH7" s="9"/>
      <c r="ADI7" s="9"/>
      <c r="ADJ7" s="9"/>
      <c r="ADK7" s="9"/>
      <c r="ADL7" s="9"/>
      <c r="ADM7" s="9"/>
      <c r="ADN7" s="9"/>
      <c r="ADO7" s="9"/>
      <c r="ADP7" s="9"/>
      <c r="ADQ7" s="9"/>
      <c r="ADR7" s="9"/>
      <c r="ADS7" s="9"/>
      <c r="ADT7" s="9"/>
      <c r="ADU7" s="9"/>
      <c r="ADV7" s="9"/>
      <c r="ADW7" s="9"/>
      <c r="ADX7" s="9"/>
      <c r="ADY7" s="9"/>
      <c r="ADZ7" s="9"/>
      <c r="AEA7" s="9"/>
      <c r="AEB7" s="9"/>
      <c r="AEC7" s="9"/>
      <c r="AED7" s="9"/>
      <c r="AEE7" s="9"/>
      <c r="AEF7" s="9"/>
      <c r="AEG7" s="9"/>
      <c r="AEH7" s="9"/>
      <c r="AEI7" s="9"/>
      <c r="AEJ7" s="9"/>
      <c r="AEK7" s="9"/>
      <c r="AEL7" s="9"/>
      <c r="AEM7" s="9"/>
      <c r="AEN7" s="9"/>
      <c r="AEO7" s="9"/>
      <c r="AEP7" s="9"/>
      <c r="AEQ7" s="9"/>
      <c r="AER7" s="9"/>
      <c r="AES7" s="9"/>
      <c r="AET7" s="9"/>
      <c r="AEU7" s="9"/>
      <c r="AEV7" s="9"/>
      <c r="AEW7" s="9"/>
      <c r="AEX7" s="9"/>
      <c r="AEY7" s="9"/>
      <c r="AEZ7" s="9"/>
      <c r="AFA7" s="9"/>
      <c r="AFB7" s="9"/>
      <c r="AFC7" s="9"/>
      <c r="AFD7" s="9"/>
      <c r="AFE7" s="9"/>
      <c r="AFF7" s="9"/>
      <c r="AFG7" s="9"/>
      <c r="AFH7" s="9"/>
      <c r="AFI7" s="9"/>
      <c r="AFJ7" s="9"/>
      <c r="AFK7" s="9"/>
      <c r="AFL7" s="9"/>
      <c r="AFM7" s="9"/>
      <c r="AFN7" s="9"/>
      <c r="AFO7" s="9"/>
      <c r="AFP7" s="9"/>
      <c r="AFQ7" s="9"/>
      <c r="AFR7" s="9"/>
      <c r="AFS7" s="9"/>
      <c r="AFT7" s="9"/>
      <c r="AFU7" s="9"/>
      <c r="AFV7" s="9"/>
      <c r="AFW7" s="9"/>
      <c r="AFX7" s="9"/>
      <c r="AFY7" s="9"/>
      <c r="AFZ7" s="9"/>
      <c r="AGA7" s="9"/>
      <c r="AGB7" s="9"/>
      <c r="AGC7" s="9"/>
      <c r="AGD7" s="9"/>
      <c r="AGE7" s="9"/>
      <c r="AGF7" s="9"/>
      <c r="AGG7" s="9"/>
      <c r="AGH7" s="9"/>
      <c r="AGI7" s="9"/>
      <c r="AGJ7" s="9"/>
      <c r="AGK7" s="9"/>
      <c r="AGL7" s="9"/>
      <c r="AGM7" s="9"/>
      <c r="AGN7" s="9"/>
      <c r="AGO7" s="9"/>
      <c r="AGP7" s="9"/>
      <c r="AGQ7" s="9"/>
      <c r="AGR7" s="9"/>
      <c r="AGS7" s="9"/>
      <c r="AGT7" s="9"/>
      <c r="AGU7" s="9"/>
      <c r="AGV7" s="9"/>
      <c r="AGW7" s="9"/>
      <c r="AGX7" s="9"/>
      <c r="AGY7" s="9"/>
      <c r="AGZ7" s="9"/>
      <c r="AHA7" s="9"/>
      <c r="AHB7" s="9"/>
      <c r="AHC7" s="9"/>
      <c r="AHD7" s="9"/>
      <c r="AHE7" s="9"/>
      <c r="AHF7" s="9"/>
      <c r="AHG7" s="9"/>
      <c r="AHH7" s="9"/>
      <c r="AHI7" s="9"/>
      <c r="AHJ7" s="9"/>
      <c r="AHK7" s="9"/>
      <c r="AHL7" s="9"/>
      <c r="AHM7" s="9"/>
      <c r="AHN7" s="9"/>
      <c r="AHO7" s="9"/>
      <c r="AHP7" s="9"/>
      <c r="AHQ7" s="9"/>
      <c r="AHR7" s="9"/>
      <c r="AHS7" s="9"/>
      <c r="AHT7" s="9"/>
      <c r="AHU7" s="9"/>
      <c r="AHV7" s="9"/>
      <c r="AHW7" s="9"/>
      <c r="AHX7" s="9"/>
      <c r="AHY7" s="9"/>
      <c r="AHZ7" s="9"/>
      <c r="AIA7" s="9"/>
      <c r="AIB7" s="9"/>
      <c r="AIC7" s="9"/>
      <c r="AID7" s="9"/>
      <c r="AIE7" s="9"/>
      <c r="AIF7" s="9"/>
      <c r="AIG7" s="9"/>
      <c r="AIH7" s="9"/>
      <c r="AII7" s="9"/>
      <c r="AIJ7" s="9"/>
      <c r="AIK7" s="9"/>
      <c r="AIL7" s="9"/>
      <c r="AIM7" s="9"/>
      <c r="AIN7" s="9"/>
      <c r="AIO7" s="9"/>
      <c r="AIP7" s="9"/>
      <c r="AIQ7" s="9"/>
      <c r="AIR7" s="9"/>
      <c r="AIS7" s="9"/>
      <c r="AIT7" s="9"/>
      <c r="AIU7" s="9"/>
      <c r="AIV7" s="9"/>
      <c r="AIW7" s="9"/>
      <c r="AIX7" s="9"/>
      <c r="AIY7" s="9"/>
      <c r="AIZ7" s="9"/>
      <c r="AJA7" s="9"/>
      <c r="AJB7" s="9"/>
      <c r="AJC7" s="9"/>
      <c r="AJD7" s="9"/>
      <c r="AJE7" s="9"/>
      <c r="AJF7" s="9"/>
      <c r="AJG7" s="9"/>
      <c r="AJH7" s="9"/>
      <c r="AJI7" s="9"/>
      <c r="AJJ7" s="9"/>
      <c r="AJK7" s="9"/>
      <c r="AJL7" s="9"/>
      <c r="AJM7" s="9"/>
      <c r="AJN7" s="9"/>
      <c r="AJO7" s="9"/>
      <c r="AJP7" s="9"/>
      <c r="AJQ7" s="9"/>
      <c r="AJR7" s="9"/>
      <c r="AJS7" s="9"/>
      <c r="AJT7" s="9"/>
      <c r="AJU7" s="9"/>
      <c r="AJV7" s="9"/>
      <c r="AJW7" s="9"/>
      <c r="AJX7" s="9"/>
      <c r="AJY7" s="9"/>
      <c r="AJZ7" s="9"/>
      <c r="AKA7" s="9"/>
      <c r="AKB7" s="9"/>
      <c r="AKC7" s="9"/>
      <c r="AKD7" s="9"/>
      <c r="AKE7" s="9"/>
      <c r="AKF7" s="9"/>
      <c r="AKG7" s="9"/>
      <c r="AKH7" s="9"/>
      <c r="AKI7" s="9"/>
      <c r="AKJ7" s="9"/>
      <c r="AKK7" s="9"/>
      <c r="AKL7" s="9"/>
      <c r="AKM7" s="9"/>
      <c r="AKN7" s="9"/>
      <c r="AKO7" s="9"/>
      <c r="AKP7" s="9"/>
      <c r="AKQ7" s="9"/>
      <c r="AKR7" s="9"/>
      <c r="AKS7" s="9"/>
      <c r="AKT7" s="9"/>
      <c r="AKU7" s="9"/>
      <c r="AKV7" s="9"/>
      <c r="AKW7" s="9"/>
      <c r="AKX7" s="9"/>
      <c r="AKY7" s="9"/>
      <c r="AKZ7" s="9"/>
      <c r="ALA7" s="9"/>
      <c r="ALB7" s="9"/>
      <c r="ALC7" s="9"/>
      <c r="ALD7" s="9"/>
      <c r="ALE7" s="9"/>
      <c r="ALF7" s="9"/>
      <c r="ALG7" s="9"/>
      <c r="ALH7" s="9"/>
      <c r="ALI7" s="9"/>
      <c r="ALJ7" s="9"/>
      <c r="ALK7" s="9"/>
      <c r="ALL7" s="9"/>
      <c r="ALM7" s="9"/>
      <c r="ALN7" s="9"/>
      <c r="ALO7" s="9"/>
      <c r="ALP7" s="9"/>
      <c r="ALQ7" s="9"/>
      <c r="ALR7" s="9"/>
      <c r="ALS7" s="9"/>
      <c r="ALT7" s="9"/>
      <c r="ALU7" s="9"/>
      <c r="ALV7" s="9"/>
      <c r="ALW7" s="9"/>
      <c r="ALX7" s="9"/>
      <c r="ALY7" s="9"/>
      <c r="ALZ7" s="9"/>
      <c r="AMA7" s="9"/>
      <c r="AMB7" s="9"/>
      <c r="AMC7" s="9"/>
      <c r="AMD7" s="9"/>
      <c r="AME7" s="9"/>
      <c r="AMF7" s="9"/>
      <c r="AMG7" s="9"/>
      <c r="AMH7" s="9"/>
      <c r="AMI7" s="9"/>
      <c r="AMJ7" s="9"/>
    </row>
    <row r="8" spans="1:1024" ht="67.150000000000006" customHeight="1" x14ac:dyDescent="0.35">
      <c r="A8" s="2" t="s">
        <v>17</v>
      </c>
      <c r="B8" s="9" t="s">
        <v>18</v>
      </c>
      <c r="C8" s="2" t="s">
        <v>19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  <c r="AAA8" s="9"/>
      <c r="AAB8" s="9"/>
      <c r="AAC8" s="9"/>
      <c r="AAD8" s="9"/>
      <c r="AAE8" s="9"/>
      <c r="AAF8" s="9"/>
      <c r="AAG8" s="9"/>
      <c r="AAH8" s="9"/>
      <c r="AAI8" s="9"/>
      <c r="AAJ8" s="9"/>
      <c r="AAK8" s="9"/>
      <c r="AAL8" s="9"/>
      <c r="AAM8" s="9"/>
      <c r="AAN8" s="9"/>
      <c r="AAO8" s="9"/>
      <c r="AAP8" s="9"/>
      <c r="AAQ8" s="9"/>
      <c r="AAR8" s="9"/>
      <c r="AAS8" s="9"/>
      <c r="AAT8" s="9"/>
      <c r="AAU8" s="9"/>
      <c r="AAV8" s="9"/>
      <c r="AAW8" s="9"/>
      <c r="AAX8" s="9"/>
      <c r="AAY8" s="9"/>
      <c r="AAZ8" s="9"/>
      <c r="ABA8" s="9"/>
      <c r="ABB8" s="9"/>
      <c r="ABC8" s="9"/>
      <c r="ABD8" s="9"/>
      <c r="ABE8" s="9"/>
      <c r="ABF8" s="9"/>
      <c r="ABG8" s="9"/>
      <c r="ABH8" s="9"/>
      <c r="ABI8" s="9"/>
      <c r="ABJ8" s="9"/>
      <c r="ABK8" s="9"/>
      <c r="ABL8" s="9"/>
      <c r="ABM8" s="9"/>
      <c r="ABN8" s="9"/>
      <c r="ABO8" s="9"/>
      <c r="ABP8" s="9"/>
      <c r="ABQ8" s="9"/>
      <c r="ABR8" s="9"/>
      <c r="ABS8" s="9"/>
      <c r="ABT8" s="9"/>
      <c r="ABU8" s="9"/>
      <c r="ABV8" s="9"/>
      <c r="ABW8" s="9"/>
      <c r="ABX8" s="9"/>
      <c r="ABY8" s="9"/>
      <c r="ABZ8" s="9"/>
      <c r="ACA8" s="9"/>
      <c r="ACB8" s="9"/>
      <c r="ACC8" s="9"/>
      <c r="ACD8" s="9"/>
      <c r="ACE8" s="9"/>
      <c r="ACF8" s="9"/>
      <c r="ACG8" s="9"/>
      <c r="ACH8" s="9"/>
      <c r="ACI8" s="9"/>
      <c r="ACJ8" s="9"/>
      <c r="ACK8" s="9"/>
      <c r="ACL8" s="9"/>
      <c r="ACM8" s="9"/>
      <c r="ACN8" s="9"/>
      <c r="ACO8" s="9"/>
      <c r="ACP8" s="9"/>
      <c r="ACQ8" s="9"/>
      <c r="ACR8" s="9"/>
      <c r="ACS8" s="9"/>
      <c r="ACT8" s="9"/>
      <c r="ACU8" s="9"/>
      <c r="ACV8" s="9"/>
      <c r="ACW8" s="9"/>
      <c r="ACX8" s="9"/>
      <c r="ACY8" s="9"/>
      <c r="ACZ8" s="9"/>
      <c r="ADA8" s="9"/>
      <c r="ADB8" s="9"/>
      <c r="ADC8" s="9"/>
      <c r="ADD8" s="9"/>
      <c r="ADE8" s="9"/>
      <c r="ADF8" s="9"/>
      <c r="ADG8" s="9"/>
      <c r="ADH8" s="9"/>
      <c r="ADI8" s="9"/>
      <c r="ADJ8" s="9"/>
      <c r="ADK8" s="9"/>
      <c r="ADL8" s="9"/>
      <c r="ADM8" s="9"/>
      <c r="ADN8" s="9"/>
      <c r="ADO8" s="9"/>
      <c r="ADP8" s="9"/>
      <c r="ADQ8" s="9"/>
      <c r="ADR8" s="9"/>
      <c r="ADS8" s="9"/>
      <c r="ADT8" s="9"/>
      <c r="ADU8" s="9"/>
      <c r="ADV8" s="9"/>
      <c r="ADW8" s="9"/>
      <c r="ADX8" s="9"/>
      <c r="ADY8" s="9"/>
      <c r="ADZ8" s="9"/>
      <c r="AEA8" s="9"/>
      <c r="AEB8" s="9"/>
      <c r="AEC8" s="9"/>
      <c r="AED8" s="9"/>
      <c r="AEE8" s="9"/>
      <c r="AEF8" s="9"/>
      <c r="AEG8" s="9"/>
      <c r="AEH8" s="9"/>
      <c r="AEI8" s="9"/>
      <c r="AEJ8" s="9"/>
      <c r="AEK8" s="9"/>
      <c r="AEL8" s="9"/>
      <c r="AEM8" s="9"/>
      <c r="AEN8" s="9"/>
      <c r="AEO8" s="9"/>
      <c r="AEP8" s="9"/>
      <c r="AEQ8" s="9"/>
      <c r="AER8" s="9"/>
      <c r="AES8" s="9"/>
      <c r="AET8" s="9"/>
      <c r="AEU8" s="9"/>
      <c r="AEV8" s="9"/>
      <c r="AEW8" s="9"/>
      <c r="AEX8" s="9"/>
      <c r="AEY8" s="9"/>
      <c r="AEZ8" s="9"/>
      <c r="AFA8" s="9"/>
      <c r="AFB8" s="9"/>
      <c r="AFC8" s="9"/>
      <c r="AFD8" s="9"/>
      <c r="AFE8" s="9"/>
      <c r="AFF8" s="9"/>
      <c r="AFG8" s="9"/>
      <c r="AFH8" s="9"/>
      <c r="AFI8" s="9"/>
      <c r="AFJ8" s="9"/>
      <c r="AFK8" s="9"/>
      <c r="AFL8" s="9"/>
      <c r="AFM8" s="9"/>
      <c r="AFN8" s="9"/>
      <c r="AFO8" s="9"/>
      <c r="AFP8" s="9"/>
      <c r="AFQ8" s="9"/>
      <c r="AFR8" s="9"/>
      <c r="AFS8" s="9"/>
      <c r="AFT8" s="9"/>
      <c r="AFU8" s="9"/>
      <c r="AFV8" s="9"/>
      <c r="AFW8" s="9"/>
      <c r="AFX8" s="9"/>
      <c r="AFY8" s="9"/>
      <c r="AFZ8" s="9"/>
      <c r="AGA8" s="9"/>
      <c r="AGB8" s="9"/>
      <c r="AGC8" s="9"/>
      <c r="AGD8" s="9"/>
      <c r="AGE8" s="9"/>
      <c r="AGF8" s="9"/>
      <c r="AGG8" s="9"/>
      <c r="AGH8" s="9"/>
      <c r="AGI8" s="9"/>
      <c r="AGJ8" s="9"/>
      <c r="AGK8" s="9"/>
      <c r="AGL8" s="9"/>
      <c r="AGM8" s="9"/>
      <c r="AGN8" s="9"/>
      <c r="AGO8" s="9"/>
      <c r="AGP8" s="9"/>
      <c r="AGQ8" s="9"/>
      <c r="AGR8" s="9"/>
      <c r="AGS8" s="9"/>
      <c r="AGT8" s="9"/>
      <c r="AGU8" s="9"/>
      <c r="AGV8" s="9"/>
      <c r="AGW8" s="9"/>
      <c r="AGX8" s="9"/>
      <c r="AGY8" s="9"/>
      <c r="AGZ8" s="9"/>
      <c r="AHA8" s="9"/>
      <c r="AHB8" s="9"/>
      <c r="AHC8" s="9"/>
      <c r="AHD8" s="9"/>
      <c r="AHE8" s="9"/>
      <c r="AHF8" s="9"/>
      <c r="AHG8" s="9"/>
      <c r="AHH8" s="9"/>
      <c r="AHI8" s="9"/>
      <c r="AHJ8" s="9"/>
      <c r="AHK8" s="9"/>
      <c r="AHL8" s="9"/>
      <c r="AHM8" s="9"/>
      <c r="AHN8" s="9"/>
      <c r="AHO8" s="9"/>
      <c r="AHP8" s="9"/>
      <c r="AHQ8" s="9"/>
      <c r="AHR8" s="9"/>
      <c r="AHS8" s="9"/>
      <c r="AHT8" s="9"/>
      <c r="AHU8" s="9"/>
      <c r="AHV8" s="9"/>
      <c r="AHW8" s="9"/>
      <c r="AHX8" s="9"/>
      <c r="AHY8" s="9"/>
      <c r="AHZ8" s="9"/>
      <c r="AIA8" s="9"/>
      <c r="AIB8" s="9"/>
      <c r="AIC8" s="9"/>
      <c r="AID8" s="9"/>
      <c r="AIE8" s="9"/>
      <c r="AIF8" s="9"/>
      <c r="AIG8" s="9"/>
      <c r="AIH8" s="9"/>
      <c r="AII8" s="9"/>
      <c r="AIJ8" s="9"/>
      <c r="AIK8" s="9"/>
      <c r="AIL8" s="9"/>
      <c r="AIM8" s="9"/>
      <c r="AIN8" s="9"/>
      <c r="AIO8" s="9"/>
      <c r="AIP8" s="9"/>
      <c r="AIQ8" s="9"/>
      <c r="AIR8" s="9"/>
      <c r="AIS8" s="9"/>
      <c r="AIT8" s="9"/>
      <c r="AIU8" s="9"/>
      <c r="AIV8" s="9"/>
      <c r="AIW8" s="9"/>
      <c r="AIX8" s="9"/>
      <c r="AIY8" s="9"/>
      <c r="AIZ8" s="9"/>
      <c r="AJA8" s="9"/>
      <c r="AJB8" s="9"/>
      <c r="AJC8" s="9"/>
      <c r="AJD8" s="9"/>
      <c r="AJE8" s="9"/>
      <c r="AJF8" s="9"/>
      <c r="AJG8" s="9"/>
      <c r="AJH8" s="9"/>
      <c r="AJI8" s="9"/>
      <c r="AJJ8" s="9"/>
      <c r="AJK8" s="9"/>
      <c r="AJL8" s="9"/>
      <c r="AJM8" s="9"/>
      <c r="AJN8" s="9"/>
      <c r="AJO8" s="9"/>
      <c r="AJP8" s="9"/>
      <c r="AJQ8" s="9"/>
      <c r="AJR8" s="9"/>
      <c r="AJS8" s="9"/>
      <c r="AJT8" s="9"/>
      <c r="AJU8" s="9"/>
      <c r="AJV8" s="9"/>
      <c r="AJW8" s="9"/>
      <c r="AJX8" s="9"/>
      <c r="AJY8" s="9"/>
      <c r="AJZ8" s="9"/>
      <c r="AKA8" s="9"/>
      <c r="AKB8" s="9"/>
      <c r="AKC8" s="9"/>
      <c r="AKD8" s="9"/>
      <c r="AKE8" s="9"/>
      <c r="AKF8" s="9"/>
      <c r="AKG8" s="9"/>
      <c r="AKH8" s="9"/>
      <c r="AKI8" s="9"/>
      <c r="AKJ8" s="9"/>
      <c r="AKK8" s="9"/>
      <c r="AKL8" s="9"/>
      <c r="AKM8" s="9"/>
      <c r="AKN8" s="9"/>
      <c r="AKO8" s="9"/>
      <c r="AKP8" s="9"/>
      <c r="AKQ8" s="9"/>
      <c r="AKR8" s="9"/>
      <c r="AKS8" s="9"/>
      <c r="AKT8" s="9"/>
      <c r="AKU8" s="9"/>
      <c r="AKV8" s="9"/>
      <c r="AKW8" s="9"/>
      <c r="AKX8" s="9"/>
      <c r="AKY8" s="9"/>
      <c r="AKZ8" s="9"/>
      <c r="ALA8" s="9"/>
      <c r="ALB8" s="9"/>
      <c r="ALC8" s="9"/>
      <c r="ALD8" s="9"/>
      <c r="ALE8" s="9"/>
      <c r="ALF8" s="9"/>
      <c r="ALG8" s="9"/>
      <c r="ALH8" s="9"/>
      <c r="ALI8" s="9"/>
      <c r="ALJ8" s="9"/>
      <c r="ALK8" s="9"/>
      <c r="ALL8" s="9"/>
      <c r="ALM8" s="9"/>
      <c r="ALN8" s="9"/>
      <c r="ALO8" s="9"/>
      <c r="ALP8" s="9"/>
      <c r="ALQ8" s="9"/>
      <c r="ALR8" s="9"/>
      <c r="ALS8" s="9"/>
      <c r="ALT8" s="9"/>
      <c r="ALU8" s="9"/>
      <c r="ALV8" s="9"/>
      <c r="ALW8" s="9"/>
      <c r="ALX8" s="9"/>
      <c r="ALY8" s="9"/>
      <c r="ALZ8" s="9"/>
      <c r="AMA8" s="9"/>
      <c r="AMB8" s="9"/>
      <c r="AMC8" s="9"/>
      <c r="AMD8" s="9"/>
      <c r="AME8" s="9"/>
      <c r="AMF8" s="9"/>
      <c r="AMG8" s="9"/>
      <c r="AMH8" s="9"/>
      <c r="AMI8" s="9"/>
      <c r="AMJ8" s="9"/>
    </row>
    <row r="9" spans="1:1024" x14ac:dyDescent="0.35">
      <c r="A9" s="2"/>
      <c r="B9" s="9"/>
      <c r="C9" s="2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  <c r="AAA9" s="9"/>
      <c r="AAB9" s="9"/>
      <c r="AAC9" s="9"/>
      <c r="AAD9" s="9"/>
      <c r="AAE9" s="9"/>
      <c r="AAF9" s="9"/>
      <c r="AAG9" s="9"/>
      <c r="AAH9" s="9"/>
      <c r="AAI9" s="9"/>
      <c r="AAJ9" s="9"/>
      <c r="AAK9" s="9"/>
      <c r="AAL9" s="9"/>
      <c r="AAM9" s="9"/>
      <c r="AAN9" s="9"/>
      <c r="AAO9" s="9"/>
      <c r="AAP9" s="9"/>
      <c r="AAQ9" s="9"/>
      <c r="AAR9" s="9"/>
      <c r="AAS9" s="9"/>
      <c r="AAT9" s="9"/>
      <c r="AAU9" s="9"/>
      <c r="AAV9" s="9"/>
      <c r="AAW9" s="9"/>
      <c r="AAX9" s="9"/>
      <c r="AAY9" s="9"/>
      <c r="AAZ9" s="9"/>
      <c r="ABA9" s="9"/>
      <c r="ABB9" s="9"/>
      <c r="ABC9" s="9"/>
      <c r="ABD9" s="9"/>
      <c r="ABE9" s="9"/>
      <c r="ABF9" s="9"/>
      <c r="ABG9" s="9"/>
      <c r="ABH9" s="9"/>
      <c r="ABI9" s="9"/>
      <c r="ABJ9" s="9"/>
      <c r="ABK9" s="9"/>
      <c r="ABL9" s="9"/>
      <c r="ABM9" s="9"/>
      <c r="ABN9" s="9"/>
      <c r="ABO9" s="9"/>
      <c r="ABP9" s="9"/>
      <c r="ABQ9" s="9"/>
      <c r="ABR9" s="9"/>
      <c r="ABS9" s="9"/>
      <c r="ABT9" s="9"/>
      <c r="ABU9" s="9"/>
      <c r="ABV9" s="9"/>
      <c r="ABW9" s="9"/>
      <c r="ABX9" s="9"/>
      <c r="ABY9" s="9"/>
      <c r="ABZ9" s="9"/>
      <c r="ACA9" s="9"/>
      <c r="ACB9" s="9"/>
      <c r="ACC9" s="9"/>
      <c r="ACD9" s="9"/>
      <c r="ACE9" s="9"/>
      <c r="ACF9" s="9"/>
      <c r="ACG9" s="9"/>
      <c r="ACH9" s="9"/>
      <c r="ACI9" s="9"/>
      <c r="ACJ9" s="9"/>
      <c r="ACK9" s="9"/>
      <c r="ACL9" s="9"/>
      <c r="ACM9" s="9"/>
      <c r="ACN9" s="9"/>
      <c r="ACO9" s="9"/>
      <c r="ACP9" s="9"/>
      <c r="ACQ9" s="9"/>
      <c r="ACR9" s="9"/>
      <c r="ACS9" s="9"/>
      <c r="ACT9" s="9"/>
      <c r="ACU9" s="9"/>
      <c r="ACV9" s="9"/>
      <c r="ACW9" s="9"/>
      <c r="ACX9" s="9"/>
      <c r="ACY9" s="9"/>
      <c r="ACZ9" s="9"/>
      <c r="ADA9" s="9"/>
      <c r="ADB9" s="9"/>
      <c r="ADC9" s="9"/>
      <c r="ADD9" s="9"/>
      <c r="ADE9" s="9"/>
      <c r="ADF9" s="9"/>
      <c r="ADG9" s="9"/>
      <c r="ADH9" s="9"/>
      <c r="ADI9" s="9"/>
      <c r="ADJ9" s="9"/>
      <c r="ADK9" s="9"/>
      <c r="ADL9" s="9"/>
      <c r="ADM9" s="9"/>
      <c r="ADN9" s="9"/>
      <c r="ADO9" s="9"/>
      <c r="ADP9" s="9"/>
      <c r="ADQ9" s="9"/>
      <c r="ADR9" s="9"/>
      <c r="ADS9" s="9"/>
      <c r="ADT9" s="9"/>
      <c r="ADU9" s="9"/>
      <c r="ADV9" s="9"/>
      <c r="ADW9" s="9"/>
      <c r="ADX9" s="9"/>
      <c r="ADY9" s="9"/>
      <c r="ADZ9" s="9"/>
      <c r="AEA9" s="9"/>
      <c r="AEB9" s="9"/>
      <c r="AEC9" s="9"/>
      <c r="AED9" s="9"/>
      <c r="AEE9" s="9"/>
      <c r="AEF9" s="9"/>
      <c r="AEG9" s="9"/>
      <c r="AEH9" s="9"/>
      <c r="AEI9" s="9"/>
      <c r="AEJ9" s="9"/>
      <c r="AEK9" s="9"/>
      <c r="AEL9" s="9"/>
      <c r="AEM9" s="9"/>
      <c r="AEN9" s="9"/>
      <c r="AEO9" s="9"/>
      <c r="AEP9" s="9"/>
      <c r="AEQ9" s="9"/>
      <c r="AER9" s="9"/>
      <c r="AES9" s="9"/>
      <c r="AET9" s="9"/>
      <c r="AEU9" s="9"/>
      <c r="AEV9" s="9"/>
      <c r="AEW9" s="9"/>
      <c r="AEX9" s="9"/>
      <c r="AEY9" s="9"/>
      <c r="AEZ9" s="9"/>
      <c r="AFA9" s="9"/>
      <c r="AFB9" s="9"/>
      <c r="AFC9" s="9"/>
      <c r="AFD9" s="9"/>
      <c r="AFE9" s="9"/>
      <c r="AFF9" s="9"/>
      <c r="AFG9" s="9"/>
      <c r="AFH9" s="9"/>
      <c r="AFI9" s="9"/>
      <c r="AFJ9" s="9"/>
      <c r="AFK9" s="9"/>
      <c r="AFL9" s="9"/>
      <c r="AFM9" s="9"/>
      <c r="AFN9" s="9"/>
      <c r="AFO9" s="9"/>
      <c r="AFP9" s="9"/>
      <c r="AFQ9" s="9"/>
      <c r="AFR9" s="9"/>
      <c r="AFS9" s="9"/>
      <c r="AFT9" s="9"/>
      <c r="AFU9" s="9"/>
      <c r="AFV9" s="9"/>
      <c r="AFW9" s="9"/>
      <c r="AFX9" s="9"/>
      <c r="AFY9" s="9"/>
      <c r="AFZ9" s="9"/>
      <c r="AGA9" s="9"/>
      <c r="AGB9" s="9"/>
      <c r="AGC9" s="9"/>
      <c r="AGD9" s="9"/>
      <c r="AGE9" s="9"/>
      <c r="AGF9" s="9"/>
      <c r="AGG9" s="9"/>
      <c r="AGH9" s="9"/>
      <c r="AGI9" s="9"/>
      <c r="AGJ9" s="9"/>
      <c r="AGK9" s="9"/>
      <c r="AGL9" s="9"/>
      <c r="AGM9" s="9"/>
      <c r="AGN9" s="9"/>
      <c r="AGO9" s="9"/>
      <c r="AGP9" s="9"/>
      <c r="AGQ9" s="9"/>
      <c r="AGR9" s="9"/>
      <c r="AGS9" s="9"/>
      <c r="AGT9" s="9"/>
      <c r="AGU9" s="9"/>
      <c r="AGV9" s="9"/>
      <c r="AGW9" s="9"/>
      <c r="AGX9" s="9"/>
      <c r="AGY9" s="9"/>
      <c r="AGZ9" s="9"/>
      <c r="AHA9" s="9"/>
      <c r="AHB9" s="9"/>
      <c r="AHC9" s="9"/>
      <c r="AHD9" s="9"/>
      <c r="AHE9" s="9"/>
      <c r="AHF9" s="9"/>
      <c r="AHG9" s="9"/>
      <c r="AHH9" s="9"/>
      <c r="AHI9" s="9"/>
      <c r="AHJ9" s="9"/>
      <c r="AHK9" s="9"/>
      <c r="AHL9" s="9"/>
      <c r="AHM9" s="9"/>
      <c r="AHN9" s="9"/>
      <c r="AHO9" s="9"/>
      <c r="AHP9" s="9"/>
      <c r="AHQ9" s="9"/>
      <c r="AHR9" s="9"/>
      <c r="AHS9" s="9"/>
      <c r="AHT9" s="9"/>
      <c r="AHU9" s="9"/>
      <c r="AHV9" s="9"/>
      <c r="AHW9" s="9"/>
      <c r="AHX9" s="9"/>
      <c r="AHY9" s="9"/>
      <c r="AHZ9" s="9"/>
      <c r="AIA9" s="9"/>
      <c r="AIB9" s="9"/>
      <c r="AIC9" s="9"/>
      <c r="AID9" s="9"/>
      <c r="AIE9" s="9"/>
      <c r="AIF9" s="9"/>
      <c r="AIG9" s="9"/>
      <c r="AIH9" s="9"/>
      <c r="AII9" s="9"/>
      <c r="AIJ9" s="9"/>
      <c r="AIK9" s="9"/>
      <c r="AIL9" s="9"/>
      <c r="AIM9" s="9"/>
      <c r="AIN9" s="9"/>
      <c r="AIO9" s="9"/>
      <c r="AIP9" s="9"/>
      <c r="AIQ9" s="9"/>
      <c r="AIR9" s="9"/>
      <c r="AIS9" s="9"/>
      <c r="AIT9" s="9"/>
      <c r="AIU9" s="9"/>
      <c r="AIV9" s="9"/>
      <c r="AIW9" s="9"/>
      <c r="AIX9" s="9"/>
      <c r="AIY9" s="9"/>
      <c r="AIZ9" s="9"/>
      <c r="AJA9" s="9"/>
      <c r="AJB9" s="9"/>
      <c r="AJC9" s="9"/>
      <c r="AJD9" s="9"/>
      <c r="AJE9" s="9"/>
      <c r="AJF9" s="9"/>
      <c r="AJG9" s="9"/>
      <c r="AJH9" s="9"/>
      <c r="AJI9" s="9"/>
      <c r="AJJ9" s="9"/>
      <c r="AJK9" s="9"/>
      <c r="AJL9" s="9"/>
      <c r="AJM9" s="9"/>
      <c r="AJN9" s="9"/>
      <c r="AJO9" s="9"/>
      <c r="AJP9" s="9"/>
      <c r="AJQ9" s="9"/>
      <c r="AJR9" s="9"/>
      <c r="AJS9" s="9"/>
      <c r="AJT9" s="9"/>
      <c r="AJU9" s="9"/>
      <c r="AJV9" s="9"/>
      <c r="AJW9" s="9"/>
      <c r="AJX9" s="9"/>
      <c r="AJY9" s="9"/>
      <c r="AJZ9" s="9"/>
      <c r="AKA9" s="9"/>
      <c r="AKB9" s="9"/>
      <c r="AKC9" s="9"/>
      <c r="AKD9" s="9"/>
      <c r="AKE9" s="9"/>
      <c r="AKF9" s="9"/>
      <c r="AKG9" s="9"/>
      <c r="AKH9" s="9"/>
      <c r="AKI9" s="9"/>
      <c r="AKJ9" s="9"/>
      <c r="AKK9" s="9"/>
      <c r="AKL9" s="9"/>
      <c r="AKM9" s="9"/>
      <c r="AKN9" s="9"/>
      <c r="AKO9" s="9"/>
      <c r="AKP9" s="9"/>
      <c r="AKQ9" s="9"/>
      <c r="AKR9" s="9"/>
      <c r="AKS9" s="9"/>
      <c r="AKT9" s="9"/>
      <c r="AKU9" s="9"/>
      <c r="AKV9" s="9"/>
      <c r="AKW9" s="9"/>
      <c r="AKX9" s="9"/>
      <c r="AKY9" s="9"/>
      <c r="AKZ9" s="9"/>
      <c r="ALA9" s="9"/>
      <c r="ALB9" s="9"/>
      <c r="ALC9" s="9"/>
      <c r="ALD9" s="9"/>
      <c r="ALE9" s="9"/>
      <c r="ALF9" s="9"/>
      <c r="ALG9" s="9"/>
      <c r="ALH9" s="9"/>
      <c r="ALI9" s="9"/>
      <c r="ALJ9" s="9"/>
      <c r="ALK9" s="9"/>
      <c r="ALL9" s="9"/>
      <c r="ALM9" s="9"/>
      <c r="ALN9" s="9"/>
      <c r="ALO9" s="9"/>
      <c r="ALP9" s="9"/>
      <c r="ALQ9" s="9"/>
      <c r="ALR9" s="9"/>
      <c r="ALS9" s="9"/>
      <c r="ALT9" s="9"/>
      <c r="ALU9" s="9"/>
      <c r="ALV9" s="9"/>
      <c r="ALW9" s="9"/>
      <c r="ALX9" s="9"/>
      <c r="ALY9" s="9"/>
      <c r="ALZ9" s="9"/>
      <c r="AMA9" s="9"/>
      <c r="AMB9" s="9"/>
      <c r="AMC9" s="9"/>
      <c r="AMD9" s="9"/>
      <c r="AME9" s="9"/>
      <c r="AMF9" s="9"/>
      <c r="AMG9" s="9"/>
      <c r="AMH9" s="9"/>
      <c r="AMI9" s="9"/>
      <c r="AMJ9" s="9"/>
    </row>
    <row r="10" spans="1:1024" x14ac:dyDescent="0.35">
      <c r="A10" s="2"/>
      <c r="C10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  <c r="AAA10" s="9"/>
      <c r="AAB10" s="9"/>
      <c r="AAC10" s="9"/>
      <c r="AAD10" s="9"/>
      <c r="AAE10" s="9"/>
      <c r="AAF10" s="9"/>
      <c r="AAG10" s="9"/>
      <c r="AAH10" s="9"/>
      <c r="AAI10" s="9"/>
      <c r="AAJ10" s="9"/>
      <c r="AAK10" s="9"/>
      <c r="AAL10" s="9"/>
      <c r="AAM10" s="9"/>
      <c r="AAN10" s="9"/>
      <c r="AAO10" s="9"/>
      <c r="AAP10" s="9"/>
      <c r="AAQ10" s="9"/>
      <c r="AAR10" s="9"/>
      <c r="AAS10" s="9"/>
      <c r="AAT10" s="9"/>
      <c r="AAU10" s="9"/>
      <c r="AAV10" s="9"/>
      <c r="AAW10" s="9"/>
      <c r="AAX10" s="9"/>
      <c r="AAY10" s="9"/>
      <c r="AAZ10" s="9"/>
      <c r="ABA10" s="9"/>
      <c r="ABB10" s="9"/>
      <c r="ABC10" s="9"/>
      <c r="ABD10" s="9"/>
      <c r="ABE10" s="9"/>
      <c r="ABF10" s="9"/>
      <c r="ABG10" s="9"/>
      <c r="ABH10" s="9"/>
      <c r="ABI10" s="9"/>
      <c r="ABJ10" s="9"/>
      <c r="ABK10" s="9"/>
      <c r="ABL10" s="9"/>
      <c r="ABM10" s="9"/>
      <c r="ABN10" s="9"/>
      <c r="ABO10" s="9"/>
      <c r="ABP10" s="9"/>
      <c r="ABQ10" s="9"/>
      <c r="ABR10" s="9"/>
      <c r="ABS10" s="9"/>
      <c r="ABT10" s="9"/>
      <c r="ABU10" s="9"/>
      <c r="ABV10" s="9"/>
      <c r="ABW10" s="9"/>
      <c r="ABX10" s="9"/>
      <c r="ABY10" s="9"/>
      <c r="ABZ10" s="9"/>
      <c r="ACA10" s="9"/>
      <c r="ACB10" s="9"/>
      <c r="ACC10" s="9"/>
      <c r="ACD10" s="9"/>
      <c r="ACE10" s="9"/>
      <c r="ACF10" s="9"/>
      <c r="ACG10" s="9"/>
      <c r="ACH10" s="9"/>
      <c r="ACI10" s="9"/>
      <c r="ACJ10" s="9"/>
      <c r="ACK10" s="9"/>
      <c r="ACL10" s="9"/>
      <c r="ACM10" s="9"/>
      <c r="ACN10" s="9"/>
      <c r="ACO10" s="9"/>
      <c r="ACP10" s="9"/>
      <c r="ACQ10" s="9"/>
      <c r="ACR10" s="9"/>
      <c r="ACS10" s="9"/>
      <c r="ACT10" s="9"/>
      <c r="ACU10" s="9"/>
      <c r="ACV10" s="9"/>
      <c r="ACW10" s="9"/>
      <c r="ACX10" s="9"/>
      <c r="ACY10" s="9"/>
      <c r="ACZ10" s="9"/>
      <c r="ADA10" s="9"/>
      <c r="ADB10" s="9"/>
      <c r="ADC10" s="9"/>
      <c r="ADD10" s="9"/>
      <c r="ADE10" s="9"/>
      <c r="ADF10" s="9"/>
      <c r="ADG10" s="9"/>
      <c r="ADH10" s="9"/>
      <c r="ADI10" s="9"/>
      <c r="ADJ10" s="9"/>
      <c r="ADK10" s="9"/>
      <c r="ADL10" s="9"/>
      <c r="ADM10" s="9"/>
      <c r="ADN10" s="9"/>
      <c r="ADO10" s="9"/>
      <c r="ADP10" s="9"/>
      <c r="ADQ10" s="9"/>
      <c r="ADR10" s="9"/>
      <c r="ADS10" s="9"/>
      <c r="ADT10" s="9"/>
      <c r="ADU10" s="9"/>
      <c r="ADV10" s="9"/>
      <c r="ADW10" s="9"/>
      <c r="ADX10" s="9"/>
      <c r="ADY10" s="9"/>
      <c r="ADZ10" s="9"/>
      <c r="AEA10" s="9"/>
      <c r="AEB10" s="9"/>
      <c r="AEC10" s="9"/>
      <c r="AED10" s="9"/>
      <c r="AEE10" s="9"/>
      <c r="AEF10" s="9"/>
      <c r="AEG10" s="9"/>
      <c r="AEH10" s="9"/>
      <c r="AEI10" s="9"/>
      <c r="AEJ10" s="9"/>
      <c r="AEK10" s="9"/>
      <c r="AEL10" s="9"/>
      <c r="AEM10" s="9"/>
      <c r="AEN10" s="9"/>
      <c r="AEO10" s="9"/>
      <c r="AEP10" s="9"/>
      <c r="AEQ10" s="9"/>
      <c r="AER10" s="9"/>
      <c r="AES10" s="9"/>
      <c r="AET10" s="9"/>
      <c r="AEU10" s="9"/>
      <c r="AEV10" s="9"/>
      <c r="AEW10" s="9"/>
      <c r="AEX10" s="9"/>
      <c r="AEY10" s="9"/>
      <c r="AEZ10" s="9"/>
      <c r="AFA10" s="9"/>
      <c r="AFB10" s="9"/>
      <c r="AFC10" s="9"/>
      <c r="AFD10" s="9"/>
      <c r="AFE10" s="9"/>
      <c r="AFF10" s="9"/>
      <c r="AFG10" s="9"/>
      <c r="AFH10" s="9"/>
      <c r="AFI10" s="9"/>
      <c r="AFJ10" s="9"/>
      <c r="AFK10" s="9"/>
      <c r="AFL10" s="9"/>
      <c r="AFM10" s="9"/>
      <c r="AFN10" s="9"/>
      <c r="AFO10" s="9"/>
      <c r="AFP10" s="9"/>
      <c r="AFQ10" s="9"/>
      <c r="AFR10" s="9"/>
      <c r="AFS10" s="9"/>
      <c r="AFT10" s="9"/>
      <c r="AFU10" s="9"/>
      <c r="AFV10" s="9"/>
      <c r="AFW10" s="9"/>
      <c r="AFX10" s="9"/>
      <c r="AFY10" s="9"/>
      <c r="AFZ10" s="9"/>
      <c r="AGA10" s="9"/>
      <c r="AGB10" s="9"/>
      <c r="AGC10" s="9"/>
      <c r="AGD10" s="9"/>
      <c r="AGE10" s="9"/>
      <c r="AGF10" s="9"/>
      <c r="AGG10" s="9"/>
      <c r="AGH10" s="9"/>
      <c r="AGI10" s="9"/>
      <c r="AGJ10" s="9"/>
      <c r="AGK10" s="9"/>
      <c r="AGL10" s="9"/>
      <c r="AGM10" s="9"/>
      <c r="AGN10" s="9"/>
      <c r="AGO10" s="9"/>
      <c r="AGP10" s="9"/>
      <c r="AGQ10" s="9"/>
      <c r="AGR10" s="9"/>
      <c r="AGS10" s="9"/>
      <c r="AGT10" s="9"/>
      <c r="AGU10" s="9"/>
      <c r="AGV10" s="9"/>
      <c r="AGW10" s="9"/>
      <c r="AGX10" s="9"/>
      <c r="AGY10" s="9"/>
      <c r="AGZ10" s="9"/>
      <c r="AHA10" s="9"/>
      <c r="AHB10" s="9"/>
      <c r="AHC10" s="9"/>
      <c r="AHD10" s="9"/>
      <c r="AHE10" s="9"/>
      <c r="AHF10" s="9"/>
      <c r="AHG10" s="9"/>
      <c r="AHH10" s="9"/>
      <c r="AHI10" s="9"/>
      <c r="AHJ10" s="9"/>
      <c r="AHK10" s="9"/>
      <c r="AHL10" s="9"/>
      <c r="AHM10" s="9"/>
      <c r="AHN10" s="9"/>
      <c r="AHO10" s="9"/>
      <c r="AHP10" s="9"/>
      <c r="AHQ10" s="9"/>
      <c r="AHR10" s="9"/>
      <c r="AHS10" s="9"/>
      <c r="AHT10" s="9"/>
      <c r="AHU10" s="9"/>
      <c r="AHV10" s="9"/>
      <c r="AHW10" s="9"/>
      <c r="AHX10" s="9"/>
      <c r="AHY10" s="9"/>
      <c r="AHZ10" s="9"/>
      <c r="AIA10" s="9"/>
      <c r="AIB10" s="9"/>
      <c r="AIC10" s="9"/>
      <c r="AID10" s="9"/>
      <c r="AIE10" s="9"/>
      <c r="AIF10" s="9"/>
      <c r="AIG10" s="9"/>
      <c r="AIH10" s="9"/>
      <c r="AII10" s="9"/>
      <c r="AIJ10" s="9"/>
      <c r="AIK10" s="9"/>
      <c r="AIL10" s="9"/>
      <c r="AIM10" s="9"/>
      <c r="AIN10" s="9"/>
      <c r="AIO10" s="9"/>
      <c r="AIP10" s="9"/>
      <c r="AIQ10" s="9"/>
      <c r="AIR10" s="9"/>
      <c r="AIS10" s="9"/>
      <c r="AIT10" s="9"/>
      <c r="AIU10" s="9"/>
      <c r="AIV10" s="9"/>
      <c r="AIW10" s="9"/>
      <c r="AIX10" s="9"/>
      <c r="AIY10" s="9"/>
      <c r="AIZ10" s="9"/>
      <c r="AJA10" s="9"/>
      <c r="AJB10" s="9"/>
      <c r="AJC10" s="9"/>
      <c r="AJD10" s="9"/>
      <c r="AJE10" s="9"/>
      <c r="AJF10" s="9"/>
      <c r="AJG10" s="9"/>
      <c r="AJH10" s="9"/>
      <c r="AJI10" s="9"/>
      <c r="AJJ10" s="9"/>
      <c r="AJK10" s="9"/>
      <c r="AJL10" s="9"/>
      <c r="AJM10" s="9"/>
      <c r="AJN10" s="9"/>
      <c r="AJO10" s="9"/>
      <c r="AJP10" s="9"/>
      <c r="AJQ10" s="9"/>
      <c r="AJR10" s="9"/>
      <c r="AJS10" s="9"/>
      <c r="AJT10" s="9"/>
      <c r="AJU10" s="9"/>
      <c r="AJV10" s="9"/>
      <c r="AJW10" s="9"/>
      <c r="AJX10" s="9"/>
      <c r="AJY10" s="9"/>
      <c r="AJZ10" s="9"/>
      <c r="AKA10" s="9"/>
      <c r="AKB10" s="9"/>
      <c r="AKC10" s="9"/>
      <c r="AKD10" s="9"/>
      <c r="AKE10" s="9"/>
      <c r="AKF10" s="9"/>
      <c r="AKG10" s="9"/>
      <c r="AKH10" s="9"/>
      <c r="AKI10" s="9"/>
      <c r="AKJ10" s="9"/>
      <c r="AKK10" s="9"/>
      <c r="AKL10" s="9"/>
      <c r="AKM10" s="9"/>
      <c r="AKN10" s="9"/>
      <c r="AKO10" s="9"/>
      <c r="AKP10" s="9"/>
      <c r="AKQ10" s="9"/>
      <c r="AKR10" s="9"/>
      <c r="AKS10" s="9"/>
      <c r="AKT10" s="9"/>
      <c r="AKU10" s="9"/>
      <c r="AKV10" s="9"/>
      <c r="AKW10" s="9"/>
      <c r="AKX10" s="9"/>
      <c r="AKY10" s="9"/>
      <c r="AKZ10" s="9"/>
      <c r="ALA10" s="9"/>
      <c r="ALB10" s="9"/>
      <c r="ALC10" s="9"/>
      <c r="ALD10" s="9"/>
      <c r="ALE10" s="9"/>
      <c r="ALF10" s="9"/>
      <c r="ALG10" s="9"/>
      <c r="ALH10" s="9"/>
      <c r="ALI10" s="9"/>
      <c r="ALJ10" s="9"/>
      <c r="ALK10" s="9"/>
      <c r="ALL10" s="9"/>
      <c r="ALM10" s="9"/>
      <c r="ALN10" s="9"/>
      <c r="ALO10" s="9"/>
      <c r="ALP10" s="9"/>
      <c r="ALQ10" s="9"/>
      <c r="ALR10" s="9"/>
      <c r="ALS10" s="9"/>
      <c r="ALT10" s="9"/>
      <c r="ALU10" s="9"/>
      <c r="ALV10" s="9"/>
      <c r="ALW10" s="9"/>
      <c r="ALX10" s="9"/>
      <c r="ALY10" s="9"/>
      <c r="ALZ10" s="9"/>
      <c r="AMA10" s="9"/>
      <c r="AMB10" s="9"/>
      <c r="AMC10" s="9"/>
      <c r="AMD10" s="9"/>
      <c r="AME10" s="9"/>
      <c r="AMF10" s="9"/>
      <c r="AMG10" s="9"/>
      <c r="AMH10" s="9"/>
      <c r="AMI10" s="9"/>
      <c r="AMJ10" s="9"/>
    </row>
    <row r="11" spans="1:1024" x14ac:dyDescent="0.35">
      <c r="A11" s="2"/>
      <c r="B11" s="9"/>
      <c r="C11" s="2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  <c r="AAA11" s="9"/>
      <c r="AAB11" s="9"/>
      <c r="AAC11" s="9"/>
      <c r="AAD11" s="9"/>
      <c r="AAE11" s="9"/>
      <c r="AAF11" s="9"/>
      <c r="AAG11" s="9"/>
      <c r="AAH11" s="9"/>
      <c r="AAI11" s="9"/>
      <c r="AAJ11" s="9"/>
      <c r="AAK11" s="9"/>
      <c r="AAL11" s="9"/>
      <c r="AAM11" s="9"/>
      <c r="AAN11" s="9"/>
      <c r="AAO11" s="9"/>
      <c r="AAP11" s="9"/>
      <c r="AAQ11" s="9"/>
      <c r="AAR11" s="9"/>
      <c r="AAS11" s="9"/>
      <c r="AAT11" s="9"/>
      <c r="AAU11" s="9"/>
      <c r="AAV11" s="9"/>
      <c r="AAW11" s="9"/>
      <c r="AAX11" s="9"/>
      <c r="AAY11" s="9"/>
      <c r="AAZ11" s="9"/>
      <c r="ABA11" s="9"/>
      <c r="ABB11" s="9"/>
      <c r="ABC11" s="9"/>
      <c r="ABD11" s="9"/>
      <c r="ABE11" s="9"/>
      <c r="ABF11" s="9"/>
      <c r="ABG11" s="9"/>
      <c r="ABH11" s="9"/>
      <c r="ABI11" s="9"/>
      <c r="ABJ11" s="9"/>
      <c r="ABK11" s="9"/>
      <c r="ABL11" s="9"/>
      <c r="ABM11" s="9"/>
      <c r="ABN11" s="9"/>
      <c r="ABO11" s="9"/>
      <c r="ABP11" s="9"/>
      <c r="ABQ11" s="9"/>
      <c r="ABR11" s="9"/>
      <c r="ABS11" s="9"/>
      <c r="ABT11" s="9"/>
      <c r="ABU11" s="9"/>
      <c r="ABV11" s="9"/>
      <c r="ABW11" s="9"/>
      <c r="ABX11" s="9"/>
      <c r="ABY11" s="9"/>
      <c r="ABZ11" s="9"/>
      <c r="ACA11" s="9"/>
      <c r="ACB11" s="9"/>
      <c r="ACC11" s="9"/>
      <c r="ACD11" s="9"/>
      <c r="ACE11" s="9"/>
      <c r="ACF11" s="9"/>
      <c r="ACG11" s="9"/>
      <c r="ACH11" s="9"/>
      <c r="ACI11" s="9"/>
      <c r="ACJ11" s="9"/>
      <c r="ACK11" s="9"/>
      <c r="ACL11" s="9"/>
      <c r="ACM11" s="9"/>
      <c r="ACN11" s="9"/>
      <c r="ACO11" s="9"/>
      <c r="ACP11" s="9"/>
      <c r="ACQ11" s="9"/>
      <c r="ACR11" s="9"/>
      <c r="ACS11" s="9"/>
      <c r="ACT11" s="9"/>
      <c r="ACU11" s="9"/>
      <c r="ACV11" s="9"/>
      <c r="ACW11" s="9"/>
      <c r="ACX11" s="9"/>
      <c r="ACY11" s="9"/>
      <c r="ACZ11" s="9"/>
      <c r="ADA11" s="9"/>
      <c r="ADB11" s="9"/>
      <c r="ADC11" s="9"/>
      <c r="ADD11" s="9"/>
      <c r="ADE11" s="9"/>
      <c r="ADF11" s="9"/>
      <c r="ADG11" s="9"/>
      <c r="ADH11" s="9"/>
      <c r="ADI11" s="9"/>
      <c r="ADJ11" s="9"/>
      <c r="ADK11" s="9"/>
      <c r="ADL11" s="9"/>
      <c r="ADM11" s="9"/>
      <c r="ADN11" s="9"/>
      <c r="ADO11" s="9"/>
      <c r="ADP11" s="9"/>
      <c r="ADQ11" s="9"/>
      <c r="ADR11" s="9"/>
      <c r="ADS11" s="9"/>
      <c r="ADT11" s="9"/>
      <c r="ADU11" s="9"/>
      <c r="ADV11" s="9"/>
      <c r="ADW11" s="9"/>
      <c r="ADX11" s="9"/>
      <c r="ADY11" s="9"/>
      <c r="ADZ11" s="9"/>
      <c r="AEA11" s="9"/>
      <c r="AEB11" s="9"/>
      <c r="AEC11" s="9"/>
      <c r="AED11" s="9"/>
      <c r="AEE11" s="9"/>
      <c r="AEF11" s="9"/>
      <c r="AEG11" s="9"/>
      <c r="AEH11" s="9"/>
      <c r="AEI11" s="9"/>
      <c r="AEJ11" s="9"/>
      <c r="AEK11" s="9"/>
      <c r="AEL11" s="9"/>
      <c r="AEM11" s="9"/>
      <c r="AEN11" s="9"/>
      <c r="AEO11" s="9"/>
      <c r="AEP11" s="9"/>
      <c r="AEQ11" s="9"/>
      <c r="AER11" s="9"/>
      <c r="AES11" s="9"/>
      <c r="AET11" s="9"/>
      <c r="AEU11" s="9"/>
      <c r="AEV11" s="9"/>
      <c r="AEW11" s="9"/>
      <c r="AEX11" s="9"/>
      <c r="AEY11" s="9"/>
      <c r="AEZ11" s="9"/>
      <c r="AFA11" s="9"/>
      <c r="AFB11" s="9"/>
      <c r="AFC11" s="9"/>
      <c r="AFD11" s="9"/>
      <c r="AFE11" s="9"/>
      <c r="AFF11" s="9"/>
      <c r="AFG11" s="9"/>
      <c r="AFH11" s="9"/>
      <c r="AFI11" s="9"/>
      <c r="AFJ11" s="9"/>
      <c r="AFK11" s="9"/>
      <c r="AFL11" s="9"/>
      <c r="AFM11" s="9"/>
      <c r="AFN11" s="9"/>
      <c r="AFO11" s="9"/>
      <c r="AFP11" s="9"/>
      <c r="AFQ11" s="9"/>
      <c r="AFR11" s="9"/>
      <c r="AFS11" s="9"/>
      <c r="AFT11" s="9"/>
      <c r="AFU11" s="9"/>
      <c r="AFV11" s="9"/>
      <c r="AFW11" s="9"/>
      <c r="AFX11" s="9"/>
      <c r="AFY11" s="9"/>
      <c r="AFZ11" s="9"/>
      <c r="AGA11" s="9"/>
      <c r="AGB11" s="9"/>
      <c r="AGC11" s="9"/>
      <c r="AGD11" s="9"/>
      <c r="AGE11" s="9"/>
      <c r="AGF11" s="9"/>
      <c r="AGG11" s="9"/>
      <c r="AGH11" s="9"/>
      <c r="AGI11" s="9"/>
      <c r="AGJ11" s="9"/>
      <c r="AGK11" s="9"/>
      <c r="AGL11" s="9"/>
      <c r="AGM11" s="9"/>
      <c r="AGN11" s="9"/>
      <c r="AGO11" s="9"/>
      <c r="AGP11" s="9"/>
      <c r="AGQ11" s="9"/>
      <c r="AGR11" s="9"/>
      <c r="AGS11" s="9"/>
      <c r="AGT11" s="9"/>
      <c r="AGU11" s="9"/>
      <c r="AGV11" s="9"/>
      <c r="AGW11" s="9"/>
      <c r="AGX11" s="9"/>
      <c r="AGY11" s="9"/>
      <c r="AGZ11" s="9"/>
      <c r="AHA11" s="9"/>
      <c r="AHB11" s="9"/>
      <c r="AHC11" s="9"/>
      <c r="AHD11" s="9"/>
      <c r="AHE11" s="9"/>
      <c r="AHF11" s="9"/>
      <c r="AHG11" s="9"/>
      <c r="AHH11" s="9"/>
      <c r="AHI11" s="9"/>
      <c r="AHJ11" s="9"/>
      <c r="AHK11" s="9"/>
      <c r="AHL11" s="9"/>
      <c r="AHM11" s="9"/>
      <c r="AHN11" s="9"/>
      <c r="AHO11" s="9"/>
      <c r="AHP11" s="9"/>
      <c r="AHQ11" s="9"/>
      <c r="AHR11" s="9"/>
      <c r="AHS11" s="9"/>
      <c r="AHT11" s="9"/>
      <c r="AHU11" s="9"/>
      <c r="AHV11" s="9"/>
      <c r="AHW11" s="9"/>
      <c r="AHX11" s="9"/>
      <c r="AHY11" s="9"/>
      <c r="AHZ11" s="9"/>
      <c r="AIA11" s="9"/>
      <c r="AIB11" s="9"/>
      <c r="AIC11" s="9"/>
      <c r="AID11" s="9"/>
      <c r="AIE11" s="9"/>
      <c r="AIF11" s="9"/>
      <c r="AIG11" s="9"/>
      <c r="AIH11" s="9"/>
      <c r="AII11" s="9"/>
      <c r="AIJ11" s="9"/>
      <c r="AIK11" s="9"/>
      <c r="AIL11" s="9"/>
      <c r="AIM11" s="9"/>
      <c r="AIN11" s="9"/>
      <c r="AIO11" s="9"/>
      <c r="AIP11" s="9"/>
      <c r="AIQ11" s="9"/>
      <c r="AIR11" s="9"/>
      <c r="AIS11" s="9"/>
      <c r="AIT11" s="9"/>
      <c r="AIU11" s="9"/>
      <c r="AIV11" s="9"/>
      <c r="AIW11" s="9"/>
      <c r="AIX11" s="9"/>
      <c r="AIY11" s="9"/>
      <c r="AIZ11" s="9"/>
      <c r="AJA11" s="9"/>
      <c r="AJB11" s="9"/>
      <c r="AJC11" s="9"/>
      <c r="AJD11" s="9"/>
      <c r="AJE11" s="9"/>
      <c r="AJF11" s="9"/>
      <c r="AJG11" s="9"/>
      <c r="AJH11" s="9"/>
      <c r="AJI11" s="9"/>
      <c r="AJJ11" s="9"/>
      <c r="AJK11" s="9"/>
      <c r="AJL11" s="9"/>
      <c r="AJM11" s="9"/>
      <c r="AJN11" s="9"/>
      <c r="AJO11" s="9"/>
      <c r="AJP11" s="9"/>
      <c r="AJQ11" s="9"/>
      <c r="AJR11" s="9"/>
      <c r="AJS11" s="9"/>
      <c r="AJT11" s="9"/>
      <c r="AJU11" s="9"/>
      <c r="AJV11" s="9"/>
      <c r="AJW11" s="9"/>
      <c r="AJX11" s="9"/>
      <c r="AJY11" s="9"/>
      <c r="AJZ11" s="9"/>
      <c r="AKA11" s="9"/>
      <c r="AKB11" s="9"/>
      <c r="AKC11" s="9"/>
      <c r="AKD11" s="9"/>
      <c r="AKE11" s="9"/>
      <c r="AKF11" s="9"/>
      <c r="AKG11" s="9"/>
      <c r="AKH11" s="9"/>
      <c r="AKI11" s="9"/>
      <c r="AKJ11" s="9"/>
      <c r="AKK11" s="9"/>
      <c r="AKL11" s="9"/>
      <c r="AKM11" s="9"/>
      <c r="AKN11" s="9"/>
      <c r="AKO11" s="9"/>
      <c r="AKP11" s="9"/>
      <c r="AKQ11" s="9"/>
      <c r="AKR11" s="9"/>
      <c r="AKS11" s="9"/>
      <c r="AKT11" s="9"/>
      <c r="AKU11" s="9"/>
      <c r="AKV11" s="9"/>
      <c r="AKW11" s="9"/>
      <c r="AKX11" s="9"/>
      <c r="AKY11" s="9"/>
      <c r="AKZ11" s="9"/>
      <c r="ALA11" s="9"/>
      <c r="ALB11" s="9"/>
      <c r="ALC11" s="9"/>
      <c r="ALD11" s="9"/>
      <c r="ALE11" s="9"/>
      <c r="ALF11" s="9"/>
      <c r="ALG11" s="9"/>
      <c r="ALH11" s="9"/>
      <c r="ALI11" s="9"/>
      <c r="ALJ11" s="9"/>
      <c r="ALK11" s="9"/>
      <c r="ALL11" s="9"/>
      <c r="ALM11" s="9"/>
      <c r="ALN11" s="9"/>
      <c r="ALO11" s="9"/>
      <c r="ALP11" s="9"/>
      <c r="ALQ11" s="9"/>
      <c r="ALR11" s="9"/>
      <c r="ALS11" s="9"/>
      <c r="ALT11" s="9"/>
      <c r="ALU11" s="9"/>
      <c r="ALV11" s="9"/>
      <c r="ALW11" s="9"/>
      <c r="ALX11" s="9"/>
      <c r="ALY11" s="9"/>
      <c r="ALZ11" s="9"/>
      <c r="AMA11" s="9"/>
      <c r="AMB11" s="9"/>
      <c r="AMC11" s="9"/>
      <c r="AMD11" s="9"/>
      <c r="AME11" s="9"/>
      <c r="AMF11" s="9"/>
      <c r="AMG11" s="9"/>
      <c r="AMH11" s="9"/>
      <c r="AMI11" s="9"/>
      <c r="AMJ11" s="9"/>
    </row>
    <row r="12" spans="1:1024" x14ac:dyDescent="0.35">
      <c r="A12" s="2"/>
      <c r="B12" s="9"/>
      <c r="C12" s="2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  <c r="AAA12" s="9"/>
      <c r="AAB12" s="9"/>
      <c r="AAC12" s="9"/>
      <c r="AAD12" s="9"/>
      <c r="AAE12" s="9"/>
      <c r="AAF12" s="9"/>
      <c r="AAG12" s="9"/>
      <c r="AAH12" s="9"/>
      <c r="AAI12" s="9"/>
      <c r="AAJ12" s="9"/>
      <c r="AAK12" s="9"/>
      <c r="AAL12" s="9"/>
      <c r="AAM12" s="9"/>
      <c r="AAN12" s="9"/>
      <c r="AAO12" s="9"/>
      <c r="AAP12" s="9"/>
      <c r="AAQ12" s="9"/>
      <c r="AAR12" s="9"/>
      <c r="AAS12" s="9"/>
      <c r="AAT12" s="9"/>
      <c r="AAU12" s="9"/>
      <c r="AAV12" s="9"/>
      <c r="AAW12" s="9"/>
      <c r="AAX12" s="9"/>
      <c r="AAY12" s="9"/>
      <c r="AAZ12" s="9"/>
      <c r="ABA12" s="9"/>
      <c r="ABB12" s="9"/>
      <c r="ABC12" s="9"/>
      <c r="ABD12" s="9"/>
      <c r="ABE12" s="9"/>
      <c r="ABF12" s="9"/>
      <c r="ABG12" s="9"/>
      <c r="ABH12" s="9"/>
      <c r="ABI12" s="9"/>
      <c r="ABJ12" s="9"/>
      <c r="ABK12" s="9"/>
      <c r="ABL12" s="9"/>
      <c r="ABM12" s="9"/>
      <c r="ABN12" s="9"/>
      <c r="ABO12" s="9"/>
      <c r="ABP12" s="9"/>
      <c r="ABQ12" s="9"/>
      <c r="ABR12" s="9"/>
      <c r="ABS12" s="9"/>
      <c r="ABT12" s="9"/>
      <c r="ABU12" s="9"/>
      <c r="ABV12" s="9"/>
      <c r="ABW12" s="9"/>
      <c r="ABX12" s="9"/>
      <c r="ABY12" s="9"/>
      <c r="ABZ12" s="9"/>
      <c r="ACA12" s="9"/>
      <c r="ACB12" s="9"/>
      <c r="ACC12" s="9"/>
      <c r="ACD12" s="9"/>
      <c r="ACE12" s="9"/>
      <c r="ACF12" s="9"/>
      <c r="ACG12" s="9"/>
      <c r="ACH12" s="9"/>
      <c r="ACI12" s="9"/>
      <c r="ACJ12" s="9"/>
      <c r="ACK12" s="9"/>
      <c r="ACL12" s="9"/>
      <c r="ACM12" s="9"/>
      <c r="ACN12" s="9"/>
      <c r="ACO12" s="9"/>
      <c r="ACP12" s="9"/>
      <c r="ACQ12" s="9"/>
      <c r="ACR12" s="9"/>
      <c r="ACS12" s="9"/>
      <c r="ACT12" s="9"/>
      <c r="ACU12" s="9"/>
      <c r="ACV12" s="9"/>
      <c r="ACW12" s="9"/>
      <c r="ACX12" s="9"/>
      <c r="ACY12" s="9"/>
      <c r="ACZ12" s="9"/>
      <c r="ADA12" s="9"/>
      <c r="ADB12" s="9"/>
      <c r="ADC12" s="9"/>
      <c r="ADD12" s="9"/>
      <c r="ADE12" s="9"/>
      <c r="ADF12" s="9"/>
      <c r="ADG12" s="9"/>
      <c r="ADH12" s="9"/>
      <c r="ADI12" s="9"/>
      <c r="ADJ12" s="9"/>
      <c r="ADK12" s="9"/>
      <c r="ADL12" s="9"/>
      <c r="ADM12" s="9"/>
      <c r="ADN12" s="9"/>
      <c r="ADO12" s="9"/>
      <c r="ADP12" s="9"/>
      <c r="ADQ12" s="9"/>
      <c r="ADR12" s="9"/>
      <c r="ADS12" s="9"/>
      <c r="ADT12" s="9"/>
      <c r="ADU12" s="9"/>
      <c r="ADV12" s="9"/>
      <c r="ADW12" s="9"/>
      <c r="ADX12" s="9"/>
      <c r="ADY12" s="9"/>
      <c r="ADZ12" s="9"/>
      <c r="AEA12" s="9"/>
      <c r="AEB12" s="9"/>
      <c r="AEC12" s="9"/>
      <c r="AED12" s="9"/>
      <c r="AEE12" s="9"/>
      <c r="AEF12" s="9"/>
      <c r="AEG12" s="9"/>
      <c r="AEH12" s="9"/>
      <c r="AEI12" s="9"/>
      <c r="AEJ12" s="9"/>
      <c r="AEK12" s="9"/>
      <c r="AEL12" s="9"/>
      <c r="AEM12" s="9"/>
      <c r="AEN12" s="9"/>
      <c r="AEO12" s="9"/>
      <c r="AEP12" s="9"/>
      <c r="AEQ12" s="9"/>
      <c r="AER12" s="9"/>
      <c r="AES12" s="9"/>
      <c r="AET12" s="9"/>
      <c r="AEU12" s="9"/>
      <c r="AEV12" s="9"/>
      <c r="AEW12" s="9"/>
      <c r="AEX12" s="9"/>
      <c r="AEY12" s="9"/>
      <c r="AEZ12" s="9"/>
      <c r="AFA12" s="9"/>
      <c r="AFB12" s="9"/>
      <c r="AFC12" s="9"/>
      <c r="AFD12" s="9"/>
      <c r="AFE12" s="9"/>
      <c r="AFF12" s="9"/>
      <c r="AFG12" s="9"/>
      <c r="AFH12" s="9"/>
      <c r="AFI12" s="9"/>
      <c r="AFJ12" s="9"/>
      <c r="AFK12" s="9"/>
      <c r="AFL12" s="9"/>
      <c r="AFM12" s="9"/>
      <c r="AFN12" s="9"/>
      <c r="AFO12" s="9"/>
      <c r="AFP12" s="9"/>
      <c r="AFQ12" s="9"/>
      <c r="AFR12" s="9"/>
      <c r="AFS12" s="9"/>
      <c r="AFT12" s="9"/>
      <c r="AFU12" s="9"/>
      <c r="AFV12" s="9"/>
      <c r="AFW12" s="9"/>
      <c r="AFX12" s="9"/>
      <c r="AFY12" s="9"/>
      <c r="AFZ12" s="9"/>
      <c r="AGA12" s="9"/>
      <c r="AGB12" s="9"/>
      <c r="AGC12" s="9"/>
      <c r="AGD12" s="9"/>
      <c r="AGE12" s="9"/>
      <c r="AGF12" s="9"/>
      <c r="AGG12" s="9"/>
      <c r="AGH12" s="9"/>
      <c r="AGI12" s="9"/>
      <c r="AGJ12" s="9"/>
      <c r="AGK12" s="9"/>
      <c r="AGL12" s="9"/>
      <c r="AGM12" s="9"/>
      <c r="AGN12" s="9"/>
      <c r="AGO12" s="9"/>
      <c r="AGP12" s="9"/>
      <c r="AGQ12" s="9"/>
      <c r="AGR12" s="9"/>
      <c r="AGS12" s="9"/>
      <c r="AGT12" s="9"/>
      <c r="AGU12" s="9"/>
      <c r="AGV12" s="9"/>
      <c r="AGW12" s="9"/>
      <c r="AGX12" s="9"/>
      <c r="AGY12" s="9"/>
      <c r="AGZ12" s="9"/>
      <c r="AHA12" s="9"/>
      <c r="AHB12" s="9"/>
      <c r="AHC12" s="9"/>
      <c r="AHD12" s="9"/>
      <c r="AHE12" s="9"/>
      <c r="AHF12" s="9"/>
      <c r="AHG12" s="9"/>
      <c r="AHH12" s="9"/>
      <c r="AHI12" s="9"/>
      <c r="AHJ12" s="9"/>
      <c r="AHK12" s="9"/>
      <c r="AHL12" s="9"/>
      <c r="AHM12" s="9"/>
      <c r="AHN12" s="9"/>
      <c r="AHO12" s="9"/>
      <c r="AHP12" s="9"/>
      <c r="AHQ12" s="9"/>
      <c r="AHR12" s="9"/>
      <c r="AHS12" s="9"/>
      <c r="AHT12" s="9"/>
      <c r="AHU12" s="9"/>
      <c r="AHV12" s="9"/>
      <c r="AHW12" s="9"/>
      <c r="AHX12" s="9"/>
      <c r="AHY12" s="9"/>
      <c r="AHZ12" s="9"/>
      <c r="AIA12" s="9"/>
      <c r="AIB12" s="9"/>
      <c r="AIC12" s="9"/>
      <c r="AID12" s="9"/>
      <c r="AIE12" s="9"/>
      <c r="AIF12" s="9"/>
      <c r="AIG12" s="9"/>
      <c r="AIH12" s="9"/>
      <c r="AII12" s="9"/>
      <c r="AIJ12" s="9"/>
      <c r="AIK12" s="9"/>
      <c r="AIL12" s="9"/>
      <c r="AIM12" s="9"/>
      <c r="AIN12" s="9"/>
      <c r="AIO12" s="9"/>
      <c r="AIP12" s="9"/>
      <c r="AIQ12" s="9"/>
      <c r="AIR12" s="9"/>
      <c r="AIS12" s="9"/>
      <c r="AIT12" s="9"/>
      <c r="AIU12" s="9"/>
      <c r="AIV12" s="9"/>
      <c r="AIW12" s="9"/>
      <c r="AIX12" s="9"/>
      <c r="AIY12" s="9"/>
      <c r="AIZ12" s="9"/>
      <c r="AJA12" s="9"/>
      <c r="AJB12" s="9"/>
      <c r="AJC12" s="9"/>
      <c r="AJD12" s="9"/>
      <c r="AJE12" s="9"/>
      <c r="AJF12" s="9"/>
      <c r="AJG12" s="9"/>
      <c r="AJH12" s="9"/>
      <c r="AJI12" s="9"/>
      <c r="AJJ12" s="9"/>
      <c r="AJK12" s="9"/>
      <c r="AJL12" s="9"/>
      <c r="AJM12" s="9"/>
      <c r="AJN12" s="9"/>
      <c r="AJO12" s="9"/>
      <c r="AJP12" s="9"/>
      <c r="AJQ12" s="9"/>
      <c r="AJR12" s="9"/>
      <c r="AJS12" s="9"/>
      <c r="AJT12" s="9"/>
      <c r="AJU12" s="9"/>
      <c r="AJV12" s="9"/>
      <c r="AJW12" s="9"/>
      <c r="AJX12" s="9"/>
      <c r="AJY12" s="9"/>
      <c r="AJZ12" s="9"/>
      <c r="AKA12" s="9"/>
      <c r="AKB12" s="9"/>
      <c r="AKC12" s="9"/>
      <c r="AKD12" s="9"/>
      <c r="AKE12" s="9"/>
      <c r="AKF12" s="9"/>
      <c r="AKG12" s="9"/>
      <c r="AKH12" s="9"/>
      <c r="AKI12" s="9"/>
      <c r="AKJ12" s="9"/>
      <c r="AKK12" s="9"/>
      <c r="AKL12" s="9"/>
      <c r="AKM12" s="9"/>
      <c r="AKN12" s="9"/>
      <c r="AKO12" s="9"/>
      <c r="AKP12" s="9"/>
      <c r="AKQ12" s="9"/>
      <c r="AKR12" s="9"/>
      <c r="AKS12" s="9"/>
      <c r="AKT12" s="9"/>
      <c r="AKU12" s="9"/>
      <c r="AKV12" s="9"/>
      <c r="AKW12" s="9"/>
      <c r="AKX12" s="9"/>
      <c r="AKY12" s="9"/>
      <c r="AKZ12" s="9"/>
      <c r="ALA12" s="9"/>
      <c r="ALB12" s="9"/>
      <c r="ALC12" s="9"/>
      <c r="ALD12" s="9"/>
      <c r="ALE12" s="9"/>
      <c r="ALF12" s="9"/>
      <c r="ALG12" s="9"/>
      <c r="ALH12" s="9"/>
      <c r="ALI12" s="9"/>
      <c r="ALJ12" s="9"/>
      <c r="ALK12" s="9"/>
      <c r="ALL12" s="9"/>
      <c r="ALM12" s="9"/>
      <c r="ALN12" s="9"/>
      <c r="ALO12" s="9"/>
      <c r="ALP12" s="9"/>
      <c r="ALQ12" s="9"/>
      <c r="ALR12" s="9"/>
      <c r="ALS12" s="9"/>
      <c r="ALT12" s="9"/>
      <c r="ALU12" s="9"/>
      <c r="ALV12" s="9"/>
      <c r="ALW12" s="9"/>
      <c r="ALX12" s="9"/>
      <c r="ALY12" s="9"/>
      <c r="ALZ12" s="9"/>
      <c r="AMA12" s="9"/>
      <c r="AMB12" s="9"/>
      <c r="AMC12" s="9"/>
      <c r="AMD12" s="9"/>
      <c r="AME12" s="9"/>
      <c r="AMF12" s="9"/>
      <c r="AMG12" s="9"/>
      <c r="AMH12" s="9"/>
      <c r="AMI12" s="9"/>
      <c r="AMJ12" s="9"/>
    </row>
    <row r="13" spans="1:1024" x14ac:dyDescent="0.35">
      <c r="A13" s="2"/>
      <c r="B13" s="9"/>
      <c r="C13" s="2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  <c r="AAA13" s="9"/>
      <c r="AAB13" s="9"/>
      <c r="AAC13" s="9"/>
      <c r="AAD13" s="9"/>
      <c r="AAE13" s="9"/>
      <c r="AAF13" s="9"/>
      <c r="AAG13" s="9"/>
      <c r="AAH13" s="9"/>
      <c r="AAI13" s="9"/>
      <c r="AAJ13" s="9"/>
      <c r="AAK13" s="9"/>
      <c r="AAL13" s="9"/>
      <c r="AAM13" s="9"/>
      <c r="AAN13" s="9"/>
      <c r="AAO13" s="9"/>
      <c r="AAP13" s="9"/>
      <c r="AAQ13" s="9"/>
      <c r="AAR13" s="9"/>
      <c r="AAS13" s="9"/>
      <c r="AAT13" s="9"/>
      <c r="AAU13" s="9"/>
      <c r="AAV13" s="9"/>
      <c r="AAW13" s="9"/>
      <c r="AAX13" s="9"/>
      <c r="AAY13" s="9"/>
      <c r="AAZ13" s="9"/>
      <c r="ABA13" s="9"/>
      <c r="ABB13" s="9"/>
      <c r="ABC13" s="9"/>
      <c r="ABD13" s="9"/>
      <c r="ABE13" s="9"/>
      <c r="ABF13" s="9"/>
      <c r="ABG13" s="9"/>
      <c r="ABH13" s="9"/>
      <c r="ABI13" s="9"/>
      <c r="ABJ13" s="9"/>
      <c r="ABK13" s="9"/>
      <c r="ABL13" s="9"/>
      <c r="ABM13" s="9"/>
      <c r="ABN13" s="9"/>
      <c r="ABO13" s="9"/>
      <c r="ABP13" s="9"/>
      <c r="ABQ13" s="9"/>
      <c r="ABR13" s="9"/>
      <c r="ABS13" s="9"/>
      <c r="ABT13" s="9"/>
      <c r="ABU13" s="9"/>
      <c r="ABV13" s="9"/>
      <c r="ABW13" s="9"/>
      <c r="ABX13" s="9"/>
      <c r="ABY13" s="9"/>
      <c r="ABZ13" s="9"/>
      <c r="ACA13" s="9"/>
      <c r="ACB13" s="9"/>
      <c r="ACC13" s="9"/>
      <c r="ACD13" s="9"/>
      <c r="ACE13" s="9"/>
      <c r="ACF13" s="9"/>
      <c r="ACG13" s="9"/>
      <c r="ACH13" s="9"/>
      <c r="ACI13" s="9"/>
      <c r="ACJ13" s="9"/>
      <c r="ACK13" s="9"/>
      <c r="ACL13" s="9"/>
      <c r="ACM13" s="9"/>
      <c r="ACN13" s="9"/>
      <c r="ACO13" s="9"/>
      <c r="ACP13" s="9"/>
      <c r="ACQ13" s="9"/>
      <c r="ACR13" s="9"/>
      <c r="ACS13" s="9"/>
      <c r="ACT13" s="9"/>
      <c r="ACU13" s="9"/>
      <c r="ACV13" s="9"/>
      <c r="ACW13" s="9"/>
      <c r="ACX13" s="9"/>
      <c r="ACY13" s="9"/>
      <c r="ACZ13" s="9"/>
      <c r="ADA13" s="9"/>
      <c r="ADB13" s="9"/>
      <c r="ADC13" s="9"/>
      <c r="ADD13" s="9"/>
      <c r="ADE13" s="9"/>
      <c r="ADF13" s="9"/>
      <c r="ADG13" s="9"/>
      <c r="ADH13" s="9"/>
      <c r="ADI13" s="9"/>
      <c r="ADJ13" s="9"/>
      <c r="ADK13" s="9"/>
      <c r="ADL13" s="9"/>
      <c r="ADM13" s="9"/>
      <c r="ADN13" s="9"/>
      <c r="ADO13" s="9"/>
      <c r="ADP13" s="9"/>
      <c r="ADQ13" s="9"/>
      <c r="ADR13" s="9"/>
      <c r="ADS13" s="9"/>
      <c r="ADT13" s="9"/>
      <c r="ADU13" s="9"/>
      <c r="ADV13" s="9"/>
      <c r="ADW13" s="9"/>
      <c r="ADX13" s="9"/>
      <c r="ADY13" s="9"/>
      <c r="ADZ13" s="9"/>
      <c r="AEA13" s="9"/>
      <c r="AEB13" s="9"/>
      <c r="AEC13" s="9"/>
      <c r="AED13" s="9"/>
      <c r="AEE13" s="9"/>
      <c r="AEF13" s="9"/>
      <c r="AEG13" s="9"/>
      <c r="AEH13" s="9"/>
      <c r="AEI13" s="9"/>
      <c r="AEJ13" s="9"/>
      <c r="AEK13" s="9"/>
      <c r="AEL13" s="9"/>
      <c r="AEM13" s="9"/>
      <c r="AEN13" s="9"/>
      <c r="AEO13" s="9"/>
      <c r="AEP13" s="9"/>
      <c r="AEQ13" s="9"/>
      <c r="AER13" s="9"/>
      <c r="AES13" s="9"/>
      <c r="AET13" s="9"/>
      <c r="AEU13" s="9"/>
      <c r="AEV13" s="9"/>
      <c r="AEW13" s="9"/>
      <c r="AEX13" s="9"/>
      <c r="AEY13" s="9"/>
      <c r="AEZ13" s="9"/>
      <c r="AFA13" s="9"/>
      <c r="AFB13" s="9"/>
      <c r="AFC13" s="9"/>
      <c r="AFD13" s="9"/>
      <c r="AFE13" s="9"/>
      <c r="AFF13" s="9"/>
      <c r="AFG13" s="9"/>
      <c r="AFH13" s="9"/>
      <c r="AFI13" s="9"/>
      <c r="AFJ13" s="9"/>
      <c r="AFK13" s="9"/>
      <c r="AFL13" s="9"/>
      <c r="AFM13" s="9"/>
      <c r="AFN13" s="9"/>
      <c r="AFO13" s="9"/>
      <c r="AFP13" s="9"/>
      <c r="AFQ13" s="9"/>
      <c r="AFR13" s="9"/>
      <c r="AFS13" s="9"/>
      <c r="AFT13" s="9"/>
      <c r="AFU13" s="9"/>
      <c r="AFV13" s="9"/>
      <c r="AFW13" s="9"/>
      <c r="AFX13" s="9"/>
      <c r="AFY13" s="9"/>
      <c r="AFZ13" s="9"/>
      <c r="AGA13" s="9"/>
      <c r="AGB13" s="9"/>
      <c r="AGC13" s="9"/>
      <c r="AGD13" s="9"/>
      <c r="AGE13" s="9"/>
      <c r="AGF13" s="9"/>
      <c r="AGG13" s="9"/>
      <c r="AGH13" s="9"/>
      <c r="AGI13" s="9"/>
      <c r="AGJ13" s="9"/>
      <c r="AGK13" s="9"/>
      <c r="AGL13" s="9"/>
      <c r="AGM13" s="9"/>
      <c r="AGN13" s="9"/>
      <c r="AGO13" s="9"/>
      <c r="AGP13" s="9"/>
      <c r="AGQ13" s="9"/>
      <c r="AGR13" s="9"/>
      <c r="AGS13" s="9"/>
      <c r="AGT13" s="9"/>
      <c r="AGU13" s="9"/>
      <c r="AGV13" s="9"/>
      <c r="AGW13" s="9"/>
      <c r="AGX13" s="9"/>
      <c r="AGY13" s="9"/>
      <c r="AGZ13" s="9"/>
      <c r="AHA13" s="9"/>
      <c r="AHB13" s="9"/>
      <c r="AHC13" s="9"/>
      <c r="AHD13" s="9"/>
      <c r="AHE13" s="9"/>
      <c r="AHF13" s="9"/>
      <c r="AHG13" s="9"/>
      <c r="AHH13" s="9"/>
      <c r="AHI13" s="9"/>
      <c r="AHJ13" s="9"/>
      <c r="AHK13" s="9"/>
      <c r="AHL13" s="9"/>
      <c r="AHM13" s="9"/>
      <c r="AHN13" s="9"/>
      <c r="AHO13" s="9"/>
      <c r="AHP13" s="9"/>
      <c r="AHQ13" s="9"/>
      <c r="AHR13" s="9"/>
      <c r="AHS13" s="9"/>
      <c r="AHT13" s="9"/>
      <c r="AHU13" s="9"/>
      <c r="AHV13" s="9"/>
      <c r="AHW13" s="9"/>
      <c r="AHX13" s="9"/>
      <c r="AHY13" s="9"/>
      <c r="AHZ13" s="9"/>
      <c r="AIA13" s="9"/>
      <c r="AIB13" s="9"/>
      <c r="AIC13" s="9"/>
      <c r="AID13" s="9"/>
      <c r="AIE13" s="9"/>
      <c r="AIF13" s="9"/>
      <c r="AIG13" s="9"/>
      <c r="AIH13" s="9"/>
      <c r="AII13" s="9"/>
      <c r="AIJ13" s="9"/>
      <c r="AIK13" s="9"/>
      <c r="AIL13" s="9"/>
      <c r="AIM13" s="9"/>
      <c r="AIN13" s="9"/>
      <c r="AIO13" s="9"/>
      <c r="AIP13" s="9"/>
      <c r="AIQ13" s="9"/>
      <c r="AIR13" s="9"/>
      <c r="AIS13" s="9"/>
      <c r="AIT13" s="9"/>
      <c r="AIU13" s="9"/>
      <c r="AIV13" s="9"/>
      <c r="AIW13" s="9"/>
      <c r="AIX13" s="9"/>
      <c r="AIY13" s="9"/>
      <c r="AIZ13" s="9"/>
      <c r="AJA13" s="9"/>
      <c r="AJB13" s="9"/>
      <c r="AJC13" s="9"/>
      <c r="AJD13" s="9"/>
      <c r="AJE13" s="9"/>
      <c r="AJF13" s="9"/>
      <c r="AJG13" s="9"/>
      <c r="AJH13" s="9"/>
      <c r="AJI13" s="9"/>
      <c r="AJJ13" s="9"/>
      <c r="AJK13" s="9"/>
      <c r="AJL13" s="9"/>
      <c r="AJM13" s="9"/>
      <c r="AJN13" s="9"/>
      <c r="AJO13" s="9"/>
      <c r="AJP13" s="9"/>
      <c r="AJQ13" s="9"/>
      <c r="AJR13" s="9"/>
      <c r="AJS13" s="9"/>
      <c r="AJT13" s="9"/>
      <c r="AJU13" s="9"/>
      <c r="AJV13" s="9"/>
      <c r="AJW13" s="9"/>
      <c r="AJX13" s="9"/>
      <c r="AJY13" s="9"/>
      <c r="AJZ13" s="9"/>
      <c r="AKA13" s="9"/>
      <c r="AKB13" s="9"/>
      <c r="AKC13" s="9"/>
      <c r="AKD13" s="9"/>
      <c r="AKE13" s="9"/>
      <c r="AKF13" s="9"/>
      <c r="AKG13" s="9"/>
      <c r="AKH13" s="9"/>
      <c r="AKI13" s="9"/>
      <c r="AKJ13" s="9"/>
      <c r="AKK13" s="9"/>
      <c r="AKL13" s="9"/>
      <c r="AKM13" s="9"/>
      <c r="AKN13" s="9"/>
      <c r="AKO13" s="9"/>
      <c r="AKP13" s="9"/>
      <c r="AKQ13" s="9"/>
      <c r="AKR13" s="9"/>
      <c r="AKS13" s="9"/>
      <c r="AKT13" s="9"/>
      <c r="AKU13" s="9"/>
      <c r="AKV13" s="9"/>
      <c r="AKW13" s="9"/>
      <c r="AKX13" s="9"/>
      <c r="AKY13" s="9"/>
      <c r="AKZ13" s="9"/>
      <c r="ALA13" s="9"/>
      <c r="ALB13" s="9"/>
      <c r="ALC13" s="9"/>
      <c r="ALD13" s="9"/>
      <c r="ALE13" s="9"/>
      <c r="ALF13" s="9"/>
      <c r="ALG13" s="9"/>
      <c r="ALH13" s="9"/>
      <c r="ALI13" s="9"/>
      <c r="ALJ13" s="9"/>
      <c r="ALK13" s="9"/>
      <c r="ALL13" s="9"/>
      <c r="ALM13" s="9"/>
      <c r="ALN13" s="9"/>
      <c r="ALO13" s="9"/>
      <c r="ALP13" s="9"/>
      <c r="ALQ13" s="9"/>
      <c r="ALR13" s="9"/>
      <c r="ALS13" s="9"/>
      <c r="ALT13" s="9"/>
      <c r="ALU13" s="9"/>
      <c r="ALV13" s="9"/>
      <c r="ALW13" s="9"/>
      <c r="ALX13" s="9"/>
      <c r="ALY13" s="9"/>
      <c r="ALZ13" s="9"/>
      <c r="AMA13" s="9"/>
      <c r="AMB13" s="9"/>
      <c r="AMC13" s="9"/>
      <c r="AMD13" s="9"/>
      <c r="AME13" s="9"/>
      <c r="AMF13" s="9"/>
      <c r="AMG13" s="9"/>
      <c r="AMH13" s="9"/>
      <c r="AMI13" s="9"/>
      <c r="AMJ13" s="9"/>
    </row>
    <row r="14" spans="1:1024" x14ac:dyDescent="0.35">
      <c r="A14" s="2"/>
      <c r="B14" s="9"/>
      <c r="C14" s="2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  <c r="AAA14" s="9"/>
      <c r="AAB14" s="9"/>
      <c r="AAC14" s="9"/>
      <c r="AAD14" s="9"/>
      <c r="AAE14" s="9"/>
      <c r="AAF14" s="9"/>
      <c r="AAG14" s="9"/>
      <c r="AAH14" s="9"/>
      <c r="AAI14" s="9"/>
      <c r="AAJ14" s="9"/>
      <c r="AAK14" s="9"/>
      <c r="AAL14" s="9"/>
      <c r="AAM14" s="9"/>
      <c r="AAN14" s="9"/>
      <c r="AAO14" s="9"/>
      <c r="AAP14" s="9"/>
      <c r="AAQ14" s="9"/>
      <c r="AAR14" s="9"/>
      <c r="AAS14" s="9"/>
      <c r="AAT14" s="9"/>
      <c r="AAU14" s="9"/>
      <c r="AAV14" s="9"/>
      <c r="AAW14" s="9"/>
      <c r="AAX14" s="9"/>
      <c r="AAY14" s="9"/>
      <c r="AAZ14" s="9"/>
      <c r="ABA14" s="9"/>
      <c r="ABB14" s="9"/>
      <c r="ABC14" s="9"/>
      <c r="ABD14" s="9"/>
      <c r="ABE14" s="9"/>
      <c r="ABF14" s="9"/>
      <c r="ABG14" s="9"/>
      <c r="ABH14" s="9"/>
      <c r="ABI14" s="9"/>
      <c r="ABJ14" s="9"/>
      <c r="ABK14" s="9"/>
      <c r="ABL14" s="9"/>
      <c r="ABM14" s="9"/>
      <c r="ABN14" s="9"/>
      <c r="ABO14" s="9"/>
      <c r="ABP14" s="9"/>
      <c r="ABQ14" s="9"/>
      <c r="ABR14" s="9"/>
      <c r="ABS14" s="9"/>
      <c r="ABT14" s="9"/>
      <c r="ABU14" s="9"/>
      <c r="ABV14" s="9"/>
      <c r="ABW14" s="9"/>
      <c r="ABX14" s="9"/>
      <c r="ABY14" s="9"/>
      <c r="ABZ14" s="9"/>
      <c r="ACA14" s="9"/>
      <c r="ACB14" s="9"/>
      <c r="ACC14" s="9"/>
      <c r="ACD14" s="9"/>
      <c r="ACE14" s="9"/>
      <c r="ACF14" s="9"/>
      <c r="ACG14" s="9"/>
      <c r="ACH14" s="9"/>
      <c r="ACI14" s="9"/>
      <c r="ACJ14" s="9"/>
      <c r="ACK14" s="9"/>
      <c r="ACL14" s="9"/>
      <c r="ACM14" s="9"/>
      <c r="ACN14" s="9"/>
      <c r="ACO14" s="9"/>
      <c r="ACP14" s="9"/>
      <c r="ACQ14" s="9"/>
      <c r="ACR14" s="9"/>
      <c r="ACS14" s="9"/>
      <c r="ACT14" s="9"/>
      <c r="ACU14" s="9"/>
      <c r="ACV14" s="9"/>
      <c r="ACW14" s="9"/>
      <c r="ACX14" s="9"/>
      <c r="ACY14" s="9"/>
      <c r="ACZ14" s="9"/>
      <c r="ADA14" s="9"/>
      <c r="ADB14" s="9"/>
      <c r="ADC14" s="9"/>
      <c r="ADD14" s="9"/>
      <c r="ADE14" s="9"/>
      <c r="ADF14" s="9"/>
      <c r="ADG14" s="9"/>
      <c r="ADH14" s="9"/>
      <c r="ADI14" s="9"/>
      <c r="ADJ14" s="9"/>
      <c r="ADK14" s="9"/>
      <c r="ADL14" s="9"/>
      <c r="ADM14" s="9"/>
      <c r="ADN14" s="9"/>
      <c r="ADO14" s="9"/>
      <c r="ADP14" s="9"/>
      <c r="ADQ14" s="9"/>
      <c r="ADR14" s="9"/>
      <c r="ADS14" s="9"/>
      <c r="ADT14" s="9"/>
      <c r="ADU14" s="9"/>
      <c r="ADV14" s="9"/>
      <c r="ADW14" s="9"/>
      <c r="ADX14" s="9"/>
      <c r="ADY14" s="9"/>
      <c r="ADZ14" s="9"/>
      <c r="AEA14" s="9"/>
      <c r="AEB14" s="9"/>
      <c r="AEC14" s="9"/>
      <c r="AED14" s="9"/>
      <c r="AEE14" s="9"/>
      <c r="AEF14" s="9"/>
      <c r="AEG14" s="9"/>
      <c r="AEH14" s="9"/>
      <c r="AEI14" s="9"/>
      <c r="AEJ14" s="9"/>
      <c r="AEK14" s="9"/>
      <c r="AEL14" s="9"/>
      <c r="AEM14" s="9"/>
      <c r="AEN14" s="9"/>
      <c r="AEO14" s="9"/>
      <c r="AEP14" s="9"/>
      <c r="AEQ14" s="9"/>
      <c r="AER14" s="9"/>
      <c r="AES14" s="9"/>
      <c r="AET14" s="9"/>
      <c r="AEU14" s="9"/>
      <c r="AEV14" s="9"/>
      <c r="AEW14" s="9"/>
      <c r="AEX14" s="9"/>
      <c r="AEY14" s="9"/>
      <c r="AEZ14" s="9"/>
      <c r="AFA14" s="9"/>
      <c r="AFB14" s="9"/>
      <c r="AFC14" s="9"/>
      <c r="AFD14" s="9"/>
      <c r="AFE14" s="9"/>
      <c r="AFF14" s="9"/>
      <c r="AFG14" s="9"/>
      <c r="AFH14" s="9"/>
      <c r="AFI14" s="9"/>
      <c r="AFJ14" s="9"/>
      <c r="AFK14" s="9"/>
      <c r="AFL14" s="9"/>
      <c r="AFM14" s="9"/>
      <c r="AFN14" s="9"/>
      <c r="AFO14" s="9"/>
      <c r="AFP14" s="9"/>
      <c r="AFQ14" s="9"/>
      <c r="AFR14" s="9"/>
      <c r="AFS14" s="9"/>
      <c r="AFT14" s="9"/>
      <c r="AFU14" s="9"/>
      <c r="AFV14" s="9"/>
      <c r="AFW14" s="9"/>
      <c r="AFX14" s="9"/>
      <c r="AFY14" s="9"/>
      <c r="AFZ14" s="9"/>
      <c r="AGA14" s="9"/>
      <c r="AGB14" s="9"/>
      <c r="AGC14" s="9"/>
      <c r="AGD14" s="9"/>
      <c r="AGE14" s="9"/>
      <c r="AGF14" s="9"/>
      <c r="AGG14" s="9"/>
      <c r="AGH14" s="9"/>
      <c r="AGI14" s="9"/>
      <c r="AGJ14" s="9"/>
      <c r="AGK14" s="9"/>
      <c r="AGL14" s="9"/>
      <c r="AGM14" s="9"/>
      <c r="AGN14" s="9"/>
      <c r="AGO14" s="9"/>
      <c r="AGP14" s="9"/>
      <c r="AGQ14" s="9"/>
      <c r="AGR14" s="9"/>
      <c r="AGS14" s="9"/>
      <c r="AGT14" s="9"/>
      <c r="AGU14" s="9"/>
      <c r="AGV14" s="9"/>
      <c r="AGW14" s="9"/>
      <c r="AGX14" s="9"/>
      <c r="AGY14" s="9"/>
      <c r="AGZ14" s="9"/>
      <c r="AHA14" s="9"/>
      <c r="AHB14" s="9"/>
      <c r="AHC14" s="9"/>
      <c r="AHD14" s="9"/>
      <c r="AHE14" s="9"/>
      <c r="AHF14" s="9"/>
      <c r="AHG14" s="9"/>
      <c r="AHH14" s="9"/>
      <c r="AHI14" s="9"/>
      <c r="AHJ14" s="9"/>
      <c r="AHK14" s="9"/>
      <c r="AHL14" s="9"/>
      <c r="AHM14" s="9"/>
      <c r="AHN14" s="9"/>
      <c r="AHO14" s="9"/>
      <c r="AHP14" s="9"/>
      <c r="AHQ14" s="9"/>
      <c r="AHR14" s="9"/>
      <c r="AHS14" s="9"/>
      <c r="AHT14" s="9"/>
      <c r="AHU14" s="9"/>
      <c r="AHV14" s="9"/>
      <c r="AHW14" s="9"/>
      <c r="AHX14" s="9"/>
      <c r="AHY14" s="9"/>
      <c r="AHZ14" s="9"/>
      <c r="AIA14" s="9"/>
      <c r="AIB14" s="9"/>
      <c r="AIC14" s="9"/>
      <c r="AID14" s="9"/>
      <c r="AIE14" s="9"/>
      <c r="AIF14" s="9"/>
      <c r="AIG14" s="9"/>
      <c r="AIH14" s="9"/>
      <c r="AII14" s="9"/>
      <c r="AIJ14" s="9"/>
      <c r="AIK14" s="9"/>
      <c r="AIL14" s="9"/>
      <c r="AIM14" s="9"/>
      <c r="AIN14" s="9"/>
      <c r="AIO14" s="9"/>
      <c r="AIP14" s="9"/>
      <c r="AIQ14" s="9"/>
      <c r="AIR14" s="9"/>
      <c r="AIS14" s="9"/>
      <c r="AIT14" s="9"/>
      <c r="AIU14" s="9"/>
      <c r="AIV14" s="9"/>
      <c r="AIW14" s="9"/>
      <c r="AIX14" s="9"/>
      <c r="AIY14" s="9"/>
      <c r="AIZ14" s="9"/>
      <c r="AJA14" s="9"/>
      <c r="AJB14" s="9"/>
      <c r="AJC14" s="9"/>
      <c r="AJD14" s="9"/>
      <c r="AJE14" s="9"/>
      <c r="AJF14" s="9"/>
      <c r="AJG14" s="9"/>
      <c r="AJH14" s="9"/>
      <c r="AJI14" s="9"/>
      <c r="AJJ14" s="9"/>
      <c r="AJK14" s="9"/>
      <c r="AJL14" s="9"/>
      <c r="AJM14" s="9"/>
      <c r="AJN14" s="9"/>
      <c r="AJO14" s="9"/>
      <c r="AJP14" s="9"/>
      <c r="AJQ14" s="9"/>
      <c r="AJR14" s="9"/>
      <c r="AJS14" s="9"/>
      <c r="AJT14" s="9"/>
      <c r="AJU14" s="9"/>
      <c r="AJV14" s="9"/>
      <c r="AJW14" s="9"/>
      <c r="AJX14" s="9"/>
      <c r="AJY14" s="9"/>
      <c r="AJZ14" s="9"/>
      <c r="AKA14" s="9"/>
      <c r="AKB14" s="9"/>
      <c r="AKC14" s="9"/>
      <c r="AKD14" s="9"/>
      <c r="AKE14" s="9"/>
      <c r="AKF14" s="9"/>
      <c r="AKG14" s="9"/>
      <c r="AKH14" s="9"/>
      <c r="AKI14" s="9"/>
      <c r="AKJ14" s="9"/>
      <c r="AKK14" s="9"/>
      <c r="AKL14" s="9"/>
      <c r="AKM14" s="9"/>
      <c r="AKN14" s="9"/>
      <c r="AKO14" s="9"/>
      <c r="AKP14" s="9"/>
      <c r="AKQ14" s="9"/>
      <c r="AKR14" s="9"/>
      <c r="AKS14" s="9"/>
      <c r="AKT14" s="9"/>
      <c r="AKU14" s="9"/>
      <c r="AKV14" s="9"/>
      <c r="AKW14" s="9"/>
      <c r="AKX14" s="9"/>
      <c r="AKY14" s="9"/>
      <c r="AKZ14" s="9"/>
      <c r="ALA14" s="9"/>
      <c r="ALB14" s="9"/>
      <c r="ALC14" s="9"/>
      <c r="ALD14" s="9"/>
      <c r="ALE14" s="9"/>
      <c r="ALF14" s="9"/>
      <c r="ALG14" s="9"/>
      <c r="ALH14" s="9"/>
      <c r="ALI14" s="9"/>
      <c r="ALJ14" s="9"/>
      <c r="ALK14" s="9"/>
      <c r="ALL14" s="9"/>
      <c r="ALM14" s="9"/>
      <c r="ALN14" s="9"/>
      <c r="ALO14" s="9"/>
      <c r="ALP14" s="9"/>
      <c r="ALQ14" s="9"/>
      <c r="ALR14" s="9"/>
      <c r="ALS14" s="9"/>
      <c r="ALT14" s="9"/>
      <c r="ALU14" s="9"/>
      <c r="ALV14" s="9"/>
      <c r="ALW14" s="9"/>
      <c r="ALX14" s="9"/>
      <c r="ALY14" s="9"/>
      <c r="ALZ14" s="9"/>
      <c r="AMA14" s="9"/>
      <c r="AMB14" s="9"/>
      <c r="AMC14" s="9"/>
      <c r="AMD14" s="9"/>
      <c r="AME14" s="9"/>
      <c r="AMF14" s="9"/>
      <c r="AMG14" s="9"/>
      <c r="AMH14" s="9"/>
      <c r="AMI14" s="9"/>
      <c r="AMJ14" s="9"/>
    </row>
    <row r="15" spans="1:1024" x14ac:dyDescent="0.35">
      <c r="A15" s="2"/>
      <c r="B15" s="9"/>
      <c r="C15" s="2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  <c r="AAA15" s="9"/>
      <c r="AAB15" s="9"/>
      <c r="AAC15" s="9"/>
      <c r="AAD15" s="9"/>
      <c r="AAE15" s="9"/>
      <c r="AAF15" s="9"/>
      <c r="AAG15" s="9"/>
      <c r="AAH15" s="9"/>
      <c r="AAI15" s="9"/>
      <c r="AAJ15" s="9"/>
      <c r="AAK15" s="9"/>
      <c r="AAL15" s="9"/>
      <c r="AAM15" s="9"/>
      <c r="AAN15" s="9"/>
      <c r="AAO15" s="9"/>
      <c r="AAP15" s="9"/>
      <c r="AAQ15" s="9"/>
      <c r="AAR15" s="9"/>
      <c r="AAS15" s="9"/>
      <c r="AAT15" s="9"/>
      <c r="AAU15" s="9"/>
      <c r="AAV15" s="9"/>
      <c r="AAW15" s="9"/>
      <c r="AAX15" s="9"/>
      <c r="AAY15" s="9"/>
      <c r="AAZ15" s="9"/>
      <c r="ABA15" s="9"/>
      <c r="ABB15" s="9"/>
      <c r="ABC15" s="9"/>
      <c r="ABD15" s="9"/>
      <c r="ABE15" s="9"/>
      <c r="ABF15" s="9"/>
      <c r="ABG15" s="9"/>
      <c r="ABH15" s="9"/>
      <c r="ABI15" s="9"/>
      <c r="ABJ15" s="9"/>
      <c r="ABK15" s="9"/>
      <c r="ABL15" s="9"/>
      <c r="ABM15" s="9"/>
      <c r="ABN15" s="9"/>
      <c r="ABO15" s="9"/>
      <c r="ABP15" s="9"/>
      <c r="ABQ15" s="9"/>
      <c r="ABR15" s="9"/>
      <c r="ABS15" s="9"/>
      <c r="ABT15" s="9"/>
      <c r="ABU15" s="9"/>
      <c r="ABV15" s="9"/>
      <c r="ABW15" s="9"/>
      <c r="ABX15" s="9"/>
      <c r="ABY15" s="9"/>
      <c r="ABZ15" s="9"/>
      <c r="ACA15" s="9"/>
      <c r="ACB15" s="9"/>
      <c r="ACC15" s="9"/>
      <c r="ACD15" s="9"/>
      <c r="ACE15" s="9"/>
      <c r="ACF15" s="9"/>
      <c r="ACG15" s="9"/>
      <c r="ACH15" s="9"/>
      <c r="ACI15" s="9"/>
      <c r="ACJ15" s="9"/>
      <c r="ACK15" s="9"/>
      <c r="ACL15" s="9"/>
      <c r="ACM15" s="9"/>
      <c r="ACN15" s="9"/>
      <c r="ACO15" s="9"/>
      <c r="ACP15" s="9"/>
      <c r="ACQ15" s="9"/>
      <c r="ACR15" s="9"/>
      <c r="ACS15" s="9"/>
      <c r="ACT15" s="9"/>
      <c r="ACU15" s="9"/>
      <c r="ACV15" s="9"/>
      <c r="ACW15" s="9"/>
      <c r="ACX15" s="9"/>
      <c r="ACY15" s="9"/>
      <c r="ACZ15" s="9"/>
      <c r="ADA15" s="9"/>
      <c r="ADB15" s="9"/>
      <c r="ADC15" s="9"/>
      <c r="ADD15" s="9"/>
      <c r="ADE15" s="9"/>
      <c r="ADF15" s="9"/>
      <c r="ADG15" s="9"/>
      <c r="ADH15" s="9"/>
      <c r="ADI15" s="9"/>
      <c r="ADJ15" s="9"/>
      <c r="ADK15" s="9"/>
      <c r="ADL15" s="9"/>
      <c r="ADM15" s="9"/>
      <c r="ADN15" s="9"/>
      <c r="ADO15" s="9"/>
      <c r="ADP15" s="9"/>
      <c r="ADQ15" s="9"/>
      <c r="ADR15" s="9"/>
      <c r="ADS15" s="9"/>
      <c r="ADT15" s="9"/>
      <c r="ADU15" s="9"/>
      <c r="ADV15" s="9"/>
      <c r="ADW15" s="9"/>
      <c r="ADX15" s="9"/>
      <c r="ADY15" s="9"/>
      <c r="ADZ15" s="9"/>
      <c r="AEA15" s="9"/>
      <c r="AEB15" s="9"/>
      <c r="AEC15" s="9"/>
      <c r="AED15" s="9"/>
      <c r="AEE15" s="9"/>
      <c r="AEF15" s="9"/>
      <c r="AEG15" s="9"/>
      <c r="AEH15" s="9"/>
      <c r="AEI15" s="9"/>
      <c r="AEJ15" s="9"/>
      <c r="AEK15" s="9"/>
      <c r="AEL15" s="9"/>
      <c r="AEM15" s="9"/>
      <c r="AEN15" s="9"/>
      <c r="AEO15" s="9"/>
      <c r="AEP15" s="9"/>
      <c r="AEQ15" s="9"/>
      <c r="AER15" s="9"/>
      <c r="AES15" s="9"/>
      <c r="AET15" s="9"/>
      <c r="AEU15" s="9"/>
      <c r="AEV15" s="9"/>
      <c r="AEW15" s="9"/>
      <c r="AEX15" s="9"/>
      <c r="AEY15" s="9"/>
      <c r="AEZ15" s="9"/>
      <c r="AFA15" s="9"/>
      <c r="AFB15" s="9"/>
      <c r="AFC15" s="9"/>
      <c r="AFD15" s="9"/>
      <c r="AFE15" s="9"/>
      <c r="AFF15" s="9"/>
      <c r="AFG15" s="9"/>
      <c r="AFH15" s="9"/>
      <c r="AFI15" s="9"/>
      <c r="AFJ15" s="9"/>
      <c r="AFK15" s="9"/>
      <c r="AFL15" s="9"/>
      <c r="AFM15" s="9"/>
      <c r="AFN15" s="9"/>
      <c r="AFO15" s="9"/>
      <c r="AFP15" s="9"/>
      <c r="AFQ15" s="9"/>
      <c r="AFR15" s="9"/>
      <c r="AFS15" s="9"/>
      <c r="AFT15" s="9"/>
      <c r="AFU15" s="9"/>
      <c r="AFV15" s="9"/>
      <c r="AFW15" s="9"/>
      <c r="AFX15" s="9"/>
      <c r="AFY15" s="9"/>
      <c r="AFZ15" s="9"/>
      <c r="AGA15" s="9"/>
      <c r="AGB15" s="9"/>
      <c r="AGC15" s="9"/>
      <c r="AGD15" s="9"/>
      <c r="AGE15" s="9"/>
      <c r="AGF15" s="9"/>
      <c r="AGG15" s="9"/>
      <c r="AGH15" s="9"/>
      <c r="AGI15" s="9"/>
      <c r="AGJ15" s="9"/>
      <c r="AGK15" s="9"/>
      <c r="AGL15" s="9"/>
      <c r="AGM15" s="9"/>
      <c r="AGN15" s="9"/>
      <c r="AGO15" s="9"/>
      <c r="AGP15" s="9"/>
      <c r="AGQ15" s="9"/>
      <c r="AGR15" s="9"/>
      <c r="AGS15" s="9"/>
      <c r="AGT15" s="9"/>
      <c r="AGU15" s="9"/>
      <c r="AGV15" s="9"/>
      <c r="AGW15" s="9"/>
      <c r="AGX15" s="9"/>
      <c r="AGY15" s="9"/>
      <c r="AGZ15" s="9"/>
      <c r="AHA15" s="9"/>
      <c r="AHB15" s="9"/>
      <c r="AHC15" s="9"/>
      <c r="AHD15" s="9"/>
      <c r="AHE15" s="9"/>
      <c r="AHF15" s="9"/>
      <c r="AHG15" s="9"/>
      <c r="AHH15" s="9"/>
      <c r="AHI15" s="9"/>
      <c r="AHJ15" s="9"/>
      <c r="AHK15" s="9"/>
      <c r="AHL15" s="9"/>
      <c r="AHM15" s="9"/>
      <c r="AHN15" s="9"/>
      <c r="AHO15" s="9"/>
      <c r="AHP15" s="9"/>
      <c r="AHQ15" s="9"/>
      <c r="AHR15" s="9"/>
      <c r="AHS15" s="9"/>
      <c r="AHT15" s="9"/>
      <c r="AHU15" s="9"/>
      <c r="AHV15" s="9"/>
      <c r="AHW15" s="9"/>
      <c r="AHX15" s="9"/>
      <c r="AHY15" s="9"/>
      <c r="AHZ15" s="9"/>
      <c r="AIA15" s="9"/>
      <c r="AIB15" s="9"/>
      <c r="AIC15" s="9"/>
      <c r="AID15" s="9"/>
      <c r="AIE15" s="9"/>
      <c r="AIF15" s="9"/>
      <c r="AIG15" s="9"/>
      <c r="AIH15" s="9"/>
      <c r="AII15" s="9"/>
      <c r="AIJ15" s="9"/>
      <c r="AIK15" s="9"/>
      <c r="AIL15" s="9"/>
      <c r="AIM15" s="9"/>
      <c r="AIN15" s="9"/>
      <c r="AIO15" s="9"/>
      <c r="AIP15" s="9"/>
      <c r="AIQ15" s="9"/>
      <c r="AIR15" s="9"/>
      <c r="AIS15" s="9"/>
      <c r="AIT15" s="9"/>
      <c r="AIU15" s="9"/>
      <c r="AIV15" s="9"/>
      <c r="AIW15" s="9"/>
      <c r="AIX15" s="9"/>
      <c r="AIY15" s="9"/>
      <c r="AIZ15" s="9"/>
      <c r="AJA15" s="9"/>
      <c r="AJB15" s="9"/>
      <c r="AJC15" s="9"/>
      <c r="AJD15" s="9"/>
      <c r="AJE15" s="9"/>
      <c r="AJF15" s="9"/>
      <c r="AJG15" s="9"/>
      <c r="AJH15" s="9"/>
      <c r="AJI15" s="9"/>
      <c r="AJJ15" s="9"/>
      <c r="AJK15" s="9"/>
      <c r="AJL15" s="9"/>
      <c r="AJM15" s="9"/>
      <c r="AJN15" s="9"/>
      <c r="AJO15" s="9"/>
      <c r="AJP15" s="9"/>
      <c r="AJQ15" s="9"/>
      <c r="AJR15" s="9"/>
      <c r="AJS15" s="9"/>
      <c r="AJT15" s="9"/>
      <c r="AJU15" s="9"/>
      <c r="AJV15" s="9"/>
      <c r="AJW15" s="9"/>
      <c r="AJX15" s="9"/>
      <c r="AJY15" s="9"/>
      <c r="AJZ15" s="9"/>
      <c r="AKA15" s="9"/>
      <c r="AKB15" s="9"/>
      <c r="AKC15" s="9"/>
      <c r="AKD15" s="9"/>
      <c r="AKE15" s="9"/>
      <c r="AKF15" s="9"/>
      <c r="AKG15" s="9"/>
      <c r="AKH15" s="9"/>
      <c r="AKI15" s="9"/>
      <c r="AKJ15" s="9"/>
      <c r="AKK15" s="9"/>
      <c r="AKL15" s="9"/>
      <c r="AKM15" s="9"/>
      <c r="AKN15" s="9"/>
      <c r="AKO15" s="9"/>
      <c r="AKP15" s="9"/>
      <c r="AKQ15" s="9"/>
      <c r="AKR15" s="9"/>
      <c r="AKS15" s="9"/>
      <c r="AKT15" s="9"/>
      <c r="AKU15" s="9"/>
      <c r="AKV15" s="9"/>
      <c r="AKW15" s="9"/>
      <c r="AKX15" s="9"/>
      <c r="AKY15" s="9"/>
      <c r="AKZ15" s="9"/>
      <c r="ALA15" s="9"/>
      <c r="ALB15" s="9"/>
      <c r="ALC15" s="9"/>
      <c r="ALD15" s="9"/>
      <c r="ALE15" s="9"/>
      <c r="ALF15" s="9"/>
      <c r="ALG15" s="9"/>
      <c r="ALH15" s="9"/>
      <c r="ALI15" s="9"/>
      <c r="ALJ15" s="9"/>
      <c r="ALK15" s="9"/>
      <c r="ALL15" s="9"/>
      <c r="ALM15" s="9"/>
      <c r="ALN15" s="9"/>
      <c r="ALO15" s="9"/>
      <c r="ALP15" s="9"/>
      <c r="ALQ15" s="9"/>
      <c r="ALR15" s="9"/>
      <c r="ALS15" s="9"/>
      <c r="ALT15" s="9"/>
      <c r="ALU15" s="9"/>
      <c r="ALV15" s="9"/>
      <c r="ALW15" s="9"/>
      <c r="ALX15" s="9"/>
      <c r="ALY15" s="9"/>
      <c r="ALZ15" s="9"/>
      <c r="AMA15" s="9"/>
      <c r="AMB15" s="9"/>
      <c r="AMC15" s="9"/>
      <c r="AMD15" s="9"/>
      <c r="AME15" s="9"/>
      <c r="AMF15" s="9"/>
      <c r="AMG15" s="9"/>
      <c r="AMH15" s="9"/>
      <c r="AMI15" s="9"/>
      <c r="AMJ15" s="9"/>
    </row>
    <row r="16" spans="1:1024" x14ac:dyDescent="0.35">
      <c r="A16" s="2"/>
      <c r="B16" s="9"/>
      <c r="C16" s="2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  <c r="AAA16" s="9"/>
      <c r="AAB16" s="9"/>
      <c r="AAC16" s="9"/>
      <c r="AAD16" s="9"/>
      <c r="AAE16" s="9"/>
      <c r="AAF16" s="9"/>
      <c r="AAG16" s="9"/>
      <c r="AAH16" s="9"/>
      <c r="AAI16" s="9"/>
      <c r="AAJ16" s="9"/>
      <c r="AAK16" s="9"/>
      <c r="AAL16" s="9"/>
      <c r="AAM16" s="9"/>
      <c r="AAN16" s="9"/>
      <c r="AAO16" s="9"/>
      <c r="AAP16" s="9"/>
      <c r="AAQ16" s="9"/>
      <c r="AAR16" s="9"/>
      <c r="AAS16" s="9"/>
      <c r="AAT16" s="9"/>
      <c r="AAU16" s="9"/>
      <c r="AAV16" s="9"/>
      <c r="AAW16" s="9"/>
      <c r="AAX16" s="9"/>
      <c r="AAY16" s="9"/>
      <c r="AAZ16" s="9"/>
      <c r="ABA16" s="9"/>
      <c r="ABB16" s="9"/>
      <c r="ABC16" s="9"/>
      <c r="ABD16" s="9"/>
      <c r="ABE16" s="9"/>
      <c r="ABF16" s="9"/>
      <c r="ABG16" s="9"/>
      <c r="ABH16" s="9"/>
      <c r="ABI16" s="9"/>
      <c r="ABJ16" s="9"/>
      <c r="ABK16" s="9"/>
      <c r="ABL16" s="9"/>
      <c r="ABM16" s="9"/>
      <c r="ABN16" s="9"/>
      <c r="ABO16" s="9"/>
      <c r="ABP16" s="9"/>
      <c r="ABQ16" s="9"/>
      <c r="ABR16" s="9"/>
      <c r="ABS16" s="9"/>
      <c r="ABT16" s="9"/>
      <c r="ABU16" s="9"/>
      <c r="ABV16" s="9"/>
      <c r="ABW16" s="9"/>
      <c r="ABX16" s="9"/>
      <c r="ABY16" s="9"/>
      <c r="ABZ16" s="9"/>
      <c r="ACA16" s="9"/>
      <c r="ACB16" s="9"/>
      <c r="ACC16" s="9"/>
      <c r="ACD16" s="9"/>
      <c r="ACE16" s="9"/>
      <c r="ACF16" s="9"/>
      <c r="ACG16" s="9"/>
      <c r="ACH16" s="9"/>
      <c r="ACI16" s="9"/>
      <c r="ACJ16" s="9"/>
      <c r="ACK16" s="9"/>
      <c r="ACL16" s="9"/>
      <c r="ACM16" s="9"/>
      <c r="ACN16" s="9"/>
      <c r="ACO16" s="9"/>
      <c r="ACP16" s="9"/>
      <c r="ACQ16" s="9"/>
      <c r="ACR16" s="9"/>
      <c r="ACS16" s="9"/>
      <c r="ACT16" s="9"/>
      <c r="ACU16" s="9"/>
      <c r="ACV16" s="9"/>
      <c r="ACW16" s="9"/>
      <c r="ACX16" s="9"/>
      <c r="ACY16" s="9"/>
      <c r="ACZ16" s="9"/>
      <c r="ADA16" s="9"/>
      <c r="ADB16" s="9"/>
      <c r="ADC16" s="9"/>
      <c r="ADD16" s="9"/>
      <c r="ADE16" s="9"/>
      <c r="ADF16" s="9"/>
      <c r="ADG16" s="9"/>
      <c r="ADH16" s="9"/>
      <c r="ADI16" s="9"/>
      <c r="ADJ16" s="9"/>
      <c r="ADK16" s="9"/>
      <c r="ADL16" s="9"/>
      <c r="ADM16" s="9"/>
      <c r="ADN16" s="9"/>
      <c r="ADO16" s="9"/>
      <c r="ADP16" s="9"/>
      <c r="ADQ16" s="9"/>
      <c r="ADR16" s="9"/>
      <c r="ADS16" s="9"/>
      <c r="ADT16" s="9"/>
      <c r="ADU16" s="9"/>
      <c r="ADV16" s="9"/>
      <c r="ADW16" s="9"/>
      <c r="ADX16" s="9"/>
      <c r="ADY16" s="9"/>
      <c r="ADZ16" s="9"/>
      <c r="AEA16" s="9"/>
      <c r="AEB16" s="9"/>
      <c r="AEC16" s="9"/>
      <c r="AED16" s="9"/>
      <c r="AEE16" s="9"/>
      <c r="AEF16" s="9"/>
      <c r="AEG16" s="9"/>
      <c r="AEH16" s="9"/>
      <c r="AEI16" s="9"/>
      <c r="AEJ16" s="9"/>
      <c r="AEK16" s="9"/>
      <c r="AEL16" s="9"/>
      <c r="AEM16" s="9"/>
      <c r="AEN16" s="9"/>
      <c r="AEO16" s="9"/>
      <c r="AEP16" s="9"/>
      <c r="AEQ16" s="9"/>
      <c r="AER16" s="9"/>
      <c r="AES16" s="9"/>
      <c r="AET16" s="9"/>
      <c r="AEU16" s="9"/>
      <c r="AEV16" s="9"/>
      <c r="AEW16" s="9"/>
      <c r="AEX16" s="9"/>
      <c r="AEY16" s="9"/>
      <c r="AEZ16" s="9"/>
      <c r="AFA16" s="9"/>
      <c r="AFB16" s="9"/>
      <c r="AFC16" s="9"/>
      <c r="AFD16" s="9"/>
      <c r="AFE16" s="9"/>
      <c r="AFF16" s="9"/>
      <c r="AFG16" s="9"/>
      <c r="AFH16" s="9"/>
      <c r="AFI16" s="9"/>
      <c r="AFJ16" s="9"/>
      <c r="AFK16" s="9"/>
      <c r="AFL16" s="9"/>
      <c r="AFM16" s="9"/>
      <c r="AFN16" s="9"/>
      <c r="AFO16" s="9"/>
      <c r="AFP16" s="9"/>
      <c r="AFQ16" s="9"/>
      <c r="AFR16" s="9"/>
      <c r="AFS16" s="9"/>
      <c r="AFT16" s="9"/>
      <c r="AFU16" s="9"/>
      <c r="AFV16" s="9"/>
      <c r="AFW16" s="9"/>
      <c r="AFX16" s="9"/>
      <c r="AFY16" s="9"/>
      <c r="AFZ16" s="9"/>
      <c r="AGA16" s="9"/>
      <c r="AGB16" s="9"/>
      <c r="AGC16" s="9"/>
      <c r="AGD16" s="9"/>
      <c r="AGE16" s="9"/>
      <c r="AGF16" s="9"/>
      <c r="AGG16" s="9"/>
      <c r="AGH16" s="9"/>
      <c r="AGI16" s="9"/>
      <c r="AGJ16" s="9"/>
      <c r="AGK16" s="9"/>
      <c r="AGL16" s="9"/>
      <c r="AGM16" s="9"/>
      <c r="AGN16" s="9"/>
      <c r="AGO16" s="9"/>
      <c r="AGP16" s="9"/>
      <c r="AGQ16" s="9"/>
      <c r="AGR16" s="9"/>
      <c r="AGS16" s="9"/>
      <c r="AGT16" s="9"/>
      <c r="AGU16" s="9"/>
      <c r="AGV16" s="9"/>
      <c r="AGW16" s="9"/>
      <c r="AGX16" s="9"/>
      <c r="AGY16" s="9"/>
      <c r="AGZ16" s="9"/>
      <c r="AHA16" s="9"/>
      <c r="AHB16" s="9"/>
      <c r="AHC16" s="9"/>
      <c r="AHD16" s="9"/>
      <c r="AHE16" s="9"/>
      <c r="AHF16" s="9"/>
      <c r="AHG16" s="9"/>
      <c r="AHH16" s="9"/>
      <c r="AHI16" s="9"/>
      <c r="AHJ16" s="9"/>
      <c r="AHK16" s="9"/>
      <c r="AHL16" s="9"/>
      <c r="AHM16" s="9"/>
      <c r="AHN16" s="9"/>
      <c r="AHO16" s="9"/>
      <c r="AHP16" s="9"/>
      <c r="AHQ16" s="9"/>
      <c r="AHR16" s="9"/>
      <c r="AHS16" s="9"/>
      <c r="AHT16" s="9"/>
      <c r="AHU16" s="9"/>
      <c r="AHV16" s="9"/>
      <c r="AHW16" s="9"/>
      <c r="AHX16" s="9"/>
      <c r="AHY16" s="9"/>
      <c r="AHZ16" s="9"/>
      <c r="AIA16" s="9"/>
      <c r="AIB16" s="9"/>
      <c r="AIC16" s="9"/>
      <c r="AID16" s="9"/>
      <c r="AIE16" s="9"/>
      <c r="AIF16" s="9"/>
      <c r="AIG16" s="9"/>
      <c r="AIH16" s="9"/>
      <c r="AII16" s="9"/>
      <c r="AIJ16" s="9"/>
      <c r="AIK16" s="9"/>
      <c r="AIL16" s="9"/>
      <c r="AIM16" s="9"/>
      <c r="AIN16" s="9"/>
      <c r="AIO16" s="9"/>
      <c r="AIP16" s="9"/>
      <c r="AIQ16" s="9"/>
      <c r="AIR16" s="9"/>
      <c r="AIS16" s="9"/>
      <c r="AIT16" s="9"/>
      <c r="AIU16" s="9"/>
      <c r="AIV16" s="9"/>
      <c r="AIW16" s="9"/>
      <c r="AIX16" s="9"/>
      <c r="AIY16" s="9"/>
      <c r="AIZ16" s="9"/>
      <c r="AJA16" s="9"/>
      <c r="AJB16" s="9"/>
      <c r="AJC16" s="9"/>
      <c r="AJD16" s="9"/>
      <c r="AJE16" s="9"/>
      <c r="AJF16" s="9"/>
      <c r="AJG16" s="9"/>
      <c r="AJH16" s="9"/>
      <c r="AJI16" s="9"/>
      <c r="AJJ16" s="9"/>
      <c r="AJK16" s="9"/>
      <c r="AJL16" s="9"/>
      <c r="AJM16" s="9"/>
      <c r="AJN16" s="9"/>
      <c r="AJO16" s="9"/>
      <c r="AJP16" s="9"/>
      <c r="AJQ16" s="9"/>
      <c r="AJR16" s="9"/>
      <c r="AJS16" s="9"/>
      <c r="AJT16" s="9"/>
      <c r="AJU16" s="9"/>
      <c r="AJV16" s="9"/>
      <c r="AJW16" s="9"/>
      <c r="AJX16" s="9"/>
      <c r="AJY16" s="9"/>
      <c r="AJZ16" s="9"/>
      <c r="AKA16" s="9"/>
      <c r="AKB16" s="9"/>
      <c r="AKC16" s="9"/>
      <c r="AKD16" s="9"/>
      <c r="AKE16" s="9"/>
      <c r="AKF16" s="9"/>
      <c r="AKG16" s="9"/>
      <c r="AKH16" s="9"/>
      <c r="AKI16" s="9"/>
      <c r="AKJ16" s="9"/>
      <c r="AKK16" s="9"/>
      <c r="AKL16" s="9"/>
      <c r="AKM16" s="9"/>
      <c r="AKN16" s="9"/>
      <c r="AKO16" s="9"/>
      <c r="AKP16" s="9"/>
      <c r="AKQ16" s="9"/>
      <c r="AKR16" s="9"/>
      <c r="AKS16" s="9"/>
      <c r="AKT16" s="9"/>
      <c r="AKU16" s="9"/>
      <c r="AKV16" s="9"/>
      <c r="AKW16" s="9"/>
      <c r="AKX16" s="9"/>
      <c r="AKY16" s="9"/>
      <c r="AKZ16" s="9"/>
      <c r="ALA16" s="9"/>
      <c r="ALB16" s="9"/>
      <c r="ALC16" s="9"/>
      <c r="ALD16" s="9"/>
      <c r="ALE16" s="9"/>
      <c r="ALF16" s="9"/>
      <c r="ALG16" s="9"/>
      <c r="ALH16" s="9"/>
      <c r="ALI16" s="9"/>
      <c r="ALJ16" s="9"/>
      <c r="ALK16" s="9"/>
      <c r="ALL16" s="9"/>
      <c r="ALM16" s="9"/>
      <c r="ALN16" s="9"/>
      <c r="ALO16" s="9"/>
      <c r="ALP16" s="9"/>
      <c r="ALQ16" s="9"/>
      <c r="ALR16" s="9"/>
      <c r="ALS16" s="9"/>
      <c r="ALT16" s="9"/>
      <c r="ALU16" s="9"/>
      <c r="ALV16" s="9"/>
      <c r="ALW16" s="9"/>
      <c r="ALX16" s="9"/>
      <c r="ALY16" s="9"/>
      <c r="ALZ16" s="9"/>
      <c r="AMA16" s="9"/>
      <c r="AMB16" s="9"/>
      <c r="AMC16" s="9"/>
      <c r="AMD16" s="9"/>
      <c r="AME16" s="9"/>
      <c r="AMF16" s="9"/>
      <c r="AMG16" s="9"/>
      <c r="AMH16" s="9"/>
      <c r="AMI16" s="9"/>
      <c r="AMJ16" s="9"/>
    </row>
    <row r="17" spans="1:1024" x14ac:dyDescent="0.35">
      <c r="A17" s="2"/>
      <c r="B17" s="9"/>
      <c r="C17" s="2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  <c r="AAA17" s="9"/>
      <c r="AAB17" s="9"/>
      <c r="AAC17" s="9"/>
      <c r="AAD17" s="9"/>
      <c r="AAE17" s="9"/>
      <c r="AAF17" s="9"/>
      <c r="AAG17" s="9"/>
      <c r="AAH17" s="9"/>
      <c r="AAI17" s="9"/>
      <c r="AAJ17" s="9"/>
      <c r="AAK17" s="9"/>
      <c r="AAL17" s="9"/>
      <c r="AAM17" s="9"/>
      <c r="AAN17" s="9"/>
      <c r="AAO17" s="9"/>
      <c r="AAP17" s="9"/>
      <c r="AAQ17" s="9"/>
      <c r="AAR17" s="9"/>
      <c r="AAS17" s="9"/>
      <c r="AAT17" s="9"/>
      <c r="AAU17" s="9"/>
      <c r="AAV17" s="9"/>
      <c r="AAW17" s="9"/>
      <c r="AAX17" s="9"/>
      <c r="AAY17" s="9"/>
      <c r="AAZ17" s="9"/>
      <c r="ABA17" s="9"/>
      <c r="ABB17" s="9"/>
      <c r="ABC17" s="9"/>
      <c r="ABD17" s="9"/>
      <c r="ABE17" s="9"/>
      <c r="ABF17" s="9"/>
      <c r="ABG17" s="9"/>
      <c r="ABH17" s="9"/>
      <c r="ABI17" s="9"/>
      <c r="ABJ17" s="9"/>
      <c r="ABK17" s="9"/>
      <c r="ABL17" s="9"/>
      <c r="ABM17" s="9"/>
      <c r="ABN17" s="9"/>
      <c r="ABO17" s="9"/>
      <c r="ABP17" s="9"/>
      <c r="ABQ17" s="9"/>
      <c r="ABR17" s="9"/>
      <c r="ABS17" s="9"/>
      <c r="ABT17" s="9"/>
      <c r="ABU17" s="9"/>
      <c r="ABV17" s="9"/>
      <c r="ABW17" s="9"/>
      <c r="ABX17" s="9"/>
      <c r="ABY17" s="9"/>
      <c r="ABZ17" s="9"/>
      <c r="ACA17" s="9"/>
      <c r="ACB17" s="9"/>
      <c r="ACC17" s="9"/>
      <c r="ACD17" s="9"/>
      <c r="ACE17" s="9"/>
      <c r="ACF17" s="9"/>
      <c r="ACG17" s="9"/>
      <c r="ACH17" s="9"/>
      <c r="ACI17" s="9"/>
      <c r="ACJ17" s="9"/>
      <c r="ACK17" s="9"/>
      <c r="ACL17" s="9"/>
      <c r="ACM17" s="9"/>
      <c r="ACN17" s="9"/>
      <c r="ACO17" s="9"/>
      <c r="ACP17" s="9"/>
      <c r="ACQ17" s="9"/>
      <c r="ACR17" s="9"/>
      <c r="ACS17" s="9"/>
      <c r="ACT17" s="9"/>
      <c r="ACU17" s="9"/>
      <c r="ACV17" s="9"/>
      <c r="ACW17" s="9"/>
      <c r="ACX17" s="9"/>
      <c r="ACY17" s="9"/>
      <c r="ACZ17" s="9"/>
      <c r="ADA17" s="9"/>
      <c r="ADB17" s="9"/>
      <c r="ADC17" s="9"/>
      <c r="ADD17" s="9"/>
      <c r="ADE17" s="9"/>
      <c r="ADF17" s="9"/>
      <c r="ADG17" s="9"/>
      <c r="ADH17" s="9"/>
      <c r="ADI17" s="9"/>
      <c r="ADJ17" s="9"/>
      <c r="ADK17" s="9"/>
      <c r="ADL17" s="9"/>
      <c r="ADM17" s="9"/>
      <c r="ADN17" s="9"/>
      <c r="ADO17" s="9"/>
      <c r="ADP17" s="9"/>
      <c r="ADQ17" s="9"/>
      <c r="ADR17" s="9"/>
      <c r="ADS17" s="9"/>
      <c r="ADT17" s="9"/>
      <c r="ADU17" s="9"/>
      <c r="ADV17" s="9"/>
      <c r="ADW17" s="9"/>
      <c r="ADX17" s="9"/>
      <c r="ADY17" s="9"/>
      <c r="ADZ17" s="9"/>
      <c r="AEA17" s="9"/>
      <c r="AEB17" s="9"/>
      <c r="AEC17" s="9"/>
      <c r="AED17" s="9"/>
      <c r="AEE17" s="9"/>
      <c r="AEF17" s="9"/>
      <c r="AEG17" s="9"/>
      <c r="AEH17" s="9"/>
      <c r="AEI17" s="9"/>
      <c r="AEJ17" s="9"/>
      <c r="AEK17" s="9"/>
      <c r="AEL17" s="9"/>
      <c r="AEM17" s="9"/>
      <c r="AEN17" s="9"/>
      <c r="AEO17" s="9"/>
      <c r="AEP17" s="9"/>
      <c r="AEQ17" s="9"/>
      <c r="AER17" s="9"/>
      <c r="AES17" s="9"/>
      <c r="AET17" s="9"/>
      <c r="AEU17" s="9"/>
      <c r="AEV17" s="9"/>
      <c r="AEW17" s="9"/>
      <c r="AEX17" s="9"/>
      <c r="AEY17" s="9"/>
      <c r="AEZ17" s="9"/>
      <c r="AFA17" s="9"/>
      <c r="AFB17" s="9"/>
      <c r="AFC17" s="9"/>
      <c r="AFD17" s="9"/>
      <c r="AFE17" s="9"/>
      <c r="AFF17" s="9"/>
      <c r="AFG17" s="9"/>
      <c r="AFH17" s="9"/>
      <c r="AFI17" s="9"/>
      <c r="AFJ17" s="9"/>
      <c r="AFK17" s="9"/>
      <c r="AFL17" s="9"/>
      <c r="AFM17" s="9"/>
      <c r="AFN17" s="9"/>
      <c r="AFO17" s="9"/>
      <c r="AFP17" s="9"/>
      <c r="AFQ17" s="9"/>
      <c r="AFR17" s="9"/>
      <c r="AFS17" s="9"/>
      <c r="AFT17" s="9"/>
      <c r="AFU17" s="9"/>
      <c r="AFV17" s="9"/>
      <c r="AFW17" s="9"/>
      <c r="AFX17" s="9"/>
      <c r="AFY17" s="9"/>
      <c r="AFZ17" s="9"/>
      <c r="AGA17" s="9"/>
      <c r="AGB17" s="9"/>
      <c r="AGC17" s="9"/>
      <c r="AGD17" s="9"/>
      <c r="AGE17" s="9"/>
      <c r="AGF17" s="9"/>
      <c r="AGG17" s="9"/>
      <c r="AGH17" s="9"/>
      <c r="AGI17" s="9"/>
      <c r="AGJ17" s="9"/>
      <c r="AGK17" s="9"/>
      <c r="AGL17" s="9"/>
      <c r="AGM17" s="9"/>
      <c r="AGN17" s="9"/>
      <c r="AGO17" s="9"/>
      <c r="AGP17" s="9"/>
      <c r="AGQ17" s="9"/>
      <c r="AGR17" s="9"/>
      <c r="AGS17" s="9"/>
      <c r="AGT17" s="9"/>
      <c r="AGU17" s="9"/>
      <c r="AGV17" s="9"/>
      <c r="AGW17" s="9"/>
      <c r="AGX17" s="9"/>
      <c r="AGY17" s="9"/>
      <c r="AGZ17" s="9"/>
      <c r="AHA17" s="9"/>
      <c r="AHB17" s="9"/>
      <c r="AHC17" s="9"/>
      <c r="AHD17" s="9"/>
      <c r="AHE17" s="9"/>
      <c r="AHF17" s="9"/>
      <c r="AHG17" s="9"/>
      <c r="AHH17" s="9"/>
      <c r="AHI17" s="9"/>
      <c r="AHJ17" s="9"/>
      <c r="AHK17" s="9"/>
      <c r="AHL17" s="9"/>
      <c r="AHM17" s="9"/>
      <c r="AHN17" s="9"/>
      <c r="AHO17" s="9"/>
      <c r="AHP17" s="9"/>
      <c r="AHQ17" s="9"/>
      <c r="AHR17" s="9"/>
      <c r="AHS17" s="9"/>
      <c r="AHT17" s="9"/>
      <c r="AHU17" s="9"/>
      <c r="AHV17" s="9"/>
      <c r="AHW17" s="9"/>
      <c r="AHX17" s="9"/>
      <c r="AHY17" s="9"/>
      <c r="AHZ17" s="9"/>
      <c r="AIA17" s="9"/>
      <c r="AIB17" s="9"/>
      <c r="AIC17" s="9"/>
      <c r="AID17" s="9"/>
      <c r="AIE17" s="9"/>
      <c r="AIF17" s="9"/>
      <c r="AIG17" s="9"/>
      <c r="AIH17" s="9"/>
      <c r="AII17" s="9"/>
      <c r="AIJ17" s="9"/>
      <c r="AIK17" s="9"/>
      <c r="AIL17" s="9"/>
      <c r="AIM17" s="9"/>
      <c r="AIN17" s="9"/>
      <c r="AIO17" s="9"/>
      <c r="AIP17" s="9"/>
      <c r="AIQ17" s="9"/>
      <c r="AIR17" s="9"/>
      <c r="AIS17" s="9"/>
      <c r="AIT17" s="9"/>
      <c r="AIU17" s="9"/>
      <c r="AIV17" s="9"/>
      <c r="AIW17" s="9"/>
      <c r="AIX17" s="9"/>
      <c r="AIY17" s="9"/>
      <c r="AIZ17" s="9"/>
      <c r="AJA17" s="9"/>
      <c r="AJB17" s="9"/>
      <c r="AJC17" s="9"/>
      <c r="AJD17" s="9"/>
      <c r="AJE17" s="9"/>
      <c r="AJF17" s="9"/>
      <c r="AJG17" s="9"/>
      <c r="AJH17" s="9"/>
      <c r="AJI17" s="9"/>
      <c r="AJJ17" s="9"/>
      <c r="AJK17" s="9"/>
      <c r="AJL17" s="9"/>
      <c r="AJM17" s="9"/>
      <c r="AJN17" s="9"/>
      <c r="AJO17" s="9"/>
      <c r="AJP17" s="9"/>
      <c r="AJQ17" s="9"/>
      <c r="AJR17" s="9"/>
      <c r="AJS17" s="9"/>
      <c r="AJT17" s="9"/>
      <c r="AJU17" s="9"/>
      <c r="AJV17" s="9"/>
      <c r="AJW17" s="9"/>
      <c r="AJX17" s="9"/>
      <c r="AJY17" s="9"/>
      <c r="AJZ17" s="9"/>
      <c r="AKA17" s="9"/>
      <c r="AKB17" s="9"/>
      <c r="AKC17" s="9"/>
      <c r="AKD17" s="9"/>
      <c r="AKE17" s="9"/>
      <c r="AKF17" s="9"/>
      <c r="AKG17" s="9"/>
      <c r="AKH17" s="9"/>
      <c r="AKI17" s="9"/>
      <c r="AKJ17" s="9"/>
      <c r="AKK17" s="9"/>
      <c r="AKL17" s="9"/>
      <c r="AKM17" s="9"/>
      <c r="AKN17" s="9"/>
      <c r="AKO17" s="9"/>
      <c r="AKP17" s="9"/>
      <c r="AKQ17" s="9"/>
      <c r="AKR17" s="9"/>
      <c r="AKS17" s="9"/>
      <c r="AKT17" s="9"/>
      <c r="AKU17" s="9"/>
      <c r="AKV17" s="9"/>
      <c r="AKW17" s="9"/>
      <c r="AKX17" s="9"/>
      <c r="AKY17" s="9"/>
      <c r="AKZ17" s="9"/>
      <c r="ALA17" s="9"/>
      <c r="ALB17" s="9"/>
      <c r="ALC17" s="9"/>
      <c r="ALD17" s="9"/>
      <c r="ALE17" s="9"/>
      <c r="ALF17" s="9"/>
      <c r="ALG17" s="9"/>
      <c r="ALH17" s="9"/>
      <c r="ALI17" s="9"/>
      <c r="ALJ17" s="9"/>
      <c r="ALK17" s="9"/>
      <c r="ALL17" s="9"/>
      <c r="ALM17" s="9"/>
      <c r="ALN17" s="9"/>
      <c r="ALO17" s="9"/>
      <c r="ALP17" s="9"/>
      <c r="ALQ17" s="9"/>
      <c r="ALR17" s="9"/>
      <c r="ALS17" s="9"/>
      <c r="ALT17" s="9"/>
      <c r="ALU17" s="9"/>
      <c r="ALV17" s="9"/>
      <c r="ALW17" s="9"/>
      <c r="ALX17" s="9"/>
      <c r="ALY17" s="9"/>
      <c r="ALZ17" s="9"/>
      <c r="AMA17" s="9"/>
      <c r="AMB17" s="9"/>
      <c r="AMC17" s="9"/>
      <c r="AMD17" s="9"/>
      <c r="AME17" s="9"/>
      <c r="AMF17" s="9"/>
      <c r="AMG17" s="9"/>
      <c r="AMH17" s="9"/>
      <c r="AMI17" s="9"/>
      <c r="AMJ17" s="9"/>
    </row>
    <row r="18" spans="1:1024" x14ac:dyDescent="0.35">
      <c r="A18" s="2"/>
      <c r="B18" s="9"/>
      <c r="C18" s="2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  <c r="AAA18" s="9"/>
      <c r="AAB18" s="9"/>
      <c r="AAC18" s="9"/>
      <c r="AAD18" s="9"/>
      <c r="AAE18" s="9"/>
      <c r="AAF18" s="9"/>
      <c r="AAG18" s="9"/>
      <c r="AAH18" s="9"/>
      <c r="AAI18" s="9"/>
      <c r="AAJ18" s="9"/>
      <c r="AAK18" s="9"/>
      <c r="AAL18" s="9"/>
      <c r="AAM18" s="9"/>
      <c r="AAN18" s="9"/>
      <c r="AAO18" s="9"/>
      <c r="AAP18" s="9"/>
      <c r="AAQ18" s="9"/>
      <c r="AAR18" s="9"/>
      <c r="AAS18" s="9"/>
      <c r="AAT18" s="9"/>
      <c r="AAU18" s="9"/>
      <c r="AAV18" s="9"/>
      <c r="AAW18" s="9"/>
      <c r="AAX18" s="9"/>
      <c r="AAY18" s="9"/>
      <c r="AAZ18" s="9"/>
      <c r="ABA18" s="9"/>
      <c r="ABB18" s="9"/>
      <c r="ABC18" s="9"/>
      <c r="ABD18" s="9"/>
      <c r="ABE18" s="9"/>
      <c r="ABF18" s="9"/>
      <c r="ABG18" s="9"/>
      <c r="ABH18" s="9"/>
      <c r="ABI18" s="9"/>
      <c r="ABJ18" s="9"/>
      <c r="ABK18" s="9"/>
      <c r="ABL18" s="9"/>
      <c r="ABM18" s="9"/>
      <c r="ABN18" s="9"/>
      <c r="ABO18" s="9"/>
      <c r="ABP18" s="9"/>
      <c r="ABQ18" s="9"/>
      <c r="ABR18" s="9"/>
      <c r="ABS18" s="9"/>
      <c r="ABT18" s="9"/>
      <c r="ABU18" s="9"/>
      <c r="ABV18" s="9"/>
      <c r="ABW18" s="9"/>
      <c r="ABX18" s="9"/>
      <c r="ABY18" s="9"/>
      <c r="ABZ18" s="9"/>
      <c r="ACA18" s="9"/>
      <c r="ACB18" s="9"/>
      <c r="ACC18" s="9"/>
      <c r="ACD18" s="9"/>
      <c r="ACE18" s="9"/>
      <c r="ACF18" s="9"/>
      <c r="ACG18" s="9"/>
      <c r="ACH18" s="9"/>
      <c r="ACI18" s="9"/>
      <c r="ACJ18" s="9"/>
      <c r="ACK18" s="9"/>
      <c r="ACL18" s="9"/>
      <c r="ACM18" s="9"/>
      <c r="ACN18" s="9"/>
      <c r="ACO18" s="9"/>
      <c r="ACP18" s="9"/>
      <c r="ACQ18" s="9"/>
      <c r="ACR18" s="9"/>
      <c r="ACS18" s="9"/>
      <c r="ACT18" s="9"/>
      <c r="ACU18" s="9"/>
      <c r="ACV18" s="9"/>
      <c r="ACW18" s="9"/>
      <c r="ACX18" s="9"/>
      <c r="ACY18" s="9"/>
      <c r="ACZ18" s="9"/>
      <c r="ADA18" s="9"/>
      <c r="ADB18" s="9"/>
      <c r="ADC18" s="9"/>
      <c r="ADD18" s="9"/>
      <c r="ADE18" s="9"/>
      <c r="ADF18" s="9"/>
      <c r="ADG18" s="9"/>
      <c r="ADH18" s="9"/>
      <c r="ADI18" s="9"/>
      <c r="ADJ18" s="9"/>
      <c r="ADK18" s="9"/>
      <c r="ADL18" s="9"/>
      <c r="ADM18" s="9"/>
      <c r="ADN18" s="9"/>
      <c r="ADO18" s="9"/>
      <c r="ADP18" s="9"/>
      <c r="ADQ18" s="9"/>
      <c r="ADR18" s="9"/>
      <c r="ADS18" s="9"/>
      <c r="ADT18" s="9"/>
      <c r="ADU18" s="9"/>
      <c r="ADV18" s="9"/>
      <c r="ADW18" s="9"/>
      <c r="ADX18" s="9"/>
      <c r="ADY18" s="9"/>
      <c r="ADZ18" s="9"/>
      <c r="AEA18" s="9"/>
      <c r="AEB18" s="9"/>
      <c r="AEC18" s="9"/>
      <c r="AED18" s="9"/>
      <c r="AEE18" s="9"/>
      <c r="AEF18" s="9"/>
      <c r="AEG18" s="9"/>
      <c r="AEH18" s="9"/>
      <c r="AEI18" s="9"/>
      <c r="AEJ18" s="9"/>
      <c r="AEK18" s="9"/>
      <c r="AEL18" s="9"/>
      <c r="AEM18" s="9"/>
      <c r="AEN18" s="9"/>
      <c r="AEO18" s="9"/>
      <c r="AEP18" s="9"/>
      <c r="AEQ18" s="9"/>
      <c r="AER18" s="9"/>
      <c r="AES18" s="9"/>
      <c r="AET18" s="9"/>
      <c r="AEU18" s="9"/>
      <c r="AEV18" s="9"/>
      <c r="AEW18" s="9"/>
      <c r="AEX18" s="9"/>
      <c r="AEY18" s="9"/>
      <c r="AEZ18" s="9"/>
      <c r="AFA18" s="9"/>
      <c r="AFB18" s="9"/>
      <c r="AFC18" s="9"/>
      <c r="AFD18" s="9"/>
      <c r="AFE18" s="9"/>
      <c r="AFF18" s="9"/>
      <c r="AFG18" s="9"/>
      <c r="AFH18" s="9"/>
      <c r="AFI18" s="9"/>
      <c r="AFJ18" s="9"/>
      <c r="AFK18" s="9"/>
      <c r="AFL18" s="9"/>
      <c r="AFM18" s="9"/>
      <c r="AFN18" s="9"/>
      <c r="AFO18" s="9"/>
      <c r="AFP18" s="9"/>
      <c r="AFQ18" s="9"/>
      <c r="AFR18" s="9"/>
      <c r="AFS18" s="9"/>
      <c r="AFT18" s="9"/>
      <c r="AFU18" s="9"/>
      <c r="AFV18" s="9"/>
      <c r="AFW18" s="9"/>
      <c r="AFX18" s="9"/>
      <c r="AFY18" s="9"/>
      <c r="AFZ18" s="9"/>
      <c r="AGA18" s="9"/>
      <c r="AGB18" s="9"/>
      <c r="AGC18" s="9"/>
      <c r="AGD18" s="9"/>
      <c r="AGE18" s="9"/>
      <c r="AGF18" s="9"/>
      <c r="AGG18" s="9"/>
      <c r="AGH18" s="9"/>
      <c r="AGI18" s="9"/>
      <c r="AGJ18" s="9"/>
      <c r="AGK18" s="9"/>
      <c r="AGL18" s="9"/>
      <c r="AGM18" s="9"/>
      <c r="AGN18" s="9"/>
      <c r="AGO18" s="9"/>
      <c r="AGP18" s="9"/>
      <c r="AGQ18" s="9"/>
      <c r="AGR18" s="9"/>
      <c r="AGS18" s="9"/>
      <c r="AGT18" s="9"/>
      <c r="AGU18" s="9"/>
      <c r="AGV18" s="9"/>
      <c r="AGW18" s="9"/>
      <c r="AGX18" s="9"/>
      <c r="AGY18" s="9"/>
      <c r="AGZ18" s="9"/>
      <c r="AHA18" s="9"/>
      <c r="AHB18" s="9"/>
      <c r="AHC18" s="9"/>
      <c r="AHD18" s="9"/>
      <c r="AHE18" s="9"/>
      <c r="AHF18" s="9"/>
      <c r="AHG18" s="9"/>
      <c r="AHH18" s="9"/>
      <c r="AHI18" s="9"/>
      <c r="AHJ18" s="9"/>
      <c r="AHK18" s="9"/>
      <c r="AHL18" s="9"/>
      <c r="AHM18" s="9"/>
      <c r="AHN18" s="9"/>
      <c r="AHO18" s="9"/>
      <c r="AHP18" s="9"/>
      <c r="AHQ18" s="9"/>
      <c r="AHR18" s="9"/>
      <c r="AHS18" s="9"/>
      <c r="AHT18" s="9"/>
      <c r="AHU18" s="9"/>
      <c r="AHV18" s="9"/>
      <c r="AHW18" s="9"/>
      <c r="AHX18" s="9"/>
      <c r="AHY18" s="9"/>
      <c r="AHZ18" s="9"/>
      <c r="AIA18" s="9"/>
      <c r="AIB18" s="9"/>
      <c r="AIC18" s="9"/>
      <c r="AID18" s="9"/>
      <c r="AIE18" s="9"/>
      <c r="AIF18" s="9"/>
      <c r="AIG18" s="9"/>
      <c r="AIH18" s="9"/>
      <c r="AII18" s="9"/>
      <c r="AIJ18" s="9"/>
      <c r="AIK18" s="9"/>
      <c r="AIL18" s="9"/>
      <c r="AIM18" s="9"/>
      <c r="AIN18" s="9"/>
      <c r="AIO18" s="9"/>
      <c r="AIP18" s="9"/>
      <c r="AIQ18" s="9"/>
      <c r="AIR18" s="9"/>
      <c r="AIS18" s="9"/>
      <c r="AIT18" s="9"/>
      <c r="AIU18" s="9"/>
      <c r="AIV18" s="9"/>
      <c r="AIW18" s="9"/>
      <c r="AIX18" s="9"/>
      <c r="AIY18" s="9"/>
      <c r="AIZ18" s="9"/>
      <c r="AJA18" s="9"/>
      <c r="AJB18" s="9"/>
      <c r="AJC18" s="9"/>
      <c r="AJD18" s="9"/>
      <c r="AJE18" s="9"/>
      <c r="AJF18" s="9"/>
      <c r="AJG18" s="9"/>
      <c r="AJH18" s="9"/>
      <c r="AJI18" s="9"/>
      <c r="AJJ18" s="9"/>
      <c r="AJK18" s="9"/>
      <c r="AJL18" s="9"/>
      <c r="AJM18" s="9"/>
      <c r="AJN18" s="9"/>
      <c r="AJO18" s="9"/>
      <c r="AJP18" s="9"/>
      <c r="AJQ18" s="9"/>
      <c r="AJR18" s="9"/>
      <c r="AJS18" s="9"/>
      <c r="AJT18" s="9"/>
      <c r="AJU18" s="9"/>
      <c r="AJV18" s="9"/>
      <c r="AJW18" s="9"/>
      <c r="AJX18" s="9"/>
      <c r="AJY18" s="9"/>
      <c r="AJZ18" s="9"/>
      <c r="AKA18" s="9"/>
      <c r="AKB18" s="9"/>
      <c r="AKC18" s="9"/>
      <c r="AKD18" s="9"/>
      <c r="AKE18" s="9"/>
      <c r="AKF18" s="9"/>
      <c r="AKG18" s="9"/>
      <c r="AKH18" s="9"/>
      <c r="AKI18" s="9"/>
      <c r="AKJ18" s="9"/>
      <c r="AKK18" s="9"/>
      <c r="AKL18" s="9"/>
      <c r="AKM18" s="9"/>
      <c r="AKN18" s="9"/>
      <c r="AKO18" s="9"/>
      <c r="AKP18" s="9"/>
      <c r="AKQ18" s="9"/>
      <c r="AKR18" s="9"/>
      <c r="AKS18" s="9"/>
      <c r="AKT18" s="9"/>
      <c r="AKU18" s="9"/>
      <c r="AKV18" s="9"/>
      <c r="AKW18" s="9"/>
      <c r="AKX18" s="9"/>
      <c r="AKY18" s="9"/>
      <c r="AKZ18" s="9"/>
      <c r="ALA18" s="9"/>
      <c r="ALB18" s="9"/>
      <c r="ALC18" s="9"/>
      <c r="ALD18" s="9"/>
      <c r="ALE18" s="9"/>
      <c r="ALF18" s="9"/>
      <c r="ALG18" s="9"/>
      <c r="ALH18" s="9"/>
      <c r="ALI18" s="9"/>
      <c r="ALJ18" s="9"/>
      <c r="ALK18" s="9"/>
      <c r="ALL18" s="9"/>
      <c r="ALM18" s="9"/>
      <c r="ALN18" s="9"/>
      <c r="ALO18" s="9"/>
      <c r="ALP18" s="9"/>
      <c r="ALQ18" s="9"/>
      <c r="ALR18" s="9"/>
      <c r="ALS18" s="9"/>
      <c r="ALT18" s="9"/>
      <c r="ALU18" s="9"/>
      <c r="ALV18" s="9"/>
      <c r="ALW18" s="9"/>
      <c r="ALX18" s="9"/>
      <c r="ALY18" s="9"/>
      <c r="ALZ18" s="9"/>
      <c r="AMA18" s="9"/>
      <c r="AMB18" s="9"/>
      <c r="AMC18" s="9"/>
      <c r="AMD18" s="9"/>
      <c r="AME18" s="9"/>
      <c r="AMF18" s="9"/>
      <c r="AMG18" s="9"/>
      <c r="AMH18" s="9"/>
      <c r="AMI18" s="9"/>
      <c r="AMJ18" s="9"/>
    </row>
  </sheetData>
  <pageMargins left="0.78749999999999998" right="0.78749999999999998" top="1.0249999999999999" bottom="0.78749999999999998" header="0.78749999999999998" footer="0.511811023622047"/>
  <pageSetup paperSize="9" scale="110" orientation="landscape" useFirstPageNumber="1" horizontalDpi="300" verticalDpi="300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0"/>
  <sheetViews>
    <sheetView zoomScaleNormal="100" workbookViewId="0">
      <selection activeCell="H38" sqref="H38"/>
    </sheetView>
  </sheetViews>
  <sheetFormatPr defaultColWidth="11.53125" defaultRowHeight="12.75" x14ac:dyDescent="0.35"/>
  <cols>
    <col min="2" max="2" width="15.19921875" customWidth="1"/>
    <col min="5" max="5" width="16.86328125" customWidth="1"/>
  </cols>
  <sheetData>
    <row r="1" spans="1:15" ht="27.75" x14ac:dyDescent="0.4">
      <c r="A1" s="166" t="s">
        <v>314</v>
      </c>
      <c r="B1" s="166"/>
      <c r="C1" s="166"/>
      <c r="D1" s="166"/>
      <c r="E1" s="166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20</v>
      </c>
      <c r="B3" s="10"/>
      <c r="C3" s="10"/>
      <c r="D3" s="10"/>
      <c r="E3" s="10"/>
      <c r="F3" s="11" t="s">
        <v>21</v>
      </c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15" x14ac:dyDescent="0.4">
      <c r="A5" s="10" t="s">
        <v>22</v>
      </c>
      <c r="B5" s="10"/>
      <c r="C5" s="10"/>
      <c r="D5" s="12" t="s">
        <v>23</v>
      </c>
      <c r="E5" s="10"/>
      <c r="G5" s="10"/>
      <c r="H5" s="10"/>
      <c r="I5" s="10"/>
      <c r="K5" s="10"/>
      <c r="L5" s="10"/>
      <c r="M5" s="10"/>
      <c r="N5" s="10"/>
      <c r="O5" s="10"/>
    </row>
    <row r="6" spans="1:15" ht="13.15" x14ac:dyDescent="0.4">
      <c r="A6" s="10" t="s">
        <v>24</v>
      </c>
      <c r="B6" s="10"/>
      <c r="C6" s="10"/>
      <c r="D6" s="10" t="s">
        <v>25</v>
      </c>
      <c r="E6" s="10"/>
      <c r="F6" s="10"/>
      <c r="G6" s="10"/>
      <c r="H6" s="10"/>
      <c r="I6" s="10"/>
      <c r="K6" s="10"/>
      <c r="L6" s="10"/>
      <c r="M6" s="10"/>
      <c r="N6" s="10"/>
      <c r="O6" s="10"/>
    </row>
    <row r="7" spans="1:15" ht="13.15" x14ac:dyDescent="0.4">
      <c r="A7" s="10" t="s">
        <v>26</v>
      </c>
      <c r="B7" s="10"/>
      <c r="C7" s="10"/>
      <c r="D7" s="12" t="s">
        <v>23</v>
      </c>
      <c r="E7" s="10"/>
      <c r="F7" s="10"/>
      <c r="G7" s="10"/>
      <c r="H7" s="10"/>
      <c r="I7" s="10"/>
      <c r="K7" s="10"/>
      <c r="L7" s="10"/>
      <c r="M7" s="10"/>
      <c r="N7" s="10"/>
      <c r="O7" s="10"/>
    </row>
    <row r="8" spans="1:15" ht="13.15" x14ac:dyDescent="0.4">
      <c r="A8" s="10" t="s">
        <v>27</v>
      </c>
      <c r="B8" s="10"/>
      <c r="C8" s="10"/>
      <c r="D8" s="10" t="s">
        <v>25</v>
      </c>
      <c r="E8" s="10"/>
      <c r="F8" s="10"/>
      <c r="G8" s="10"/>
      <c r="H8" s="10"/>
      <c r="I8" s="10"/>
      <c r="K8" s="10"/>
      <c r="L8" s="10"/>
      <c r="M8" s="10"/>
      <c r="N8" s="10"/>
      <c r="O8" s="10"/>
    </row>
    <row r="9" spans="1:15" ht="13.15" x14ac:dyDescent="0.4">
      <c r="A9" s="10" t="s">
        <v>28</v>
      </c>
      <c r="B9" s="10"/>
      <c r="C9" s="10"/>
      <c r="D9" s="13">
        <v>45832</v>
      </c>
      <c r="E9" s="10"/>
      <c r="F9" s="10"/>
      <c r="G9" s="10"/>
      <c r="H9" s="10"/>
      <c r="I9" s="10"/>
      <c r="K9" s="10"/>
      <c r="L9" s="10"/>
      <c r="M9" s="10"/>
      <c r="N9" s="10"/>
      <c r="O9" s="10"/>
    </row>
    <row r="10" spans="1:15" ht="13.15" x14ac:dyDescent="0.4">
      <c r="A10" s="10" t="s">
        <v>29</v>
      </c>
      <c r="B10" s="10"/>
      <c r="C10" s="10"/>
      <c r="D10" s="14" t="s">
        <v>30</v>
      </c>
      <c r="E10" s="10"/>
      <c r="F10" s="10"/>
      <c r="G10" s="10"/>
      <c r="H10" s="10"/>
      <c r="I10" s="10"/>
      <c r="K10" s="10"/>
      <c r="L10" s="10"/>
      <c r="M10" s="10"/>
      <c r="N10" s="10"/>
      <c r="O10" s="10"/>
    </row>
    <row r="11" spans="1:15" ht="13.15" x14ac:dyDescent="0.4">
      <c r="A11" s="10" t="s">
        <v>31</v>
      </c>
      <c r="B11" s="10"/>
      <c r="C11" s="10"/>
      <c r="D11" s="15">
        <v>35</v>
      </c>
      <c r="E11" s="10"/>
      <c r="F11" s="10"/>
      <c r="G11" s="10"/>
      <c r="H11" s="10"/>
      <c r="I11" s="10"/>
      <c r="K11" s="10"/>
      <c r="L11" s="10"/>
      <c r="M11" s="10"/>
      <c r="N11" s="10"/>
      <c r="O11" s="10"/>
    </row>
    <row r="12" spans="1:15" ht="13.15" x14ac:dyDescent="0.4">
      <c r="A12" s="10"/>
      <c r="B12" s="10"/>
      <c r="C12" s="10"/>
      <c r="D12" s="12"/>
      <c r="E12" s="10"/>
      <c r="F12" s="10"/>
      <c r="G12" s="10"/>
      <c r="H12" s="10"/>
      <c r="I12" s="10"/>
      <c r="K12" s="10"/>
      <c r="L12" s="10"/>
      <c r="M12" s="10"/>
      <c r="N12" s="10"/>
      <c r="O12" s="10"/>
    </row>
    <row r="13" spans="1:15" ht="13.15" x14ac:dyDescent="0.4">
      <c r="A13" s="10" t="s">
        <v>32</v>
      </c>
      <c r="B13" s="10"/>
      <c r="C13" s="10"/>
      <c r="D13" s="12">
        <v>40000</v>
      </c>
      <c r="E13" s="10"/>
      <c r="F13" s="10"/>
      <c r="G13" s="10"/>
      <c r="H13" s="10"/>
      <c r="I13" s="10"/>
      <c r="K13" s="10"/>
      <c r="L13" s="10"/>
      <c r="M13" s="10"/>
      <c r="N13" s="10"/>
      <c r="O13" s="10"/>
    </row>
    <row r="14" spans="1:15" ht="13.15" x14ac:dyDescent="0.4">
      <c r="A14" s="10" t="s">
        <v>33</v>
      </c>
      <c r="B14" s="10"/>
      <c r="C14" s="10"/>
      <c r="D14" s="10">
        <v>6300</v>
      </c>
      <c r="E14" s="10"/>
      <c r="F14" s="10"/>
      <c r="G14" s="10"/>
      <c r="H14" s="10"/>
      <c r="I14" s="10"/>
      <c r="K14" s="10"/>
      <c r="L14" s="10"/>
      <c r="M14" s="10"/>
      <c r="N14" s="10"/>
      <c r="O14" s="10"/>
    </row>
    <row r="15" spans="1:15" ht="13.15" x14ac:dyDescent="0.4">
      <c r="A15" s="10" t="s">
        <v>34</v>
      </c>
      <c r="B15" s="10"/>
      <c r="C15" s="10"/>
      <c r="D15" s="16">
        <f>D13/D14*0.25</f>
        <v>1.5873015873015872</v>
      </c>
      <c r="E15" s="10"/>
      <c r="F15" s="10"/>
      <c r="G15" s="10"/>
      <c r="H15" s="10"/>
      <c r="I15" s="10"/>
      <c r="K15" s="10"/>
      <c r="L15" s="10"/>
      <c r="M15" s="10"/>
      <c r="N15" s="10"/>
      <c r="O15" s="10"/>
    </row>
    <row r="16" spans="1:15" ht="13.15" x14ac:dyDescent="0.4">
      <c r="E16" s="10"/>
      <c r="F16" s="10"/>
      <c r="G16" s="10"/>
      <c r="H16" s="10"/>
      <c r="I16" s="10"/>
      <c r="K16" s="10"/>
      <c r="L16" s="10"/>
      <c r="M16" s="10"/>
      <c r="N16" s="10"/>
      <c r="O16" s="10"/>
    </row>
    <row r="17" spans="1:15" ht="13.15" x14ac:dyDescent="0.4">
      <c r="A17" t="s">
        <v>35</v>
      </c>
      <c r="B17" s="10"/>
      <c r="C17" s="10"/>
      <c r="D17" s="8">
        <v>100</v>
      </c>
      <c r="E17" s="10"/>
      <c r="F17" s="10"/>
      <c r="G17" s="10"/>
      <c r="H17" s="10"/>
      <c r="I17" s="10"/>
      <c r="K17" s="10"/>
      <c r="L17" s="10"/>
      <c r="M17" s="10"/>
      <c r="N17" s="10"/>
      <c r="O17" s="10"/>
    </row>
    <row r="18" spans="1:15" ht="13.15" x14ac:dyDescent="0.4">
      <c r="A18" t="s">
        <v>325</v>
      </c>
      <c r="D18" s="8">
        <v>100</v>
      </c>
      <c r="E18" s="10"/>
      <c r="F18" s="10"/>
      <c r="G18" s="10"/>
      <c r="H18" s="10"/>
      <c r="I18" s="10"/>
      <c r="K18" s="10"/>
      <c r="L18" s="10"/>
      <c r="M18" s="10"/>
      <c r="N18" s="10"/>
      <c r="O18" s="10"/>
    </row>
    <row r="19" spans="1:15" ht="13.15" x14ac:dyDescent="0.4">
      <c r="A19" t="s">
        <v>36</v>
      </c>
      <c r="D19" s="17">
        <f>D18*D15/1000</f>
        <v>0.15873015873015872</v>
      </c>
      <c r="E19" s="10"/>
      <c r="F19" s="10"/>
      <c r="G19" s="10"/>
      <c r="H19" s="10"/>
      <c r="I19" s="10"/>
      <c r="K19" s="10"/>
      <c r="L19" s="10"/>
      <c r="M19" s="10"/>
      <c r="N19" s="14"/>
      <c r="O19" s="10"/>
    </row>
    <row r="20" spans="1:15" ht="13.15" x14ac:dyDescent="0.4">
      <c r="A20" t="s">
        <v>37</v>
      </c>
      <c r="D20" s="18">
        <f>D19/D17*1000</f>
        <v>1.5873015873015872</v>
      </c>
      <c r="E20" s="10"/>
      <c r="F20" s="10"/>
      <c r="G20" s="10"/>
      <c r="H20" s="10"/>
      <c r="I20" s="10"/>
      <c r="K20" s="10"/>
      <c r="L20" s="10"/>
      <c r="M20" s="10"/>
      <c r="N20" s="12"/>
      <c r="O20" s="10"/>
    </row>
    <row r="21" spans="1:15" ht="13.15" x14ac:dyDescent="0.4">
      <c r="A21" t="s">
        <v>326</v>
      </c>
      <c r="D21" s="46">
        <f>D18-D20</f>
        <v>98.412698412698418</v>
      </c>
      <c r="E21" s="10"/>
      <c r="K21" s="10"/>
      <c r="L21" s="10"/>
      <c r="M21" s="10"/>
      <c r="N21" s="12"/>
      <c r="O21" s="10"/>
    </row>
    <row r="22" spans="1:15" ht="13.15" x14ac:dyDescent="0.4">
      <c r="A22" s="10"/>
      <c r="B22" s="10"/>
      <c r="E22" s="10"/>
      <c r="K22" s="10"/>
      <c r="L22" s="10"/>
      <c r="M22" s="10"/>
      <c r="N22" s="19"/>
      <c r="O22" s="10"/>
    </row>
    <row r="23" spans="1:15" ht="13.15" x14ac:dyDescent="0.4">
      <c r="A23" s="10"/>
      <c r="B23" s="10"/>
      <c r="C23" s="12" t="s">
        <v>38</v>
      </c>
      <c r="D23" s="12" t="s">
        <v>39</v>
      </c>
      <c r="E23" s="10"/>
      <c r="F23" s="10" t="s">
        <v>28</v>
      </c>
      <c r="G23" s="10"/>
      <c r="H23" s="13">
        <v>45832</v>
      </c>
      <c r="I23" s="10"/>
      <c r="K23" s="10"/>
      <c r="L23" s="10"/>
      <c r="M23" s="10"/>
      <c r="N23" s="12"/>
      <c r="O23" s="10"/>
    </row>
    <row r="24" spans="1:15" ht="13.15" x14ac:dyDescent="0.4">
      <c r="A24" s="10"/>
      <c r="B24" s="10" t="s">
        <v>40</v>
      </c>
      <c r="C24" s="20">
        <v>10328.31</v>
      </c>
      <c r="D24" s="21">
        <f>(C24-$C$30)/$C$30</f>
        <v>-1.1926553370723604E-2</v>
      </c>
      <c r="E24" s="10"/>
      <c r="F24" s="10" t="s">
        <v>29</v>
      </c>
      <c r="G24" s="10"/>
      <c r="H24" s="12" t="s">
        <v>30</v>
      </c>
      <c r="I24" s="10"/>
      <c r="K24" s="10"/>
      <c r="L24" s="10"/>
      <c r="M24" s="10"/>
      <c r="N24" s="12"/>
      <c r="O24" s="10"/>
    </row>
    <row r="25" spans="1:15" ht="13.15" x14ac:dyDescent="0.4">
      <c r="A25" s="10"/>
      <c r="B25" s="10" t="s">
        <v>41</v>
      </c>
      <c r="C25" s="22">
        <v>10474.82</v>
      </c>
      <c r="D25" s="21">
        <f>(C25-$C$30)/$C$30</f>
        <v>2.0895480694593017E-3</v>
      </c>
      <c r="E25" s="10"/>
      <c r="F25" s="10" t="s">
        <v>42</v>
      </c>
      <c r="G25" s="10"/>
      <c r="H25" s="10" t="s">
        <v>25</v>
      </c>
      <c r="I25" s="10"/>
      <c r="K25" s="10"/>
      <c r="L25" s="10"/>
      <c r="M25" s="10"/>
      <c r="N25" s="12"/>
      <c r="O25" s="10"/>
    </row>
    <row r="26" spans="1:15" ht="13.9" customHeight="1" x14ac:dyDescent="0.4">
      <c r="A26" s="10"/>
      <c r="B26" s="10" t="s">
        <v>43</v>
      </c>
      <c r="C26" s="22">
        <v>10444.34</v>
      </c>
      <c r="D26" s="21">
        <f>(C26-$C$30)/$C$30</f>
        <v>-8.2636737588073089E-4</v>
      </c>
      <c r="E26" s="10"/>
      <c r="F26" s="10"/>
      <c r="G26" s="10"/>
      <c r="H26" s="12"/>
      <c r="I26" s="10"/>
    </row>
    <row r="27" spans="1:15" ht="13.15" x14ac:dyDescent="0.4">
      <c r="A27" s="10"/>
      <c r="B27" s="10" t="s">
        <v>44</v>
      </c>
      <c r="C27" s="22">
        <v>10591.38</v>
      </c>
      <c r="D27" s="21">
        <f>(C27-$C$30)/$C$30</f>
        <v>1.3240437318436913E-2</v>
      </c>
      <c r="E27" s="10"/>
      <c r="F27" s="10" t="s">
        <v>45</v>
      </c>
      <c r="G27" s="10"/>
      <c r="H27" s="12"/>
      <c r="I27" s="10"/>
    </row>
    <row r="28" spans="1:15" ht="13.15" x14ac:dyDescent="0.4">
      <c r="A28" s="10"/>
      <c r="B28" s="10" t="s">
        <v>46</v>
      </c>
      <c r="C28" s="23">
        <v>10426.040000000001</v>
      </c>
      <c r="D28" s="21">
        <f>(C28-$C$30)/$C$30</f>
        <v>-2.5770646412915329E-3</v>
      </c>
      <c r="E28" s="10"/>
      <c r="F28" s="10" t="s">
        <v>47</v>
      </c>
      <c r="G28" s="10"/>
      <c r="H28" s="12" t="s">
        <v>48</v>
      </c>
      <c r="I28" s="10"/>
    </row>
    <row r="29" spans="1:15" ht="13.15" x14ac:dyDescent="0.4">
      <c r="A29" s="10"/>
      <c r="B29" s="10"/>
      <c r="C29" s="10"/>
      <c r="D29" s="10"/>
      <c r="E29" s="10"/>
      <c r="F29" s="10" t="s">
        <v>49</v>
      </c>
      <c r="G29" s="10"/>
      <c r="H29" s="19">
        <v>8.3870000000000005</v>
      </c>
      <c r="I29" s="10"/>
    </row>
    <row r="30" spans="1:15" ht="13.15" x14ac:dyDescent="0.4">
      <c r="A30" s="10"/>
      <c r="B30" s="10" t="s">
        <v>50</v>
      </c>
      <c r="C30" s="24">
        <f>AVERAGE(C24:C28)</f>
        <v>10452.977999999999</v>
      </c>
      <c r="D30" s="10"/>
      <c r="E30" s="10"/>
      <c r="F30" s="10" t="s">
        <v>327</v>
      </c>
      <c r="G30" s="10"/>
      <c r="H30" s="19">
        <v>95.525999999999996</v>
      </c>
      <c r="I30" s="10"/>
    </row>
    <row r="31" spans="1:15" ht="13.15" x14ac:dyDescent="0.4">
      <c r="A31" s="10"/>
      <c r="B31" s="10" t="s">
        <v>51</v>
      </c>
      <c r="C31" s="24">
        <f>STDEVP(C24:C28)</f>
        <v>84.822836170455702</v>
      </c>
      <c r="D31" s="10"/>
      <c r="E31" s="10"/>
      <c r="F31" s="10" t="s">
        <v>52</v>
      </c>
      <c r="G31" s="10"/>
      <c r="H31" s="12">
        <v>20</v>
      </c>
      <c r="I31" s="10" t="s">
        <v>53</v>
      </c>
    </row>
    <row r="32" spans="1:15" ht="13.15" x14ac:dyDescent="0.4">
      <c r="A32" s="10"/>
      <c r="B32" s="10"/>
      <c r="C32" s="24"/>
      <c r="D32" s="10"/>
      <c r="E32" s="10"/>
      <c r="F32" s="10" t="s">
        <v>54</v>
      </c>
      <c r="G32" s="10"/>
      <c r="H32" s="12">
        <v>50</v>
      </c>
      <c r="I32" s="10" t="s">
        <v>53</v>
      </c>
    </row>
    <row r="33" spans="1:10" ht="13.15" x14ac:dyDescent="0.4">
      <c r="A33" s="10"/>
      <c r="B33" s="10"/>
      <c r="C33" s="10"/>
      <c r="D33" s="10"/>
      <c r="E33" s="10"/>
      <c r="F33" s="10" t="s">
        <v>328</v>
      </c>
      <c r="G33" s="10"/>
      <c r="H33" s="12">
        <f>H31+H32</f>
        <v>70</v>
      </c>
      <c r="I33" s="10" t="s">
        <v>53</v>
      </c>
    </row>
    <row r="34" spans="1:10" ht="13.15" x14ac:dyDescent="0.4">
      <c r="A34" s="10"/>
      <c r="B34" s="10"/>
      <c r="C34" s="21"/>
      <c r="D34" s="10"/>
      <c r="E34" s="10"/>
      <c r="F34" s="10" t="s">
        <v>329</v>
      </c>
      <c r="G34" s="10"/>
      <c r="H34" s="19">
        <v>35.415999999999997</v>
      </c>
      <c r="I34" s="10" t="s">
        <v>55</v>
      </c>
    </row>
    <row r="35" spans="1:10" ht="13.15" x14ac:dyDescent="0.4">
      <c r="A35" s="10"/>
      <c r="B35" s="10"/>
      <c r="C35" s="10"/>
      <c r="D35" s="10"/>
      <c r="F35" s="10" t="s">
        <v>56</v>
      </c>
      <c r="G35" s="10"/>
      <c r="H35" s="19">
        <f>H30-H34</f>
        <v>60.11</v>
      </c>
      <c r="I35" s="10"/>
    </row>
    <row r="36" spans="1:10" ht="13.15" x14ac:dyDescent="0.4">
      <c r="A36" s="10"/>
      <c r="B36" s="10"/>
      <c r="C36" s="10"/>
      <c r="D36" s="10"/>
      <c r="F36" s="25" t="s">
        <v>57</v>
      </c>
      <c r="G36" s="26"/>
      <c r="H36" s="27">
        <f>H35/H30*110</f>
        <v>69.217804576764436</v>
      </c>
      <c r="I36" s="10"/>
    </row>
    <row r="37" spans="1:10" ht="13.15" x14ac:dyDescent="0.4">
      <c r="A37" s="10"/>
      <c r="B37" s="10"/>
      <c r="C37" s="10"/>
      <c r="D37" s="10"/>
      <c r="F37" s="10"/>
      <c r="G37" s="10"/>
      <c r="H37" s="12"/>
      <c r="I37" s="10"/>
    </row>
    <row r="38" spans="1:10" ht="15.4" x14ac:dyDescent="0.55000000000000004">
      <c r="A38" s="10"/>
      <c r="B38" s="10" t="s">
        <v>58</v>
      </c>
      <c r="C38" s="21">
        <f>C31/C30</f>
        <v>8.1147053184705553E-3</v>
      </c>
      <c r="D38" s="10" t="str">
        <f>IF(C38&lt;0.03,"&lt;3% = PASS","&gt;3% = FAIL")</f>
        <v>&lt;3% = PASS</v>
      </c>
      <c r="F38" s="10" t="s">
        <v>59</v>
      </c>
      <c r="G38" s="10"/>
      <c r="H38" s="28">
        <f>H36/H33-1</f>
        <v>-1.1174220331936602E-2</v>
      </c>
      <c r="I38" s="10"/>
      <c r="J38" s="29"/>
    </row>
    <row r="39" spans="1:10" ht="13.15" x14ac:dyDescent="0.4">
      <c r="A39" s="10"/>
      <c r="B39" s="10"/>
      <c r="C39" s="10"/>
      <c r="D39" s="10"/>
      <c r="F39" s="10"/>
      <c r="G39" s="10"/>
      <c r="H39" s="30"/>
      <c r="I39" s="29"/>
      <c r="J39" s="29"/>
    </row>
    <row r="40" spans="1:10" ht="13.15" x14ac:dyDescent="0.4">
      <c r="A40" s="8"/>
      <c r="F40" s="10"/>
      <c r="G40" s="10"/>
      <c r="H40" s="31"/>
      <c r="I40" s="29"/>
      <c r="J40" s="29"/>
    </row>
    <row r="41" spans="1:10" ht="13.15" x14ac:dyDescent="0.4">
      <c r="B41" s="32"/>
      <c r="E41" s="10"/>
      <c r="F41" s="10"/>
      <c r="G41" s="10"/>
      <c r="H41" s="30"/>
      <c r="I41" s="29"/>
      <c r="J41" s="29"/>
    </row>
    <row r="42" spans="1:10" ht="13.15" x14ac:dyDescent="0.4">
      <c r="E42" s="10"/>
      <c r="F42" s="10"/>
      <c r="G42" s="10"/>
      <c r="H42" s="31"/>
      <c r="I42" s="29"/>
      <c r="J42" s="29"/>
    </row>
    <row r="43" spans="1:10" ht="13.15" x14ac:dyDescent="0.4">
      <c r="E43" s="10"/>
      <c r="F43" s="10"/>
      <c r="G43" s="10"/>
      <c r="H43" s="30"/>
      <c r="I43" s="29"/>
      <c r="J43" s="29"/>
    </row>
    <row r="44" spans="1:10" ht="13.15" x14ac:dyDescent="0.4">
      <c r="C44" s="8"/>
      <c r="E44" s="33"/>
      <c r="F44" s="10"/>
      <c r="G44" s="10"/>
      <c r="H44" s="34"/>
      <c r="I44" s="29"/>
      <c r="J44" s="29"/>
    </row>
    <row r="45" spans="1:10" ht="13.15" x14ac:dyDescent="0.4">
      <c r="E45" s="10"/>
      <c r="F45" s="10"/>
      <c r="G45" s="10"/>
      <c r="H45" s="10"/>
      <c r="I45" s="10"/>
    </row>
    <row r="46" spans="1:10" ht="13.15" x14ac:dyDescent="0.4">
      <c r="E46" s="10"/>
      <c r="F46" s="10"/>
      <c r="G46" s="10"/>
      <c r="H46" s="10"/>
      <c r="I46" s="21"/>
    </row>
    <row r="47" spans="1:10" ht="13.15" x14ac:dyDescent="0.4">
      <c r="E47" s="10"/>
      <c r="F47" s="10"/>
      <c r="G47" s="10"/>
      <c r="H47" s="10"/>
      <c r="I47" s="10"/>
    </row>
    <row r="48" spans="1:10" ht="13.15" x14ac:dyDescent="0.4">
      <c r="A48" s="10"/>
      <c r="B48" s="10"/>
      <c r="C48" s="10"/>
      <c r="D48" s="10"/>
      <c r="E48" s="10"/>
      <c r="F48" s="10"/>
      <c r="G48" s="10"/>
      <c r="H48" s="10"/>
      <c r="I48" s="10"/>
    </row>
    <row r="49" spans="1:9" ht="13.15" x14ac:dyDescent="0.4">
      <c r="A49" s="10"/>
      <c r="B49" s="10"/>
      <c r="C49" s="10"/>
      <c r="D49" s="10"/>
      <c r="E49" s="10"/>
      <c r="F49" s="10"/>
      <c r="G49" s="10"/>
      <c r="H49" s="10"/>
      <c r="I49" s="10"/>
    </row>
    <row r="50" spans="1:9" ht="13.15" x14ac:dyDescent="0.4">
      <c r="A50" s="10"/>
      <c r="B50" s="10"/>
      <c r="C50" s="10"/>
      <c r="D50" s="10"/>
      <c r="E50" s="10"/>
      <c r="F50" s="10"/>
      <c r="G50" s="10"/>
      <c r="H50" s="10"/>
      <c r="I50" s="21"/>
    </row>
  </sheetData>
  <mergeCells count="1">
    <mergeCell ref="A1:E1"/>
  </mergeCells>
  <conditionalFormatting sqref="C38">
    <cfRule type="cellIs" dxfId="23" priority="4" operator="lessThan">
      <formula>0.03</formula>
    </cfRule>
    <cfRule type="cellIs" dxfId="22" priority="5" operator="greaterThanOrEqual">
      <formula>0.03</formula>
    </cfRule>
  </conditionalFormatting>
  <conditionalFormatting sqref="D38">
    <cfRule type="cellIs" dxfId="21" priority="2" operator="equal">
      <formula>"&lt;3% = PASS"</formula>
    </cfRule>
    <cfRule type="cellIs" dxfId="20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U106"/>
  <sheetViews>
    <sheetView zoomScale="70" zoomScaleNormal="70" workbookViewId="0">
      <selection activeCell="AC10" sqref="AC10"/>
    </sheetView>
  </sheetViews>
  <sheetFormatPr defaultColWidth="11.53125" defaultRowHeight="12.75" x14ac:dyDescent="0.35"/>
  <cols>
    <col min="13" max="13" width="11.1328125" customWidth="1"/>
    <col min="14" max="14" width="11.33203125" customWidth="1"/>
    <col min="21" max="21" width="11.33203125" customWidth="1"/>
    <col min="24" max="24" width="11.33203125" customWidth="1"/>
    <col min="28" max="28" width="11.33203125" customWidth="1"/>
  </cols>
  <sheetData>
    <row r="1" spans="1:1009" ht="53" customHeight="1" x14ac:dyDescent="1.05">
      <c r="A1" s="3" t="s">
        <v>10</v>
      </c>
      <c r="B1" s="35" t="s">
        <v>8</v>
      </c>
      <c r="C1" s="167" t="s">
        <v>11</v>
      </c>
      <c r="D1" s="167"/>
      <c r="E1" s="167"/>
      <c r="F1" s="167"/>
      <c r="G1" s="167"/>
      <c r="H1" s="167"/>
      <c r="I1" s="167"/>
      <c r="J1" s="167"/>
      <c r="K1" s="167"/>
      <c r="L1" s="167"/>
      <c r="M1" s="9"/>
      <c r="N1" s="36" t="s">
        <v>60</v>
      </c>
      <c r="P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</row>
    <row r="2" spans="1:1009" ht="13.15" x14ac:dyDescent="0.4">
      <c r="A2" s="37">
        <v>45786</v>
      </c>
    </row>
    <row r="3" spans="1:1009" ht="13.15" x14ac:dyDescent="0.4">
      <c r="N3" s="38" t="s">
        <v>22</v>
      </c>
      <c r="O3" s="39"/>
      <c r="P3" s="39"/>
      <c r="Q3" s="40" t="s">
        <v>23</v>
      </c>
      <c r="AB3" s="8" t="s">
        <v>61</v>
      </c>
      <c r="AC3" s="8"/>
    </row>
    <row r="4" spans="1:1009" ht="15" x14ac:dyDescent="0.5">
      <c r="N4" s="41" t="s">
        <v>24</v>
      </c>
      <c r="Q4" s="42" t="s">
        <v>62</v>
      </c>
      <c r="AA4" t="s">
        <v>63</v>
      </c>
      <c r="AB4" s="8" t="s">
        <v>64</v>
      </c>
      <c r="AC4" s="8" t="s">
        <v>65</v>
      </c>
      <c r="AD4" t="s">
        <v>66</v>
      </c>
    </row>
    <row r="5" spans="1:1009" x14ac:dyDescent="0.35">
      <c r="N5" s="41" t="s">
        <v>27</v>
      </c>
      <c r="Q5" s="42" t="s">
        <v>62</v>
      </c>
      <c r="AB5">
        <v>167569</v>
      </c>
      <c r="AC5" s="9"/>
    </row>
    <row r="6" spans="1:1009" ht="13.15" x14ac:dyDescent="0.4">
      <c r="A6">
        <v>6300</v>
      </c>
      <c r="B6" t="s">
        <v>67</v>
      </c>
      <c r="C6" t="s">
        <v>68</v>
      </c>
      <c r="I6">
        <v>60000</v>
      </c>
      <c r="N6" s="41" t="s">
        <v>28</v>
      </c>
      <c r="Q6" s="43">
        <v>45791</v>
      </c>
      <c r="AB6">
        <v>169407</v>
      </c>
    </row>
    <row r="7" spans="1:1009" x14ac:dyDescent="0.35">
      <c r="A7">
        <v>11.68</v>
      </c>
      <c r="B7" t="s">
        <v>69</v>
      </c>
      <c r="C7" t="s">
        <v>70</v>
      </c>
      <c r="N7" s="41" t="s">
        <v>29</v>
      </c>
      <c r="Q7" s="44" t="s">
        <v>30</v>
      </c>
      <c r="AB7">
        <v>169243</v>
      </c>
      <c r="AC7" s="45">
        <f>SUM(AB5:AB7)/3</f>
        <v>168739.66666666666</v>
      </c>
      <c r="AD7" s="46">
        <f>(MAX(AB5:AB6)-MIN(AB5:AB6))/AC7*100</f>
        <v>1.0892518850537021</v>
      </c>
    </row>
    <row r="8" spans="1:1009" ht="13.15" x14ac:dyDescent="0.4">
      <c r="A8">
        <v>20000</v>
      </c>
      <c r="B8" t="s">
        <v>38</v>
      </c>
      <c r="C8" t="s">
        <v>71</v>
      </c>
      <c r="N8" s="41" t="s">
        <v>31</v>
      </c>
      <c r="Q8" s="47">
        <v>38</v>
      </c>
      <c r="AB8">
        <v>292859</v>
      </c>
      <c r="AC8" s="45"/>
      <c r="AD8" s="46"/>
    </row>
    <row r="9" spans="1:1009" x14ac:dyDescent="0.35">
      <c r="A9">
        <f>A8/10</f>
        <v>2000</v>
      </c>
      <c r="B9" t="s">
        <v>38</v>
      </c>
      <c r="C9" t="s">
        <v>72</v>
      </c>
      <c r="N9" s="41"/>
      <c r="Q9" s="48"/>
      <c r="AB9">
        <v>301110</v>
      </c>
      <c r="AC9" s="45"/>
      <c r="AD9" s="46"/>
    </row>
    <row r="10" spans="1:1009" x14ac:dyDescent="0.35">
      <c r="A10" s="49">
        <f>A9/A6*A7</f>
        <v>3.7079365079365076</v>
      </c>
      <c r="B10" t="s">
        <v>73</v>
      </c>
      <c r="C10" t="s">
        <v>74</v>
      </c>
      <c r="N10" s="50" t="s">
        <v>75</v>
      </c>
      <c r="O10" s="51"/>
      <c r="P10" s="51"/>
      <c r="Q10" s="52" t="s">
        <v>76</v>
      </c>
      <c r="AB10">
        <v>299624</v>
      </c>
      <c r="AC10" s="45"/>
      <c r="AD10" s="46"/>
    </row>
    <row r="11" spans="1:1009" x14ac:dyDescent="0.35">
      <c r="A11" s="53">
        <f>A10*100</f>
        <v>370.79365079365078</v>
      </c>
      <c r="B11" t="s">
        <v>77</v>
      </c>
      <c r="C11" t="s">
        <v>78</v>
      </c>
      <c r="AB11">
        <v>285382</v>
      </c>
      <c r="AC11" s="45">
        <f>SUM(AB8:AB11)/4</f>
        <v>294743.75</v>
      </c>
      <c r="AD11" s="46">
        <f>(MAX(AB8:AB10)-MIN(AB8:AB10))/AC11*100</f>
        <v>2.7993808180835047</v>
      </c>
    </row>
    <row r="12" spans="1:1009" x14ac:dyDescent="0.35">
      <c r="A12">
        <v>200</v>
      </c>
      <c r="B12" t="s">
        <v>53</v>
      </c>
      <c r="C12" t="s">
        <v>79</v>
      </c>
      <c r="AB12">
        <v>458207</v>
      </c>
      <c r="AC12" s="45"/>
      <c r="AD12" s="46"/>
    </row>
    <row r="13" spans="1:1009" ht="13.15" x14ac:dyDescent="0.4">
      <c r="A13" s="54">
        <f>A11*A12/1000</f>
        <v>74.158730158730165</v>
      </c>
      <c r="B13" t="s">
        <v>73</v>
      </c>
      <c r="C13" t="s">
        <v>80</v>
      </c>
      <c r="AB13">
        <v>465138</v>
      </c>
      <c r="AC13" s="45"/>
      <c r="AD13" s="46"/>
    </row>
    <row r="14" spans="1:1009" x14ac:dyDescent="0.35">
      <c r="A14">
        <v>74.66</v>
      </c>
      <c r="B14" t="s">
        <v>73</v>
      </c>
      <c r="C14" t="s">
        <v>81</v>
      </c>
      <c r="AB14">
        <v>454200</v>
      </c>
      <c r="AC14" s="45"/>
      <c r="AD14" s="46"/>
    </row>
    <row r="15" spans="1:1009" x14ac:dyDescent="0.35">
      <c r="A15" s="53">
        <f>A11*A14/A13</f>
        <v>373.29999999999995</v>
      </c>
      <c r="B15" t="s">
        <v>77</v>
      </c>
      <c r="C15" t="s">
        <v>82</v>
      </c>
      <c r="AB15">
        <v>445750</v>
      </c>
      <c r="AC15" s="45"/>
      <c r="AD15" s="46"/>
    </row>
    <row r="16" spans="1:1009" x14ac:dyDescent="0.35">
      <c r="A16" s="53">
        <f>A13/A14*10</f>
        <v>9.9328596515845398</v>
      </c>
      <c r="B16" t="s">
        <v>53</v>
      </c>
      <c r="C16" t="s">
        <v>83</v>
      </c>
      <c r="AB16">
        <v>443747</v>
      </c>
      <c r="AC16" s="45"/>
      <c r="AD16" s="46"/>
    </row>
    <row r="17" spans="1:1009" x14ac:dyDescent="0.35">
      <c r="AB17">
        <v>453143</v>
      </c>
      <c r="AC17" s="45"/>
      <c r="AD17" s="46"/>
    </row>
    <row r="18" spans="1:1009" x14ac:dyDescent="0.35">
      <c r="A18" s="55">
        <v>1000000000</v>
      </c>
      <c r="C18" t="s">
        <v>84</v>
      </c>
      <c r="AB18">
        <v>436276</v>
      </c>
      <c r="AC18" s="45"/>
      <c r="AD18" s="46"/>
    </row>
    <row r="19" spans="1:1009" x14ac:dyDescent="0.35">
      <c r="A19">
        <v>0</v>
      </c>
      <c r="C19" t="s">
        <v>85</v>
      </c>
      <c r="AB19">
        <v>454474</v>
      </c>
      <c r="AC19" s="45"/>
      <c r="AD19" s="46"/>
    </row>
    <row r="20" spans="1:1009" ht="13.15" x14ac:dyDescent="0.4">
      <c r="A20" s="56"/>
      <c r="B20" s="56"/>
      <c r="C20" s="56" t="s">
        <v>86</v>
      </c>
      <c r="D20" s="56" t="s">
        <v>87</v>
      </c>
      <c r="E20" s="56" t="s">
        <v>88</v>
      </c>
      <c r="F20" s="56" t="s">
        <v>89</v>
      </c>
      <c r="G20" s="56" t="s">
        <v>90</v>
      </c>
      <c r="H20" s="56" t="s">
        <v>91</v>
      </c>
      <c r="I20" s="56" t="s">
        <v>92</v>
      </c>
      <c r="J20" s="56" t="s">
        <v>93</v>
      </c>
      <c r="K20" s="56"/>
      <c r="L20" s="56"/>
      <c r="M20" s="56" t="s">
        <v>94</v>
      </c>
      <c r="AB20">
        <v>454993</v>
      </c>
      <c r="AC20" s="45"/>
      <c r="AD20" s="46"/>
    </row>
    <row r="21" spans="1:1009" ht="13.15" x14ac:dyDescent="0.4">
      <c r="A21" s="57" t="s">
        <v>95</v>
      </c>
      <c r="B21" s="57" t="s">
        <v>96</v>
      </c>
      <c r="C21" s="57" t="s">
        <v>81</v>
      </c>
      <c r="D21" s="57" t="s">
        <v>97</v>
      </c>
      <c r="E21" s="57" t="s">
        <v>98</v>
      </c>
      <c r="F21" s="57" t="s">
        <v>99</v>
      </c>
      <c r="G21" s="57" t="s">
        <v>100</v>
      </c>
      <c r="H21" s="57" t="s">
        <v>101</v>
      </c>
      <c r="I21" s="57" t="s">
        <v>102</v>
      </c>
      <c r="J21" s="57" t="s">
        <v>39</v>
      </c>
      <c r="K21" s="58" t="str">
        <f>"95%"</f>
        <v>95%</v>
      </c>
      <c r="L21" s="57" t="s">
        <v>94</v>
      </c>
      <c r="M21" s="57" t="s">
        <v>103</v>
      </c>
      <c r="AB21">
        <v>462615</v>
      </c>
      <c r="AC21" s="45">
        <f>SUM(AB12:AB21)/(17-8+1)</f>
        <v>452854.3</v>
      </c>
      <c r="AD21" s="46">
        <f>(MAX(AB12:AB20)-MIN(AB12:AB20))/AC21*100</f>
        <v>6.3733523122116758</v>
      </c>
    </row>
    <row r="22" spans="1:1009" x14ac:dyDescent="0.35">
      <c r="A22" s="59">
        <v>0</v>
      </c>
      <c r="B22" s="60">
        <v>0</v>
      </c>
      <c r="C22" s="60">
        <v>0</v>
      </c>
      <c r="D22" s="61">
        <v>0</v>
      </c>
      <c r="E22" s="61">
        <v>0</v>
      </c>
      <c r="F22" s="59">
        <v>1</v>
      </c>
      <c r="G22" s="59">
        <v>1</v>
      </c>
      <c r="H22" s="59"/>
      <c r="I22" s="59">
        <v>1</v>
      </c>
      <c r="J22" s="59">
        <v>1</v>
      </c>
      <c r="K22" s="59">
        <f t="shared" ref="K22:K37" si="0">I22*0.95</f>
        <v>0.95</v>
      </c>
      <c r="L22" s="62">
        <f t="shared" ref="L22:L37" si="1">IF(G22&lt;$A$18, G22, G22*(1+G22/$A$18*$A$19))</f>
        <v>1</v>
      </c>
      <c r="M22" s="163">
        <v>1</v>
      </c>
      <c r="AB22">
        <v>578672</v>
      </c>
      <c r="AC22" s="45"/>
      <c r="AD22" s="46"/>
    </row>
    <row r="23" spans="1:1009" x14ac:dyDescent="0.35">
      <c r="A23" s="59">
        <v>10</v>
      </c>
      <c r="B23" s="59">
        <v>9.9</v>
      </c>
      <c r="C23" s="60">
        <f>B23</f>
        <v>9.9</v>
      </c>
      <c r="D23" s="61">
        <f t="shared" ref="D23:D37" si="2">C23*$A$15/1000</f>
        <v>3.6956699999999998</v>
      </c>
      <c r="E23" s="61">
        <f t="shared" ref="E23:E37" si="3">D23/($A$7+C23/1000)</f>
        <v>0.31614213979589217</v>
      </c>
      <c r="F23" s="63">
        <f t="shared" ref="F23:F37" si="4">$A$6*E23*100</f>
        <v>199169.54807141208</v>
      </c>
      <c r="G23" s="59">
        <v>158573</v>
      </c>
      <c r="H23" s="64">
        <f t="shared" ref="H23:H37" si="5">G23/F23</f>
        <v>0.79617090833154769</v>
      </c>
      <c r="I23" s="63">
        <f t="shared" ref="I23:I37" si="6">E23*$C$99</f>
        <v>156479.43552794794</v>
      </c>
      <c r="J23" s="64">
        <f t="shared" ref="J23:J37" si="7">G23/I23</f>
        <v>1.0133791668214329</v>
      </c>
      <c r="K23" s="63">
        <f t="shared" si="0"/>
        <v>148655.46375155053</v>
      </c>
      <c r="L23" s="62">
        <f t="shared" si="1"/>
        <v>158573</v>
      </c>
      <c r="M23" s="163">
        <f t="shared" ref="M23:M37" si="8">L23/I23</f>
        <v>1.0133791668214329</v>
      </c>
      <c r="AB23">
        <v>581090</v>
      </c>
      <c r="AC23" s="45"/>
      <c r="AD23" s="46"/>
    </row>
    <row r="24" spans="1:1009" x14ac:dyDescent="0.35">
      <c r="A24" s="59">
        <v>20</v>
      </c>
      <c r="B24" s="59">
        <v>9.9</v>
      </c>
      <c r="C24" s="60">
        <f t="shared" ref="C24:C37" si="9">C23+B24</f>
        <v>19.8</v>
      </c>
      <c r="D24" s="61">
        <f t="shared" si="2"/>
        <v>7.3913399999999996</v>
      </c>
      <c r="E24" s="61">
        <f t="shared" si="3"/>
        <v>0.63174926067112258</v>
      </c>
      <c r="F24" s="63">
        <f t="shared" si="4"/>
        <v>398002.03422280727</v>
      </c>
      <c r="G24" s="59">
        <v>315866</v>
      </c>
      <c r="H24" s="64">
        <f t="shared" si="5"/>
        <v>0.79362910950141941</v>
      </c>
      <c r="I24" s="63">
        <f t="shared" si="6"/>
        <v>312694.0551766968</v>
      </c>
      <c r="J24" s="64">
        <f t="shared" si="7"/>
        <v>1.0101439242953014</v>
      </c>
      <c r="K24" s="63">
        <f t="shared" si="0"/>
        <v>297059.35241786193</v>
      </c>
      <c r="L24" s="62">
        <f t="shared" si="1"/>
        <v>315866</v>
      </c>
      <c r="M24" s="163">
        <f t="shared" si="8"/>
        <v>1.0101439242953014</v>
      </c>
      <c r="AB24">
        <v>592101</v>
      </c>
      <c r="AC24" s="45"/>
      <c r="AD24" s="46"/>
    </row>
    <row r="25" spans="1:1009" x14ac:dyDescent="0.35">
      <c r="A25" s="59">
        <v>30</v>
      </c>
      <c r="B25" s="59">
        <v>9.9</v>
      </c>
      <c r="C25" s="60">
        <f t="shared" si="9"/>
        <v>29.700000000000003</v>
      </c>
      <c r="D25" s="61">
        <f t="shared" si="2"/>
        <v>11.087009999999999</v>
      </c>
      <c r="E25" s="61">
        <f t="shared" si="3"/>
        <v>0.94682271962560949</v>
      </c>
      <c r="F25" s="63">
        <f t="shared" si="4"/>
        <v>596498.31336413394</v>
      </c>
      <c r="G25" s="59">
        <v>471092</v>
      </c>
      <c r="H25" s="64">
        <f t="shared" si="5"/>
        <v>0.78976250132734349</v>
      </c>
      <c r="I25" s="63">
        <f t="shared" si="6"/>
        <v>468644.53061431763</v>
      </c>
      <c r="J25" s="64">
        <f t="shared" si="7"/>
        <v>1.0052224430795642</v>
      </c>
      <c r="K25" s="63">
        <f t="shared" si="0"/>
        <v>445212.30408360175</v>
      </c>
      <c r="L25" s="62">
        <f t="shared" si="1"/>
        <v>471092</v>
      </c>
      <c r="M25" s="163">
        <f t="shared" si="8"/>
        <v>1.0052224430795642</v>
      </c>
      <c r="AB25">
        <v>600145</v>
      </c>
      <c r="AC25" s="45"/>
      <c r="AD25" s="46"/>
    </row>
    <row r="26" spans="1:1009" ht="13.15" x14ac:dyDescent="0.4">
      <c r="A26" s="59">
        <v>40</v>
      </c>
      <c r="B26" s="59">
        <v>9.9</v>
      </c>
      <c r="C26" s="60">
        <f t="shared" si="9"/>
        <v>39.6</v>
      </c>
      <c r="D26" s="61">
        <f t="shared" si="2"/>
        <v>14.782679999999999</v>
      </c>
      <c r="E26" s="61">
        <f t="shared" si="3"/>
        <v>1.2613638690740299</v>
      </c>
      <c r="F26" s="63">
        <f t="shared" si="4"/>
        <v>794659.23751663882</v>
      </c>
      <c r="G26" s="59">
        <v>620381</v>
      </c>
      <c r="H26" s="64">
        <f t="shared" si="5"/>
        <v>0.78068808705820936</v>
      </c>
      <c r="I26" s="63">
        <f t="shared" si="6"/>
        <v>624331.53123934555</v>
      </c>
      <c r="J26" s="64">
        <f t="shared" si="7"/>
        <v>0.99367238231344257</v>
      </c>
      <c r="K26" s="63">
        <f t="shared" si="0"/>
        <v>593114.95467737829</v>
      </c>
      <c r="L26" s="62">
        <f t="shared" si="1"/>
        <v>620381</v>
      </c>
      <c r="M26" s="163">
        <f t="shared" si="8"/>
        <v>0.99367238231344257</v>
      </c>
      <c r="P26" s="8"/>
      <c r="Q26" s="8"/>
      <c r="AB26">
        <v>599839</v>
      </c>
      <c r="AC26" s="45"/>
      <c r="AD26" s="46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  <c r="AAA26" s="8"/>
      <c r="AAB26" s="8"/>
      <c r="AAC26" s="8"/>
      <c r="AAD26" s="8"/>
      <c r="AAE26" s="8"/>
      <c r="AAF26" s="8"/>
      <c r="AAG26" s="8"/>
      <c r="AAH26" s="8"/>
      <c r="AAI26" s="8"/>
      <c r="AAJ26" s="8"/>
      <c r="AAK26" s="8"/>
      <c r="AAL26" s="8"/>
      <c r="AAM26" s="8"/>
      <c r="AAN26" s="8"/>
      <c r="AAO26" s="8"/>
      <c r="AAP26" s="8"/>
      <c r="AAQ26" s="8"/>
      <c r="AAR26" s="8"/>
      <c r="AAS26" s="8"/>
      <c r="AAT26" s="8"/>
      <c r="AAU26" s="8"/>
      <c r="AAV26" s="8"/>
      <c r="AAW26" s="8"/>
      <c r="AAX26" s="8"/>
      <c r="AAY26" s="8"/>
      <c r="AAZ26" s="8"/>
      <c r="ABA26" s="8"/>
      <c r="ABB26" s="8"/>
      <c r="ABC26" s="8"/>
      <c r="ABD26" s="8"/>
      <c r="ABE26" s="8"/>
      <c r="ABF26" s="8"/>
      <c r="ABG26" s="8"/>
      <c r="ABH26" s="8"/>
      <c r="ABI26" s="8"/>
      <c r="ABJ26" s="8"/>
      <c r="ABK26" s="8"/>
      <c r="ABL26" s="8"/>
      <c r="ABM26" s="8"/>
      <c r="ABN26" s="8"/>
      <c r="ABO26" s="8"/>
      <c r="ABP26" s="8"/>
      <c r="ABQ26" s="8"/>
      <c r="ABR26" s="8"/>
      <c r="ABS26" s="8"/>
      <c r="ABT26" s="8"/>
      <c r="ABU26" s="8"/>
      <c r="ABV26" s="8"/>
      <c r="ABW26" s="8"/>
      <c r="ABX26" s="8"/>
      <c r="ABY26" s="8"/>
      <c r="ABZ26" s="8"/>
      <c r="ACA26" s="8"/>
      <c r="ACB26" s="8"/>
      <c r="ACC26" s="8"/>
      <c r="ACD26" s="8"/>
      <c r="ACE26" s="8"/>
      <c r="ACF26" s="8"/>
      <c r="ACG26" s="8"/>
      <c r="ACH26" s="8"/>
      <c r="ACI26" s="8"/>
      <c r="ACJ26" s="8"/>
      <c r="ACK26" s="8"/>
      <c r="ACL26" s="8"/>
      <c r="ACM26" s="8"/>
      <c r="ACN26" s="8"/>
      <c r="ACO26" s="8"/>
      <c r="ACP26" s="8"/>
      <c r="ACQ26" s="8"/>
      <c r="ACR26" s="8"/>
      <c r="ACS26" s="8"/>
      <c r="ACT26" s="8"/>
      <c r="ACU26" s="8"/>
      <c r="ACV26" s="8"/>
      <c r="ACW26" s="8"/>
      <c r="ACX26" s="8"/>
      <c r="ACY26" s="8"/>
      <c r="ACZ26" s="8"/>
      <c r="ADA26" s="8"/>
      <c r="ADB26" s="8"/>
      <c r="ADC26" s="8"/>
      <c r="ADD26" s="8"/>
      <c r="ADE26" s="8"/>
      <c r="ADF26" s="8"/>
      <c r="ADG26" s="8"/>
      <c r="ADH26" s="8"/>
      <c r="ADI26" s="8"/>
      <c r="ADJ26" s="8"/>
      <c r="ADK26" s="8"/>
      <c r="ADL26" s="8"/>
      <c r="ADM26" s="8"/>
      <c r="ADN26" s="8"/>
      <c r="ADO26" s="8"/>
      <c r="ADP26" s="8"/>
      <c r="ADQ26" s="8"/>
      <c r="ADR26" s="8"/>
      <c r="ADS26" s="8"/>
      <c r="ADT26" s="8"/>
      <c r="ADU26" s="8"/>
      <c r="ADV26" s="8"/>
      <c r="ADW26" s="8"/>
      <c r="ADX26" s="8"/>
      <c r="ADY26" s="8"/>
      <c r="ADZ26" s="8"/>
      <c r="AEA26" s="8"/>
      <c r="AEB26" s="8"/>
      <c r="AEC26" s="8"/>
      <c r="AED26" s="8"/>
      <c r="AEE26" s="8"/>
      <c r="AEF26" s="8"/>
      <c r="AEG26" s="8"/>
      <c r="AEH26" s="8"/>
      <c r="AEI26" s="8"/>
      <c r="AEJ26" s="8"/>
      <c r="AEK26" s="8"/>
      <c r="AEL26" s="8"/>
      <c r="AEM26" s="8"/>
      <c r="AEN26" s="8"/>
      <c r="AEO26" s="8"/>
      <c r="AEP26" s="8"/>
      <c r="AEQ26" s="8"/>
      <c r="AER26" s="8"/>
      <c r="AES26" s="8"/>
      <c r="AET26" s="8"/>
      <c r="AEU26" s="8"/>
      <c r="AEV26" s="8"/>
      <c r="AEW26" s="8"/>
      <c r="AEX26" s="8"/>
      <c r="AEY26" s="8"/>
      <c r="AEZ26" s="8"/>
      <c r="AFA26" s="8"/>
      <c r="AFB26" s="8"/>
      <c r="AFC26" s="8"/>
      <c r="AFD26" s="8"/>
      <c r="AFE26" s="8"/>
      <c r="AFF26" s="8"/>
      <c r="AFG26" s="8"/>
      <c r="AFH26" s="8"/>
      <c r="AFI26" s="8"/>
      <c r="AFJ26" s="8"/>
      <c r="AFK26" s="8"/>
      <c r="AFL26" s="8"/>
      <c r="AFM26" s="8"/>
      <c r="AFN26" s="8"/>
      <c r="AFO26" s="8"/>
      <c r="AFP26" s="8"/>
      <c r="AFQ26" s="8"/>
      <c r="AFR26" s="8"/>
      <c r="AFS26" s="8"/>
      <c r="AFT26" s="8"/>
      <c r="AFU26" s="8"/>
      <c r="AFV26" s="8"/>
      <c r="AFW26" s="8"/>
      <c r="AFX26" s="8"/>
      <c r="AFY26" s="8"/>
      <c r="AFZ26" s="8"/>
      <c r="AGA26" s="8"/>
      <c r="AGB26" s="8"/>
      <c r="AGC26" s="8"/>
      <c r="AGD26" s="8"/>
      <c r="AGE26" s="8"/>
      <c r="AGF26" s="8"/>
      <c r="AGG26" s="8"/>
      <c r="AGH26" s="8"/>
      <c r="AGI26" s="8"/>
      <c r="AGJ26" s="8"/>
      <c r="AGK26" s="8"/>
      <c r="AGL26" s="8"/>
      <c r="AGM26" s="8"/>
      <c r="AGN26" s="8"/>
      <c r="AGO26" s="8"/>
      <c r="AGP26" s="8"/>
      <c r="AGQ26" s="8"/>
      <c r="AGR26" s="8"/>
      <c r="AGS26" s="8"/>
      <c r="AGT26" s="8"/>
      <c r="AGU26" s="8"/>
      <c r="AGV26" s="8"/>
      <c r="AGW26" s="8"/>
      <c r="AGX26" s="8"/>
      <c r="AGY26" s="8"/>
      <c r="AGZ26" s="8"/>
      <c r="AHA26" s="8"/>
      <c r="AHB26" s="8"/>
      <c r="AHC26" s="8"/>
      <c r="AHD26" s="8"/>
      <c r="AHE26" s="8"/>
      <c r="AHF26" s="8"/>
      <c r="AHG26" s="8"/>
      <c r="AHH26" s="8"/>
      <c r="AHI26" s="8"/>
      <c r="AHJ26" s="8"/>
      <c r="AHK26" s="8"/>
      <c r="AHL26" s="8"/>
      <c r="AHM26" s="8"/>
      <c r="AHN26" s="8"/>
      <c r="AHO26" s="8"/>
      <c r="AHP26" s="8"/>
      <c r="AHQ26" s="8"/>
      <c r="AHR26" s="8"/>
      <c r="AHS26" s="8"/>
      <c r="AHT26" s="8"/>
      <c r="AHU26" s="8"/>
      <c r="AHV26" s="8"/>
      <c r="AHW26" s="8"/>
      <c r="AHX26" s="8"/>
      <c r="AHY26" s="8"/>
      <c r="AHZ26" s="8"/>
      <c r="AIA26" s="8"/>
      <c r="AIB26" s="8"/>
      <c r="AIC26" s="8"/>
      <c r="AID26" s="8"/>
      <c r="AIE26" s="8"/>
      <c r="AIF26" s="8"/>
      <c r="AIG26" s="8"/>
      <c r="AIH26" s="8"/>
      <c r="AII26" s="8"/>
      <c r="AIJ26" s="8"/>
      <c r="AIK26" s="8"/>
      <c r="AIL26" s="8"/>
      <c r="AIM26" s="8"/>
      <c r="AIN26" s="8"/>
      <c r="AIO26" s="8"/>
      <c r="AIP26" s="8"/>
      <c r="AIQ26" s="8"/>
      <c r="AIR26" s="8"/>
      <c r="AIS26" s="8"/>
      <c r="AIT26" s="8"/>
      <c r="AIU26" s="8"/>
      <c r="AIV26" s="8"/>
      <c r="AIW26" s="8"/>
      <c r="AIX26" s="8"/>
      <c r="AIY26" s="8"/>
      <c r="AIZ26" s="8"/>
      <c r="AJA26" s="8"/>
      <c r="AJB26" s="8"/>
      <c r="AJC26" s="8"/>
      <c r="AJD26" s="8"/>
      <c r="AJE26" s="8"/>
      <c r="AJF26" s="8"/>
      <c r="AJG26" s="8"/>
      <c r="AJH26" s="8"/>
      <c r="AJI26" s="8"/>
      <c r="AJJ26" s="8"/>
      <c r="AJK26" s="8"/>
      <c r="AJL26" s="8"/>
      <c r="AJM26" s="8"/>
      <c r="AJN26" s="8"/>
      <c r="AJO26" s="8"/>
      <c r="AJP26" s="8"/>
      <c r="AJQ26" s="8"/>
      <c r="AJR26" s="8"/>
      <c r="AJS26" s="8"/>
      <c r="AJT26" s="8"/>
      <c r="AJU26" s="8"/>
      <c r="AJV26" s="8"/>
      <c r="AJW26" s="8"/>
      <c r="AJX26" s="8"/>
      <c r="AJY26" s="8"/>
      <c r="AJZ26" s="8"/>
      <c r="AKA26" s="8"/>
      <c r="AKB26" s="8"/>
      <c r="AKC26" s="8"/>
      <c r="AKD26" s="8"/>
      <c r="AKE26" s="8"/>
      <c r="AKF26" s="8"/>
      <c r="AKG26" s="8"/>
      <c r="AKH26" s="8"/>
      <c r="AKI26" s="8"/>
      <c r="AKJ26" s="8"/>
      <c r="AKK26" s="8"/>
      <c r="AKL26" s="8"/>
      <c r="AKM26" s="8"/>
      <c r="AKN26" s="8"/>
      <c r="AKO26" s="8"/>
      <c r="AKP26" s="8"/>
      <c r="AKQ26" s="8"/>
      <c r="AKR26" s="8"/>
      <c r="AKS26" s="8"/>
      <c r="AKT26" s="8"/>
      <c r="AKU26" s="8"/>
      <c r="AKV26" s="8"/>
      <c r="AKW26" s="8"/>
      <c r="AKX26" s="8"/>
      <c r="AKY26" s="8"/>
      <c r="AKZ26" s="8"/>
      <c r="ALA26" s="8"/>
      <c r="ALB26" s="8"/>
      <c r="ALC26" s="8"/>
      <c r="ALD26" s="8"/>
      <c r="ALE26" s="8"/>
      <c r="ALF26" s="8"/>
      <c r="ALG26" s="8"/>
      <c r="ALH26" s="8"/>
      <c r="ALI26" s="8"/>
      <c r="ALJ26" s="8"/>
      <c r="ALK26" s="8"/>
      <c r="ALL26" s="8"/>
      <c r="ALM26" s="8"/>
      <c r="ALN26" s="8"/>
      <c r="ALO26" s="8"/>
      <c r="ALP26" s="8"/>
      <c r="ALQ26" s="8"/>
      <c r="ALR26" s="8"/>
      <c r="ALS26" s="8"/>
      <c r="ALT26" s="8"/>
      <c r="ALU26" s="8"/>
    </row>
    <row r="27" spans="1:1009" x14ac:dyDescent="0.35">
      <c r="A27" s="59">
        <v>50</v>
      </c>
      <c r="B27" s="59">
        <v>9.9</v>
      </c>
      <c r="C27" s="60">
        <f t="shared" si="9"/>
        <v>49.5</v>
      </c>
      <c r="D27" s="61">
        <f t="shared" si="2"/>
        <v>18.478349999999999</v>
      </c>
      <c r="E27" s="61">
        <f t="shared" si="3"/>
        <v>1.5753740568651688</v>
      </c>
      <c r="F27" s="63">
        <f t="shared" si="4"/>
        <v>992485.65582505637</v>
      </c>
      <c r="G27" s="59">
        <v>760309</v>
      </c>
      <c r="H27" s="64">
        <f t="shared" si="5"/>
        <v>0.76606547967481986</v>
      </c>
      <c r="I27" s="63">
        <f t="shared" si="6"/>
        <v>779755.72419035691</v>
      </c>
      <c r="J27" s="64">
        <f t="shared" si="7"/>
        <v>0.97506049191168298</v>
      </c>
      <c r="K27" s="63">
        <f t="shared" si="0"/>
        <v>740767.93798083905</v>
      </c>
      <c r="L27" s="62">
        <f t="shared" si="1"/>
        <v>760309</v>
      </c>
      <c r="M27" s="163">
        <f t="shared" si="8"/>
        <v>0.97506049191168298</v>
      </c>
      <c r="AB27">
        <v>606849</v>
      </c>
      <c r="AC27" s="45"/>
      <c r="AD27" s="46"/>
    </row>
    <row r="28" spans="1:1009" ht="13.15" x14ac:dyDescent="0.4">
      <c r="A28" s="59">
        <v>60</v>
      </c>
      <c r="B28" s="59">
        <v>9.9</v>
      </c>
      <c r="C28" s="60">
        <f t="shared" si="9"/>
        <v>59.4</v>
      </c>
      <c r="D28" s="61">
        <f t="shared" si="2"/>
        <v>22.174019999999995</v>
      </c>
      <c r="E28" s="61">
        <f t="shared" si="3"/>
        <v>1.8888546263011734</v>
      </c>
      <c r="F28" s="63">
        <f t="shared" si="4"/>
        <v>1189978.4145697393</v>
      </c>
      <c r="G28" s="65">
        <v>922391</v>
      </c>
      <c r="H28" s="64">
        <f t="shared" si="5"/>
        <v>0.7751325475374351</v>
      </c>
      <c r="I28" s="63">
        <f t="shared" si="6"/>
        <v>934917.77435549931</v>
      </c>
      <c r="J28" s="64">
        <f t="shared" si="7"/>
        <v>0.98660120205315938</v>
      </c>
      <c r="K28" s="63">
        <f t="shared" si="0"/>
        <v>888171.88563772431</v>
      </c>
      <c r="L28" s="62">
        <f t="shared" si="1"/>
        <v>922391</v>
      </c>
      <c r="M28" s="163">
        <f t="shared" si="8"/>
        <v>0.98660120205315938</v>
      </c>
      <c r="AB28">
        <v>607236</v>
      </c>
      <c r="AC28" s="45"/>
      <c r="AD28" s="46"/>
    </row>
    <row r="29" spans="1:1009" x14ac:dyDescent="0.35">
      <c r="A29" s="59">
        <v>70</v>
      </c>
      <c r="B29" s="59">
        <v>9.9</v>
      </c>
      <c r="C29" s="60">
        <f t="shared" si="9"/>
        <v>69.3</v>
      </c>
      <c r="D29" s="61">
        <f t="shared" si="2"/>
        <v>25.869689999999995</v>
      </c>
      <c r="E29" s="61">
        <f t="shared" si="3"/>
        <v>2.2018069161567069</v>
      </c>
      <c r="F29" s="63">
        <f t="shared" si="4"/>
        <v>1387138.3571787253</v>
      </c>
      <c r="G29" s="59">
        <f>1143045-$I$6</f>
        <v>1083045</v>
      </c>
      <c r="H29" s="64">
        <f t="shared" si="5"/>
        <v>0.78077647726704413</v>
      </c>
      <c r="I29" s="63">
        <f t="shared" si="6"/>
        <v>1089818.3443819722</v>
      </c>
      <c r="J29" s="64">
        <f t="shared" si="7"/>
        <v>0.99378488679614463</v>
      </c>
      <c r="K29" s="63">
        <f t="shared" si="0"/>
        <v>1035327.4271628736</v>
      </c>
      <c r="L29" s="62">
        <f t="shared" si="1"/>
        <v>1083045</v>
      </c>
      <c r="M29" s="163">
        <f t="shared" si="8"/>
        <v>0.99378488679614463</v>
      </c>
      <c r="AB29">
        <v>615108</v>
      </c>
      <c r="AC29" s="45">
        <f>SUM(AB22:AB29)/8</f>
        <v>597630</v>
      </c>
      <c r="AD29" s="46">
        <f>(MAX(AB22:AB28)-MIN(AB22:AB28))/AC29*100</f>
        <v>4.7795458728644817</v>
      </c>
    </row>
    <row r="30" spans="1:1009" ht="13.15" x14ac:dyDescent="0.4">
      <c r="A30" s="59">
        <v>80</v>
      </c>
      <c r="B30" s="59">
        <v>9.9</v>
      </c>
      <c r="C30" s="60">
        <f t="shared" si="9"/>
        <v>79.2</v>
      </c>
      <c r="D30" s="61">
        <f t="shared" si="2"/>
        <v>29.565359999999998</v>
      </c>
      <c r="E30" s="61">
        <f t="shared" si="3"/>
        <v>2.5142322606980065</v>
      </c>
      <c r="F30" s="63">
        <f t="shared" si="4"/>
        <v>1583966.3242397441</v>
      </c>
      <c r="G30" s="59">
        <f>1304140 -$I$6</f>
        <v>1244140</v>
      </c>
      <c r="H30" s="64">
        <f t="shared" si="5"/>
        <v>0.7854586180025952</v>
      </c>
      <c r="I30" s="63">
        <f t="shared" si="6"/>
        <v>1244458.0946854604</v>
      </c>
      <c r="J30" s="64">
        <f t="shared" si="7"/>
        <v>0.99974439100294421</v>
      </c>
      <c r="K30" s="63">
        <f t="shared" si="0"/>
        <v>1182235.1899511875</v>
      </c>
      <c r="L30" s="62">
        <f t="shared" si="1"/>
        <v>1244140</v>
      </c>
      <c r="M30" s="163">
        <f t="shared" si="8"/>
        <v>0.99974439100294421</v>
      </c>
      <c r="AB30" s="8">
        <v>723681</v>
      </c>
      <c r="AC30" s="66"/>
      <c r="AD30" s="46"/>
    </row>
    <row r="31" spans="1:1009" x14ac:dyDescent="0.35">
      <c r="A31" s="59">
        <v>90</v>
      </c>
      <c r="B31" s="59">
        <v>9.9</v>
      </c>
      <c r="C31" s="60">
        <f t="shared" si="9"/>
        <v>89.100000000000009</v>
      </c>
      <c r="D31" s="61">
        <f t="shared" si="2"/>
        <v>33.261029999999998</v>
      </c>
      <c r="E31" s="61">
        <f t="shared" si="3"/>
        <v>2.8261319897018464</v>
      </c>
      <c r="F31" s="63">
        <f t="shared" si="4"/>
        <v>1780463.1535121633</v>
      </c>
      <c r="G31" s="59">
        <f>1467530-$I$6</f>
        <v>1407530</v>
      </c>
      <c r="H31" s="64">
        <f t="shared" si="5"/>
        <v>0.79054149321960931</v>
      </c>
      <c r="I31" s="63">
        <f t="shared" si="6"/>
        <v>1398837.6834595192</v>
      </c>
      <c r="J31" s="64">
        <f t="shared" si="7"/>
        <v>1.0062139565178023</v>
      </c>
      <c r="K31" s="63">
        <f t="shared" si="0"/>
        <v>1328895.7992865432</v>
      </c>
      <c r="L31" s="62">
        <f t="shared" si="1"/>
        <v>1407530</v>
      </c>
      <c r="M31" s="163">
        <f t="shared" si="8"/>
        <v>1.0062139565178023</v>
      </c>
      <c r="AB31">
        <v>707528</v>
      </c>
      <c r="AC31" s="45"/>
      <c r="AD31" s="46"/>
    </row>
    <row r="32" spans="1:1009" x14ac:dyDescent="0.35">
      <c r="A32" s="59">
        <v>100</v>
      </c>
      <c r="B32" s="59">
        <v>9.9</v>
      </c>
      <c r="C32" s="60">
        <f t="shared" si="9"/>
        <v>99.000000000000014</v>
      </c>
      <c r="D32" s="61">
        <f t="shared" si="2"/>
        <v>36.956700000000005</v>
      </c>
      <c r="E32" s="61">
        <f t="shared" si="3"/>
        <v>3.1375074284744042</v>
      </c>
      <c r="F32" s="63">
        <f t="shared" si="4"/>
        <v>1976629.6799388747</v>
      </c>
      <c r="G32" s="59">
        <f>1622624-$I$6</f>
        <v>1562624</v>
      </c>
      <c r="H32" s="64">
        <f t="shared" si="5"/>
        <v>0.79054969975373568</v>
      </c>
      <c r="I32" s="63">
        <f t="shared" si="6"/>
        <v>1552957.7666849128</v>
      </c>
      <c r="J32" s="64">
        <f t="shared" si="7"/>
        <v>1.0062244019267321</v>
      </c>
      <c r="K32" s="63">
        <f t="shared" si="0"/>
        <v>1475309.8783506672</v>
      </c>
      <c r="L32" s="62">
        <f t="shared" si="1"/>
        <v>1562624</v>
      </c>
      <c r="M32" s="163">
        <f t="shared" si="8"/>
        <v>1.0062244019267321</v>
      </c>
      <c r="AB32">
        <v>726643</v>
      </c>
      <c r="AC32" s="45"/>
      <c r="AD32" s="46"/>
    </row>
    <row r="33" spans="1:30" x14ac:dyDescent="0.35">
      <c r="A33" s="59">
        <v>110</v>
      </c>
      <c r="B33" s="59">
        <v>9.9</v>
      </c>
      <c r="C33" s="60">
        <f t="shared" si="9"/>
        <v>108.90000000000002</v>
      </c>
      <c r="D33" s="61">
        <f t="shared" si="2"/>
        <v>40.652370000000005</v>
      </c>
      <c r="E33" s="61">
        <f t="shared" si="3"/>
        <v>3.4483598978700307</v>
      </c>
      <c r="F33" s="63">
        <f t="shared" si="4"/>
        <v>2172466.7356581194</v>
      </c>
      <c r="G33" s="59">
        <f>1773393-$I$6</f>
        <v>1713393</v>
      </c>
      <c r="H33" s="64">
        <f t="shared" si="5"/>
        <v>0.78868549371871088</v>
      </c>
      <c r="I33" s="63">
        <f t="shared" si="6"/>
        <v>1706818.9981389057</v>
      </c>
      <c r="J33" s="64">
        <f t="shared" si="7"/>
        <v>1.0038516104333632</v>
      </c>
      <c r="K33" s="63">
        <f t="shared" si="0"/>
        <v>1621478.0482319603</v>
      </c>
      <c r="L33" s="62">
        <f t="shared" si="1"/>
        <v>1713393</v>
      </c>
      <c r="M33" s="163">
        <f t="shared" si="8"/>
        <v>1.0038516104333632</v>
      </c>
      <c r="AB33">
        <v>726839</v>
      </c>
      <c r="AC33" s="45"/>
      <c r="AD33" s="46"/>
    </row>
    <row r="34" spans="1:30" x14ac:dyDescent="0.35">
      <c r="A34" s="59">
        <v>120</v>
      </c>
      <c r="B34" s="59">
        <v>9.9</v>
      </c>
      <c r="C34" s="60">
        <f t="shared" si="9"/>
        <v>118.80000000000003</v>
      </c>
      <c r="D34" s="61">
        <f t="shared" si="2"/>
        <v>44.348039999999997</v>
      </c>
      <c r="E34" s="61">
        <f t="shared" si="3"/>
        <v>3.7586907143099295</v>
      </c>
      <c r="F34" s="63">
        <f t="shared" si="4"/>
        <v>2367975.1500152559</v>
      </c>
      <c r="G34" s="59">
        <f>1933206-$I$6</f>
        <v>1873206</v>
      </c>
      <c r="H34" s="64">
        <f t="shared" si="5"/>
        <v>0.79105813250951207</v>
      </c>
      <c r="I34" s="63">
        <f t="shared" si="6"/>
        <v>1860422.0294045073</v>
      </c>
      <c r="J34" s="64">
        <f t="shared" si="7"/>
        <v>1.0068715433344899</v>
      </c>
      <c r="K34" s="63">
        <f t="shared" si="0"/>
        <v>1767400.9279342818</v>
      </c>
      <c r="L34" s="62">
        <f t="shared" si="1"/>
        <v>1873206</v>
      </c>
      <c r="M34" s="163">
        <f t="shared" si="8"/>
        <v>1.0068715433344899</v>
      </c>
      <c r="AB34">
        <v>732858</v>
      </c>
      <c r="AC34" s="45"/>
      <c r="AD34" s="46"/>
    </row>
    <row r="35" spans="1:30" x14ac:dyDescent="0.35">
      <c r="A35" s="59">
        <v>130</v>
      </c>
      <c r="B35" s="59">
        <v>9.9</v>
      </c>
      <c r="C35" s="60">
        <f t="shared" si="9"/>
        <v>128.70000000000002</v>
      </c>
      <c r="D35" s="61">
        <f t="shared" si="2"/>
        <v>48.043709999999997</v>
      </c>
      <c r="E35" s="61">
        <f t="shared" si="3"/>
        <v>4.0685011898007399</v>
      </c>
      <c r="F35" s="63">
        <f t="shared" si="4"/>
        <v>2563155.7495744661</v>
      </c>
      <c r="G35" s="59">
        <f>2089887-$I$6</f>
        <v>2029887</v>
      </c>
      <c r="H35" s="64">
        <f t="shared" si="5"/>
        <v>0.79194836300408233</v>
      </c>
      <c r="I35" s="63">
        <f t="shared" si="6"/>
        <v>2013767.5098796701</v>
      </c>
      <c r="J35" s="64">
        <f t="shared" si="7"/>
        <v>1.0080046430589662</v>
      </c>
      <c r="K35" s="63">
        <f t="shared" si="0"/>
        <v>1913079.1343856866</v>
      </c>
      <c r="L35" s="62">
        <f t="shared" si="1"/>
        <v>2029887</v>
      </c>
      <c r="M35" s="163">
        <f t="shared" si="8"/>
        <v>1.0080046430589662</v>
      </c>
      <c r="AB35">
        <v>705786</v>
      </c>
      <c r="AC35" s="45"/>
      <c r="AD35" s="46"/>
    </row>
    <row r="36" spans="1:30" x14ac:dyDescent="0.35">
      <c r="A36" s="67">
        <v>140</v>
      </c>
      <c r="B36" s="59">
        <v>9.9</v>
      </c>
      <c r="C36" s="68">
        <f t="shared" si="9"/>
        <v>138.60000000000002</v>
      </c>
      <c r="D36" s="69">
        <f t="shared" si="2"/>
        <v>51.739380000000004</v>
      </c>
      <c r="E36" s="69">
        <f t="shared" si="3"/>
        <v>4.3777926319530236</v>
      </c>
      <c r="F36" s="70">
        <f t="shared" si="4"/>
        <v>2758009.3581304047</v>
      </c>
      <c r="G36" s="67">
        <f>2257397-$I$6</f>
        <v>2197397</v>
      </c>
      <c r="H36" s="71">
        <f t="shared" si="5"/>
        <v>0.7967329746442805</v>
      </c>
      <c r="I36" s="70">
        <f t="shared" si="6"/>
        <v>2166856.0867864401</v>
      </c>
      <c r="J36" s="71">
        <f t="shared" si="7"/>
        <v>1.0140945738850859</v>
      </c>
      <c r="K36" s="70">
        <f t="shared" si="0"/>
        <v>2058513.2824471181</v>
      </c>
      <c r="L36" s="72">
        <f t="shared" si="1"/>
        <v>2197397</v>
      </c>
      <c r="M36" s="163">
        <f t="shared" si="8"/>
        <v>1.0140945738850859</v>
      </c>
      <c r="AB36">
        <v>700985</v>
      </c>
      <c r="AC36" s="45"/>
      <c r="AD36" s="46"/>
    </row>
    <row r="37" spans="1:30" x14ac:dyDescent="0.35">
      <c r="A37" s="67">
        <v>150</v>
      </c>
      <c r="B37" s="59">
        <v>9.9</v>
      </c>
      <c r="C37" s="68">
        <f t="shared" si="9"/>
        <v>148.50000000000003</v>
      </c>
      <c r="D37" s="69">
        <f t="shared" si="2"/>
        <v>55.435050000000004</v>
      </c>
      <c r="E37" s="69">
        <f t="shared" si="3"/>
        <v>4.6865663439996625</v>
      </c>
      <c r="F37" s="70">
        <f t="shared" si="4"/>
        <v>2952536.7967197876</v>
      </c>
      <c r="G37" s="67">
        <f>2386943-$I$6</f>
        <v>2326943</v>
      </c>
      <c r="H37" s="71">
        <f t="shared" si="5"/>
        <v>0.78811651139629813</v>
      </c>
      <c r="I37" s="70">
        <f t="shared" si="6"/>
        <v>2319688.4051800636</v>
      </c>
      <c r="J37" s="71">
        <f t="shared" si="7"/>
        <v>1.0031274005610997</v>
      </c>
      <c r="K37" s="70">
        <f t="shared" si="0"/>
        <v>2203703.9849210605</v>
      </c>
      <c r="L37" s="72">
        <f t="shared" si="1"/>
        <v>2326943</v>
      </c>
      <c r="M37" s="163">
        <f t="shared" si="8"/>
        <v>1.0031274005610997</v>
      </c>
      <c r="AB37">
        <v>726528</v>
      </c>
      <c r="AC37" s="45"/>
      <c r="AD37" s="46"/>
    </row>
    <row r="38" spans="1:30" x14ac:dyDescent="0.35">
      <c r="F38" s="45"/>
      <c r="M38" s="49"/>
      <c r="AB38">
        <v>735848</v>
      </c>
      <c r="AC38" s="45">
        <f>SUM(AB30:AB38)/9</f>
        <v>720744</v>
      </c>
      <c r="AD38" s="46">
        <f>(MAX(AB30:AB37)-MIN(AB30:AB37))/AC38*100</f>
        <v>4.4222359117800494</v>
      </c>
    </row>
    <row r="39" spans="1:30" x14ac:dyDescent="0.35">
      <c r="F39" s="45"/>
      <c r="AB39">
        <v>731747</v>
      </c>
      <c r="AC39" s="45"/>
      <c r="AD39" s="46"/>
    </row>
    <row r="40" spans="1:30" x14ac:dyDescent="0.35">
      <c r="AB40">
        <v>836817</v>
      </c>
      <c r="AC40" s="45"/>
      <c r="AD40" s="46"/>
    </row>
    <row r="41" spans="1:30" x14ac:dyDescent="0.35">
      <c r="AB41">
        <v>827707</v>
      </c>
      <c r="AC41" s="45"/>
      <c r="AD41" s="46"/>
    </row>
    <row r="42" spans="1:30" x14ac:dyDescent="0.35">
      <c r="AB42">
        <v>822322</v>
      </c>
      <c r="AC42" s="45"/>
      <c r="AD42" s="46"/>
    </row>
    <row r="43" spans="1:30" x14ac:dyDescent="0.35">
      <c r="AB43">
        <v>853847</v>
      </c>
      <c r="AC43" s="45"/>
      <c r="AD43" s="46"/>
    </row>
    <row r="44" spans="1:30" x14ac:dyDescent="0.35">
      <c r="AB44">
        <v>848079</v>
      </c>
      <c r="AC44" s="45">
        <f>SUM(AB40:AB44)/5</f>
        <v>837754.4</v>
      </c>
      <c r="AD44" s="46">
        <f>(MAX(AB40:AB43)-MIN(AB40:AB43))/AC44*100</f>
        <v>3.7630360401568765</v>
      </c>
    </row>
    <row r="45" spans="1:30" x14ac:dyDescent="0.35">
      <c r="AB45">
        <v>954372</v>
      </c>
      <c r="AC45" s="45"/>
      <c r="AD45" s="46"/>
    </row>
    <row r="46" spans="1:30" x14ac:dyDescent="0.35">
      <c r="AB46">
        <v>944582</v>
      </c>
      <c r="AC46" s="45"/>
      <c r="AD46" s="46"/>
    </row>
    <row r="47" spans="1:30" x14ac:dyDescent="0.35">
      <c r="AB47">
        <v>968293</v>
      </c>
      <c r="AC47" s="45"/>
      <c r="AD47" s="46"/>
    </row>
    <row r="48" spans="1:30" x14ac:dyDescent="0.35">
      <c r="AB48">
        <v>955723</v>
      </c>
      <c r="AC48" s="45"/>
      <c r="AD48" s="46"/>
    </row>
    <row r="49" spans="28:30" x14ac:dyDescent="0.35">
      <c r="AB49">
        <v>964172</v>
      </c>
      <c r="AC49" s="45"/>
      <c r="AD49" s="46"/>
    </row>
    <row r="50" spans="28:30" x14ac:dyDescent="0.35">
      <c r="AB50">
        <v>920144</v>
      </c>
      <c r="AC50" s="45"/>
      <c r="AD50" s="46"/>
    </row>
    <row r="51" spans="28:30" x14ac:dyDescent="0.35">
      <c r="AB51">
        <v>949327</v>
      </c>
      <c r="AC51" s="45"/>
      <c r="AD51" s="46"/>
    </row>
    <row r="52" spans="28:30" x14ac:dyDescent="0.35">
      <c r="AB52">
        <v>956910</v>
      </c>
      <c r="AC52" s="45"/>
      <c r="AD52" s="46"/>
    </row>
    <row r="53" spans="28:30" x14ac:dyDescent="0.35">
      <c r="AB53">
        <v>951584</v>
      </c>
      <c r="AC53" s="45"/>
      <c r="AD53" s="46"/>
    </row>
    <row r="54" spans="28:30" x14ac:dyDescent="0.35">
      <c r="AB54">
        <v>971636</v>
      </c>
      <c r="AC54" s="45">
        <f>SUM(AB45:AB54)/10</f>
        <v>953674.3</v>
      </c>
      <c r="AD54" s="46">
        <f>(MAX(AB45:AB53)-MIN(AB45:AB53))/AC54*100</f>
        <v>5.0487886692553214</v>
      </c>
    </row>
    <row r="55" spans="28:30" x14ac:dyDescent="0.35">
      <c r="AB55">
        <v>1084905</v>
      </c>
      <c r="AC55" s="45"/>
      <c r="AD55" s="46"/>
    </row>
    <row r="56" spans="28:30" x14ac:dyDescent="0.35">
      <c r="AB56">
        <v>1073791</v>
      </c>
      <c r="AC56" s="45"/>
      <c r="AD56" s="46"/>
    </row>
    <row r="57" spans="28:30" x14ac:dyDescent="0.35">
      <c r="AB57">
        <v>1082662</v>
      </c>
      <c r="AC57" s="45"/>
      <c r="AD57" s="46"/>
    </row>
    <row r="58" spans="28:30" x14ac:dyDescent="0.35">
      <c r="AB58">
        <v>1095580</v>
      </c>
      <c r="AC58" s="45"/>
      <c r="AD58" s="46"/>
    </row>
    <row r="59" spans="28:30" x14ac:dyDescent="0.35">
      <c r="AB59">
        <v>1092684</v>
      </c>
      <c r="AC59" s="45">
        <f>SUM(AB55:AB59)/5</f>
        <v>1085924.3999999999</v>
      </c>
      <c r="AD59" s="46">
        <f>(MAX(AB55:AB58)-MIN(AB55:AB58))/AC59*100</f>
        <v>2.0064932696972275</v>
      </c>
    </row>
    <row r="60" spans="28:30" x14ac:dyDescent="0.35">
      <c r="AB60">
        <v>1205750</v>
      </c>
      <c r="AC60" s="45"/>
      <c r="AD60" s="46"/>
    </row>
    <row r="61" spans="28:30" x14ac:dyDescent="0.35">
      <c r="AB61">
        <v>1188471</v>
      </c>
      <c r="AC61" s="45"/>
      <c r="AD61" s="46"/>
    </row>
    <row r="62" spans="28:30" x14ac:dyDescent="0.35">
      <c r="AB62">
        <v>1219844</v>
      </c>
      <c r="AC62" s="45"/>
      <c r="AD62" s="46"/>
    </row>
    <row r="63" spans="28:30" x14ac:dyDescent="0.35">
      <c r="AB63">
        <v>1175662</v>
      </c>
      <c r="AC63" s="45"/>
      <c r="AD63" s="46"/>
    </row>
    <row r="64" spans="28:30" x14ac:dyDescent="0.35">
      <c r="AB64">
        <v>1207639</v>
      </c>
      <c r="AC64" s="45">
        <f>SUM(AB60:AB64)/5</f>
        <v>1199473.2</v>
      </c>
      <c r="AD64" s="46">
        <f>(MAX(AB60:AB63)-MIN(AB60:AB63))/AC64*100</f>
        <v>3.6834503680449049</v>
      </c>
    </row>
    <row r="65" spans="2:30" x14ac:dyDescent="0.35">
      <c r="AB65">
        <v>1404845</v>
      </c>
      <c r="AC65" s="45"/>
      <c r="AD65" s="46"/>
    </row>
    <row r="66" spans="2:30" x14ac:dyDescent="0.35">
      <c r="AB66">
        <v>1399177</v>
      </c>
      <c r="AC66" s="45"/>
      <c r="AD66" s="46"/>
    </row>
    <row r="67" spans="2:30" x14ac:dyDescent="0.35">
      <c r="AB67">
        <v>1434430</v>
      </c>
      <c r="AC67" s="45"/>
      <c r="AD67" s="46"/>
    </row>
    <row r="68" spans="2:30" x14ac:dyDescent="0.35">
      <c r="AB68">
        <v>1417323</v>
      </c>
      <c r="AC68" s="45"/>
      <c r="AD68" s="46"/>
    </row>
    <row r="69" spans="2:30" x14ac:dyDescent="0.35">
      <c r="AB69">
        <v>1428968</v>
      </c>
      <c r="AC69" s="45">
        <f>SUM(AB65:AB69)/5</f>
        <v>1416948.6</v>
      </c>
      <c r="AD69" s="46">
        <f>(MAX(AB65:AB68)-MIN(AB65:AB68))/AC69*100</f>
        <v>2.4879519271200095</v>
      </c>
    </row>
    <row r="70" spans="2:30" x14ac:dyDescent="0.35">
      <c r="AB70">
        <v>1502457</v>
      </c>
      <c r="AC70" s="45"/>
      <c r="AD70" s="46"/>
    </row>
    <row r="71" spans="2:30" x14ac:dyDescent="0.35">
      <c r="AB71">
        <v>1504837</v>
      </c>
      <c r="AC71" s="45"/>
      <c r="AD71" s="46"/>
    </row>
    <row r="72" spans="2:30" ht="13.15" x14ac:dyDescent="0.4">
      <c r="B72" s="8" t="s">
        <v>92</v>
      </c>
      <c r="I72" s="8" t="s">
        <v>92</v>
      </c>
      <c r="AB72">
        <v>1524086</v>
      </c>
      <c r="AC72" s="45"/>
      <c r="AD72" s="46"/>
    </row>
    <row r="73" spans="2:30" x14ac:dyDescent="0.35">
      <c r="B73" t="s">
        <v>104</v>
      </c>
      <c r="C73" t="s">
        <v>105</v>
      </c>
      <c r="I73" t="s">
        <v>104</v>
      </c>
      <c r="J73" t="s">
        <v>106</v>
      </c>
      <c r="AB73">
        <v>1554010</v>
      </c>
      <c r="AC73" s="45"/>
      <c r="AD73" s="46"/>
    </row>
    <row r="74" spans="2:30" x14ac:dyDescent="0.35">
      <c r="AB74">
        <v>1549983</v>
      </c>
      <c r="AC74" s="45"/>
      <c r="AD74" s="46"/>
    </row>
    <row r="75" spans="2:30" x14ac:dyDescent="0.35">
      <c r="B75" t="s">
        <v>107</v>
      </c>
      <c r="I75" t="s">
        <v>107</v>
      </c>
      <c r="AB75">
        <v>1512338</v>
      </c>
      <c r="AC75" s="45"/>
      <c r="AD75" s="46"/>
    </row>
    <row r="76" spans="2:30" x14ac:dyDescent="0.35">
      <c r="B76">
        <f t="array" ref="B76:C80">LINEST($G$22:$G$26, $E$22:$E$26, 0, 1)</f>
        <v>494965.44696311047</v>
      </c>
      <c r="C76">
        <v>0</v>
      </c>
      <c r="I76">
        <f t="array" ref="I76:J80">LINEST(LN($J$22:$J$36), LN($G$22:$G$36), 1, 1)</f>
        <v>1.0811750846014074E-4</v>
      </c>
      <c r="J76">
        <v>8.3215736731011248E-5</v>
      </c>
      <c r="AB76">
        <v>1494015</v>
      </c>
      <c r="AC76" s="45"/>
      <c r="AD76" s="46"/>
    </row>
    <row r="77" spans="2:30" x14ac:dyDescent="0.35">
      <c r="B77">
        <v>1736.9316789731779</v>
      </c>
      <c r="C77" t="e">
        <v>#N/A</v>
      </c>
      <c r="I77">
        <v>8.0891524189165341E-4</v>
      </c>
      <c r="J77">
        <v>1.0765894584772222E-2</v>
      </c>
      <c r="AB77">
        <v>1540956</v>
      </c>
      <c r="AC77" s="45"/>
      <c r="AD77" s="46"/>
    </row>
    <row r="78" spans="2:30" x14ac:dyDescent="0.35">
      <c r="B78">
        <v>0.99995074454820643</v>
      </c>
      <c r="C78">
        <v>3001.7099554927154</v>
      </c>
      <c r="I78">
        <v>1.37229120669095E-3</v>
      </c>
      <c r="J78">
        <v>1.0982714893946437E-2</v>
      </c>
      <c r="AB78">
        <v>1535685</v>
      </c>
      <c r="AC78" s="45"/>
      <c r="AD78" s="46"/>
    </row>
    <row r="79" spans="2:30" x14ac:dyDescent="0.35">
      <c r="B79">
        <v>81205.284542923371</v>
      </c>
      <c r="C79">
        <v>4</v>
      </c>
      <c r="I79">
        <v>1.7864300709760035E-2</v>
      </c>
      <c r="J79">
        <v>13</v>
      </c>
      <c r="AB79">
        <v>1543844</v>
      </c>
      <c r="AC79" s="45">
        <f>SUM(AB70:AB79)/10</f>
        <v>1526221.1</v>
      </c>
      <c r="AD79" s="46">
        <f>(MAX(AB70:AB78)-MIN(AB70:AB78))/AC79*100</f>
        <v>3.9309507646041584</v>
      </c>
    </row>
    <row r="80" spans="2:30" x14ac:dyDescent="0.35">
      <c r="B80">
        <v>731680942860.37244</v>
      </c>
      <c r="C80">
        <v>36041050.627616316</v>
      </c>
      <c r="I80">
        <v>2.1547924239739662E-6</v>
      </c>
      <c r="J80">
        <v>1.5680603437422677E-3</v>
      </c>
      <c r="AB80">
        <v>1665079</v>
      </c>
      <c r="AC80" s="45"/>
      <c r="AD80" s="46"/>
    </row>
    <row r="81" spans="2:30" x14ac:dyDescent="0.35">
      <c r="AB81">
        <v>1647703</v>
      </c>
      <c r="AC81" s="45"/>
      <c r="AD81" s="46"/>
    </row>
    <row r="82" spans="2:30" x14ac:dyDescent="0.35">
      <c r="B82" t="s">
        <v>108</v>
      </c>
      <c r="I82" t="s">
        <v>108</v>
      </c>
      <c r="AB82">
        <v>1659088</v>
      </c>
      <c r="AC82" s="45"/>
      <c r="AD82" s="46"/>
    </row>
    <row r="83" spans="2:30" x14ac:dyDescent="0.35">
      <c r="B83" t="s">
        <v>109</v>
      </c>
      <c r="C83">
        <f>$B$78</f>
        <v>0.99995074454820643</v>
      </c>
      <c r="I83" t="s">
        <v>109</v>
      </c>
      <c r="J83">
        <f>$I$78</f>
        <v>1.37229120669095E-3</v>
      </c>
      <c r="AB83">
        <v>1647890</v>
      </c>
      <c r="AC83" s="45"/>
      <c r="AD83" s="46"/>
    </row>
    <row r="84" spans="2:30" x14ac:dyDescent="0.35">
      <c r="B84" t="s">
        <v>110</v>
      </c>
      <c r="C84">
        <f>$C$78</f>
        <v>3001.7099554927154</v>
      </c>
      <c r="I84" t="s">
        <v>110</v>
      </c>
      <c r="J84">
        <f>$J$78</f>
        <v>1.0982714893946437E-2</v>
      </c>
      <c r="AB84">
        <v>1649454</v>
      </c>
      <c r="AC84" s="45">
        <f>SUM(AB80:AB84)/5</f>
        <v>1653842.8</v>
      </c>
      <c r="AD84" s="46">
        <f>(MAX(AB80:AB83)-MIN(AB80:AB83))/AC84*100</f>
        <v>1.0506439910733958</v>
      </c>
    </row>
    <row r="85" spans="2:30" x14ac:dyDescent="0.35">
      <c r="B85" t="s">
        <v>111</v>
      </c>
      <c r="C85">
        <f>1</f>
        <v>1</v>
      </c>
      <c r="I85" t="s">
        <v>111</v>
      </c>
      <c r="J85">
        <f>1</f>
        <v>1</v>
      </c>
      <c r="AB85">
        <v>1793367</v>
      </c>
      <c r="AC85" s="45"/>
      <c r="AD85" s="46"/>
    </row>
    <row r="86" spans="2:30" x14ac:dyDescent="0.35">
      <c r="B86" t="s">
        <v>112</v>
      </c>
      <c r="C86">
        <f>5</f>
        <v>5</v>
      </c>
      <c r="I86" t="s">
        <v>112</v>
      </c>
      <c r="J86">
        <f>15</f>
        <v>15</v>
      </c>
      <c r="AB86">
        <v>1751541</v>
      </c>
      <c r="AC86" s="45"/>
      <c r="AD86" s="46"/>
    </row>
    <row r="87" spans="2:30" x14ac:dyDescent="0.35">
      <c r="B87" t="s">
        <v>113</v>
      </c>
      <c r="C87">
        <f>1 - (1 - $B$78)*($C$86 - 1)/($C$86 - $C$85)</f>
        <v>0.99995074454820643</v>
      </c>
      <c r="I87" t="s">
        <v>113</v>
      </c>
      <c r="J87">
        <f>1 - (1 - $I$78)*($J$86 - 1)/($J$86 - $J$85 - 1)</f>
        <v>-7.5445224854332915E-2</v>
      </c>
      <c r="AB87">
        <v>1770996</v>
      </c>
      <c r="AC87" s="45"/>
      <c r="AD87" s="46"/>
    </row>
    <row r="88" spans="2:30" x14ac:dyDescent="0.35">
      <c r="AB88">
        <v>1775754</v>
      </c>
      <c r="AC88" s="45"/>
      <c r="AD88" s="46"/>
    </row>
    <row r="89" spans="2:30" x14ac:dyDescent="0.35">
      <c r="B89" t="s">
        <v>114</v>
      </c>
      <c r="I89" t="s">
        <v>114</v>
      </c>
      <c r="AB89">
        <v>1762332</v>
      </c>
      <c r="AC89" s="45">
        <f>SUM(AB85:AB89)/5</f>
        <v>1770798</v>
      </c>
      <c r="AD89" s="46">
        <f>(MAX(AB85:AB88)-MIN(AB85:AB88))/AC89*100</f>
        <v>2.3619859520961737</v>
      </c>
    </row>
    <row r="90" spans="2:30" x14ac:dyDescent="0.35">
      <c r="C90" t="s">
        <v>115</v>
      </c>
      <c r="D90" t="s">
        <v>116</v>
      </c>
      <c r="E90" t="s">
        <v>117</v>
      </c>
      <c r="F90" t="s">
        <v>118</v>
      </c>
      <c r="G90" t="s">
        <v>119</v>
      </c>
      <c r="J90" t="s">
        <v>115</v>
      </c>
      <c r="K90" t="s">
        <v>116</v>
      </c>
      <c r="L90" t="s">
        <v>117</v>
      </c>
      <c r="M90" t="s">
        <v>118</v>
      </c>
      <c r="N90" t="s">
        <v>119</v>
      </c>
      <c r="AB90">
        <v>1847092</v>
      </c>
      <c r="AC90" s="45"/>
      <c r="AD90" s="46"/>
    </row>
    <row r="91" spans="2:30" x14ac:dyDescent="0.35">
      <c r="B91" t="s">
        <v>92</v>
      </c>
      <c r="C91">
        <f>$C$85</f>
        <v>1</v>
      </c>
      <c r="D91">
        <f>$B$80</f>
        <v>731680942860.37244</v>
      </c>
      <c r="E91">
        <f>$B$80 / $C$91</f>
        <v>731680942860.37244</v>
      </c>
      <c r="F91">
        <f>$B$79</f>
        <v>81205.284542923371</v>
      </c>
      <c r="G91">
        <f>FDIST($B$79, $C$91, $C$79)</f>
        <v>9.0980226201580063E-10</v>
      </c>
      <c r="I91" t="s">
        <v>92</v>
      </c>
      <c r="J91">
        <f>$J$85</f>
        <v>1</v>
      </c>
      <c r="K91">
        <f>$I$80</f>
        <v>2.1547924239739662E-6</v>
      </c>
      <c r="L91">
        <f>$I$80 / $J$91</f>
        <v>2.1547924239739662E-6</v>
      </c>
      <c r="M91">
        <f>$I$79</f>
        <v>1.7864300709760035E-2</v>
      </c>
      <c r="N91">
        <f>FDIST($I$79, $J$91, $J$79)</f>
        <v>0.89572042249465933</v>
      </c>
      <c r="AB91">
        <v>1833359</v>
      </c>
      <c r="AC91" s="45"/>
      <c r="AD91" s="46"/>
    </row>
    <row r="92" spans="2:30" x14ac:dyDescent="0.35">
      <c r="B92" t="s">
        <v>120</v>
      </c>
      <c r="C92">
        <f>$C$79</f>
        <v>4</v>
      </c>
      <c r="D92">
        <f>$C$80</f>
        <v>36041050.627616316</v>
      </c>
      <c r="E92">
        <f>$C$80 / $C$79</f>
        <v>9010262.656904079</v>
      </c>
      <c r="I92" t="s">
        <v>120</v>
      </c>
      <c r="J92">
        <f>$J$79</f>
        <v>13</v>
      </c>
      <c r="K92">
        <f>$J$80</f>
        <v>1.5680603437422677E-3</v>
      </c>
      <c r="L92">
        <f>$J$80 / $J$79</f>
        <v>1.2062002644171291E-4</v>
      </c>
      <c r="AB92">
        <v>1903999</v>
      </c>
      <c r="AC92" s="45"/>
      <c r="AD92" s="46"/>
    </row>
    <row r="93" spans="2:30" x14ac:dyDescent="0.35">
      <c r="B93" t="s">
        <v>86</v>
      </c>
      <c r="C93">
        <f>$C$91 + $C$79</f>
        <v>5</v>
      </c>
      <c r="D93">
        <f>$B$80 + $C$80</f>
        <v>731716983911</v>
      </c>
      <c r="I93" t="s">
        <v>86</v>
      </c>
      <c r="J93">
        <f>$J$91 + $J$79</f>
        <v>14</v>
      </c>
      <c r="K93">
        <f>$I$80 + $J$80</f>
        <v>1.5702151361662417E-3</v>
      </c>
      <c r="AB93">
        <v>1839722</v>
      </c>
      <c r="AC93" s="45"/>
      <c r="AD93" s="46"/>
    </row>
    <row r="94" spans="2:30" x14ac:dyDescent="0.35">
      <c r="AB94">
        <v>1879761</v>
      </c>
      <c r="AC94" s="45"/>
      <c r="AD94" s="46"/>
    </row>
    <row r="95" spans="2:30" x14ac:dyDescent="0.35">
      <c r="B95" t="s">
        <v>121</v>
      </c>
      <c r="C95">
        <v>0.95</v>
      </c>
      <c r="I95" t="s">
        <v>121</v>
      </c>
      <c r="J95">
        <v>0.95</v>
      </c>
      <c r="AB95">
        <v>1826056</v>
      </c>
      <c r="AC95" s="45"/>
      <c r="AD95" s="46"/>
    </row>
    <row r="96" spans="2:30" x14ac:dyDescent="0.35">
      <c r="AB96">
        <v>1813477</v>
      </c>
      <c r="AC96" s="45"/>
      <c r="AD96" s="46"/>
    </row>
    <row r="97" spans="2:30" x14ac:dyDescent="0.35">
      <c r="C97" t="s">
        <v>122</v>
      </c>
      <c r="D97" t="s">
        <v>110</v>
      </c>
      <c r="E97" t="s">
        <v>123</v>
      </c>
      <c r="F97" t="s">
        <v>124</v>
      </c>
      <c r="G97" t="str">
        <f>_xlfn.CONCAT("Lower ", INT($C$95 * 100), "%")</f>
        <v>Lower 95%</v>
      </c>
      <c r="H97" t="str">
        <f>_xlfn.CONCAT("Upper ", INT($C$95 * 100), "%")</f>
        <v>Upper 95%</v>
      </c>
      <c r="J97" t="s">
        <v>122</v>
      </c>
      <c r="K97" t="s">
        <v>110</v>
      </c>
      <c r="L97" t="s">
        <v>123</v>
      </c>
      <c r="M97" t="s">
        <v>124</v>
      </c>
      <c r="N97" t="str">
        <f>_xlfn.CONCAT("Lower ", INT($J$95 * 100), "%")</f>
        <v>Lower 95%</v>
      </c>
      <c r="O97" t="str">
        <f>_xlfn.CONCAT("Upper ", INT($J$95 * 100), "%")</f>
        <v>Upper 95%</v>
      </c>
      <c r="AB97">
        <v>1885554</v>
      </c>
      <c r="AC97" s="45"/>
      <c r="AD97" s="46"/>
    </row>
    <row r="98" spans="2:30" x14ac:dyDescent="0.35">
      <c r="B98" t="str">
        <f>"Intercept"</f>
        <v>Intercept</v>
      </c>
      <c r="C98">
        <f t="array" ref="C98:C99">INDEX($B$76:$C$76, 1, ROW($C$99)+1 - ROW())</f>
        <v>0</v>
      </c>
      <c r="D98" t="e">
        <f t="array" ref="D98:D99">INDEX($B$77:$C$77, 1, ROW($D$99)+1 - ROW())</f>
        <v>#N/A</v>
      </c>
      <c r="E98" t="e">
        <f t="array" ref="E98:E99">$C$98:$C$99 / $D$98:$D$99</f>
        <v>#N/A</v>
      </c>
      <c r="F98" t="e">
        <f t="array" ref="F98:F99">TDIST(ABS($E$98:$E$99), $C$79, 2 )</f>
        <v>#N/A</v>
      </c>
      <c r="G98" t="e">
        <f t="array" ref="G98:G99">$C$98:$C$99 - $D$98:$D$99 * TINV(1 - $C$95, $C$79)</f>
        <v>#N/A</v>
      </c>
      <c r="H98" t="e">
        <f t="array" ref="H98:H99">$C$98:$C$99 + $D$98:$D$99 * TINV(1 - $C$95, $C$79)</f>
        <v>#N/A</v>
      </c>
      <c r="I98" t="str">
        <f>"Intercept"</f>
        <v>Intercept</v>
      </c>
      <c r="J98">
        <f t="array" ref="J98:J99">INDEX($I$76:$J$76, 1, ROW($J$99)+1 - ROW())</f>
        <v>8.3215736731011248E-5</v>
      </c>
      <c r="K98">
        <f t="array" ref="K98:K99">INDEX($I$77:$J$77, 1, ROW($K$99)+1 - ROW())</f>
        <v>1.0765894584772222E-2</v>
      </c>
      <c r="L98">
        <f t="array" ref="L98:L99">$J$98:$J$99 / $K$98:$K$99</f>
        <v>7.7295700859560173E-3</v>
      </c>
      <c r="M98">
        <f t="array" ref="M98:M99">TDIST(ABS($L$98:$L$99), $J$79, 2 )</f>
        <v>0.99395011519008203</v>
      </c>
      <c r="N98">
        <f t="array" ref="N98:N99">$J$98:$J$99 - $K$98:$K$99 * TINV(1 - $J$95, $J$79)</f>
        <v>-2.31750854829934E-2</v>
      </c>
      <c r="O98">
        <f t="array" ref="O98:O99">$J$98:$J$99 + $K$98:$K$99 * TINV(1 - $J$95, $J$79)</f>
        <v>2.3341516956455421E-2</v>
      </c>
      <c r="AB98">
        <v>1836044</v>
      </c>
      <c r="AC98" s="45"/>
      <c r="AD98" s="46"/>
    </row>
    <row r="99" spans="2:30" ht="13.15" x14ac:dyDescent="0.4">
      <c r="B99" t="str">
        <f>"X1"</f>
        <v>X1</v>
      </c>
      <c r="C99" s="8">
        <v>494965.44696311047</v>
      </c>
      <c r="D99">
        <v>1736.9316789731779</v>
      </c>
      <c r="E99">
        <v>284.96540937967075</v>
      </c>
      <c r="F99">
        <v>9.0980226201580393E-10</v>
      </c>
      <c r="G99">
        <v>490142.9515049624</v>
      </c>
      <c r="H99">
        <v>499787.94242125854</v>
      </c>
      <c r="I99" t="str">
        <f>"LN(X1)"</f>
        <v>LN(X1)</v>
      </c>
      <c r="J99">
        <v>1.0811750846014074E-4</v>
      </c>
      <c r="K99">
        <v>8.0891524189165341E-4</v>
      </c>
      <c r="L99">
        <v>0.13365740050503594</v>
      </c>
      <c r="M99">
        <v>0.89572042249464912</v>
      </c>
      <c r="N99">
        <v>-1.6394376258576048E-3</v>
      </c>
      <c r="O99">
        <v>1.8556726427778863E-3</v>
      </c>
      <c r="AB99">
        <v>1841236</v>
      </c>
      <c r="AC99" s="45">
        <f>SUM(AB90:AB99)/10</f>
        <v>1850630</v>
      </c>
      <c r="AD99" s="46">
        <f>(MAX(AB90:AB98)-MIN(AB90:AB98))/AC99*100</f>
        <v>4.891415355851791</v>
      </c>
    </row>
    <row r="101" spans="2:30" x14ac:dyDescent="0.35">
      <c r="B101" t="str">
        <f>"X1"</f>
        <v>X1</v>
      </c>
      <c r="C101" t="s">
        <v>125</v>
      </c>
      <c r="D101" t="str">
        <f>"Y"</f>
        <v>Y</v>
      </c>
      <c r="E101" t="s">
        <v>120</v>
      </c>
    </row>
    <row r="102" spans="2:30" x14ac:dyDescent="0.35">
      <c r="B102">
        <f t="array" ref="B102:B106">$A$22:$A$26</f>
        <v>0</v>
      </c>
      <c r="C102">
        <f t="array" ref="C102:C106">MMULT($B$102:$B$106, $C$99) + $C$98</f>
        <v>0</v>
      </c>
      <c r="D102">
        <f t="array" ref="D102:D106">$G$22:$G$26</f>
        <v>1</v>
      </c>
      <c r="E102">
        <f t="array" ref="E102:E106">$D$102:$D$106 - $C$102:$C$106</f>
        <v>1</v>
      </c>
    </row>
    <row r="103" spans="2:30" x14ac:dyDescent="0.35">
      <c r="B103">
        <v>10</v>
      </c>
      <c r="C103">
        <v>4949654.4696311047</v>
      </c>
      <c r="D103">
        <v>158573</v>
      </c>
      <c r="E103">
        <v>-4791081.4696311047</v>
      </c>
    </row>
    <row r="104" spans="2:30" x14ac:dyDescent="0.35">
      <c r="B104">
        <v>20</v>
      </c>
      <c r="C104">
        <v>9899308.9392622095</v>
      </c>
      <c r="D104">
        <v>315866</v>
      </c>
      <c r="E104">
        <v>-9583442.9392622095</v>
      </c>
    </row>
    <row r="105" spans="2:30" x14ac:dyDescent="0.35">
      <c r="B105">
        <v>30</v>
      </c>
      <c r="C105">
        <v>14848963.408893313</v>
      </c>
      <c r="D105">
        <v>471092</v>
      </c>
      <c r="E105">
        <v>-14377871.408893313</v>
      </c>
    </row>
    <row r="106" spans="2:30" x14ac:dyDescent="0.35">
      <c r="B106">
        <v>40</v>
      </c>
      <c r="C106">
        <v>19798617.878524419</v>
      </c>
      <c r="D106">
        <v>620381</v>
      </c>
      <c r="E106">
        <v>-19178236.878524419</v>
      </c>
    </row>
  </sheetData>
  <mergeCells count="1">
    <mergeCell ref="C1:L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4"/>
  <sheetViews>
    <sheetView zoomScaleNormal="100" workbookViewId="0">
      <selection sqref="A1:E1"/>
    </sheetView>
  </sheetViews>
  <sheetFormatPr defaultColWidth="11.53125" defaultRowHeight="12.75" x14ac:dyDescent="0.35"/>
  <cols>
    <col min="2" max="2" width="15.19921875" customWidth="1"/>
  </cols>
  <sheetData>
    <row r="1" spans="1:15" ht="27.75" x14ac:dyDescent="0.4">
      <c r="A1" s="168" t="s">
        <v>323</v>
      </c>
      <c r="B1" s="168"/>
      <c r="C1" s="168"/>
      <c r="D1" s="168"/>
      <c r="E1" s="168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263</v>
      </c>
      <c r="B3" s="10"/>
      <c r="C3" s="10"/>
      <c r="D3" s="10"/>
      <c r="E3" s="10"/>
      <c r="F3" s="10"/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15" x14ac:dyDescent="0.4">
      <c r="A5" s="10" t="s">
        <v>128</v>
      </c>
      <c r="B5" s="10"/>
      <c r="C5" s="12" t="s">
        <v>264</v>
      </c>
      <c r="E5" s="10"/>
      <c r="K5" s="10"/>
      <c r="L5" s="10"/>
      <c r="M5" s="10"/>
      <c r="N5" s="10"/>
      <c r="O5" s="10"/>
    </row>
    <row r="6" spans="1:15" ht="13.15" x14ac:dyDescent="0.4">
      <c r="A6" s="10" t="s">
        <v>22</v>
      </c>
      <c r="B6" s="10"/>
      <c r="C6" s="12" t="s">
        <v>23</v>
      </c>
      <c r="E6" s="10"/>
      <c r="K6" s="10"/>
      <c r="L6" s="10"/>
      <c r="M6" s="10"/>
      <c r="N6" s="10"/>
      <c r="O6" s="10"/>
    </row>
    <row r="7" spans="1:15" ht="13.15" x14ac:dyDescent="0.4">
      <c r="A7" s="10" t="s">
        <v>24</v>
      </c>
      <c r="B7" s="10"/>
      <c r="C7" s="12" t="s">
        <v>25</v>
      </c>
      <c r="E7" s="10"/>
      <c r="K7" s="10"/>
      <c r="L7" s="10"/>
      <c r="M7" s="10"/>
      <c r="N7" s="10"/>
      <c r="O7" s="10"/>
    </row>
    <row r="8" spans="1:15" ht="13.15" x14ac:dyDescent="0.4">
      <c r="A8" s="10" t="s">
        <v>26</v>
      </c>
      <c r="B8" s="10"/>
      <c r="C8" s="12" t="s">
        <v>23</v>
      </c>
      <c r="E8" s="10"/>
      <c r="K8" s="10"/>
      <c r="L8" s="10"/>
      <c r="M8" s="10"/>
      <c r="N8" s="10"/>
      <c r="O8" s="10"/>
    </row>
    <row r="9" spans="1:15" ht="13.15" x14ac:dyDescent="0.4">
      <c r="A9" s="10" t="s">
        <v>27</v>
      </c>
      <c r="B9" s="10"/>
      <c r="C9" s="12" t="s">
        <v>25</v>
      </c>
      <c r="E9" s="10"/>
      <c r="K9" s="10"/>
      <c r="L9" s="10"/>
      <c r="M9" s="10"/>
      <c r="N9" s="10"/>
      <c r="O9" s="10"/>
    </row>
    <row r="10" spans="1:15" ht="13.15" x14ac:dyDescent="0.4">
      <c r="A10" s="10" t="s">
        <v>28</v>
      </c>
      <c r="B10" s="10"/>
      <c r="C10" s="118">
        <v>45820</v>
      </c>
      <c r="E10" s="10"/>
      <c r="K10" s="10"/>
      <c r="L10" s="10"/>
      <c r="M10" s="10"/>
      <c r="N10" s="10"/>
      <c r="O10" s="10"/>
    </row>
    <row r="11" spans="1:15" ht="13.15" x14ac:dyDescent="0.4">
      <c r="A11" s="10" t="s">
        <v>29</v>
      </c>
      <c r="B11" s="10"/>
      <c r="C11" s="14" t="s">
        <v>30</v>
      </c>
      <c r="E11" s="10"/>
      <c r="K11" s="10"/>
      <c r="L11" s="10"/>
      <c r="M11" s="10"/>
      <c r="N11" s="10"/>
      <c r="O11" s="10"/>
    </row>
    <row r="12" spans="1:15" ht="13.15" x14ac:dyDescent="0.4">
      <c r="A12" s="10" t="s">
        <v>31</v>
      </c>
      <c r="B12" s="10"/>
      <c r="C12" s="15">
        <v>36</v>
      </c>
      <c r="E12" s="10"/>
      <c r="F12" s="49"/>
      <c r="K12" s="10"/>
      <c r="L12" s="10"/>
      <c r="M12" s="10"/>
      <c r="N12" s="10"/>
      <c r="O12" s="10"/>
    </row>
    <row r="13" spans="1:15" ht="13.15" x14ac:dyDescent="0.4">
      <c r="A13" s="10"/>
      <c r="B13" s="10"/>
      <c r="C13" s="10"/>
      <c r="D13" s="12"/>
      <c r="E13" s="10"/>
      <c r="F13" s="53"/>
      <c r="K13" s="10"/>
      <c r="L13" s="10"/>
      <c r="M13" s="10"/>
      <c r="N13" s="10"/>
      <c r="O13" s="10"/>
    </row>
    <row r="14" spans="1:15" ht="13.15" x14ac:dyDescent="0.4">
      <c r="A14" s="8" t="s">
        <v>265</v>
      </c>
      <c r="E14" s="10"/>
      <c r="I14" s="10"/>
      <c r="J14" s="12"/>
      <c r="K14" s="10"/>
      <c r="L14" s="10"/>
      <c r="M14" s="10"/>
      <c r="N14" s="10"/>
      <c r="O14" s="10"/>
    </row>
    <row r="15" spans="1:15" ht="13.15" x14ac:dyDescent="0.4">
      <c r="E15" s="10"/>
      <c r="F15" s="53"/>
      <c r="I15" s="10"/>
      <c r="J15" s="10"/>
      <c r="K15" s="10"/>
      <c r="L15" s="10"/>
      <c r="M15" s="10"/>
      <c r="N15" s="10"/>
      <c r="O15" s="10"/>
    </row>
    <row r="16" spans="1:15" ht="13.15" x14ac:dyDescent="0.4">
      <c r="A16" s="10"/>
      <c r="E16" s="10"/>
      <c r="F16" s="49"/>
      <c r="I16" s="10"/>
      <c r="M16" s="10"/>
      <c r="N16" s="12"/>
      <c r="O16" s="10"/>
    </row>
    <row r="17" spans="1:15" ht="13.15" x14ac:dyDescent="0.4">
      <c r="A17" s="10"/>
      <c r="E17" s="10"/>
      <c r="I17" s="10"/>
      <c r="M17" s="10"/>
      <c r="N17" s="19"/>
      <c r="O17" s="10"/>
    </row>
    <row r="18" spans="1:15" ht="13.15" x14ac:dyDescent="0.4">
      <c r="A18" s="10"/>
      <c r="B18" s="12" t="s">
        <v>266</v>
      </c>
      <c r="C18" s="12" t="s">
        <v>39</v>
      </c>
      <c r="E18" s="10"/>
      <c r="I18" s="10"/>
      <c r="M18" s="10"/>
      <c r="N18" s="19"/>
      <c r="O18" s="10"/>
    </row>
    <row r="19" spans="1:15" ht="13.15" x14ac:dyDescent="0.4">
      <c r="A19" s="10"/>
      <c r="B19" s="10"/>
      <c r="C19" s="10"/>
      <c r="F19" s="10"/>
      <c r="G19" s="10"/>
      <c r="H19" s="30"/>
      <c r="I19" s="29"/>
      <c r="J19" s="29"/>
    </row>
    <row r="20" spans="1:15" ht="13.15" x14ac:dyDescent="0.4">
      <c r="A20" s="10" t="s">
        <v>267</v>
      </c>
      <c r="B20" s="20">
        <v>9105</v>
      </c>
      <c r="C20" s="21">
        <f>(B20-$B$26)/$B$26</f>
        <v>-2.9347992728705483E-3</v>
      </c>
      <c r="F20" s="10"/>
      <c r="G20" s="10"/>
      <c r="H20" s="31"/>
      <c r="I20" s="29"/>
      <c r="J20" s="29"/>
    </row>
    <row r="21" spans="1:15" ht="13.15" x14ac:dyDescent="0.4">
      <c r="A21" s="10" t="s">
        <v>268</v>
      </c>
      <c r="B21" s="22">
        <v>9129</v>
      </c>
      <c r="C21" s="21">
        <f>(B21-$B$26)/$B$26</f>
        <v>-3.0662081955356804E-4</v>
      </c>
      <c r="E21" s="10"/>
      <c r="F21" s="10"/>
      <c r="G21" s="10"/>
      <c r="H21" s="30"/>
      <c r="I21" s="29"/>
      <c r="J21" s="29"/>
    </row>
    <row r="22" spans="1:15" ht="13.15" x14ac:dyDescent="0.4">
      <c r="A22" s="10" t="s">
        <v>269</v>
      </c>
      <c r="B22" s="22">
        <v>9164</v>
      </c>
      <c r="C22" s="21">
        <f>(B22-$B$26)/$B$26</f>
        <v>3.5261394248670285E-3</v>
      </c>
      <c r="E22" s="10"/>
      <c r="F22" s="10"/>
      <c r="G22" s="10"/>
      <c r="H22" s="31"/>
      <c r="I22" s="29"/>
      <c r="J22" s="29"/>
    </row>
    <row r="23" spans="1:15" ht="13.15" x14ac:dyDescent="0.4">
      <c r="A23" s="10" t="s">
        <v>270</v>
      </c>
      <c r="B23" s="22">
        <v>9170</v>
      </c>
      <c r="C23" s="21">
        <f>(B23-$B$26)/$B$26</f>
        <v>4.1831840381962738E-3</v>
      </c>
      <c r="E23" s="10"/>
      <c r="F23" s="10"/>
      <c r="G23" s="10"/>
      <c r="H23" s="30"/>
      <c r="I23" s="29"/>
      <c r="J23" s="29"/>
    </row>
    <row r="24" spans="1:15" ht="13.15" x14ac:dyDescent="0.4">
      <c r="A24" s="10" t="s">
        <v>271</v>
      </c>
      <c r="B24" s="23">
        <v>9091</v>
      </c>
      <c r="C24" s="21">
        <f>(B24-$B$26)/$B$26</f>
        <v>-4.4679033706387867E-3</v>
      </c>
      <c r="E24" s="33"/>
      <c r="F24" s="10"/>
      <c r="G24" s="10"/>
      <c r="H24" s="34"/>
      <c r="I24" s="29"/>
      <c r="J24" s="29"/>
    </row>
    <row r="25" spans="1:15" ht="13.15" x14ac:dyDescent="0.4">
      <c r="A25" s="10"/>
      <c r="B25" s="10"/>
      <c r="C25" s="10"/>
      <c r="E25" s="10"/>
      <c r="F25" s="10"/>
      <c r="G25" s="10"/>
      <c r="H25" s="10"/>
      <c r="I25" s="10"/>
    </row>
    <row r="26" spans="1:15" ht="13.15" x14ac:dyDescent="0.4">
      <c r="A26" s="10" t="s">
        <v>50</v>
      </c>
      <c r="B26" s="24">
        <f>AVERAGE(B20:B24)</f>
        <v>9131.7999999999993</v>
      </c>
      <c r="C26" s="10"/>
      <c r="E26" s="10"/>
      <c r="F26" s="10"/>
      <c r="G26" s="10"/>
      <c r="H26" s="10"/>
      <c r="I26" s="21"/>
    </row>
    <row r="27" spans="1:15" ht="13.15" x14ac:dyDescent="0.4">
      <c r="A27" s="10" t="s">
        <v>51</v>
      </c>
      <c r="B27" s="24">
        <f>STDEVP(B20:B24)</f>
        <v>31.262757395981563</v>
      </c>
      <c r="C27" s="10"/>
      <c r="E27" s="10"/>
      <c r="F27" s="10"/>
      <c r="G27" s="10"/>
      <c r="H27" s="10"/>
      <c r="I27" s="10"/>
    </row>
    <row r="28" spans="1:15" ht="13.15" x14ac:dyDescent="0.4">
      <c r="A28" s="10"/>
      <c r="B28" s="24"/>
      <c r="C28" s="10"/>
      <c r="E28" s="10"/>
      <c r="F28" s="10"/>
      <c r="G28" s="10"/>
      <c r="H28" s="10"/>
      <c r="I28" s="10"/>
    </row>
    <row r="29" spans="1:15" ht="13.15" x14ac:dyDescent="0.4">
      <c r="A29" s="10"/>
      <c r="B29" s="10"/>
      <c r="C29" s="10"/>
      <c r="E29" s="10"/>
      <c r="F29" s="10"/>
      <c r="G29" s="10"/>
      <c r="H29" s="10"/>
      <c r="I29" s="10"/>
    </row>
    <row r="30" spans="1:15" ht="13.15" x14ac:dyDescent="0.4">
      <c r="A30" s="10"/>
      <c r="B30" s="21"/>
      <c r="C30" s="10"/>
      <c r="E30" s="10"/>
      <c r="F30" s="10"/>
      <c r="G30" s="10"/>
      <c r="H30" s="10"/>
      <c r="I30" s="21"/>
    </row>
    <row r="31" spans="1:15" ht="13.15" x14ac:dyDescent="0.4">
      <c r="A31" s="10"/>
      <c r="B31" s="10"/>
      <c r="C31" s="10"/>
    </row>
    <row r="32" spans="1:15" ht="13.15" x14ac:dyDescent="0.4">
      <c r="A32" s="10"/>
      <c r="B32" s="10"/>
      <c r="C32" s="10"/>
    </row>
    <row r="33" spans="1:3" ht="13.15" x14ac:dyDescent="0.4">
      <c r="A33" s="10"/>
      <c r="B33" s="10"/>
      <c r="C33" s="10"/>
    </row>
    <row r="34" spans="1:3" ht="15.4" x14ac:dyDescent="0.55000000000000004">
      <c r="A34" s="10" t="s">
        <v>58</v>
      </c>
      <c r="B34" s="21">
        <f>B27/B26</f>
        <v>3.4235043908081172E-3</v>
      </c>
      <c r="C34" s="10" t="str">
        <f>IF(B34&lt;0.03,"&lt;3% = PASS","&gt;3% = FAIL")</f>
        <v>&lt;3% = PASS</v>
      </c>
    </row>
  </sheetData>
  <mergeCells count="1">
    <mergeCell ref="A1:E1"/>
  </mergeCells>
  <conditionalFormatting sqref="B34">
    <cfRule type="cellIs" dxfId="19" priority="2" operator="lessThan">
      <formula>0.03</formula>
    </cfRule>
    <cfRule type="cellIs" dxfId="18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MJ1021"/>
  <sheetViews>
    <sheetView zoomScale="85" zoomScaleNormal="85" workbookViewId="0">
      <selection activeCell="A24" sqref="A24"/>
    </sheetView>
  </sheetViews>
  <sheetFormatPr defaultColWidth="11.53125" defaultRowHeight="12.75" x14ac:dyDescent="0.35"/>
  <cols>
    <col min="1" max="1" width="23.06640625" customWidth="1"/>
    <col min="2" max="2" width="15.73046875" customWidth="1"/>
    <col min="12" max="12" width="5.3984375" customWidth="1"/>
    <col min="13" max="13" width="9.796875" customWidth="1"/>
  </cols>
  <sheetData>
    <row r="1" spans="1:1024" ht="44.75" customHeight="1" x14ac:dyDescent="0.35">
      <c r="A1" s="138" t="s">
        <v>324</v>
      </c>
      <c r="B1" s="9"/>
      <c r="C1" s="169"/>
      <c r="D1" s="169"/>
      <c r="E1" s="169"/>
      <c r="F1" s="169"/>
      <c r="G1" s="169"/>
      <c r="H1" s="169"/>
      <c r="I1" s="9"/>
      <c r="J1" s="9"/>
      <c r="K1" s="9"/>
      <c r="L1" t="s">
        <v>272</v>
      </c>
      <c r="M1" t="s">
        <v>322</v>
      </c>
      <c r="N1" s="9" t="s">
        <v>273</v>
      </c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2" spans="1:1024" x14ac:dyDescent="0.35">
      <c r="B2" s="32"/>
      <c r="L2">
        <v>0</v>
      </c>
      <c r="M2">
        <v>0</v>
      </c>
      <c r="N2">
        <v>0</v>
      </c>
    </row>
    <row r="3" spans="1:1024" x14ac:dyDescent="0.35">
      <c r="A3" t="s">
        <v>317</v>
      </c>
      <c r="B3" s="79">
        <v>304</v>
      </c>
      <c r="D3" t="s">
        <v>274</v>
      </c>
      <c r="L3">
        <v>1</v>
      </c>
      <c r="M3">
        <v>0</v>
      </c>
      <c r="N3">
        <v>0</v>
      </c>
    </row>
    <row r="4" spans="1:1024" x14ac:dyDescent="0.35">
      <c r="A4" t="s">
        <v>22</v>
      </c>
      <c r="B4" t="s">
        <v>23</v>
      </c>
      <c r="D4" t="s">
        <v>275</v>
      </c>
      <c r="L4">
        <v>2</v>
      </c>
      <c r="M4">
        <v>0</v>
      </c>
      <c r="N4">
        <v>0</v>
      </c>
    </row>
    <row r="5" spans="1:1024" x14ac:dyDescent="0.35">
      <c r="A5" t="s">
        <v>24</v>
      </c>
      <c r="B5" t="s">
        <v>62</v>
      </c>
      <c r="L5">
        <v>3</v>
      </c>
      <c r="M5">
        <v>0</v>
      </c>
      <c r="N5">
        <v>0</v>
      </c>
    </row>
    <row r="6" spans="1:1024" x14ac:dyDescent="0.35">
      <c r="A6" s="29" t="s">
        <v>26</v>
      </c>
      <c r="B6" s="161" t="s">
        <v>23</v>
      </c>
      <c r="C6" s="29"/>
      <c r="D6" t="s">
        <v>276</v>
      </c>
      <c r="L6">
        <v>4</v>
      </c>
      <c r="M6">
        <v>0</v>
      </c>
      <c r="N6">
        <v>0</v>
      </c>
    </row>
    <row r="7" spans="1:1024" x14ac:dyDescent="0.35">
      <c r="A7" s="29" t="s">
        <v>27</v>
      </c>
      <c r="B7" s="29" t="s">
        <v>62</v>
      </c>
      <c r="C7" s="29"/>
      <c r="L7">
        <v>5</v>
      </c>
      <c r="M7">
        <v>0</v>
      </c>
      <c r="N7">
        <v>0</v>
      </c>
    </row>
    <row r="8" spans="1:1024" x14ac:dyDescent="0.35">
      <c r="A8" s="29" t="s">
        <v>28</v>
      </c>
      <c r="B8" s="29">
        <v>45791</v>
      </c>
      <c r="C8" s="29"/>
      <c r="L8">
        <v>6</v>
      </c>
      <c r="M8">
        <v>0</v>
      </c>
      <c r="N8">
        <v>0</v>
      </c>
    </row>
    <row r="9" spans="1:1024" x14ac:dyDescent="0.35">
      <c r="A9" s="139" t="s">
        <v>29</v>
      </c>
      <c r="B9" s="29" t="s">
        <v>30</v>
      </c>
      <c r="C9" s="29"/>
      <c r="F9" s="79"/>
      <c r="L9">
        <v>7</v>
      </c>
      <c r="M9">
        <v>0</v>
      </c>
      <c r="N9">
        <v>0</v>
      </c>
    </row>
    <row r="10" spans="1:1024" x14ac:dyDescent="0.35">
      <c r="A10" s="139" t="s">
        <v>31</v>
      </c>
      <c r="B10" s="29">
        <v>38</v>
      </c>
      <c r="C10" s="29"/>
      <c r="F10" s="96"/>
      <c r="L10">
        <v>8</v>
      </c>
      <c r="M10">
        <v>0</v>
      </c>
      <c r="N10">
        <v>0</v>
      </c>
    </row>
    <row r="11" spans="1:1024" x14ac:dyDescent="0.35">
      <c r="A11" s="139"/>
      <c r="B11" s="29"/>
      <c r="C11" s="29"/>
      <c r="L11">
        <v>9</v>
      </c>
      <c r="M11">
        <v>0</v>
      </c>
      <c r="N11">
        <v>0</v>
      </c>
    </row>
    <row r="12" spans="1:1024" ht="13.15" x14ac:dyDescent="0.4">
      <c r="A12" s="162">
        <v>10.199999999999999</v>
      </c>
      <c r="B12" s="29" t="s">
        <v>217</v>
      </c>
      <c r="C12" s="29" t="s">
        <v>218</v>
      </c>
      <c r="L12">
        <v>10</v>
      </c>
      <c r="M12">
        <v>0</v>
      </c>
      <c r="N12">
        <v>0</v>
      </c>
    </row>
    <row r="13" spans="1:1024" x14ac:dyDescent="0.35">
      <c r="A13" s="31">
        <v>5.5564737684479998E-16</v>
      </c>
      <c r="B13" s="29" t="s">
        <v>219</v>
      </c>
      <c r="C13" s="29" t="s">
        <v>220</v>
      </c>
      <c r="L13">
        <v>11</v>
      </c>
      <c r="M13">
        <v>0</v>
      </c>
      <c r="N13">
        <v>0</v>
      </c>
    </row>
    <row r="14" spans="1:1024" ht="13.15" x14ac:dyDescent="0.4">
      <c r="A14" s="30">
        <v>5.8342974568704002E-13</v>
      </c>
      <c r="B14" s="29" t="s">
        <v>221</v>
      </c>
      <c r="C14" s="29" t="s">
        <v>222</v>
      </c>
      <c r="L14">
        <v>12</v>
      </c>
      <c r="M14">
        <v>0</v>
      </c>
      <c r="N14">
        <v>0</v>
      </c>
    </row>
    <row r="15" spans="1:1024" x14ac:dyDescent="0.35">
      <c r="A15" s="31">
        <v>1714002.4268430299</v>
      </c>
      <c r="B15" s="29" t="s">
        <v>223</v>
      </c>
      <c r="C15" s="29" t="s">
        <v>224</v>
      </c>
      <c r="L15">
        <v>13</v>
      </c>
      <c r="M15">
        <v>0</v>
      </c>
      <c r="N15">
        <v>0</v>
      </c>
    </row>
    <row r="16" spans="1:1024" ht="13.15" x14ac:dyDescent="0.4">
      <c r="A16" s="30">
        <v>200000</v>
      </c>
      <c r="B16" s="29"/>
      <c r="C16" s="29" t="s">
        <v>318</v>
      </c>
      <c r="L16">
        <v>14</v>
      </c>
      <c r="M16">
        <v>0</v>
      </c>
      <c r="N16">
        <v>0</v>
      </c>
    </row>
    <row r="17" spans="1:14" x14ac:dyDescent="0.35">
      <c r="A17" s="161">
        <v>1.16685949137408</v>
      </c>
      <c r="B17" s="29" t="s">
        <v>77</v>
      </c>
      <c r="C17" s="29" t="s">
        <v>226</v>
      </c>
      <c r="L17">
        <v>15</v>
      </c>
      <c r="M17">
        <v>0</v>
      </c>
      <c r="N17">
        <v>0</v>
      </c>
    </row>
    <row r="18" spans="1:14" x14ac:dyDescent="0.35">
      <c r="A18" s="29">
        <v>11.8</v>
      </c>
      <c r="B18" s="29" t="s">
        <v>227</v>
      </c>
      <c r="C18" s="29" t="s">
        <v>277</v>
      </c>
      <c r="L18">
        <v>16</v>
      </c>
      <c r="M18">
        <v>0</v>
      </c>
      <c r="N18">
        <v>17.5</v>
      </c>
    </row>
    <row r="19" spans="1:14" x14ac:dyDescent="0.35">
      <c r="A19" s="29">
        <v>13.7689419982141</v>
      </c>
      <c r="B19" s="29" t="s">
        <v>73</v>
      </c>
      <c r="C19" s="29" t="s">
        <v>229</v>
      </c>
      <c r="L19">
        <v>17</v>
      </c>
      <c r="M19">
        <v>0</v>
      </c>
      <c r="N19">
        <v>33.125</v>
      </c>
    </row>
    <row r="20" spans="1:14" x14ac:dyDescent="0.35">
      <c r="A20" s="29">
        <v>13.84</v>
      </c>
      <c r="B20" s="29" t="s">
        <v>73</v>
      </c>
      <c r="C20" s="29" t="s">
        <v>230</v>
      </c>
      <c r="L20">
        <v>18</v>
      </c>
      <c r="M20">
        <v>0</v>
      </c>
      <c r="N20">
        <v>50.75</v>
      </c>
    </row>
    <row r="21" spans="1:14" x14ac:dyDescent="0.35">
      <c r="A21">
        <v>201032.14904667399</v>
      </c>
      <c r="B21" t="s">
        <v>319</v>
      </c>
      <c r="C21" t="s">
        <v>232</v>
      </c>
      <c r="L21">
        <v>19</v>
      </c>
      <c r="M21">
        <v>0</v>
      </c>
      <c r="N21">
        <v>67.75</v>
      </c>
    </row>
    <row r="22" spans="1:14" x14ac:dyDescent="0.35">
      <c r="A22">
        <v>50583</v>
      </c>
      <c r="B22" t="s">
        <v>320</v>
      </c>
      <c r="C22" t="s">
        <v>278</v>
      </c>
      <c r="L22">
        <v>20</v>
      </c>
      <c r="M22">
        <v>140</v>
      </c>
      <c r="N22">
        <v>78.25</v>
      </c>
    </row>
    <row r="23" spans="1:14" x14ac:dyDescent="0.35">
      <c r="A23">
        <v>16.701000000000001</v>
      </c>
      <c r="B23" t="s">
        <v>53</v>
      </c>
      <c r="C23" t="s">
        <v>321</v>
      </c>
      <c r="L23">
        <v>21</v>
      </c>
      <c r="M23">
        <v>125</v>
      </c>
      <c r="N23">
        <v>92.5</v>
      </c>
    </row>
    <row r="24" spans="1:14" x14ac:dyDescent="0.35">
      <c r="A24">
        <v>1.5065952427645</v>
      </c>
      <c r="C24" t="s">
        <v>289</v>
      </c>
      <c r="L24">
        <v>22</v>
      </c>
      <c r="M24">
        <v>141</v>
      </c>
      <c r="N24">
        <v>106.625</v>
      </c>
    </row>
    <row r="25" spans="1:14" x14ac:dyDescent="0.35">
      <c r="L25">
        <v>23</v>
      </c>
      <c r="M25">
        <v>136</v>
      </c>
      <c r="N25">
        <v>119.875</v>
      </c>
    </row>
    <row r="26" spans="1:14" x14ac:dyDescent="0.35">
      <c r="L26">
        <v>24</v>
      </c>
      <c r="M26">
        <v>84</v>
      </c>
      <c r="N26">
        <v>114.25</v>
      </c>
    </row>
    <row r="27" spans="1:14" x14ac:dyDescent="0.35">
      <c r="A27" s="53">
        <f>MAX($N$2:$N$1000)</f>
        <v>811</v>
      </c>
      <c r="B27" t="s">
        <v>279</v>
      </c>
      <c r="L27">
        <v>25</v>
      </c>
      <c r="M27">
        <v>114</v>
      </c>
      <c r="N27">
        <v>108.25</v>
      </c>
    </row>
    <row r="28" spans="1:14" x14ac:dyDescent="0.35">
      <c r="A28" s="53">
        <f>MATCH(A27, N3:N1000, 0)</f>
        <v>206</v>
      </c>
      <c r="B28" t="s">
        <v>280</v>
      </c>
      <c r="L28">
        <v>26</v>
      </c>
      <c r="M28">
        <v>113</v>
      </c>
      <c r="N28">
        <v>100.5</v>
      </c>
    </row>
    <row r="29" spans="1:14" x14ac:dyDescent="0.35">
      <c r="A29" s="53">
        <f>MAX($A$27)/2</f>
        <v>405.5</v>
      </c>
      <c r="B29" t="s">
        <v>281</v>
      </c>
      <c r="L29">
        <v>27</v>
      </c>
      <c r="M29">
        <v>106</v>
      </c>
      <c r="N29">
        <v>94.375</v>
      </c>
    </row>
    <row r="30" spans="1:14" x14ac:dyDescent="0.35">
      <c r="A30" s="53">
        <f t="array" ref="A30">MATCH(TRUE, IF(N2:N1000 &gt; A29, TRUE), 0)</f>
        <v>182</v>
      </c>
      <c r="B30" t="s">
        <v>282</v>
      </c>
      <c r="L30">
        <v>28</v>
      </c>
      <c r="M30">
        <v>95</v>
      </c>
      <c r="N30">
        <v>91.625</v>
      </c>
    </row>
    <row r="31" spans="1:14" x14ac:dyDescent="0.35">
      <c r="A31" s="53">
        <f>INDEX(L2:L1000,A30)</f>
        <v>181</v>
      </c>
      <c r="B31" t="s">
        <v>283</v>
      </c>
      <c r="L31">
        <v>29</v>
      </c>
      <c r="M31">
        <v>77</v>
      </c>
      <c r="N31">
        <v>86.125</v>
      </c>
    </row>
    <row r="32" spans="1:14" x14ac:dyDescent="0.35">
      <c r="A32" s="53">
        <f>A28-A31</f>
        <v>25</v>
      </c>
      <c r="B32" t="s">
        <v>284</v>
      </c>
      <c r="L32">
        <v>30</v>
      </c>
      <c r="M32">
        <v>79</v>
      </c>
      <c r="N32">
        <v>81.875</v>
      </c>
    </row>
    <row r="33" spans="1:14" x14ac:dyDescent="0.35">
      <c r="A33" s="53">
        <f>A32*2</f>
        <v>50</v>
      </c>
      <c r="B33" t="s">
        <v>285</v>
      </c>
      <c r="L33">
        <v>31</v>
      </c>
      <c r="M33">
        <v>87</v>
      </c>
      <c r="N33">
        <v>76</v>
      </c>
    </row>
    <row r="34" spans="1:14" x14ac:dyDescent="0.35">
      <c r="A34" s="53">
        <f>A33 / (2 * SQRT(2 * LN(2)))</f>
        <v>21.233045007200477</v>
      </c>
      <c r="B34" t="s">
        <v>286</v>
      </c>
      <c r="L34">
        <v>32</v>
      </c>
      <c r="M34">
        <v>62</v>
      </c>
      <c r="N34">
        <v>71.125</v>
      </c>
    </row>
    <row r="35" spans="1:14" ht="15" x14ac:dyDescent="0.5">
      <c r="A35" s="96">
        <f>A34/A28</f>
        <v>0.1030730340155363</v>
      </c>
      <c r="B35" s="140" t="s">
        <v>287</v>
      </c>
      <c r="L35">
        <v>33</v>
      </c>
      <c r="M35">
        <v>70</v>
      </c>
      <c r="N35">
        <v>70.25</v>
      </c>
    </row>
    <row r="36" spans="1:14" x14ac:dyDescent="0.35">
      <c r="A36" s="53"/>
      <c r="L36">
        <v>34</v>
      </c>
      <c r="M36">
        <v>79</v>
      </c>
      <c r="N36">
        <v>66.5</v>
      </c>
    </row>
    <row r="37" spans="1:14" ht="15" x14ac:dyDescent="0.5">
      <c r="A37" s="96">
        <f>A35/2</f>
        <v>5.1536517007768151E-2</v>
      </c>
      <c r="B37" s="140" t="s">
        <v>288</v>
      </c>
      <c r="L37">
        <v>35</v>
      </c>
      <c r="M37">
        <v>59</v>
      </c>
      <c r="N37">
        <v>62</v>
      </c>
    </row>
    <row r="38" spans="1:14" x14ac:dyDescent="0.35">
      <c r="L38">
        <v>36</v>
      </c>
      <c r="M38">
        <v>56</v>
      </c>
      <c r="N38">
        <v>59.75</v>
      </c>
    </row>
    <row r="39" spans="1:14" x14ac:dyDescent="0.35">
      <c r="L39">
        <v>37</v>
      </c>
      <c r="M39">
        <v>70</v>
      </c>
      <c r="N39">
        <v>57</v>
      </c>
    </row>
    <row r="40" spans="1:14" x14ac:dyDescent="0.35">
      <c r="L40">
        <v>38</v>
      </c>
      <c r="M40">
        <v>49</v>
      </c>
      <c r="N40">
        <v>52.625</v>
      </c>
    </row>
    <row r="41" spans="1:14" x14ac:dyDescent="0.35">
      <c r="L41">
        <v>39</v>
      </c>
      <c r="M41">
        <v>51</v>
      </c>
      <c r="N41">
        <v>49.625</v>
      </c>
    </row>
    <row r="42" spans="1:14" x14ac:dyDescent="0.35">
      <c r="L42">
        <v>40</v>
      </c>
      <c r="M42">
        <v>44</v>
      </c>
      <c r="N42">
        <v>48</v>
      </c>
    </row>
    <row r="43" spans="1:14" x14ac:dyDescent="0.35">
      <c r="L43">
        <v>41</v>
      </c>
      <c r="M43">
        <v>48</v>
      </c>
      <c r="N43">
        <v>44.875</v>
      </c>
    </row>
    <row r="44" spans="1:14" x14ac:dyDescent="0.35">
      <c r="L44">
        <v>42</v>
      </c>
      <c r="M44">
        <v>44</v>
      </c>
      <c r="N44">
        <v>44.125</v>
      </c>
    </row>
    <row r="45" spans="1:14" x14ac:dyDescent="0.35">
      <c r="L45">
        <v>43</v>
      </c>
      <c r="M45">
        <v>35</v>
      </c>
      <c r="N45">
        <v>43.75</v>
      </c>
    </row>
    <row r="46" spans="1:14" x14ac:dyDescent="0.35">
      <c r="L46">
        <v>44</v>
      </c>
      <c r="M46">
        <v>43</v>
      </c>
      <c r="N46">
        <v>43.875</v>
      </c>
    </row>
    <row r="47" spans="1:14" x14ac:dyDescent="0.35">
      <c r="L47">
        <v>45</v>
      </c>
      <c r="M47">
        <v>45</v>
      </c>
      <c r="N47">
        <v>44.75</v>
      </c>
    </row>
    <row r="48" spans="1:14" x14ac:dyDescent="0.35">
      <c r="L48">
        <v>46</v>
      </c>
      <c r="M48">
        <v>43</v>
      </c>
      <c r="N48">
        <v>45.375</v>
      </c>
    </row>
    <row r="49" spans="2:14" x14ac:dyDescent="0.35">
      <c r="L49">
        <v>47</v>
      </c>
      <c r="M49">
        <v>48</v>
      </c>
      <c r="N49">
        <v>45.25</v>
      </c>
    </row>
    <row r="50" spans="2:14" x14ac:dyDescent="0.35">
      <c r="L50">
        <v>48</v>
      </c>
      <c r="M50">
        <v>45</v>
      </c>
      <c r="N50">
        <v>44.875</v>
      </c>
    </row>
    <row r="51" spans="2:14" x14ac:dyDescent="0.35">
      <c r="L51">
        <v>49</v>
      </c>
      <c r="M51">
        <v>55</v>
      </c>
      <c r="N51">
        <v>43.375</v>
      </c>
    </row>
    <row r="52" spans="2:14" x14ac:dyDescent="0.35">
      <c r="L52">
        <v>50</v>
      </c>
      <c r="M52">
        <v>49</v>
      </c>
      <c r="N52">
        <v>42.125</v>
      </c>
    </row>
    <row r="53" spans="2:14" x14ac:dyDescent="0.35">
      <c r="B53" s="96"/>
      <c r="L53">
        <v>51</v>
      </c>
      <c r="M53">
        <v>34</v>
      </c>
      <c r="N53">
        <v>41.25</v>
      </c>
    </row>
    <row r="54" spans="2:14" x14ac:dyDescent="0.35">
      <c r="L54">
        <v>52</v>
      </c>
      <c r="M54">
        <v>40</v>
      </c>
      <c r="N54">
        <v>39.75</v>
      </c>
    </row>
    <row r="55" spans="2:14" x14ac:dyDescent="0.35">
      <c r="L55">
        <v>53</v>
      </c>
      <c r="M55">
        <v>33</v>
      </c>
      <c r="N55">
        <v>37.625</v>
      </c>
    </row>
    <row r="56" spans="2:14" x14ac:dyDescent="0.35">
      <c r="L56">
        <v>54</v>
      </c>
      <c r="M56">
        <v>33</v>
      </c>
      <c r="N56">
        <v>35.875</v>
      </c>
    </row>
    <row r="57" spans="2:14" x14ac:dyDescent="0.35">
      <c r="L57">
        <v>55</v>
      </c>
      <c r="M57">
        <v>41</v>
      </c>
      <c r="N57">
        <v>36.25</v>
      </c>
    </row>
    <row r="58" spans="2:14" x14ac:dyDescent="0.35">
      <c r="L58">
        <v>56</v>
      </c>
      <c r="M58">
        <v>33</v>
      </c>
      <c r="N58">
        <v>35.125</v>
      </c>
    </row>
    <row r="59" spans="2:14" x14ac:dyDescent="0.35">
      <c r="L59">
        <v>57</v>
      </c>
      <c r="M59">
        <v>38</v>
      </c>
      <c r="N59">
        <v>34.625</v>
      </c>
    </row>
    <row r="60" spans="2:14" x14ac:dyDescent="0.35">
      <c r="L60">
        <v>58</v>
      </c>
      <c r="M60">
        <v>35</v>
      </c>
      <c r="N60">
        <v>35.875</v>
      </c>
    </row>
    <row r="61" spans="2:14" x14ac:dyDescent="0.35">
      <c r="L61">
        <v>59</v>
      </c>
      <c r="M61">
        <v>37</v>
      </c>
      <c r="N61">
        <v>35.75</v>
      </c>
    </row>
    <row r="62" spans="2:14" x14ac:dyDescent="0.35">
      <c r="L62">
        <v>60</v>
      </c>
      <c r="M62">
        <v>31</v>
      </c>
      <c r="N62">
        <v>37.625</v>
      </c>
    </row>
    <row r="63" spans="2:14" x14ac:dyDescent="0.35">
      <c r="L63">
        <v>61</v>
      </c>
      <c r="M63">
        <v>29</v>
      </c>
      <c r="N63">
        <v>37.125</v>
      </c>
    </row>
    <row r="64" spans="2:14" x14ac:dyDescent="0.35">
      <c r="L64">
        <v>62</v>
      </c>
      <c r="M64">
        <v>43</v>
      </c>
      <c r="N64">
        <v>36.875</v>
      </c>
    </row>
    <row r="65" spans="12:14" x14ac:dyDescent="0.35">
      <c r="L65">
        <v>63</v>
      </c>
      <c r="M65">
        <v>40</v>
      </c>
      <c r="N65">
        <v>36.375</v>
      </c>
    </row>
    <row r="66" spans="12:14" x14ac:dyDescent="0.35">
      <c r="L66">
        <v>64</v>
      </c>
      <c r="M66">
        <v>48</v>
      </c>
      <c r="N66">
        <v>36.875</v>
      </c>
    </row>
    <row r="67" spans="12:14" x14ac:dyDescent="0.35">
      <c r="L67">
        <v>65</v>
      </c>
      <c r="M67">
        <v>34</v>
      </c>
      <c r="N67">
        <v>38.5</v>
      </c>
    </row>
    <row r="68" spans="12:14" x14ac:dyDescent="0.35">
      <c r="L68">
        <v>66</v>
      </c>
      <c r="M68">
        <v>33</v>
      </c>
      <c r="N68">
        <v>36.625</v>
      </c>
    </row>
    <row r="69" spans="12:14" x14ac:dyDescent="0.35">
      <c r="L69">
        <v>67</v>
      </c>
      <c r="M69">
        <v>33</v>
      </c>
      <c r="N69">
        <v>34.125</v>
      </c>
    </row>
    <row r="70" spans="12:14" x14ac:dyDescent="0.35">
      <c r="L70">
        <v>68</v>
      </c>
      <c r="M70">
        <v>35</v>
      </c>
      <c r="N70">
        <v>32.75</v>
      </c>
    </row>
    <row r="71" spans="12:14" x14ac:dyDescent="0.35">
      <c r="L71">
        <v>69</v>
      </c>
      <c r="M71">
        <v>42</v>
      </c>
      <c r="N71">
        <v>33.25</v>
      </c>
    </row>
    <row r="72" spans="12:14" x14ac:dyDescent="0.35">
      <c r="L72">
        <v>70</v>
      </c>
      <c r="M72">
        <v>28</v>
      </c>
      <c r="N72">
        <v>32.5</v>
      </c>
    </row>
    <row r="73" spans="12:14" x14ac:dyDescent="0.35">
      <c r="L73">
        <v>71</v>
      </c>
      <c r="M73">
        <v>20</v>
      </c>
      <c r="N73">
        <v>31.75</v>
      </c>
    </row>
    <row r="74" spans="12:14" x14ac:dyDescent="0.35">
      <c r="L74">
        <v>72</v>
      </c>
      <c r="M74">
        <v>37</v>
      </c>
      <c r="N74">
        <v>32</v>
      </c>
    </row>
    <row r="75" spans="12:14" x14ac:dyDescent="0.35">
      <c r="L75">
        <v>73</v>
      </c>
      <c r="M75">
        <v>38</v>
      </c>
      <c r="N75">
        <v>30.125</v>
      </c>
    </row>
    <row r="76" spans="12:14" x14ac:dyDescent="0.35">
      <c r="L76">
        <v>74</v>
      </c>
      <c r="M76">
        <v>27</v>
      </c>
      <c r="N76">
        <v>31.25</v>
      </c>
    </row>
    <row r="77" spans="12:14" x14ac:dyDescent="0.35">
      <c r="L77">
        <v>75</v>
      </c>
      <c r="M77">
        <v>27</v>
      </c>
      <c r="N77">
        <v>32.125</v>
      </c>
    </row>
    <row r="78" spans="12:14" x14ac:dyDescent="0.35">
      <c r="L78">
        <v>76</v>
      </c>
      <c r="M78">
        <v>37</v>
      </c>
      <c r="N78">
        <v>31.25</v>
      </c>
    </row>
    <row r="79" spans="12:14" x14ac:dyDescent="0.35">
      <c r="L79">
        <v>77</v>
      </c>
      <c r="M79">
        <v>27</v>
      </c>
      <c r="N79">
        <v>30.75</v>
      </c>
    </row>
    <row r="80" spans="12:14" x14ac:dyDescent="0.35">
      <c r="L80">
        <v>78</v>
      </c>
      <c r="M80">
        <v>37</v>
      </c>
      <c r="N80">
        <v>32</v>
      </c>
    </row>
    <row r="81" spans="12:14" x14ac:dyDescent="0.35">
      <c r="L81">
        <v>79</v>
      </c>
      <c r="M81">
        <v>27</v>
      </c>
      <c r="N81">
        <v>32.625</v>
      </c>
    </row>
    <row r="82" spans="12:14" x14ac:dyDescent="0.35">
      <c r="L82">
        <v>80</v>
      </c>
      <c r="M82">
        <v>30</v>
      </c>
      <c r="N82">
        <v>32.25</v>
      </c>
    </row>
    <row r="83" spans="12:14" x14ac:dyDescent="0.35">
      <c r="L83">
        <v>81</v>
      </c>
      <c r="M83">
        <v>34</v>
      </c>
      <c r="N83">
        <v>32.75</v>
      </c>
    </row>
    <row r="84" spans="12:14" x14ac:dyDescent="0.35">
      <c r="L84">
        <v>82</v>
      </c>
      <c r="M84">
        <v>37</v>
      </c>
      <c r="N84">
        <v>32.375</v>
      </c>
    </row>
    <row r="85" spans="12:14" x14ac:dyDescent="0.35">
      <c r="L85">
        <v>83</v>
      </c>
      <c r="M85">
        <v>32</v>
      </c>
      <c r="N85">
        <v>33.875</v>
      </c>
    </row>
    <row r="86" spans="12:14" x14ac:dyDescent="0.35">
      <c r="L86">
        <v>84</v>
      </c>
      <c r="M86">
        <v>34</v>
      </c>
      <c r="N86">
        <v>34.625</v>
      </c>
    </row>
    <row r="87" spans="12:14" x14ac:dyDescent="0.35">
      <c r="L87">
        <v>85</v>
      </c>
      <c r="M87">
        <v>31</v>
      </c>
      <c r="N87">
        <v>35.75</v>
      </c>
    </row>
    <row r="88" spans="12:14" x14ac:dyDescent="0.35">
      <c r="L88">
        <v>86</v>
      </c>
      <c r="M88">
        <v>34</v>
      </c>
      <c r="N88">
        <v>36.625</v>
      </c>
    </row>
    <row r="89" spans="12:14" x14ac:dyDescent="0.35">
      <c r="L89">
        <v>87</v>
      </c>
      <c r="M89">
        <v>39</v>
      </c>
      <c r="N89">
        <v>36.875</v>
      </c>
    </row>
    <row r="90" spans="12:14" x14ac:dyDescent="0.35">
      <c r="L90">
        <v>88</v>
      </c>
      <c r="M90">
        <v>36</v>
      </c>
      <c r="N90">
        <v>37.125</v>
      </c>
    </row>
    <row r="91" spans="12:14" x14ac:dyDescent="0.35">
      <c r="L91">
        <v>89</v>
      </c>
      <c r="M91">
        <v>43</v>
      </c>
      <c r="N91">
        <v>39</v>
      </c>
    </row>
    <row r="92" spans="12:14" x14ac:dyDescent="0.35">
      <c r="L92">
        <v>90</v>
      </c>
      <c r="M92">
        <v>44</v>
      </c>
      <c r="N92">
        <v>39.125</v>
      </c>
    </row>
    <row r="93" spans="12:14" x14ac:dyDescent="0.35">
      <c r="L93">
        <v>91</v>
      </c>
      <c r="M93">
        <v>34</v>
      </c>
      <c r="N93">
        <v>38.5</v>
      </c>
    </row>
    <row r="94" spans="12:14" x14ac:dyDescent="0.35">
      <c r="L94">
        <v>92</v>
      </c>
      <c r="M94">
        <v>36</v>
      </c>
      <c r="N94">
        <v>37.625</v>
      </c>
    </row>
    <row r="95" spans="12:14" x14ac:dyDescent="0.35">
      <c r="L95">
        <v>93</v>
      </c>
      <c r="M95">
        <v>46</v>
      </c>
      <c r="N95">
        <v>36.625</v>
      </c>
    </row>
    <row r="96" spans="12:14" x14ac:dyDescent="0.35">
      <c r="L96">
        <v>94</v>
      </c>
      <c r="M96">
        <v>35</v>
      </c>
      <c r="N96">
        <v>35.5</v>
      </c>
    </row>
    <row r="97" spans="12:14" x14ac:dyDescent="0.35">
      <c r="L97">
        <v>95</v>
      </c>
      <c r="M97">
        <v>34</v>
      </c>
      <c r="N97">
        <v>36</v>
      </c>
    </row>
    <row r="98" spans="12:14" x14ac:dyDescent="0.35">
      <c r="L98">
        <v>96</v>
      </c>
      <c r="M98">
        <v>29</v>
      </c>
      <c r="N98">
        <v>37</v>
      </c>
    </row>
    <row r="99" spans="12:14" x14ac:dyDescent="0.35">
      <c r="L99">
        <v>97</v>
      </c>
      <c r="M99">
        <v>35</v>
      </c>
      <c r="N99">
        <v>35.5</v>
      </c>
    </row>
    <row r="100" spans="12:14" x14ac:dyDescent="0.35">
      <c r="L100">
        <v>98</v>
      </c>
      <c r="M100">
        <v>35</v>
      </c>
      <c r="N100">
        <v>36.125</v>
      </c>
    </row>
    <row r="101" spans="12:14" x14ac:dyDescent="0.35">
      <c r="L101">
        <v>99</v>
      </c>
      <c r="M101">
        <v>38</v>
      </c>
      <c r="N101">
        <v>37.5</v>
      </c>
    </row>
    <row r="102" spans="12:14" x14ac:dyDescent="0.35">
      <c r="L102">
        <v>100</v>
      </c>
      <c r="M102">
        <v>44</v>
      </c>
      <c r="N102">
        <v>38.875</v>
      </c>
    </row>
    <row r="103" spans="12:14" x14ac:dyDescent="0.35">
      <c r="L103">
        <v>101</v>
      </c>
      <c r="M103">
        <v>34</v>
      </c>
      <c r="N103">
        <v>40.125</v>
      </c>
    </row>
    <row r="104" spans="12:14" x14ac:dyDescent="0.35">
      <c r="L104">
        <v>102</v>
      </c>
      <c r="M104">
        <v>40</v>
      </c>
      <c r="N104">
        <v>39.625</v>
      </c>
    </row>
    <row r="105" spans="12:14" x14ac:dyDescent="0.35">
      <c r="L105">
        <v>103</v>
      </c>
      <c r="M105">
        <v>45</v>
      </c>
      <c r="N105">
        <v>39.125</v>
      </c>
    </row>
    <row r="106" spans="12:14" x14ac:dyDescent="0.35">
      <c r="L106">
        <v>104</v>
      </c>
      <c r="M106">
        <v>40</v>
      </c>
      <c r="N106">
        <v>37.5</v>
      </c>
    </row>
    <row r="107" spans="12:14" x14ac:dyDescent="0.35">
      <c r="L107">
        <v>105</v>
      </c>
      <c r="M107">
        <v>45</v>
      </c>
      <c r="N107">
        <v>37.125</v>
      </c>
    </row>
    <row r="108" spans="12:14" x14ac:dyDescent="0.35">
      <c r="L108">
        <v>106</v>
      </c>
      <c r="M108">
        <v>31</v>
      </c>
      <c r="N108">
        <v>36.25</v>
      </c>
    </row>
    <row r="109" spans="12:14" x14ac:dyDescent="0.35">
      <c r="L109">
        <v>107</v>
      </c>
      <c r="M109">
        <v>34</v>
      </c>
      <c r="N109">
        <v>35.125</v>
      </c>
    </row>
    <row r="110" spans="12:14" x14ac:dyDescent="0.35">
      <c r="L110">
        <v>108</v>
      </c>
      <c r="M110">
        <v>31</v>
      </c>
      <c r="N110">
        <v>33</v>
      </c>
    </row>
    <row r="111" spans="12:14" x14ac:dyDescent="0.35">
      <c r="L111">
        <v>109</v>
      </c>
      <c r="M111">
        <v>31</v>
      </c>
      <c r="N111">
        <v>31.875</v>
      </c>
    </row>
    <row r="112" spans="12:14" x14ac:dyDescent="0.35">
      <c r="L112">
        <v>110</v>
      </c>
      <c r="M112">
        <v>33</v>
      </c>
      <c r="N112">
        <v>32.5</v>
      </c>
    </row>
    <row r="113" spans="12:14" x14ac:dyDescent="0.35">
      <c r="L113">
        <v>111</v>
      </c>
      <c r="M113">
        <v>36</v>
      </c>
      <c r="N113">
        <v>32.875</v>
      </c>
    </row>
    <row r="114" spans="12:14" x14ac:dyDescent="0.35">
      <c r="L114">
        <v>112</v>
      </c>
      <c r="M114">
        <v>23</v>
      </c>
      <c r="N114">
        <v>32.625</v>
      </c>
    </row>
    <row r="115" spans="12:14" x14ac:dyDescent="0.35">
      <c r="L115">
        <v>113</v>
      </c>
      <c r="M115">
        <v>36</v>
      </c>
      <c r="N115">
        <v>33.375</v>
      </c>
    </row>
    <row r="116" spans="12:14" x14ac:dyDescent="0.35">
      <c r="L116">
        <v>114</v>
      </c>
      <c r="M116">
        <v>36</v>
      </c>
      <c r="N116">
        <v>33.75</v>
      </c>
    </row>
    <row r="117" spans="12:14" x14ac:dyDescent="0.35">
      <c r="L117">
        <v>115</v>
      </c>
      <c r="M117">
        <v>37</v>
      </c>
      <c r="N117">
        <v>33.375</v>
      </c>
    </row>
    <row r="118" spans="12:14" x14ac:dyDescent="0.35">
      <c r="L118">
        <v>116</v>
      </c>
      <c r="M118">
        <v>29</v>
      </c>
      <c r="N118">
        <v>34.25</v>
      </c>
    </row>
    <row r="119" spans="12:14" x14ac:dyDescent="0.35">
      <c r="L119">
        <v>117</v>
      </c>
      <c r="M119">
        <v>37</v>
      </c>
      <c r="N119">
        <v>32.5</v>
      </c>
    </row>
    <row r="120" spans="12:14" x14ac:dyDescent="0.35">
      <c r="L120">
        <v>118</v>
      </c>
      <c r="M120">
        <v>36</v>
      </c>
      <c r="N120">
        <v>31</v>
      </c>
    </row>
    <row r="121" spans="12:14" x14ac:dyDescent="0.35">
      <c r="L121">
        <v>119</v>
      </c>
      <c r="M121">
        <v>33</v>
      </c>
      <c r="N121">
        <v>30</v>
      </c>
    </row>
    <row r="122" spans="12:14" x14ac:dyDescent="0.35">
      <c r="L122">
        <v>120</v>
      </c>
      <c r="M122">
        <v>30</v>
      </c>
      <c r="N122">
        <v>31.25</v>
      </c>
    </row>
    <row r="123" spans="12:14" x14ac:dyDescent="0.35">
      <c r="L123">
        <v>121</v>
      </c>
      <c r="M123">
        <v>22</v>
      </c>
      <c r="N123">
        <v>32.125</v>
      </c>
    </row>
    <row r="124" spans="12:14" x14ac:dyDescent="0.35">
      <c r="L124">
        <v>122</v>
      </c>
      <c r="M124">
        <v>24</v>
      </c>
      <c r="N124">
        <v>31.125</v>
      </c>
    </row>
    <row r="125" spans="12:14" x14ac:dyDescent="0.35">
      <c r="L125">
        <v>123</v>
      </c>
      <c r="M125">
        <v>29</v>
      </c>
      <c r="N125">
        <v>29.875</v>
      </c>
    </row>
    <row r="126" spans="12:14" x14ac:dyDescent="0.35">
      <c r="L126">
        <v>124</v>
      </c>
      <c r="M126">
        <v>39</v>
      </c>
      <c r="N126">
        <v>30.25</v>
      </c>
    </row>
    <row r="127" spans="12:14" x14ac:dyDescent="0.35">
      <c r="L127">
        <v>125</v>
      </c>
      <c r="M127">
        <v>44</v>
      </c>
      <c r="N127">
        <v>31.375</v>
      </c>
    </row>
    <row r="128" spans="12:14" x14ac:dyDescent="0.35">
      <c r="L128">
        <v>126</v>
      </c>
      <c r="M128">
        <v>28</v>
      </c>
      <c r="N128">
        <v>32.25</v>
      </c>
    </row>
    <row r="129" spans="12:14" x14ac:dyDescent="0.35">
      <c r="L129">
        <v>127</v>
      </c>
      <c r="M129">
        <v>23</v>
      </c>
      <c r="N129">
        <v>32.375</v>
      </c>
    </row>
    <row r="130" spans="12:14" x14ac:dyDescent="0.35">
      <c r="L130">
        <v>128</v>
      </c>
      <c r="M130">
        <v>33</v>
      </c>
      <c r="N130">
        <v>30.125</v>
      </c>
    </row>
    <row r="131" spans="12:14" x14ac:dyDescent="0.35">
      <c r="L131">
        <v>129</v>
      </c>
      <c r="M131">
        <v>31</v>
      </c>
      <c r="N131">
        <v>28.75</v>
      </c>
    </row>
    <row r="132" spans="12:14" x14ac:dyDescent="0.35">
      <c r="L132">
        <v>130</v>
      </c>
      <c r="M132">
        <v>31</v>
      </c>
      <c r="N132">
        <v>30.375</v>
      </c>
    </row>
    <row r="133" spans="12:14" x14ac:dyDescent="0.35">
      <c r="L133">
        <v>131</v>
      </c>
      <c r="M133">
        <v>30</v>
      </c>
      <c r="N133">
        <v>31.25</v>
      </c>
    </row>
    <row r="134" spans="12:14" x14ac:dyDescent="0.35">
      <c r="L134">
        <v>132</v>
      </c>
      <c r="M134">
        <v>21</v>
      </c>
      <c r="N134">
        <v>31.125</v>
      </c>
    </row>
    <row r="135" spans="12:14" x14ac:dyDescent="0.35">
      <c r="L135">
        <v>133</v>
      </c>
      <c r="M135">
        <v>33</v>
      </c>
      <c r="N135">
        <v>31.75</v>
      </c>
    </row>
    <row r="136" spans="12:14" x14ac:dyDescent="0.35">
      <c r="L136">
        <v>134</v>
      </c>
      <c r="M136">
        <v>41</v>
      </c>
      <c r="N136">
        <v>31.5</v>
      </c>
    </row>
    <row r="137" spans="12:14" x14ac:dyDescent="0.35">
      <c r="L137">
        <v>135</v>
      </c>
      <c r="M137">
        <v>30</v>
      </c>
      <c r="N137">
        <v>31.875</v>
      </c>
    </row>
    <row r="138" spans="12:14" x14ac:dyDescent="0.35">
      <c r="L138">
        <v>136</v>
      </c>
      <c r="M138">
        <v>32</v>
      </c>
      <c r="N138">
        <v>34.125</v>
      </c>
    </row>
    <row r="139" spans="12:14" x14ac:dyDescent="0.35">
      <c r="L139">
        <v>137</v>
      </c>
      <c r="M139">
        <v>36</v>
      </c>
      <c r="N139">
        <v>35.875</v>
      </c>
    </row>
    <row r="140" spans="12:14" x14ac:dyDescent="0.35">
      <c r="L140">
        <v>138</v>
      </c>
      <c r="M140">
        <v>29</v>
      </c>
      <c r="N140">
        <v>34</v>
      </c>
    </row>
    <row r="141" spans="12:14" x14ac:dyDescent="0.35">
      <c r="L141">
        <v>139</v>
      </c>
      <c r="M141">
        <v>33</v>
      </c>
      <c r="N141">
        <v>34.625</v>
      </c>
    </row>
    <row r="142" spans="12:14" x14ac:dyDescent="0.35">
      <c r="L142">
        <v>140</v>
      </c>
      <c r="M142">
        <v>39</v>
      </c>
      <c r="N142">
        <v>36.375</v>
      </c>
    </row>
    <row r="143" spans="12:14" x14ac:dyDescent="0.35">
      <c r="L143">
        <v>141</v>
      </c>
      <c r="M143">
        <v>47</v>
      </c>
      <c r="N143">
        <v>38</v>
      </c>
    </row>
    <row r="144" spans="12:14" x14ac:dyDescent="0.35">
      <c r="L144">
        <v>142</v>
      </c>
      <c r="M144">
        <v>26</v>
      </c>
      <c r="N144">
        <v>39.625</v>
      </c>
    </row>
    <row r="145" spans="12:14" x14ac:dyDescent="0.35">
      <c r="L145">
        <v>143</v>
      </c>
      <c r="M145">
        <v>35</v>
      </c>
      <c r="N145">
        <v>41.375</v>
      </c>
    </row>
    <row r="146" spans="12:14" x14ac:dyDescent="0.35">
      <c r="L146">
        <v>144</v>
      </c>
      <c r="M146">
        <v>46</v>
      </c>
      <c r="N146">
        <v>41.125</v>
      </c>
    </row>
    <row r="147" spans="12:14" x14ac:dyDescent="0.35">
      <c r="L147">
        <v>145</v>
      </c>
      <c r="M147">
        <v>49</v>
      </c>
      <c r="N147">
        <v>41.125</v>
      </c>
    </row>
    <row r="148" spans="12:14" x14ac:dyDescent="0.35">
      <c r="L148">
        <v>146</v>
      </c>
      <c r="M148">
        <v>42</v>
      </c>
      <c r="N148">
        <v>43.75</v>
      </c>
    </row>
    <row r="149" spans="12:14" x14ac:dyDescent="0.35">
      <c r="L149">
        <v>147</v>
      </c>
      <c r="M149">
        <v>47</v>
      </c>
      <c r="N149">
        <v>44.125</v>
      </c>
    </row>
    <row r="150" spans="12:14" x14ac:dyDescent="0.35">
      <c r="L150">
        <v>148</v>
      </c>
      <c r="M150">
        <v>37</v>
      </c>
      <c r="N150">
        <v>43.875</v>
      </c>
    </row>
    <row r="151" spans="12:14" x14ac:dyDescent="0.35">
      <c r="L151">
        <v>149</v>
      </c>
      <c r="M151">
        <v>47</v>
      </c>
      <c r="N151">
        <v>44.125</v>
      </c>
    </row>
    <row r="152" spans="12:14" x14ac:dyDescent="0.35">
      <c r="L152">
        <v>150</v>
      </c>
      <c r="M152">
        <v>47</v>
      </c>
      <c r="N152">
        <v>47.125</v>
      </c>
    </row>
    <row r="153" spans="12:14" x14ac:dyDescent="0.35">
      <c r="L153">
        <v>151</v>
      </c>
      <c r="M153">
        <v>38</v>
      </c>
      <c r="N153">
        <v>49.25</v>
      </c>
    </row>
    <row r="154" spans="12:14" x14ac:dyDescent="0.35">
      <c r="L154">
        <v>152</v>
      </c>
      <c r="M154">
        <v>44</v>
      </c>
      <c r="N154">
        <v>52.5</v>
      </c>
    </row>
    <row r="155" spans="12:14" x14ac:dyDescent="0.35">
      <c r="L155">
        <v>153</v>
      </c>
      <c r="M155">
        <v>51</v>
      </c>
      <c r="N155">
        <v>55.375</v>
      </c>
    </row>
    <row r="156" spans="12:14" x14ac:dyDescent="0.35">
      <c r="L156">
        <v>154</v>
      </c>
      <c r="M156">
        <v>66</v>
      </c>
      <c r="N156">
        <v>59.5</v>
      </c>
    </row>
    <row r="157" spans="12:14" x14ac:dyDescent="0.35">
      <c r="L157">
        <v>155</v>
      </c>
      <c r="M157">
        <v>64</v>
      </c>
      <c r="N157">
        <v>64.375</v>
      </c>
    </row>
    <row r="158" spans="12:14" x14ac:dyDescent="0.35">
      <c r="L158">
        <v>156</v>
      </c>
      <c r="M158">
        <v>63</v>
      </c>
      <c r="N158">
        <v>69.375</v>
      </c>
    </row>
    <row r="159" spans="12:14" x14ac:dyDescent="0.35">
      <c r="L159">
        <v>157</v>
      </c>
      <c r="M159">
        <v>70</v>
      </c>
      <c r="N159">
        <v>72.375</v>
      </c>
    </row>
    <row r="160" spans="12:14" x14ac:dyDescent="0.35">
      <c r="L160">
        <v>158</v>
      </c>
      <c r="M160">
        <v>80</v>
      </c>
      <c r="N160">
        <v>76.25</v>
      </c>
    </row>
    <row r="161" spans="12:14" x14ac:dyDescent="0.35">
      <c r="L161">
        <v>159</v>
      </c>
      <c r="M161">
        <v>77</v>
      </c>
      <c r="N161">
        <v>80.875</v>
      </c>
    </row>
    <row r="162" spans="12:14" x14ac:dyDescent="0.35">
      <c r="L162">
        <v>160</v>
      </c>
      <c r="M162">
        <v>84</v>
      </c>
      <c r="N162">
        <v>87.25</v>
      </c>
    </row>
    <row r="163" spans="12:14" x14ac:dyDescent="0.35">
      <c r="L163">
        <v>161</v>
      </c>
      <c r="M163">
        <v>75</v>
      </c>
      <c r="N163">
        <v>93.375</v>
      </c>
    </row>
    <row r="164" spans="12:14" x14ac:dyDescent="0.35">
      <c r="L164">
        <v>162</v>
      </c>
      <c r="M164">
        <v>97</v>
      </c>
      <c r="N164">
        <v>101.875</v>
      </c>
    </row>
    <row r="165" spans="12:14" x14ac:dyDescent="0.35">
      <c r="L165">
        <v>163</v>
      </c>
      <c r="M165">
        <v>101</v>
      </c>
      <c r="N165">
        <v>108.5</v>
      </c>
    </row>
    <row r="166" spans="12:14" x14ac:dyDescent="0.35">
      <c r="L166">
        <v>164</v>
      </c>
      <c r="M166">
        <v>114</v>
      </c>
      <c r="N166">
        <v>119.125</v>
      </c>
    </row>
    <row r="167" spans="12:14" x14ac:dyDescent="0.35">
      <c r="L167">
        <v>165</v>
      </c>
      <c r="M167">
        <v>119</v>
      </c>
      <c r="N167">
        <v>132</v>
      </c>
    </row>
    <row r="168" spans="12:14" x14ac:dyDescent="0.35">
      <c r="L168">
        <v>166</v>
      </c>
      <c r="M168">
        <v>148</v>
      </c>
      <c r="N168">
        <v>144.5</v>
      </c>
    </row>
    <row r="169" spans="12:14" x14ac:dyDescent="0.35">
      <c r="L169">
        <v>167</v>
      </c>
      <c r="M169">
        <v>130</v>
      </c>
      <c r="N169">
        <v>156.75</v>
      </c>
    </row>
    <row r="170" spans="12:14" x14ac:dyDescent="0.35">
      <c r="L170">
        <v>168</v>
      </c>
      <c r="M170">
        <v>169</v>
      </c>
      <c r="N170">
        <v>168</v>
      </c>
    </row>
    <row r="171" spans="12:14" x14ac:dyDescent="0.35">
      <c r="L171">
        <v>169</v>
      </c>
      <c r="M171">
        <v>178</v>
      </c>
      <c r="N171">
        <v>182.125</v>
      </c>
    </row>
    <row r="172" spans="12:14" x14ac:dyDescent="0.35">
      <c r="L172">
        <v>170</v>
      </c>
      <c r="M172">
        <v>197</v>
      </c>
      <c r="N172">
        <v>196.875</v>
      </c>
    </row>
    <row r="173" spans="12:14" x14ac:dyDescent="0.35">
      <c r="L173">
        <v>171</v>
      </c>
      <c r="M173">
        <v>199</v>
      </c>
      <c r="N173">
        <v>215.5</v>
      </c>
    </row>
    <row r="174" spans="12:14" x14ac:dyDescent="0.35">
      <c r="L174">
        <v>172</v>
      </c>
      <c r="M174">
        <v>204</v>
      </c>
      <c r="N174">
        <v>232</v>
      </c>
    </row>
    <row r="175" spans="12:14" x14ac:dyDescent="0.35">
      <c r="L175">
        <v>173</v>
      </c>
      <c r="M175">
        <v>232</v>
      </c>
      <c r="N175">
        <v>250.25</v>
      </c>
    </row>
    <row r="176" spans="12:14" x14ac:dyDescent="0.35">
      <c r="L176">
        <v>174</v>
      </c>
      <c r="M176">
        <v>266</v>
      </c>
      <c r="N176">
        <v>267.375</v>
      </c>
    </row>
    <row r="177" spans="12:14" x14ac:dyDescent="0.35">
      <c r="L177">
        <v>175</v>
      </c>
      <c r="M177">
        <v>279</v>
      </c>
      <c r="N177">
        <v>294.75</v>
      </c>
    </row>
    <row r="178" spans="12:14" x14ac:dyDescent="0.35">
      <c r="L178">
        <v>176</v>
      </c>
      <c r="M178">
        <v>301</v>
      </c>
      <c r="N178">
        <v>316.375</v>
      </c>
    </row>
    <row r="179" spans="12:14" x14ac:dyDescent="0.35">
      <c r="L179">
        <v>177</v>
      </c>
      <c r="M179">
        <v>324</v>
      </c>
      <c r="N179">
        <v>336.25</v>
      </c>
    </row>
    <row r="180" spans="12:14" x14ac:dyDescent="0.35">
      <c r="L180">
        <v>178</v>
      </c>
      <c r="M180">
        <v>334</v>
      </c>
      <c r="N180">
        <v>353.75</v>
      </c>
    </row>
    <row r="181" spans="12:14" x14ac:dyDescent="0.35">
      <c r="L181">
        <v>179</v>
      </c>
      <c r="M181">
        <v>418</v>
      </c>
      <c r="N181">
        <v>381.625</v>
      </c>
    </row>
    <row r="182" spans="12:14" x14ac:dyDescent="0.35">
      <c r="L182">
        <v>180</v>
      </c>
      <c r="M182">
        <v>377</v>
      </c>
      <c r="N182">
        <v>400.375</v>
      </c>
    </row>
    <row r="183" spans="12:14" x14ac:dyDescent="0.35">
      <c r="L183">
        <v>181</v>
      </c>
      <c r="M183">
        <v>391</v>
      </c>
      <c r="N183">
        <v>428.125</v>
      </c>
    </row>
    <row r="184" spans="12:14" x14ac:dyDescent="0.35">
      <c r="L184">
        <v>182</v>
      </c>
      <c r="M184">
        <v>406</v>
      </c>
      <c r="N184">
        <v>456.25</v>
      </c>
    </row>
    <row r="185" spans="12:14" x14ac:dyDescent="0.35">
      <c r="L185">
        <v>183</v>
      </c>
      <c r="M185">
        <v>502</v>
      </c>
      <c r="N185">
        <v>475.75</v>
      </c>
    </row>
    <row r="186" spans="12:14" x14ac:dyDescent="0.35">
      <c r="L186">
        <v>184</v>
      </c>
      <c r="M186">
        <v>451</v>
      </c>
      <c r="N186">
        <v>502.375</v>
      </c>
    </row>
    <row r="187" spans="12:14" x14ac:dyDescent="0.35">
      <c r="L187">
        <v>185</v>
      </c>
      <c r="M187">
        <v>546</v>
      </c>
      <c r="N187">
        <v>527.125</v>
      </c>
    </row>
    <row r="188" spans="12:14" x14ac:dyDescent="0.35">
      <c r="L188">
        <v>186</v>
      </c>
      <c r="M188">
        <v>559</v>
      </c>
      <c r="N188">
        <v>554.125</v>
      </c>
    </row>
    <row r="189" spans="12:14" x14ac:dyDescent="0.35">
      <c r="L189">
        <v>187</v>
      </c>
      <c r="M189">
        <v>574</v>
      </c>
      <c r="N189">
        <v>575.25</v>
      </c>
    </row>
    <row r="190" spans="12:14" x14ac:dyDescent="0.35">
      <c r="L190">
        <v>188</v>
      </c>
      <c r="M190">
        <v>590</v>
      </c>
      <c r="N190">
        <v>599.875</v>
      </c>
    </row>
    <row r="191" spans="12:14" x14ac:dyDescent="0.35">
      <c r="L191">
        <v>189</v>
      </c>
      <c r="M191">
        <v>589</v>
      </c>
      <c r="N191">
        <v>624.5</v>
      </c>
    </row>
    <row r="192" spans="12:14" x14ac:dyDescent="0.35">
      <c r="L192">
        <v>190</v>
      </c>
      <c r="M192">
        <v>622</v>
      </c>
      <c r="N192">
        <v>643.5</v>
      </c>
    </row>
    <row r="193" spans="12:17" x14ac:dyDescent="0.35">
      <c r="L193">
        <v>191</v>
      </c>
      <c r="M193">
        <v>671</v>
      </c>
      <c r="N193">
        <v>665.75</v>
      </c>
    </row>
    <row r="194" spans="12:17" x14ac:dyDescent="0.35">
      <c r="L194">
        <v>192</v>
      </c>
      <c r="M194">
        <v>648</v>
      </c>
      <c r="N194">
        <v>690.625</v>
      </c>
    </row>
    <row r="195" spans="12:17" x14ac:dyDescent="0.35">
      <c r="L195">
        <v>193</v>
      </c>
      <c r="M195">
        <v>743</v>
      </c>
      <c r="N195">
        <v>716.25</v>
      </c>
    </row>
    <row r="196" spans="12:17" x14ac:dyDescent="0.35">
      <c r="L196">
        <v>194</v>
      </c>
      <c r="M196">
        <v>711</v>
      </c>
      <c r="N196">
        <v>736.625</v>
      </c>
    </row>
    <row r="197" spans="12:17" x14ac:dyDescent="0.35">
      <c r="L197">
        <v>195</v>
      </c>
      <c r="M197">
        <v>752</v>
      </c>
      <c r="N197">
        <v>746.125</v>
      </c>
    </row>
    <row r="198" spans="12:17" x14ac:dyDescent="0.35">
      <c r="L198">
        <v>196</v>
      </c>
      <c r="M198">
        <v>789</v>
      </c>
      <c r="N198">
        <v>762.875</v>
      </c>
    </row>
    <row r="199" spans="12:17" x14ac:dyDescent="0.35">
      <c r="L199">
        <v>197</v>
      </c>
      <c r="M199">
        <v>794</v>
      </c>
      <c r="N199">
        <v>773</v>
      </c>
    </row>
    <row r="200" spans="12:17" x14ac:dyDescent="0.35">
      <c r="L200">
        <v>198</v>
      </c>
      <c r="M200">
        <v>785</v>
      </c>
      <c r="N200">
        <v>782.875</v>
      </c>
    </row>
    <row r="201" spans="12:17" x14ac:dyDescent="0.35">
      <c r="L201">
        <v>199</v>
      </c>
      <c r="M201">
        <v>747</v>
      </c>
      <c r="N201">
        <v>793.125</v>
      </c>
    </row>
    <row r="202" spans="12:17" x14ac:dyDescent="0.35">
      <c r="L202">
        <v>200</v>
      </c>
      <c r="M202">
        <v>782</v>
      </c>
      <c r="N202">
        <v>801.25</v>
      </c>
      <c r="Q202">
        <v>2</v>
      </c>
    </row>
    <row r="203" spans="12:17" x14ac:dyDescent="0.35">
      <c r="L203">
        <v>201</v>
      </c>
      <c r="M203">
        <v>824</v>
      </c>
      <c r="N203">
        <v>797.75</v>
      </c>
      <c r="Q203">
        <v>2</v>
      </c>
    </row>
    <row r="204" spans="12:17" x14ac:dyDescent="0.35">
      <c r="L204">
        <v>202</v>
      </c>
      <c r="M204">
        <v>790</v>
      </c>
      <c r="N204">
        <v>804.25</v>
      </c>
      <c r="Q204">
        <v>7</v>
      </c>
    </row>
    <row r="205" spans="12:17" x14ac:dyDescent="0.35">
      <c r="L205">
        <v>203</v>
      </c>
      <c r="M205">
        <v>834</v>
      </c>
      <c r="N205">
        <v>807.5</v>
      </c>
      <c r="Q205">
        <v>12</v>
      </c>
    </row>
    <row r="206" spans="12:17" x14ac:dyDescent="0.35">
      <c r="L206">
        <v>204</v>
      </c>
      <c r="M206">
        <v>854</v>
      </c>
      <c r="N206">
        <v>808.125</v>
      </c>
      <c r="Q206">
        <v>9</v>
      </c>
    </row>
    <row r="207" spans="12:17" x14ac:dyDescent="0.35">
      <c r="L207">
        <v>205</v>
      </c>
      <c r="M207">
        <v>766</v>
      </c>
      <c r="N207">
        <v>809.75</v>
      </c>
      <c r="Q207">
        <v>2</v>
      </c>
    </row>
    <row r="208" spans="12:17" x14ac:dyDescent="0.35">
      <c r="L208">
        <v>206</v>
      </c>
      <c r="M208">
        <v>837</v>
      </c>
      <c r="N208">
        <v>811</v>
      </c>
      <c r="Q208">
        <v>9</v>
      </c>
    </row>
    <row r="209" spans="12:17" x14ac:dyDescent="0.35">
      <c r="L209">
        <v>207</v>
      </c>
      <c r="M209">
        <v>773</v>
      </c>
      <c r="N209">
        <v>798.25</v>
      </c>
      <c r="Q209">
        <v>8</v>
      </c>
    </row>
    <row r="210" spans="12:17" x14ac:dyDescent="0.35">
      <c r="L210">
        <v>208</v>
      </c>
      <c r="M210">
        <v>787</v>
      </c>
      <c r="N210">
        <v>790.875</v>
      </c>
      <c r="Q210">
        <v>6</v>
      </c>
    </row>
    <row r="211" spans="12:17" x14ac:dyDescent="0.35">
      <c r="L211">
        <v>209</v>
      </c>
      <c r="M211">
        <v>837</v>
      </c>
      <c r="N211">
        <v>789.25</v>
      </c>
      <c r="Q211">
        <v>7</v>
      </c>
    </row>
    <row r="212" spans="12:17" x14ac:dyDescent="0.35">
      <c r="L212">
        <v>210</v>
      </c>
      <c r="M212">
        <v>800</v>
      </c>
      <c r="N212">
        <v>776.875</v>
      </c>
      <c r="Q212">
        <v>15</v>
      </c>
    </row>
    <row r="213" spans="12:17" x14ac:dyDescent="0.35">
      <c r="L213">
        <v>211</v>
      </c>
      <c r="M213">
        <v>732</v>
      </c>
      <c r="N213">
        <v>769.625</v>
      </c>
      <c r="Q213">
        <v>6</v>
      </c>
    </row>
    <row r="214" spans="12:17" x14ac:dyDescent="0.35">
      <c r="L214">
        <v>212</v>
      </c>
      <c r="M214">
        <v>795</v>
      </c>
      <c r="N214">
        <v>760.75</v>
      </c>
      <c r="Q214">
        <v>6</v>
      </c>
    </row>
    <row r="215" spans="12:17" x14ac:dyDescent="0.35">
      <c r="L215">
        <v>213</v>
      </c>
      <c r="M215">
        <v>753</v>
      </c>
      <c r="N215">
        <v>742.5</v>
      </c>
      <c r="Q215">
        <v>3</v>
      </c>
    </row>
    <row r="216" spans="12:17" x14ac:dyDescent="0.35">
      <c r="L216">
        <v>214</v>
      </c>
      <c r="M216">
        <v>738</v>
      </c>
      <c r="N216">
        <v>728.875</v>
      </c>
      <c r="Q216">
        <v>8</v>
      </c>
    </row>
    <row r="217" spans="12:17" x14ac:dyDescent="0.35">
      <c r="L217">
        <v>215</v>
      </c>
      <c r="M217">
        <v>715</v>
      </c>
      <c r="N217">
        <v>723.625</v>
      </c>
      <c r="Q217">
        <v>9</v>
      </c>
    </row>
    <row r="218" spans="12:17" x14ac:dyDescent="0.35">
      <c r="L218">
        <v>216</v>
      </c>
      <c r="M218">
        <v>716</v>
      </c>
      <c r="N218">
        <v>707.25</v>
      </c>
      <c r="Q218">
        <v>8</v>
      </c>
    </row>
    <row r="219" spans="12:17" x14ac:dyDescent="0.35">
      <c r="L219">
        <v>217</v>
      </c>
      <c r="M219">
        <v>691</v>
      </c>
      <c r="N219">
        <v>688.125</v>
      </c>
      <c r="Q219">
        <v>6</v>
      </c>
    </row>
    <row r="220" spans="12:17" x14ac:dyDescent="0.35">
      <c r="L220">
        <v>218</v>
      </c>
      <c r="M220">
        <v>691</v>
      </c>
      <c r="N220">
        <v>670.75</v>
      </c>
      <c r="Q220">
        <v>10</v>
      </c>
    </row>
    <row r="221" spans="12:17" x14ac:dyDescent="0.35">
      <c r="L221">
        <v>219</v>
      </c>
      <c r="M221">
        <v>690</v>
      </c>
      <c r="N221">
        <v>659.125</v>
      </c>
      <c r="Q221">
        <v>8</v>
      </c>
    </row>
    <row r="222" spans="12:17" x14ac:dyDescent="0.35">
      <c r="L222">
        <v>220</v>
      </c>
      <c r="M222">
        <v>664</v>
      </c>
      <c r="N222">
        <v>635.375</v>
      </c>
      <c r="Q222">
        <v>7</v>
      </c>
    </row>
    <row r="223" spans="12:17" x14ac:dyDescent="0.35">
      <c r="L223">
        <v>221</v>
      </c>
      <c r="M223">
        <v>600</v>
      </c>
      <c r="N223">
        <v>615.5</v>
      </c>
      <c r="Q223">
        <v>9</v>
      </c>
    </row>
    <row r="224" spans="12:17" x14ac:dyDescent="0.35">
      <c r="L224">
        <v>222</v>
      </c>
      <c r="M224">
        <v>599</v>
      </c>
      <c r="N224">
        <v>592.125</v>
      </c>
      <c r="Q224">
        <v>7</v>
      </c>
    </row>
    <row r="225" spans="12:17" x14ac:dyDescent="0.35">
      <c r="L225">
        <v>223</v>
      </c>
      <c r="M225">
        <v>622</v>
      </c>
      <c r="N225">
        <v>570.375</v>
      </c>
      <c r="Q225">
        <v>7</v>
      </c>
    </row>
    <row r="226" spans="12:17" x14ac:dyDescent="0.35">
      <c r="L226">
        <v>224</v>
      </c>
      <c r="M226">
        <v>526</v>
      </c>
      <c r="N226">
        <v>546</v>
      </c>
      <c r="Q226">
        <v>6</v>
      </c>
    </row>
    <row r="227" spans="12:17" x14ac:dyDescent="0.35">
      <c r="L227">
        <v>225</v>
      </c>
      <c r="M227">
        <v>532</v>
      </c>
      <c r="N227">
        <v>527.375</v>
      </c>
      <c r="Q227">
        <v>5</v>
      </c>
    </row>
    <row r="228" spans="12:17" x14ac:dyDescent="0.35">
      <c r="L228">
        <v>226</v>
      </c>
      <c r="M228">
        <v>504</v>
      </c>
      <c r="N228">
        <v>506.875</v>
      </c>
      <c r="Q228">
        <v>6</v>
      </c>
    </row>
    <row r="229" spans="12:17" x14ac:dyDescent="0.35">
      <c r="L229">
        <v>227</v>
      </c>
      <c r="M229">
        <v>516</v>
      </c>
      <c r="N229">
        <v>480.25</v>
      </c>
      <c r="Q229">
        <v>6</v>
      </c>
    </row>
    <row r="230" spans="12:17" x14ac:dyDescent="0.35">
      <c r="L230">
        <v>228</v>
      </c>
      <c r="M230">
        <v>469</v>
      </c>
      <c r="N230">
        <v>460</v>
      </c>
      <c r="Q230">
        <v>8</v>
      </c>
    </row>
    <row r="231" spans="12:17" x14ac:dyDescent="0.35">
      <c r="L231">
        <v>229</v>
      </c>
      <c r="M231">
        <v>451</v>
      </c>
      <c r="N231">
        <v>437.625</v>
      </c>
      <c r="Q231">
        <v>8</v>
      </c>
    </row>
    <row r="232" spans="12:17" x14ac:dyDescent="0.35">
      <c r="L232">
        <v>230</v>
      </c>
      <c r="M232">
        <v>435</v>
      </c>
      <c r="N232">
        <v>420.125</v>
      </c>
      <c r="Q232">
        <v>7</v>
      </c>
    </row>
    <row r="233" spans="12:17" x14ac:dyDescent="0.35">
      <c r="L233">
        <v>231</v>
      </c>
      <c r="M233">
        <v>409</v>
      </c>
      <c r="N233">
        <v>398</v>
      </c>
      <c r="Q233">
        <v>3</v>
      </c>
    </row>
    <row r="234" spans="12:17" x14ac:dyDescent="0.35">
      <c r="L234">
        <v>232</v>
      </c>
      <c r="M234">
        <v>364</v>
      </c>
      <c r="N234">
        <v>379.75</v>
      </c>
      <c r="Q234">
        <v>6</v>
      </c>
    </row>
    <row r="235" spans="12:17" x14ac:dyDescent="0.35">
      <c r="L235">
        <v>233</v>
      </c>
      <c r="M235">
        <v>353</v>
      </c>
      <c r="N235">
        <v>359.625</v>
      </c>
      <c r="Q235">
        <v>2</v>
      </c>
    </row>
    <row r="236" spans="12:17" x14ac:dyDescent="0.35">
      <c r="L236">
        <v>234</v>
      </c>
      <c r="M236">
        <v>364</v>
      </c>
      <c r="N236">
        <v>339.625</v>
      </c>
      <c r="Q236">
        <v>4</v>
      </c>
    </row>
    <row r="237" spans="12:17" x14ac:dyDescent="0.35">
      <c r="L237">
        <v>235</v>
      </c>
      <c r="M237">
        <v>339</v>
      </c>
      <c r="N237">
        <v>318.375</v>
      </c>
      <c r="Q237">
        <v>5</v>
      </c>
    </row>
    <row r="238" spans="12:17" x14ac:dyDescent="0.35">
      <c r="L238">
        <v>236</v>
      </c>
      <c r="M238">
        <v>323</v>
      </c>
      <c r="N238">
        <v>304.875</v>
      </c>
      <c r="Q238">
        <v>5</v>
      </c>
    </row>
    <row r="239" spans="12:17" x14ac:dyDescent="0.35">
      <c r="L239">
        <v>237</v>
      </c>
      <c r="M239">
        <v>290</v>
      </c>
      <c r="N239">
        <v>286.75</v>
      </c>
      <c r="Q239">
        <v>3</v>
      </c>
    </row>
    <row r="240" spans="12:17" x14ac:dyDescent="0.35">
      <c r="L240">
        <v>238</v>
      </c>
      <c r="M240">
        <v>275</v>
      </c>
      <c r="N240">
        <v>266.625</v>
      </c>
      <c r="Q240">
        <v>7</v>
      </c>
    </row>
    <row r="241" spans="12:17" x14ac:dyDescent="0.35">
      <c r="L241">
        <v>239</v>
      </c>
      <c r="M241">
        <v>239</v>
      </c>
      <c r="N241">
        <v>247.75</v>
      </c>
      <c r="Q241">
        <v>12</v>
      </c>
    </row>
    <row r="242" spans="12:17" x14ac:dyDescent="0.35">
      <c r="L242">
        <v>240</v>
      </c>
      <c r="M242">
        <v>256</v>
      </c>
      <c r="N242">
        <v>229.25</v>
      </c>
      <c r="Q242">
        <v>9</v>
      </c>
    </row>
    <row r="243" spans="12:17" x14ac:dyDescent="0.35">
      <c r="L243">
        <v>241</v>
      </c>
      <c r="M243">
        <v>208</v>
      </c>
      <c r="N243">
        <v>213.375</v>
      </c>
      <c r="Q243">
        <v>6</v>
      </c>
    </row>
    <row r="244" spans="12:17" x14ac:dyDescent="0.35">
      <c r="L244">
        <v>242</v>
      </c>
      <c r="M244">
        <v>203</v>
      </c>
      <c r="N244">
        <v>196.875</v>
      </c>
      <c r="Q244">
        <v>12</v>
      </c>
    </row>
    <row r="245" spans="12:17" x14ac:dyDescent="0.35">
      <c r="L245">
        <v>243</v>
      </c>
      <c r="M245">
        <v>188</v>
      </c>
      <c r="N245">
        <v>183.25</v>
      </c>
      <c r="Q245">
        <v>8</v>
      </c>
    </row>
    <row r="246" spans="12:17" x14ac:dyDescent="0.35">
      <c r="L246">
        <v>244</v>
      </c>
      <c r="M246">
        <v>175</v>
      </c>
      <c r="N246">
        <v>166.25</v>
      </c>
      <c r="Q246">
        <v>6</v>
      </c>
    </row>
    <row r="247" spans="12:17" x14ac:dyDescent="0.35">
      <c r="L247">
        <v>245</v>
      </c>
      <c r="M247">
        <v>163</v>
      </c>
      <c r="N247">
        <v>155.625</v>
      </c>
      <c r="Q247">
        <v>8</v>
      </c>
    </row>
    <row r="248" spans="12:17" x14ac:dyDescent="0.35">
      <c r="L248">
        <v>246</v>
      </c>
      <c r="M248">
        <v>143</v>
      </c>
      <c r="N248">
        <v>145.5</v>
      </c>
      <c r="Q248">
        <v>6</v>
      </c>
    </row>
    <row r="249" spans="12:17" x14ac:dyDescent="0.35">
      <c r="L249">
        <v>247</v>
      </c>
      <c r="M249">
        <v>130</v>
      </c>
      <c r="N249">
        <v>134.625</v>
      </c>
      <c r="Q249">
        <v>9</v>
      </c>
    </row>
    <row r="250" spans="12:17" x14ac:dyDescent="0.35">
      <c r="L250">
        <v>248</v>
      </c>
      <c r="M250">
        <v>120</v>
      </c>
      <c r="N250">
        <v>123.5</v>
      </c>
      <c r="Q250">
        <v>6</v>
      </c>
    </row>
    <row r="251" spans="12:17" x14ac:dyDescent="0.35">
      <c r="L251">
        <v>249</v>
      </c>
      <c r="M251">
        <v>123</v>
      </c>
      <c r="N251">
        <v>113.625</v>
      </c>
      <c r="Q251">
        <v>9</v>
      </c>
    </row>
    <row r="252" spans="12:17" x14ac:dyDescent="0.35">
      <c r="L252">
        <v>250</v>
      </c>
      <c r="M252">
        <v>122</v>
      </c>
      <c r="N252">
        <v>106.25</v>
      </c>
      <c r="Q252">
        <v>5</v>
      </c>
    </row>
    <row r="253" spans="12:17" x14ac:dyDescent="0.35">
      <c r="L253">
        <v>251</v>
      </c>
      <c r="M253">
        <v>101</v>
      </c>
      <c r="N253">
        <v>98.125</v>
      </c>
      <c r="Q253">
        <v>8</v>
      </c>
    </row>
    <row r="254" spans="12:17" x14ac:dyDescent="0.35">
      <c r="L254">
        <v>252</v>
      </c>
      <c r="M254">
        <v>86</v>
      </c>
      <c r="N254">
        <v>90.75</v>
      </c>
      <c r="Q254">
        <v>3</v>
      </c>
    </row>
    <row r="255" spans="12:17" x14ac:dyDescent="0.35">
      <c r="L255">
        <v>253</v>
      </c>
      <c r="M255">
        <v>84</v>
      </c>
      <c r="N255">
        <v>81</v>
      </c>
      <c r="Q255">
        <v>4</v>
      </c>
    </row>
    <row r="256" spans="12:17" x14ac:dyDescent="0.35">
      <c r="L256">
        <v>254</v>
      </c>
      <c r="M256">
        <v>84</v>
      </c>
      <c r="N256">
        <v>71.25</v>
      </c>
      <c r="Q256">
        <v>8</v>
      </c>
    </row>
    <row r="257" spans="12:17" x14ac:dyDescent="0.35">
      <c r="L257">
        <v>255</v>
      </c>
      <c r="M257">
        <v>65</v>
      </c>
      <c r="N257">
        <v>66.25</v>
      </c>
      <c r="Q257">
        <v>4</v>
      </c>
    </row>
    <row r="258" spans="12:17" x14ac:dyDescent="0.35">
      <c r="L258">
        <v>256</v>
      </c>
      <c r="M258">
        <v>61</v>
      </c>
      <c r="N258">
        <v>61.25</v>
      </c>
      <c r="Q258">
        <v>5</v>
      </c>
    </row>
    <row r="259" spans="12:17" x14ac:dyDescent="0.35">
      <c r="L259">
        <v>257</v>
      </c>
      <c r="M259">
        <v>45</v>
      </c>
      <c r="N259">
        <v>55.75</v>
      </c>
      <c r="Q259">
        <v>4</v>
      </c>
    </row>
    <row r="260" spans="12:17" x14ac:dyDescent="0.35">
      <c r="L260">
        <v>258</v>
      </c>
      <c r="M260">
        <v>44</v>
      </c>
      <c r="N260">
        <v>51</v>
      </c>
      <c r="Q260">
        <v>6</v>
      </c>
    </row>
    <row r="261" spans="12:17" x14ac:dyDescent="0.35">
      <c r="L261">
        <v>259</v>
      </c>
      <c r="M261">
        <v>61</v>
      </c>
      <c r="N261">
        <v>46.5</v>
      </c>
      <c r="Q261">
        <v>5</v>
      </c>
    </row>
    <row r="262" spans="12:17" x14ac:dyDescent="0.35">
      <c r="L262">
        <v>260</v>
      </c>
      <c r="M262">
        <v>46</v>
      </c>
      <c r="N262">
        <v>42.5</v>
      </c>
      <c r="Q262">
        <v>10</v>
      </c>
    </row>
    <row r="263" spans="12:17" x14ac:dyDescent="0.35">
      <c r="L263">
        <v>261</v>
      </c>
      <c r="M263">
        <v>40</v>
      </c>
      <c r="N263">
        <v>41.625</v>
      </c>
      <c r="Q263">
        <v>15</v>
      </c>
    </row>
    <row r="264" spans="12:17" x14ac:dyDescent="0.35">
      <c r="L264">
        <v>262</v>
      </c>
      <c r="M264">
        <v>46</v>
      </c>
      <c r="N264">
        <v>39.5</v>
      </c>
      <c r="Q264">
        <v>6</v>
      </c>
    </row>
    <row r="265" spans="12:17" x14ac:dyDescent="0.35">
      <c r="L265">
        <v>263</v>
      </c>
      <c r="M265">
        <v>29</v>
      </c>
      <c r="N265">
        <v>34.125</v>
      </c>
      <c r="Q265">
        <v>4</v>
      </c>
    </row>
    <row r="266" spans="12:17" x14ac:dyDescent="0.35">
      <c r="L266">
        <v>264</v>
      </c>
      <c r="M266">
        <v>29</v>
      </c>
      <c r="N266">
        <v>30.75</v>
      </c>
      <c r="Q266">
        <v>5</v>
      </c>
    </row>
    <row r="267" spans="12:17" x14ac:dyDescent="0.35">
      <c r="L267">
        <v>265</v>
      </c>
      <c r="M267">
        <v>38</v>
      </c>
      <c r="N267">
        <v>28.125</v>
      </c>
      <c r="Q267">
        <v>6</v>
      </c>
    </row>
    <row r="268" spans="12:17" x14ac:dyDescent="0.35">
      <c r="L268">
        <v>266</v>
      </c>
      <c r="M268">
        <v>27</v>
      </c>
      <c r="N268">
        <v>24.625</v>
      </c>
      <c r="Q268">
        <v>8</v>
      </c>
    </row>
    <row r="269" spans="12:17" x14ac:dyDescent="0.35">
      <c r="L269">
        <v>267</v>
      </c>
      <c r="M269">
        <v>18</v>
      </c>
      <c r="N269">
        <v>22.625</v>
      </c>
      <c r="Q269">
        <v>9</v>
      </c>
    </row>
    <row r="270" spans="12:17" x14ac:dyDescent="0.35">
      <c r="L270">
        <v>268</v>
      </c>
      <c r="M270">
        <v>19</v>
      </c>
      <c r="N270">
        <v>21.875</v>
      </c>
      <c r="Q270">
        <v>8</v>
      </c>
    </row>
    <row r="271" spans="12:17" x14ac:dyDescent="0.35">
      <c r="L271">
        <v>269</v>
      </c>
      <c r="M271">
        <v>19</v>
      </c>
      <c r="N271">
        <v>18.75</v>
      </c>
      <c r="Q271">
        <v>4</v>
      </c>
    </row>
    <row r="272" spans="12:17" x14ac:dyDescent="0.35">
      <c r="L272">
        <v>270</v>
      </c>
      <c r="M272">
        <v>18</v>
      </c>
      <c r="N272">
        <v>17.375</v>
      </c>
      <c r="Q272">
        <v>9</v>
      </c>
    </row>
    <row r="273" spans="12:17" x14ac:dyDescent="0.35">
      <c r="L273">
        <v>271</v>
      </c>
      <c r="M273">
        <v>13</v>
      </c>
      <c r="N273">
        <v>16.25</v>
      </c>
      <c r="Q273">
        <v>5</v>
      </c>
    </row>
    <row r="274" spans="12:17" x14ac:dyDescent="0.35">
      <c r="L274">
        <v>272</v>
      </c>
      <c r="M274">
        <v>23</v>
      </c>
      <c r="N274">
        <v>15.625</v>
      </c>
      <c r="Q274">
        <v>10</v>
      </c>
    </row>
    <row r="275" spans="12:17" x14ac:dyDescent="0.35">
      <c r="L275">
        <v>273</v>
      </c>
      <c r="M275">
        <v>13</v>
      </c>
      <c r="N275">
        <v>15.125</v>
      </c>
      <c r="Q275">
        <v>10</v>
      </c>
    </row>
    <row r="276" spans="12:17" x14ac:dyDescent="0.35">
      <c r="L276">
        <v>274</v>
      </c>
      <c r="M276">
        <v>16</v>
      </c>
      <c r="N276">
        <v>13.875</v>
      </c>
      <c r="Q276">
        <v>5</v>
      </c>
    </row>
    <row r="277" spans="12:17" x14ac:dyDescent="0.35">
      <c r="L277">
        <v>275</v>
      </c>
      <c r="M277">
        <v>9</v>
      </c>
      <c r="N277">
        <v>13</v>
      </c>
      <c r="Q277">
        <v>8</v>
      </c>
    </row>
    <row r="278" spans="12:17" x14ac:dyDescent="0.35">
      <c r="L278">
        <v>276</v>
      </c>
      <c r="M278">
        <v>14</v>
      </c>
      <c r="N278">
        <v>11.625</v>
      </c>
      <c r="Q278">
        <v>3</v>
      </c>
    </row>
    <row r="279" spans="12:17" x14ac:dyDescent="0.35">
      <c r="L279">
        <v>277</v>
      </c>
      <c r="M279">
        <v>15</v>
      </c>
      <c r="N279">
        <v>10.75</v>
      </c>
      <c r="Q279">
        <v>9</v>
      </c>
    </row>
    <row r="280" spans="12:17" x14ac:dyDescent="0.35">
      <c r="L280">
        <v>278</v>
      </c>
      <c r="M280">
        <v>8</v>
      </c>
      <c r="N280">
        <v>9.75</v>
      </c>
      <c r="Q280">
        <v>5</v>
      </c>
    </row>
    <row r="281" spans="12:17" x14ac:dyDescent="0.35">
      <c r="L281">
        <v>279</v>
      </c>
      <c r="M281">
        <v>6</v>
      </c>
      <c r="N281">
        <v>9.375</v>
      </c>
      <c r="Q281">
        <v>9</v>
      </c>
    </row>
    <row r="282" spans="12:17" x14ac:dyDescent="0.35">
      <c r="L282">
        <v>280</v>
      </c>
      <c r="M282">
        <v>12</v>
      </c>
      <c r="N282">
        <v>9</v>
      </c>
      <c r="Q282">
        <v>3</v>
      </c>
    </row>
    <row r="283" spans="12:17" x14ac:dyDescent="0.35">
      <c r="L283">
        <v>281</v>
      </c>
      <c r="M283">
        <v>6</v>
      </c>
      <c r="N283">
        <v>8.125</v>
      </c>
      <c r="Q283">
        <v>7</v>
      </c>
    </row>
    <row r="284" spans="12:17" x14ac:dyDescent="0.35">
      <c r="L284">
        <v>282</v>
      </c>
      <c r="M284">
        <v>8</v>
      </c>
      <c r="N284">
        <v>7.875</v>
      </c>
      <c r="Q284">
        <v>5</v>
      </c>
    </row>
    <row r="285" spans="12:17" x14ac:dyDescent="0.35">
      <c r="L285">
        <v>283</v>
      </c>
      <c r="M285">
        <v>6</v>
      </c>
      <c r="N285">
        <v>8</v>
      </c>
      <c r="Q285">
        <v>5</v>
      </c>
    </row>
    <row r="286" spans="12:17" x14ac:dyDescent="0.35">
      <c r="L286">
        <v>284</v>
      </c>
      <c r="M286">
        <v>11</v>
      </c>
      <c r="N286">
        <v>7.625</v>
      </c>
      <c r="Q286">
        <v>10</v>
      </c>
    </row>
    <row r="287" spans="12:17" x14ac:dyDescent="0.35">
      <c r="L287">
        <v>285</v>
      </c>
      <c r="M287">
        <v>8</v>
      </c>
      <c r="N287">
        <v>7.375</v>
      </c>
      <c r="Q287">
        <v>6</v>
      </c>
    </row>
    <row r="288" spans="12:17" x14ac:dyDescent="0.35">
      <c r="L288">
        <v>286</v>
      </c>
      <c r="M288">
        <v>6</v>
      </c>
      <c r="N288">
        <v>6.875</v>
      </c>
      <c r="Q288">
        <v>7</v>
      </c>
    </row>
    <row r="289" spans="12:17" x14ac:dyDescent="0.35">
      <c r="L289">
        <v>287</v>
      </c>
      <c r="M289">
        <v>7</v>
      </c>
      <c r="N289">
        <v>6.875</v>
      </c>
      <c r="Q289">
        <v>10</v>
      </c>
    </row>
    <row r="290" spans="12:17" x14ac:dyDescent="0.35">
      <c r="L290">
        <v>288</v>
      </c>
      <c r="M290">
        <v>9</v>
      </c>
      <c r="N290">
        <v>6.125</v>
      </c>
      <c r="Q290">
        <v>5</v>
      </c>
    </row>
    <row r="291" spans="12:17" x14ac:dyDescent="0.35">
      <c r="L291">
        <v>289</v>
      </c>
      <c r="M291">
        <v>4</v>
      </c>
      <c r="N291">
        <v>5.25</v>
      </c>
      <c r="Q291">
        <v>6</v>
      </c>
    </row>
    <row r="292" spans="12:17" x14ac:dyDescent="0.35">
      <c r="L292">
        <v>290</v>
      </c>
      <c r="M292">
        <v>4</v>
      </c>
      <c r="N292">
        <v>5.5</v>
      </c>
      <c r="Q292">
        <v>6</v>
      </c>
    </row>
    <row r="293" spans="12:17" x14ac:dyDescent="0.35">
      <c r="L293">
        <v>291</v>
      </c>
      <c r="M293">
        <v>6</v>
      </c>
      <c r="N293">
        <v>4.875</v>
      </c>
      <c r="Q293">
        <v>6</v>
      </c>
    </row>
    <row r="294" spans="12:17" x14ac:dyDescent="0.35">
      <c r="L294">
        <v>292</v>
      </c>
      <c r="M294">
        <v>5</v>
      </c>
      <c r="N294">
        <v>4.25</v>
      </c>
      <c r="Q294">
        <v>7</v>
      </c>
    </row>
    <row r="295" spans="12:17" x14ac:dyDescent="0.35">
      <c r="L295">
        <v>293</v>
      </c>
      <c r="M295">
        <v>1</v>
      </c>
      <c r="N295">
        <v>4.25</v>
      </c>
      <c r="Q295">
        <v>6</v>
      </c>
    </row>
    <row r="296" spans="12:17" x14ac:dyDescent="0.35">
      <c r="L296">
        <v>294</v>
      </c>
      <c r="M296">
        <v>8</v>
      </c>
      <c r="N296">
        <v>3.75</v>
      </c>
      <c r="Q296">
        <v>9</v>
      </c>
    </row>
    <row r="297" spans="12:17" x14ac:dyDescent="0.35">
      <c r="L297">
        <v>295</v>
      </c>
      <c r="M297">
        <v>2</v>
      </c>
      <c r="N297">
        <v>3.625</v>
      </c>
      <c r="Q297">
        <v>8</v>
      </c>
    </row>
    <row r="298" spans="12:17" x14ac:dyDescent="0.35">
      <c r="L298">
        <v>296</v>
      </c>
      <c r="M298">
        <v>4</v>
      </c>
      <c r="N298">
        <v>3.375</v>
      </c>
      <c r="Q298">
        <v>10</v>
      </c>
    </row>
    <row r="299" spans="12:17" x14ac:dyDescent="0.35">
      <c r="L299">
        <v>297</v>
      </c>
      <c r="M299">
        <v>4</v>
      </c>
      <c r="N299">
        <v>3.5</v>
      </c>
      <c r="Q299">
        <v>8</v>
      </c>
    </row>
    <row r="300" spans="12:17" x14ac:dyDescent="0.35">
      <c r="L300">
        <v>298</v>
      </c>
      <c r="M300">
        <v>0</v>
      </c>
      <c r="N300">
        <v>3.25</v>
      </c>
      <c r="Q300">
        <v>8</v>
      </c>
    </row>
    <row r="301" spans="12:17" x14ac:dyDescent="0.35">
      <c r="L301">
        <v>299</v>
      </c>
      <c r="M301">
        <v>5</v>
      </c>
      <c r="N301">
        <v>3.25</v>
      </c>
      <c r="Q301">
        <v>8</v>
      </c>
    </row>
    <row r="302" spans="12:17" x14ac:dyDescent="0.35">
      <c r="L302">
        <v>300</v>
      </c>
      <c r="M302">
        <v>3</v>
      </c>
      <c r="N302">
        <v>3</v>
      </c>
      <c r="Q302">
        <v>12</v>
      </c>
    </row>
    <row r="303" spans="12:17" x14ac:dyDescent="0.35">
      <c r="L303">
        <v>301</v>
      </c>
      <c r="M303">
        <v>2</v>
      </c>
      <c r="N303">
        <v>2.75</v>
      </c>
      <c r="Q303">
        <v>8</v>
      </c>
    </row>
    <row r="304" spans="12:17" x14ac:dyDescent="0.35">
      <c r="L304">
        <v>302</v>
      </c>
      <c r="M304">
        <v>6</v>
      </c>
      <c r="N304">
        <v>2.875</v>
      </c>
      <c r="Q304">
        <v>11</v>
      </c>
    </row>
    <row r="305" spans="12:17" x14ac:dyDescent="0.35">
      <c r="L305">
        <v>303</v>
      </c>
      <c r="M305">
        <v>2</v>
      </c>
      <c r="N305">
        <v>2.5</v>
      </c>
      <c r="Q305">
        <v>10</v>
      </c>
    </row>
    <row r="306" spans="12:17" x14ac:dyDescent="0.35">
      <c r="L306">
        <v>304</v>
      </c>
      <c r="M306">
        <v>2</v>
      </c>
      <c r="N306">
        <v>2.625</v>
      </c>
      <c r="Q306">
        <v>15</v>
      </c>
    </row>
    <row r="307" spans="12:17" x14ac:dyDescent="0.35">
      <c r="L307">
        <v>305</v>
      </c>
      <c r="M307">
        <v>2</v>
      </c>
      <c r="N307">
        <v>2.625</v>
      </c>
      <c r="Q307">
        <v>10</v>
      </c>
    </row>
    <row r="308" spans="12:17" x14ac:dyDescent="0.35">
      <c r="L308">
        <v>306</v>
      </c>
      <c r="M308">
        <v>1</v>
      </c>
      <c r="N308">
        <v>2</v>
      </c>
      <c r="Q308">
        <v>16</v>
      </c>
    </row>
    <row r="309" spans="12:17" x14ac:dyDescent="0.35">
      <c r="L309">
        <v>307</v>
      </c>
      <c r="M309">
        <v>2</v>
      </c>
      <c r="N309">
        <v>2</v>
      </c>
      <c r="Q309">
        <v>11</v>
      </c>
    </row>
    <row r="310" spans="12:17" x14ac:dyDescent="0.35">
      <c r="L310">
        <v>308</v>
      </c>
      <c r="M310">
        <v>4</v>
      </c>
      <c r="N310">
        <v>2</v>
      </c>
      <c r="Q310">
        <v>12</v>
      </c>
    </row>
    <row r="311" spans="12:17" x14ac:dyDescent="0.35">
      <c r="L311">
        <v>309</v>
      </c>
      <c r="M311">
        <v>2</v>
      </c>
      <c r="N311">
        <v>2</v>
      </c>
      <c r="Q311">
        <v>13</v>
      </c>
    </row>
    <row r="312" spans="12:17" x14ac:dyDescent="0.35">
      <c r="L312">
        <v>310</v>
      </c>
      <c r="M312">
        <v>1</v>
      </c>
      <c r="N312">
        <v>2.375</v>
      </c>
      <c r="Q312">
        <v>16</v>
      </c>
    </row>
    <row r="313" spans="12:17" x14ac:dyDescent="0.35">
      <c r="L313">
        <v>311</v>
      </c>
      <c r="M313">
        <v>2</v>
      </c>
      <c r="N313">
        <v>2.5</v>
      </c>
      <c r="Q313">
        <v>11</v>
      </c>
    </row>
    <row r="314" spans="12:17" x14ac:dyDescent="0.35">
      <c r="L314">
        <v>312</v>
      </c>
      <c r="M314">
        <v>2</v>
      </c>
      <c r="N314">
        <v>2.25</v>
      </c>
      <c r="Q314">
        <v>18</v>
      </c>
    </row>
    <row r="315" spans="12:17" x14ac:dyDescent="0.35">
      <c r="L315">
        <v>313</v>
      </c>
      <c r="M315">
        <v>2</v>
      </c>
      <c r="N315">
        <v>2.375</v>
      </c>
      <c r="Q315">
        <v>11</v>
      </c>
    </row>
    <row r="316" spans="12:17" x14ac:dyDescent="0.35">
      <c r="L316">
        <v>314</v>
      </c>
      <c r="M316">
        <v>4</v>
      </c>
      <c r="N316">
        <v>2.625</v>
      </c>
      <c r="Q316">
        <v>10</v>
      </c>
    </row>
    <row r="317" spans="12:17" x14ac:dyDescent="0.35">
      <c r="L317">
        <v>315</v>
      </c>
      <c r="M317">
        <v>3</v>
      </c>
      <c r="N317">
        <v>3.125</v>
      </c>
      <c r="Q317">
        <v>16</v>
      </c>
    </row>
    <row r="318" spans="12:17" x14ac:dyDescent="0.35">
      <c r="L318">
        <v>316</v>
      </c>
      <c r="M318">
        <v>2</v>
      </c>
      <c r="N318">
        <v>3.625</v>
      </c>
      <c r="Q318">
        <v>13</v>
      </c>
    </row>
    <row r="319" spans="12:17" x14ac:dyDescent="0.35">
      <c r="L319">
        <v>317</v>
      </c>
      <c r="M319">
        <v>3</v>
      </c>
      <c r="N319">
        <v>3.75</v>
      </c>
      <c r="Q319">
        <v>11</v>
      </c>
    </row>
    <row r="320" spans="12:17" x14ac:dyDescent="0.35">
      <c r="L320">
        <v>318</v>
      </c>
      <c r="M320">
        <v>3</v>
      </c>
      <c r="N320">
        <v>3.625</v>
      </c>
      <c r="Q320">
        <v>16</v>
      </c>
    </row>
    <row r="321" spans="12:17" x14ac:dyDescent="0.35">
      <c r="L321">
        <v>319</v>
      </c>
      <c r="M321">
        <v>6</v>
      </c>
      <c r="N321">
        <v>3.75</v>
      </c>
      <c r="Q321">
        <v>15</v>
      </c>
    </row>
    <row r="322" spans="12:17" x14ac:dyDescent="0.35">
      <c r="L322">
        <v>320</v>
      </c>
      <c r="M322">
        <v>6</v>
      </c>
      <c r="N322">
        <v>3.875</v>
      </c>
      <c r="Q322">
        <v>17</v>
      </c>
    </row>
    <row r="323" spans="12:17" x14ac:dyDescent="0.35">
      <c r="L323">
        <v>321</v>
      </c>
      <c r="M323">
        <v>3</v>
      </c>
      <c r="N323">
        <v>3.75</v>
      </c>
      <c r="Q323">
        <v>17</v>
      </c>
    </row>
    <row r="324" spans="12:17" x14ac:dyDescent="0.35">
      <c r="L324">
        <v>322</v>
      </c>
      <c r="M324">
        <v>3</v>
      </c>
      <c r="N324">
        <v>3.75</v>
      </c>
      <c r="Q324">
        <v>16</v>
      </c>
    </row>
    <row r="325" spans="12:17" x14ac:dyDescent="0.35">
      <c r="L325">
        <v>323</v>
      </c>
      <c r="M325">
        <v>4</v>
      </c>
      <c r="N325">
        <v>3.75</v>
      </c>
      <c r="Q325">
        <v>22</v>
      </c>
    </row>
    <row r="326" spans="12:17" x14ac:dyDescent="0.35">
      <c r="L326">
        <v>324</v>
      </c>
      <c r="M326">
        <v>3</v>
      </c>
      <c r="N326">
        <v>3.375</v>
      </c>
      <c r="Q326">
        <v>17</v>
      </c>
    </row>
    <row r="327" spans="12:17" x14ac:dyDescent="0.35">
      <c r="L327">
        <v>325</v>
      </c>
      <c r="M327">
        <v>2</v>
      </c>
      <c r="N327">
        <v>3.5</v>
      </c>
      <c r="Q327">
        <v>25</v>
      </c>
    </row>
    <row r="328" spans="12:17" x14ac:dyDescent="0.35">
      <c r="L328">
        <v>326</v>
      </c>
      <c r="M328">
        <v>3</v>
      </c>
      <c r="N328">
        <v>3.75</v>
      </c>
      <c r="Q328">
        <v>16</v>
      </c>
    </row>
    <row r="329" spans="12:17" x14ac:dyDescent="0.35">
      <c r="L329">
        <v>327</v>
      </c>
      <c r="M329">
        <v>6</v>
      </c>
      <c r="N329">
        <v>4.125</v>
      </c>
      <c r="Q329">
        <v>20</v>
      </c>
    </row>
    <row r="330" spans="12:17" x14ac:dyDescent="0.35">
      <c r="L330">
        <v>328</v>
      </c>
      <c r="M330">
        <v>3</v>
      </c>
      <c r="N330">
        <v>4.125</v>
      </c>
      <c r="Q330">
        <v>20</v>
      </c>
    </row>
    <row r="331" spans="12:17" x14ac:dyDescent="0.35">
      <c r="L331">
        <v>329</v>
      </c>
      <c r="M331">
        <v>4</v>
      </c>
      <c r="N331">
        <v>4.75</v>
      </c>
      <c r="Q331">
        <v>31</v>
      </c>
    </row>
    <row r="332" spans="12:17" x14ac:dyDescent="0.35">
      <c r="L332">
        <v>330</v>
      </c>
      <c r="M332">
        <v>5</v>
      </c>
      <c r="N332">
        <v>5.125</v>
      </c>
      <c r="Q332">
        <v>27</v>
      </c>
    </row>
    <row r="333" spans="12:17" x14ac:dyDescent="0.35">
      <c r="L333">
        <v>331</v>
      </c>
      <c r="M333">
        <v>7</v>
      </c>
      <c r="N333">
        <v>4.875</v>
      </c>
      <c r="Q333">
        <v>21</v>
      </c>
    </row>
    <row r="334" spans="12:17" x14ac:dyDescent="0.35">
      <c r="L334">
        <v>332</v>
      </c>
      <c r="M334">
        <v>3</v>
      </c>
      <c r="N334">
        <v>5</v>
      </c>
      <c r="Q334">
        <v>19</v>
      </c>
    </row>
    <row r="335" spans="12:17" x14ac:dyDescent="0.35">
      <c r="L335">
        <v>333</v>
      </c>
      <c r="M335">
        <v>7</v>
      </c>
      <c r="N335">
        <v>5.125</v>
      </c>
      <c r="Q335">
        <v>27</v>
      </c>
    </row>
    <row r="336" spans="12:17" x14ac:dyDescent="0.35">
      <c r="L336">
        <v>334</v>
      </c>
      <c r="M336">
        <v>6</v>
      </c>
      <c r="N336">
        <v>4.625</v>
      </c>
      <c r="Q336">
        <v>33</v>
      </c>
    </row>
    <row r="337" spans="12:17" x14ac:dyDescent="0.35">
      <c r="L337">
        <v>335</v>
      </c>
      <c r="M337">
        <v>4</v>
      </c>
      <c r="N337">
        <v>4.125</v>
      </c>
      <c r="Q337">
        <v>32</v>
      </c>
    </row>
    <row r="338" spans="12:17" x14ac:dyDescent="0.35">
      <c r="L338">
        <v>336</v>
      </c>
      <c r="M338">
        <v>4</v>
      </c>
      <c r="N338">
        <v>4.125</v>
      </c>
      <c r="Q338">
        <v>26</v>
      </c>
    </row>
    <row r="339" spans="12:17" x14ac:dyDescent="0.35">
      <c r="L339">
        <v>337</v>
      </c>
      <c r="M339">
        <v>5</v>
      </c>
      <c r="N339">
        <v>3.375</v>
      </c>
      <c r="Q339">
        <v>29</v>
      </c>
    </row>
    <row r="340" spans="12:17" x14ac:dyDescent="0.35">
      <c r="L340">
        <v>338</v>
      </c>
      <c r="M340">
        <v>1</v>
      </c>
      <c r="N340">
        <v>2.875</v>
      </c>
      <c r="Q340">
        <v>30</v>
      </c>
    </row>
    <row r="341" spans="12:17" x14ac:dyDescent="0.35">
      <c r="L341">
        <v>339</v>
      </c>
      <c r="M341">
        <v>3</v>
      </c>
      <c r="N341">
        <v>2.625</v>
      </c>
      <c r="Q341">
        <v>38</v>
      </c>
    </row>
    <row r="342" spans="12:17" x14ac:dyDescent="0.35">
      <c r="L342">
        <v>340</v>
      </c>
      <c r="M342">
        <v>3</v>
      </c>
      <c r="N342">
        <v>3.25</v>
      </c>
      <c r="Q342">
        <v>35</v>
      </c>
    </row>
    <row r="343" spans="12:17" x14ac:dyDescent="0.35">
      <c r="L343">
        <v>341</v>
      </c>
      <c r="M343">
        <v>1</v>
      </c>
      <c r="N343">
        <v>3.375</v>
      </c>
      <c r="Q343">
        <v>45</v>
      </c>
    </row>
    <row r="344" spans="12:17" x14ac:dyDescent="0.35">
      <c r="L344">
        <v>342</v>
      </c>
      <c r="M344">
        <v>2</v>
      </c>
      <c r="N344">
        <v>3.375</v>
      </c>
      <c r="Q344">
        <v>46</v>
      </c>
    </row>
    <row r="345" spans="12:17" x14ac:dyDescent="0.35">
      <c r="L345">
        <v>343</v>
      </c>
      <c r="M345">
        <v>2</v>
      </c>
      <c r="N345">
        <v>3.625</v>
      </c>
      <c r="Q345">
        <v>28</v>
      </c>
    </row>
    <row r="346" spans="12:17" x14ac:dyDescent="0.35">
      <c r="L346">
        <v>344</v>
      </c>
      <c r="M346">
        <v>9</v>
      </c>
      <c r="N346">
        <v>3.5</v>
      </c>
      <c r="Q346">
        <v>52</v>
      </c>
    </row>
    <row r="347" spans="12:17" x14ac:dyDescent="0.35">
      <c r="L347">
        <v>345</v>
      </c>
      <c r="M347">
        <v>6</v>
      </c>
      <c r="N347">
        <v>4</v>
      </c>
      <c r="Q347">
        <v>39</v>
      </c>
    </row>
    <row r="348" spans="12:17" x14ac:dyDescent="0.35">
      <c r="L348">
        <v>346</v>
      </c>
      <c r="M348">
        <v>1</v>
      </c>
      <c r="N348">
        <v>4.875</v>
      </c>
      <c r="Q348">
        <v>47</v>
      </c>
    </row>
    <row r="349" spans="12:17" x14ac:dyDescent="0.35">
      <c r="L349">
        <v>347</v>
      </c>
      <c r="M349">
        <v>5</v>
      </c>
      <c r="N349">
        <v>5</v>
      </c>
      <c r="Q349">
        <v>62</v>
      </c>
    </row>
    <row r="350" spans="12:17" x14ac:dyDescent="0.35">
      <c r="L350">
        <v>348</v>
      </c>
      <c r="M350">
        <v>2</v>
      </c>
      <c r="N350">
        <v>4.375</v>
      </c>
      <c r="Q350">
        <v>59</v>
      </c>
    </row>
    <row r="351" spans="12:17" x14ac:dyDescent="0.35">
      <c r="L351">
        <v>349</v>
      </c>
      <c r="M351">
        <v>5</v>
      </c>
      <c r="N351">
        <v>4.75</v>
      </c>
      <c r="Q351">
        <v>51</v>
      </c>
    </row>
    <row r="352" spans="12:17" x14ac:dyDescent="0.35">
      <c r="L352">
        <v>350</v>
      </c>
      <c r="M352">
        <v>9</v>
      </c>
      <c r="N352">
        <v>5</v>
      </c>
      <c r="Q352">
        <v>48</v>
      </c>
    </row>
    <row r="353" spans="12:17" x14ac:dyDescent="0.35">
      <c r="L353">
        <v>351</v>
      </c>
      <c r="M353">
        <v>3</v>
      </c>
      <c r="N353">
        <v>4.875</v>
      </c>
      <c r="Q353">
        <v>62</v>
      </c>
    </row>
    <row r="354" spans="12:17" x14ac:dyDescent="0.35">
      <c r="L354">
        <v>352</v>
      </c>
      <c r="M354">
        <v>4</v>
      </c>
      <c r="N354">
        <v>5.375</v>
      </c>
      <c r="Q354">
        <v>58</v>
      </c>
    </row>
    <row r="355" spans="12:17" x14ac:dyDescent="0.35">
      <c r="L355">
        <v>353</v>
      </c>
      <c r="M355">
        <v>9</v>
      </c>
      <c r="N355">
        <v>5.125</v>
      </c>
      <c r="Q355">
        <v>57</v>
      </c>
    </row>
    <row r="356" spans="12:17" x14ac:dyDescent="0.35">
      <c r="L356">
        <v>354</v>
      </c>
      <c r="M356">
        <v>3</v>
      </c>
      <c r="N356">
        <v>4.875</v>
      </c>
      <c r="Q356">
        <v>77</v>
      </c>
    </row>
    <row r="357" spans="12:17" x14ac:dyDescent="0.35">
      <c r="L357">
        <v>355</v>
      </c>
      <c r="M357">
        <v>4</v>
      </c>
      <c r="N357">
        <v>4.75</v>
      </c>
      <c r="Q357">
        <v>65</v>
      </c>
    </row>
    <row r="358" spans="12:17" x14ac:dyDescent="0.35">
      <c r="L358">
        <v>356</v>
      </c>
      <c r="M358">
        <v>6</v>
      </c>
      <c r="N358">
        <v>5</v>
      </c>
      <c r="Q358">
        <v>77</v>
      </c>
    </row>
    <row r="359" spans="12:17" x14ac:dyDescent="0.35">
      <c r="L359">
        <v>357</v>
      </c>
      <c r="M359">
        <v>3</v>
      </c>
      <c r="N359">
        <v>4</v>
      </c>
      <c r="Q359">
        <v>67</v>
      </c>
    </row>
    <row r="360" spans="12:17" x14ac:dyDescent="0.35">
      <c r="L360">
        <v>358</v>
      </c>
      <c r="M360">
        <v>7</v>
      </c>
      <c r="N360">
        <v>4.75</v>
      </c>
      <c r="Q360">
        <v>81</v>
      </c>
    </row>
    <row r="361" spans="12:17" x14ac:dyDescent="0.35">
      <c r="L361">
        <v>359</v>
      </c>
      <c r="M361">
        <v>2</v>
      </c>
      <c r="N361">
        <v>5.125</v>
      </c>
      <c r="Q361">
        <v>80</v>
      </c>
    </row>
    <row r="362" spans="12:17" x14ac:dyDescent="0.35">
      <c r="L362">
        <v>360</v>
      </c>
      <c r="M362">
        <v>6</v>
      </c>
      <c r="N362">
        <v>4.875</v>
      </c>
      <c r="Q362">
        <v>62</v>
      </c>
    </row>
    <row r="363" spans="12:17" x14ac:dyDescent="0.35">
      <c r="L363">
        <v>361</v>
      </c>
      <c r="M363">
        <v>1</v>
      </c>
      <c r="N363">
        <v>5.75</v>
      </c>
      <c r="Q363">
        <v>86</v>
      </c>
    </row>
    <row r="364" spans="12:17" x14ac:dyDescent="0.35">
      <c r="L364">
        <v>362</v>
      </c>
      <c r="M364">
        <v>9</v>
      </c>
      <c r="N364">
        <v>6.125</v>
      </c>
      <c r="Q364">
        <v>100</v>
      </c>
    </row>
    <row r="365" spans="12:17" x14ac:dyDescent="0.35">
      <c r="L365">
        <v>363</v>
      </c>
      <c r="M365">
        <v>7</v>
      </c>
      <c r="N365">
        <v>6.875</v>
      </c>
      <c r="Q365">
        <v>77</v>
      </c>
    </row>
    <row r="366" spans="12:17" x14ac:dyDescent="0.35">
      <c r="L366">
        <v>364</v>
      </c>
      <c r="M366">
        <v>4</v>
      </c>
      <c r="N366">
        <v>6.625</v>
      </c>
      <c r="Q366">
        <v>91</v>
      </c>
    </row>
    <row r="367" spans="12:17" x14ac:dyDescent="0.35">
      <c r="L367">
        <v>365</v>
      </c>
      <c r="M367">
        <v>10</v>
      </c>
      <c r="N367">
        <v>7.375</v>
      </c>
      <c r="Q367">
        <v>96</v>
      </c>
    </row>
    <row r="368" spans="12:17" x14ac:dyDescent="0.35">
      <c r="L368">
        <v>366</v>
      </c>
      <c r="M368">
        <v>10</v>
      </c>
      <c r="N368">
        <v>6.875</v>
      </c>
      <c r="Q368">
        <v>98</v>
      </c>
    </row>
    <row r="369" spans="12:17" x14ac:dyDescent="0.35">
      <c r="L369">
        <v>367</v>
      </c>
      <c r="M369">
        <v>8</v>
      </c>
      <c r="N369">
        <v>6.75</v>
      </c>
      <c r="Q369">
        <v>97</v>
      </c>
    </row>
    <row r="370" spans="12:17" x14ac:dyDescent="0.35">
      <c r="L370">
        <v>368</v>
      </c>
      <c r="M370">
        <v>4</v>
      </c>
      <c r="N370">
        <v>6.75</v>
      </c>
      <c r="Q370">
        <v>115</v>
      </c>
    </row>
    <row r="371" spans="12:17" x14ac:dyDescent="0.35">
      <c r="L371">
        <v>369</v>
      </c>
      <c r="M371">
        <v>7</v>
      </c>
      <c r="N371">
        <v>6.25</v>
      </c>
      <c r="Q371">
        <v>106</v>
      </c>
    </row>
    <row r="372" spans="12:17" x14ac:dyDescent="0.35">
      <c r="L372">
        <v>370</v>
      </c>
      <c r="M372">
        <v>5</v>
      </c>
      <c r="N372">
        <v>6.125</v>
      </c>
      <c r="Q372">
        <v>118</v>
      </c>
    </row>
    <row r="373" spans="12:17" x14ac:dyDescent="0.35">
      <c r="L373">
        <v>371</v>
      </c>
      <c r="M373">
        <v>6</v>
      </c>
      <c r="N373">
        <v>5.875</v>
      </c>
      <c r="Q373">
        <v>114</v>
      </c>
    </row>
    <row r="374" spans="12:17" x14ac:dyDescent="0.35">
      <c r="L374">
        <v>372</v>
      </c>
      <c r="M374">
        <v>4</v>
      </c>
      <c r="N374">
        <v>5.375</v>
      </c>
      <c r="Q374">
        <v>127</v>
      </c>
    </row>
    <row r="375" spans="12:17" x14ac:dyDescent="0.35">
      <c r="L375">
        <v>373</v>
      </c>
      <c r="M375">
        <v>6</v>
      </c>
      <c r="N375">
        <v>4.875</v>
      </c>
      <c r="Q375">
        <v>142</v>
      </c>
    </row>
    <row r="376" spans="12:17" x14ac:dyDescent="0.35">
      <c r="L376">
        <v>374</v>
      </c>
      <c r="M376">
        <v>9</v>
      </c>
      <c r="N376">
        <v>5.125</v>
      </c>
      <c r="Q376">
        <v>117</v>
      </c>
    </row>
    <row r="377" spans="12:17" x14ac:dyDescent="0.35">
      <c r="L377">
        <v>375</v>
      </c>
      <c r="M377">
        <v>6</v>
      </c>
      <c r="N377">
        <v>4.75</v>
      </c>
      <c r="Q377">
        <v>148</v>
      </c>
    </row>
    <row r="378" spans="12:17" x14ac:dyDescent="0.35">
      <c r="L378">
        <v>376</v>
      </c>
      <c r="M378">
        <v>0</v>
      </c>
      <c r="N378">
        <v>4.875</v>
      </c>
      <c r="Q378">
        <v>143</v>
      </c>
    </row>
    <row r="379" spans="12:17" x14ac:dyDescent="0.35">
      <c r="L379">
        <v>377</v>
      </c>
      <c r="M379">
        <v>3</v>
      </c>
      <c r="N379">
        <v>5</v>
      </c>
      <c r="Q379">
        <v>148</v>
      </c>
    </row>
    <row r="380" spans="12:17" x14ac:dyDescent="0.35">
      <c r="L380">
        <v>378</v>
      </c>
      <c r="M380">
        <v>7</v>
      </c>
      <c r="N380">
        <v>4.625</v>
      </c>
      <c r="Q380">
        <v>174</v>
      </c>
    </row>
    <row r="381" spans="12:17" x14ac:dyDescent="0.35">
      <c r="L381">
        <v>379</v>
      </c>
      <c r="M381">
        <v>3</v>
      </c>
      <c r="N381">
        <v>4.875</v>
      </c>
      <c r="Q381">
        <v>181</v>
      </c>
    </row>
    <row r="382" spans="12:17" x14ac:dyDescent="0.35">
      <c r="L382">
        <v>380</v>
      </c>
      <c r="M382">
        <v>5</v>
      </c>
      <c r="N382">
        <v>5.5</v>
      </c>
      <c r="Q382">
        <v>181</v>
      </c>
    </row>
    <row r="383" spans="12:17" x14ac:dyDescent="0.35">
      <c r="L383">
        <v>381</v>
      </c>
      <c r="M383">
        <v>7</v>
      </c>
      <c r="N383">
        <v>5.875</v>
      </c>
      <c r="Q383">
        <v>178</v>
      </c>
    </row>
    <row r="384" spans="12:17" x14ac:dyDescent="0.35">
      <c r="L384">
        <v>382</v>
      </c>
      <c r="M384">
        <v>6</v>
      </c>
      <c r="N384">
        <v>6</v>
      </c>
      <c r="Q384">
        <v>192</v>
      </c>
    </row>
    <row r="385" spans="12:17" x14ac:dyDescent="0.35">
      <c r="L385">
        <v>383</v>
      </c>
      <c r="M385">
        <v>8</v>
      </c>
      <c r="N385">
        <v>6.25</v>
      </c>
      <c r="Q385">
        <v>210</v>
      </c>
    </row>
    <row r="386" spans="12:17" x14ac:dyDescent="0.35">
      <c r="L386">
        <v>384</v>
      </c>
      <c r="M386">
        <v>5</v>
      </c>
      <c r="N386">
        <v>5.875</v>
      </c>
      <c r="Q386">
        <v>218</v>
      </c>
    </row>
    <row r="387" spans="12:17" x14ac:dyDescent="0.35">
      <c r="L387">
        <v>385</v>
      </c>
      <c r="M387">
        <v>6</v>
      </c>
      <c r="N387">
        <v>6.25</v>
      </c>
      <c r="Q387">
        <v>193</v>
      </c>
    </row>
    <row r="388" spans="12:17" x14ac:dyDescent="0.35">
      <c r="L388">
        <v>386</v>
      </c>
      <c r="M388">
        <v>8</v>
      </c>
      <c r="N388">
        <v>6.375</v>
      </c>
      <c r="Q388">
        <v>221</v>
      </c>
    </row>
    <row r="389" spans="12:17" x14ac:dyDescent="0.35">
      <c r="L389">
        <v>387</v>
      </c>
      <c r="M389">
        <v>5</v>
      </c>
      <c r="N389">
        <v>5.625</v>
      </c>
      <c r="Q389">
        <v>226</v>
      </c>
    </row>
    <row r="390" spans="12:17" x14ac:dyDescent="0.35">
      <c r="L390">
        <v>388</v>
      </c>
      <c r="M390">
        <v>2</v>
      </c>
      <c r="N390">
        <v>5.375</v>
      </c>
      <c r="Q390">
        <v>271</v>
      </c>
    </row>
    <row r="391" spans="12:17" x14ac:dyDescent="0.35">
      <c r="L391">
        <v>389</v>
      </c>
      <c r="M391">
        <v>10</v>
      </c>
      <c r="N391">
        <v>5.125</v>
      </c>
      <c r="Q391">
        <v>233</v>
      </c>
    </row>
    <row r="392" spans="12:17" x14ac:dyDescent="0.35">
      <c r="L392">
        <v>390</v>
      </c>
      <c r="M392">
        <v>7</v>
      </c>
      <c r="N392">
        <v>4.75</v>
      </c>
      <c r="Q392">
        <v>260</v>
      </c>
    </row>
    <row r="393" spans="12:17" x14ac:dyDescent="0.35">
      <c r="L393">
        <v>391</v>
      </c>
      <c r="M393">
        <v>2</v>
      </c>
      <c r="N393">
        <v>4.75</v>
      </c>
      <c r="Q393">
        <v>241</v>
      </c>
    </row>
    <row r="394" spans="12:17" x14ac:dyDescent="0.35">
      <c r="L394">
        <v>392</v>
      </c>
      <c r="M394">
        <v>3</v>
      </c>
      <c r="N394">
        <v>4.875</v>
      </c>
      <c r="Q394">
        <v>280</v>
      </c>
    </row>
    <row r="395" spans="12:17" x14ac:dyDescent="0.35">
      <c r="L395">
        <v>393</v>
      </c>
      <c r="M395">
        <v>4</v>
      </c>
      <c r="N395">
        <v>4.25</v>
      </c>
      <c r="Q395">
        <v>278</v>
      </c>
    </row>
    <row r="396" spans="12:17" x14ac:dyDescent="0.35">
      <c r="L396">
        <v>394</v>
      </c>
      <c r="M396">
        <v>5</v>
      </c>
      <c r="N396">
        <v>3.625</v>
      </c>
      <c r="Q396">
        <v>276</v>
      </c>
    </row>
    <row r="397" spans="12:17" x14ac:dyDescent="0.35">
      <c r="L397">
        <v>395</v>
      </c>
      <c r="M397">
        <v>5</v>
      </c>
      <c r="N397">
        <v>4.5</v>
      </c>
      <c r="Q397">
        <v>277</v>
      </c>
    </row>
    <row r="398" spans="12:17" x14ac:dyDescent="0.35">
      <c r="L398">
        <v>396</v>
      </c>
      <c r="M398">
        <v>3</v>
      </c>
      <c r="N398">
        <v>5.125</v>
      </c>
      <c r="Q398">
        <v>300</v>
      </c>
    </row>
    <row r="399" spans="12:17" x14ac:dyDescent="0.35">
      <c r="L399">
        <v>397</v>
      </c>
      <c r="M399">
        <v>5</v>
      </c>
      <c r="N399">
        <v>5.25</v>
      </c>
      <c r="Q399">
        <v>320</v>
      </c>
    </row>
    <row r="400" spans="12:17" x14ac:dyDescent="0.35">
      <c r="L400">
        <v>398</v>
      </c>
      <c r="M400">
        <v>2</v>
      </c>
      <c r="N400">
        <v>5.5</v>
      </c>
      <c r="Q400">
        <v>320</v>
      </c>
    </row>
    <row r="401" spans="12:17" x14ac:dyDescent="0.35">
      <c r="L401">
        <v>399</v>
      </c>
      <c r="M401">
        <v>9</v>
      </c>
      <c r="N401">
        <v>5.75</v>
      </c>
      <c r="Q401">
        <v>324</v>
      </c>
    </row>
    <row r="402" spans="12:17" x14ac:dyDescent="0.35">
      <c r="L402">
        <v>400</v>
      </c>
      <c r="M402">
        <v>8</v>
      </c>
      <c r="N402">
        <v>6.125</v>
      </c>
      <c r="Q402">
        <v>322</v>
      </c>
    </row>
    <row r="403" spans="12:17" x14ac:dyDescent="0.35">
      <c r="L403">
        <v>401</v>
      </c>
      <c r="M403">
        <v>5</v>
      </c>
      <c r="N403">
        <v>6</v>
      </c>
      <c r="Q403">
        <v>323</v>
      </c>
    </row>
    <row r="404" spans="12:17" x14ac:dyDescent="0.35">
      <c r="L404">
        <v>402</v>
      </c>
      <c r="M404">
        <v>7</v>
      </c>
      <c r="N404">
        <v>6.25</v>
      </c>
      <c r="Q404">
        <v>373</v>
      </c>
    </row>
    <row r="405" spans="12:17" x14ac:dyDescent="0.35">
      <c r="L405">
        <v>403</v>
      </c>
      <c r="M405">
        <v>7</v>
      </c>
      <c r="N405">
        <v>5.75</v>
      </c>
      <c r="Q405">
        <v>356</v>
      </c>
    </row>
    <row r="406" spans="12:17" x14ac:dyDescent="0.35">
      <c r="L406">
        <v>404</v>
      </c>
      <c r="M406">
        <v>6</v>
      </c>
      <c r="N406">
        <v>5.625</v>
      </c>
      <c r="Q406">
        <v>388</v>
      </c>
    </row>
    <row r="407" spans="12:17" x14ac:dyDescent="0.35">
      <c r="L407">
        <v>405</v>
      </c>
      <c r="M407">
        <v>4</v>
      </c>
      <c r="N407">
        <v>5.75</v>
      </c>
      <c r="Q407">
        <v>399</v>
      </c>
    </row>
    <row r="408" spans="12:17" x14ac:dyDescent="0.35">
      <c r="L408">
        <v>406</v>
      </c>
      <c r="M408">
        <v>4</v>
      </c>
      <c r="N408">
        <v>5.375</v>
      </c>
      <c r="Q408">
        <v>404</v>
      </c>
    </row>
    <row r="409" spans="12:17" x14ac:dyDescent="0.35">
      <c r="L409">
        <v>407</v>
      </c>
      <c r="M409">
        <v>5</v>
      </c>
      <c r="N409">
        <v>5.875</v>
      </c>
      <c r="Q409">
        <v>408</v>
      </c>
    </row>
    <row r="410" spans="12:17" x14ac:dyDescent="0.35">
      <c r="L410">
        <v>408</v>
      </c>
      <c r="M410">
        <v>7</v>
      </c>
      <c r="N410">
        <v>5.875</v>
      </c>
      <c r="Q410">
        <v>403</v>
      </c>
    </row>
    <row r="411" spans="12:17" x14ac:dyDescent="0.35">
      <c r="L411">
        <v>409</v>
      </c>
      <c r="M411">
        <v>6</v>
      </c>
      <c r="N411">
        <v>6</v>
      </c>
      <c r="Q411">
        <v>406</v>
      </c>
    </row>
    <row r="412" spans="12:17" x14ac:dyDescent="0.35">
      <c r="L412">
        <v>410</v>
      </c>
      <c r="M412">
        <v>4</v>
      </c>
      <c r="N412">
        <v>6</v>
      </c>
      <c r="Q412">
        <v>390</v>
      </c>
    </row>
    <row r="413" spans="12:17" x14ac:dyDescent="0.35">
      <c r="L413">
        <v>411</v>
      </c>
      <c r="M413">
        <v>11</v>
      </c>
      <c r="N413">
        <v>6</v>
      </c>
      <c r="Q413">
        <v>452</v>
      </c>
    </row>
    <row r="414" spans="12:17" x14ac:dyDescent="0.35">
      <c r="L414">
        <v>412</v>
      </c>
      <c r="M414">
        <v>6</v>
      </c>
      <c r="N414">
        <v>5.375</v>
      </c>
      <c r="Q414">
        <v>440</v>
      </c>
    </row>
    <row r="415" spans="12:17" x14ac:dyDescent="0.35">
      <c r="L415">
        <v>413</v>
      </c>
      <c r="M415">
        <v>5</v>
      </c>
      <c r="N415">
        <v>5.25</v>
      </c>
      <c r="Q415">
        <v>496</v>
      </c>
    </row>
    <row r="416" spans="12:17" x14ac:dyDescent="0.35">
      <c r="L416">
        <v>414</v>
      </c>
      <c r="M416">
        <v>4</v>
      </c>
      <c r="N416">
        <v>5</v>
      </c>
      <c r="Q416">
        <v>476</v>
      </c>
    </row>
    <row r="417" spans="12:17" x14ac:dyDescent="0.35">
      <c r="L417">
        <v>415</v>
      </c>
      <c r="M417">
        <v>5</v>
      </c>
      <c r="N417">
        <v>4</v>
      </c>
      <c r="Q417">
        <v>503</v>
      </c>
    </row>
    <row r="418" spans="12:17" x14ac:dyDescent="0.35">
      <c r="L418">
        <v>416</v>
      </c>
      <c r="M418">
        <v>2</v>
      </c>
      <c r="N418">
        <v>4.25</v>
      </c>
      <c r="Q418">
        <v>499</v>
      </c>
    </row>
    <row r="419" spans="12:17" x14ac:dyDescent="0.35">
      <c r="L419">
        <v>417</v>
      </c>
      <c r="M419">
        <v>5</v>
      </c>
      <c r="N419">
        <v>4.375</v>
      </c>
      <c r="Q419">
        <v>532</v>
      </c>
    </row>
    <row r="420" spans="12:17" x14ac:dyDescent="0.35">
      <c r="L420">
        <v>418</v>
      </c>
      <c r="M420">
        <v>2</v>
      </c>
      <c r="N420">
        <v>4.125</v>
      </c>
      <c r="Q420">
        <v>495</v>
      </c>
    </row>
    <row r="421" spans="12:17" x14ac:dyDescent="0.35">
      <c r="L421">
        <v>419</v>
      </c>
      <c r="M421">
        <v>3</v>
      </c>
      <c r="N421">
        <v>3.875</v>
      </c>
      <c r="Q421">
        <v>521</v>
      </c>
    </row>
    <row r="422" spans="12:17" x14ac:dyDescent="0.35">
      <c r="L422">
        <v>420</v>
      </c>
      <c r="M422">
        <v>8</v>
      </c>
      <c r="N422">
        <v>4</v>
      </c>
      <c r="Q422">
        <v>548</v>
      </c>
    </row>
    <row r="423" spans="12:17" x14ac:dyDescent="0.35">
      <c r="L423">
        <v>421</v>
      </c>
      <c r="M423">
        <v>6</v>
      </c>
      <c r="N423">
        <v>3.625</v>
      </c>
      <c r="Q423">
        <v>568</v>
      </c>
    </row>
    <row r="424" spans="12:17" x14ac:dyDescent="0.35">
      <c r="L424">
        <v>422</v>
      </c>
      <c r="M424">
        <v>2</v>
      </c>
      <c r="N424">
        <v>4.25</v>
      </c>
      <c r="Q424">
        <v>568</v>
      </c>
    </row>
    <row r="425" spans="12:17" x14ac:dyDescent="0.35">
      <c r="L425">
        <v>423</v>
      </c>
      <c r="M425">
        <v>3</v>
      </c>
      <c r="N425">
        <v>4.25</v>
      </c>
      <c r="Q425">
        <v>563</v>
      </c>
    </row>
    <row r="426" spans="12:17" x14ac:dyDescent="0.35">
      <c r="L426">
        <v>424</v>
      </c>
      <c r="M426">
        <v>3</v>
      </c>
      <c r="N426">
        <v>3.75</v>
      </c>
      <c r="Q426">
        <v>589</v>
      </c>
    </row>
    <row r="427" spans="12:17" x14ac:dyDescent="0.35">
      <c r="L427">
        <v>425</v>
      </c>
      <c r="M427">
        <v>2</v>
      </c>
      <c r="N427">
        <v>3.25</v>
      </c>
      <c r="Q427">
        <v>567</v>
      </c>
    </row>
    <row r="428" spans="12:17" x14ac:dyDescent="0.35">
      <c r="L428">
        <v>426</v>
      </c>
      <c r="M428">
        <v>7</v>
      </c>
      <c r="N428">
        <v>3.75</v>
      </c>
      <c r="Q428">
        <v>651</v>
      </c>
    </row>
    <row r="429" spans="12:17" x14ac:dyDescent="0.35">
      <c r="L429">
        <v>427</v>
      </c>
      <c r="M429">
        <v>3</v>
      </c>
      <c r="N429">
        <v>4</v>
      </c>
      <c r="Q429">
        <v>603</v>
      </c>
    </row>
    <row r="430" spans="12:17" x14ac:dyDescent="0.35">
      <c r="L430">
        <v>428</v>
      </c>
      <c r="M430">
        <v>4</v>
      </c>
      <c r="N430">
        <v>3.625</v>
      </c>
      <c r="Q430">
        <v>604</v>
      </c>
    </row>
    <row r="431" spans="12:17" x14ac:dyDescent="0.35">
      <c r="L431">
        <v>429</v>
      </c>
      <c r="M431">
        <v>2</v>
      </c>
      <c r="N431">
        <v>3.75</v>
      </c>
      <c r="Q431">
        <v>652</v>
      </c>
    </row>
    <row r="432" spans="12:17" x14ac:dyDescent="0.35">
      <c r="L432">
        <v>430</v>
      </c>
      <c r="M432">
        <v>6</v>
      </c>
      <c r="N432">
        <v>3.25</v>
      </c>
      <c r="Q432">
        <v>662</v>
      </c>
    </row>
    <row r="433" spans="12:17" x14ac:dyDescent="0.35">
      <c r="L433">
        <v>431</v>
      </c>
      <c r="M433">
        <v>5</v>
      </c>
      <c r="N433">
        <v>2.875</v>
      </c>
      <c r="Q433">
        <v>653</v>
      </c>
    </row>
    <row r="434" spans="12:17" x14ac:dyDescent="0.35">
      <c r="L434">
        <v>432</v>
      </c>
      <c r="M434">
        <v>0</v>
      </c>
      <c r="N434">
        <v>2.625</v>
      </c>
      <c r="Q434">
        <v>667</v>
      </c>
    </row>
    <row r="435" spans="12:17" x14ac:dyDescent="0.35">
      <c r="L435">
        <v>433</v>
      </c>
      <c r="M435">
        <v>3</v>
      </c>
      <c r="N435">
        <v>2.5</v>
      </c>
      <c r="Q435">
        <v>676</v>
      </c>
    </row>
    <row r="436" spans="12:17" x14ac:dyDescent="0.35">
      <c r="L436">
        <v>434</v>
      </c>
      <c r="M436">
        <v>3</v>
      </c>
      <c r="N436">
        <v>2.25</v>
      </c>
      <c r="Q436">
        <v>704</v>
      </c>
    </row>
    <row r="437" spans="12:17" x14ac:dyDescent="0.35">
      <c r="L437">
        <v>435</v>
      </c>
      <c r="M437">
        <v>0</v>
      </c>
      <c r="N437">
        <v>2.125</v>
      </c>
      <c r="Q437">
        <v>760</v>
      </c>
    </row>
    <row r="438" spans="12:17" x14ac:dyDescent="0.35">
      <c r="L438">
        <v>436</v>
      </c>
      <c r="M438">
        <v>2</v>
      </c>
      <c r="N438">
        <v>2.625</v>
      </c>
      <c r="Q438">
        <v>713</v>
      </c>
    </row>
    <row r="439" spans="12:17" x14ac:dyDescent="0.35">
      <c r="L439">
        <v>437</v>
      </c>
      <c r="M439">
        <v>1</v>
      </c>
      <c r="N439">
        <v>2.625</v>
      </c>
      <c r="Q439">
        <v>672</v>
      </c>
    </row>
    <row r="440" spans="12:17" x14ac:dyDescent="0.35">
      <c r="L440">
        <v>438</v>
      </c>
      <c r="M440">
        <v>4</v>
      </c>
      <c r="N440">
        <v>2.5</v>
      </c>
      <c r="Q440">
        <v>739</v>
      </c>
    </row>
    <row r="441" spans="12:17" x14ac:dyDescent="0.35">
      <c r="L441">
        <v>439</v>
      </c>
      <c r="M441">
        <v>4</v>
      </c>
      <c r="N441">
        <v>2.625</v>
      </c>
      <c r="Q441">
        <v>805</v>
      </c>
    </row>
    <row r="442" spans="12:17" x14ac:dyDescent="0.35">
      <c r="L442">
        <v>440</v>
      </c>
      <c r="M442">
        <v>4</v>
      </c>
      <c r="N442">
        <v>2.75</v>
      </c>
      <c r="Q442">
        <v>798</v>
      </c>
    </row>
    <row r="443" spans="12:17" x14ac:dyDescent="0.35">
      <c r="L443">
        <v>441</v>
      </c>
      <c r="M443">
        <v>3</v>
      </c>
      <c r="N443">
        <v>3</v>
      </c>
      <c r="Q443">
        <v>792</v>
      </c>
    </row>
    <row r="444" spans="12:17" x14ac:dyDescent="0.35">
      <c r="L444">
        <v>442</v>
      </c>
      <c r="M444">
        <v>2</v>
      </c>
      <c r="N444">
        <v>2.75</v>
      </c>
      <c r="Q444">
        <v>736</v>
      </c>
    </row>
    <row r="445" spans="12:17" x14ac:dyDescent="0.35">
      <c r="L445">
        <v>443</v>
      </c>
      <c r="M445">
        <v>1</v>
      </c>
      <c r="N445">
        <v>2.75</v>
      </c>
      <c r="Q445">
        <v>792</v>
      </c>
    </row>
    <row r="446" spans="12:17" x14ac:dyDescent="0.35">
      <c r="L446">
        <v>444</v>
      </c>
      <c r="M446">
        <v>3</v>
      </c>
      <c r="N446">
        <v>2.375</v>
      </c>
      <c r="Q446">
        <v>803</v>
      </c>
    </row>
    <row r="447" spans="12:17" x14ac:dyDescent="0.35">
      <c r="L447">
        <v>445</v>
      </c>
      <c r="M447">
        <v>3</v>
      </c>
      <c r="N447">
        <v>2</v>
      </c>
      <c r="Q447">
        <v>822</v>
      </c>
    </row>
    <row r="448" spans="12:17" x14ac:dyDescent="0.35">
      <c r="L448">
        <v>446</v>
      </c>
      <c r="M448">
        <v>2</v>
      </c>
      <c r="N448">
        <v>2</v>
      </c>
      <c r="Q448">
        <v>861</v>
      </c>
    </row>
    <row r="449" spans="12:17" x14ac:dyDescent="0.35">
      <c r="L449">
        <v>447</v>
      </c>
      <c r="M449">
        <v>4</v>
      </c>
      <c r="N449">
        <v>1.875</v>
      </c>
      <c r="Q449">
        <v>851</v>
      </c>
    </row>
    <row r="450" spans="12:17" x14ac:dyDescent="0.35">
      <c r="L450">
        <v>448</v>
      </c>
      <c r="M450">
        <v>1</v>
      </c>
      <c r="N450">
        <v>1.5</v>
      </c>
      <c r="Q450">
        <v>849</v>
      </c>
    </row>
    <row r="451" spans="12:17" x14ac:dyDescent="0.35">
      <c r="L451">
        <v>449</v>
      </c>
      <c r="M451">
        <v>0</v>
      </c>
      <c r="N451">
        <v>1.25</v>
      </c>
      <c r="Q451">
        <v>821</v>
      </c>
    </row>
    <row r="452" spans="12:17" x14ac:dyDescent="0.35">
      <c r="L452">
        <v>450</v>
      </c>
      <c r="M452">
        <v>2</v>
      </c>
      <c r="N452">
        <v>1.5</v>
      </c>
      <c r="Q452">
        <v>837</v>
      </c>
    </row>
    <row r="453" spans="12:17" x14ac:dyDescent="0.35">
      <c r="L453">
        <v>451</v>
      </c>
      <c r="M453">
        <v>0</v>
      </c>
      <c r="N453">
        <v>1.25</v>
      </c>
      <c r="Q453">
        <v>888</v>
      </c>
    </row>
    <row r="454" spans="12:17" x14ac:dyDescent="0.35">
      <c r="L454">
        <v>452</v>
      </c>
      <c r="M454">
        <v>0</v>
      </c>
      <c r="N454">
        <v>1.625</v>
      </c>
      <c r="Q454">
        <v>886</v>
      </c>
    </row>
    <row r="455" spans="12:17" x14ac:dyDescent="0.35">
      <c r="L455">
        <v>453</v>
      </c>
      <c r="M455">
        <v>1</v>
      </c>
      <c r="N455">
        <v>1.75</v>
      </c>
      <c r="Q455">
        <v>890</v>
      </c>
    </row>
    <row r="456" spans="12:17" x14ac:dyDescent="0.35">
      <c r="L456">
        <v>454</v>
      </c>
      <c r="M456">
        <v>4</v>
      </c>
      <c r="N456">
        <v>1.625</v>
      </c>
      <c r="Q456">
        <v>856</v>
      </c>
    </row>
    <row r="457" spans="12:17" x14ac:dyDescent="0.35">
      <c r="L457">
        <v>455</v>
      </c>
      <c r="M457">
        <v>2</v>
      </c>
      <c r="N457">
        <v>1.625</v>
      </c>
      <c r="Q457">
        <v>896</v>
      </c>
    </row>
    <row r="458" spans="12:17" x14ac:dyDescent="0.35">
      <c r="L458">
        <v>456</v>
      </c>
      <c r="M458">
        <v>4</v>
      </c>
      <c r="N458">
        <v>2</v>
      </c>
      <c r="Q458">
        <v>884</v>
      </c>
    </row>
    <row r="459" spans="12:17" x14ac:dyDescent="0.35">
      <c r="L459">
        <v>457</v>
      </c>
      <c r="M459">
        <v>1</v>
      </c>
      <c r="N459">
        <v>1.875</v>
      </c>
      <c r="Q459">
        <v>882</v>
      </c>
    </row>
    <row r="460" spans="12:17" x14ac:dyDescent="0.35">
      <c r="L460">
        <v>458</v>
      </c>
      <c r="M460">
        <v>1</v>
      </c>
      <c r="N460">
        <v>1.5</v>
      </c>
      <c r="Q460">
        <v>891</v>
      </c>
    </row>
    <row r="461" spans="12:17" x14ac:dyDescent="0.35">
      <c r="L461">
        <v>459</v>
      </c>
      <c r="M461">
        <v>0</v>
      </c>
      <c r="N461">
        <v>1.25</v>
      </c>
      <c r="Q461">
        <v>951</v>
      </c>
    </row>
    <row r="462" spans="12:17" x14ac:dyDescent="0.35">
      <c r="L462">
        <v>460</v>
      </c>
      <c r="M462">
        <v>3</v>
      </c>
      <c r="N462">
        <v>0.875</v>
      </c>
      <c r="Q462">
        <v>890</v>
      </c>
    </row>
    <row r="463" spans="12:17" x14ac:dyDescent="0.35">
      <c r="L463">
        <v>461</v>
      </c>
      <c r="M463">
        <v>0</v>
      </c>
      <c r="N463">
        <v>1</v>
      </c>
      <c r="Q463">
        <v>889</v>
      </c>
    </row>
    <row r="464" spans="12:17" x14ac:dyDescent="0.35">
      <c r="L464">
        <v>462</v>
      </c>
      <c r="M464">
        <v>1</v>
      </c>
      <c r="N464">
        <v>1.125</v>
      </c>
      <c r="Q464">
        <v>911</v>
      </c>
    </row>
    <row r="465" spans="12:17" x14ac:dyDescent="0.35">
      <c r="L465">
        <v>463</v>
      </c>
      <c r="M465">
        <v>0</v>
      </c>
      <c r="N465">
        <v>1.125</v>
      </c>
      <c r="Q465">
        <v>974</v>
      </c>
    </row>
    <row r="466" spans="12:17" x14ac:dyDescent="0.35">
      <c r="L466">
        <v>464</v>
      </c>
      <c r="M466">
        <v>1</v>
      </c>
      <c r="N466">
        <v>0.75</v>
      </c>
      <c r="Q466">
        <v>856</v>
      </c>
    </row>
    <row r="467" spans="12:17" x14ac:dyDescent="0.35">
      <c r="L467">
        <v>465</v>
      </c>
      <c r="M467">
        <v>2</v>
      </c>
      <c r="N467">
        <v>0.75</v>
      </c>
      <c r="Q467">
        <v>932</v>
      </c>
    </row>
    <row r="468" spans="12:17" x14ac:dyDescent="0.35">
      <c r="L468">
        <v>466</v>
      </c>
      <c r="M468">
        <v>2</v>
      </c>
      <c r="N468">
        <v>0.625</v>
      </c>
      <c r="Q468">
        <v>924</v>
      </c>
    </row>
    <row r="469" spans="12:17" x14ac:dyDescent="0.35">
      <c r="L469">
        <v>467</v>
      </c>
      <c r="M469">
        <v>0</v>
      </c>
      <c r="N469">
        <v>0.625</v>
      </c>
      <c r="Q469">
        <v>910</v>
      </c>
    </row>
    <row r="470" spans="12:17" x14ac:dyDescent="0.35">
      <c r="L470">
        <v>468</v>
      </c>
      <c r="M470">
        <v>0</v>
      </c>
      <c r="N470">
        <v>0.5</v>
      </c>
      <c r="Q470">
        <v>927</v>
      </c>
    </row>
    <row r="471" spans="12:17" x14ac:dyDescent="0.35">
      <c r="L471">
        <v>469</v>
      </c>
      <c r="M471">
        <v>0</v>
      </c>
      <c r="N471">
        <v>0.25</v>
      </c>
      <c r="Q471">
        <v>997</v>
      </c>
    </row>
    <row r="472" spans="12:17" x14ac:dyDescent="0.35">
      <c r="L472">
        <v>470</v>
      </c>
      <c r="M472">
        <v>0</v>
      </c>
      <c r="N472">
        <v>0.125</v>
      </c>
      <c r="Q472">
        <v>987</v>
      </c>
    </row>
    <row r="473" spans="12:17" x14ac:dyDescent="0.35">
      <c r="L473">
        <v>471</v>
      </c>
      <c r="M473">
        <v>0</v>
      </c>
      <c r="N473">
        <v>0.125</v>
      </c>
      <c r="Q473">
        <v>946</v>
      </c>
    </row>
    <row r="474" spans="12:17" x14ac:dyDescent="0.35">
      <c r="L474">
        <v>472</v>
      </c>
      <c r="M474">
        <v>0</v>
      </c>
      <c r="N474">
        <v>0.125</v>
      </c>
      <c r="Q474">
        <v>976</v>
      </c>
    </row>
    <row r="475" spans="12:17" x14ac:dyDescent="0.35">
      <c r="L475">
        <v>473</v>
      </c>
      <c r="M475">
        <v>0</v>
      </c>
      <c r="N475">
        <v>0.125</v>
      </c>
      <c r="Q475">
        <v>891</v>
      </c>
    </row>
    <row r="476" spans="12:17" x14ac:dyDescent="0.35">
      <c r="L476">
        <v>474</v>
      </c>
      <c r="M476">
        <v>1</v>
      </c>
      <c r="N476">
        <v>0.375</v>
      </c>
      <c r="Q476">
        <v>984</v>
      </c>
    </row>
    <row r="477" spans="12:17" x14ac:dyDescent="0.35">
      <c r="L477">
        <v>475</v>
      </c>
      <c r="M477">
        <v>0</v>
      </c>
      <c r="N477">
        <v>0.5</v>
      </c>
      <c r="Q477">
        <v>951</v>
      </c>
    </row>
    <row r="478" spans="12:17" x14ac:dyDescent="0.35">
      <c r="L478">
        <v>476</v>
      </c>
      <c r="M478">
        <v>0</v>
      </c>
      <c r="N478">
        <v>0.625</v>
      </c>
      <c r="Q478">
        <v>984</v>
      </c>
    </row>
    <row r="479" spans="12:17" x14ac:dyDescent="0.35">
      <c r="L479">
        <v>477</v>
      </c>
      <c r="M479">
        <v>0</v>
      </c>
      <c r="N479">
        <v>0.625</v>
      </c>
      <c r="Q479">
        <v>973</v>
      </c>
    </row>
    <row r="480" spans="12:17" x14ac:dyDescent="0.35">
      <c r="L480">
        <v>478</v>
      </c>
      <c r="M480">
        <v>2</v>
      </c>
      <c r="N480">
        <v>0.5</v>
      </c>
      <c r="Q480">
        <v>940</v>
      </c>
    </row>
    <row r="481" spans="12:17" x14ac:dyDescent="0.35">
      <c r="L481">
        <v>479</v>
      </c>
      <c r="M481">
        <v>1</v>
      </c>
      <c r="N481">
        <v>0.625</v>
      </c>
      <c r="Q481">
        <v>990</v>
      </c>
    </row>
    <row r="482" spans="12:17" x14ac:dyDescent="0.35">
      <c r="L482">
        <v>480</v>
      </c>
      <c r="M482">
        <v>1</v>
      </c>
      <c r="N482">
        <v>0.75</v>
      </c>
      <c r="Q482">
        <v>994</v>
      </c>
    </row>
    <row r="483" spans="12:17" x14ac:dyDescent="0.35">
      <c r="L483">
        <v>481</v>
      </c>
      <c r="M483">
        <v>0</v>
      </c>
      <c r="N483">
        <v>0.75</v>
      </c>
      <c r="Q483">
        <v>958</v>
      </c>
    </row>
    <row r="484" spans="12:17" x14ac:dyDescent="0.35">
      <c r="L484">
        <v>482</v>
      </c>
      <c r="M484">
        <v>0</v>
      </c>
      <c r="N484">
        <v>0.5</v>
      </c>
      <c r="Q484">
        <v>981</v>
      </c>
    </row>
    <row r="485" spans="12:17" x14ac:dyDescent="0.35">
      <c r="L485">
        <v>483</v>
      </c>
      <c r="M485">
        <v>1</v>
      </c>
      <c r="N485">
        <v>0.375</v>
      </c>
      <c r="Q485">
        <v>976</v>
      </c>
    </row>
    <row r="486" spans="12:17" x14ac:dyDescent="0.35">
      <c r="L486">
        <v>484</v>
      </c>
      <c r="M486">
        <v>1</v>
      </c>
      <c r="N486">
        <v>0.25</v>
      </c>
      <c r="Q486">
        <v>955</v>
      </c>
    </row>
    <row r="487" spans="12:17" x14ac:dyDescent="0.35">
      <c r="L487">
        <v>485</v>
      </c>
      <c r="M487">
        <v>0</v>
      </c>
      <c r="N487">
        <v>0.375</v>
      </c>
      <c r="Q487">
        <v>906</v>
      </c>
    </row>
    <row r="488" spans="12:17" x14ac:dyDescent="0.35">
      <c r="L488">
        <v>486</v>
      </c>
      <c r="M488">
        <v>0</v>
      </c>
      <c r="N488">
        <v>0.5</v>
      </c>
      <c r="Q488">
        <v>976</v>
      </c>
    </row>
    <row r="489" spans="12:17" x14ac:dyDescent="0.35">
      <c r="L489">
        <v>487</v>
      </c>
      <c r="M489">
        <v>0</v>
      </c>
      <c r="N489">
        <v>0.375</v>
      </c>
      <c r="Q489">
        <v>936</v>
      </c>
    </row>
    <row r="490" spans="12:17" x14ac:dyDescent="0.35">
      <c r="L490">
        <v>488</v>
      </c>
      <c r="M490">
        <v>0</v>
      </c>
      <c r="N490">
        <v>0.25</v>
      </c>
      <c r="Q490">
        <v>963</v>
      </c>
    </row>
    <row r="491" spans="12:17" x14ac:dyDescent="0.35">
      <c r="L491">
        <v>489</v>
      </c>
      <c r="M491">
        <v>1</v>
      </c>
      <c r="N491">
        <v>0.375</v>
      </c>
      <c r="Q491">
        <v>932</v>
      </c>
    </row>
    <row r="492" spans="12:17" x14ac:dyDescent="0.35">
      <c r="L492">
        <v>490</v>
      </c>
      <c r="M492">
        <v>1</v>
      </c>
      <c r="N492">
        <v>0.625</v>
      </c>
      <c r="Q492">
        <v>918</v>
      </c>
    </row>
    <row r="493" spans="12:17" x14ac:dyDescent="0.35">
      <c r="L493">
        <v>491</v>
      </c>
      <c r="M493">
        <v>0</v>
      </c>
      <c r="N493">
        <v>0.625</v>
      </c>
      <c r="Q493">
        <v>935</v>
      </c>
    </row>
    <row r="494" spans="12:17" x14ac:dyDescent="0.35">
      <c r="L494">
        <v>492</v>
      </c>
      <c r="M494">
        <v>0</v>
      </c>
      <c r="N494">
        <v>0.875</v>
      </c>
      <c r="Q494">
        <v>901</v>
      </c>
    </row>
    <row r="495" spans="12:17" x14ac:dyDescent="0.35">
      <c r="L495">
        <v>493</v>
      </c>
      <c r="M495">
        <v>1</v>
      </c>
      <c r="N495">
        <v>0.75</v>
      </c>
      <c r="Q495">
        <v>910</v>
      </c>
    </row>
    <row r="496" spans="12:17" x14ac:dyDescent="0.35">
      <c r="L496">
        <v>494</v>
      </c>
      <c r="M496">
        <v>2</v>
      </c>
      <c r="N496">
        <v>0.625</v>
      </c>
      <c r="Q496">
        <v>953</v>
      </c>
    </row>
    <row r="497" spans="12:17" x14ac:dyDescent="0.35">
      <c r="L497">
        <v>495</v>
      </c>
      <c r="M497">
        <v>0</v>
      </c>
      <c r="N497">
        <v>0.875</v>
      </c>
      <c r="Q497">
        <v>982</v>
      </c>
    </row>
    <row r="498" spans="12:17" x14ac:dyDescent="0.35">
      <c r="L498">
        <v>496</v>
      </c>
      <c r="M498">
        <v>2</v>
      </c>
      <c r="N498">
        <v>0.875</v>
      </c>
      <c r="Q498">
        <v>932</v>
      </c>
    </row>
    <row r="499" spans="12:17" x14ac:dyDescent="0.35">
      <c r="L499">
        <v>497</v>
      </c>
      <c r="M499">
        <v>0</v>
      </c>
      <c r="N499">
        <v>0.75</v>
      </c>
      <c r="Q499">
        <v>915</v>
      </c>
    </row>
    <row r="500" spans="12:17" x14ac:dyDescent="0.35">
      <c r="L500">
        <v>498</v>
      </c>
      <c r="M500">
        <v>0</v>
      </c>
      <c r="N500">
        <v>0.5</v>
      </c>
      <c r="Q500">
        <v>954</v>
      </c>
    </row>
    <row r="501" spans="12:17" x14ac:dyDescent="0.35">
      <c r="L501">
        <v>499</v>
      </c>
      <c r="M501">
        <v>2</v>
      </c>
      <c r="N501">
        <v>0.5</v>
      </c>
      <c r="Q501">
        <v>960</v>
      </c>
    </row>
    <row r="502" spans="12:17" x14ac:dyDescent="0.35">
      <c r="L502">
        <v>500</v>
      </c>
      <c r="M502">
        <v>0</v>
      </c>
      <c r="N502">
        <v>0.25</v>
      </c>
      <c r="Q502">
        <v>948</v>
      </c>
    </row>
    <row r="503" spans="12:17" x14ac:dyDescent="0.35">
      <c r="L503">
        <v>501</v>
      </c>
      <c r="M503">
        <v>0</v>
      </c>
      <c r="N503">
        <v>0.25</v>
      </c>
      <c r="Q503">
        <v>942</v>
      </c>
    </row>
    <row r="504" spans="12:17" x14ac:dyDescent="0.35">
      <c r="L504">
        <v>502</v>
      </c>
      <c r="M504">
        <v>0</v>
      </c>
      <c r="N504">
        <v>0.25</v>
      </c>
      <c r="Q504">
        <v>909</v>
      </c>
    </row>
    <row r="505" spans="12:17" x14ac:dyDescent="0.35">
      <c r="L505">
        <v>503</v>
      </c>
      <c r="M505">
        <v>0</v>
      </c>
      <c r="N505">
        <v>0</v>
      </c>
      <c r="Q505">
        <v>988</v>
      </c>
    </row>
    <row r="506" spans="12:17" x14ac:dyDescent="0.35">
      <c r="L506">
        <v>504</v>
      </c>
      <c r="M506">
        <v>0</v>
      </c>
      <c r="N506">
        <v>0</v>
      </c>
      <c r="Q506">
        <v>908</v>
      </c>
    </row>
    <row r="507" spans="12:17" x14ac:dyDescent="0.35">
      <c r="L507">
        <v>505</v>
      </c>
      <c r="M507">
        <v>0</v>
      </c>
      <c r="N507">
        <v>0</v>
      </c>
      <c r="Q507">
        <v>941</v>
      </c>
    </row>
    <row r="508" spans="12:17" x14ac:dyDescent="0.35">
      <c r="L508">
        <v>506</v>
      </c>
      <c r="M508">
        <v>0</v>
      </c>
      <c r="N508">
        <v>0</v>
      </c>
      <c r="Q508">
        <v>924</v>
      </c>
    </row>
    <row r="509" spans="12:17" x14ac:dyDescent="0.35">
      <c r="L509">
        <v>507</v>
      </c>
      <c r="M509">
        <v>0</v>
      </c>
      <c r="N509">
        <v>0</v>
      </c>
      <c r="Q509">
        <v>893</v>
      </c>
    </row>
    <row r="510" spans="12:17" x14ac:dyDescent="0.35">
      <c r="L510">
        <v>508</v>
      </c>
      <c r="M510">
        <v>0</v>
      </c>
      <c r="N510">
        <v>0</v>
      </c>
      <c r="Q510">
        <v>904</v>
      </c>
    </row>
    <row r="511" spans="12:17" x14ac:dyDescent="0.35">
      <c r="L511">
        <v>509</v>
      </c>
      <c r="M511">
        <v>0</v>
      </c>
      <c r="N511">
        <v>0</v>
      </c>
      <c r="Q511">
        <v>901</v>
      </c>
    </row>
    <row r="512" spans="12:17" x14ac:dyDescent="0.35">
      <c r="L512">
        <v>510</v>
      </c>
      <c r="M512">
        <v>0</v>
      </c>
      <c r="N512">
        <v>0</v>
      </c>
      <c r="Q512">
        <v>847</v>
      </c>
    </row>
    <row r="513" spans="12:17" x14ac:dyDescent="0.35">
      <c r="L513">
        <v>511</v>
      </c>
      <c r="M513">
        <v>0</v>
      </c>
      <c r="N513">
        <v>0</v>
      </c>
      <c r="Q513">
        <v>875</v>
      </c>
    </row>
    <row r="514" spans="12:17" x14ac:dyDescent="0.35">
      <c r="L514">
        <v>512</v>
      </c>
      <c r="M514">
        <v>0</v>
      </c>
      <c r="N514">
        <v>0</v>
      </c>
      <c r="Q514">
        <v>838</v>
      </c>
    </row>
    <row r="515" spans="12:17" x14ac:dyDescent="0.35">
      <c r="L515">
        <v>513</v>
      </c>
      <c r="M515">
        <v>0</v>
      </c>
      <c r="N515">
        <v>0</v>
      </c>
      <c r="Q515">
        <v>837</v>
      </c>
    </row>
    <row r="516" spans="12:17" x14ac:dyDescent="0.35">
      <c r="L516">
        <v>514</v>
      </c>
      <c r="M516">
        <v>0</v>
      </c>
      <c r="N516">
        <v>0</v>
      </c>
      <c r="Q516">
        <v>856</v>
      </c>
    </row>
    <row r="517" spans="12:17" x14ac:dyDescent="0.35">
      <c r="L517">
        <v>515</v>
      </c>
      <c r="M517">
        <v>0</v>
      </c>
      <c r="N517">
        <v>0</v>
      </c>
      <c r="Q517">
        <v>810</v>
      </c>
    </row>
    <row r="518" spans="12:17" x14ac:dyDescent="0.35">
      <c r="L518">
        <v>516</v>
      </c>
      <c r="M518">
        <v>0</v>
      </c>
      <c r="N518">
        <v>0</v>
      </c>
      <c r="Q518">
        <v>872</v>
      </c>
    </row>
    <row r="519" spans="12:17" x14ac:dyDescent="0.35">
      <c r="L519">
        <v>517</v>
      </c>
      <c r="M519">
        <v>0</v>
      </c>
      <c r="N519">
        <v>0.375</v>
      </c>
      <c r="Q519">
        <v>817</v>
      </c>
    </row>
    <row r="520" spans="12:17" x14ac:dyDescent="0.35">
      <c r="L520">
        <v>518</v>
      </c>
      <c r="M520">
        <v>0</v>
      </c>
      <c r="N520">
        <v>0.375</v>
      </c>
      <c r="Q520">
        <v>857</v>
      </c>
    </row>
    <row r="521" spans="12:17" x14ac:dyDescent="0.35">
      <c r="L521">
        <v>519</v>
      </c>
      <c r="M521">
        <v>0</v>
      </c>
      <c r="N521">
        <v>0.375</v>
      </c>
      <c r="Q521">
        <v>786</v>
      </c>
    </row>
    <row r="522" spans="12:17" x14ac:dyDescent="0.35">
      <c r="L522">
        <v>520</v>
      </c>
      <c r="M522">
        <v>0</v>
      </c>
      <c r="N522">
        <v>0.375</v>
      </c>
      <c r="Q522">
        <v>826</v>
      </c>
    </row>
    <row r="523" spans="12:17" x14ac:dyDescent="0.35">
      <c r="L523">
        <v>521</v>
      </c>
      <c r="M523">
        <v>3</v>
      </c>
      <c r="N523">
        <v>0.375</v>
      </c>
      <c r="Q523">
        <v>799</v>
      </c>
    </row>
    <row r="524" spans="12:17" x14ac:dyDescent="0.35">
      <c r="L524">
        <v>522</v>
      </c>
      <c r="M524">
        <v>0</v>
      </c>
      <c r="N524">
        <v>0.375</v>
      </c>
      <c r="Q524">
        <v>811</v>
      </c>
    </row>
    <row r="525" spans="12:17" x14ac:dyDescent="0.35">
      <c r="L525">
        <v>523</v>
      </c>
      <c r="M525">
        <v>0</v>
      </c>
      <c r="N525">
        <v>0.375</v>
      </c>
      <c r="Q525">
        <v>837</v>
      </c>
    </row>
    <row r="526" spans="12:17" x14ac:dyDescent="0.35">
      <c r="L526">
        <v>524</v>
      </c>
      <c r="M526">
        <v>0</v>
      </c>
      <c r="N526">
        <v>0.375</v>
      </c>
      <c r="Q526">
        <v>821</v>
      </c>
    </row>
    <row r="527" spans="12:17" x14ac:dyDescent="0.35">
      <c r="L527">
        <v>525</v>
      </c>
      <c r="M527">
        <v>0</v>
      </c>
      <c r="N527">
        <v>0</v>
      </c>
      <c r="Q527">
        <v>757</v>
      </c>
    </row>
    <row r="528" spans="12:17" x14ac:dyDescent="0.35">
      <c r="L528">
        <v>526</v>
      </c>
      <c r="M528">
        <v>0</v>
      </c>
      <c r="N528">
        <v>0.125</v>
      </c>
      <c r="Q528">
        <v>824</v>
      </c>
    </row>
    <row r="529" spans="12:17" x14ac:dyDescent="0.35">
      <c r="L529">
        <v>527</v>
      </c>
      <c r="M529">
        <v>0</v>
      </c>
      <c r="N529">
        <v>0.125</v>
      </c>
      <c r="Q529">
        <v>806</v>
      </c>
    </row>
    <row r="530" spans="12:17" x14ac:dyDescent="0.35">
      <c r="L530">
        <v>528</v>
      </c>
      <c r="M530">
        <v>0</v>
      </c>
      <c r="N530">
        <v>0.25</v>
      </c>
      <c r="Q530">
        <v>739</v>
      </c>
    </row>
    <row r="531" spans="12:17" x14ac:dyDescent="0.35">
      <c r="L531">
        <v>529</v>
      </c>
      <c r="M531">
        <v>0</v>
      </c>
      <c r="N531">
        <v>0.375</v>
      </c>
      <c r="Q531">
        <v>777</v>
      </c>
    </row>
    <row r="532" spans="12:17" x14ac:dyDescent="0.35">
      <c r="L532">
        <v>530</v>
      </c>
      <c r="M532">
        <v>1</v>
      </c>
      <c r="N532">
        <v>0.375</v>
      </c>
      <c r="Q532">
        <v>729</v>
      </c>
    </row>
    <row r="533" spans="12:17" x14ac:dyDescent="0.35">
      <c r="L533">
        <v>531</v>
      </c>
      <c r="M533">
        <v>0</v>
      </c>
      <c r="N533">
        <v>0.375</v>
      </c>
      <c r="Q533">
        <v>767</v>
      </c>
    </row>
    <row r="534" spans="12:17" x14ac:dyDescent="0.35">
      <c r="L534">
        <v>532</v>
      </c>
      <c r="M534">
        <v>1</v>
      </c>
      <c r="N534">
        <v>0.375</v>
      </c>
      <c r="Q534">
        <v>708</v>
      </c>
    </row>
    <row r="535" spans="12:17" x14ac:dyDescent="0.35">
      <c r="L535">
        <v>533</v>
      </c>
      <c r="M535">
        <v>1</v>
      </c>
      <c r="N535">
        <v>0.375</v>
      </c>
      <c r="Q535">
        <v>722</v>
      </c>
    </row>
    <row r="536" spans="12:17" x14ac:dyDescent="0.35">
      <c r="L536">
        <v>534</v>
      </c>
      <c r="M536">
        <v>0</v>
      </c>
      <c r="N536">
        <v>0.25</v>
      </c>
      <c r="Q536">
        <v>706</v>
      </c>
    </row>
    <row r="537" spans="12:17" x14ac:dyDescent="0.35">
      <c r="L537">
        <v>535</v>
      </c>
      <c r="M537">
        <v>0</v>
      </c>
      <c r="N537">
        <v>0.25</v>
      </c>
      <c r="Q537">
        <v>706</v>
      </c>
    </row>
    <row r="538" spans="12:17" x14ac:dyDescent="0.35">
      <c r="L538">
        <v>536</v>
      </c>
      <c r="M538">
        <v>0</v>
      </c>
      <c r="N538">
        <v>0.125</v>
      </c>
      <c r="Q538">
        <v>715</v>
      </c>
    </row>
    <row r="539" spans="12:17" x14ac:dyDescent="0.35">
      <c r="L539">
        <v>537</v>
      </c>
      <c r="M539">
        <v>0</v>
      </c>
      <c r="N539">
        <v>0</v>
      </c>
      <c r="Q539">
        <v>687</v>
      </c>
    </row>
    <row r="540" spans="12:17" x14ac:dyDescent="0.35">
      <c r="L540">
        <v>538</v>
      </c>
      <c r="M540">
        <v>0</v>
      </c>
      <c r="N540">
        <v>0</v>
      </c>
      <c r="Q540">
        <v>695</v>
      </c>
    </row>
    <row r="541" spans="12:17" x14ac:dyDescent="0.35">
      <c r="L541">
        <v>539</v>
      </c>
      <c r="M541">
        <v>0</v>
      </c>
      <c r="N541">
        <v>0</v>
      </c>
      <c r="Q541">
        <v>679</v>
      </c>
    </row>
    <row r="542" spans="12:17" x14ac:dyDescent="0.35">
      <c r="L542">
        <v>540</v>
      </c>
      <c r="M542">
        <v>0</v>
      </c>
      <c r="N542">
        <v>0</v>
      </c>
      <c r="Q542">
        <v>643</v>
      </c>
    </row>
    <row r="543" spans="12:17" x14ac:dyDescent="0.35">
      <c r="L543">
        <v>541</v>
      </c>
      <c r="M543">
        <v>0</v>
      </c>
      <c r="N543">
        <v>0</v>
      </c>
      <c r="Q543">
        <v>646</v>
      </c>
    </row>
    <row r="544" spans="12:17" x14ac:dyDescent="0.35">
      <c r="L544">
        <v>542</v>
      </c>
      <c r="M544">
        <v>0</v>
      </c>
      <c r="N544">
        <v>0</v>
      </c>
      <c r="Q544">
        <v>627</v>
      </c>
    </row>
    <row r="545" spans="12:17" x14ac:dyDescent="0.35">
      <c r="L545">
        <v>543</v>
      </c>
      <c r="M545">
        <v>0</v>
      </c>
      <c r="N545">
        <v>0</v>
      </c>
      <c r="Q545">
        <v>672</v>
      </c>
    </row>
    <row r="546" spans="12:17" x14ac:dyDescent="0.35">
      <c r="L546">
        <v>544</v>
      </c>
      <c r="M546">
        <v>0</v>
      </c>
      <c r="N546">
        <v>0.125</v>
      </c>
      <c r="Q546">
        <v>660</v>
      </c>
    </row>
    <row r="547" spans="12:17" x14ac:dyDescent="0.35">
      <c r="L547">
        <v>545</v>
      </c>
      <c r="M547">
        <v>0</v>
      </c>
      <c r="N547">
        <v>0.125</v>
      </c>
      <c r="Q547">
        <v>633</v>
      </c>
    </row>
    <row r="548" spans="12:17" x14ac:dyDescent="0.35">
      <c r="L548">
        <v>546</v>
      </c>
      <c r="M548">
        <v>0</v>
      </c>
      <c r="N548">
        <v>0.125</v>
      </c>
      <c r="Q548">
        <v>616</v>
      </c>
    </row>
    <row r="549" spans="12:17" x14ac:dyDescent="0.35">
      <c r="L549">
        <v>547</v>
      </c>
      <c r="M549">
        <v>0</v>
      </c>
      <c r="N549">
        <v>0.125</v>
      </c>
      <c r="Q549">
        <v>626</v>
      </c>
    </row>
    <row r="550" spans="12:17" x14ac:dyDescent="0.35">
      <c r="L550">
        <v>548</v>
      </c>
      <c r="M550">
        <v>1</v>
      </c>
      <c r="N550">
        <v>0.25</v>
      </c>
      <c r="Q550">
        <v>552</v>
      </c>
    </row>
    <row r="551" spans="12:17" x14ac:dyDescent="0.35">
      <c r="L551">
        <v>549</v>
      </c>
      <c r="M551">
        <v>0</v>
      </c>
      <c r="N551">
        <v>0.25</v>
      </c>
      <c r="Q551">
        <v>611</v>
      </c>
    </row>
    <row r="552" spans="12:17" x14ac:dyDescent="0.35">
      <c r="L552">
        <v>550</v>
      </c>
      <c r="M552">
        <v>0</v>
      </c>
      <c r="N552">
        <v>0.25</v>
      </c>
      <c r="Q552">
        <v>589</v>
      </c>
    </row>
    <row r="553" spans="12:17" x14ac:dyDescent="0.35">
      <c r="L553">
        <v>551</v>
      </c>
      <c r="M553">
        <v>0</v>
      </c>
      <c r="N553">
        <v>0.25</v>
      </c>
      <c r="Q553">
        <v>551</v>
      </c>
    </row>
    <row r="554" spans="12:17" x14ac:dyDescent="0.35">
      <c r="L554">
        <v>552</v>
      </c>
      <c r="M554">
        <v>1</v>
      </c>
      <c r="N554">
        <v>0.125</v>
      </c>
      <c r="Q554">
        <v>607</v>
      </c>
    </row>
    <row r="555" spans="12:17" x14ac:dyDescent="0.35">
      <c r="L555">
        <v>553</v>
      </c>
      <c r="M555">
        <v>0</v>
      </c>
      <c r="N555">
        <v>0.125</v>
      </c>
      <c r="Q555">
        <v>537</v>
      </c>
    </row>
    <row r="556" spans="12:17" x14ac:dyDescent="0.35">
      <c r="L556">
        <v>554</v>
      </c>
      <c r="M556">
        <v>0</v>
      </c>
      <c r="N556">
        <v>0.125</v>
      </c>
      <c r="Q556">
        <v>612</v>
      </c>
    </row>
    <row r="557" spans="12:17" x14ac:dyDescent="0.35">
      <c r="L557">
        <v>555</v>
      </c>
      <c r="M557">
        <v>0</v>
      </c>
      <c r="N557">
        <v>0.25</v>
      </c>
      <c r="Q557">
        <v>557</v>
      </c>
    </row>
    <row r="558" spans="12:17" x14ac:dyDescent="0.35">
      <c r="L558">
        <v>556</v>
      </c>
      <c r="M558">
        <v>0</v>
      </c>
      <c r="N558">
        <v>0.125</v>
      </c>
      <c r="Q558">
        <v>557</v>
      </c>
    </row>
    <row r="559" spans="12:17" x14ac:dyDescent="0.35">
      <c r="L559">
        <v>557</v>
      </c>
      <c r="M559">
        <v>0</v>
      </c>
      <c r="N559">
        <v>0.25</v>
      </c>
      <c r="Q559">
        <v>525</v>
      </c>
    </row>
    <row r="560" spans="12:17" x14ac:dyDescent="0.35">
      <c r="L560">
        <v>558</v>
      </c>
      <c r="M560">
        <v>0</v>
      </c>
      <c r="N560">
        <v>0.25</v>
      </c>
      <c r="Q560">
        <v>500</v>
      </c>
    </row>
    <row r="561" spans="12:17" x14ac:dyDescent="0.35">
      <c r="L561">
        <v>559</v>
      </c>
      <c r="M561">
        <v>1</v>
      </c>
      <c r="N561">
        <v>0.25</v>
      </c>
      <c r="Q561">
        <v>507</v>
      </c>
    </row>
    <row r="562" spans="12:17" x14ac:dyDescent="0.35">
      <c r="L562">
        <v>560</v>
      </c>
      <c r="M562">
        <v>0</v>
      </c>
      <c r="N562">
        <v>0.25</v>
      </c>
      <c r="Q562">
        <v>475</v>
      </c>
    </row>
    <row r="563" spans="12:17" x14ac:dyDescent="0.35">
      <c r="L563">
        <v>561</v>
      </c>
      <c r="M563">
        <v>1</v>
      </c>
      <c r="N563">
        <v>0.25</v>
      </c>
      <c r="Q563">
        <v>523</v>
      </c>
    </row>
    <row r="564" spans="12:17" x14ac:dyDescent="0.35">
      <c r="L564">
        <v>562</v>
      </c>
      <c r="M564">
        <v>0</v>
      </c>
      <c r="N564">
        <v>0.25</v>
      </c>
      <c r="Q564">
        <v>442</v>
      </c>
    </row>
    <row r="565" spans="12:17" x14ac:dyDescent="0.35">
      <c r="L565">
        <v>563</v>
      </c>
      <c r="M565">
        <v>0</v>
      </c>
      <c r="N565">
        <v>0.125</v>
      </c>
      <c r="Q565">
        <v>486</v>
      </c>
    </row>
    <row r="566" spans="12:17" x14ac:dyDescent="0.35">
      <c r="L566">
        <v>564</v>
      </c>
      <c r="M566">
        <v>0</v>
      </c>
      <c r="N566">
        <v>0.125</v>
      </c>
      <c r="Q566">
        <v>447</v>
      </c>
    </row>
    <row r="567" spans="12:17" x14ac:dyDescent="0.35">
      <c r="L567">
        <v>565</v>
      </c>
      <c r="M567">
        <v>0</v>
      </c>
      <c r="N567">
        <v>0</v>
      </c>
      <c r="Q567">
        <v>479</v>
      </c>
    </row>
    <row r="568" spans="12:17" x14ac:dyDescent="0.35">
      <c r="L568">
        <v>566</v>
      </c>
      <c r="M568">
        <v>0</v>
      </c>
      <c r="N568">
        <v>0</v>
      </c>
      <c r="Q568">
        <v>450</v>
      </c>
    </row>
    <row r="569" spans="12:17" x14ac:dyDescent="0.35">
      <c r="L569">
        <v>567</v>
      </c>
      <c r="M569">
        <v>0</v>
      </c>
      <c r="N569">
        <v>0</v>
      </c>
      <c r="Q569">
        <v>437</v>
      </c>
    </row>
    <row r="570" spans="12:17" x14ac:dyDescent="0.35">
      <c r="L570">
        <v>568</v>
      </c>
      <c r="M570">
        <v>0</v>
      </c>
      <c r="N570">
        <v>0</v>
      </c>
      <c r="Q570">
        <v>420</v>
      </c>
    </row>
    <row r="571" spans="12:17" x14ac:dyDescent="0.35">
      <c r="L571">
        <v>569</v>
      </c>
      <c r="M571">
        <v>0</v>
      </c>
      <c r="N571">
        <v>0</v>
      </c>
      <c r="Q571">
        <v>389</v>
      </c>
    </row>
    <row r="572" spans="12:17" x14ac:dyDescent="0.35">
      <c r="L572">
        <v>570</v>
      </c>
      <c r="M572">
        <v>0</v>
      </c>
      <c r="N572">
        <v>0</v>
      </c>
      <c r="Q572">
        <v>442</v>
      </c>
    </row>
    <row r="573" spans="12:17" x14ac:dyDescent="0.35">
      <c r="L573">
        <v>571</v>
      </c>
      <c r="M573">
        <v>0</v>
      </c>
      <c r="N573">
        <v>0</v>
      </c>
      <c r="Q573">
        <v>402</v>
      </c>
    </row>
    <row r="574" spans="12:17" x14ac:dyDescent="0.35">
      <c r="L574">
        <v>572</v>
      </c>
      <c r="M574">
        <v>0</v>
      </c>
      <c r="N574">
        <v>0</v>
      </c>
      <c r="Q574">
        <v>429</v>
      </c>
    </row>
    <row r="575" spans="12:17" x14ac:dyDescent="0.35">
      <c r="L575">
        <v>573</v>
      </c>
      <c r="M575">
        <v>0</v>
      </c>
      <c r="N575">
        <v>0</v>
      </c>
      <c r="Q575">
        <v>385</v>
      </c>
    </row>
    <row r="576" spans="12:17" x14ac:dyDescent="0.35">
      <c r="L576">
        <v>574</v>
      </c>
      <c r="M576">
        <v>0</v>
      </c>
      <c r="N576">
        <v>0</v>
      </c>
      <c r="Q576">
        <v>424</v>
      </c>
    </row>
    <row r="577" spans="12:17" x14ac:dyDescent="0.35">
      <c r="L577">
        <v>575</v>
      </c>
      <c r="M577">
        <v>0</v>
      </c>
      <c r="N577">
        <v>0</v>
      </c>
      <c r="Q577">
        <v>402</v>
      </c>
    </row>
    <row r="578" spans="12:17" x14ac:dyDescent="0.35">
      <c r="L578">
        <v>576</v>
      </c>
      <c r="M578">
        <v>0</v>
      </c>
      <c r="N578">
        <v>0</v>
      </c>
      <c r="Q578">
        <v>380</v>
      </c>
    </row>
    <row r="579" spans="12:17" x14ac:dyDescent="0.35">
      <c r="L579">
        <v>577</v>
      </c>
      <c r="M579">
        <v>0</v>
      </c>
      <c r="N579">
        <v>0</v>
      </c>
      <c r="Q579">
        <v>385</v>
      </c>
    </row>
    <row r="580" spans="12:17" x14ac:dyDescent="0.35">
      <c r="L580">
        <v>578</v>
      </c>
      <c r="M580">
        <v>0</v>
      </c>
      <c r="N580">
        <v>0</v>
      </c>
      <c r="Q580">
        <v>391</v>
      </c>
    </row>
    <row r="581" spans="12:17" x14ac:dyDescent="0.35">
      <c r="L581">
        <v>579</v>
      </c>
      <c r="M581">
        <v>0</v>
      </c>
      <c r="N581">
        <v>0</v>
      </c>
      <c r="Q581">
        <v>363</v>
      </c>
    </row>
    <row r="582" spans="12:17" x14ac:dyDescent="0.35">
      <c r="L582">
        <v>580</v>
      </c>
      <c r="M582">
        <v>0</v>
      </c>
      <c r="N582">
        <v>0</v>
      </c>
      <c r="Q582">
        <v>341</v>
      </c>
    </row>
    <row r="583" spans="12:17" x14ac:dyDescent="0.35">
      <c r="L583">
        <v>581</v>
      </c>
      <c r="M583">
        <v>0</v>
      </c>
      <c r="N583">
        <v>0.125</v>
      </c>
      <c r="Q583">
        <v>340</v>
      </c>
    </row>
    <row r="584" spans="12:17" x14ac:dyDescent="0.35">
      <c r="L584">
        <v>582</v>
      </c>
      <c r="M584">
        <v>0</v>
      </c>
      <c r="N584">
        <v>0.125</v>
      </c>
      <c r="Q584">
        <v>345</v>
      </c>
    </row>
    <row r="585" spans="12:17" x14ac:dyDescent="0.35">
      <c r="L585">
        <v>583</v>
      </c>
      <c r="M585">
        <v>0</v>
      </c>
      <c r="N585">
        <v>0.125</v>
      </c>
      <c r="Q585">
        <v>289</v>
      </c>
    </row>
    <row r="586" spans="12:17" x14ac:dyDescent="0.35">
      <c r="L586">
        <v>584</v>
      </c>
      <c r="M586">
        <v>0</v>
      </c>
      <c r="N586">
        <v>0.125</v>
      </c>
      <c r="Q586">
        <v>318</v>
      </c>
    </row>
    <row r="587" spans="12:17" x14ac:dyDescent="0.35">
      <c r="L587">
        <v>585</v>
      </c>
      <c r="M587">
        <v>1</v>
      </c>
      <c r="N587">
        <v>0.125</v>
      </c>
      <c r="Q587">
        <v>311</v>
      </c>
    </row>
    <row r="588" spans="12:17" x14ac:dyDescent="0.35">
      <c r="L588">
        <v>586</v>
      </c>
      <c r="M588">
        <v>0</v>
      </c>
      <c r="N588">
        <v>0.125</v>
      </c>
      <c r="Q588">
        <v>327</v>
      </c>
    </row>
    <row r="589" spans="12:17" x14ac:dyDescent="0.35">
      <c r="L589">
        <v>587</v>
      </c>
      <c r="M589">
        <v>0</v>
      </c>
      <c r="N589">
        <v>0.125</v>
      </c>
      <c r="Q589">
        <v>282</v>
      </c>
    </row>
    <row r="590" spans="12:17" x14ac:dyDescent="0.35">
      <c r="L590">
        <v>588</v>
      </c>
      <c r="M590">
        <v>0</v>
      </c>
      <c r="N590">
        <v>0.125</v>
      </c>
      <c r="Q590">
        <v>295</v>
      </c>
    </row>
    <row r="591" spans="12:17" x14ac:dyDescent="0.35">
      <c r="L591">
        <v>589</v>
      </c>
      <c r="M591">
        <v>0</v>
      </c>
      <c r="N591">
        <v>0</v>
      </c>
      <c r="Q591">
        <v>269</v>
      </c>
    </row>
    <row r="592" spans="12:17" x14ac:dyDescent="0.35">
      <c r="L592">
        <v>590</v>
      </c>
      <c r="M592">
        <v>0</v>
      </c>
      <c r="N592">
        <v>0</v>
      </c>
      <c r="Q592">
        <v>287</v>
      </c>
    </row>
    <row r="593" spans="12:17" x14ac:dyDescent="0.35">
      <c r="L593">
        <v>591</v>
      </c>
      <c r="M593">
        <v>0</v>
      </c>
      <c r="N593">
        <v>0</v>
      </c>
      <c r="Q593">
        <v>290</v>
      </c>
    </row>
    <row r="594" spans="12:17" x14ac:dyDescent="0.35">
      <c r="L594">
        <v>592</v>
      </c>
      <c r="M594">
        <v>0</v>
      </c>
      <c r="N594">
        <v>0</v>
      </c>
      <c r="Q594">
        <v>268</v>
      </c>
    </row>
    <row r="595" spans="12:17" x14ac:dyDescent="0.35">
      <c r="L595">
        <v>593</v>
      </c>
      <c r="M595">
        <v>0</v>
      </c>
      <c r="N595">
        <v>0</v>
      </c>
      <c r="Q595">
        <v>280</v>
      </c>
    </row>
    <row r="596" spans="12:17" x14ac:dyDescent="0.35">
      <c r="L596">
        <v>594</v>
      </c>
      <c r="M596">
        <v>0</v>
      </c>
      <c r="N596">
        <v>0</v>
      </c>
      <c r="Q596">
        <v>263</v>
      </c>
    </row>
    <row r="597" spans="12:17" x14ac:dyDescent="0.35">
      <c r="L597">
        <v>595</v>
      </c>
      <c r="M597">
        <v>0</v>
      </c>
      <c r="N597">
        <v>0.125</v>
      </c>
      <c r="Q597">
        <v>237</v>
      </c>
    </row>
    <row r="598" spans="12:17" x14ac:dyDescent="0.35">
      <c r="L598">
        <v>596</v>
      </c>
      <c r="M598">
        <v>0</v>
      </c>
      <c r="N598">
        <v>0.25</v>
      </c>
      <c r="Q598">
        <v>233</v>
      </c>
    </row>
    <row r="599" spans="12:17" x14ac:dyDescent="0.35">
      <c r="L599">
        <v>597</v>
      </c>
      <c r="M599">
        <v>0</v>
      </c>
      <c r="N599">
        <v>0.25</v>
      </c>
      <c r="Q599">
        <v>229</v>
      </c>
    </row>
    <row r="600" spans="12:17" x14ac:dyDescent="0.35">
      <c r="L600">
        <v>598</v>
      </c>
      <c r="M600">
        <v>0</v>
      </c>
      <c r="N600">
        <v>0.25</v>
      </c>
      <c r="Q600">
        <v>230</v>
      </c>
    </row>
    <row r="601" spans="12:17" x14ac:dyDescent="0.35">
      <c r="L601">
        <v>599</v>
      </c>
      <c r="M601">
        <v>1</v>
      </c>
      <c r="N601">
        <v>0.25</v>
      </c>
      <c r="Q601">
        <v>235</v>
      </c>
    </row>
    <row r="602" spans="12:17" x14ac:dyDescent="0.35">
      <c r="L602">
        <v>600</v>
      </c>
      <c r="M602">
        <v>1</v>
      </c>
      <c r="N602">
        <v>0.25</v>
      </c>
      <c r="Q602">
        <v>230</v>
      </c>
    </row>
    <row r="603" spans="12:17" x14ac:dyDescent="0.35">
      <c r="L603">
        <v>601</v>
      </c>
      <c r="M603">
        <v>0</v>
      </c>
      <c r="N603">
        <v>0.375</v>
      </c>
      <c r="Q603">
        <v>227</v>
      </c>
    </row>
    <row r="604" spans="12:17" x14ac:dyDescent="0.35">
      <c r="L604">
        <v>602</v>
      </c>
      <c r="M604">
        <v>0</v>
      </c>
      <c r="N604">
        <v>0.375</v>
      </c>
      <c r="Q604">
        <v>191</v>
      </c>
    </row>
    <row r="605" spans="12:17" x14ac:dyDescent="0.35">
      <c r="L605">
        <v>603</v>
      </c>
      <c r="M605">
        <v>0</v>
      </c>
      <c r="N605">
        <v>0.25</v>
      </c>
      <c r="Q605">
        <v>206</v>
      </c>
    </row>
    <row r="606" spans="12:17" x14ac:dyDescent="0.35">
      <c r="L606">
        <v>604</v>
      </c>
      <c r="M606">
        <v>0</v>
      </c>
      <c r="N606">
        <v>0.125</v>
      </c>
      <c r="Q606">
        <v>190</v>
      </c>
    </row>
    <row r="607" spans="12:17" x14ac:dyDescent="0.35">
      <c r="L607">
        <v>605</v>
      </c>
      <c r="M607">
        <v>1</v>
      </c>
      <c r="N607">
        <v>0.125</v>
      </c>
      <c r="Q607">
        <v>157</v>
      </c>
    </row>
    <row r="608" spans="12:17" x14ac:dyDescent="0.35">
      <c r="L608">
        <v>606</v>
      </c>
      <c r="M608">
        <v>0</v>
      </c>
      <c r="N608">
        <v>0.25</v>
      </c>
      <c r="Q608">
        <v>175</v>
      </c>
    </row>
    <row r="609" spans="12:17" x14ac:dyDescent="0.35">
      <c r="L609">
        <v>607</v>
      </c>
      <c r="M609">
        <v>0</v>
      </c>
      <c r="N609">
        <v>0.25</v>
      </c>
      <c r="Q609">
        <v>190</v>
      </c>
    </row>
    <row r="610" spans="12:17" x14ac:dyDescent="0.35">
      <c r="L610">
        <v>608</v>
      </c>
      <c r="M610">
        <v>0</v>
      </c>
      <c r="N610">
        <v>0.375</v>
      </c>
      <c r="Q610">
        <v>181</v>
      </c>
    </row>
    <row r="611" spans="12:17" x14ac:dyDescent="0.35">
      <c r="L611">
        <v>609</v>
      </c>
      <c r="M611">
        <v>0</v>
      </c>
      <c r="N611">
        <v>0.25</v>
      </c>
      <c r="Q611">
        <v>170</v>
      </c>
    </row>
    <row r="612" spans="12:17" x14ac:dyDescent="0.35">
      <c r="L612">
        <v>610</v>
      </c>
      <c r="M612">
        <v>1</v>
      </c>
      <c r="N612">
        <v>0.25</v>
      </c>
      <c r="Q612">
        <v>155</v>
      </c>
    </row>
    <row r="613" spans="12:17" x14ac:dyDescent="0.35">
      <c r="L613">
        <v>611</v>
      </c>
      <c r="M613">
        <v>0</v>
      </c>
      <c r="N613">
        <v>0.375</v>
      </c>
      <c r="Q613">
        <v>196</v>
      </c>
    </row>
    <row r="614" spans="12:17" x14ac:dyDescent="0.35">
      <c r="L614">
        <v>612</v>
      </c>
      <c r="M614">
        <v>1</v>
      </c>
      <c r="N614">
        <v>0.375</v>
      </c>
      <c r="Q614">
        <v>181</v>
      </c>
    </row>
    <row r="615" spans="12:17" x14ac:dyDescent="0.35">
      <c r="L615">
        <v>613</v>
      </c>
      <c r="M615">
        <v>0</v>
      </c>
      <c r="N615">
        <v>0.375</v>
      </c>
      <c r="Q615">
        <v>173</v>
      </c>
    </row>
    <row r="616" spans="12:17" x14ac:dyDescent="0.35">
      <c r="L616">
        <v>614</v>
      </c>
      <c r="M616">
        <v>0</v>
      </c>
      <c r="N616">
        <v>0.25</v>
      </c>
      <c r="Q616">
        <v>163</v>
      </c>
    </row>
    <row r="617" spans="12:17" x14ac:dyDescent="0.35">
      <c r="L617">
        <v>615</v>
      </c>
      <c r="M617">
        <v>1</v>
      </c>
      <c r="N617">
        <v>0.25</v>
      </c>
      <c r="Q617">
        <v>180</v>
      </c>
    </row>
    <row r="618" spans="12:17" x14ac:dyDescent="0.35">
      <c r="L618">
        <v>616</v>
      </c>
      <c r="M618">
        <v>0</v>
      </c>
      <c r="N618">
        <v>0.125</v>
      </c>
      <c r="Q618">
        <v>142</v>
      </c>
    </row>
    <row r="619" spans="12:17" x14ac:dyDescent="0.35">
      <c r="L619">
        <v>617</v>
      </c>
      <c r="M619">
        <v>0</v>
      </c>
      <c r="N619">
        <v>0.125</v>
      </c>
      <c r="Q619">
        <v>138</v>
      </c>
    </row>
    <row r="620" spans="12:17" x14ac:dyDescent="0.35">
      <c r="L620">
        <v>618</v>
      </c>
      <c r="M620">
        <v>0</v>
      </c>
      <c r="N620">
        <v>0.125</v>
      </c>
      <c r="Q620">
        <v>139</v>
      </c>
    </row>
    <row r="621" spans="12:17" x14ac:dyDescent="0.35">
      <c r="L621">
        <v>619</v>
      </c>
      <c r="M621">
        <v>0</v>
      </c>
      <c r="N621">
        <v>0</v>
      </c>
      <c r="Q621">
        <v>137</v>
      </c>
    </row>
    <row r="622" spans="12:17" x14ac:dyDescent="0.35">
      <c r="L622">
        <v>620</v>
      </c>
      <c r="M622">
        <v>0</v>
      </c>
      <c r="N622">
        <v>0</v>
      </c>
      <c r="Q622">
        <v>139</v>
      </c>
    </row>
    <row r="623" spans="12:17" x14ac:dyDescent="0.35">
      <c r="L623">
        <v>621</v>
      </c>
      <c r="M623">
        <v>0</v>
      </c>
      <c r="N623">
        <v>0</v>
      </c>
      <c r="Q623">
        <v>127</v>
      </c>
    </row>
    <row r="624" spans="12:17" x14ac:dyDescent="0.35">
      <c r="L624">
        <v>622</v>
      </c>
      <c r="M624">
        <v>0</v>
      </c>
      <c r="N624">
        <v>0</v>
      </c>
      <c r="Q624">
        <v>125</v>
      </c>
    </row>
    <row r="625" spans="12:17" x14ac:dyDescent="0.35">
      <c r="L625">
        <v>623</v>
      </c>
      <c r="M625">
        <v>0</v>
      </c>
      <c r="N625">
        <v>0</v>
      </c>
      <c r="Q625">
        <v>140</v>
      </c>
    </row>
    <row r="626" spans="12:17" x14ac:dyDescent="0.35">
      <c r="L626">
        <v>624</v>
      </c>
      <c r="M626">
        <v>0</v>
      </c>
      <c r="N626">
        <v>0</v>
      </c>
      <c r="Q626">
        <v>140</v>
      </c>
    </row>
    <row r="627" spans="12:17" x14ac:dyDescent="0.35">
      <c r="L627">
        <v>625</v>
      </c>
      <c r="M627">
        <v>0</v>
      </c>
      <c r="N627">
        <v>0</v>
      </c>
      <c r="Q627">
        <v>110</v>
      </c>
    </row>
    <row r="628" spans="12:17" x14ac:dyDescent="0.35">
      <c r="L628">
        <v>626</v>
      </c>
      <c r="M628">
        <v>0</v>
      </c>
      <c r="N628">
        <v>0</v>
      </c>
      <c r="Q628">
        <v>120</v>
      </c>
    </row>
    <row r="629" spans="12:17" x14ac:dyDescent="0.35">
      <c r="L629">
        <v>627</v>
      </c>
      <c r="M629">
        <v>0</v>
      </c>
      <c r="N629">
        <v>0.125</v>
      </c>
      <c r="Q629">
        <v>123</v>
      </c>
    </row>
    <row r="630" spans="12:17" x14ac:dyDescent="0.35">
      <c r="L630">
        <v>628</v>
      </c>
      <c r="M630">
        <v>0</v>
      </c>
      <c r="N630">
        <v>0.125</v>
      </c>
      <c r="Q630">
        <v>87</v>
      </c>
    </row>
    <row r="631" spans="12:17" x14ac:dyDescent="0.35">
      <c r="L631">
        <v>629</v>
      </c>
      <c r="M631">
        <v>0</v>
      </c>
      <c r="N631">
        <v>0.25</v>
      </c>
      <c r="Q631">
        <v>105</v>
      </c>
    </row>
    <row r="632" spans="12:17" x14ac:dyDescent="0.35">
      <c r="L632">
        <v>630</v>
      </c>
      <c r="M632">
        <v>0</v>
      </c>
      <c r="N632">
        <v>0.25</v>
      </c>
      <c r="Q632">
        <v>100</v>
      </c>
    </row>
    <row r="633" spans="12:17" x14ac:dyDescent="0.35">
      <c r="L633">
        <v>631</v>
      </c>
      <c r="M633">
        <v>1</v>
      </c>
      <c r="N633">
        <v>0.25</v>
      </c>
      <c r="Q633">
        <v>93</v>
      </c>
    </row>
    <row r="634" spans="12:17" x14ac:dyDescent="0.35">
      <c r="L634">
        <v>632</v>
      </c>
      <c r="M634">
        <v>0</v>
      </c>
      <c r="N634">
        <v>0.25</v>
      </c>
      <c r="Q634">
        <v>114</v>
      </c>
    </row>
    <row r="635" spans="12:17" x14ac:dyDescent="0.35">
      <c r="L635">
        <v>633</v>
      </c>
      <c r="M635">
        <v>1</v>
      </c>
      <c r="N635">
        <v>0.25</v>
      </c>
      <c r="Q635">
        <v>88</v>
      </c>
    </row>
    <row r="636" spans="12:17" x14ac:dyDescent="0.35">
      <c r="L636">
        <v>634</v>
      </c>
      <c r="M636">
        <v>0</v>
      </c>
      <c r="N636">
        <v>0.25</v>
      </c>
      <c r="Q636">
        <v>92</v>
      </c>
    </row>
    <row r="637" spans="12:17" x14ac:dyDescent="0.35">
      <c r="L637">
        <v>635</v>
      </c>
      <c r="M637">
        <v>0</v>
      </c>
      <c r="N637">
        <v>0.125</v>
      </c>
      <c r="Q637">
        <v>94</v>
      </c>
    </row>
    <row r="638" spans="12:17" x14ac:dyDescent="0.35">
      <c r="L638">
        <v>636</v>
      </c>
      <c r="M638">
        <v>0</v>
      </c>
      <c r="N638">
        <v>0.125</v>
      </c>
      <c r="Q638">
        <v>100</v>
      </c>
    </row>
    <row r="639" spans="12:17" x14ac:dyDescent="0.35">
      <c r="L639">
        <v>637</v>
      </c>
      <c r="M639">
        <v>0</v>
      </c>
      <c r="N639">
        <v>0</v>
      </c>
      <c r="Q639">
        <v>92</v>
      </c>
    </row>
    <row r="640" spans="12:17" x14ac:dyDescent="0.35">
      <c r="L640">
        <v>638</v>
      </c>
      <c r="M640">
        <v>0</v>
      </c>
      <c r="N640">
        <v>0</v>
      </c>
      <c r="Q640">
        <v>76</v>
      </c>
    </row>
    <row r="641" spans="12:17" x14ac:dyDescent="0.35">
      <c r="L641">
        <v>639</v>
      </c>
      <c r="M641">
        <v>0</v>
      </c>
      <c r="N641">
        <v>0</v>
      </c>
      <c r="Q641">
        <v>81</v>
      </c>
    </row>
    <row r="642" spans="12:17" x14ac:dyDescent="0.35">
      <c r="L642">
        <v>640</v>
      </c>
      <c r="M642">
        <v>0</v>
      </c>
      <c r="N642">
        <v>0</v>
      </c>
      <c r="Q642">
        <v>73</v>
      </c>
    </row>
    <row r="643" spans="12:17" x14ac:dyDescent="0.35">
      <c r="L643">
        <v>641</v>
      </c>
      <c r="M643">
        <v>0</v>
      </c>
      <c r="N643">
        <v>0</v>
      </c>
      <c r="Q643">
        <v>76</v>
      </c>
    </row>
    <row r="644" spans="12:17" x14ac:dyDescent="0.35">
      <c r="L644">
        <v>642</v>
      </c>
      <c r="M644">
        <v>0</v>
      </c>
      <c r="N644">
        <v>0</v>
      </c>
      <c r="Q644">
        <v>64</v>
      </c>
    </row>
    <row r="645" spans="12:17" x14ac:dyDescent="0.35">
      <c r="L645">
        <v>643</v>
      </c>
      <c r="M645">
        <v>0</v>
      </c>
      <c r="N645">
        <v>0</v>
      </c>
      <c r="Q645">
        <v>73</v>
      </c>
    </row>
    <row r="646" spans="12:17" x14ac:dyDescent="0.35">
      <c r="L646">
        <v>644</v>
      </c>
      <c r="M646">
        <v>0</v>
      </c>
      <c r="N646">
        <v>0</v>
      </c>
      <c r="Q646">
        <v>67</v>
      </c>
    </row>
    <row r="647" spans="12:17" x14ac:dyDescent="0.35">
      <c r="L647">
        <v>645</v>
      </c>
      <c r="M647">
        <v>0</v>
      </c>
      <c r="N647">
        <v>0</v>
      </c>
      <c r="Q647">
        <v>56</v>
      </c>
    </row>
    <row r="648" spans="12:17" x14ac:dyDescent="0.35">
      <c r="L648">
        <v>646</v>
      </c>
      <c r="M648">
        <v>0</v>
      </c>
      <c r="N648">
        <v>0</v>
      </c>
      <c r="Q648">
        <v>68</v>
      </c>
    </row>
    <row r="649" spans="12:17" x14ac:dyDescent="0.35">
      <c r="L649">
        <v>647</v>
      </c>
      <c r="M649">
        <v>0</v>
      </c>
      <c r="N649">
        <v>0</v>
      </c>
      <c r="Q649">
        <v>66</v>
      </c>
    </row>
    <row r="650" spans="12:17" x14ac:dyDescent="0.35">
      <c r="L650">
        <v>648</v>
      </c>
      <c r="M650">
        <v>0</v>
      </c>
      <c r="N650">
        <v>0</v>
      </c>
      <c r="Q650">
        <v>63</v>
      </c>
    </row>
    <row r="651" spans="12:17" x14ac:dyDescent="0.35">
      <c r="L651">
        <v>649</v>
      </c>
      <c r="M651">
        <v>0</v>
      </c>
      <c r="N651">
        <v>0</v>
      </c>
      <c r="Q651">
        <v>62</v>
      </c>
    </row>
    <row r="652" spans="12:17" x14ac:dyDescent="0.35">
      <c r="L652">
        <v>650</v>
      </c>
      <c r="M652">
        <v>0</v>
      </c>
      <c r="N652">
        <v>0</v>
      </c>
      <c r="Q652">
        <v>54</v>
      </c>
    </row>
    <row r="653" spans="12:17" x14ac:dyDescent="0.35">
      <c r="L653">
        <v>651</v>
      </c>
      <c r="M653">
        <v>0</v>
      </c>
      <c r="N653">
        <v>0</v>
      </c>
      <c r="Q653">
        <v>59</v>
      </c>
    </row>
    <row r="654" spans="12:17" x14ac:dyDescent="0.35">
      <c r="L654">
        <v>652</v>
      </c>
      <c r="M654">
        <v>0</v>
      </c>
      <c r="N654">
        <v>0.125</v>
      </c>
      <c r="Q654">
        <v>43</v>
      </c>
    </row>
    <row r="655" spans="12:17" x14ac:dyDescent="0.35">
      <c r="L655">
        <v>653</v>
      </c>
      <c r="M655">
        <v>0</v>
      </c>
      <c r="N655">
        <v>0.125</v>
      </c>
      <c r="Q655">
        <v>51</v>
      </c>
    </row>
    <row r="656" spans="12:17" x14ac:dyDescent="0.35">
      <c r="L656">
        <v>654</v>
      </c>
      <c r="M656">
        <v>0</v>
      </c>
      <c r="N656">
        <v>0.125</v>
      </c>
      <c r="Q656">
        <v>55</v>
      </c>
    </row>
    <row r="657" spans="12:17" x14ac:dyDescent="0.35">
      <c r="L657">
        <v>655</v>
      </c>
      <c r="M657">
        <v>0</v>
      </c>
      <c r="N657">
        <v>0.125</v>
      </c>
      <c r="Q657">
        <v>53</v>
      </c>
    </row>
    <row r="658" spans="12:17" x14ac:dyDescent="0.35">
      <c r="L658">
        <v>656</v>
      </c>
      <c r="M658">
        <v>1</v>
      </c>
      <c r="N658">
        <v>0.125</v>
      </c>
      <c r="Q658">
        <v>46</v>
      </c>
    </row>
    <row r="659" spans="12:17" x14ac:dyDescent="0.35">
      <c r="L659">
        <v>657</v>
      </c>
      <c r="M659">
        <v>0</v>
      </c>
      <c r="N659">
        <v>0.125</v>
      </c>
      <c r="Q659">
        <v>43</v>
      </c>
    </row>
    <row r="660" spans="12:17" x14ac:dyDescent="0.35">
      <c r="L660">
        <v>658</v>
      </c>
      <c r="M660">
        <v>0</v>
      </c>
      <c r="N660">
        <v>0.125</v>
      </c>
      <c r="Q660">
        <v>36</v>
      </c>
    </row>
    <row r="661" spans="12:17" x14ac:dyDescent="0.35">
      <c r="L661">
        <v>659</v>
      </c>
      <c r="M661">
        <v>0</v>
      </c>
      <c r="N661">
        <v>0.125</v>
      </c>
      <c r="Q661">
        <v>54</v>
      </c>
    </row>
    <row r="662" spans="12:17" x14ac:dyDescent="0.35">
      <c r="L662">
        <v>660</v>
      </c>
      <c r="M662">
        <v>0</v>
      </c>
      <c r="N662">
        <v>0</v>
      </c>
      <c r="Q662">
        <v>37</v>
      </c>
    </row>
    <row r="663" spans="12:17" x14ac:dyDescent="0.35">
      <c r="L663">
        <v>661</v>
      </c>
      <c r="M663">
        <v>0</v>
      </c>
      <c r="N663">
        <v>0</v>
      </c>
      <c r="Q663">
        <v>43</v>
      </c>
    </row>
    <row r="664" spans="12:17" x14ac:dyDescent="0.35">
      <c r="L664">
        <v>662</v>
      </c>
      <c r="M664">
        <v>0</v>
      </c>
      <c r="N664">
        <v>0</v>
      </c>
      <c r="Q664">
        <v>40</v>
      </c>
    </row>
    <row r="665" spans="12:17" x14ac:dyDescent="0.35">
      <c r="L665">
        <v>663</v>
      </c>
      <c r="M665">
        <v>0</v>
      </c>
      <c r="N665">
        <v>0</v>
      </c>
      <c r="Q665">
        <v>43</v>
      </c>
    </row>
    <row r="666" spans="12:17" x14ac:dyDescent="0.35">
      <c r="L666">
        <v>664</v>
      </c>
      <c r="M666">
        <v>0</v>
      </c>
      <c r="N666">
        <v>0</v>
      </c>
      <c r="Q666">
        <v>40</v>
      </c>
    </row>
    <row r="667" spans="12:17" x14ac:dyDescent="0.35">
      <c r="L667">
        <v>665</v>
      </c>
      <c r="M667">
        <v>0</v>
      </c>
      <c r="N667">
        <v>0</v>
      </c>
      <c r="Q667">
        <v>38</v>
      </c>
    </row>
    <row r="668" spans="12:17" x14ac:dyDescent="0.35">
      <c r="L668">
        <v>666</v>
      </c>
      <c r="M668">
        <v>0</v>
      </c>
      <c r="N668">
        <v>0</v>
      </c>
      <c r="Q668">
        <v>36</v>
      </c>
    </row>
    <row r="669" spans="12:17" x14ac:dyDescent="0.35">
      <c r="L669">
        <v>667</v>
      </c>
      <c r="M669">
        <v>0</v>
      </c>
      <c r="N669">
        <v>0</v>
      </c>
      <c r="Q669">
        <v>32</v>
      </c>
    </row>
    <row r="670" spans="12:17" x14ac:dyDescent="0.35">
      <c r="L670">
        <v>668</v>
      </c>
      <c r="M670">
        <v>0</v>
      </c>
      <c r="N670">
        <v>0</v>
      </c>
      <c r="Q670">
        <v>31</v>
      </c>
    </row>
    <row r="671" spans="12:17" x14ac:dyDescent="0.35">
      <c r="L671">
        <v>669</v>
      </c>
      <c r="M671">
        <v>0</v>
      </c>
      <c r="N671">
        <v>0</v>
      </c>
      <c r="Q671">
        <v>35</v>
      </c>
    </row>
    <row r="672" spans="12:17" x14ac:dyDescent="0.35">
      <c r="L672">
        <v>670</v>
      </c>
      <c r="M672">
        <v>0</v>
      </c>
      <c r="N672">
        <v>0</v>
      </c>
      <c r="Q672">
        <v>25</v>
      </c>
    </row>
    <row r="673" spans="12:17" x14ac:dyDescent="0.35">
      <c r="L673">
        <v>671</v>
      </c>
      <c r="M673">
        <v>0</v>
      </c>
      <c r="N673">
        <v>0</v>
      </c>
      <c r="Q673">
        <v>30</v>
      </c>
    </row>
    <row r="674" spans="12:17" x14ac:dyDescent="0.35">
      <c r="L674">
        <v>672</v>
      </c>
      <c r="M674">
        <v>0</v>
      </c>
      <c r="N674">
        <v>0</v>
      </c>
      <c r="Q674">
        <v>28</v>
      </c>
    </row>
    <row r="675" spans="12:17" x14ac:dyDescent="0.35">
      <c r="L675">
        <v>673</v>
      </c>
      <c r="M675">
        <v>0</v>
      </c>
      <c r="N675">
        <v>0.125</v>
      </c>
      <c r="Q675">
        <v>23</v>
      </c>
    </row>
    <row r="676" spans="12:17" x14ac:dyDescent="0.35">
      <c r="L676">
        <v>674</v>
      </c>
      <c r="M676">
        <v>0</v>
      </c>
      <c r="N676">
        <v>0.125</v>
      </c>
      <c r="Q676">
        <v>32</v>
      </c>
    </row>
    <row r="677" spans="12:17" x14ac:dyDescent="0.35">
      <c r="L677">
        <v>675</v>
      </c>
      <c r="M677">
        <v>0</v>
      </c>
      <c r="N677">
        <v>0.125</v>
      </c>
      <c r="Q677">
        <v>28</v>
      </c>
    </row>
    <row r="678" spans="12:17" x14ac:dyDescent="0.35">
      <c r="L678">
        <v>676</v>
      </c>
      <c r="M678">
        <v>0</v>
      </c>
      <c r="N678">
        <v>0.125</v>
      </c>
      <c r="Q678">
        <v>26</v>
      </c>
    </row>
    <row r="679" spans="12:17" x14ac:dyDescent="0.35">
      <c r="L679">
        <v>677</v>
      </c>
      <c r="M679">
        <v>1</v>
      </c>
      <c r="N679">
        <v>0.125</v>
      </c>
      <c r="Q679">
        <v>18</v>
      </c>
    </row>
    <row r="680" spans="12:17" x14ac:dyDescent="0.35">
      <c r="L680">
        <v>678</v>
      </c>
      <c r="M680">
        <v>0</v>
      </c>
      <c r="N680">
        <v>0.125</v>
      </c>
      <c r="Q680">
        <v>17</v>
      </c>
    </row>
    <row r="681" spans="12:17" x14ac:dyDescent="0.35">
      <c r="L681">
        <v>679</v>
      </c>
      <c r="M681">
        <v>0</v>
      </c>
      <c r="N681">
        <v>0.125</v>
      </c>
      <c r="Q681">
        <v>28</v>
      </c>
    </row>
    <row r="682" spans="12:17" x14ac:dyDescent="0.35">
      <c r="L682">
        <v>680</v>
      </c>
      <c r="M682">
        <v>0</v>
      </c>
      <c r="N682">
        <v>0.125</v>
      </c>
      <c r="Q682">
        <v>16</v>
      </c>
    </row>
    <row r="683" spans="12:17" x14ac:dyDescent="0.35">
      <c r="L683">
        <v>681</v>
      </c>
      <c r="M683">
        <v>0</v>
      </c>
      <c r="N683">
        <v>0</v>
      </c>
      <c r="Q683">
        <v>27</v>
      </c>
    </row>
    <row r="684" spans="12:17" x14ac:dyDescent="0.35">
      <c r="L684">
        <v>682</v>
      </c>
      <c r="M684">
        <v>0</v>
      </c>
      <c r="N684">
        <v>0</v>
      </c>
      <c r="Q684">
        <v>22</v>
      </c>
    </row>
    <row r="685" spans="12:17" x14ac:dyDescent="0.35">
      <c r="L685">
        <v>683</v>
      </c>
      <c r="M685">
        <v>0</v>
      </c>
      <c r="N685">
        <v>0.125</v>
      </c>
      <c r="Q685">
        <v>17</v>
      </c>
    </row>
    <row r="686" spans="12:17" x14ac:dyDescent="0.35">
      <c r="L686">
        <v>684</v>
      </c>
      <c r="M686">
        <v>0</v>
      </c>
      <c r="Q686">
        <v>23</v>
      </c>
    </row>
    <row r="687" spans="12:17" x14ac:dyDescent="0.35">
      <c r="L687">
        <v>685</v>
      </c>
      <c r="M687">
        <v>0</v>
      </c>
      <c r="Q687">
        <v>34</v>
      </c>
    </row>
    <row r="688" spans="12:17" x14ac:dyDescent="0.35">
      <c r="L688">
        <v>686</v>
      </c>
      <c r="M688">
        <v>0</v>
      </c>
      <c r="Q688">
        <v>23</v>
      </c>
    </row>
    <row r="689" spans="12:17" x14ac:dyDescent="0.35">
      <c r="L689">
        <v>687</v>
      </c>
      <c r="M689">
        <v>1</v>
      </c>
      <c r="Q689">
        <v>26</v>
      </c>
    </row>
    <row r="690" spans="12:17" x14ac:dyDescent="0.35">
      <c r="L690">
        <v>688</v>
      </c>
      <c r="M690">
        <v>0</v>
      </c>
      <c r="Q690">
        <v>27</v>
      </c>
    </row>
    <row r="691" spans="12:17" x14ac:dyDescent="0.35">
      <c r="L691">
        <v>689</v>
      </c>
      <c r="M691">
        <v>0</v>
      </c>
      <c r="Q691">
        <v>27</v>
      </c>
    </row>
    <row r="692" spans="12:17" x14ac:dyDescent="0.35">
      <c r="L692">
        <v>690</v>
      </c>
      <c r="M692">
        <v>0</v>
      </c>
      <c r="Q692">
        <v>22</v>
      </c>
    </row>
    <row r="693" spans="12:17" x14ac:dyDescent="0.35">
      <c r="L693">
        <v>691</v>
      </c>
      <c r="M693">
        <v>0</v>
      </c>
      <c r="Q693">
        <v>16</v>
      </c>
    </row>
    <row r="694" spans="12:17" x14ac:dyDescent="0.35">
      <c r="L694">
        <v>692</v>
      </c>
      <c r="M694">
        <v>0</v>
      </c>
      <c r="Q694">
        <v>28</v>
      </c>
    </row>
    <row r="695" spans="12:17" x14ac:dyDescent="0.35">
      <c r="L695">
        <v>693</v>
      </c>
      <c r="M695">
        <v>0</v>
      </c>
      <c r="Q695">
        <v>23</v>
      </c>
    </row>
    <row r="696" spans="12:17" x14ac:dyDescent="0.35">
      <c r="L696">
        <v>694</v>
      </c>
      <c r="M696">
        <v>0</v>
      </c>
      <c r="Q696">
        <v>17</v>
      </c>
    </row>
    <row r="697" spans="12:17" x14ac:dyDescent="0.35">
      <c r="L697">
        <v>695</v>
      </c>
      <c r="M697">
        <v>0</v>
      </c>
      <c r="Q697">
        <v>18</v>
      </c>
    </row>
    <row r="698" spans="12:17" x14ac:dyDescent="0.35">
      <c r="L698">
        <v>696</v>
      </c>
      <c r="M698">
        <v>0</v>
      </c>
      <c r="Q698">
        <v>27</v>
      </c>
    </row>
    <row r="699" spans="12:17" x14ac:dyDescent="0.35">
      <c r="L699">
        <v>697</v>
      </c>
      <c r="M699">
        <v>0</v>
      </c>
      <c r="Q699">
        <v>25</v>
      </c>
    </row>
    <row r="700" spans="12:17" x14ac:dyDescent="0.35">
      <c r="L700">
        <v>698</v>
      </c>
      <c r="M700">
        <v>0</v>
      </c>
      <c r="Q700">
        <v>9</v>
      </c>
    </row>
    <row r="701" spans="12:17" x14ac:dyDescent="0.35">
      <c r="L701">
        <v>699</v>
      </c>
      <c r="M701">
        <v>0</v>
      </c>
      <c r="Q701">
        <v>20</v>
      </c>
    </row>
    <row r="702" spans="12:17" x14ac:dyDescent="0.35">
      <c r="L702">
        <v>700</v>
      </c>
      <c r="M702">
        <v>0</v>
      </c>
      <c r="Q702">
        <v>14</v>
      </c>
    </row>
    <row r="703" spans="12:17" x14ac:dyDescent="0.35">
      <c r="L703">
        <v>701</v>
      </c>
      <c r="M703">
        <v>0</v>
      </c>
      <c r="Q703">
        <v>14</v>
      </c>
    </row>
    <row r="704" spans="12:17" x14ac:dyDescent="0.35">
      <c r="L704">
        <v>702</v>
      </c>
      <c r="M704">
        <v>0</v>
      </c>
      <c r="Q704">
        <v>14</v>
      </c>
    </row>
    <row r="705" spans="12:17" x14ac:dyDescent="0.35">
      <c r="L705">
        <v>703</v>
      </c>
      <c r="M705">
        <v>0</v>
      </c>
      <c r="Q705">
        <v>11</v>
      </c>
    </row>
    <row r="706" spans="12:17" x14ac:dyDescent="0.35">
      <c r="L706">
        <v>704</v>
      </c>
      <c r="M706">
        <v>0</v>
      </c>
      <c r="Q706">
        <v>12</v>
      </c>
    </row>
    <row r="707" spans="12:17" x14ac:dyDescent="0.35">
      <c r="L707">
        <v>705</v>
      </c>
      <c r="M707">
        <v>0</v>
      </c>
      <c r="Q707">
        <v>12</v>
      </c>
    </row>
    <row r="708" spans="12:17" x14ac:dyDescent="0.35">
      <c r="L708">
        <v>706</v>
      </c>
      <c r="M708">
        <v>0</v>
      </c>
      <c r="Q708">
        <v>22</v>
      </c>
    </row>
    <row r="709" spans="12:17" x14ac:dyDescent="0.35">
      <c r="L709">
        <v>707</v>
      </c>
      <c r="M709">
        <v>0</v>
      </c>
      <c r="Q709">
        <v>21</v>
      </c>
    </row>
    <row r="710" spans="12:17" x14ac:dyDescent="0.35">
      <c r="L710">
        <v>708</v>
      </c>
      <c r="M710">
        <v>0</v>
      </c>
      <c r="Q710">
        <v>13</v>
      </c>
    </row>
    <row r="711" spans="12:17" x14ac:dyDescent="0.35">
      <c r="L711">
        <v>709</v>
      </c>
      <c r="M711">
        <v>0</v>
      </c>
      <c r="Q711">
        <v>14</v>
      </c>
    </row>
    <row r="712" spans="12:17" x14ac:dyDescent="0.35">
      <c r="L712">
        <v>710</v>
      </c>
      <c r="M712">
        <v>0</v>
      </c>
      <c r="Q712">
        <v>22</v>
      </c>
    </row>
    <row r="713" spans="12:17" x14ac:dyDescent="0.35">
      <c r="L713">
        <v>711</v>
      </c>
      <c r="M713">
        <v>0</v>
      </c>
      <c r="Q713">
        <v>21</v>
      </c>
    </row>
    <row r="714" spans="12:17" x14ac:dyDescent="0.35">
      <c r="L714">
        <v>712</v>
      </c>
      <c r="M714">
        <v>0</v>
      </c>
      <c r="Q714">
        <v>14</v>
      </c>
    </row>
    <row r="715" spans="12:17" x14ac:dyDescent="0.35">
      <c r="L715">
        <v>713</v>
      </c>
      <c r="M715">
        <v>0</v>
      </c>
      <c r="Q715">
        <v>12</v>
      </c>
    </row>
    <row r="716" spans="12:17" x14ac:dyDescent="0.35">
      <c r="L716">
        <v>714</v>
      </c>
      <c r="M716">
        <v>0</v>
      </c>
      <c r="Q716">
        <v>17</v>
      </c>
    </row>
    <row r="717" spans="12:17" x14ac:dyDescent="0.35">
      <c r="L717">
        <v>715</v>
      </c>
      <c r="M717">
        <v>0</v>
      </c>
      <c r="Q717">
        <v>13</v>
      </c>
    </row>
    <row r="718" spans="12:17" x14ac:dyDescent="0.35">
      <c r="L718">
        <v>716</v>
      </c>
      <c r="M718">
        <v>0</v>
      </c>
      <c r="Q718">
        <v>20</v>
      </c>
    </row>
    <row r="719" spans="12:17" x14ac:dyDescent="0.35">
      <c r="L719">
        <v>717</v>
      </c>
      <c r="M719">
        <v>0</v>
      </c>
      <c r="Q719">
        <v>10</v>
      </c>
    </row>
    <row r="720" spans="12:17" x14ac:dyDescent="0.35">
      <c r="L720">
        <v>718</v>
      </c>
      <c r="M720">
        <v>0</v>
      </c>
      <c r="Q720">
        <v>8</v>
      </c>
    </row>
    <row r="721" spans="12:17" x14ac:dyDescent="0.35">
      <c r="L721">
        <v>719</v>
      </c>
      <c r="M721">
        <v>0</v>
      </c>
      <c r="Q721">
        <v>12</v>
      </c>
    </row>
    <row r="722" spans="12:17" x14ac:dyDescent="0.35">
      <c r="L722">
        <v>720</v>
      </c>
      <c r="M722">
        <v>0</v>
      </c>
      <c r="Q722">
        <v>8</v>
      </c>
    </row>
    <row r="723" spans="12:17" x14ac:dyDescent="0.35">
      <c r="L723">
        <v>721</v>
      </c>
      <c r="M723">
        <v>0</v>
      </c>
      <c r="Q723">
        <v>16</v>
      </c>
    </row>
    <row r="724" spans="12:17" x14ac:dyDescent="0.35">
      <c r="L724">
        <v>722</v>
      </c>
      <c r="M724">
        <v>0</v>
      </c>
      <c r="Q724">
        <v>19</v>
      </c>
    </row>
    <row r="725" spans="12:17" x14ac:dyDescent="0.35">
      <c r="L725">
        <v>723</v>
      </c>
      <c r="M725">
        <v>0</v>
      </c>
      <c r="Q725">
        <v>12</v>
      </c>
    </row>
    <row r="726" spans="12:17" x14ac:dyDescent="0.35">
      <c r="L726">
        <v>724</v>
      </c>
      <c r="M726">
        <v>1</v>
      </c>
      <c r="Q726">
        <v>13</v>
      </c>
    </row>
    <row r="727" spans="12:17" x14ac:dyDescent="0.35">
      <c r="L727">
        <v>725</v>
      </c>
      <c r="M727">
        <v>0</v>
      </c>
      <c r="Q727">
        <v>8</v>
      </c>
    </row>
    <row r="728" spans="12:17" x14ac:dyDescent="0.35">
      <c r="L728">
        <v>726</v>
      </c>
      <c r="M728">
        <v>0</v>
      </c>
      <c r="Q728">
        <v>8</v>
      </c>
    </row>
    <row r="729" spans="12:17" x14ac:dyDescent="0.35">
      <c r="L729">
        <v>727</v>
      </c>
      <c r="M729">
        <v>0</v>
      </c>
      <c r="Q729">
        <v>18</v>
      </c>
    </row>
    <row r="730" spans="12:17" x14ac:dyDescent="0.35">
      <c r="L730">
        <v>728</v>
      </c>
      <c r="M730">
        <v>0</v>
      </c>
      <c r="Q730">
        <v>21</v>
      </c>
    </row>
    <row r="731" spans="12:17" x14ac:dyDescent="0.35">
      <c r="L731">
        <v>729</v>
      </c>
      <c r="M731">
        <v>0</v>
      </c>
      <c r="Q731">
        <v>15</v>
      </c>
    </row>
    <row r="732" spans="12:17" x14ac:dyDescent="0.35">
      <c r="L732">
        <v>730</v>
      </c>
      <c r="M732">
        <v>0</v>
      </c>
      <c r="Q732">
        <v>13</v>
      </c>
    </row>
    <row r="733" spans="12:17" x14ac:dyDescent="0.35">
      <c r="L733">
        <v>731</v>
      </c>
      <c r="M733">
        <v>1</v>
      </c>
      <c r="Q733">
        <v>19</v>
      </c>
    </row>
    <row r="734" spans="12:17" x14ac:dyDescent="0.35">
      <c r="L734">
        <v>732</v>
      </c>
      <c r="M734">
        <v>0</v>
      </c>
      <c r="Q734">
        <v>5</v>
      </c>
    </row>
    <row r="735" spans="12:17" x14ac:dyDescent="0.35">
      <c r="L735">
        <v>733</v>
      </c>
      <c r="M735">
        <v>0</v>
      </c>
      <c r="Q735">
        <v>12</v>
      </c>
    </row>
    <row r="736" spans="12:17" x14ac:dyDescent="0.35">
      <c r="L736">
        <v>734</v>
      </c>
      <c r="M736">
        <v>0</v>
      </c>
      <c r="Q736">
        <v>15</v>
      </c>
    </row>
    <row r="737" spans="12:17" x14ac:dyDescent="0.35">
      <c r="L737">
        <v>735</v>
      </c>
      <c r="M737">
        <v>0</v>
      </c>
      <c r="Q737">
        <v>8</v>
      </c>
    </row>
    <row r="738" spans="12:17" x14ac:dyDescent="0.35">
      <c r="L738">
        <v>736</v>
      </c>
      <c r="M738">
        <v>0</v>
      </c>
      <c r="Q738">
        <v>11</v>
      </c>
    </row>
    <row r="739" spans="12:17" x14ac:dyDescent="0.35">
      <c r="L739">
        <v>737</v>
      </c>
      <c r="M739">
        <v>0</v>
      </c>
      <c r="Q739">
        <v>14</v>
      </c>
    </row>
    <row r="740" spans="12:17" x14ac:dyDescent="0.35">
      <c r="L740">
        <v>738</v>
      </c>
      <c r="M740">
        <v>0</v>
      </c>
      <c r="Q740">
        <v>13</v>
      </c>
    </row>
    <row r="741" spans="12:17" x14ac:dyDescent="0.35">
      <c r="L741">
        <v>739</v>
      </c>
      <c r="M741">
        <v>0</v>
      </c>
      <c r="Q741">
        <v>15</v>
      </c>
    </row>
    <row r="742" spans="12:17" x14ac:dyDescent="0.35">
      <c r="L742">
        <v>740</v>
      </c>
      <c r="M742">
        <v>0</v>
      </c>
      <c r="Q742">
        <v>9</v>
      </c>
    </row>
    <row r="743" spans="12:17" x14ac:dyDescent="0.35">
      <c r="L743">
        <v>741</v>
      </c>
      <c r="M743">
        <v>0</v>
      </c>
      <c r="Q743">
        <v>14</v>
      </c>
    </row>
    <row r="744" spans="12:17" x14ac:dyDescent="0.35">
      <c r="L744">
        <v>742</v>
      </c>
      <c r="M744">
        <v>0</v>
      </c>
      <c r="Q744">
        <v>8</v>
      </c>
    </row>
    <row r="745" spans="12:17" x14ac:dyDescent="0.35">
      <c r="L745">
        <v>743</v>
      </c>
      <c r="M745">
        <v>0</v>
      </c>
      <c r="Q745">
        <v>10</v>
      </c>
    </row>
    <row r="746" spans="12:17" x14ac:dyDescent="0.35">
      <c r="L746">
        <v>744</v>
      </c>
      <c r="M746">
        <v>0</v>
      </c>
      <c r="Q746">
        <v>8</v>
      </c>
    </row>
    <row r="747" spans="12:17" x14ac:dyDescent="0.35">
      <c r="L747">
        <v>745</v>
      </c>
      <c r="M747">
        <v>0</v>
      </c>
      <c r="Q747">
        <v>14</v>
      </c>
    </row>
    <row r="748" spans="12:17" x14ac:dyDescent="0.35">
      <c r="L748">
        <v>746</v>
      </c>
      <c r="M748">
        <v>0</v>
      </c>
      <c r="Q748">
        <v>12</v>
      </c>
    </row>
    <row r="749" spans="12:17" x14ac:dyDescent="0.35">
      <c r="L749">
        <v>747</v>
      </c>
      <c r="M749">
        <v>0</v>
      </c>
      <c r="Q749">
        <v>14</v>
      </c>
    </row>
    <row r="750" spans="12:17" x14ac:dyDescent="0.35">
      <c r="L750">
        <v>748</v>
      </c>
      <c r="M750">
        <v>0</v>
      </c>
      <c r="Q750">
        <v>13</v>
      </c>
    </row>
    <row r="751" spans="12:17" x14ac:dyDescent="0.35">
      <c r="L751">
        <v>749</v>
      </c>
      <c r="M751">
        <v>0</v>
      </c>
      <c r="Q751">
        <v>15</v>
      </c>
    </row>
    <row r="752" spans="12:17" x14ac:dyDescent="0.35">
      <c r="L752">
        <v>750</v>
      </c>
      <c r="M752">
        <v>0</v>
      </c>
      <c r="Q752">
        <v>13</v>
      </c>
    </row>
    <row r="753" spans="12:17" x14ac:dyDescent="0.35">
      <c r="L753">
        <v>751</v>
      </c>
      <c r="M753">
        <v>0</v>
      </c>
      <c r="Q753">
        <v>13</v>
      </c>
    </row>
    <row r="754" spans="12:17" x14ac:dyDescent="0.35">
      <c r="L754">
        <v>752</v>
      </c>
      <c r="M754">
        <v>0</v>
      </c>
      <c r="Q754">
        <v>10</v>
      </c>
    </row>
    <row r="755" spans="12:17" x14ac:dyDescent="0.35">
      <c r="L755">
        <v>753</v>
      </c>
      <c r="M755">
        <v>0</v>
      </c>
      <c r="Q755">
        <v>9</v>
      </c>
    </row>
    <row r="756" spans="12:17" x14ac:dyDescent="0.35">
      <c r="L756">
        <v>754</v>
      </c>
      <c r="M756">
        <v>0</v>
      </c>
      <c r="Q756">
        <v>13</v>
      </c>
    </row>
    <row r="757" spans="12:17" x14ac:dyDescent="0.35">
      <c r="L757">
        <v>755</v>
      </c>
      <c r="M757">
        <v>0</v>
      </c>
      <c r="Q757">
        <v>7</v>
      </c>
    </row>
    <row r="758" spans="12:17" x14ac:dyDescent="0.35">
      <c r="L758">
        <v>756</v>
      </c>
      <c r="M758">
        <v>0</v>
      </c>
      <c r="Q758">
        <v>7</v>
      </c>
    </row>
    <row r="759" spans="12:17" x14ac:dyDescent="0.35">
      <c r="L759">
        <v>757</v>
      </c>
      <c r="M759">
        <v>0</v>
      </c>
      <c r="Q759">
        <v>19</v>
      </c>
    </row>
    <row r="760" spans="12:17" x14ac:dyDescent="0.35">
      <c r="L760">
        <v>758</v>
      </c>
      <c r="M760">
        <v>0</v>
      </c>
      <c r="Q760">
        <v>19</v>
      </c>
    </row>
    <row r="761" spans="12:17" x14ac:dyDescent="0.35">
      <c r="L761">
        <v>759</v>
      </c>
      <c r="M761">
        <v>0</v>
      </c>
      <c r="Q761">
        <v>12</v>
      </c>
    </row>
    <row r="762" spans="12:17" x14ac:dyDescent="0.35">
      <c r="L762">
        <v>760</v>
      </c>
      <c r="M762">
        <v>0</v>
      </c>
      <c r="Q762">
        <v>14</v>
      </c>
    </row>
    <row r="763" spans="12:17" x14ac:dyDescent="0.35">
      <c r="L763">
        <v>761</v>
      </c>
      <c r="M763">
        <v>1</v>
      </c>
      <c r="Q763">
        <v>12</v>
      </c>
    </row>
    <row r="764" spans="12:17" x14ac:dyDescent="0.35">
      <c r="L764">
        <v>762</v>
      </c>
      <c r="M764">
        <v>0</v>
      </c>
      <c r="Q764">
        <v>15</v>
      </c>
    </row>
    <row r="765" spans="12:17" x14ac:dyDescent="0.35">
      <c r="L765">
        <v>763</v>
      </c>
      <c r="M765">
        <v>0</v>
      </c>
      <c r="Q765">
        <v>10</v>
      </c>
    </row>
    <row r="766" spans="12:17" x14ac:dyDescent="0.35">
      <c r="L766">
        <v>764</v>
      </c>
      <c r="M766">
        <v>0</v>
      </c>
      <c r="Q766">
        <v>11</v>
      </c>
    </row>
    <row r="767" spans="12:17" x14ac:dyDescent="0.35">
      <c r="L767">
        <v>765</v>
      </c>
      <c r="M767">
        <v>0</v>
      </c>
      <c r="Q767">
        <v>6</v>
      </c>
    </row>
    <row r="768" spans="12:17" x14ac:dyDescent="0.35">
      <c r="L768">
        <v>766</v>
      </c>
      <c r="M768">
        <v>0</v>
      </c>
      <c r="Q768">
        <v>17</v>
      </c>
    </row>
    <row r="769" spans="12:17" x14ac:dyDescent="0.35">
      <c r="L769">
        <v>767</v>
      </c>
      <c r="M769">
        <v>0</v>
      </c>
      <c r="Q769">
        <v>12</v>
      </c>
    </row>
    <row r="770" spans="12:17" x14ac:dyDescent="0.35">
      <c r="L770">
        <v>768</v>
      </c>
      <c r="M770">
        <v>0</v>
      </c>
      <c r="Q770">
        <v>14</v>
      </c>
    </row>
    <row r="771" spans="12:17" x14ac:dyDescent="0.35">
      <c r="L771">
        <v>769</v>
      </c>
      <c r="M771">
        <v>0</v>
      </c>
      <c r="Q771">
        <v>10</v>
      </c>
    </row>
    <row r="772" spans="12:17" x14ac:dyDescent="0.35">
      <c r="L772">
        <v>770</v>
      </c>
      <c r="M772">
        <v>0</v>
      </c>
      <c r="Q772">
        <v>9</v>
      </c>
    </row>
    <row r="773" spans="12:17" x14ac:dyDescent="0.35">
      <c r="L773">
        <v>771</v>
      </c>
      <c r="M773">
        <v>0</v>
      </c>
      <c r="Q773">
        <v>11</v>
      </c>
    </row>
    <row r="774" spans="12:17" x14ac:dyDescent="0.35">
      <c r="L774">
        <v>772</v>
      </c>
      <c r="M774">
        <v>0</v>
      </c>
      <c r="Q774">
        <v>11</v>
      </c>
    </row>
    <row r="775" spans="12:17" x14ac:dyDescent="0.35">
      <c r="L775">
        <v>773</v>
      </c>
      <c r="M775">
        <v>0</v>
      </c>
      <c r="Q775">
        <v>14</v>
      </c>
    </row>
    <row r="776" spans="12:17" x14ac:dyDescent="0.35">
      <c r="L776">
        <v>774</v>
      </c>
      <c r="M776">
        <v>0</v>
      </c>
      <c r="Q776">
        <v>14</v>
      </c>
    </row>
    <row r="777" spans="12:17" x14ac:dyDescent="0.35">
      <c r="L777">
        <v>775</v>
      </c>
      <c r="M777">
        <v>0</v>
      </c>
      <c r="Q777">
        <v>10</v>
      </c>
    </row>
    <row r="778" spans="12:17" x14ac:dyDescent="0.35">
      <c r="L778">
        <v>776</v>
      </c>
      <c r="M778">
        <v>0</v>
      </c>
      <c r="Q778">
        <v>14</v>
      </c>
    </row>
    <row r="779" spans="12:17" x14ac:dyDescent="0.35">
      <c r="L779">
        <v>777</v>
      </c>
      <c r="M779">
        <v>0</v>
      </c>
      <c r="Q779">
        <v>8</v>
      </c>
    </row>
    <row r="780" spans="12:17" x14ac:dyDescent="0.35">
      <c r="L780">
        <v>778</v>
      </c>
      <c r="M780">
        <v>0</v>
      </c>
      <c r="Q780">
        <v>4</v>
      </c>
    </row>
    <row r="781" spans="12:17" x14ac:dyDescent="0.35">
      <c r="L781">
        <v>779</v>
      </c>
      <c r="M781">
        <v>0</v>
      </c>
      <c r="Q781">
        <v>15</v>
      </c>
    </row>
    <row r="782" spans="12:17" x14ac:dyDescent="0.35">
      <c r="L782">
        <v>780</v>
      </c>
      <c r="M782">
        <v>0</v>
      </c>
      <c r="Q782">
        <v>11</v>
      </c>
    </row>
    <row r="783" spans="12:17" x14ac:dyDescent="0.35">
      <c r="L783">
        <v>781</v>
      </c>
      <c r="M783">
        <v>0</v>
      </c>
      <c r="Q783">
        <v>10</v>
      </c>
    </row>
    <row r="784" spans="12:17" x14ac:dyDescent="0.35">
      <c r="L784">
        <v>782</v>
      </c>
      <c r="M784">
        <v>0</v>
      </c>
      <c r="Q784">
        <v>9</v>
      </c>
    </row>
    <row r="785" spans="12:17" x14ac:dyDescent="0.35">
      <c r="L785">
        <v>783</v>
      </c>
      <c r="M785">
        <v>0</v>
      </c>
      <c r="Q785">
        <v>16</v>
      </c>
    </row>
    <row r="786" spans="12:17" x14ac:dyDescent="0.35">
      <c r="L786">
        <v>784</v>
      </c>
      <c r="M786">
        <v>0</v>
      </c>
      <c r="Q786">
        <v>13</v>
      </c>
    </row>
    <row r="787" spans="12:17" x14ac:dyDescent="0.35">
      <c r="L787">
        <v>785</v>
      </c>
      <c r="M787">
        <v>0</v>
      </c>
      <c r="Q787">
        <v>11</v>
      </c>
    </row>
    <row r="788" spans="12:17" x14ac:dyDescent="0.35">
      <c r="L788">
        <v>786</v>
      </c>
      <c r="M788">
        <v>0</v>
      </c>
      <c r="Q788">
        <v>10</v>
      </c>
    </row>
    <row r="789" spans="12:17" x14ac:dyDescent="0.35">
      <c r="L789">
        <v>787</v>
      </c>
      <c r="M789">
        <v>0</v>
      </c>
      <c r="Q789">
        <v>13</v>
      </c>
    </row>
    <row r="790" spans="12:17" x14ac:dyDescent="0.35">
      <c r="L790">
        <v>788</v>
      </c>
      <c r="M790">
        <v>1</v>
      </c>
      <c r="Q790">
        <v>9</v>
      </c>
    </row>
    <row r="791" spans="12:17" x14ac:dyDescent="0.35">
      <c r="L791">
        <v>789</v>
      </c>
      <c r="M791">
        <v>0</v>
      </c>
      <c r="Q791">
        <v>11</v>
      </c>
    </row>
    <row r="792" spans="12:17" x14ac:dyDescent="0.35">
      <c r="L792">
        <v>790</v>
      </c>
      <c r="M792">
        <v>0</v>
      </c>
      <c r="Q792">
        <v>12</v>
      </c>
    </row>
    <row r="793" spans="12:17" x14ac:dyDescent="0.35">
      <c r="L793">
        <v>791</v>
      </c>
      <c r="M793">
        <v>0</v>
      </c>
      <c r="Q793">
        <v>8</v>
      </c>
    </row>
    <row r="794" spans="12:17" x14ac:dyDescent="0.35">
      <c r="L794">
        <v>792</v>
      </c>
      <c r="M794">
        <v>0</v>
      </c>
      <c r="Q794">
        <v>15</v>
      </c>
    </row>
    <row r="795" spans="12:17" x14ac:dyDescent="0.35">
      <c r="L795">
        <v>793</v>
      </c>
      <c r="M795">
        <v>0</v>
      </c>
      <c r="Q795">
        <v>11</v>
      </c>
    </row>
    <row r="796" spans="12:17" x14ac:dyDescent="0.35">
      <c r="L796">
        <v>794</v>
      </c>
      <c r="M796">
        <v>0</v>
      </c>
      <c r="Q796">
        <v>16</v>
      </c>
    </row>
    <row r="797" spans="12:17" x14ac:dyDescent="0.35">
      <c r="L797">
        <v>795</v>
      </c>
      <c r="M797">
        <v>0</v>
      </c>
      <c r="Q797">
        <v>15</v>
      </c>
    </row>
    <row r="798" spans="12:17" x14ac:dyDescent="0.35">
      <c r="L798">
        <v>796</v>
      </c>
      <c r="M798">
        <v>0</v>
      </c>
      <c r="Q798">
        <v>6</v>
      </c>
    </row>
    <row r="799" spans="12:17" x14ac:dyDescent="0.35">
      <c r="L799">
        <v>797</v>
      </c>
      <c r="M799">
        <v>0</v>
      </c>
      <c r="Q799">
        <v>10</v>
      </c>
    </row>
    <row r="800" spans="12:17" x14ac:dyDescent="0.35">
      <c r="L800">
        <v>798</v>
      </c>
      <c r="M800">
        <v>0</v>
      </c>
      <c r="Q800">
        <v>8</v>
      </c>
    </row>
    <row r="801" spans="12:17" x14ac:dyDescent="0.35">
      <c r="L801">
        <v>799</v>
      </c>
      <c r="M801">
        <v>0</v>
      </c>
      <c r="Q801">
        <v>7</v>
      </c>
    </row>
    <row r="802" spans="12:17" x14ac:dyDescent="0.35">
      <c r="L802">
        <v>800</v>
      </c>
      <c r="M802">
        <v>0</v>
      </c>
      <c r="Q802">
        <v>11</v>
      </c>
    </row>
    <row r="803" spans="12:17" x14ac:dyDescent="0.35">
      <c r="L803">
        <v>801</v>
      </c>
      <c r="M803">
        <v>0</v>
      </c>
      <c r="Q803">
        <v>13</v>
      </c>
    </row>
    <row r="804" spans="12:17" x14ac:dyDescent="0.35">
      <c r="L804">
        <v>802</v>
      </c>
      <c r="M804">
        <v>0</v>
      </c>
      <c r="Q804">
        <v>11</v>
      </c>
    </row>
    <row r="805" spans="12:17" x14ac:dyDescent="0.35">
      <c r="L805">
        <v>803</v>
      </c>
      <c r="M805">
        <v>0</v>
      </c>
      <c r="Q805">
        <v>8</v>
      </c>
    </row>
    <row r="806" spans="12:17" x14ac:dyDescent="0.35">
      <c r="L806">
        <v>804</v>
      </c>
      <c r="M806">
        <v>0</v>
      </c>
      <c r="Q806">
        <v>13</v>
      </c>
    </row>
    <row r="807" spans="12:17" x14ac:dyDescent="0.35">
      <c r="L807">
        <v>805</v>
      </c>
      <c r="M807">
        <v>0</v>
      </c>
      <c r="Q807">
        <v>14</v>
      </c>
    </row>
    <row r="808" spans="12:17" x14ac:dyDescent="0.35">
      <c r="L808">
        <v>806</v>
      </c>
      <c r="M808">
        <v>0</v>
      </c>
      <c r="Q808">
        <v>9</v>
      </c>
    </row>
    <row r="809" spans="12:17" x14ac:dyDescent="0.35">
      <c r="L809">
        <v>807</v>
      </c>
      <c r="M809">
        <v>0</v>
      </c>
      <c r="Q809">
        <v>12</v>
      </c>
    </row>
    <row r="810" spans="12:17" x14ac:dyDescent="0.35">
      <c r="L810">
        <v>808</v>
      </c>
      <c r="M810">
        <v>0</v>
      </c>
      <c r="Q810">
        <v>7</v>
      </c>
    </row>
    <row r="811" spans="12:17" x14ac:dyDescent="0.35">
      <c r="L811">
        <v>809</v>
      </c>
      <c r="M811">
        <v>0</v>
      </c>
      <c r="Q811">
        <v>15</v>
      </c>
    </row>
    <row r="812" spans="12:17" x14ac:dyDescent="0.35">
      <c r="L812">
        <v>810</v>
      </c>
      <c r="M812">
        <v>0</v>
      </c>
      <c r="Q812">
        <v>16</v>
      </c>
    </row>
    <row r="813" spans="12:17" x14ac:dyDescent="0.35">
      <c r="L813">
        <v>811</v>
      </c>
      <c r="M813">
        <v>0</v>
      </c>
      <c r="Q813">
        <v>6</v>
      </c>
    </row>
    <row r="814" spans="12:17" x14ac:dyDescent="0.35">
      <c r="L814">
        <v>812</v>
      </c>
      <c r="M814">
        <v>0</v>
      </c>
      <c r="Q814">
        <v>15</v>
      </c>
    </row>
    <row r="815" spans="12:17" x14ac:dyDescent="0.35">
      <c r="L815">
        <v>813</v>
      </c>
      <c r="M815">
        <v>1</v>
      </c>
      <c r="Q815">
        <v>13</v>
      </c>
    </row>
    <row r="816" spans="12:17" x14ac:dyDescent="0.35">
      <c r="L816">
        <v>814</v>
      </c>
      <c r="M816">
        <v>0</v>
      </c>
      <c r="Q816">
        <v>11</v>
      </c>
    </row>
    <row r="817" spans="12:17" x14ac:dyDescent="0.35">
      <c r="L817">
        <v>815</v>
      </c>
      <c r="M817">
        <v>0</v>
      </c>
      <c r="Q817">
        <v>15</v>
      </c>
    </row>
    <row r="818" spans="12:17" x14ac:dyDescent="0.35">
      <c r="L818">
        <v>816</v>
      </c>
      <c r="M818">
        <v>0</v>
      </c>
      <c r="Q818">
        <v>16</v>
      </c>
    </row>
    <row r="819" spans="12:17" x14ac:dyDescent="0.35">
      <c r="L819">
        <v>817</v>
      </c>
      <c r="M819">
        <v>0</v>
      </c>
      <c r="Q819">
        <v>12</v>
      </c>
    </row>
    <row r="820" spans="12:17" x14ac:dyDescent="0.35">
      <c r="L820">
        <v>818</v>
      </c>
      <c r="M820">
        <v>0</v>
      </c>
      <c r="Q820">
        <v>9</v>
      </c>
    </row>
    <row r="821" spans="12:17" x14ac:dyDescent="0.35">
      <c r="L821">
        <v>819</v>
      </c>
      <c r="M821">
        <v>0</v>
      </c>
      <c r="Q821">
        <v>4</v>
      </c>
    </row>
    <row r="822" spans="12:17" x14ac:dyDescent="0.35">
      <c r="L822">
        <v>820</v>
      </c>
      <c r="M822">
        <v>0</v>
      </c>
      <c r="Q822">
        <v>7</v>
      </c>
    </row>
    <row r="823" spans="12:17" x14ac:dyDescent="0.35">
      <c r="L823">
        <v>821</v>
      </c>
      <c r="M823">
        <v>0</v>
      </c>
      <c r="Q823">
        <v>9</v>
      </c>
    </row>
    <row r="824" spans="12:17" x14ac:dyDescent="0.35">
      <c r="L824">
        <v>822</v>
      </c>
      <c r="M824">
        <v>0</v>
      </c>
      <c r="Q824">
        <v>9</v>
      </c>
    </row>
    <row r="825" spans="12:17" x14ac:dyDescent="0.35">
      <c r="L825">
        <v>823</v>
      </c>
      <c r="M825">
        <v>0</v>
      </c>
      <c r="Q825">
        <v>5</v>
      </c>
    </row>
    <row r="826" spans="12:17" x14ac:dyDescent="0.35">
      <c r="L826">
        <v>824</v>
      </c>
      <c r="M826">
        <v>0</v>
      </c>
      <c r="Q826">
        <v>12</v>
      </c>
    </row>
    <row r="827" spans="12:17" x14ac:dyDescent="0.35">
      <c r="L827">
        <v>825</v>
      </c>
      <c r="M827">
        <v>0</v>
      </c>
      <c r="Q827">
        <v>17</v>
      </c>
    </row>
    <row r="828" spans="12:17" x14ac:dyDescent="0.35">
      <c r="L828">
        <v>826</v>
      </c>
      <c r="M828">
        <v>0</v>
      </c>
      <c r="Q828">
        <v>17</v>
      </c>
    </row>
    <row r="829" spans="12:17" x14ac:dyDescent="0.35">
      <c r="L829">
        <v>827</v>
      </c>
      <c r="M829">
        <v>0</v>
      </c>
      <c r="Q829">
        <v>10</v>
      </c>
    </row>
    <row r="830" spans="12:17" x14ac:dyDescent="0.35">
      <c r="L830">
        <v>828</v>
      </c>
      <c r="M830">
        <v>0</v>
      </c>
      <c r="Q830">
        <v>13</v>
      </c>
    </row>
    <row r="831" spans="12:17" x14ac:dyDescent="0.35">
      <c r="L831">
        <v>829</v>
      </c>
      <c r="M831">
        <v>0</v>
      </c>
      <c r="Q831">
        <v>13</v>
      </c>
    </row>
    <row r="832" spans="12:17" x14ac:dyDescent="0.35">
      <c r="L832">
        <v>830</v>
      </c>
      <c r="M832">
        <v>0</v>
      </c>
      <c r="Q832">
        <v>13</v>
      </c>
    </row>
    <row r="833" spans="12:17" x14ac:dyDescent="0.35">
      <c r="L833">
        <v>831</v>
      </c>
      <c r="M833">
        <v>0</v>
      </c>
      <c r="Q833">
        <v>12</v>
      </c>
    </row>
    <row r="834" spans="12:17" x14ac:dyDescent="0.35">
      <c r="L834">
        <v>832</v>
      </c>
      <c r="M834">
        <v>0</v>
      </c>
      <c r="Q834">
        <v>16</v>
      </c>
    </row>
    <row r="835" spans="12:17" x14ac:dyDescent="0.35">
      <c r="L835">
        <v>833</v>
      </c>
      <c r="M835">
        <v>0</v>
      </c>
      <c r="Q835">
        <v>13</v>
      </c>
    </row>
    <row r="836" spans="12:17" x14ac:dyDescent="0.35">
      <c r="L836">
        <v>834</v>
      </c>
      <c r="M836">
        <v>0</v>
      </c>
      <c r="Q836">
        <v>18</v>
      </c>
    </row>
    <row r="837" spans="12:17" x14ac:dyDescent="0.35">
      <c r="L837">
        <v>835</v>
      </c>
      <c r="M837">
        <v>0</v>
      </c>
      <c r="Q837">
        <v>18</v>
      </c>
    </row>
    <row r="838" spans="12:17" x14ac:dyDescent="0.35">
      <c r="L838">
        <v>836</v>
      </c>
      <c r="M838">
        <v>0</v>
      </c>
      <c r="Q838">
        <v>16</v>
      </c>
    </row>
    <row r="839" spans="12:17" x14ac:dyDescent="0.35">
      <c r="L839">
        <v>837</v>
      </c>
      <c r="M839">
        <v>0</v>
      </c>
      <c r="Q839">
        <v>8</v>
      </c>
    </row>
    <row r="840" spans="12:17" x14ac:dyDescent="0.35">
      <c r="L840">
        <v>838</v>
      </c>
      <c r="M840">
        <v>0</v>
      </c>
      <c r="Q840">
        <v>17</v>
      </c>
    </row>
    <row r="841" spans="12:17" x14ac:dyDescent="0.35">
      <c r="L841">
        <v>839</v>
      </c>
      <c r="M841">
        <v>0</v>
      </c>
      <c r="Q841">
        <v>9</v>
      </c>
    </row>
    <row r="842" spans="12:17" x14ac:dyDescent="0.35">
      <c r="L842">
        <v>840</v>
      </c>
      <c r="M842">
        <v>0</v>
      </c>
      <c r="Q842">
        <v>10</v>
      </c>
    </row>
    <row r="843" spans="12:17" x14ac:dyDescent="0.35">
      <c r="L843">
        <v>841</v>
      </c>
      <c r="M843">
        <v>0</v>
      </c>
      <c r="Q843">
        <v>14</v>
      </c>
    </row>
    <row r="844" spans="12:17" x14ac:dyDescent="0.35">
      <c r="L844">
        <v>842</v>
      </c>
      <c r="M844">
        <v>0</v>
      </c>
      <c r="Q844">
        <v>17</v>
      </c>
    </row>
    <row r="845" spans="12:17" x14ac:dyDescent="0.35">
      <c r="L845">
        <v>843</v>
      </c>
      <c r="M845">
        <v>0</v>
      </c>
      <c r="Q845">
        <v>9</v>
      </c>
    </row>
    <row r="846" spans="12:17" x14ac:dyDescent="0.35">
      <c r="L846">
        <v>844</v>
      </c>
      <c r="M846">
        <v>0</v>
      </c>
      <c r="Q846">
        <v>9</v>
      </c>
    </row>
    <row r="847" spans="12:17" x14ac:dyDescent="0.35">
      <c r="L847">
        <v>845</v>
      </c>
      <c r="M847">
        <v>0</v>
      </c>
      <c r="Q847">
        <v>13</v>
      </c>
    </row>
    <row r="848" spans="12:17" x14ac:dyDescent="0.35">
      <c r="L848">
        <v>846</v>
      </c>
      <c r="M848">
        <v>0</v>
      </c>
      <c r="Q848">
        <v>13</v>
      </c>
    </row>
    <row r="849" spans="12:17" x14ac:dyDescent="0.35">
      <c r="L849">
        <v>847</v>
      </c>
      <c r="M849">
        <v>1</v>
      </c>
      <c r="Q849">
        <v>16</v>
      </c>
    </row>
    <row r="850" spans="12:17" x14ac:dyDescent="0.35">
      <c r="L850">
        <v>848</v>
      </c>
      <c r="M850">
        <v>0</v>
      </c>
      <c r="Q850">
        <v>19</v>
      </c>
    </row>
    <row r="851" spans="12:17" x14ac:dyDescent="0.35">
      <c r="L851">
        <v>849</v>
      </c>
      <c r="M851">
        <v>0</v>
      </c>
      <c r="Q851">
        <v>16</v>
      </c>
    </row>
    <row r="852" spans="12:17" x14ac:dyDescent="0.35">
      <c r="L852">
        <v>850</v>
      </c>
      <c r="M852">
        <v>0</v>
      </c>
      <c r="Q852">
        <v>12</v>
      </c>
    </row>
    <row r="853" spans="12:17" x14ac:dyDescent="0.35">
      <c r="L853">
        <v>851</v>
      </c>
      <c r="M853">
        <v>0</v>
      </c>
      <c r="Q853">
        <v>14</v>
      </c>
    </row>
    <row r="854" spans="12:17" x14ac:dyDescent="0.35">
      <c r="L854">
        <v>852</v>
      </c>
      <c r="M854">
        <v>0</v>
      </c>
      <c r="Q854">
        <v>11</v>
      </c>
    </row>
    <row r="855" spans="12:17" x14ac:dyDescent="0.35">
      <c r="L855">
        <v>853</v>
      </c>
      <c r="M855">
        <v>0</v>
      </c>
      <c r="Q855">
        <v>10</v>
      </c>
    </row>
    <row r="856" spans="12:17" x14ac:dyDescent="0.35">
      <c r="L856">
        <v>854</v>
      </c>
      <c r="M856">
        <v>0</v>
      </c>
      <c r="Q856">
        <v>18</v>
      </c>
    </row>
    <row r="857" spans="12:17" x14ac:dyDescent="0.35">
      <c r="L857">
        <v>855</v>
      </c>
      <c r="M857">
        <v>0</v>
      </c>
      <c r="Q857">
        <v>14</v>
      </c>
    </row>
    <row r="858" spans="12:17" x14ac:dyDescent="0.35">
      <c r="L858">
        <v>856</v>
      </c>
      <c r="M858">
        <v>0</v>
      </c>
      <c r="Q858">
        <v>10</v>
      </c>
    </row>
    <row r="859" spans="12:17" x14ac:dyDescent="0.35">
      <c r="L859">
        <v>857</v>
      </c>
      <c r="M859">
        <v>0</v>
      </c>
      <c r="Q859">
        <v>10</v>
      </c>
    </row>
    <row r="860" spans="12:17" x14ac:dyDescent="0.35">
      <c r="L860">
        <v>858</v>
      </c>
      <c r="M860">
        <v>0</v>
      </c>
      <c r="Q860">
        <v>10</v>
      </c>
    </row>
    <row r="861" spans="12:17" x14ac:dyDescent="0.35">
      <c r="L861">
        <v>859</v>
      </c>
      <c r="M861">
        <v>0</v>
      </c>
      <c r="Q861">
        <v>16</v>
      </c>
    </row>
    <row r="862" spans="12:17" x14ac:dyDescent="0.35">
      <c r="L862">
        <v>860</v>
      </c>
      <c r="M862">
        <v>0</v>
      </c>
      <c r="Q862">
        <v>11</v>
      </c>
    </row>
    <row r="863" spans="12:17" x14ac:dyDescent="0.35">
      <c r="L863">
        <v>861</v>
      </c>
      <c r="M863">
        <v>0</v>
      </c>
      <c r="Q863">
        <v>12</v>
      </c>
    </row>
    <row r="864" spans="12:17" x14ac:dyDescent="0.35">
      <c r="L864">
        <v>862</v>
      </c>
      <c r="M864">
        <v>0</v>
      </c>
      <c r="Q864">
        <v>16</v>
      </c>
    </row>
    <row r="865" spans="12:17" x14ac:dyDescent="0.35">
      <c r="L865">
        <v>863</v>
      </c>
      <c r="M865">
        <v>0</v>
      </c>
      <c r="Q865">
        <v>14</v>
      </c>
    </row>
    <row r="866" spans="12:17" x14ac:dyDescent="0.35">
      <c r="L866">
        <v>864</v>
      </c>
      <c r="M866">
        <v>0</v>
      </c>
      <c r="Q866">
        <v>14</v>
      </c>
    </row>
    <row r="867" spans="12:17" x14ac:dyDescent="0.35">
      <c r="L867">
        <v>865</v>
      </c>
      <c r="M867">
        <v>0</v>
      </c>
      <c r="Q867">
        <v>14</v>
      </c>
    </row>
    <row r="868" spans="12:17" x14ac:dyDescent="0.35">
      <c r="L868">
        <v>866</v>
      </c>
      <c r="M868">
        <v>0</v>
      </c>
      <c r="Q868">
        <v>12</v>
      </c>
    </row>
    <row r="869" spans="12:17" x14ac:dyDescent="0.35">
      <c r="L869">
        <v>867</v>
      </c>
      <c r="M869">
        <v>0</v>
      </c>
      <c r="Q869">
        <v>21</v>
      </c>
    </row>
    <row r="870" spans="12:17" x14ac:dyDescent="0.35">
      <c r="L870">
        <v>868</v>
      </c>
      <c r="M870">
        <v>0</v>
      </c>
      <c r="Q870">
        <v>12</v>
      </c>
    </row>
    <row r="871" spans="12:17" x14ac:dyDescent="0.35">
      <c r="L871">
        <v>869</v>
      </c>
      <c r="M871">
        <v>0</v>
      </c>
      <c r="Q871">
        <v>11</v>
      </c>
    </row>
    <row r="872" spans="12:17" x14ac:dyDescent="0.35">
      <c r="L872">
        <v>870</v>
      </c>
      <c r="M872">
        <v>0</v>
      </c>
      <c r="Q872">
        <v>10</v>
      </c>
    </row>
    <row r="873" spans="12:17" x14ac:dyDescent="0.35">
      <c r="L873">
        <v>871</v>
      </c>
      <c r="M873">
        <v>0</v>
      </c>
      <c r="Q873">
        <v>11</v>
      </c>
    </row>
    <row r="874" spans="12:17" x14ac:dyDescent="0.35">
      <c r="L874">
        <v>872</v>
      </c>
      <c r="M874">
        <v>0</v>
      </c>
      <c r="Q874">
        <v>14</v>
      </c>
    </row>
    <row r="875" spans="12:17" x14ac:dyDescent="0.35">
      <c r="L875">
        <v>873</v>
      </c>
      <c r="M875">
        <v>0</v>
      </c>
      <c r="Q875">
        <v>12</v>
      </c>
    </row>
    <row r="876" spans="12:17" x14ac:dyDescent="0.35">
      <c r="L876">
        <v>874</v>
      </c>
      <c r="M876">
        <v>0</v>
      </c>
      <c r="Q876">
        <v>16</v>
      </c>
    </row>
    <row r="877" spans="12:17" x14ac:dyDescent="0.35">
      <c r="L877">
        <v>875</v>
      </c>
      <c r="M877">
        <v>0</v>
      </c>
      <c r="Q877">
        <v>13</v>
      </c>
    </row>
    <row r="878" spans="12:17" x14ac:dyDescent="0.35">
      <c r="L878">
        <v>876</v>
      </c>
      <c r="M878">
        <v>0</v>
      </c>
      <c r="Q878">
        <v>13</v>
      </c>
    </row>
    <row r="879" spans="12:17" x14ac:dyDescent="0.35">
      <c r="L879">
        <v>877</v>
      </c>
      <c r="M879">
        <v>0</v>
      </c>
      <c r="Q879">
        <v>19</v>
      </c>
    </row>
    <row r="880" spans="12:17" x14ac:dyDescent="0.35">
      <c r="L880">
        <v>878</v>
      </c>
      <c r="M880">
        <v>0</v>
      </c>
      <c r="Q880">
        <v>17</v>
      </c>
    </row>
    <row r="881" spans="12:17" x14ac:dyDescent="0.35">
      <c r="L881">
        <v>879</v>
      </c>
      <c r="M881">
        <v>0</v>
      </c>
      <c r="Q881">
        <v>10</v>
      </c>
    </row>
    <row r="882" spans="12:17" x14ac:dyDescent="0.35">
      <c r="L882">
        <v>880</v>
      </c>
      <c r="M882">
        <v>0</v>
      </c>
      <c r="Q882">
        <v>13</v>
      </c>
    </row>
    <row r="883" spans="12:17" x14ac:dyDescent="0.35">
      <c r="L883">
        <v>881</v>
      </c>
      <c r="M883">
        <v>0</v>
      </c>
      <c r="Q883">
        <v>19</v>
      </c>
    </row>
    <row r="884" spans="12:17" x14ac:dyDescent="0.35">
      <c r="L884">
        <v>882</v>
      </c>
      <c r="M884">
        <v>0</v>
      </c>
      <c r="Q884">
        <v>16</v>
      </c>
    </row>
    <row r="885" spans="12:17" x14ac:dyDescent="0.35">
      <c r="L885">
        <v>883</v>
      </c>
      <c r="M885">
        <v>0</v>
      </c>
      <c r="Q885">
        <v>17</v>
      </c>
    </row>
    <row r="886" spans="12:17" x14ac:dyDescent="0.35">
      <c r="L886">
        <v>884</v>
      </c>
      <c r="M886">
        <v>0</v>
      </c>
      <c r="Q886">
        <v>9</v>
      </c>
    </row>
    <row r="887" spans="12:17" x14ac:dyDescent="0.35">
      <c r="L887">
        <v>885</v>
      </c>
      <c r="M887">
        <v>0</v>
      </c>
      <c r="Q887">
        <v>14</v>
      </c>
    </row>
    <row r="888" spans="12:17" x14ac:dyDescent="0.35">
      <c r="L888">
        <v>886</v>
      </c>
      <c r="M888">
        <v>0</v>
      </c>
      <c r="Q888">
        <v>16</v>
      </c>
    </row>
    <row r="889" spans="12:17" x14ac:dyDescent="0.35">
      <c r="L889">
        <v>887</v>
      </c>
      <c r="M889">
        <v>0</v>
      </c>
      <c r="Q889">
        <v>19</v>
      </c>
    </row>
    <row r="890" spans="12:17" x14ac:dyDescent="0.35">
      <c r="L890">
        <v>888</v>
      </c>
      <c r="M890">
        <v>0</v>
      </c>
      <c r="Q890">
        <v>14</v>
      </c>
    </row>
    <row r="891" spans="12:17" x14ac:dyDescent="0.35">
      <c r="L891">
        <v>889</v>
      </c>
      <c r="M891">
        <v>0</v>
      </c>
      <c r="Q891">
        <v>16</v>
      </c>
    </row>
    <row r="892" spans="12:17" x14ac:dyDescent="0.35">
      <c r="L892">
        <v>890</v>
      </c>
      <c r="M892">
        <v>0</v>
      </c>
      <c r="Q892">
        <v>9</v>
      </c>
    </row>
    <row r="893" spans="12:17" x14ac:dyDescent="0.35">
      <c r="L893">
        <v>891</v>
      </c>
      <c r="M893">
        <v>0</v>
      </c>
      <c r="Q893">
        <v>12</v>
      </c>
    </row>
    <row r="894" spans="12:17" x14ac:dyDescent="0.35">
      <c r="L894">
        <v>892</v>
      </c>
      <c r="M894">
        <v>0</v>
      </c>
      <c r="Q894">
        <v>13</v>
      </c>
    </row>
    <row r="895" spans="12:17" x14ac:dyDescent="0.35">
      <c r="L895">
        <v>893</v>
      </c>
      <c r="M895">
        <v>0</v>
      </c>
      <c r="Q895">
        <v>21</v>
      </c>
    </row>
    <row r="896" spans="12:17" x14ac:dyDescent="0.35">
      <c r="L896">
        <v>894</v>
      </c>
      <c r="M896">
        <v>0</v>
      </c>
      <c r="Q896">
        <v>11</v>
      </c>
    </row>
    <row r="897" spans="12:17" x14ac:dyDescent="0.35">
      <c r="L897">
        <v>895</v>
      </c>
      <c r="M897">
        <v>0</v>
      </c>
      <c r="Q897">
        <v>13</v>
      </c>
    </row>
    <row r="898" spans="12:17" x14ac:dyDescent="0.35">
      <c r="L898">
        <v>896</v>
      </c>
      <c r="M898">
        <v>0</v>
      </c>
      <c r="Q898">
        <v>15</v>
      </c>
    </row>
    <row r="899" spans="12:17" x14ac:dyDescent="0.35">
      <c r="L899">
        <v>897</v>
      </c>
      <c r="M899">
        <v>0</v>
      </c>
      <c r="Q899">
        <v>12</v>
      </c>
    </row>
    <row r="900" spans="12:17" x14ac:dyDescent="0.35">
      <c r="L900">
        <v>898</v>
      </c>
      <c r="M900">
        <v>0</v>
      </c>
      <c r="Q900">
        <v>11</v>
      </c>
    </row>
    <row r="901" spans="12:17" x14ac:dyDescent="0.35">
      <c r="L901">
        <v>899</v>
      </c>
      <c r="M901">
        <v>0</v>
      </c>
      <c r="Q901">
        <v>16</v>
      </c>
    </row>
    <row r="902" spans="12:17" x14ac:dyDescent="0.35">
      <c r="L902">
        <v>900</v>
      </c>
      <c r="M902">
        <v>0</v>
      </c>
      <c r="Q902">
        <v>13</v>
      </c>
    </row>
    <row r="903" spans="12:17" x14ac:dyDescent="0.35">
      <c r="L903">
        <v>901</v>
      </c>
      <c r="M903">
        <v>0</v>
      </c>
      <c r="Q903">
        <v>15</v>
      </c>
    </row>
    <row r="904" spans="12:17" x14ac:dyDescent="0.35">
      <c r="L904">
        <v>902</v>
      </c>
      <c r="M904">
        <v>0</v>
      </c>
      <c r="Q904">
        <v>13</v>
      </c>
    </row>
    <row r="905" spans="12:17" x14ac:dyDescent="0.35">
      <c r="L905">
        <v>903</v>
      </c>
      <c r="M905">
        <v>1</v>
      </c>
      <c r="Q905">
        <v>17</v>
      </c>
    </row>
    <row r="906" spans="12:17" x14ac:dyDescent="0.35">
      <c r="L906">
        <v>904</v>
      </c>
      <c r="M906">
        <v>0</v>
      </c>
      <c r="Q906">
        <v>16</v>
      </c>
    </row>
    <row r="907" spans="12:17" x14ac:dyDescent="0.35">
      <c r="L907">
        <v>905</v>
      </c>
      <c r="M907">
        <v>0</v>
      </c>
      <c r="Q907">
        <v>20</v>
      </c>
    </row>
    <row r="908" spans="12:17" x14ac:dyDescent="0.35">
      <c r="L908">
        <v>906</v>
      </c>
      <c r="M908">
        <v>0</v>
      </c>
      <c r="Q908">
        <v>18</v>
      </c>
    </row>
    <row r="909" spans="12:17" x14ac:dyDescent="0.35">
      <c r="L909">
        <v>907</v>
      </c>
      <c r="M909">
        <v>0</v>
      </c>
      <c r="Q909">
        <v>8</v>
      </c>
    </row>
    <row r="910" spans="12:17" x14ac:dyDescent="0.35">
      <c r="L910">
        <v>908</v>
      </c>
      <c r="M910">
        <v>0</v>
      </c>
      <c r="Q910">
        <v>11</v>
      </c>
    </row>
    <row r="911" spans="12:17" x14ac:dyDescent="0.35">
      <c r="L911">
        <v>909</v>
      </c>
      <c r="M911">
        <v>0</v>
      </c>
      <c r="Q911">
        <v>15</v>
      </c>
    </row>
    <row r="912" spans="12:17" x14ac:dyDescent="0.35">
      <c r="L912">
        <v>910</v>
      </c>
      <c r="M912">
        <v>0</v>
      </c>
      <c r="Q912">
        <v>16</v>
      </c>
    </row>
    <row r="913" spans="12:17" x14ac:dyDescent="0.35">
      <c r="L913">
        <v>911</v>
      </c>
      <c r="M913">
        <v>0</v>
      </c>
      <c r="Q913">
        <v>21</v>
      </c>
    </row>
    <row r="914" spans="12:17" x14ac:dyDescent="0.35">
      <c r="L914">
        <v>912</v>
      </c>
      <c r="M914">
        <v>0</v>
      </c>
      <c r="Q914">
        <v>16</v>
      </c>
    </row>
    <row r="915" spans="12:17" x14ac:dyDescent="0.35">
      <c r="L915">
        <v>913</v>
      </c>
      <c r="M915">
        <v>0</v>
      </c>
      <c r="Q915">
        <v>17</v>
      </c>
    </row>
    <row r="916" spans="12:17" x14ac:dyDescent="0.35">
      <c r="L916">
        <v>914</v>
      </c>
      <c r="M916">
        <v>1</v>
      </c>
      <c r="Q916">
        <v>16</v>
      </c>
    </row>
    <row r="917" spans="12:17" x14ac:dyDescent="0.35">
      <c r="L917">
        <v>915</v>
      </c>
      <c r="M917">
        <v>0</v>
      </c>
      <c r="Q917">
        <v>14</v>
      </c>
    </row>
    <row r="918" spans="12:17" x14ac:dyDescent="0.35">
      <c r="L918">
        <v>916</v>
      </c>
      <c r="M918">
        <v>0</v>
      </c>
      <c r="Q918">
        <v>11</v>
      </c>
    </row>
    <row r="919" spans="12:17" x14ac:dyDescent="0.35">
      <c r="L919">
        <v>917</v>
      </c>
      <c r="M919">
        <v>0</v>
      </c>
      <c r="Q919">
        <v>11</v>
      </c>
    </row>
    <row r="920" spans="12:17" x14ac:dyDescent="0.35">
      <c r="L920">
        <v>918</v>
      </c>
      <c r="M920">
        <v>0</v>
      </c>
      <c r="Q920">
        <v>10</v>
      </c>
    </row>
    <row r="921" spans="12:17" x14ac:dyDescent="0.35">
      <c r="L921">
        <v>919</v>
      </c>
      <c r="M921">
        <v>0</v>
      </c>
      <c r="Q921">
        <v>13</v>
      </c>
    </row>
    <row r="922" spans="12:17" x14ac:dyDescent="0.35">
      <c r="L922">
        <v>920</v>
      </c>
      <c r="M922">
        <v>0</v>
      </c>
      <c r="Q922">
        <v>24</v>
      </c>
    </row>
    <row r="923" spans="12:17" x14ac:dyDescent="0.35">
      <c r="L923">
        <v>921</v>
      </c>
      <c r="M923">
        <v>0</v>
      </c>
      <c r="Q923">
        <v>15</v>
      </c>
    </row>
    <row r="924" spans="12:17" x14ac:dyDescent="0.35">
      <c r="L924">
        <v>922</v>
      </c>
      <c r="M924">
        <v>1</v>
      </c>
      <c r="Q924">
        <v>13</v>
      </c>
    </row>
    <row r="925" spans="12:17" x14ac:dyDescent="0.35">
      <c r="L925">
        <v>923</v>
      </c>
      <c r="M925">
        <v>0</v>
      </c>
      <c r="Q925">
        <v>16</v>
      </c>
    </row>
    <row r="926" spans="12:17" x14ac:dyDescent="0.35">
      <c r="L926">
        <v>924</v>
      </c>
      <c r="M926">
        <v>0</v>
      </c>
      <c r="Q926">
        <v>23</v>
      </c>
    </row>
    <row r="927" spans="12:17" x14ac:dyDescent="0.35">
      <c r="L927">
        <v>925</v>
      </c>
      <c r="M927">
        <v>0</v>
      </c>
      <c r="Q927">
        <v>21</v>
      </c>
    </row>
    <row r="928" spans="12:17" x14ac:dyDescent="0.35">
      <c r="L928">
        <v>926</v>
      </c>
      <c r="M928">
        <v>0</v>
      </c>
      <c r="Q928">
        <v>27</v>
      </c>
    </row>
    <row r="929" spans="12:17" x14ac:dyDescent="0.35">
      <c r="L929">
        <v>927</v>
      </c>
      <c r="M929">
        <v>0</v>
      </c>
      <c r="Q929">
        <v>21</v>
      </c>
    </row>
    <row r="930" spans="12:17" x14ac:dyDescent="0.35">
      <c r="L930">
        <v>928</v>
      </c>
      <c r="M930">
        <v>0</v>
      </c>
      <c r="Q930">
        <v>18</v>
      </c>
    </row>
    <row r="931" spans="12:17" x14ac:dyDescent="0.35">
      <c r="L931">
        <v>929</v>
      </c>
      <c r="M931">
        <v>0</v>
      </c>
      <c r="Q931">
        <v>14</v>
      </c>
    </row>
    <row r="932" spans="12:17" x14ac:dyDescent="0.35">
      <c r="L932">
        <v>930</v>
      </c>
      <c r="M932">
        <v>0</v>
      </c>
      <c r="Q932">
        <v>23</v>
      </c>
    </row>
    <row r="933" spans="12:17" x14ac:dyDescent="0.35">
      <c r="L933">
        <v>931</v>
      </c>
      <c r="M933">
        <v>0</v>
      </c>
      <c r="Q933">
        <v>19</v>
      </c>
    </row>
    <row r="934" spans="12:17" x14ac:dyDescent="0.35">
      <c r="L934">
        <v>932</v>
      </c>
      <c r="M934">
        <v>0</v>
      </c>
      <c r="Q934">
        <v>19</v>
      </c>
    </row>
    <row r="935" spans="12:17" x14ac:dyDescent="0.35">
      <c r="L935">
        <v>933</v>
      </c>
      <c r="M935">
        <v>0</v>
      </c>
      <c r="Q935">
        <v>14</v>
      </c>
    </row>
    <row r="936" spans="12:17" x14ac:dyDescent="0.35">
      <c r="L936">
        <v>934</v>
      </c>
      <c r="M936">
        <v>0</v>
      </c>
      <c r="Q936">
        <v>18</v>
      </c>
    </row>
    <row r="937" spans="12:17" x14ac:dyDescent="0.35">
      <c r="L937">
        <v>935</v>
      </c>
      <c r="M937">
        <v>0</v>
      </c>
      <c r="Q937">
        <v>14</v>
      </c>
    </row>
    <row r="938" spans="12:17" x14ac:dyDescent="0.35">
      <c r="L938">
        <v>936</v>
      </c>
      <c r="M938">
        <v>0</v>
      </c>
      <c r="Q938">
        <v>22</v>
      </c>
    </row>
    <row r="939" spans="12:17" x14ac:dyDescent="0.35">
      <c r="L939">
        <v>937</v>
      </c>
      <c r="M939">
        <v>0</v>
      </c>
      <c r="Q939">
        <v>18</v>
      </c>
    </row>
    <row r="940" spans="12:17" x14ac:dyDescent="0.35">
      <c r="L940">
        <v>938</v>
      </c>
      <c r="M940">
        <v>0</v>
      </c>
      <c r="Q940">
        <v>14</v>
      </c>
    </row>
    <row r="941" spans="12:17" x14ac:dyDescent="0.35">
      <c r="L941">
        <v>939</v>
      </c>
      <c r="M941">
        <v>1</v>
      </c>
      <c r="Q941">
        <v>22</v>
      </c>
    </row>
    <row r="942" spans="12:17" x14ac:dyDescent="0.35">
      <c r="L942">
        <v>940</v>
      </c>
      <c r="M942">
        <v>0</v>
      </c>
      <c r="Q942">
        <v>14</v>
      </c>
    </row>
    <row r="943" spans="12:17" x14ac:dyDescent="0.35">
      <c r="L943">
        <v>941</v>
      </c>
      <c r="M943">
        <v>0</v>
      </c>
      <c r="Q943">
        <v>20</v>
      </c>
    </row>
    <row r="944" spans="12:17" x14ac:dyDescent="0.35">
      <c r="L944">
        <v>942</v>
      </c>
      <c r="M944">
        <v>0</v>
      </c>
      <c r="Q944">
        <v>9</v>
      </c>
    </row>
    <row r="945" spans="12:17" x14ac:dyDescent="0.35">
      <c r="L945">
        <v>943</v>
      </c>
      <c r="M945">
        <v>0</v>
      </c>
      <c r="Q945">
        <v>16</v>
      </c>
    </row>
    <row r="946" spans="12:17" x14ac:dyDescent="0.35">
      <c r="L946">
        <v>944</v>
      </c>
      <c r="M946">
        <v>0</v>
      </c>
      <c r="Q946">
        <v>16</v>
      </c>
    </row>
    <row r="947" spans="12:17" x14ac:dyDescent="0.35">
      <c r="L947">
        <v>945</v>
      </c>
      <c r="M947">
        <v>0</v>
      </c>
      <c r="Q947">
        <v>18</v>
      </c>
    </row>
    <row r="948" spans="12:17" x14ac:dyDescent="0.35">
      <c r="L948">
        <v>946</v>
      </c>
      <c r="M948">
        <v>0</v>
      </c>
      <c r="Q948">
        <v>16</v>
      </c>
    </row>
    <row r="949" spans="12:17" x14ac:dyDescent="0.35">
      <c r="L949">
        <v>947</v>
      </c>
      <c r="M949">
        <v>0</v>
      </c>
      <c r="Q949">
        <v>18</v>
      </c>
    </row>
    <row r="950" spans="12:17" x14ac:dyDescent="0.35">
      <c r="L950">
        <v>948</v>
      </c>
      <c r="M950">
        <v>0</v>
      </c>
      <c r="Q950">
        <v>19</v>
      </c>
    </row>
    <row r="951" spans="12:17" x14ac:dyDescent="0.35">
      <c r="L951">
        <v>949</v>
      </c>
      <c r="M951">
        <v>0</v>
      </c>
      <c r="Q951">
        <v>24</v>
      </c>
    </row>
    <row r="952" spans="12:17" x14ac:dyDescent="0.35">
      <c r="L952">
        <v>950</v>
      </c>
      <c r="M952">
        <v>0</v>
      </c>
      <c r="Q952">
        <v>20</v>
      </c>
    </row>
    <row r="953" spans="12:17" x14ac:dyDescent="0.35">
      <c r="L953">
        <v>951</v>
      </c>
      <c r="M953">
        <v>0</v>
      </c>
      <c r="Q953">
        <v>18</v>
      </c>
    </row>
    <row r="954" spans="12:17" x14ac:dyDescent="0.35">
      <c r="L954">
        <v>952</v>
      </c>
      <c r="M954">
        <v>0</v>
      </c>
      <c r="Q954">
        <v>8</v>
      </c>
    </row>
    <row r="955" spans="12:17" x14ac:dyDescent="0.35">
      <c r="L955">
        <v>953</v>
      </c>
      <c r="M955">
        <v>0</v>
      </c>
      <c r="Q955">
        <v>17</v>
      </c>
    </row>
    <row r="956" spans="12:17" x14ac:dyDescent="0.35">
      <c r="L956">
        <v>954</v>
      </c>
      <c r="M956">
        <v>0</v>
      </c>
      <c r="Q956">
        <v>16</v>
      </c>
    </row>
    <row r="957" spans="12:17" x14ac:dyDescent="0.35">
      <c r="L957">
        <v>955</v>
      </c>
      <c r="M957">
        <v>0</v>
      </c>
      <c r="Q957">
        <v>8</v>
      </c>
    </row>
    <row r="958" spans="12:17" x14ac:dyDescent="0.35">
      <c r="L958">
        <v>956</v>
      </c>
      <c r="M958">
        <v>0</v>
      </c>
      <c r="Q958">
        <v>13</v>
      </c>
    </row>
    <row r="959" spans="12:17" x14ac:dyDescent="0.35">
      <c r="L959">
        <v>957</v>
      </c>
      <c r="M959">
        <v>0</v>
      </c>
      <c r="Q959">
        <v>19</v>
      </c>
    </row>
    <row r="960" spans="12:17" x14ac:dyDescent="0.35">
      <c r="L960">
        <v>958</v>
      </c>
      <c r="M960">
        <v>0</v>
      </c>
      <c r="Q960">
        <v>20</v>
      </c>
    </row>
    <row r="961" spans="12:17" x14ac:dyDescent="0.35">
      <c r="L961">
        <v>959</v>
      </c>
      <c r="M961">
        <v>0</v>
      </c>
      <c r="Q961">
        <v>22</v>
      </c>
    </row>
    <row r="962" spans="12:17" x14ac:dyDescent="0.35">
      <c r="L962">
        <v>960</v>
      </c>
      <c r="M962">
        <v>0</v>
      </c>
      <c r="Q962">
        <v>17</v>
      </c>
    </row>
    <row r="963" spans="12:17" x14ac:dyDescent="0.35">
      <c r="L963">
        <v>961</v>
      </c>
      <c r="M963">
        <v>0</v>
      </c>
      <c r="Q963">
        <v>19</v>
      </c>
    </row>
    <row r="964" spans="12:17" x14ac:dyDescent="0.35">
      <c r="L964">
        <v>962</v>
      </c>
      <c r="M964">
        <v>0</v>
      </c>
      <c r="Q964">
        <v>18</v>
      </c>
    </row>
    <row r="965" spans="12:17" x14ac:dyDescent="0.35">
      <c r="L965">
        <v>963</v>
      </c>
      <c r="M965">
        <v>0</v>
      </c>
      <c r="Q965">
        <v>18</v>
      </c>
    </row>
    <row r="966" spans="12:17" x14ac:dyDescent="0.35">
      <c r="L966">
        <v>964</v>
      </c>
      <c r="M966">
        <v>1</v>
      </c>
      <c r="Q966">
        <v>19</v>
      </c>
    </row>
    <row r="967" spans="12:17" x14ac:dyDescent="0.35">
      <c r="L967">
        <v>965</v>
      </c>
      <c r="M967">
        <v>0</v>
      </c>
      <c r="Q967">
        <v>17</v>
      </c>
    </row>
    <row r="968" spans="12:17" x14ac:dyDescent="0.35">
      <c r="L968">
        <v>966</v>
      </c>
      <c r="M968">
        <v>0</v>
      </c>
      <c r="Q968">
        <v>13</v>
      </c>
    </row>
    <row r="969" spans="12:17" x14ac:dyDescent="0.35">
      <c r="L969">
        <v>967</v>
      </c>
      <c r="M969">
        <v>0</v>
      </c>
      <c r="Q969">
        <v>19</v>
      </c>
    </row>
    <row r="970" spans="12:17" x14ac:dyDescent="0.35">
      <c r="L970">
        <v>968</v>
      </c>
      <c r="M970">
        <v>0</v>
      </c>
      <c r="Q970">
        <v>19</v>
      </c>
    </row>
    <row r="971" spans="12:17" x14ac:dyDescent="0.35">
      <c r="L971">
        <v>969</v>
      </c>
      <c r="M971">
        <v>0</v>
      </c>
      <c r="Q971">
        <v>14</v>
      </c>
    </row>
    <row r="972" spans="12:17" x14ac:dyDescent="0.35">
      <c r="L972">
        <v>970</v>
      </c>
      <c r="M972">
        <v>0</v>
      </c>
      <c r="Q972">
        <v>28</v>
      </c>
    </row>
    <row r="973" spans="12:17" x14ac:dyDescent="0.35">
      <c r="L973">
        <v>971</v>
      </c>
      <c r="M973">
        <v>0</v>
      </c>
      <c r="Q973">
        <v>18</v>
      </c>
    </row>
    <row r="974" spans="12:17" x14ac:dyDescent="0.35">
      <c r="L974">
        <v>972</v>
      </c>
      <c r="M974">
        <v>0</v>
      </c>
      <c r="Q974">
        <v>27</v>
      </c>
    </row>
    <row r="975" spans="12:17" x14ac:dyDescent="0.35">
      <c r="L975">
        <v>973</v>
      </c>
      <c r="M975">
        <v>0</v>
      </c>
      <c r="Q975">
        <v>15</v>
      </c>
    </row>
    <row r="976" spans="12:17" x14ac:dyDescent="0.35">
      <c r="L976">
        <v>974</v>
      </c>
      <c r="M976">
        <v>0</v>
      </c>
      <c r="Q976">
        <v>21</v>
      </c>
    </row>
    <row r="977" spans="12:17" x14ac:dyDescent="0.35">
      <c r="L977">
        <v>975</v>
      </c>
      <c r="M977">
        <v>0</v>
      </c>
      <c r="Q977">
        <v>15</v>
      </c>
    </row>
    <row r="978" spans="12:17" x14ac:dyDescent="0.35">
      <c r="L978">
        <v>976</v>
      </c>
      <c r="M978">
        <v>0</v>
      </c>
      <c r="Q978">
        <v>12</v>
      </c>
    </row>
    <row r="979" spans="12:17" x14ac:dyDescent="0.35">
      <c r="L979">
        <v>977</v>
      </c>
      <c r="M979">
        <v>0</v>
      </c>
      <c r="Q979">
        <v>18</v>
      </c>
    </row>
    <row r="980" spans="12:17" x14ac:dyDescent="0.35">
      <c r="L980">
        <v>978</v>
      </c>
      <c r="M980">
        <v>0</v>
      </c>
      <c r="Q980">
        <v>19</v>
      </c>
    </row>
    <row r="981" spans="12:17" x14ac:dyDescent="0.35">
      <c r="L981">
        <v>979</v>
      </c>
      <c r="M981">
        <v>0</v>
      </c>
      <c r="Q981">
        <v>20</v>
      </c>
    </row>
    <row r="982" spans="12:17" x14ac:dyDescent="0.35">
      <c r="L982">
        <v>980</v>
      </c>
      <c r="M982">
        <v>0</v>
      </c>
      <c r="Q982">
        <v>19</v>
      </c>
    </row>
    <row r="983" spans="12:17" x14ac:dyDescent="0.35">
      <c r="L983">
        <v>981</v>
      </c>
      <c r="M983">
        <v>0</v>
      </c>
      <c r="Q983">
        <v>24</v>
      </c>
    </row>
    <row r="984" spans="12:17" x14ac:dyDescent="0.35">
      <c r="L984">
        <v>982</v>
      </c>
      <c r="M984">
        <v>0</v>
      </c>
      <c r="Q984">
        <v>17</v>
      </c>
    </row>
    <row r="985" spans="12:17" x14ac:dyDescent="0.35">
      <c r="L985">
        <v>983</v>
      </c>
      <c r="M985">
        <v>0</v>
      </c>
      <c r="Q985">
        <v>13</v>
      </c>
    </row>
    <row r="986" spans="12:17" x14ac:dyDescent="0.35">
      <c r="L986">
        <v>984</v>
      </c>
      <c r="M986">
        <v>0</v>
      </c>
      <c r="Q986">
        <v>20</v>
      </c>
    </row>
    <row r="987" spans="12:17" x14ac:dyDescent="0.35">
      <c r="L987">
        <v>985</v>
      </c>
      <c r="M987">
        <v>0</v>
      </c>
      <c r="Q987">
        <v>12</v>
      </c>
    </row>
    <row r="988" spans="12:17" x14ac:dyDescent="0.35">
      <c r="L988">
        <v>986</v>
      </c>
      <c r="M988">
        <v>0</v>
      </c>
      <c r="Q988">
        <v>20</v>
      </c>
    </row>
    <row r="989" spans="12:17" x14ac:dyDescent="0.35">
      <c r="L989">
        <v>987</v>
      </c>
      <c r="M989">
        <v>0</v>
      </c>
      <c r="Q989">
        <v>20</v>
      </c>
    </row>
    <row r="990" spans="12:17" x14ac:dyDescent="0.35">
      <c r="L990">
        <v>988</v>
      </c>
      <c r="M990">
        <v>0</v>
      </c>
      <c r="Q990">
        <v>23</v>
      </c>
    </row>
    <row r="991" spans="12:17" x14ac:dyDescent="0.35">
      <c r="L991">
        <v>989</v>
      </c>
      <c r="M991">
        <v>0</v>
      </c>
      <c r="Q991">
        <v>14</v>
      </c>
    </row>
    <row r="992" spans="12:17" x14ac:dyDescent="0.35">
      <c r="L992">
        <v>990</v>
      </c>
      <c r="M992">
        <v>0</v>
      </c>
      <c r="Q992">
        <v>16</v>
      </c>
    </row>
    <row r="993" spans="12:17" x14ac:dyDescent="0.35">
      <c r="L993">
        <v>991</v>
      </c>
      <c r="M993">
        <v>0</v>
      </c>
      <c r="Q993">
        <v>12</v>
      </c>
    </row>
    <row r="994" spans="12:17" x14ac:dyDescent="0.35">
      <c r="L994">
        <v>992</v>
      </c>
      <c r="M994">
        <v>0</v>
      </c>
      <c r="Q994">
        <v>23</v>
      </c>
    </row>
    <row r="995" spans="12:17" x14ac:dyDescent="0.35">
      <c r="L995">
        <v>993</v>
      </c>
      <c r="M995">
        <v>0</v>
      </c>
      <c r="Q995">
        <v>14</v>
      </c>
    </row>
    <row r="996" spans="12:17" x14ac:dyDescent="0.35">
      <c r="L996">
        <v>994</v>
      </c>
      <c r="M996">
        <v>0</v>
      </c>
      <c r="Q996">
        <v>19</v>
      </c>
    </row>
    <row r="997" spans="12:17" x14ac:dyDescent="0.35">
      <c r="L997">
        <v>995</v>
      </c>
      <c r="M997">
        <v>0</v>
      </c>
      <c r="Q997">
        <v>12</v>
      </c>
    </row>
    <row r="998" spans="12:17" x14ac:dyDescent="0.35">
      <c r="L998">
        <v>996</v>
      </c>
      <c r="M998">
        <v>0</v>
      </c>
      <c r="Q998">
        <v>18</v>
      </c>
    </row>
    <row r="999" spans="12:17" x14ac:dyDescent="0.35">
      <c r="L999">
        <v>997</v>
      </c>
      <c r="M999">
        <v>0</v>
      </c>
      <c r="Q999">
        <v>21</v>
      </c>
    </row>
    <row r="1000" spans="12:17" x14ac:dyDescent="0.35">
      <c r="L1000">
        <v>998</v>
      </c>
      <c r="M1000">
        <v>0</v>
      </c>
      <c r="Q1000">
        <v>21</v>
      </c>
    </row>
    <row r="1001" spans="12:17" x14ac:dyDescent="0.35">
      <c r="L1001">
        <v>999</v>
      </c>
      <c r="M1001">
        <v>0</v>
      </c>
      <c r="Q1001">
        <v>24</v>
      </c>
    </row>
    <row r="1002" spans="12:17" x14ac:dyDescent="0.35">
      <c r="L1002">
        <v>1000</v>
      </c>
      <c r="M1002">
        <v>0</v>
      </c>
    </row>
    <row r="1003" spans="12:17" x14ac:dyDescent="0.35">
      <c r="M1003">
        <v>0</v>
      </c>
    </row>
    <row r="1004" spans="12:17" x14ac:dyDescent="0.35">
      <c r="M1004">
        <v>0</v>
      </c>
    </row>
    <row r="1005" spans="12:17" x14ac:dyDescent="0.35">
      <c r="M1005">
        <v>0</v>
      </c>
    </row>
    <row r="1006" spans="12:17" x14ac:dyDescent="0.35">
      <c r="M1006">
        <v>0</v>
      </c>
    </row>
    <row r="1007" spans="12:17" x14ac:dyDescent="0.35">
      <c r="M1007">
        <v>0</v>
      </c>
    </row>
    <row r="1008" spans="12:17" x14ac:dyDescent="0.35">
      <c r="M1008">
        <v>0</v>
      </c>
    </row>
    <row r="1009" spans="13:13" x14ac:dyDescent="0.35">
      <c r="M1009">
        <v>0</v>
      </c>
    </row>
    <row r="1010" spans="13:13" x14ac:dyDescent="0.35">
      <c r="M1010">
        <v>0</v>
      </c>
    </row>
    <row r="1011" spans="13:13" x14ac:dyDescent="0.35">
      <c r="M1011">
        <v>0</v>
      </c>
    </row>
    <row r="1012" spans="13:13" x14ac:dyDescent="0.35">
      <c r="M1012">
        <v>0</v>
      </c>
    </row>
    <row r="1013" spans="13:13" x14ac:dyDescent="0.35">
      <c r="M1013">
        <v>0</v>
      </c>
    </row>
    <row r="1014" spans="13:13" x14ac:dyDescent="0.35">
      <c r="M1014">
        <v>0</v>
      </c>
    </row>
    <row r="1015" spans="13:13" x14ac:dyDescent="0.35">
      <c r="M1015">
        <v>0</v>
      </c>
    </row>
    <row r="1016" spans="13:13" x14ac:dyDescent="0.35">
      <c r="M1016">
        <v>0</v>
      </c>
    </row>
    <row r="1017" spans="13:13" x14ac:dyDescent="0.35">
      <c r="M1017">
        <v>0</v>
      </c>
    </row>
    <row r="1018" spans="13:13" x14ac:dyDescent="0.35">
      <c r="M1018">
        <v>0</v>
      </c>
    </row>
    <row r="1019" spans="13:13" x14ac:dyDescent="0.35">
      <c r="M1019">
        <v>0</v>
      </c>
    </row>
    <row r="1020" spans="13:13" x14ac:dyDescent="0.35">
      <c r="M1020">
        <v>0</v>
      </c>
    </row>
    <row r="1021" spans="13:13" x14ac:dyDescent="0.35">
      <c r="M1021">
        <v>0</v>
      </c>
    </row>
  </sheetData>
  <mergeCells count="1">
    <mergeCell ref="C1:H1"/>
  </mergeCells>
  <conditionalFormatting sqref="A35">
    <cfRule type="cellIs" dxfId="17" priority="3" operator="lessThan">
      <formula>0.3</formula>
    </cfRule>
  </conditionalFormatting>
  <conditionalFormatting sqref="A37">
    <cfRule type="cellIs" dxfId="16" priority="2" operator="lessThan">
      <formula>0.15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J50"/>
  <sheetViews>
    <sheetView zoomScale="70" zoomScaleNormal="70" workbookViewId="0">
      <selection activeCell="H2" sqref="H2"/>
    </sheetView>
  </sheetViews>
  <sheetFormatPr defaultColWidth="11.53125" defaultRowHeight="12.75" x14ac:dyDescent="0.35"/>
  <cols>
    <col min="1" max="1" width="22.9296875" customWidth="1"/>
    <col min="2" max="2" width="17.1328125" customWidth="1"/>
  </cols>
  <sheetData>
    <row r="1" spans="1:1024" ht="67.150000000000006" customHeight="1" x14ac:dyDescent="0.35">
      <c r="A1" s="159" t="s">
        <v>315</v>
      </c>
      <c r="B1" s="9"/>
      <c r="C1" s="2"/>
      <c r="D1" s="2"/>
      <c r="E1" s="2"/>
      <c r="F1" s="2"/>
      <c r="G1" s="2"/>
      <c r="H1" s="9"/>
      <c r="I1" s="9"/>
      <c r="J1" s="9"/>
      <c r="K1" s="9"/>
      <c r="L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3" spans="1:1024" ht="15.75" x14ac:dyDescent="0.5">
      <c r="A3" s="11" t="s">
        <v>126</v>
      </c>
      <c r="B3" s="10" t="s">
        <v>127</v>
      </c>
      <c r="C3" s="10"/>
      <c r="D3" s="10"/>
    </row>
    <row r="4" spans="1:1024" ht="13.15" x14ac:dyDescent="0.4">
      <c r="A4" s="10" t="s">
        <v>28</v>
      </c>
      <c r="B4" s="73">
        <v>45831</v>
      </c>
      <c r="C4" s="10"/>
      <c r="L4" s="74"/>
    </row>
    <row r="5" spans="1:1024" ht="13.15" x14ac:dyDescent="0.4">
      <c r="A5" s="10" t="s">
        <v>29</v>
      </c>
      <c r="B5" s="75" t="s">
        <v>30</v>
      </c>
      <c r="C5" s="10"/>
      <c r="L5" s="76"/>
    </row>
    <row r="6" spans="1:1024" ht="13.15" x14ac:dyDescent="0.4">
      <c r="A6" s="10" t="s">
        <v>22</v>
      </c>
      <c r="B6" s="77" t="s">
        <v>23</v>
      </c>
      <c r="C6" s="78"/>
      <c r="L6" s="79"/>
    </row>
    <row r="7" spans="1:1024" ht="13.15" x14ac:dyDescent="0.4">
      <c r="A7" s="10" t="s">
        <v>24</v>
      </c>
      <c r="B7" s="80" t="s">
        <v>25</v>
      </c>
      <c r="C7" s="10"/>
      <c r="L7" s="79"/>
    </row>
    <row r="8" spans="1:1024" ht="13.15" x14ac:dyDescent="0.4">
      <c r="A8" s="10" t="s">
        <v>26</v>
      </c>
      <c r="B8" s="77" t="s">
        <v>23</v>
      </c>
      <c r="C8" s="10"/>
      <c r="L8" s="79"/>
    </row>
    <row r="9" spans="1:1024" ht="13.15" x14ac:dyDescent="0.4">
      <c r="A9" s="10" t="s">
        <v>27</v>
      </c>
      <c r="B9" s="80" t="s">
        <v>25</v>
      </c>
      <c r="C9" s="10"/>
      <c r="L9" s="74"/>
    </row>
    <row r="10" spans="1:1024" ht="13.15" x14ac:dyDescent="0.4">
      <c r="A10" s="78" t="s">
        <v>128</v>
      </c>
      <c r="B10" s="80" t="s">
        <v>129</v>
      </c>
      <c r="C10" s="10"/>
      <c r="L10" s="79"/>
    </row>
    <row r="11" spans="1:1024" x14ac:dyDescent="0.35">
      <c r="B11" s="81"/>
    </row>
    <row r="12" spans="1:1024" ht="13.9" x14ac:dyDescent="0.4">
      <c r="A12" s="10" t="s">
        <v>31</v>
      </c>
      <c r="B12" s="164">
        <v>36</v>
      </c>
      <c r="C12" s="10"/>
      <c r="L12" s="79"/>
    </row>
    <row r="13" spans="1:1024" hidden="1" x14ac:dyDescent="0.35">
      <c r="B13" s="81"/>
      <c r="L13" s="79"/>
    </row>
    <row r="14" spans="1:1024" x14ac:dyDescent="0.35">
      <c r="A14" t="s">
        <v>130</v>
      </c>
      <c r="B14" s="81">
        <f>B12*1.5</f>
        <v>54</v>
      </c>
    </row>
    <row r="15" spans="1:1024" ht="13.5" x14ac:dyDescent="0.35">
      <c r="A15" t="s">
        <v>131</v>
      </c>
      <c r="B15" s="164">
        <v>6000</v>
      </c>
    </row>
    <row r="16" spans="1:1024" x14ac:dyDescent="0.35">
      <c r="A16" t="s">
        <v>132</v>
      </c>
      <c r="B16" s="82">
        <f>10^((LOG(B15)-LOG(B14))/27)</f>
        <v>1.1906079988631944</v>
      </c>
    </row>
    <row r="18" spans="1:7" x14ac:dyDescent="0.35">
      <c r="D18" s="79" t="s">
        <v>133</v>
      </c>
      <c r="E18" s="79" t="s">
        <v>134</v>
      </c>
      <c r="F18" s="79" t="s">
        <v>135</v>
      </c>
      <c r="G18" s="79" t="s">
        <v>136</v>
      </c>
    </row>
    <row r="19" spans="1:7" x14ac:dyDescent="0.35">
      <c r="A19" t="s">
        <v>137</v>
      </c>
      <c r="C19" s="79" t="s">
        <v>138</v>
      </c>
      <c r="D19">
        <v>0</v>
      </c>
      <c r="E19" s="45">
        <f>B12*1.5</f>
        <v>54</v>
      </c>
      <c r="F19">
        <f t="shared" ref="F19:F46" si="0">INT(E19)</f>
        <v>54</v>
      </c>
      <c r="G19" s="45">
        <f t="shared" ref="G19:G45" si="1">G20*B$16</f>
        <v>6000.0000000000055</v>
      </c>
    </row>
    <row r="20" spans="1:7" x14ac:dyDescent="0.35">
      <c r="C20" s="79"/>
      <c r="D20">
        <v>1</v>
      </c>
      <c r="E20" s="45">
        <f t="shared" ref="E20:E46" si="2">E19*B$16</f>
        <v>64.292831938612494</v>
      </c>
      <c r="F20">
        <f t="shared" si="0"/>
        <v>64</v>
      </c>
      <c r="G20" s="45">
        <f t="shared" si="1"/>
        <v>5039.4420377898277</v>
      </c>
    </row>
    <row r="21" spans="1:7" x14ac:dyDescent="0.35">
      <c r="C21" s="79"/>
      <c r="D21">
        <v>2</v>
      </c>
      <c r="E21" s="45">
        <f t="shared" si="2"/>
        <v>76.547559975679093</v>
      </c>
      <c r="F21">
        <f t="shared" si="0"/>
        <v>76</v>
      </c>
      <c r="G21" s="45">
        <f t="shared" si="1"/>
        <v>4232.6626753738783</v>
      </c>
    </row>
    <row r="22" spans="1:7" x14ac:dyDescent="0.35">
      <c r="C22" s="79"/>
      <c r="D22">
        <v>3</v>
      </c>
      <c r="E22" s="45">
        <f t="shared" si="2"/>
        <v>91.138137200503635</v>
      </c>
      <c r="F22">
        <f t="shared" si="0"/>
        <v>91</v>
      </c>
      <c r="G22" s="45">
        <f t="shared" si="1"/>
        <v>3555.0430363438436</v>
      </c>
    </row>
    <row r="23" spans="1:7" x14ac:dyDescent="0.35">
      <c r="C23" s="79"/>
      <c r="D23">
        <v>4</v>
      </c>
      <c r="E23" s="45">
        <f t="shared" si="2"/>
        <v>108.50979515241089</v>
      </c>
      <c r="F23">
        <f t="shared" si="0"/>
        <v>108</v>
      </c>
      <c r="G23" s="45">
        <f t="shared" si="1"/>
        <v>2985.90555391719</v>
      </c>
    </row>
    <row r="24" spans="1:7" x14ac:dyDescent="0.35">
      <c r="C24" s="79"/>
      <c r="D24">
        <v>5</v>
      </c>
      <c r="E24" s="45">
        <f t="shared" si="2"/>
        <v>129.19263006346708</v>
      </c>
      <c r="F24">
        <f t="shared" si="0"/>
        <v>129</v>
      </c>
      <c r="G24" s="45">
        <f t="shared" si="1"/>
        <v>2507.8829948800658</v>
      </c>
    </row>
    <row r="25" spans="1:7" x14ac:dyDescent="0.35">
      <c r="C25" s="79"/>
      <c r="D25">
        <v>6</v>
      </c>
      <c r="E25" s="45">
        <f t="shared" si="2"/>
        <v>153.81777874773749</v>
      </c>
      <c r="F25">
        <f t="shared" si="0"/>
        <v>153</v>
      </c>
      <c r="G25" s="45">
        <f t="shared" si="1"/>
        <v>2106.3884983761409</v>
      </c>
    </row>
    <row r="26" spans="1:7" x14ac:dyDescent="0.35">
      <c r="C26" s="79"/>
      <c r="D26">
        <v>7</v>
      </c>
      <c r="E26" s="45">
        <f t="shared" si="2"/>
        <v>183.13667774442533</v>
      </c>
      <c r="F26">
        <f t="shared" si="0"/>
        <v>183</v>
      </c>
      <c r="G26" s="45">
        <f t="shared" si="1"/>
        <v>1769.1704577722842</v>
      </c>
    </row>
    <row r="27" spans="1:7" x14ac:dyDescent="0.35">
      <c r="C27" s="79"/>
      <c r="D27">
        <v>8</v>
      </c>
      <c r="E27" s="45">
        <f t="shared" si="2"/>
        <v>218.04399340774393</v>
      </c>
      <c r="F27">
        <f t="shared" si="0"/>
        <v>218</v>
      </c>
      <c r="G27" s="45">
        <f t="shared" si="1"/>
        <v>1485.9386628189191</v>
      </c>
    </row>
    <row r="28" spans="1:7" x14ac:dyDescent="0.35">
      <c r="C28" s="79"/>
      <c r="D28">
        <v>9</v>
      </c>
      <c r="E28" s="45">
        <f t="shared" si="2"/>
        <v>259.60492265533355</v>
      </c>
      <c r="F28">
        <f t="shared" si="0"/>
        <v>259</v>
      </c>
      <c r="G28" s="45">
        <f t="shared" si="1"/>
        <v>1248.0502938311431</v>
      </c>
    </row>
    <row r="29" spans="1:7" x14ac:dyDescent="0.35">
      <c r="C29" s="79"/>
      <c r="D29">
        <v>10</v>
      </c>
      <c r="E29" s="45">
        <f t="shared" si="2"/>
        <v>309.08769745770104</v>
      </c>
      <c r="F29">
        <f t="shared" si="0"/>
        <v>309</v>
      </c>
      <c r="G29" s="45">
        <f t="shared" si="1"/>
        <v>1048.2461860014339</v>
      </c>
    </row>
    <row r="30" spans="1:7" x14ac:dyDescent="0.35">
      <c r="C30" s="79"/>
      <c r="D30">
        <v>11</v>
      </c>
      <c r="E30" s="45">
        <f t="shared" si="2"/>
        <v>368.0022849433459</v>
      </c>
      <c r="F30">
        <f t="shared" si="0"/>
        <v>368</v>
      </c>
      <c r="G30" s="45">
        <f t="shared" si="1"/>
        <v>880.42931594807931</v>
      </c>
    </row>
    <row r="31" spans="1:7" x14ac:dyDescent="0.35">
      <c r="C31" s="79"/>
      <c r="D31">
        <v>12</v>
      </c>
      <c r="E31" s="45">
        <f t="shared" si="2"/>
        <v>438.14646405348009</v>
      </c>
      <c r="F31">
        <f t="shared" si="0"/>
        <v>438</v>
      </c>
      <c r="G31" s="45">
        <f t="shared" si="1"/>
        <v>739.47875101521481</v>
      </c>
    </row>
    <row r="32" spans="1:7" x14ac:dyDescent="0.35">
      <c r="C32" s="79"/>
      <c r="D32">
        <v>13</v>
      </c>
      <c r="E32" s="45">
        <f t="shared" si="2"/>
        <v>521.66068477569843</v>
      </c>
      <c r="F32">
        <f t="shared" si="0"/>
        <v>521</v>
      </c>
      <c r="G32" s="45">
        <f t="shared" si="1"/>
        <v>621.09338398639795</v>
      </c>
    </row>
    <row r="33" spans="3:30" x14ac:dyDescent="0.35">
      <c r="C33" s="79"/>
      <c r="D33">
        <v>14</v>
      </c>
      <c r="E33" s="45">
        <f t="shared" si="2"/>
        <v>621.09338398639795</v>
      </c>
      <c r="F33">
        <f t="shared" si="0"/>
        <v>621</v>
      </c>
      <c r="G33" s="45">
        <f t="shared" si="1"/>
        <v>521.66068477569843</v>
      </c>
    </row>
    <row r="34" spans="3:30" x14ac:dyDescent="0.35">
      <c r="C34" s="79"/>
      <c r="D34">
        <v>15</v>
      </c>
      <c r="E34" s="45">
        <f t="shared" si="2"/>
        <v>739.47875101521481</v>
      </c>
      <c r="F34">
        <f t="shared" si="0"/>
        <v>739</v>
      </c>
      <c r="G34" s="45">
        <f t="shared" si="1"/>
        <v>438.14646405348009</v>
      </c>
    </row>
    <row r="35" spans="3:30" x14ac:dyDescent="0.35">
      <c r="C35" s="79"/>
      <c r="D35">
        <v>16</v>
      </c>
      <c r="E35" s="45">
        <f t="shared" si="2"/>
        <v>880.42931594807931</v>
      </c>
      <c r="F35">
        <f t="shared" si="0"/>
        <v>880</v>
      </c>
      <c r="G35" s="45">
        <f t="shared" si="1"/>
        <v>368.0022849433459</v>
      </c>
    </row>
    <row r="36" spans="3:30" x14ac:dyDescent="0.35">
      <c r="C36" s="79"/>
      <c r="D36">
        <v>17</v>
      </c>
      <c r="E36" s="45">
        <f t="shared" si="2"/>
        <v>1048.2461860014339</v>
      </c>
      <c r="F36">
        <f t="shared" si="0"/>
        <v>1048</v>
      </c>
      <c r="G36" s="45">
        <f t="shared" si="1"/>
        <v>309.08769745770104</v>
      </c>
    </row>
    <row r="37" spans="3:30" x14ac:dyDescent="0.35">
      <c r="C37" s="79"/>
      <c r="D37">
        <v>18</v>
      </c>
      <c r="E37" s="45">
        <f t="shared" si="2"/>
        <v>1248.0502938311431</v>
      </c>
      <c r="F37">
        <f t="shared" si="0"/>
        <v>1248</v>
      </c>
      <c r="G37" s="45">
        <f t="shared" si="1"/>
        <v>259.60492265533355</v>
      </c>
    </row>
    <row r="38" spans="3:30" x14ac:dyDescent="0.35">
      <c r="C38" s="79"/>
      <c r="D38">
        <v>19</v>
      </c>
      <c r="E38" s="45">
        <f t="shared" si="2"/>
        <v>1485.9386628189191</v>
      </c>
      <c r="F38">
        <f t="shared" si="0"/>
        <v>1485</v>
      </c>
      <c r="G38" s="45">
        <f t="shared" si="1"/>
        <v>218.04399340774393</v>
      </c>
    </row>
    <row r="39" spans="3:30" x14ac:dyDescent="0.35">
      <c r="C39" s="79"/>
      <c r="D39">
        <v>20</v>
      </c>
      <c r="E39" s="45">
        <f t="shared" si="2"/>
        <v>1769.1704577722842</v>
      </c>
      <c r="F39">
        <f t="shared" si="0"/>
        <v>1769</v>
      </c>
      <c r="G39" s="45">
        <f t="shared" si="1"/>
        <v>183.13667774442533</v>
      </c>
    </row>
    <row r="40" spans="3:30" x14ac:dyDescent="0.35">
      <c r="C40" s="79"/>
      <c r="D40">
        <v>21</v>
      </c>
      <c r="E40" s="45">
        <f t="shared" si="2"/>
        <v>2106.3884983761409</v>
      </c>
      <c r="F40">
        <f t="shared" si="0"/>
        <v>2106</v>
      </c>
      <c r="G40" s="45">
        <f t="shared" si="1"/>
        <v>153.81777874773749</v>
      </c>
    </row>
    <row r="41" spans="3:30" x14ac:dyDescent="0.35">
      <c r="C41" s="79"/>
      <c r="D41">
        <v>22</v>
      </c>
      <c r="E41" s="45">
        <f t="shared" si="2"/>
        <v>2507.8829948800658</v>
      </c>
      <c r="F41">
        <f t="shared" si="0"/>
        <v>2507</v>
      </c>
      <c r="G41" s="45">
        <f t="shared" si="1"/>
        <v>129.19263006346708</v>
      </c>
    </row>
    <row r="42" spans="3:30" x14ac:dyDescent="0.35">
      <c r="C42" s="79"/>
      <c r="D42">
        <v>23</v>
      </c>
      <c r="E42" s="45">
        <f t="shared" si="2"/>
        <v>2985.90555391719</v>
      </c>
      <c r="F42">
        <f t="shared" si="0"/>
        <v>2985</v>
      </c>
      <c r="G42" s="45">
        <f t="shared" si="1"/>
        <v>108.50979515241089</v>
      </c>
    </row>
    <row r="43" spans="3:30" x14ac:dyDescent="0.35">
      <c r="C43" s="79"/>
      <c r="D43">
        <v>24</v>
      </c>
      <c r="E43" s="45">
        <f t="shared" si="2"/>
        <v>3555.0430363438436</v>
      </c>
      <c r="F43">
        <f t="shared" si="0"/>
        <v>3555</v>
      </c>
      <c r="G43" s="45">
        <f t="shared" si="1"/>
        <v>91.138137200503635</v>
      </c>
    </row>
    <row r="44" spans="3:30" x14ac:dyDescent="0.35">
      <c r="C44" s="79"/>
      <c r="D44">
        <v>25</v>
      </c>
      <c r="E44" s="45">
        <f t="shared" si="2"/>
        <v>4232.6626753738783</v>
      </c>
      <c r="F44">
        <f t="shared" si="0"/>
        <v>4232</v>
      </c>
      <c r="G44" s="45">
        <f t="shared" si="1"/>
        <v>76.547559975679093</v>
      </c>
    </row>
    <row r="45" spans="3:30" x14ac:dyDescent="0.35">
      <c r="C45" s="79"/>
      <c r="D45">
        <v>26</v>
      </c>
      <c r="E45" s="45">
        <f t="shared" si="2"/>
        <v>5039.4420377898277</v>
      </c>
      <c r="F45">
        <f t="shared" si="0"/>
        <v>5039</v>
      </c>
      <c r="G45" s="45">
        <f t="shared" si="1"/>
        <v>64.292831938612494</v>
      </c>
    </row>
    <row r="46" spans="3:30" x14ac:dyDescent="0.35">
      <c r="C46" s="79" t="s">
        <v>139</v>
      </c>
      <c r="D46">
        <v>27</v>
      </c>
      <c r="E46" s="45">
        <f t="shared" si="2"/>
        <v>6000.0000000000055</v>
      </c>
      <c r="F46">
        <f t="shared" si="0"/>
        <v>6000</v>
      </c>
      <c r="G46" s="45">
        <f>B12*1.5</f>
        <v>54</v>
      </c>
    </row>
    <row r="47" spans="3:30" x14ac:dyDescent="0.35">
      <c r="E47" s="45"/>
    </row>
    <row r="48" spans="3:30" x14ac:dyDescent="0.35">
      <c r="C48" s="46">
        <v>54</v>
      </c>
      <c r="D48" s="46">
        <v>63.860147458464198</v>
      </c>
      <c r="E48" s="46">
        <v>75.520711729940501</v>
      </c>
      <c r="F48" s="46">
        <v>89.310440504484603</v>
      </c>
      <c r="G48" s="46">
        <v>105.618109262903</v>
      </c>
      <c r="H48" s="46">
        <v>124.903482070615</v>
      </c>
      <c r="I48" s="46">
        <v>147.710273761205</v>
      </c>
      <c r="J48" s="46">
        <v>174.681478954087</v>
      </c>
      <c r="K48" s="46">
        <v>206.57750007908501</v>
      </c>
      <c r="L48" s="46">
        <v>244.29758549354199</v>
      </c>
      <c r="M48" s="46">
        <v>288.90518209933998</v>
      </c>
      <c r="N48" s="46">
        <v>341.657917229227</v>
      </c>
      <c r="O48" s="46">
        <v>404.04305508537402</v>
      </c>
      <c r="P48" s="46">
        <v>477.81942735778398</v>
      </c>
      <c r="Q48" s="46">
        <v>565.06702017753798</v>
      </c>
      <c r="R48" s="46">
        <v>668.24561541578703</v>
      </c>
      <c r="S48" s="46">
        <v>790.26413960970899</v>
      </c>
      <c r="T48" s="46">
        <v>934.56267567800705</v>
      </c>
      <c r="U48" s="46">
        <v>1105.2094495921201</v>
      </c>
      <c r="V48" s="46">
        <v>1307.01552636001</v>
      </c>
      <c r="W48" s="46">
        <v>1545.67044896023</v>
      </c>
      <c r="X48" s="46">
        <v>1827.9026443109401</v>
      </c>
      <c r="Y48" s="46">
        <v>2161.66911861877</v>
      </c>
      <c r="Z48" s="46">
        <v>2556.3797902111601</v>
      </c>
      <c r="AA48" s="46">
        <v>3023.1627844948598</v>
      </c>
      <c r="AB48" s="46">
        <v>3575.17817053302</v>
      </c>
      <c r="AC48" s="46">
        <v>4227.9889844540903</v>
      </c>
      <c r="AD48" s="46">
        <v>5000.00000000001</v>
      </c>
    </row>
    <row r="49" spans="1:34" ht="13.15" x14ac:dyDescent="0.4">
      <c r="A49" s="8" t="s">
        <v>140</v>
      </c>
      <c r="C49" s="83">
        <f t="shared" ref="C49:AD49" si="3">INT(C48+0.5)</f>
        <v>54</v>
      </c>
      <c r="D49" s="84">
        <f t="shared" si="3"/>
        <v>64</v>
      </c>
      <c r="E49" s="84">
        <f t="shared" si="3"/>
        <v>76</v>
      </c>
      <c r="F49" s="84">
        <f t="shared" si="3"/>
        <v>89</v>
      </c>
      <c r="G49" s="84">
        <f t="shared" si="3"/>
        <v>106</v>
      </c>
      <c r="H49" s="84">
        <f t="shared" si="3"/>
        <v>125</v>
      </c>
      <c r="I49" s="84">
        <f t="shared" si="3"/>
        <v>148</v>
      </c>
      <c r="J49" s="84">
        <f t="shared" si="3"/>
        <v>175</v>
      </c>
      <c r="K49" s="84">
        <f t="shared" si="3"/>
        <v>207</v>
      </c>
      <c r="L49" s="84">
        <f t="shared" si="3"/>
        <v>244</v>
      </c>
      <c r="M49" s="84">
        <f t="shared" si="3"/>
        <v>289</v>
      </c>
      <c r="N49" s="84">
        <f t="shared" si="3"/>
        <v>342</v>
      </c>
      <c r="O49" s="84">
        <f t="shared" si="3"/>
        <v>404</v>
      </c>
      <c r="P49" s="84">
        <f t="shared" si="3"/>
        <v>478</v>
      </c>
      <c r="Q49" s="84">
        <f t="shared" si="3"/>
        <v>565</v>
      </c>
      <c r="R49" s="84">
        <f t="shared" si="3"/>
        <v>668</v>
      </c>
      <c r="S49" s="84">
        <f t="shared" si="3"/>
        <v>790</v>
      </c>
      <c r="T49" s="84">
        <f t="shared" si="3"/>
        <v>935</v>
      </c>
      <c r="U49" s="84">
        <f t="shared" si="3"/>
        <v>1105</v>
      </c>
      <c r="V49" s="84">
        <f t="shared" si="3"/>
        <v>1307</v>
      </c>
      <c r="W49" s="84">
        <f t="shared" si="3"/>
        <v>1546</v>
      </c>
      <c r="X49" s="84">
        <f t="shared" si="3"/>
        <v>1828</v>
      </c>
      <c r="Y49" s="84">
        <f t="shared" si="3"/>
        <v>2162</v>
      </c>
      <c r="Z49" s="84">
        <f t="shared" si="3"/>
        <v>2556</v>
      </c>
      <c r="AA49" s="84">
        <f t="shared" si="3"/>
        <v>3023</v>
      </c>
      <c r="AB49" s="84">
        <f t="shared" si="3"/>
        <v>3575</v>
      </c>
      <c r="AC49" s="84">
        <f t="shared" si="3"/>
        <v>4228</v>
      </c>
      <c r="AD49" s="85">
        <f t="shared" si="3"/>
        <v>5000</v>
      </c>
    </row>
    <row r="50" spans="1:34" x14ac:dyDescent="0.35">
      <c r="C50">
        <v>54</v>
      </c>
      <c r="D50">
        <v>64</v>
      </c>
      <c r="E50">
        <v>76</v>
      </c>
      <c r="F50">
        <v>89</v>
      </c>
      <c r="G50">
        <v>106</v>
      </c>
      <c r="H50">
        <v>125</v>
      </c>
      <c r="I50">
        <v>148</v>
      </c>
      <c r="J50">
        <v>175</v>
      </c>
      <c r="K50">
        <v>207</v>
      </c>
      <c r="L50">
        <v>244</v>
      </c>
      <c r="M50">
        <v>289</v>
      </c>
      <c r="N50">
        <v>342</v>
      </c>
      <c r="O50">
        <v>404</v>
      </c>
      <c r="P50">
        <v>478</v>
      </c>
      <c r="Q50">
        <v>565</v>
      </c>
      <c r="R50">
        <v>668</v>
      </c>
      <c r="S50">
        <v>790</v>
      </c>
      <c r="T50">
        <v>935</v>
      </c>
      <c r="U50">
        <v>1105</v>
      </c>
      <c r="V50">
        <v>1307</v>
      </c>
      <c r="W50">
        <v>1546</v>
      </c>
      <c r="X50">
        <v>1828</v>
      </c>
      <c r="Y50">
        <v>2162</v>
      </c>
      <c r="Z50">
        <v>2556</v>
      </c>
      <c r="AA50">
        <v>3023</v>
      </c>
      <c r="AB50">
        <v>3575</v>
      </c>
      <c r="AC50">
        <v>4228</v>
      </c>
      <c r="AD50">
        <v>5000</v>
      </c>
      <c r="AE50">
        <v>6560</v>
      </c>
      <c r="AF50">
        <v>9490</v>
      </c>
      <c r="AG50">
        <v>0</v>
      </c>
      <c r="AH50">
        <v>0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W133"/>
  <sheetViews>
    <sheetView topLeftCell="A4" zoomScale="70" zoomScaleNormal="70" workbookViewId="0">
      <selection activeCell="M18" sqref="M18"/>
    </sheetView>
  </sheetViews>
  <sheetFormatPr defaultColWidth="11.53125" defaultRowHeight="12.75" x14ac:dyDescent="0.35"/>
  <sheetData>
    <row r="1" spans="1:49" x14ac:dyDescent="0.35">
      <c r="A1" t="s">
        <v>141</v>
      </c>
    </row>
    <row r="2" spans="1:49" ht="40.15" x14ac:dyDescent="0.4">
      <c r="A2" s="170" t="s">
        <v>291</v>
      </c>
      <c r="B2" s="170"/>
      <c r="C2" s="170"/>
      <c r="D2" s="170"/>
      <c r="E2" s="170"/>
      <c r="H2" s="86" t="s">
        <v>142</v>
      </c>
    </row>
    <row r="3" spans="1:49" ht="13.15" x14ac:dyDescent="0.4">
      <c r="A3" t="s">
        <v>143</v>
      </c>
      <c r="B3" s="87" t="s">
        <v>25</v>
      </c>
      <c r="D3" t="s">
        <v>144</v>
      </c>
      <c r="E3" s="8">
        <v>1</v>
      </c>
    </row>
    <row r="4" spans="1:49" ht="18.100000000000001" customHeight="1" x14ac:dyDescent="1.05">
      <c r="A4" s="8" t="s">
        <v>28</v>
      </c>
      <c r="B4" s="88">
        <v>45832</v>
      </c>
      <c r="O4" s="89"/>
    </row>
    <row r="5" spans="1:49" ht="13.15" x14ac:dyDescent="0.4">
      <c r="A5" s="8" t="s">
        <v>126</v>
      </c>
      <c r="B5" s="90" t="s">
        <v>145</v>
      </c>
      <c r="O5" s="32"/>
    </row>
    <row r="6" spans="1:49" ht="13.15" x14ac:dyDescent="0.4">
      <c r="A6" t="s">
        <v>146</v>
      </c>
      <c r="B6" s="91" t="str">
        <f ca="1">RIGHT(CELL("filename"),1)</f>
        <v>e</v>
      </c>
      <c r="C6" s="8"/>
      <c r="D6" s="8"/>
      <c r="E6" s="8"/>
      <c r="F6" s="8"/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L7" s="76" t="s">
        <v>152</v>
      </c>
      <c r="P7" s="76"/>
    </row>
    <row r="8" spans="1:49" ht="13.15" x14ac:dyDescent="0.4">
      <c r="A8" s="79" t="s">
        <v>153</v>
      </c>
      <c r="B8" s="49">
        <f>B52</f>
        <v>4.4241849999999996</v>
      </c>
      <c r="C8" s="49">
        <f>C52</f>
        <v>4.7640890000000002</v>
      </c>
      <c r="D8" s="49">
        <f>D52</f>
        <v>4.6754949999999997</v>
      </c>
      <c r="E8" s="49">
        <f>E52</f>
        <v>4.7296820000000004</v>
      </c>
      <c r="F8" s="49">
        <f>F52</f>
        <v>4.7067110000000003</v>
      </c>
      <c r="G8" s="92">
        <f>AVERAGE(B$8:F$8)*5</f>
        <v>23.300162</v>
      </c>
      <c r="I8" s="93"/>
      <c r="K8" s="93"/>
    </row>
    <row r="9" spans="1:49" ht="13.15" x14ac:dyDescent="0.4">
      <c r="A9" s="79" t="s">
        <v>154</v>
      </c>
      <c r="B9" s="45">
        <f t="shared" ref="B9:F18" si="0">B53/B$8</f>
        <v>16278.478409017707</v>
      </c>
      <c r="C9" s="45">
        <f t="shared" si="0"/>
        <v>15748.446345145945</v>
      </c>
      <c r="D9" s="45">
        <f t="shared" si="0"/>
        <v>15850.941985821823</v>
      </c>
      <c r="E9" s="45">
        <f t="shared" si="0"/>
        <v>15992.407100519653</v>
      </c>
      <c r="F9" s="45">
        <f t="shared" si="0"/>
        <v>15648.082068348789</v>
      </c>
      <c r="G9" s="94">
        <f t="shared" ref="G9:G38" si="1">AVERAGE(B9:F9)</f>
        <v>15903.671181770784</v>
      </c>
      <c r="H9" s="95">
        <f t="shared" ref="H9:H38" si="2">G9*G$8</f>
        <v>370558.11492999073</v>
      </c>
      <c r="I9" s="93">
        <f t="shared" ref="I9:I38" si="3">STDEVP(B9:F9)/AVERAGE(B9:F9)</f>
        <v>1.3791934809318541E-2</v>
      </c>
      <c r="J9" s="93">
        <f t="shared" ref="J9:J38" si="4">IF(H9&gt;$A$43, $C$43, IF(H9&gt;$A$44, $C$44, IF(H9&gt;$A$45,$C$45,IF(H9&gt;$A$46,$C$46, IF(H9&gt;$A$47,$C$47,IF(H9&gt;$A$48,$C$48,$C$49))))))/100</f>
        <v>0.11</v>
      </c>
      <c r="K9" s="93">
        <f t="shared" ref="K9:K38" si="5">(MAX(B9:F9)-MIN(B9:F9))/G9</f>
        <v>3.9638416404854708E-2</v>
      </c>
      <c r="L9">
        <f t="shared" ref="L9:L38" si="6">COUNTA(B9:F9)</f>
        <v>5</v>
      </c>
      <c r="P9" s="45"/>
    </row>
    <row r="10" spans="1:49" ht="13.15" x14ac:dyDescent="0.4">
      <c r="A10" s="79" t="s">
        <v>155</v>
      </c>
      <c r="B10" s="45">
        <f t="shared" si="0"/>
        <v>14071.066196372893</v>
      </c>
      <c r="C10" s="45">
        <f t="shared" si="0"/>
        <v>13644.791270692045</v>
      </c>
      <c r="D10" s="45">
        <f t="shared" si="0"/>
        <v>13752.982304547433</v>
      </c>
      <c r="E10" s="45">
        <f t="shared" si="0"/>
        <v>13868.585668127369</v>
      </c>
      <c r="F10" s="45">
        <f t="shared" si="0"/>
        <v>13551.71371261163</v>
      </c>
      <c r="G10" s="94">
        <f t="shared" si="1"/>
        <v>13777.827830470274</v>
      </c>
      <c r="H10" s="95">
        <f t="shared" si="2"/>
        <v>321025.62045806594</v>
      </c>
      <c r="I10" s="93">
        <f t="shared" si="3"/>
        <v>1.313160820432128E-2</v>
      </c>
      <c r="J10" s="93">
        <f t="shared" si="4"/>
        <v>0.11</v>
      </c>
      <c r="K10" s="93">
        <f t="shared" si="5"/>
        <v>3.7694801397698645E-2</v>
      </c>
      <c r="L10">
        <f t="shared" si="6"/>
        <v>5</v>
      </c>
      <c r="P10" s="45"/>
    </row>
    <row r="11" spans="1:49" ht="13.15" x14ac:dyDescent="0.4">
      <c r="A11" s="79" t="s">
        <v>156</v>
      </c>
      <c r="B11" s="45">
        <f t="shared" si="0"/>
        <v>12079.060889180721</v>
      </c>
      <c r="C11" s="45">
        <f t="shared" si="0"/>
        <v>11738.025884906852</v>
      </c>
      <c r="D11" s="45">
        <f t="shared" si="0"/>
        <v>11852.648756976534</v>
      </c>
      <c r="E11" s="45">
        <f t="shared" si="0"/>
        <v>11948.160574008991</v>
      </c>
      <c r="F11" s="45">
        <f t="shared" si="0"/>
        <v>11642.099971721229</v>
      </c>
      <c r="G11" s="94">
        <f t="shared" si="1"/>
        <v>11851.999215358865</v>
      </c>
      <c r="H11" s="95">
        <f t="shared" si="2"/>
        <v>276153.50174173445</v>
      </c>
      <c r="I11" s="93">
        <f t="shared" si="3"/>
        <v>1.2953643642119695E-2</v>
      </c>
      <c r="J11" s="93">
        <f t="shared" si="4"/>
        <v>0.11</v>
      </c>
      <c r="K11" s="93">
        <f t="shared" si="5"/>
        <v>3.6868118999977585E-2</v>
      </c>
      <c r="L11">
        <f t="shared" si="6"/>
        <v>5</v>
      </c>
      <c r="P11" s="45"/>
    </row>
    <row r="12" spans="1:49" ht="13.15" x14ac:dyDescent="0.4">
      <c r="A12" s="79" t="s">
        <v>157</v>
      </c>
      <c r="B12" s="45">
        <f t="shared" si="0"/>
        <v>10486.451176883427</v>
      </c>
      <c r="C12" s="45">
        <f t="shared" si="0"/>
        <v>10188.936436745829</v>
      </c>
      <c r="D12" s="45">
        <f t="shared" si="0"/>
        <v>10271.21192515445</v>
      </c>
      <c r="E12" s="45">
        <f t="shared" si="0"/>
        <v>10382.093341581949</v>
      </c>
      <c r="F12" s="45">
        <f t="shared" si="0"/>
        <v>10120.230453919945</v>
      </c>
      <c r="G12" s="94">
        <f t="shared" si="1"/>
        <v>10289.78466685712</v>
      </c>
      <c r="H12" s="95">
        <f t="shared" si="2"/>
        <v>239753.64968288693</v>
      </c>
      <c r="I12" s="93">
        <f t="shared" si="3"/>
        <v>1.2779761052866507E-2</v>
      </c>
      <c r="J12" s="93">
        <f t="shared" si="4"/>
        <v>0.11</v>
      </c>
      <c r="K12" s="93">
        <f t="shared" si="5"/>
        <v>3.5590708146017953E-2</v>
      </c>
      <c r="L12">
        <f t="shared" si="6"/>
        <v>5</v>
      </c>
      <c r="P12" s="45"/>
    </row>
    <row r="13" spans="1:49" ht="13.15" x14ac:dyDescent="0.4">
      <c r="A13" s="79" t="s">
        <v>158</v>
      </c>
      <c r="B13" s="45">
        <f t="shared" si="0"/>
        <v>8926.615862582601</v>
      </c>
      <c r="C13" s="45">
        <f t="shared" si="0"/>
        <v>8667.5542795275232</v>
      </c>
      <c r="D13" s="45">
        <f t="shared" si="0"/>
        <v>8743.245367602789</v>
      </c>
      <c r="E13" s="45">
        <f t="shared" si="0"/>
        <v>8812.2203564637111</v>
      </c>
      <c r="F13" s="45">
        <f t="shared" si="0"/>
        <v>8619.8196575060592</v>
      </c>
      <c r="G13" s="94">
        <f t="shared" si="1"/>
        <v>8753.8911047365364</v>
      </c>
      <c r="H13" s="95">
        <f t="shared" si="2"/>
        <v>203967.08087072027</v>
      </c>
      <c r="I13" s="93">
        <f t="shared" si="3"/>
        <v>1.2385791255547968E-2</v>
      </c>
      <c r="J13" s="93">
        <f t="shared" si="4"/>
        <v>0.11</v>
      </c>
      <c r="K13" s="93">
        <f t="shared" si="5"/>
        <v>3.50468381895385E-2</v>
      </c>
      <c r="L13">
        <f t="shared" si="6"/>
        <v>5</v>
      </c>
      <c r="P13" s="45"/>
    </row>
    <row r="14" spans="1:49" ht="13.15" x14ac:dyDescent="0.4">
      <c r="A14" s="79" t="s">
        <v>159</v>
      </c>
      <c r="B14" s="45">
        <f t="shared" si="0"/>
        <v>7590.3245456507811</v>
      </c>
      <c r="C14" s="45">
        <f t="shared" si="0"/>
        <v>7397.0070668285161</v>
      </c>
      <c r="D14" s="45">
        <f t="shared" si="0"/>
        <v>7435.3624589481969</v>
      </c>
      <c r="E14" s="45">
        <f t="shared" si="0"/>
        <v>7521.0130406230264</v>
      </c>
      <c r="F14" s="45">
        <f t="shared" si="0"/>
        <v>7340.1574900179758</v>
      </c>
      <c r="G14" s="94">
        <f t="shared" si="1"/>
        <v>7456.7729204136995</v>
      </c>
      <c r="H14" s="95">
        <f t="shared" si="2"/>
        <v>173744.0170428523</v>
      </c>
      <c r="I14" s="93">
        <f t="shared" si="3"/>
        <v>1.1933552237379066E-2</v>
      </c>
      <c r="J14" s="93">
        <f t="shared" si="4"/>
        <v>0.11</v>
      </c>
      <c r="K14" s="93">
        <f t="shared" si="5"/>
        <v>3.3548970620782458E-2</v>
      </c>
      <c r="L14">
        <f t="shared" si="6"/>
        <v>5</v>
      </c>
      <c r="P14" s="45"/>
    </row>
    <row r="15" spans="1:49" ht="13.15" x14ac:dyDescent="0.4">
      <c r="A15" s="79" t="s">
        <v>160</v>
      </c>
      <c r="B15" s="45">
        <f t="shared" si="0"/>
        <v>6389.1993666630133</v>
      </c>
      <c r="C15" s="45">
        <f t="shared" si="0"/>
        <v>6205.3836525724009</v>
      </c>
      <c r="D15" s="45">
        <f t="shared" si="0"/>
        <v>6244.0447482031313</v>
      </c>
      <c r="E15" s="45">
        <f t="shared" si="0"/>
        <v>6328.3324333432984</v>
      </c>
      <c r="F15" s="45">
        <f t="shared" si="0"/>
        <v>6177.1372833386195</v>
      </c>
      <c r="G15" s="94">
        <f t="shared" si="1"/>
        <v>6268.8194968240923</v>
      </c>
      <c r="H15" s="95">
        <f t="shared" si="2"/>
        <v>146064.50982475985</v>
      </c>
      <c r="I15" s="93">
        <f t="shared" si="3"/>
        <v>1.2576105140421363E-2</v>
      </c>
      <c r="J15" s="93">
        <f t="shared" si="4"/>
        <v>0.11</v>
      </c>
      <c r="K15" s="93">
        <f t="shared" si="5"/>
        <v>3.382807296203514E-2</v>
      </c>
      <c r="L15">
        <f t="shared" si="6"/>
        <v>5</v>
      </c>
      <c r="P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 s="45">
        <f t="shared" si="0"/>
        <v>5310.1305664207084</v>
      </c>
      <c r="C16" s="45">
        <f t="shared" si="0"/>
        <v>5163.0017827122874</v>
      </c>
      <c r="D16" s="45">
        <f t="shared" si="0"/>
        <v>5175.9225493771255</v>
      </c>
      <c r="E16" s="45">
        <f t="shared" si="0"/>
        <v>5267.3731553199559</v>
      </c>
      <c r="F16" s="45">
        <f t="shared" si="0"/>
        <v>5133.9459762878996</v>
      </c>
      <c r="G16" s="94">
        <f t="shared" si="1"/>
        <v>5210.0748060235956</v>
      </c>
      <c r="H16" s="95">
        <f t="shared" si="2"/>
        <v>121395.58701246836</v>
      </c>
      <c r="I16" s="93">
        <f t="shared" si="3"/>
        <v>1.2867461483951452E-2</v>
      </c>
      <c r="J16" s="93">
        <f t="shared" si="4"/>
        <v>0.11</v>
      </c>
      <c r="K16" s="93">
        <f t="shared" si="5"/>
        <v>3.3816134449569532E-2</v>
      </c>
      <c r="L16">
        <f t="shared" si="6"/>
        <v>5</v>
      </c>
      <c r="P16" s="45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 s="45">
        <f t="shared" si="0"/>
        <v>4330.063051160836</v>
      </c>
      <c r="C17" s="45">
        <f t="shared" si="0"/>
        <v>4216.3360088361069</v>
      </c>
      <c r="D17" s="45">
        <f t="shared" si="0"/>
        <v>4254.095020955001</v>
      </c>
      <c r="E17" s="45">
        <f t="shared" si="0"/>
        <v>4323.3350571983483</v>
      </c>
      <c r="F17" s="45">
        <f t="shared" si="0"/>
        <v>4222.481473793483</v>
      </c>
      <c r="G17" s="94">
        <f t="shared" si="1"/>
        <v>4269.2621223887554</v>
      </c>
      <c r="H17" s="95">
        <f t="shared" si="2"/>
        <v>99474.499072121835</v>
      </c>
      <c r="I17" s="93">
        <f t="shared" si="3"/>
        <v>1.139838025839906E-2</v>
      </c>
      <c r="J17" s="93">
        <f t="shared" si="4"/>
        <v>0.11</v>
      </c>
      <c r="K17" s="93">
        <f t="shared" si="5"/>
        <v>2.6638571037445723E-2</v>
      </c>
      <c r="L17">
        <f t="shared" si="6"/>
        <v>5</v>
      </c>
      <c r="P17" s="45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 s="45">
        <f t="shared" si="0"/>
        <v>3530.3677400470374</v>
      </c>
      <c r="C18" s="45">
        <f t="shared" si="0"/>
        <v>3432.975328546549</v>
      </c>
      <c r="D18" s="45">
        <f t="shared" si="0"/>
        <v>3455.2491233548535</v>
      </c>
      <c r="E18" s="45">
        <f t="shared" si="0"/>
        <v>3509.7497041027282</v>
      </c>
      <c r="F18" s="45">
        <f t="shared" si="0"/>
        <v>3411.9367005962335</v>
      </c>
      <c r="G18" s="94">
        <f t="shared" si="1"/>
        <v>3468.0557193294799</v>
      </c>
      <c r="H18" s="95">
        <f t="shared" si="2"/>
        <v>80806.26008540341</v>
      </c>
      <c r="I18" s="93">
        <f t="shared" si="3"/>
        <v>1.3001279977561788E-2</v>
      </c>
      <c r="J18" s="93">
        <f t="shared" si="4"/>
        <v>0.11</v>
      </c>
      <c r="K18" s="93">
        <f t="shared" si="5"/>
        <v>3.4149116691153253E-2</v>
      </c>
      <c r="L18">
        <f t="shared" si="6"/>
        <v>5</v>
      </c>
      <c r="P18" s="45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 s="45">
        <f t="shared" ref="B19:F25" si="7">B63/B$8</f>
        <v>2793.2828306230417</v>
      </c>
      <c r="C19" s="45">
        <f t="shared" si="7"/>
        <v>2712.585764035894</v>
      </c>
      <c r="D19" s="45">
        <f t="shared" si="7"/>
        <v>2729.3366798595657</v>
      </c>
      <c r="E19" s="45">
        <f t="shared" si="7"/>
        <v>2769.5308056651588</v>
      </c>
      <c r="F19" s="45">
        <f t="shared" si="7"/>
        <v>2690.8386769444733</v>
      </c>
      <c r="G19" s="94">
        <f t="shared" si="1"/>
        <v>2739.1149514256267</v>
      </c>
      <c r="H19" s="95">
        <f t="shared" si="2"/>
        <v>63821.822104839237</v>
      </c>
      <c r="I19" s="93">
        <f t="shared" si="3"/>
        <v>1.3649646551983054E-2</v>
      </c>
      <c r="J19" s="93">
        <f t="shared" si="4"/>
        <v>0.11</v>
      </c>
      <c r="K19" s="93">
        <f t="shared" si="5"/>
        <v>3.7400457992918246E-2</v>
      </c>
      <c r="L19">
        <f t="shared" si="6"/>
        <v>5</v>
      </c>
      <c r="P19" s="45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 s="45">
        <f t="shared" si="7"/>
        <v>2184.8091795438031</v>
      </c>
      <c r="C20" s="45">
        <f t="shared" si="7"/>
        <v>2113.1007418207341</v>
      </c>
      <c r="D20" s="45">
        <f t="shared" si="7"/>
        <v>2141.1636628848923</v>
      </c>
      <c r="E20" s="45">
        <f t="shared" si="7"/>
        <v>2146.0216564242583</v>
      </c>
      <c r="F20" s="45">
        <f t="shared" si="7"/>
        <v>2097.218206089135</v>
      </c>
      <c r="G20" s="94">
        <f t="shared" si="1"/>
        <v>2136.4626893525647</v>
      </c>
      <c r="H20" s="95">
        <f t="shared" si="2"/>
        <v>49779.926768870435</v>
      </c>
      <c r="I20" s="93">
        <f t="shared" si="3"/>
        <v>1.4099148449875296E-2</v>
      </c>
      <c r="J20" s="93">
        <f t="shared" si="4"/>
        <v>0.11</v>
      </c>
      <c r="K20" s="93">
        <f t="shared" si="5"/>
        <v>4.0998129240071922E-2</v>
      </c>
      <c r="L20">
        <f t="shared" si="6"/>
        <v>5</v>
      </c>
      <c r="P20" s="45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 s="45">
        <f t="shared" si="7"/>
        <v>1694.7754219138667</v>
      </c>
      <c r="C21" s="45">
        <f t="shared" si="7"/>
        <v>1630.7419949543344</v>
      </c>
      <c r="D21" s="45">
        <f t="shared" si="7"/>
        <v>1663.1394109072944</v>
      </c>
      <c r="E21" s="45">
        <f t="shared" si="7"/>
        <v>1640.0679792002927</v>
      </c>
      <c r="F21" s="45">
        <f t="shared" si="7"/>
        <v>1612.1661176987495</v>
      </c>
      <c r="G21" s="94">
        <f t="shared" si="1"/>
        <v>1648.1781849349077</v>
      </c>
      <c r="H21" s="95">
        <f t="shared" si="2"/>
        <v>38402.818713849309</v>
      </c>
      <c r="I21" s="93">
        <f t="shared" si="3"/>
        <v>1.7293003144402276E-2</v>
      </c>
      <c r="J21" s="93">
        <f t="shared" si="4"/>
        <v>0.11</v>
      </c>
      <c r="K21" s="93">
        <f t="shared" si="5"/>
        <v>5.0121585742490392E-2</v>
      </c>
      <c r="L21">
        <f t="shared" si="6"/>
        <v>5</v>
      </c>
      <c r="P21" s="45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 s="45">
        <f t="shared" si="7"/>
        <v>1295.1537966879778</v>
      </c>
      <c r="C22" s="45">
        <f t="shared" si="7"/>
        <v>1245.3587663874457</v>
      </c>
      <c r="D22" s="45">
        <f t="shared" si="7"/>
        <v>1257.4069697433106</v>
      </c>
      <c r="E22" s="45">
        <f t="shared" si="7"/>
        <v>1262.4527399516498</v>
      </c>
      <c r="F22" s="45">
        <f t="shared" si="7"/>
        <v>1234.8325614213406</v>
      </c>
      <c r="G22" s="94">
        <f t="shared" si="1"/>
        <v>1259.040966838345</v>
      </c>
      <c r="H22" s="95">
        <f t="shared" si="2"/>
        <v>29335.858491970066</v>
      </c>
      <c r="I22" s="93">
        <f t="shared" si="3"/>
        <v>1.6245176424275736E-2</v>
      </c>
      <c r="J22" s="93">
        <f t="shared" si="4"/>
        <v>0.11</v>
      </c>
      <c r="K22" s="93">
        <f t="shared" si="5"/>
        <v>4.7910462689799115E-2</v>
      </c>
      <c r="L22">
        <f t="shared" si="6"/>
        <v>5</v>
      </c>
      <c r="P22" s="45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 s="45">
        <f t="shared" si="7"/>
        <v>992.2731531344192</v>
      </c>
      <c r="C23" s="45">
        <f t="shared" si="7"/>
        <v>933.65174328187402</v>
      </c>
      <c r="D23" s="45">
        <f t="shared" si="7"/>
        <v>962.89269906181062</v>
      </c>
      <c r="E23" s="45">
        <f t="shared" si="7"/>
        <v>960.52969311678874</v>
      </c>
      <c r="F23" s="45">
        <f t="shared" si="7"/>
        <v>935.26031234974903</v>
      </c>
      <c r="G23" s="94">
        <f t="shared" si="1"/>
        <v>956.9215201889283</v>
      </c>
      <c r="H23" s="95">
        <f t="shared" si="2"/>
        <v>22296.426441688302</v>
      </c>
      <c r="I23" s="93">
        <f t="shared" si="3"/>
        <v>2.2457440704157703E-2</v>
      </c>
      <c r="J23" s="93">
        <f t="shared" si="4"/>
        <v>0.11</v>
      </c>
      <c r="K23" s="93">
        <f t="shared" si="5"/>
        <v>6.1260415421498057E-2</v>
      </c>
      <c r="L23">
        <f t="shared" si="6"/>
        <v>5</v>
      </c>
      <c r="P23" s="45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 s="45">
        <f t="shared" si="7"/>
        <v>747.9343653124813</v>
      </c>
      <c r="C24" s="45">
        <f t="shared" si="7"/>
        <v>710.94389714381907</v>
      </c>
      <c r="D24" s="45">
        <f t="shared" si="7"/>
        <v>732.75663860190207</v>
      </c>
      <c r="E24" s="45">
        <f t="shared" si="7"/>
        <v>730.91594741464644</v>
      </c>
      <c r="F24" s="45">
        <f t="shared" si="7"/>
        <v>703.88855402424326</v>
      </c>
      <c r="G24" s="94">
        <f t="shared" si="1"/>
        <v>725.28788049941841</v>
      </c>
      <c r="H24" s="95">
        <f t="shared" si="2"/>
        <v>16899.325112273091</v>
      </c>
      <c r="I24" s="93">
        <f t="shared" si="3"/>
        <v>2.1921911595529805E-2</v>
      </c>
      <c r="J24" s="93">
        <f t="shared" si="4"/>
        <v>0.11</v>
      </c>
      <c r="K24" s="93">
        <f t="shared" si="5"/>
        <v>6.0728729201857054E-2</v>
      </c>
      <c r="L24">
        <f t="shared" si="6"/>
        <v>5</v>
      </c>
      <c r="P24" s="45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 s="45">
        <f t="shared" si="7"/>
        <v>581.12398102701411</v>
      </c>
      <c r="C25" s="45">
        <f t="shared" si="7"/>
        <v>547.6388035571963</v>
      </c>
      <c r="D25" s="45">
        <f t="shared" si="7"/>
        <v>563.14892861611452</v>
      </c>
      <c r="E25" s="45">
        <f t="shared" si="7"/>
        <v>557.54276926017428</v>
      </c>
      <c r="F25" s="45">
        <f t="shared" si="7"/>
        <v>533.91848362901396</v>
      </c>
      <c r="G25" s="94">
        <f t="shared" si="1"/>
        <v>556.67459321790261</v>
      </c>
      <c r="H25" s="95">
        <f t="shared" si="2"/>
        <v>12970.608203261232</v>
      </c>
      <c r="I25" s="93">
        <f t="shared" si="3"/>
        <v>2.8288639693273575E-2</v>
      </c>
      <c r="J25" s="93">
        <f t="shared" si="4"/>
        <v>0.11</v>
      </c>
      <c r="K25" s="93">
        <f t="shared" si="5"/>
        <v>8.479908724615029E-2</v>
      </c>
      <c r="L25">
        <f t="shared" si="6"/>
        <v>5</v>
      </c>
      <c r="P25" s="45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 s="45">
        <f t="shared" ref="B26:E38" si="8">B70/B$8</f>
        <v>449.57432837912523</v>
      </c>
      <c r="C26" s="45">
        <f t="shared" si="8"/>
        <v>421.06686084160054</v>
      </c>
      <c r="D26" s="45">
        <f t="shared" si="8"/>
        <v>430.75652952254256</v>
      </c>
      <c r="E26" s="45">
        <f t="shared" si="8"/>
        <v>431.53006904058242</v>
      </c>
      <c r="F26" s="45"/>
      <c r="G26" s="94">
        <f t="shared" si="1"/>
        <v>433.2319469459627</v>
      </c>
      <c r="H26" s="95">
        <f t="shared" si="2"/>
        <v>10094.374547416337</v>
      </c>
      <c r="I26" s="93">
        <f t="shared" si="3"/>
        <v>2.3767139928144904E-2</v>
      </c>
      <c r="J26" s="93">
        <f t="shared" si="4"/>
        <v>0.11</v>
      </c>
      <c r="K26" s="93">
        <f t="shared" si="5"/>
        <v>6.5801859116083244E-2</v>
      </c>
      <c r="L26">
        <f t="shared" si="6"/>
        <v>4</v>
      </c>
      <c r="P26" s="45"/>
    </row>
    <row r="27" spans="1:49" ht="13.15" x14ac:dyDescent="0.4">
      <c r="A27" s="79" t="s">
        <v>172</v>
      </c>
      <c r="B27" s="45">
        <f t="shared" si="8"/>
        <v>349.89495240366307</v>
      </c>
      <c r="C27" s="45">
        <f t="shared" si="8"/>
        <v>327.86960948882353</v>
      </c>
      <c r="D27" s="45">
        <f t="shared" si="8"/>
        <v>331.94346267079743</v>
      </c>
      <c r="E27" s="45">
        <f t="shared" si="8"/>
        <v>337.44340528602129</v>
      </c>
      <c r="F27" s="45"/>
      <c r="G27" s="94">
        <f t="shared" si="1"/>
        <v>336.78785746232631</v>
      </c>
      <c r="H27" s="95">
        <f t="shared" si="2"/>
        <v>7847.2116385051122</v>
      </c>
      <c r="I27" s="93">
        <f t="shared" si="3"/>
        <v>2.4629787583606635E-2</v>
      </c>
      <c r="J27" s="93">
        <f t="shared" si="4"/>
        <v>0.113</v>
      </c>
      <c r="K27" s="93">
        <f t="shared" si="5"/>
        <v>6.539826904924366E-2</v>
      </c>
      <c r="L27">
        <f t="shared" si="6"/>
        <v>4</v>
      </c>
      <c r="P27" s="45"/>
    </row>
    <row r="28" spans="1:49" ht="13.15" x14ac:dyDescent="0.4">
      <c r="A28" s="79" t="s">
        <v>173</v>
      </c>
      <c r="B28" s="45">
        <f t="shared" si="8"/>
        <v>270.78433655012168</v>
      </c>
      <c r="C28" s="45">
        <f t="shared" si="8"/>
        <v>255.66273006234769</v>
      </c>
      <c r="D28" s="45">
        <f t="shared" si="8"/>
        <v>253.02133784765036</v>
      </c>
      <c r="E28" s="45">
        <f t="shared" si="8"/>
        <v>260.69405934690747</v>
      </c>
      <c r="F28" s="45"/>
      <c r="G28" s="94">
        <f t="shared" si="1"/>
        <v>260.04061595175676</v>
      </c>
      <c r="H28" s="95">
        <f t="shared" si="2"/>
        <v>6058.9884782557165</v>
      </c>
      <c r="I28" s="93">
        <f t="shared" si="3"/>
        <v>2.6102403169542779E-2</v>
      </c>
      <c r="J28" s="93">
        <f t="shared" si="4"/>
        <v>0.113</v>
      </c>
      <c r="K28" s="93">
        <f t="shared" si="5"/>
        <v>6.830855494422744E-2</v>
      </c>
      <c r="L28">
        <f t="shared" si="6"/>
        <v>4</v>
      </c>
      <c r="P28" s="45"/>
    </row>
    <row r="29" spans="1:49" ht="13.15" x14ac:dyDescent="0.4">
      <c r="A29" s="79" t="s">
        <v>174</v>
      </c>
      <c r="B29" s="45">
        <f t="shared" si="8"/>
        <v>210.43423817042012</v>
      </c>
      <c r="C29" s="45">
        <f t="shared" si="8"/>
        <v>195.21045891460045</v>
      </c>
      <c r="D29" s="45">
        <f t="shared" si="8"/>
        <v>198.90942028598042</v>
      </c>
      <c r="E29" s="45">
        <f t="shared" si="8"/>
        <v>196.4191250067129</v>
      </c>
      <c r="F29" s="45"/>
      <c r="G29" s="94">
        <f t="shared" si="1"/>
        <v>200.24331059442846</v>
      </c>
      <c r="H29" s="95">
        <f t="shared" si="2"/>
        <v>4665.7015762664996</v>
      </c>
      <c r="I29" s="93">
        <f t="shared" si="3"/>
        <v>3.0128337300617845E-2</v>
      </c>
      <c r="J29" s="93">
        <f t="shared" si="4"/>
        <v>0.11900000000000001</v>
      </c>
      <c r="K29" s="93">
        <f t="shared" si="5"/>
        <v>7.6026406128761076E-2</v>
      </c>
      <c r="L29">
        <f t="shared" si="6"/>
        <v>4</v>
      </c>
      <c r="P29" s="45"/>
    </row>
    <row r="30" spans="1:49" ht="13.15" x14ac:dyDescent="0.4">
      <c r="A30" s="79" t="s">
        <v>175</v>
      </c>
      <c r="B30" s="45">
        <f t="shared" si="8"/>
        <v>157.31711038304232</v>
      </c>
      <c r="C30" s="45">
        <f t="shared" si="8"/>
        <v>147.5623146418969</v>
      </c>
      <c r="D30" s="45">
        <f t="shared" si="8"/>
        <v>154.20827099590525</v>
      </c>
      <c r="E30" s="45">
        <f t="shared" si="8"/>
        <v>144.19574085530485</v>
      </c>
      <c r="F30" s="45"/>
      <c r="G30" s="94">
        <f t="shared" si="1"/>
        <v>150.82085921903735</v>
      </c>
      <c r="H30" s="95">
        <f t="shared" si="2"/>
        <v>3514.1504527827638</v>
      </c>
      <c r="I30" s="93">
        <f t="shared" si="3"/>
        <v>3.4482156157488383E-2</v>
      </c>
      <c r="J30" s="93">
        <f t="shared" si="4"/>
        <v>0.11900000000000001</v>
      </c>
      <c r="K30" s="93">
        <f t="shared" si="5"/>
        <v>8.6999700145463876E-2</v>
      </c>
      <c r="L30">
        <f t="shared" si="6"/>
        <v>4</v>
      </c>
      <c r="P30" s="45"/>
    </row>
    <row r="31" spans="1:49" ht="13.15" x14ac:dyDescent="0.4">
      <c r="A31" s="79" t="s">
        <v>176</v>
      </c>
      <c r="B31" s="45">
        <f t="shared" si="8"/>
        <v>114.59737782212996</v>
      </c>
      <c r="C31" s="45">
        <f t="shared" si="8"/>
        <v>111.87868236718499</v>
      </c>
      <c r="D31" s="45">
        <f t="shared" si="8"/>
        <v>115.28191132703597</v>
      </c>
      <c r="E31" s="45">
        <f t="shared" si="8"/>
        <v>105.50392182814826</v>
      </c>
      <c r="F31" s="45"/>
      <c r="G31" s="94">
        <f t="shared" si="1"/>
        <v>111.8154733361248</v>
      </c>
      <c r="H31" s="95">
        <f t="shared" si="2"/>
        <v>2605.3186428383883</v>
      </c>
      <c r="I31" s="93">
        <f t="shared" si="3"/>
        <v>3.4520136921593704E-2</v>
      </c>
      <c r="J31" s="93">
        <f t="shared" si="4"/>
        <v>0.11900000000000001</v>
      </c>
      <c r="K31" s="93">
        <f t="shared" si="5"/>
        <v>8.7447552714769769E-2</v>
      </c>
      <c r="L31">
        <f t="shared" si="6"/>
        <v>4</v>
      </c>
      <c r="P31" s="45"/>
    </row>
    <row r="32" spans="1:49" ht="13.15" x14ac:dyDescent="0.4">
      <c r="A32" s="79" t="s">
        <v>177</v>
      </c>
      <c r="B32" s="45">
        <f t="shared" si="8"/>
        <v>87.473738100915767</v>
      </c>
      <c r="C32" s="45">
        <f t="shared" si="8"/>
        <v>82.492161670363416</v>
      </c>
      <c r="D32" s="45">
        <f t="shared" si="8"/>
        <v>82.985865667699358</v>
      </c>
      <c r="E32" s="45">
        <f t="shared" si="8"/>
        <v>76.960776644180299</v>
      </c>
      <c r="F32" s="45"/>
      <c r="G32" s="94">
        <f t="shared" si="1"/>
        <v>82.478135520789706</v>
      </c>
      <c r="H32" s="95">
        <f t="shared" si="2"/>
        <v>1921.7539190923546</v>
      </c>
      <c r="I32" s="93">
        <f t="shared" si="3"/>
        <v>4.5225602201499793E-2</v>
      </c>
      <c r="J32" s="93">
        <f t="shared" si="4"/>
        <v>0.13400000000000001</v>
      </c>
      <c r="K32" s="93">
        <f t="shared" si="5"/>
        <v>0.12746361675556472</v>
      </c>
      <c r="L32">
        <f t="shared" si="6"/>
        <v>4</v>
      </c>
      <c r="P32" s="45"/>
    </row>
    <row r="33" spans="1:16" ht="13.15" x14ac:dyDescent="0.4">
      <c r="A33" s="79" t="s">
        <v>178</v>
      </c>
      <c r="B33" s="45">
        <f t="shared" si="8"/>
        <v>62.610401689802764</v>
      </c>
      <c r="C33" s="45">
        <f t="shared" si="8"/>
        <v>60.872078586273261</v>
      </c>
      <c r="D33" s="45">
        <f t="shared" si="8"/>
        <v>59.458944988712432</v>
      </c>
      <c r="E33" s="45">
        <f t="shared" si="8"/>
        <v>55.817706137537364</v>
      </c>
      <c r="F33" s="45"/>
      <c r="G33" s="94">
        <f t="shared" si="1"/>
        <v>59.689782850581452</v>
      </c>
      <c r="H33" s="95">
        <f t="shared" si="2"/>
        <v>1390.7816101633696</v>
      </c>
      <c r="I33" s="93">
        <f t="shared" si="3"/>
        <v>4.1861515240618534E-2</v>
      </c>
      <c r="J33" s="93">
        <f t="shared" si="4"/>
        <v>0.13400000000000001</v>
      </c>
      <c r="K33" s="93">
        <f t="shared" si="5"/>
        <v>0.11379997091410478</v>
      </c>
      <c r="L33">
        <f t="shared" si="6"/>
        <v>4</v>
      </c>
      <c r="P33" s="45"/>
    </row>
    <row r="34" spans="1:16" ht="13.15" x14ac:dyDescent="0.4">
      <c r="A34" s="79" t="s">
        <v>179</v>
      </c>
      <c r="B34" s="45">
        <f t="shared" si="8"/>
        <v>47.918430174145072</v>
      </c>
      <c r="C34" s="45">
        <f t="shared" si="8"/>
        <v>44.919395922284409</v>
      </c>
      <c r="D34" s="45">
        <f t="shared" si="8"/>
        <v>43.203981610503277</v>
      </c>
      <c r="E34" s="45">
        <f t="shared" si="8"/>
        <v>39.960403257555157</v>
      </c>
      <c r="F34" s="45"/>
      <c r="G34" s="94">
        <f t="shared" si="1"/>
        <v>44.000552741121979</v>
      </c>
      <c r="H34" s="95">
        <f t="shared" si="2"/>
        <v>1025.2200069576861</v>
      </c>
      <c r="I34" s="93">
        <f t="shared" si="3"/>
        <v>6.5427844230627918E-2</v>
      </c>
      <c r="J34" s="93">
        <f t="shared" si="4"/>
        <v>0.13400000000000001</v>
      </c>
      <c r="K34" s="93">
        <f t="shared" si="5"/>
        <v>0.18086197606223509</v>
      </c>
      <c r="L34">
        <f t="shared" si="6"/>
        <v>4</v>
      </c>
      <c r="P34" s="45"/>
    </row>
    <row r="35" spans="1:16" ht="13.15" x14ac:dyDescent="0.4">
      <c r="A35" s="79" t="s">
        <v>180</v>
      </c>
      <c r="B35" s="45">
        <f t="shared" si="8"/>
        <v>34.356610313537978</v>
      </c>
      <c r="C35" s="45">
        <f t="shared" si="8"/>
        <v>33.794498801344808</v>
      </c>
      <c r="D35" s="45">
        <f t="shared" si="8"/>
        <v>30.584996882683011</v>
      </c>
      <c r="E35" s="45">
        <f t="shared" si="8"/>
        <v>27.274560953569392</v>
      </c>
      <c r="F35" s="45"/>
      <c r="G35" s="94">
        <f t="shared" si="1"/>
        <v>31.502666737783798</v>
      </c>
      <c r="H35" s="95">
        <f t="shared" si="2"/>
        <v>734.01723842237402</v>
      </c>
      <c r="I35" s="93">
        <f t="shared" si="3"/>
        <v>8.9947000800369312E-2</v>
      </c>
      <c r="J35" s="93">
        <f t="shared" si="4"/>
        <v>0.156</v>
      </c>
      <c r="K35" s="93">
        <f t="shared" si="5"/>
        <v>0.22480793194166285</v>
      </c>
      <c r="L35">
        <f t="shared" si="6"/>
        <v>4</v>
      </c>
      <c r="P35" s="45"/>
    </row>
    <row r="36" spans="1:16" ht="13.15" x14ac:dyDescent="0.4">
      <c r="A36" s="79" t="s">
        <v>181</v>
      </c>
      <c r="B36" s="45">
        <f t="shared" si="8"/>
        <v>25.089366742123129</v>
      </c>
      <c r="C36" s="45">
        <f t="shared" si="8"/>
        <v>22.669601680405215</v>
      </c>
      <c r="D36" s="45">
        <f t="shared" si="8"/>
        <v>20.960347514006539</v>
      </c>
      <c r="E36" s="45">
        <f t="shared" si="8"/>
        <v>16.91445640531435</v>
      </c>
      <c r="F36" s="45">
        <f>F80/F$8</f>
        <v>19.759020683445403</v>
      </c>
      <c r="G36" s="94">
        <f t="shared" si="1"/>
        <v>21.078558605058927</v>
      </c>
      <c r="H36" s="95">
        <f t="shared" si="2"/>
        <v>491.13383022436699</v>
      </c>
      <c r="I36" s="93">
        <f t="shared" si="3"/>
        <v>0.13029239296659842</v>
      </c>
      <c r="J36" s="93">
        <f t="shared" si="4"/>
        <v>0.193</v>
      </c>
      <c r="K36" s="93">
        <f t="shared" si="5"/>
        <v>0.38783061451112566</v>
      </c>
      <c r="L36">
        <f t="shared" si="6"/>
        <v>5</v>
      </c>
      <c r="P36" s="45"/>
    </row>
    <row r="37" spans="1:16" ht="13.15" x14ac:dyDescent="0.4">
      <c r="A37" s="79" t="s">
        <v>182</v>
      </c>
      <c r="B37" s="45">
        <f t="shared" si="8"/>
        <v>12.883728867576741</v>
      </c>
      <c r="C37" s="45">
        <f t="shared" si="8"/>
        <v>11.334800840202607</v>
      </c>
      <c r="D37" s="45">
        <f t="shared" si="8"/>
        <v>11.763460339493466</v>
      </c>
      <c r="E37" s="45">
        <f t="shared" si="8"/>
        <v>8.0343667925243167</v>
      </c>
      <c r="F37" s="45">
        <f>F81/F$8</f>
        <v>11.685442339672012</v>
      </c>
      <c r="G37" s="94">
        <f t="shared" si="1"/>
        <v>11.140359835893829</v>
      </c>
      <c r="H37" s="95">
        <f t="shared" si="2"/>
        <v>259.57218891461963</v>
      </c>
      <c r="I37" s="93">
        <f t="shared" si="3"/>
        <v>0.14700272602378089</v>
      </c>
      <c r="J37" s="93">
        <f t="shared" si="4"/>
        <v>0.193</v>
      </c>
      <c r="K37" s="93">
        <f t="shared" si="5"/>
        <v>0.43529671810312248</v>
      </c>
      <c r="L37">
        <f t="shared" si="6"/>
        <v>5</v>
      </c>
    </row>
    <row r="38" spans="1:16" ht="13.15" x14ac:dyDescent="0.4">
      <c r="A38" s="79" t="s">
        <v>183</v>
      </c>
      <c r="B38" s="45">
        <f t="shared" si="8"/>
        <v>3.8425156271720105</v>
      </c>
      <c r="C38" s="45">
        <f t="shared" si="8"/>
        <v>3.5683632274711909</v>
      </c>
      <c r="D38" s="45">
        <f t="shared" si="8"/>
        <v>2.7804542620620918</v>
      </c>
      <c r="E38" s="45">
        <f t="shared" si="8"/>
        <v>3.1714605759964409</v>
      </c>
      <c r="F38" s="45">
        <f>F82/F$8</f>
        <v>4.2492517598807318</v>
      </c>
      <c r="G38" s="94">
        <f t="shared" si="1"/>
        <v>3.5224090905164926</v>
      </c>
      <c r="H38" s="95">
        <f t="shared" si="2"/>
        <v>82.072702439306937</v>
      </c>
      <c r="I38" s="93">
        <f t="shared" si="3"/>
        <v>0.14512321930305874</v>
      </c>
      <c r="J38" s="93">
        <f t="shared" si="4"/>
        <v>0.27500000000000002</v>
      </c>
      <c r="K38" s="93">
        <f t="shared" si="5"/>
        <v>0.41698663047774198</v>
      </c>
      <c r="L38">
        <f t="shared" si="6"/>
        <v>5</v>
      </c>
    </row>
    <row r="40" spans="1:16" x14ac:dyDescent="0.35">
      <c r="A40" t="s">
        <v>184</v>
      </c>
    </row>
    <row r="41" spans="1:16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6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6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6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6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6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6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6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16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1" spans="1:16" ht="13.15" x14ac:dyDescent="0.4">
      <c r="B51" s="76" t="s">
        <v>40</v>
      </c>
      <c r="C51" s="76" t="s">
        <v>41</v>
      </c>
      <c r="D51" s="76" t="s">
        <v>43</v>
      </c>
      <c r="E51" s="76" t="s">
        <v>44</v>
      </c>
      <c r="F51" s="76" t="s">
        <v>46</v>
      </c>
      <c r="G51" s="76" t="s">
        <v>40</v>
      </c>
      <c r="H51" s="76" t="s">
        <v>41</v>
      </c>
      <c r="I51" s="76" t="s">
        <v>43</v>
      </c>
      <c r="J51" s="76" t="s">
        <v>44</v>
      </c>
      <c r="K51" s="76" t="s">
        <v>46</v>
      </c>
      <c r="L51" s="76" t="s">
        <v>40</v>
      </c>
      <c r="M51" s="76" t="s">
        <v>41</v>
      </c>
      <c r="N51" s="76" t="s">
        <v>43</v>
      </c>
      <c r="O51" s="76" t="s">
        <v>44</v>
      </c>
      <c r="P51" s="76" t="s">
        <v>46</v>
      </c>
    </row>
    <row r="52" spans="1:16" ht="13.15" x14ac:dyDescent="0.4">
      <c r="A52" s="76" t="s">
        <v>195</v>
      </c>
      <c r="B52">
        <v>4.4241849999999996</v>
      </c>
      <c r="C52">
        <v>4.7640890000000002</v>
      </c>
      <c r="D52">
        <v>4.6754949999999997</v>
      </c>
      <c r="E52">
        <v>4.7296820000000004</v>
      </c>
      <c r="F52">
        <v>4.7067110000000003</v>
      </c>
      <c r="G52">
        <v>4.4284780000000001</v>
      </c>
      <c r="H52">
        <v>4.7481179999999998</v>
      </c>
      <c r="I52">
        <v>4.6873889999999996</v>
      </c>
      <c r="J52">
        <v>4.7422009999999997</v>
      </c>
      <c r="K52">
        <v>4.7405759999999999</v>
      </c>
      <c r="L52">
        <v>4.47241</v>
      </c>
      <c r="M52">
        <v>4.749409</v>
      </c>
      <c r="N52">
        <v>4.6970419999999997</v>
      </c>
      <c r="O52">
        <v>4.7490690000000004</v>
      </c>
      <c r="P52">
        <v>4.766686</v>
      </c>
    </row>
    <row r="53" spans="1:16" ht="13.15" x14ac:dyDescent="0.4">
      <c r="A53" s="8">
        <v>4</v>
      </c>
      <c r="B53">
        <v>72019</v>
      </c>
      <c r="C53">
        <v>75027</v>
      </c>
      <c r="D53">
        <v>74111</v>
      </c>
      <c r="E53">
        <v>75639</v>
      </c>
      <c r="F53">
        <v>73651</v>
      </c>
      <c r="G53">
        <v>67545</v>
      </c>
      <c r="H53">
        <v>73194</v>
      </c>
      <c r="I53">
        <v>72415</v>
      </c>
      <c r="J53">
        <v>73656</v>
      </c>
      <c r="K53">
        <v>71927</v>
      </c>
      <c r="L53">
        <v>67387</v>
      </c>
      <c r="M53">
        <v>70861</v>
      </c>
      <c r="N53">
        <v>69446</v>
      </c>
      <c r="O53">
        <v>71773</v>
      </c>
      <c r="P53">
        <v>70552</v>
      </c>
    </row>
    <row r="54" spans="1:16" ht="13.15" x14ac:dyDescent="0.4">
      <c r="A54" s="8">
        <v>5</v>
      </c>
      <c r="B54">
        <v>62253</v>
      </c>
      <c r="C54">
        <v>65005</v>
      </c>
      <c r="D54">
        <v>64302</v>
      </c>
      <c r="E54">
        <v>65594</v>
      </c>
      <c r="F54">
        <v>63784</v>
      </c>
      <c r="G54">
        <v>58592</v>
      </c>
      <c r="H54">
        <v>63602</v>
      </c>
      <c r="I54">
        <v>62891</v>
      </c>
      <c r="J54">
        <v>63930</v>
      </c>
      <c r="K54">
        <v>62465</v>
      </c>
      <c r="L54">
        <v>58253</v>
      </c>
      <c r="M54">
        <v>61219</v>
      </c>
      <c r="N54">
        <v>60098</v>
      </c>
      <c r="O54">
        <v>62085</v>
      </c>
      <c r="P54">
        <v>60984</v>
      </c>
    </row>
    <row r="55" spans="1:16" ht="13.15" x14ac:dyDescent="0.4">
      <c r="A55" s="8">
        <v>6</v>
      </c>
      <c r="B55">
        <v>53440</v>
      </c>
      <c r="C55">
        <v>55921</v>
      </c>
      <c r="D55">
        <v>55417</v>
      </c>
      <c r="E55">
        <v>56511</v>
      </c>
      <c r="F55">
        <v>54796</v>
      </c>
      <c r="G55">
        <v>50620</v>
      </c>
      <c r="H55">
        <v>55077</v>
      </c>
      <c r="I55">
        <v>54292</v>
      </c>
      <c r="J55">
        <v>55164</v>
      </c>
      <c r="K55">
        <v>54115</v>
      </c>
      <c r="L55">
        <v>50053</v>
      </c>
      <c r="M55">
        <v>52736</v>
      </c>
      <c r="N55">
        <v>51723</v>
      </c>
      <c r="O55">
        <v>53532</v>
      </c>
      <c r="P55">
        <v>52623</v>
      </c>
    </row>
    <row r="56" spans="1:16" ht="13.15" x14ac:dyDescent="0.4">
      <c r="A56" s="8">
        <v>7</v>
      </c>
      <c r="B56">
        <v>46394</v>
      </c>
      <c r="C56">
        <v>48541</v>
      </c>
      <c r="D56">
        <v>48023</v>
      </c>
      <c r="E56">
        <v>49104</v>
      </c>
      <c r="F56">
        <v>47633</v>
      </c>
      <c r="G56">
        <v>44243</v>
      </c>
      <c r="H56">
        <v>47886</v>
      </c>
      <c r="I56">
        <v>47503</v>
      </c>
      <c r="J56">
        <v>48023</v>
      </c>
      <c r="K56">
        <v>47095</v>
      </c>
      <c r="L56">
        <v>43690</v>
      </c>
      <c r="M56">
        <v>45829</v>
      </c>
      <c r="N56">
        <v>44972</v>
      </c>
      <c r="O56">
        <v>46518</v>
      </c>
      <c r="P56">
        <v>45715</v>
      </c>
    </row>
    <row r="57" spans="1:16" ht="13.15" x14ac:dyDescent="0.4">
      <c r="A57" s="8">
        <v>8</v>
      </c>
      <c r="B57">
        <v>39493</v>
      </c>
      <c r="C57">
        <v>41293</v>
      </c>
      <c r="D57">
        <v>40879</v>
      </c>
      <c r="E57">
        <v>41679</v>
      </c>
      <c r="F57">
        <v>40571</v>
      </c>
      <c r="G57">
        <v>37930</v>
      </c>
      <c r="H57">
        <v>40829</v>
      </c>
      <c r="I57">
        <v>40710</v>
      </c>
      <c r="J57">
        <v>41004</v>
      </c>
      <c r="K57">
        <v>40304</v>
      </c>
      <c r="L57">
        <v>37464</v>
      </c>
      <c r="M57">
        <v>39124</v>
      </c>
      <c r="N57">
        <v>38431</v>
      </c>
      <c r="O57">
        <v>39495</v>
      </c>
      <c r="P57">
        <v>39063</v>
      </c>
    </row>
    <row r="58" spans="1:16" ht="13.15" x14ac:dyDescent="0.4">
      <c r="A58" s="8">
        <v>9</v>
      </c>
      <c r="B58">
        <v>33581</v>
      </c>
      <c r="C58">
        <v>35240</v>
      </c>
      <c r="D58">
        <v>34764</v>
      </c>
      <c r="E58">
        <v>35572</v>
      </c>
      <c r="F58">
        <v>34548</v>
      </c>
      <c r="G58">
        <v>32599</v>
      </c>
      <c r="H58">
        <v>35025</v>
      </c>
      <c r="I58">
        <v>34886</v>
      </c>
      <c r="J58">
        <v>35088</v>
      </c>
      <c r="K58">
        <v>34333</v>
      </c>
      <c r="L58">
        <v>32054</v>
      </c>
      <c r="M58">
        <v>33483</v>
      </c>
      <c r="N58">
        <v>32834</v>
      </c>
      <c r="O58">
        <v>33655</v>
      </c>
      <c r="P58">
        <v>33430</v>
      </c>
    </row>
    <row r="59" spans="1:16" ht="13.15" x14ac:dyDescent="0.4">
      <c r="A59" s="8">
        <v>10</v>
      </c>
      <c r="B59">
        <v>28267</v>
      </c>
      <c r="C59">
        <v>29563</v>
      </c>
      <c r="D59">
        <v>29194</v>
      </c>
      <c r="E59">
        <v>29931</v>
      </c>
      <c r="F59">
        <v>29074</v>
      </c>
      <c r="G59">
        <v>27589</v>
      </c>
      <c r="H59">
        <v>29567</v>
      </c>
      <c r="I59">
        <v>29562</v>
      </c>
      <c r="J59">
        <v>29577</v>
      </c>
      <c r="K59">
        <v>29023</v>
      </c>
      <c r="L59">
        <v>27181</v>
      </c>
      <c r="M59">
        <v>28246</v>
      </c>
      <c r="N59">
        <v>27733</v>
      </c>
      <c r="O59">
        <v>28434</v>
      </c>
      <c r="P59">
        <v>28179</v>
      </c>
    </row>
    <row r="60" spans="1:16" ht="13.15" x14ac:dyDescent="0.4">
      <c r="A60" s="8">
        <v>11</v>
      </c>
      <c r="B60">
        <v>23493</v>
      </c>
      <c r="C60">
        <v>24597</v>
      </c>
      <c r="D60">
        <v>24200</v>
      </c>
      <c r="E60">
        <v>24913</v>
      </c>
      <c r="F60">
        <v>24164</v>
      </c>
      <c r="G60">
        <v>23077</v>
      </c>
      <c r="H60">
        <v>24763</v>
      </c>
      <c r="I60">
        <v>24671</v>
      </c>
      <c r="J60">
        <v>24747</v>
      </c>
      <c r="K60">
        <v>24286</v>
      </c>
      <c r="L60">
        <v>22708</v>
      </c>
      <c r="M60">
        <v>23679</v>
      </c>
      <c r="N60">
        <v>23155</v>
      </c>
      <c r="O60">
        <v>23695</v>
      </c>
      <c r="P60">
        <v>23574</v>
      </c>
    </row>
    <row r="61" spans="1:16" ht="13.15" x14ac:dyDescent="0.4">
      <c r="A61" s="8">
        <v>12</v>
      </c>
      <c r="B61">
        <v>19157</v>
      </c>
      <c r="C61">
        <v>20087</v>
      </c>
      <c r="D61">
        <v>19890</v>
      </c>
      <c r="E61">
        <v>20448</v>
      </c>
      <c r="F61">
        <v>19874</v>
      </c>
      <c r="G61">
        <v>19065</v>
      </c>
      <c r="H61">
        <v>20448</v>
      </c>
      <c r="I61">
        <v>20262</v>
      </c>
      <c r="J61">
        <v>20390</v>
      </c>
      <c r="K61">
        <v>19906</v>
      </c>
      <c r="L61">
        <v>18734</v>
      </c>
      <c r="M61">
        <v>19649</v>
      </c>
      <c r="N61">
        <v>19202</v>
      </c>
      <c r="O61">
        <v>19454</v>
      </c>
      <c r="P61">
        <v>19471</v>
      </c>
    </row>
    <row r="62" spans="1:16" ht="13.15" x14ac:dyDescent="0.4">
      <c r="A62" s="8">
        <v>13</v>
      </c>
      <c r="B62">
        <v>15619</v>
      </c>
      <c r="C62">
        <v>16355</v>
      </c>
      <c r="D62">
        <v>16155</v>
      </c>
      <c r="E62">
        <v>16600</v>
      </c>
      <c r="F62">
        <v>16059</v>
      </c>
      <c r="G62">
        <v>15535</v>
      </c>
      <c r="H62">
        <v>16608</v>
      </c>
      <c r="I62">
        <v>16473</v>
      </c>
      <c r="J62">
        <v>16595</v>
      </c>
      <c r="K62">
        <v>16166</v>
      </c>
      <c r="L62">
        <v>15251</v>
      </c>
      <c r="M62">
        <v>16079</v>
      </c>
      <c r="N62">
        <v>15691</v>
      </c>
      <c r="O62">
        <v>15991</v>
      </c>
      <c r="P62">
        <v>15805</v>
      </c>
    </row>
    <row r="63" spans="1:16" ht="13.15" x14ac:dyDescent="0.4">
      <c r="A63" s="8">
        <v>14</v>
      </c>
      <c r="B63">
        <v>12358</v>
      </c>
      <c r="C63">
        <v>12923</v>
      </c>
      <c r="D63">
        <v>12761</v>
      </c>
      <c r="E63">
        <v>13099</v>
      </c>
      <c r="F63">
        <v>12665</v>
      </c>
      <c r="G63">
        <v>12348</v>
      </c>
      <c r="H63">
        <v>13267</v>
      </c>
      <c r="I63">
        <v>13153</v>
      </c>
      <c r="J63">
        <v>13206</v>
      </c>
      <c r="K63">
        <v>12862</v>
      </c>
      <c r="L63">
        <v>12197</v>
      </c>
      <c r="M63">
        <v>12742</v>
      </c>
      <c r="N63">
        <v>12480</v>
      </c>
      <c r="O63">
        <v>12663</v>
      </c>
      <c r="P63">
        <v>12586</v>
      </c>
    </row>
    <row r="64" spans="1:16" ht="13.15" x14ac:dyDescent="0.4">
      <c r="A64" s="8">
        <v>15</v>
      </c>
      <c r="B64">
        <v>9666</v>
      </c>
      <c r="C64">
        <v>10067</v>
      </c>
      <c r="D64">
        <v>10011</v>
      </c>
      <c r="E64">
        <v>10150</v>
      </c>
      <c r="F64">
        <v>9871</v>
      </c>
      <c r="G64">
        <v>9653</v>
      </c>
      <c r="H64">
        <v>10343</v>
      </c>
      <c r="I64">
        <v>10260</v>
      </c>
      <c r="J64">
        <v>10334</v>
      </c>
      <c r="K64">
        <v>10104</v>
      </c>
      <c r="L64">
        <v>9591</v>
      </c>
      <c r="M64">
        <v>9987</v>
      </c>
      <c r="N64">
        <v>9754</v>
      </c>
      <c r="O64">
        <v>9911</v>
      </c>
      <c r="P64">
        <v>9871</v>
      </c>
    </row>
    <row r="65" spans="1:16" ht="13.15" x14ac:dyDescent="0.4">
      <c r="A65" s="8">
        <v>16</v>
      </c>
      <c r="B65">
        <v>7498</v>
      </c>
      <c r="C65">
        <v>7769</v>
      </c>
      <c r="D65">
        <v>7776</v>
      </c>
      <c r="E65">
        <v>7757</v>
      </c>
      <c r="F65">
        <v>7588</v>
      </c>
      <c r="G65">
        <v>7444</v>
      </c>
      <c r="H65">
        <v>7929</v>
      </c>
      <c r="I65">
        <v>7902</v>
      </c>
      <c r="J65">
        <v>8072</v>
      </c>
      <c r="K65">
        <v>7831</v>
      </c>
      <c r="L65">
        <v>7441</v>
      </c>
      <c r="M65">
        <v>7706</v>
      </c>
      <c r="N65">
        <v>7608</v>
      </c>
      <c r="O65">
        <v>7739</v>
      </c>
      <c r="P65">
        <v>7649</v>
      </c>
    </row>
    <row r="66" spans="1:16" ht="13.15" x14ac:dyDescent="0.4">
      <c r="A66" s="8">
        <v>17</v>
      </c>
      <c r="B66">
        <v>5730</v>
      </c>
      <c r="C66">
        <v>5933</v>
      </c>
      <c r="D66">
        <v>5879</v>
      </c>
      <c r="E66">
        <v>5971</v>
      </c>
      <c r="F66">
        <v>5812</v>
      </c>
      <c r="G66">
        <v>5689</v>
      </c>
      <c r="H66">
        <v>6044</v>
      </c>
      <c r="I66">
        <v>6015</v>
      </c>
      <c r="J66">
        <v>6104</v>
      </c>
      <c r="K66">
        <v>5988</v>
      </c>
      <c r="L66">
        <v>5766</v>
      </c>
      <c r="M66">
        <v>5894</v>
      </c>
      <c r="N66">
        <v>5858</v>
      </c>
      <c r="O66">
        <v>5917</v>
      </c>
      <c r="P66">
        <v>5822</v>
      </c>
    </row>
    <row r="67" spans="1:16" ht="13.15" x14ac:dyDescent="0.4">
      <c r="A67" s="8">
        <v>18</v>
      </c>
      <c r="B67">
        <v>4390</v>
      </c>
      <c r="C67">
        <v>4448</v>
      </c>
      <c r="D67">
        <v>4502</v>
      </c>
      <c r="E67">
        <v>4543</v>
      </c>
      <c r="F67">
        <v>4402</v>
      </c>
      <c r="G67">
        <v>4351</v>
      </c>
      <c r="H67">
        <v>4532</v>
      </c>
      <c r="I67">
        <v>4604</v>
      </c>
      <c r="J67">
        <v>4731</v>
      </c>
      <c r="K67">
        <v>4564</v>
      </c>
      <c r="L67">
        <v>4363</v>
      </c>
      <c r="M67">
        <v>4520</v>
      </c>
      <c r="N67">
        <v>4485</v>
      </c>
      <c r="O67">
        <v>4488</v>
      </c>
      <c r="P67">
        <v>4405</v>
      </c>
    </row>
    <row r="68" spans="1:16" ht="13.15" x14ac:dyDescent="0.4">
      <c r="A68" s="8">
        <v>19</v>
      </c>
      <c r="B68">
        <v>3309</v>
      </c>
      <c r="C68">
        <v>3387</v>
      </c>
      <c r="D68">
        <v>3426</v>
      </c>
      <c r="E68">
        <v>3457</v>
      </c>
      <c r="F68">
        <v>3313</v>
      </c>
      <c r="G68">
        <v>3371</v>
      </c>
      <c r="H68">
        <v>3445</v>
      </c>
      <c r="I68">
        <v>3459</v>
      </c>
      <c r="J68">
        <v>3590</v>
      </c>
      <c r="K68">
        <v>3495</v>
      </c>
      <c r="L68">
        <v>3412</v>
      </c>
      <c r="M68">
        <v>3463</v>
      </c>
      <c r="N68">
        <v>3420</v>
      </c>
      <c r="O68">
        <v>3418</v>
      </c>
      <c r="P68">
        <v>3355</v>
      </c>
    </row>
    <row r="69" spans="1:16" ht="13.15" x14ac:dyDescent="0.4">
      <c r="A69" s="8">
        <v>20</v>
      </c>
      <c r="B69">
        <v>2571</v>
      </c>
      <c r="C69">
        <v>2609</v>
      </c>
      <c r="D69">
        <v>2633</v>
      </c>
      <c r="E69">
        <v>2637</v>
      </c>
      <c r="F69">
        <v>2513</v>
      </c>
      <c r="G69">
        <v>2583</v>
      </c>
      <c r="H69">
        <v>2638</v>
      </c>
      <c r="I69">
        <v>2559</v>
      </c>
      <c r="J69">
        <v>2717</v>
      </c>
      <c r="K69">
        <v>2639</v>
      </c>
      <c r="L69">
        <v>2606</v>
      </c>
      <c r="M69">
        <v>2660</v>
      </c>
      <c r="N69">
        <v>2638</v>
      </c>
      <c r="O69">
        <v>2604</v>
      </c>
      <c r="P69">
        <v>2521</v>
      </c>
    </row>
    <row r="70" spans="1:16" ht="13.15" x14ac:dyDescent="0.4">
      <c r="A70" s="8">
        <v>21</v>
      </c>
      <c r="B70">
        <v>1989</v>
      </c>
      <c r="C70">
        <v>2006</v>
      </c>
      <c r="D70">
        <v>2014</v>
      </c>
      <c r="E70">
        <v>2041</v>
      </c>
      <c r="F70">
        <v>1883</v>
      </c>
      <c r="G70">
        <v>1954</v>
      </c>
      <c r="H70">
        <v>1977</v>
      </c>
      <c r="I70">
        <v>1977</v>
      </c>
      <c r="J70">
        <v>2070</v>
      </c>
      <c r="K70">
        <v>2052</v>
      </c>
      <c r="L70">
        <v>2020</v>
      </c>
      <c r="M70">
        <v>2047</v>
      </c>
      <c r="N70">
        <v>1992</v>
      </c>
      <c r="O70">
        <v>2019</v>
      </c>
      <c r="P70">
        <v>1895</v>
      </c>
    </row>
    <row r="71" spans="1:16" ht="13.15" x14ac:dyDescent="0.4">
      <c r="A71" s="8">
        <v>22</v>
      </c>
      <c r="B71">
        <v>1548</v>
      </c>
      <c r="C71">
        <v>1562</v>
      </c>
      <c r="D71">
        <v>1552</v>
      </c>
      <c r="E71">
        <v>1596</v>
      </c>
      <c r="F71">
        <v>1436</v>
      </c>
      <c r="G71">
        <v>1498</v>
      </c>
      <c r="H71">
        <v>1549</v>
      </c>
      <c r="I71">
        <v>1531</v>
      </c>
      <c r="J71">
        <v>1589</v>
      </c>
      <c r="K71">
        <v>1595</v>
      </c>
      <c r="L71">
        <v>1578</v>
      </c>
      <c r="M71">
        <v>1574</v>
      </c>
      <c r="N71">
        <v>1556</v>
      </c>
      <c r="O71">
        <v>1552</v>
      </c>
      <c r="P71">
        <v>1451</v>
      </c>
    </row>
    <row r="72" spans="1:16" ht="13.15" x14ac:dyDescent="0.4">
      <c r="A72" s="8">
        <v>23</v>
      </c>
      <c r="B72">
        <v>1198</v>
      </c>
      <c r="C72">
        <v>1218</v>
      </c>
      <c r="D72">
        <v>1183</v>
      </c>
      <c r="E72">
        <v>1233</v>
      </c>
      <c r="F72">
        <v>1084</v>
      </c>
      <c r="G72">
        <v>1149</v>
      </c>
      <c r="H72">
        <v>1180</v>
      </c>
      <c r="I72">
        <v>1175</v>
      </c>
      <c r="J72">
        <v>1234</v>
      </c>
      <c r="K72">
        <v>1220</v>
      </c>
      <c r="L72">
        <v>1236</v>
      </c>
      <c r="M72">
        <v>1189</v>
      </c>
      <c r="N72">
        <v>1206</v>
      </c>
      <c r="O72">
        <v>1194</v>
      </c>
      <c r="P72">
        <v>1108</v>
      </c>
    </row>
    <row r="73" spans="1:16" ht="13.15" x14ac:dyDescent="0.4">
      <c r="A73" s="8">
        <v>24</v>
      </c>
      <c r="B73">
        <v>931</v>
      </c>
      <c r="C73">
        <v>930</v>
      </c>
      <c r="D73">
        <v>930</v>
      </c>
      <c r="E73">
        <v>929</v>
      </c>
      <c r="F73">
        <v>810</v>
      </c>
      <c r="G73">
        <v>869</v>
      </c>
      <c r="H73">
        <v>925</v>
      </c>
      <c r="I73">
        <v>915</v>
      </c>
      <c r="J73">
        <v>886</v>
      </c>
      <c r="K73">
        <v>944</v>
      </c>
      <c r="L73">
        <v>923</v>
      </c>
      <c r="M73">
        <v>918</v>
      </c>
      <c r="N73">
        <v>936</v>
      </c>
      <c r="O73">
        <v>904</v>
      </c>
      <c r="P73">
        <v>843</v>
      </c>
    </row>
    <row r="74" spans="1:16" ht="13.15" x14ac:dyDescent="0.4">
      <c r="A74" s="8">
        <v>25</v>
      </c>
      <c r="B74">
        <v>696</v>
      </c>
      <c r="C74">
        <v>703</v>
      </c>
      <c r="D74">
        <v>721</v>
      </c>
      <c r="E74">
        <v>682</v>
      </c>
      <c r="F74">
        <v>615</v>
      </c>
      <c r="G74">
        <v>660</v>
      </c>
      <c r="H74">
        <v>695</v>
      </c>
      <c r="I74">
        <v>677</v>
      </c>
      <c r="J74">
        <v>676</v>
      </c>
      <c r="K74">
        <v>717</v>
      </c>
      <c r="L74">
        <v>710</v>
      </c>
      <c r="M74">
        <v>700</v>
      </c>
      <c r="N74">
        <v>726</v>
      </c>
      <c r="O74">
        <v>688</v>
      </c>
      <c r="P74">
        <v>657</v>
      </c>
    </row>
    <row r="75" spans="1:16" ht="13.15" x14ac:dyDescent="0.4">
      <c r="A75" s="8">
        <v>26</v>
      </c>
      <c r="B75">
        <v>507</v>
      </c>
      <c r="C75">
        <v>533</v>
      </c>
      <c r="D75">
        <v>539</v>
      </c>
      <c r="E75">
        <v>499</v>
      </c>
      <c r="F75">
        <v>461</v>
      </c>
      <c r="G75">
        <v>490</v>
      </c>
      <c r="H75">
        <v>534</v>
      </c>
      <c r="I75">
        <v>505</v>
      </c>
      <c r="J75">
        <v>514</v>
      </c>
      <c r="K75">
        <v>531</v>
      </c>
      <c r="L75">
        <v>520</v>
      </c>
      <c r="M75">
        <v>515</v>
      </c>
      <c r="N75">
        <v>546</v>
      </c>
      <c r="O75">
        <v>527</v>
      </c>
      <c r="P75">
        <v>498</v>
      </c>
    </row>
    <row r="76" spans="1:16" ht="13.15" x14ac:dyDescent="0.4">
      <c r="A76" s="8">
        <v>27</v>
      </c>
      <c r="B76">
        <v>387</v>
      </c>
      <c r="C76">
        <v>393</v>
      </c>
      <c r="D76">
        <v>388</v>
      </c>
      <c r="E76">
        <v>364</v>
      </c>
      <c r="F76">
        <v>341</v>
      </c>
      <c r="G76">
        <v>358</v>
      </c>
      <c r="H76">
        <v>401</v>
      </c>
      <c r="I76">
        <v>363</v>
      </c>
      <c r="J76">
        <v>396</v>
      </c>
      <c r="K76">
        <v>405</v>
      </c>
      <c r="L76">
        <v>403</v>
      </c>
      <c r="M76">
        <v>371</v>
      </c>
      <c r="N76">
        <v>396</v>
      </c>
      <c r="O76">
        <v>393</v>
      </c>
      <c r="P76">
        <v>361</v>
      </c>
    </row>
    <row r="77" spans="1:16" ht="13.15" x14ac:dyDescent="0.4">
      <c r="A77" s="8">
        <v>28</v>
      </c>
      <c r="B77">
        <v>277</v>
      </c>
      <c r="C77">
        <v>290</v>
      </c>
      <c r="D77">
        <v>278</v>
      </c>
      <c r="E77">
        <v>264</v>
      </c>
      <c r="F77">
        <v>253</v>
      </c>
      <c r="G77">
        <v>262</v>
      </c>
      <c r="H77">
        <v>293</v>
      </c>
      <c r="I77">
        <v>267</v>
      </c>
      <c r="J77">
        <v>297</v>
      </c>
      <c r="K77">
        <v>296</v>
      </c>
      <c r="L77">
        <v>302</v>
      </c>
      <c r="M77">
        <v>278</v>
      </c>
      <c r="N77">
        <v>302</v>
      </c>
      <c r="O77">
        <v>286</v>
      </c>
      <c r="P77">
        <v>260</v>
      </c>
    </row>
    <row r="78" spans="1:16" ht="13.15" x14ac:dyDescent="0.4">
      <c r="A78" s="8">
        <v>29</v>
      </c>
      <c r="B78">
        <v>212</v>
      </c>
      <c r="C78">
        <v>214</v>
      </c>
      <c r="D78">
        <v>202</v>
      </c>
      <c r="E78">
        <v>189</v>
      </c>
      <c r="F78">
        <v>181</v>
      </c>
      <c r="G78">
        <v>176</v>
      </c>
      <c r="H78">
        <v>203</v>
      </c>
      <c r="I78">
        <v>188</v>
      </c>
      <c r="J78">
        <v>215</v>
      </c>
      <c r="K78">
        <v>195</v>
      </c>
      <c r="L78">
        <v>214</v>
      </c>
      <c r="M78">
        <v>201</v>
      </c>
      <c r="N78">
        <v>222</v>
      </c>
      <c r="O78">
        <v>204</v>
      </c>
      <c r="P78">
        <v>179</v>
      </c>
    </row>
    <row r="79" spans="1:16" ht="13.15" x14ac:dyDescent="0.4">
      <c r="A79" s="8">
        <v>30</v>
      </c>
      <c r="B79">
        <v>152</v>
      </c>
      <c r="C79">
        <v>161</v>
      </c>
      <c r="D79">
        <v>143</v>
      </c>
      <c r="E79">
        <v>129</v>
      </c>
      <c r="F79">
        <v>128</v>
      </c>
      <c r="G79">
        <v>125</v>
      </c>
      <c r="H79">
        <v>144</v>
      </c>
      <c r="I79">
        <v>139</v>
      </c>
      <c r="J79">
        <v>165</v>
      </c>
      <c r="K79">
        <v>143</v>
      </c>
      <c r="L79">
        <v>156</v>
      </c>
      <c r="M79">
        <v>149</v>
      </c>
      <c r="N79">
        <v>148</v>
      </c>
      <c r="O79">
        <v>143</v>
      </c>
      <c r="P79">
        <v>120</v>
      </c>
    </row>
    <row r="80" spans="1:16" ht="13.15" x14ac:dyDescent="0.4">
      <c r="A80" s="8">
        <v>38</v>
      </c>
      <c r="B80">
        <v>111</v>
      </c>
      <c r="C80">
        <v>108</v>
      </c>
      <c r="D80">
        <v>98</v>
      </c>
      <c r="E80">
        <v>80</v>
      </c>
      <c r="F80">
        <v>93</v>
      </c>
      <c r="G80">
        <v>94</v>
      </c>
      <c r="H80">
        <v>93</v>
      </c>
      <c r="I80">
        <v>100</v>
      </c>
      <c r="J80">
        <v>118</v>
      </c>
      <c r="K80">
        <v>103</v>
      </c>
      <c r="L80">
        <v>120</v>
      </c>
      <c r="M80">
        <v>110</v>
      </c>
      <c r="N80">
        <v>103</v>
      </c>
      <c r="O80">
        <v>100</v>
      </c>
      <c r="P80">
        <v>79</v>
      </c>
    </row>
    <row r="81" spans="1:16" ht="13.15" x14ac:dyDescent="0.4">
      <c r="A81" s="8">
        <v>50</v>
      </c>
      <c r="B81">
        <v>57</v>
      </c>
      <c r="C81">
        <v>54</v>
      </c>
      <c r="D81">
        <v>55</v>
      </c>
      <c r="E81">
        <v>38</v>
      </c>
      <c r="F81">
        <v>55</v>
      </c>
      <c r="G81">
        <v>49</v>
      </c>
      <c r="H81">
        <v>45</v>
      </c>
      <c r="I81">
        <v>54</v>
      </c>
      <c r="J81">
        <v>59</v>
      </c>
      <c r="K81">
        <v>55</v>
      </c>
      <c r="L81">
        <v>57</v>
      </c>
      <c r="M81">
        <v>60</v>
      </c>
      <c r="N81">
        <v>54</v>
      </c>
      <c r="O81">
        <v>49</v>
      </c>
      <c r="P81">
        <v>41</v>
      </c>
    </row>
    <row r="82" spans="1:16" ht="13.15" x14ac:dyDescent="0.4">
      <c r="A82" s="8">
        <v>70</v>
      </c>
      <c r="B82">
        <v>17</v>
      </c>
      <c r="C82">
        <v>17</v>
      </c>
      <c r="D82">
        <v>13</v>
      </c>
      <c r="E82">
        <v>15</v>
      </c>
      <c r="F82">
        <v>20</v>
      </c>
      <c r="G82">
        <v>16</v>
      </c>
      <c r="H82">
        <v>17</v>
      </c>
      <c r="I82">
        <v>20</v>
      </c>
      <c r="J82">
        <v>19</v>
      </c>
      <c r="K82">
        <v>21</v>
      </c>
      <c r="L82">
        <v>28</v>
      </c>
      <c r="M82">
        <v>17</v>
      </c>
      <c r="N82">
        <v>21</v>
      </c>
      <c r="O82">
        <v>20</v>
      </c>
      <c r="P82">
        <v>15</v>
      </c>
    </row>
    <row r="114" spans="1:31" x14ac:dyDescent="0.35">
      <c r="A114">
        <v>4.4343669999999999</v>
      </c>
      <c r="B114">
        <v>64388</v>
      </c>
      <c r="C114">
        <v>55855</v>
      </c>
      <c r="D114">
        <v>48137</v>
      </c>
      <c r="E114">
        <v>41840</v>
      </c>
      <c r="F114">
        <v>35689</v>
      </c>
      <c r="G114">
        <v>30519</v>
      </c>
      <c r="H114">
        <v>25683</v>
      </c>
      <c r="I114">
        <v>21466</v>
      </c>
      <c r="J114">
        <v>17695</v>
      </c>
      <c r="K114">
        <v>14470</v>
      </c>
      <c r="L114">
        <v>11469</v>
      </c>
      <c r="M114">
        <v>9003</v>
      </c>
      <c r="N114">
        <v>7009</v>
      </c>
      <c r="O114">
        <v>5349</v>
      </c>
      <c r="P114">
        <v>4093</v>
      </c>
      <c r="Q114">
        <v>3121</v>
      </c>
      <c r="R114">
        <v>2397</v>
      </c>
      <c r="S114">
        <v>1877</v>
      </c>
      <c r="T114">
        <v>1438</v>
      </c>
      <c r="U114">
        <v>1115</v>
      </c>
      <c r="V114">
        <v>863</v>
      </c>
      <c r="W114">
        <v>671</v>
      </c>
      <c r="X114">
        <v>498</v>
      </c>
      <c r="Y114">
        <v>384</v>
      </c>
      <c r="Z114">
        <v>291</v>
      </c>
      <c r="AA114">
        <v>221</v>
      </c>
      <c r="AB114">
        <v>152</v>
      </c>
      <c r="AC114">
        <v>98</v>
      </c>
      <c r="AD114">
        <v>59</v>
      </c>
      <c r="AE114">
        <v>23</v>
      </c>
    </row>
    <row r="115" spans="1:31" x14ac:dyDescent="0.35">
      <c r="A115">
        <v>4.6901989999999998</v>
      </c>
      <c r="B115">
        <v>72121</v>
      </c>
      <c r="C115">
        <v>62239</v>
      </c>
      <c r="D115">
        <v>53670</v>
      </c>
      <c r="E115">
        <v>46644</v>
      </c>
      <c r="F115">
        <v>39776</v>
      </c>
      <c r="G115">
        <v>33796</v>
      </c>
      <c r="H115">
        <v>28315</v>
      </c>
      <c r="I115">
        <v>23678</v>
      </c>
      <c r="J115">
        <v>19431</v>
      </c>
      <c r="K115">
        <v>15862</v>
      </c>
      <c r="L115">
        <v>12657</v>
      </c>
      <c r="M115">
        <v>9859</v>
      </c>
      <c r="N115">
        <v>7679</v>
      </c>
      <c r="O115">
        <v>5856</v>
      </c>
      <c r="P115">
        <v>4497</v>
      </c>
      <c r="Q115">
        <v>3396</v>
      </c>
      <c r="R115">
        <v>2623</v>
      </c>
      <c r="S115">
        <v>2003</v>
      </c>
      <c r="T115">
        <v>1572</v>
      </c>
      <c r="U115">
        <v>1243</v>
      </c>
      <c r="V115">
        <v>940</v>
      </c>
      <c r="W115">
        <v>716</v>
      </c>
      <c r="X115">
        <v>537</v>
      </c>
      <c r="Y115">
        <v>402</v>
      </c>
      <c r="Z115">
        <v>276</v>
      </c>
      <c r="AA115">
        <v>189</v>
      </c>
      <c r="AB115">
        <v>133</v>
      </c>
      <c r="AC115">
        <v>93</v>
      </c>
      <c r="AD115">
        <v>49</v>
      </c>
      <c r="AE115">
        <v>16</v>
      </c>
    </row>
    <row r="116" spans="1:31" x14ac:dyDescent="0.35">
      <c r="A116">
        <v>4.744955</v>
      </c>
      <c r="B116">
        <v>67935</v>
      </c>
      <c r="C116">
        <v>58667</v>
      </c>
      <c r="D116">
        <v>50384</v>
      </c>
      <c r="E116">
        <v>43870</v>
      </c>
      <c r="F116">
        <v>37413</v>
      </c>
      <c r="G116">
        <v>32036</v>
      </c>
      <c r="H116">
        <v>27063</v>
      </c>
      <c r="I116">
        <v>22678</v>
      </c>
      <c r="J116">
        <v>18623</v>
      </c>
      <c r="K116">
        <v>15134</v>
      </c>
      <c r="L116">
        <v>12108</v>
      </c>
      <c r="M116">
        <v>9484</v>
      </c>
      <c r="N116">
        <v>7373</v>
      </c>
      <c r="O116">
        <v>5618</v>
      </c>
      <c r="P116">
        <v>4342</v>
      </c>
      <c r="Q116">
        <v>3291</v>
      </c>
      <c r="R116">
        <v>2498</v>
      </c>
      <c r="S116">
        <v>1917</v>
      </c>
      <c r="T116">
        <v>1464</v>
      </c>
      <c r="U116">
        <v>1102</v>
      </c>
      <c r="V116">
        <v>838</v>
      </c>
      <c r="W116">
        <v>635</v>
      </c>
      <c r="X116">
        <v>490</v>
      </c>
      <c r="Y116">
        <v>377</v>
      </c>
      <c r="Z116">
        <v>280</v>
      </c>
      <c r="AA116">
        <v>198</v>
      </c>
      <c r="AB116">
        <v>146</v>
      </c>
      <c r="AC116">
        <v>98</v>
      </c>
      <c r="AD116">
        <v>43</v>
      </c>
      <c r="AE116">
        <v>17</v>
      </c>
    </row>
    <row r="117" spans="1:31" x14ac:dyDescent="0.35">
      <c r="A117">
        <v>4.748761</v>
      </c>
      <c r="B117">
        <v>69981</v>
      </c>
      <c r="C117">
        <v>60722</v>
      </c>
      <c r="D117">
        <v>52333</v>
      </c>
      <c r="E117">
        <v>45693</v>
      </c>
      <c r="F117">
        <v>39015</v>
      </c>
      <c r="G117">
        <v>33220</v>
      </c>
      <c r="H117">
        <v>28116</v>
      </c>
      <c r="I117">
        <v>23506</v>
      </c>
      <c r="J117">
        <v>19272</v>
      </c>
      <c r="K117">
        <v>15653</v>
      </c>
      <c r="L117">
        <v>12506</v>
      </c>
      <c r="M117">
        <v>9774</v>
      </c>
      <c r="N117">
        <v>7584</v>
      </c>
      <c r="O117">
        <v>5798</v>
      </c>
      <c r="P117">
        <v>4410</v>
      </c>
      <c r="Q117">
        <v>3377</v>
      </c>
      <c r="R117">
        <v>2577</v>
      </c>
      <c r="S117">
        <v>1999</v>
      </c>
      <c r="T117">
        <v>1558</v>
      </c>
      <c r="U117">
        <v>1174</v>
      </c>
      <c r="V117">
        <v>904</v>
      </c>
      <c r="W117">
        <v>677</v>
      </c>
      <c r="X117">
        <v>517</v>
      </c>
      <c r="Y117">
        <v>378</v>
      </c>
      <c r="Z117">
        <v>265</v>
      </c>
      <c r="AA117">
        <v>196</v>
      </c>
      <c r="AB117">
        <v>133</v>
      </c>
      <c r="AC117">
        <v>89</v>
      </c>
      <c r="AD117">
        <v>53</v>
      </c>
      <c r="AE117">
        <v>24</v>
      </c>
    </row>
    <row r="118" spans="1:31" x14ac:dyDescent="0.35">
      <c r="A118">
        <v>4.7359669999999996</v>
      </c>
      <c r="B118">
        <v>69252</v>
      </c>
      <c r="C118">
        <v>59916</v>
      </c>
      <c r="D118">
        <v>51684</v>
      </c>
      <c r="E118">
        <v>44966</v>
      </c>
      <c r="F118">
        <v>38376</v>
      </c>
      <c r="G118">
        <v>32825</v>
      </c>
      <c r="H118">
        <v>27781</v>
      </c>
      <c r="I118">
        <v>23207</v>
      </c>
      <c r="J118">
        <v>19138</v>
      </c>
      <c r="K118">
        <v>15491</v>
      </c>
      <c r="L118">
        <v>12385</v>
      </c>
      <c r="M118">
        <v>9698</v>
      </c>
      <c r="N118">
        <v>7464</v>
      </c>
      <c r="O118">
        <v>5724</v>
      </c>
      <c r="P118">
        <v>4343</v>
      </c>
      <c r="Q118">
        <v>3335</v>
      </c>
      <c r="R118">
        <v>2504</v>
      </c>
      <c r="S118">
        <v>1927</v>
      </c>
      <c r="T118">
        <v>1458</v>
      </c>
      <c r="U118">
        <v>1114</v>
      </c>
      <c r="V118">
        <v>834</v>
      </c>
      <c r="W118">
        <v>611</v>
      </c>
      <c r="X118">
        <v>443</v>
      </c>
      <c r="Y118">
        <v>315</v>
      </c>
      <c r="Z118">
        <v>229</v>
      </c>
      <c r="AA118">
        <v>158</v>
      </c>
      <c r="AB118">
        <v>107</v>
      </c>
      <c r="AC118">
        <v>68</v>
      </c>
      <c r="AD118">
        <v>25</v>
      </c>
      <c r="AE118">
        <v>7</v>
      </c>
    </row>
    <row r="119" spans="1:31" x14ac:dyDescent="0.35">
      <c r="A119">
        <v>4.4241849999999996</v>
      </c>
      <c r="B119">
        <v>72019</v>
      </c>
      <c r="C119">
        <v>62253</v>
      </c>
      <c r="D119">
        <v>53440</v>
      </c>
      <c r="E119">
        <v>46394</v>
      </c>
      <c r="F119">
        <v>39493</v>
      </c>
      <c r="G119">
        <v>33581</v>
      </c>
      <c r="H119">
        <v>28267</v>
      </c>
      <c r="I119">
        <v>23493</v>
      </c>
      <c r="J119">
        <v>19157</v>
      </c>
      <c r="K119">
        <v>15619</v>
      </c>
      <c r="L119">
        <v>12358</v>
      </c>
      <c r="M119">
        <v>9666</v>
      </c>
      <c r="N119">
        <v>7498</v>
      </c>
      <c r="O119">
        <v>5730</v>
      </c>
      <c r="P119">
        <v>4390</v>
      </c>
      <c r="Q119">
        <v>3309</v>
      </c>
      <c r="R119">
        <v>2571</v>
      </c>
      <c r="S119">
        <v>1989</v>
      </c>
      <c r="T119">
        <v>1548</v>
      </c>
      <c r="U119">
        <v>1198</v>
      </c>
      <c r="V119">
        <v>931</v>
      </c>
      <c r="W119">
        <v>696</v>
      </c>
      <c r="X119">
        <v>507</v>
      </c>
      <c r="Y119">
        <v>387</v>
      </c>
      <c r="Z119">
        <v>277</v>
      </c>
      <c r="AA119">
        <v>212</v>
      </c>
      <c r="AB119">
        <v>152</v>
      </c>
      <c r="AC119">
        <v>111</v>
      </c>
      <c r="AD119">
        <v>57</v>
      </c>
      <c r="AE119">
        <v>17</v>
      </c>
    </row>
    <row r="120" spans="1:31" x14ac:dyDescent="0.35">
      <c r="A120">
        <v>4.7640890000000002</v>
      </c>
      <c r="B120">
        <v>75027</v>
      </c>
      <c r="C120">
        <v>65005</v>
      </c>
      <c r="D120">
        <v>55921</v>
      </c>
      <c r="E120">
        <v>48541</v>
      </c>
      <c r="F120">
        <v>41293</v>
      </c>
      <c r="G120">
        <v>35240</v>
      </c>
      <c r="H120">
        <v>29563</v>
      </c>
      <c r="I120">
        <v>24597</v>
      </c>
      <c r="J120">
        <v>20087</v>
      </c>
      <c r="K120">
        <v>16355</v>
      </c>
      <c r="L120">
        <v>12923</v>
      </c>
      <c r="M120">
        <v>10067</v>
      </c>
      <c r="N120">
        <v>7769</v>
      </c>
      <c r="O120">
        <v>5933</v>
      </c>
      <c r="P120">
        <v>4448</v>
      </c>
      <c r="Q120">
        <v>3387</v>
      </c>
      <c r="R120">
        <v>2609</v>
      </c>
      <c r="S120">
        <v>2006</v>
      </c>
      <c r="T120">
        <v>1562</v>
      </c>
      <c r="U120">
        <v>1218</v>
      </c>
      <c r="V120">
        <v>930</v>
      </c>
      <c r="W120">
        <v>703</v>
      </c>
      <c r="X120">
        <v>533</v>
      </c>
      <c r="Y120">
        <v>393</v>
      </c>
      <c r="Z120">
        <v>290</v>
      </c>
      <c r="AA120">
        <v>214</v>
      </c>
      <c r="AB120">
        <v>161</v>
      </c>
      <c r="AC120">
        <v>108</v>
      </c>
      <c r="AD120">
        <v>54</v>
      </c>
      <c r="AE120">
        <v>17</v>
      </c>
    </row>
    <row r="121" spans="1:31" x14ac:dyDescent="0.35">
      <c r="A121">
        <v>4.6754949999999997</v>
      </c>
      <c r="B121">
        <v>74111</v>
      </c>
      <c r="C121">
        <v>64302</v>
      </c>
      <c r="D121">
        <v>55417</v>
      </c>
      <c r="E121">
        <v>48023</v>
      </c>
      <c r="F121">
        <v>40879</v>
      </c>
      <c r="G121">
        <v>34764</v>
      </c>
      <c r="H121">
        <v>29194</v>
      </c>
      <c r="I121">
        <v>24200</v>
      </c>
      <c r="J121">
        <v>19890</v>
      </c>
      <c r="K121">
        <v>16155</v>
      </c>
      <c r="L121">
        <v>12761</v>
      </c>
      <c r="M121">
        <v>10011</v>
      </c>
      <c r="N121">
        <v>7776</v>
      </c>
      <c r="O121">
        <v>5879</v>
      </c>
      <c r="P121">
        <v>4502</v>
      </c>
      <c r="Q121">
        <v>3426</v>
      </c>
      <c r="R121">
        <v>2633</v>
      </c>
      <c r="S121">
        <v>2014</v>
      </c>
      <c r="T121">
        <v>1552</v>
      </c>
      <c r="U121">
        <v>1183</v>
      </c>
      <c r="V121">
        <v>930</v>
      </c>
      <c r="W121">
        <v>721</v>
      </c>
      <c r="X121">
        <v>539</v>
      </c>
      <c r="Y121">
        <v>388</v>
      </c>
      <c r="Z121">
        <v>278</v>
      </c>
      <c r="AA121">
        <v>202</v>
      </c>
      <c r="AB121">
        <v>143</v>
      </c>
      <c r="AC121">
        <v>98</v>
      </c>
      <c r="AD121">
        <v>55</v>
      </c>
      <c r="AE121">
        <v>13</v>
      </c>
    </row>
    <row r="122" spans="1:31" x14ac:dyDescent="0.35">
      <c r="A122">
        <v>4.7296820000000004</v>
      </c>
      <c r="B122">
        <v>75639</v>
      </c>
      <c r="C122">
        <v>65594</v>
      </c>
      <c r="D122">
        <v>56511</v>
      </c>
      <c r="E122">
        <v>49104</v>
      </c>
      <c r="F122">
        <v>41679</v>
      </c>
      <c r="G122">
        <v>35572</v>
      </c>
      <c r="H122">
        <v>29931</v>
      </c>
      <c r="I122">
        <v>24913</v>
      </c>
      <c r="J122">
        <v>20448</v>
      </c>
      <c r="K122">
        <v>16600</v>
      </c>
      <c r="L122">
        <v>13099</v>
      </c>
      <c r="M122">
        <v>10150</v>
      </c>
      <c r="N122">
        <v>7757</v>
      </c>
      <c r="O122">
        <v>5971</v>
      </c>
      <c r="P122">
        <v>4543</v>
      </c>
      <c r="Q122">
        <v>3457</v>
      </c>
      <c r="R122">
        <v>2637</v>
      </c>
      <c r="S122">
        <v>2041</v>
      </c>
      <c r="T122">
        <v>1596</v>
      </c>
      <c r="U122">
        <v>1233</v>
      </c>
      <c r="V122">
        <v>929</v>
      </c>
      <c r="W122">
        <v>682</v>
      </c>
      <c r="X122">
        <v>499</v>
      </c>
      <c r="Y122">
        <v>364</v>
      </c>
      <c r="Z122">
        <v>264</v>
      </c>
      <c r="AA122">
        <v>189</v>
      </c>
      <c r="AB122">
        <v>129</v>
      </c>
      <c r="AC122">
        <v>80</v>
      </c>
      <c r="AD122">
        <v>38</v>
      </c>
      <c r="AE122">
        <v>15</v>
      </c>
    </row>
    <row r="123" spans="1:31" x14ac:dyDescent="0.35">
      <c r="A123">
        <v>4.7067110000000003</v>
      </c>
      <c r="B123">
        <v>73651</v>
      </c>
      <c r="C123">
        <v>63784</v>
      </c>
      <c r="D123">
        <v>54796</v>
      </c>
      <c r="E123">
        <v>47633</v>
      </c>
      <c r="F123">
        <v>40571</v>
      </c>
      <c r="G123">
        <v>34548</v>
      </c>
      <c r="H123">
        <v>29074</v>
      </c>
      <c r="I123">
        <v>24164</v>
      </c>
      <c r="J123">
        <v>19874</v>
      </c>
      <c r="K123">
        <v>16059</v>
      </c>
      <c r="L123">
        <v>12665</v>
      </c>
      <c r="M123">
        <v>9871</v>
      </c>
      <c r="N123">
        <v>7588</v>
      </c>
      <c r="O123">
        <v>5812</v>
      </c>
      <c r="P123">
        <v>4402</v>
      </c>
      <c r="Q123">
        <v>3313</v>
      </c>
      <c r="R123">
        <v>2513</v>
      </c>
      <c r="S123">
        <v>1883</v>
      </c>
      <c r="T123">
        <v>1436</v>
      </c>
      <c r="U123">
        <v>1084</v>
      </c>
      <c r="V123">
        <v>810</v>
      </c>
      <c r="W123">
        <v>615</v>
      </c>
      <c r="X123">
        <v>461</v>
      </c>
      <c r="Y123">
        <v>341</v>
      </c>
      <c r="Z123">
        <v>253</v>
      </c>
      <c r="AA123">
        <v>181</v>
      </c>
      <c r="AB123">
        <v>128</v>
      </c>
      <c r="AC123">
        <v>93</v>
      </c>
      <c r="AD123">
        <v>55</v>
      </c>
      <c r="AE123">
        <v>20</v>
      </c>
    </row>
    <row r="124" spans="1:31" x14ac:dyDescent="0.35">
      <c r="A124">
        <v>4.4284780000000001</v>
      </c>
      <c r="B124">
        <v>67545</v>
      </c>
      <c r="C124">
        <v>58592</v>
      </c>
      <c r="D124">
        <v>50620</v>
      </c>
      <c r="E124">
        <v>44243</v>
      </c>
      <c r="F124">
        <v>37930</v>
      </c>
      <c r="G124">
        <v>32599</v>
      </c>
      <c r="H124">
        <v>27589</v>
      </c>
      <c r="I124">
        <v>23077</v>
      </c>
      <c r="J124">
        <v>19065</v>
      </c>
      <c r="K124">
        <v>15535</v>
      </c>
      <c r="L124">
        <v>12348</v>
      </c>
      <c r="M124">
        <v>9653</v>
      </c>
      <c r="N124">
        <v>7444</v>
      </c>
      <c r="O124">
        <v>5689</v>
      </c>
      <c r="P124">
        <v>4351</v>
      </c>
      <c r="Q124">
        <v>3371</v>
      </c>
      <c r="R124">
        <v>2583</v>
      </c>
      <c r="S124">
        <v>1954</v>
      </c>
      <c r="T124">
        <v>1498</v>
      </c>
      <c r="U124">
        <v>1149</v>
      </c>
      <c r="V124">
        <v>869</v>
      </c>
      <c r="W124">
        <v>660</v>
      </c>
      <c r="X124">
        <v>490</v>
      </c>
      <c r="Y124">
        <v>358</v>
      </c>
      <c r="Z124">
        <v>262</v>
      </c>
      <c r="AA124">
        <v>176</v>
      </c>
      <c r="AB124">
        <v>125</v>
      </c>
      <c r="AC124">
        <v>94</v>
      </c>
      <c r="AD124">
        <v>49</v>
      </c>
      <c r="AE124">
        <v>16</v>
      </c>
    </row>
    <row r="125" spans="1:31" x14ac:dyDescent="0.35">
      <c r="A125">
        <v>4.7481179999999998</v>
      </c>
      <c r="B125">
        <v>73194</v>
      </c>
      <c r="C125">
        <v>63602</v>
      </c>
      <c r="D125">
        <v>55077</v>
      </c>
      <c r="E125">
        <v>47886</v>
      </c>
      <c r="F125">
        <v>40829</v>
      </c>
      <c r="G125">
        <v>35025</v>
      </c>
      <c r="H125">
        <v>29567</v>
      </c>
      <c r="I125">
        <v>24763</v>
      </c>
      <c r="J125">
        <v>20448</v>
      </c>
      <c r="K125">
        <v>16608</v>
      </c>
      <c r="L125">
        <v>13267</v>
      </c>
      <c r="M125">
        <v>10343</v>
      </c>
      <c r="N125">
        <v>7929</v>
      </c>
      <c r="O125">
        <v>6044</v>
      </c>
      <c r="P125">
        <v>4532</v>
      </c>
      <c r="Q125">
        <v>3445</v>
      </c>
      <c r="R125">
        <v>2638</v>
      </c>
      <c r="S125">
        <v>1977</v>
      </c>
      <c r="T125">
        <v>1549</v>
      </c>
      <c r="U125">
        <v>1180</v>
      </c>
      <c r="V125">
        <v>925</v>
      </c>
      <c r="W125">
        <v>695</v>
      </c>
      <c r="X125">
        <v>534</v>
      </c>
      <c r="Y125">
        <v>401</v>
      </c>
      <c r="Z125">
        <v>293</v>
      </c>
      <c r="AA125">
        <v>203</v>
      </c>
      <c r="AB125">
        <v>144</v>
      </c>
      <c r="AC125">
        <v>93</v>
      </c>
      <c r="AD125">
        <v>45</v>
      </c>
      <c r="AE125">
        <v>17</v>
      </c>
    </row>
    <row r="126" spans="1:31" x14ac:dyDescent="0.35">
      <c r="A126">
        <v>4.6873889999999996</v>
      </c>
      <c r="B126">
        <v>72415</v>
      </c>
      <c r="C126">
        <v>62891</v>
      </c>
      <c r="D126">
        <v>54292</v>
      </c>
      <c r="E126">
        <v>47503</v>
      </c>
      <c r="F126">
        <v>40710</v>
      </c>
      <c r="G126">
        <v>34886</v>
      </c>
      <c r="H126">
        <v>29562</v>
      </c>
      <c r="I126">
        <v>24671</v>
      </c>
      <c r="J126">
        <v>20262</v>
      </c>
      <c r="K126">
        <v>16473</v>
      </c>
      <c r="L126">
        <v>13153</v>
      </c>
      <c r="M126">
        <v>10260</v>
      </c>
      <c r="N126">
        <v>7902</v>
      </c>
      <c r="O126">
        <v>6015</v>
      </c>
      <c r="P126">
        <v>4604</v>
      </c>
      <c r="Q126">
        <v>3459</v>
      </c>
      <c r="R126">
        <v>2559</v>
      </c>
      <c r="S126">
        <v>1977</v>
      </c>
      <c r="T126">
        <v>1531</v>
      </c>
      <c r="U126">
        <v>1175</v>
      </c>
      <c r="V126">
        <v>915</v>
      </c>
      <c r="W126">
        <v>677</v>
      </c>
      <c r="X126">
        <v>505</v>
      </c>
      <c r="Y126">
        <v>363</v>
      </c>
      <c r="Z126">
        <v>267</v>
      </c>
      <c r="AA126">
        <v>188</v>
      </c>
      <c r="AB126">
        <v>139</v>
      </c>
      <c r="AC126">
        <v>100</v>
      </c>
      <c r="AD126">
        <v>54</v>
      </c>
      <c r="AE126">
        <v>20</v>
      </c>
    </row>
    <row r="127" spans="1:31" x14ac:dyDescent="0.35">
      <c r="A127">
        <v>4.7422009999999997</v>
      </c>
      <c r="B127">
        <v>73656</v>
      </c>
      <c r="C127">
        <v>63930</v>
      </c>
      <c r="D127">
        <v>55164</v>
      </c>
      <c r="E127">
        <v>48023</v>
      </c>
      <c r="F127">
        <v>41004</v>
      </c>
      <c r="G127">
        <v>35088</v>
      </c>
      <c r="H127">
        <v>29577</v>
      </c>
      <c r="I127">
        <v>24747</v>
      </c>
      <c r="J127">
        <v>20390</v>
      </c>
      <c r="K127">
        <v>16595</v>
      </c>
      <c r="L127">
        <v>13206</v>
      </c>
      <c r="M127">
        <v>10334</v>
      </c>
      <c r="N127">
        <v>8072</v>
      </c>
      <c r="O127">
        <v>6104</v>
      </c>
      <c r="P127">
        <v>4731</v>
      </c>
      <c r="Q127">
        <v>3590</v>
      </c>
      <c r="R127">
        <v>2717</v>
      </c>
      <c r="S127">
        <v>2070</v>
      </c>
      <c r="T127">
        <v>1589</v>
      </c>
      <c r="U127">
        <v>1234</v>
      </c>
      <c r="V127">
        <v>886</v>
      </c>
      <c r="W127">
        <v>676</v>
      </c>
      <c r="X127">
        <v>514</v>
      </c>
      <c r="Y127">
        <v>396</v>
      </c>
      <c r="Z127">
        <v>297</v>
      </c>
      <c r="AA127">
        <v>215</v>
      </c>
      <c r="AB127">
        <v>165</v>
      </c>
      <c r="AC127">
        <v>118</v>
      </c>
      <c r="AD127">
        <v>59</v>
      </c>
      <c r="AE127">
        <v>19</v>
      </c>
    </row>
    <row r="128" spans="1:31" x14ac:dyDescent="0.35">
      <c r="A128">
        <v>4.7405759999999999</v>
      </c>
      <c r="B128">
        <v>71927</v>
      </c>
      <c r="C128">
        <v>62465</v>
      </c>
      <c r="D128">
        <v>54115</v>
      </c>
      <c r="E128">
        <v>47095</v>
      </c>
      <c r="F128">
        <v>40304</v>
      </c>
      <c r="G128">
        <v>34333</v>
      </c>
      <c r="H128">
        <v>29023</v>
      </c>
      <c r="I128">
        <v>24286</v>
      </c>
      <c r="J128">
        <v>19906</v>
      </c>
      <c r="K128">
        <v>16166</v>
      </c>
      <c r="L128">
        <v>12862</v>
      </c>
      <c r="M128">
        <v>10104</v>
      </c>
      <c r="N128">
        <v>7831</v>
      </c>
      <c r="O128">
        <v>5988</v>
      </c>
      <c r="P128">
        <v>4564</v>
      </c>
      <c r="Q128">
        <v>3495</v>
      </c>
      <c r="R128">
        <v>2639</v>
      </c>
      <c r="S128">
        <v>2052</v>
      </c>
      <c r="T128">
        <v>1595</v>
      </c>
      <c r="U128">
        <v>1220</v>
      </c>
      <c r="V128">
        <v>944</v>
      </c>
      <c r="W128">
        <v>717</v>
      </c>
      <c r="X128">
        <v>531</v>
      </c>
      <c r="Y128">
        <v>405</v>
      </c>
      <c r="Z128">
        <v>296</v>
      </c>
      <c r="AA128">
        <v>195</v>
      </c>
      <c r="AB128">
        <v>143</v>
      </c>
      <c r="AC128">
        <v>103</v>
      </c>
      <c r="AD128">
        <v>55</v>
      </c>
      <c r="AE128">
        <v>21</v>
      </c>
    </row>
    <row r="129" spans="1:31" x14ac:dyDescent="0.35">
      <c r="A129">
        <v>4.47241</v>
      </c>
      <c r="B129">
        <v>67387</v>
      </c>
      <c r="C129">
        <v>58253</v>
      </c>
      <c r="D129">
        <v>50053</v>
      </c>
      <c r="E129">
        <v>43690</v>
      </c>
      <c r="F129">
        <v>37464</v>
      </c>
      <c r="G129">
        <v>32054</v>
      </c>
      <c r="H129">
        <v>27181</v>
      </c>
      <c r="I129">
        <v>22708</v>
      </c>
      <c r="J129">
        <v>18734</v>
      </c>
      <c r="K129">
        <v>15251</v>
      </c>
      <c r="L129">
        <v>12197</v>
      </c>
      <c r="M129">
        <v>9591</v>
      </c>
      <c r="N129">
        <v>7441</v>
      </c>
      <c r="O129">
        <v>5766</v>
      </c>
      <c r="P129">
        <v>4363</v>
      </c>
      <c r="Q129">
        <v>3412</v>
      </c>
      <c r="R129">
        <v>2606</v>
      </c>
      <c r="S129">
        <v>2020</v>
      </c>
      <c r="T129">
        <v>1578</v>
      </c>
      <c r="U129">
        <v>1236</v>
      </c>
      <c r="V129">
        <v>923</v>
      </c>
      <c r="W129">
        <v>710</v>
      </c>
      <c r="X129">
        <v>520</v>
      </c>
      <c r="Y129">
        <v>403</v>
      </c>
      <c r="Z129">
        <v>302</v>
      </c>
      <c r="AA129">
        <v>214</v>
      </c>
      <c r="AB129">
        <v>156</v>
      </c>
      <c r="AC129">
        <v>120</v>
      </c>
      <c r="AD129">
        <v>57</v>
      </c>
      <c r="AE129">
        <v>28</v>
      </c>
    </row>
    <row r="130" spans="1:31" x14ac:dyDescent="0.35">
      <c r="A130">
        <v>4.749409</v>
      </c>
      <c r="B130">
        <v>70861</v>
      </c>
      <c r="C130">
        <v>61219</v>
      </c>
      <c r="D130">
        <v>52736</v>
      </c>
      <c r="E130">
        <v>45829</v>
      </c>
      <c r="F130">
        <v>39124</v>
      </c>
      <c r="G130">
        <v>33483</v>
      </c>
      <c r="H130">
        <v>28246</v>
      </c>
      <c r="I130">
        <v>23679</v>
      </c>
      <c r="J130">
        <v>19649</v>
      </c>
      <c r="K130">
        <v>16079</v>
      </c>
      <c r="L130">
        <v>12742</v>
      </c>
      <c r="M130">
        <v>9987</v>
      </c>
      <c r="N130">
        <v>7706</v>
      </c>
      <c r="O130">
        <v>5894</v>
      </c>
      <c r="P130">
        <v>4520</v>
      </c>
      <c r="Q130">
        <v>3463</v>
      </c>
      <c r="R130">
        <v>2660</v>
      </c>
      <c r="S130">
        <v>2047</v>
      </c>
      <c r="T130">
        <v>1574</v>
      </c>
      <c r="U130">
        <v>1189</v>
      </c>
      <c r="V130">
        <v>918</v>
      </c>
      <c r="W130">
        <v>700</v>
      </c>
      <c r="X130">
        <v>515</v>
      </c>
      <c r="Y130">
        <v>371</v>
      </c>
      <c r="Z130">
        <v>278</v>
      </c>
      <c r="AA130">
        <v>201</v>
      </c>
      <c r="AB130">
        <v>149</v>
      </c>
      <c r="AC130">
        <v>110</v>
      </c>
      <c r="AD130">
        <v>60</v>
      </c>
      <c r="AE130">
        <v>17</v>
      </c>
    </row>
    <row r="131" spans="1:31" x14ac:dyDescent="0.35">
      <c r="A131">
        <v>4.6970419999999997</v>
      </c>
      <c r="B131">
        <v>69446</v>
      </c>
      <c r="C131">
        <v>60098</v>
      </c>
      <c r="D131">
        <v>51723</v>
      </c>
      <c r="E131">
        <v>44972</v>
      </c>
      <c r="F131">
        <v>38431</v>
      </c>
      <c r="G131">
        <v>32834</v>
      </c>
      <c r="H131">
        <v>27733</v>
      </c>
      <c r="I131">
        <v>23155</v>
      </c>
      <c r="J131">
        <v>19202</v>
      </c>
      <c r="K131">
        <v>15691</v>
      </c>
      <c r="L131">
        <v>12480</v>
      </c>
      <c r="M131">
        <v>9754</v>
      </c>
      <c r="N131">
        <v>7608</v>
      </c>
      <c r="O131">
        <v>5858</v>
      </c>
      <c r="P131">
        <v>4485</v>
      </c>
      <c r="Q131">
        <v>3420</v>
      </c>
      <c r="R131">
        <v>2638</v>
      </c>
      <c r="S131">
        <v>1992</v>
      </c>
      <c r="T131">
        <v>1556</v>
      </c>
      <c r="U131">
        <v>1206</v>
      </c>
      <c r="V131">
        <v>936</v>
      </c>
      <c r="W131">
        <v>726</v>
      </c>
      <c r="X131">
        <v>546</v>
      </c>
      <c r="Y131">
        <v>396</v>
      </c>
      <c r="Z131">
        <v>302</v>
      </c>
      <c r="AA131">
        <v>222</v>
      </c>
      <c r="AB131">
        <v>148</v>
      </c>
      <c r="AC131">
        <v>103</v>
      </c>
      <c r="AD131">
        <v>54</v>
      </c>
      <c r="AE131">
        <v>21</v>
      </c>
    </row>
    <row r="132" spans="1:31" x14ac:dyDescent="0.35">
      <c r="A132">
        <v>4.7490690000000004</v>
      </c>
      <c r="B132">
        <v>71773</v>
      </c>
      <c r="C132">
        <v>62085</v>
      </c>
      <c r="D132">
        <v>53532</v>
      </c>
      <c r="E132">
        <v>46518</v>
      </c>
      <c r="F132">
        <v>39495</v>
      </c>
      <c r="G132">
        <v>33655</v>
      </c>
      <c r="H132">
        <v>28434</v>
      </c>
      <c r="I132">
        <v>23695</v>
      </c>
      <c r="J132">
        <v>19454</v>
      </c>
      <c r="K132">
        <v>15991</v>
      </c>
      <c r="L132">
        <v>12663</v>
      </c>
      <c r="M132">
        <v>9911</v>
      </c>
      <c r="N132">
        <v>7739</v>
      </c>
      <c r="O132">
        <v>5917</v>
      </c>
      <c r="P132">
        <v>4488</v>
      </c>
      <c r="Q132">
        <v>3418</v>
      </c>
      <c r="R132">
        <v>2604</v>
      </c>
      <c r="S132">
        <v>2019</v>
      </c>
      <c r="T132">
        <v>1552</v>
      </c>
      <c r="U132">
        <v>1194</v>
      </c>
      <c r="V132">
        <v>904</v>
      </c>
      <c r="W132">
        <v>688</v>
      </c>
      <c r="X132">
        <v>527</v>
      </c>
      <c r="Y132">
        <v>393</v>
      </c>
      <c r="Z132">
        <v>286</v>
      </c>
      <c r="AA132">
        <v>204</v>
      </c>
      <c r="AB132">
        <v>143</v>
      </c>
      <c r="AC132">
        <v>100</v>
      </c>
      <c r="AD132">
        <v>49</v>
      </c>
      <c r="AE132">
        <v>20</v>
      </c>
    </row>
    <row r="133" spans="1:31" x14ac:dyDescent="0.35">
      <c r="A133">
        <v>4.766686</v>
      </c>
      <c r="B133">
        <v>70552</v>
      </c>
      <c r="C133">
        <v>60984</v>
      </c>
      <c r="D133">
        <v>52623</v>
      </c>
      <c r="E133">
        <v>45715</v>
      </c>
      <c r="F133">
        <v>39063</v>
      </c>
      <c r="G133">
        <v>33430</v>
      </c>
      <c r="H133">
        <v>28179</v>
      </c>
      <c r="I133">
        <v>23574</v>
      </c>
      <c r="J133">
        <v>19471</v>
      </c>
      <c r="K133">
        <v>15805</v>
      </c>
      <c r="L133">
        <v>12586</v>
      </c>
      <c r="M133">
        <v>9871</v>
      </c>
      <c r="N133">
        <v>7649</v>
      </c>
      <c r="O133">
        <v>5822</v>
      </c>
      <c r="P133">
        <v>4405</v>
      </c>
      <c r="Q133">
        <v>3355</v>
      </c>
      <c r="R133">
        <v>2521</v>
      </c>
      <c r="S133">
        <v>1895</v>
      </c>
      <c r="T133">
        <v>1451</v>
      </c>
      <c r="U133">
        <v>1108</v>
      </c>
      <c r="V133">
        <v>843</v>
      </c>
      <c r="W133">
        <v>657</v>
      </c>
      <c r="X133">
        <v>498</v>
      </c>
      <c r="Y133">
        <v>361</v>
      </c>
      <c r="Z133">
        <v>260</v>
      </c>
      <c r="AA133">
        <v>179</v>
      </c>
      <c r="AB133">
        <v>120</v>
      </c>
      <c r="AC133">
        <v>79</v>
      </c>
      <c r="AD133">
        <v>41</v>
      </c>
      <c r="AE133">
        <v>15</v>
      </c>
    </row>
  </sheetData>
  <mergeCells count="1">
    <mergeCell ref="A2:E2"/>
  </mergeCells>
  <conditionalFormatting sqref="H9:H40">
    <cfRule type="cellIs" dxfId="15" priority="2" operator="greaterThan">
      <formula>1000</formula>
    </cfRule>
  </conditionalFormatting>
  <conditionalFormatting sqref="K9:K40">
    <cfRule type="cellIs" dxfId="14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W82"/>
  <sheetViews>
    <sheetView zoomScale="70" zoomScaleNormal="70" workbookViewId="0">
      <selection activeCell="H34" sqref="H34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89" t="s">
        <v>196</v>
      </c>
      <c r="O2" s="89"/>
    </row>
    <row r="3" spans="1:49" ht="13.15" x14ac:dyDescent="0.4">
      <c r="A3" t="str">
        <f>'6 - B1'!$A$3</f>
        <v>Serial #</v>
      </c>
      <c r="B3" s="87" t="str">
        <f>'6 - B1'!$B$3</f>
        <v>11171-00009</v>
      </c>
    </row>
    <row r="4" spans="1:49" ht="19.149999999999999" customHeight="1" x14ac:dyDescent="1.05">
      <c r="A4" s="8" t="str">
        <f>'6 - B1'!$A$4</f>
        <v>Date</v>
      </c>
      <c r="B4" s="88">
        <f>'6 - B1'!$B$4</f>
        <v>45832</v>
      </c>
      <c r="O4" s="89"/>
    </row>
    <row r="5" spans="1:49" ht="13.15" x14ac:dyDescent="0.4">
      <c r="A5" s="8" t="str">
        <f>'6 - B1'!$A$5</f>
        <v>RM</v>
      </c>
      <c r="B5" s="104" t="str">
        <f>'6 - B1'!$B$5</f>
        <v>34D</v>
      </c>
      <c r="O5" s="32"/>
    </row>
    <row r="6" spans="1:49" ht="13.15" x14ac:dyDescent="0.4">
      <c r="B6" s="8"/>
      <c r="C6" s="8"/>
      <c r="D6" s="8"/>
      <c r="E6" s="8"/>
      <c r="F6" s="8"/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L7" s="76" t="s">
        <v>152</v>
      </c>
      <c r="O7" s="76"/>
    </row>
    <row r="8" spans="1:49" ht="13.15" x14ac:dyDescent="0.4">
      <c r="A8" s="79" t="s">
        <v>153</v>
      </c>
      <c r="B8" s="49">
        <f>G52</f>
        <v>4.4284780000000001</v>
      </c>
      <c r="C8" s="49">
        <f>H52</f>
        <v>4.7481179999999998</v>
      </c>
      <c r="D8" s="49">
        <f>I52</f>
        <v>4.6873889999999996</v>
      </c>
      <c r="E8" s="49">
        <f>J52</f>
        <v>4.7422009999999997</v>
      </c>
      <c r="F8" s="49">
        <f>K52</f>
        <v>4.7405759999999999</v>
      </c>
      <c r="G8" s="92">
        <f>AVERAGE(B$8:F$8)*5</f>
        <v>23.346762000000002</v>
      </c>
      <c r="I8" s="93"/>
      <c r="K8" s="93"/>
    </row>
    <row r="9" spans="1:49" ht="13.15" x14ac:dyDescent="0.4">
      <c r="A9" s="79" t="s">
        <v>154</v>
      </c>
      <c r="B9" s="45">
        <f t="shared" ref="B9:B38" si="0">G53/B$8</f>
        <v>15252.418551023624</v>
      </c>
      <c r="C9" s="45">
        <f t="shared" ref="C9:C38" si="1">H53/C$8</f>
        <v>15415.370890108461</v>
      </c>
      <c r="D9" s="45">
        <f t="shared" ref="D9:D38" si="2">I53/D$8</f>
        <v>15448.899163265522</v>
      </c>
      <c r="E9" s="45">
        <f t="shared" ref="E9:E38" si="3">J53/E$8</f>
        <v>15532.02827126054</v>
      </c>
      <c r="F9" s="45">
        <f t="shared" ref="F9:F38" si="4">K53/F$8</f>
        <v>15172.628811351195</v>
      </c>
      <c r="G9" s="94">
        <f t="shared" ref="G9:G38" si="5">AVERAGE(B9:F9)</f>
        <v>15364.269137401867</v>
      </c>
      <c r="H9" s="95">
        <f t="shared" ref="H9:H38" si="6">G9*G$8</f>
        <v>358705.9348548667</v>
      </c>
      <c r="I9" s="93">
        <f t="shared" ref="I9:I38" si="7">STDEVP(B9:F9)/AVERAGE(B9:F9)</f>
        <v>8.5930051800144572E-3</v>
      </c>
      <c r="J9" s="93">
        <f t="shared" ref="J9:J38" si="8">IF(H9&gt;$A$43, $C$43, IF(H9&gt;$A$44, $C$44, IF(H9&gt;$A$45,$C$45,IF(H9&gt;$A$46,$C$46, IF(H9&gt;$A$47,$C$47,IF(H9&gt;$A$48,$C$48,$C$49))))))/100</f>
        <v>0.11</v>
      </c>
      <c r="K9" s="93">
        <f t="shared" ref="K9:K38" si="9">(MAX(B9:F9)-MIN(B9:F9))/G9</f>
        <v>2.3391900824911025E-2</v>
      </c>
      <c r="L9">
        <f t="shared" ref="L9:L38" si="10">COUNTA(B9:F9)</f>
        <v>5</v>
      </c>
      <c r="O9" s="45"/>
    </row>
    <row r="10" spans="1:49" ht="13.15" x14ac:dyDescent="0.4">
      <c r="A10" s="79" t="s">
        <v>155</v>
      </c>
      <c r="B10" s="45">
        <f t="shared" si="0"/>
        <v>13230.730738642034</v>
      </c>
      <c r="C10" s="45">
        <f t="shared" si="1"/>
        <v>13395.202056899176</v>
      </c>
      <c r="D10" s="45">
        <f t="shared" si="2"/>
        <v>13417.064382751252</v>
      </c>
      <c r="E10" s="45">
        <f t="shared" si="3"/>
        <v>13481.081885816313</v>
      </c>
      <c r="F10" s="45">
        <f t="shared" si="4"/>
        <v>13176.66882674173</v>
      </c>
      <c r="G10" s="94">
        <f t="shared" si="5"/>
        <v>13340.1495781701</v>
      </c>
      <c r="H10" s="95">
        <f t="shared" si="6"/>
        <v>311449.29724593775</v>
      </c>
      <c r="I10" s="93">
        <f t="shared" si="7"/>
        <v>8.7102126063220309E-3</v>
      </c>
      <c r="J10" s="93">
        <f t="shared" si="8"/>
        <v>0.11</v>
      </c>
      <c r="K10" s="93">
        <f t="shared" si="9"/>
        <v>2.2819313778364672E-2</v>
      </c>
      <c r="L10">
        <f t="shared" si="10"/>
        <v>5</v>
      </c>
      <c r="O10" s="45"/>
    </row>
    <row r="11" spans="1:49" ht="13.15" x14ac:dyDescent="0.4">
      <c r="A11" s="79" t="s">
        <v>156</v>
      </c>
      <c r="B11" s="45">
        <f t="shared" si="0"/>
        <v>11430.56372866705</v>
      </c>
      <c r="C11" s="45">
        <f t="shared" si="1"/>
        <v>11599.75383931065</v>
      </c>
      <c r="D11" s="45">
        <f t="shared" si="2"/>
        <v>11582.567608534304</v>
      </c>
      <c r="E11" s="45">
        <f t="shared" si="3"/>
        <v>11632.573144832959</v>
      </c>
      <c r="F11" s="45">
        <f t="shared" si="4"/>
        <v>11415.279493462398</v>
      </c>
      <c r="G11" s="94">
        <f t="shared" si="5"/>
        <v>11532.147562961472</v>
      </c>
      <c r="H11" s="95">
        <f t="shared" si="6"/>
        <v>269238.30450134154</v>
      </c>
      <c r="I11" s="93">
        <f t="shared" si="7"/>
        <v>7.8690859824994339E-3</v>
      </c>
      <c r="J11" s="93">
        <f t="shared" si="8"/>
        <v>0.11</v>
      </c>
      <c r="K11" s="93">
        <f t="shared" si="9"/>
        <v>1.8842427239524458E-2</v>
      </c>
      <c r="L11">
        <f t="shared" si="10"/>
        <v>5</v>
      </c>
      <c r="O11" s="45"/>
    </row>
    <row r="12" spans="1:49" ht="13.15" x14ac:dyDescent="0.4">
      <c r="A12" s="79" t="s">
        <v>157</v>
      </c>
      <c r="B12" s="45">
        <f t="shared" si="0"/>
        <v>9990.5656074163635</v>
      </c>
      <c r="C12" s="45">
        <f t="shared" si="1"/>
        <v>10085.259043688468</v>
      </c>
      <c r="D12" s="45">
        <f t="shared" si="2"/>
        <v>10134.213311504551</v>
      </c>
      <c r="E12" s="45">
        <f t="shared" si="3"/>
        <v>10126.732291608898</v>
      </c>
      <c r="F12" s="45">
        <f t="shared" si="4"/>
        <v>9934.4467845257623</v>
      </c>
      <c r="G12" s="94">
        <f t="shared" si="5"/>
        <v>10054.243407748809</v>
      </c>
      <c r="H12" s="95">
        <f t="shared" si="6"/>
        <v>234734.0279307804</v>
      </c>
      <c r="I12" s="93">
        <f t="shared" si="7"/>
        <v>7.833786028728305E-3</v>
      </c>
      <c r="J12" s="93">
        <f t="shared" si="8"/>
        <v>0.11</v>
      </c>
      <c r="K12" s="93">
        <f t="shared" si="9"/>
        <v>1.9868877137470972E-2</v>
      </c>
      <c r="L12">
        <f t="shared" si="10"/>
        <v>5</v>
      </c>
      <c r="O12" s="45"/>
    </row>
    <row r="13" spans="1:49" ht="13.15" x14ac:dyDescent="0.4">
      <c r="A13" s="79" t="s">
        <v>158</v>
      </c>
      <c r="B13" s="45">
        <f t="shared" si="0"/>
        <v>8565.0194039577473</v>
      </c>
      <c r="C13" s="45">
        <f t="shared" si="1"/>
        <v>8598.9859561198773</v>
      </c>
      <c r="D13" s="45">
        <f t="shared" si="2"/>
        <v>8685.0056609340518</v>
      </c>
      <c r="E13" s="45">
        <f t="shared" si="3"/>
        <v>8646.6178890350711</v>
      </c>
      <c r="F13" s="45">
        <f t="shared" si="4"/>
        <v>8501.9204417353503</v>
      </c>
      <c r="G13" s="94">
        <f t="shared" si="5"/>
        <v>8599.5098703564199</v>
      </c>
      <c r="H13" s="95">
        <f t="shared" si="6"/>
        <v>200770.71025986222</v>
      </c>
      <c r="I13" s="93">
        <f t="shared" si="7"/>
        <v>7.3989618297041326E-3</v>
      </c>
      <c r="J13" s="93">
        <f t="shared" si="8"/>
        <v>0.11</v>
      </c>
      <c r="K13" s="93">
        <f t="shared" si="9"/>
        <v>2.1290192343382149E-2</v>
      </c>
      <c r="L13">
        <f t="shared" si="10"/>
        <v>5</v>
      </c>
      <c r="O13" s="45"/>
    </row>
    <row r="14" spans="1:49" ht="13.15" x14ac:dyDescent="0.4">
      <c r="A14" s="79" t="s">
        <v>159</v>
      </c>
      <c r="B14" s="45">
        <f t="shared" si="0"/>
        <v>7361.2198141212393</v>
      </c>
      <c r="C14" s="45">
        <f t="shared" si="1"/>
        <v>7376.6068998285218</v>
      </c>
      <c r="D14" s="45">
        <f t="shared" si="2"/>
        <v>7442.522905609072</v>
      </c>
      <c r="E14" s="45">
        <f t="shared" si="3"/>
        <v>7399.0959050449364</v>
      </c>
      <c r="F14" s="45">
        <f t="shared" si="4"/>
        <v>7242.3688598178787</v>
      </c>
      <c r="G14" s="94">
        <f t="shared" si="5"/>
        <v>7364.3628768843291</v>
      </c>
      <c r="H14" s="95">
        <f t="shared" si="6"/>
        <v>171934.02736825374</v>
      </c>
      <c r="I14" s="93">
        <f t="shared" si="7"/>
        <v>9.0801591856470455E-3</v>
      </c>
      <c r="J14" s="93">
        <f t="shared" si="8"/>
        <v>0.11</v>
      </c>
      <c r="K14" s="93">
        <f t="shared" si="9"/>
        <v>2.717873210993553E-2</v>
      </c>
      <c r="L14">
        <f t="shared" si="10"/>
        <v>5</v>
      </c>
      <c r="O14" s="45"/>
    </row>
    <row r="15" spans="1:49" ht="13.15" x14ac:dyDescent="0.4">
      <c r="A15" s="79" t="s">
        <v>160</v>
      </c>
      <c r="B15" s="45">
        <f t="shared" si="0"/>
        <v>6229.9056244605936</v>
      </c>
      <c r="C15" s="45">
        <f t="shared" si="1"/>
        <v>6227.0988210486767</v>
      </c>
      <c r="D15" s="45">
        <f t="shared" si="2"/>
        <v>6306.7093428772396</v>
      </c>
      <c r="E15" s="45">
        <f t="shared" si="3"/>
        <v>6236.9773023117332</v>
      </c>
      <c r="F15" s="45">
        <f t="shared" si="4"/>
        <v>6122.2518107504238</v>
      </c>
      <c r="G15" s="94">
        <f t="shared" si="5"/>
        <v>6224.5885802897337</v>
      </c>
      <c r="H15" s="95">
        <f t="shared" si="6"/>
        <v>145323.98813194231</v>
      </c>
      <c r="I15" s="93">
        <f t="shared" si="7"/>
        <v>9.4784528008078316E-3</v>
      </c>
      <c r="J15" s="93">
        <f t="shared" si="8"/>
        <v>0.11</v>
      </c>
      <c r="K15" s="93">
        <f t="shared" si="9"/>
        <v>2.9633690604211768E-2</v>
      </c>
      <c r="L15">
        <f t="shared" si="10"/>
        <v>5</v>
      </c>
      <c r="O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 s="45">
        <f t="shared" si="0"/>
        <v>5211.045420119508</v>
      </c>
      <c r="C16" s="45">
        <f t="shared" si="1"/>
        <v>5215.3295263512828</v>
      </c>
      <c r="D16" s="45">
        <f t="shared" si="2"/>
        <v>5263.2713009310728</v>
      </c>
      <c r="E16" s="45">
        <f t="shared" si="3"/>
        <v>5218.4629036179622</v>
      </c>
      <c r="F16" s="45">
        <f t="shared" si="4"/>
        <v>5123.0061494636939</v>
      </c>
      <c r="G16" s="94">
        <f t="shared" si="5"/>
        <v>5206.2230600967032</v>
      </c>
      <c r="H16" s="95">
        <f t="shared" si="6"/>
        <v>121548.45070298943</v>
      </c>
      <c r="I16" s="93">
        <f t="shared" si="7"/>
        <v>8.7750571406377698E-3</v>
      </c>
      <c r="J16" s="93">
        <f t="shared" si="8"/>
        <v>0.11</v>
      </c>
      <c r="K16" s="93">
        <f t="shared" si="9"/>
        <v>2.6941825167355309E-2</v>
      </c>
      <c r="L16">
        <f t="shared" si="10"/>
        <v>5</v>
      </c>
      <c r="O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 s="45">
        <f t="shared" si="0"/>
        <v>4305.0908235289862</v>
      </c>
      <c r="C17" s="45">
        <f t="shared" si="1"/>
        <v>4306.5484050733367</v>
      </c>
      <c r="D17" s="45">
        <f t="shared" si="2"/>
        <v>4322.6623606447001</v>
      </c>
      <c r="E17" s="45">
        <f t="shared" si="3"/>
        <v>4299.6912193304333</v>
      </c>
      <c r="F17" s="45">
        <f t="shared" si="4"/>
        <v>4199.0677926057933</v>
      </c>
      <c r="G17" s="94">
        <f t="shared" si="5"/>
        <v>4286.6121202366503</v>
      </c>
      <c r="H17" s="95">
        <f t="shared" si="6"/>
        <v>100078.51295748046</v>
      </c>
      <c r="I17" s="93">
        <f t="shared" si="7"/>
        <v>1.0366658505657437E-2</v>
      </c>
      <c r="J17" s="93">
        <f t="shared" si="8"/>
        <v>0.11</v>
      </c>
      <c r="K17" s="93">
        <f t="shared" si="9"/>
        <v>2.8832692245568402E-2</v>
      </c>
      <c r="L17">
        <f t="shared" si="10"/>
        <v>5</v>
      </c>
      <c r="O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 s="45">
        <f t="shared" si="0"/>
        <v>3507.977232810008</v>
      </c>
      <c r="C18" s="45">
        <f t="shared" si="1"/>
        <v>3497.8069205525221</v>
      </c>
      <c r="D18" s="45">
        <f t="shared" si="2"/>
        <v>3514.3232191738302</v>
      </c>
      <c r="E18" s="45">
        <f t="shared" si="3"/>
        <v>3499.4299060710418</v>
      </c>
      <c r="F18" s="45">
        <f t="shared" si="4"/>
        <v>3410.134127160919</v>
      </c>
      <c r="G18" s="94">
        <f t="shared" si="5"/>
        <v>3485.934281153664</v>
      </c>
      <c r="H18" s="95">
        <f t="shared" si="6"/>
        <v>81385.278009735688</v>
      </c>
      <c r="I18" s="93">
        <f t="shared" si="7"/>
        <v>1.1006564215303201E-2</v>
      </c>
      <c r="J18" s="93">
        <f t="shared" si="8"/>
        <v>0.11</v>
      </c>
      <c r="K18" s="93">
        <f t="shared" si="9"/>
        <v>2.9888426920782356E-2</v>
      </c>
      <c r="L18">
        <f t="shared" si="10"/>
        <v>5</v>
      </c>
      <c r="O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 s="45">
        <f t="shared" si="0"/>
        <v>2788.3168890079164</v>
      </c>
      <c r="C19" s="45">
        <f t="shared" si="1"/>
        <v>2794.159707067095</v>
      </c>
      <c r="D19" s="45">
        <f t="shared" si="2"/>
        <v>2806.0397803553324</v>
      </c>
      <c r="E19" s="45">
        <f t="shared" si="3"/>
        <v>2784.7828466148949</v>
      </c>
      <c r="F19" s="45">
        <f t="shared" si="4"/>
        <v>2713.1724077411691</v>
      </c>
      <c r="G19" s="94">
        <f t="shared" si="5"/>
        <v>2777.2943261572814</v>
      </c>
      <c r="H19" s="95">
        <f t="shared" si="6"/>
        <v>64840.829636744427</v>
      </c>
      <c r="I19" s="93">
        <f t="shared" si="7"/>
        <v>1.1832798145821166E-2</v>
      </c>
      <c r="J19" s="93">
        <f t="shared" si="8"/>
        <v>0.11</v>
      </c>
      <c r="K19" s="93">
        <f t="shared" si="9"/>
        <v>3.3438073789844376E-2</v>
      </c>
      <c r="L19">
        <f t="shared" si="10"/>
        <v>5</v>
      </c>
      <c r="O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 s="45">
        <f t="shared" si="0"/>
        <v>2179.755663232379</v>
      </c>
      <c r="C20" s="45">
        <f t="shared" si="1"/>
        <v>2178.3367641663499</v>
      </c>
      <c r="D20" s="45">
        <f t="shared" si="2"/>
        <v>2188.8518320113822</v>
      </c>
      <c r="E20" s="45">
        <f t="shared" si="3"/>
        <v>2179.1568936027807</v>
      </c>
      <c r="F20" s="45">
        <f t="shared" si="4"/>
        <v>2131.3865656831576</v>
      </c>
      <c r="G20" s="94">
        <f t="shared" si="5"/>
        <v>2171.4975437392104</v>
      </c>
      <c r="H20" s="95">
        <f t="shared" si="6"/>
        <v>50697.436337263942</v>
      </c>
      <c r="I20" s="93">
        <f t="shared" si="7"/>
        <v>9.4009803867037764E-3</v>
      </c>
      <c r="J20" s="93">
        <f t="shared" si="8"/>
        <v>0.11</v>
      </c>
      <c r="K20" s="93">
        <f t="shared" si="9"/>
        <v>2.6463426815243916E-2</v>
      </c>
      <c r="L20">
        <f t="shared" si="10"/>
        <v>5</v>
      </c>
      <c r="O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 s="45">
        <f t="shared" si="0"/>
        <v>1680.9386881903895</v>
      </c>
      <c r="C21" s="45">
        <f t="shared" si="1"/>
        <v>1669.9247996785252</v>
      </c>
      <c r="D21" s="45">
        <f t="shared" si="2"/>
        <v>1685.7999197420997</v>
      </c>
      <c r="E21" s="45">
        <f t="shared" si="3"/>
        <v>1702.163193841847</v>
      </c>
      <c r="F21" s="45">
        <f t="shared" si="4"/>
        <v>1651.9089663365803</v>
      </c>
      <c r="G21" s="94">
        <f t="shared" si="5"/>
        <v>1678.1471135578881</v>
      </c>
      <c r="H21" s="95">
        <f t="shared" si="6"/>
        <v>39179.301261222994</v>
      </c>
      <c r="I21" s="93">
        <f t="shared" si="7"/>
        <v>9.9683054326055662E-3</v>
      </c>
      <c r="J21" s="93">
        <f t="shared" si="8"/>
        <v>0.11</v>
      </c>
      <c r="K21" s="93">
        <f t="shared" si="9"/>
        <v>2.9946258643988182E-2</v>
      </c>
      <c r="L21">
        <f t="shared" si="10"/>
        <v>5</v>
      </c>
      <c r="O21" s="45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 s="45">
        <f t="shared" si="0"/>
        <v>1284.6400049859117</v>
      </c>
      <c r="C22" s="45">
        <f t="shared" si="1"/>
        <v>1272.9253990739069</v>
      </c>
      <c r="D22" s="45">
        <f t="shared" si="2"/>
        <v>1283.2303868955619</v>
      </c>
      <c r="E22" s="45">
        <f t="shared" si="3"/>
        <v>1287.1660226970557</v>
      </c>
      <c r="F22" s="45">
        <f t="shared" si="4"/>
        <v>1263.1376440331301</v>
      </c>
      <c r="G22" s="94">
        <f t="shared" si="5"/>
        <v>1278.2198915371132</v>
      </c>
      <c r="H22" s="95">
        <f t="shared" si="6"/>
        <v>29842.295591382797</v>
      </c>
      <c r="I22" s="93">
        <f t="shared" si="7"/>
        <v>7.0137116880345258E-3</v>
      </c>
      <c r="J22" s="93">
        <f t="shared" si="8"/>
        <v>0.11</v>
      </c>
      <c r="K22" s="93">
        <f t="shared" si="9"/>
        <v>1.8798313829266507E-2</v>
      </c>
      <c r="L22">
        <f t="shared" si="10"/>
        <v>5</v>
      </c>
      <c r="O22" s="45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 s="45">
        <f t="shared" si="0"/>
        <v>982.50459864540369</v>
      </c>
      <c r="C23" s="45">
        <f t="shared" si="1"/>
        <v>954.48343954383608</v>
      </c>
      <c r="D23" s="45">
        <f t="shared" si="2"/>
        <v>982.2099253977002</v>
      </c>
      <c r="E23" s="45">
        <f t="shared" si="3"/>
        <v>997.63801660874356</v>
      </c>
      <c r="F23" s="45">
        <f t="shared" si="4"/>
        <v>962.75220563914593</v>
      </c>
      <c r="G23" s="94">
        <f t="shared" si="5"/>
        <v>975.91763716696607</v>
      </c>
      <c r="H23" s="95">
        <f t="shared" si="6"/>
        <v>22784.516806539512</v>
      </c>
      <c r="I23" s="93">
        <f t="shared" si="7"/>
        <v>1.5791388994161042E-2</v>
      </c>
      <c r="J23" s="93">
        <f t="shared" si="8"/>
        <v>0.11</v>
      </c>
      <c r="K23" s="93">
        <f t="shared" si="9"/>
        <v>4.4219486790076645E-2</v>
      </c>
      <c r="L23">
        <f t="shared" si="10"/>
        <v>5</v>
      </c>
      <c r="O23" s="45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 s="45">
        <f t="shared" si="0"/>
        <v>761.2096074542992</v>
      </c>
      <c r="C24" s="45">
        <f t="shared" si="1"/>
        <v>725.55062869119934</v>
      </c>
      <c r="D24" s="45">
        <f t="shared" si="2"/>
        <v>737.93747435939292</v>
      </c>
      <c r="E24" s="45">
        <f t="shared" si="3"/>
        <v>757.03244126514255</v>
      </c>
      <c r="F24" s="45">
        <f t="shared" si="4"/>
        <v>737.25218201332495</v>
      </c>
      <c r="G24" s="94">
        <f t="shared" si="5"/>
        <v>743.79646675667175</v>
      </c>
      <c r="H24" s="95">
        <f t="shared" si="6"/>
        <v>17365.239085808927</v>
      </c>
      <c r="I24" s="93">
        <f t="shared" si="7"/>
        <v>1.7921872497390287E-2</v>
      </c>
      <c r="J24" s="93">
        <f t="shared" si="8"/>
        <v>0.11</v>
      </c>
      <c r="K24" s="93">
        <f t="shared" si="9"/>
        <v>4.794185016580009E-2</v>
      </c>
      <c r="L24">
        <f t="shared" si="10"/>
        <v>5</v>
      </c>
      <c r="O24" s="45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 s="45">
        <f t="shared" si="0"/>
        <v>583.27036963941111</v>
      </c>
      <c r="C25" s="45">
        <f t="shared" si="1"/>
        <v>555.58855108487194</v>
      </c>
      <c r="D25" s="45">
        <f t="shared" si="2"/>
        <v>545.93292769172774</v>
      </c>
      <c r="E25" s="45">
        <f t="shared" si="3"/>
        <v>572.94070833353544</v>
      </c>
      <c r="F25" s="45">
        <f t="shared" si="4"/>
        <v>556.68340724840186</v>
      </c>
      <c r="G25" s="94">
        <f t="shared" si="5"/>
        <v>562.88319279958955</v>
      </c>
      <c r="H25" s="95">
        <f t="shared" si="6"/>
        <v>13141.499936092132</v>
      </c>
      <c r="I25" s="93">
        <f t="shared" si="7"/>
        <v>2.3778826701609371E-2</v>
      </c>
      <c r="J25" s="93">
        <f t="shared" si="8"/>
        <v>0.11</v>
      </c>
      <c r="K25" s="93">
        <f t="shared" si="9"/>
        <v>6.6332486784655337E-2</v>
      </c>
      <c r="L25">
        <f t="shared" si="10"/>
        <v>5</v>
      </c>
      <c r="O25" s="45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 s="45">
        <f t="shared" si="0"/>
        <v>441.23511508920217</v>
      </c>
      <c r="C26" s="45">
        <f t="shared" si="1"/>
        <v>416.37549867126302</v>
      </c>
      <c r="D26" s="45">
        <f t="shared" si="2"/>
        <v>421.76998751330433</v>
      </c>
      <c r="E26" s="45">
        <f t="shared" si="3"/>
        <v>436.50617086875906</v>
      </c>
      <c r="F26" s="45">
        <f t="shared" si="4"/>
        <v>432.85879184301655</v>
      </c>
      <c r="G26" s="94">
        <f t="shared" si="5"/>
        <v>429.74911279710904</v>
      </c>
      <c r="H26" s="95">
        <f t="shared" si="6"/>
        <v>10033.25025618526</v>
      </c>
      <c r="I26" s="93">
        <f t="shared" si="7"/>
        <v>2.1573528382097393E-2</v>
      </c>
      <c r="J26" s="93">
        <f t="shared" si="8"/>
        <v>0.11</v>
      </c>
      <c r="K26" s="93">
        <f t="shared" si="9"/>
        <v>5.7846812658053692E-2</v>
      </c>
      <c r="L26">
        <f t="shared" si="10"/>
        <v>5</v>
      </c>
      <c r="O26" s="45"/>
    </row>
    <row r="27" spans="1:49" ht="13.15" x14ac:dyDescent="0.4">
      <c r="A27" s="79" t="s">
        <v>172</v>
      </c>
      <c r="B27" s="45">
        <f t="shared" si="0"/>
        <v>338.26520082068828</v>
      </c>
      <c r="C27" s="45">
        <f t="shared" si="1"/>
        <v>326.23452070904727</v>
      </c>
      <c r="D27" s="45">
        <f t="shared" si="2"/>
        <v>326.62106772021696</v>
      </c>
      <c r="E27" s="45">
        <f t="shared" si="3"/>
        <v>335.07647609200876</v>
      </c>
      <c r="F27" s="45">
        <f t="shared" si="4"/>
        <v>336.45700438090222</v>
      </c>
      <c r="G27" s="94">
        <f t="shared" si="5"/>
        <v>332.53085394457264</v>
      </c>
      <c r="H27" s="95">
        <f t="shared" si="6"/>
        <v>7763.5187047006993</v>
      </c>
      <c r="I27" s="93">
        <f t="shared" si="7"/>
        <v>1.5295411946416497E-2</v>
      </c>
      <c r="J27" s="93">
        <f t="shared" si="8"/>
        <v>0.113</v>
      </c>
      <c r="K27" s="93">
        <f t="shared" si="9"/>
        <v>3.6179139375879743E-2</v>
      </c>
      <c r="L27">
        <f t="shared" si="10"/>
        <v>5</v>
      </c>
      <c r="O27" s="45"/>
    </row>
    <row r="28" spans="1:49" ht="13.15" x14ac:dyDescent="0.4">
      <c r="A28" s="79" t="s">
        <v>173</v>
      </c>
      <c r="B28" s="45">
        <f t="shared" si="0"/>
        <v>259.45708661079493</v>
      </c>
      <c r="C28" s="45">
        <f t="shared" si="1"/>
        <v>248.51951868087525</v>
      </c>
      <c r="D28" s="45">
        <f t="shared" si="2"/>
        <v>250.6726025938961</v>
      </c>
      <c r="E28" s="45">
        <f t="shared" si="3"/>
        <v>260.21672215074818</v>
      </c>
      <c r="F28" s="45">
        <f t="shared" si="4"/>
        <v>257.35269300608195</v>
      </c>
      <c r="G28" s="94">
        <f t="shared" si="5"/>
        <v>255.24372460847925</v>
      </c>
      <c r="H28" s="95">
        <f t="shared" si="6"/>
        <v>5959.1144904277089</v>
      </c>
      <c r="I28" s="93">
        <f t="shared" si="7"/>
        <v>1.862849925795344E-2</v>
      </c>
      <c r="J28" s="93">
        <f t="shared" si="8"/>
        <v>0.113</v>
      </c>
      <c r="K28" s="93">
        <f t="shared" si="9"/>
        <v>4.5827584939905505E-2</v>
      </c>
      <c r="L28">
        <f t="shared" si="10"/>
        <v>5</v>
      </c>
      <c r="O28" s="45"/>
    </row>
    <row r="29" spans="1:49" ht="13.15" x14ac:dyDescent="0.4">
      <c r="A29" s="79" t="s">
        <v>174</v>
      </c>
      <c r="B29" s="45">
        <f t="shared" si="0"/>
        <v>196.22994627047939</v>
      </c>
      <c r="C29" s="45">
        <f t="shared" si="1"/>
        <v>194.81402947441492</v>
      </c>
      <c r="D29" s="45">
        <f t="shared" si="2"/>
        <v>195.20462244545953</v>
      </c>
      <c r="E29" s="45">
        <f t="shared" si="3"/>
        <v>186.83307603368141</v>
      </c>
      <c r="F29" s="45">
        <f t="shared" si="4"/>
        <v>199.13191983421424</v>
      </c>
      <c r="G29" s="94">
        <f t="shared" si="5"/>
        <v>194.44271881164991</v>
      </c>
      <c r="H29" s="95">
        <f t="shared" si="6"/>
        <v>4539.6078787285132</v>
      </c>
      <c r="I29" s="93">
        <f t="shared" si="7"/>
        <v>2.1055501276346516E-2</v>
      </c>
      <c r="J29" s="93">
        <f t="shared" si="8"/>
        <v>0.11900000000000001</v>
      </c>
      <c r="K29" s="93">
        <f t="shared" si="9"/>
        <v>6.3251758027752694E-2</v>
      </c>
      <c r="L29">
        <f t="shared" si="10"/>
        <v>5</v>
      </c>
      <c r="O29" s="45"/>
    </row>
    <row r="30" spans="1:49" ht="13.15" x14ac:dyDescent="0.4">
      <c r="A30" s="79" t="s">
        <v>175</v>
      </c>
      <c r="B30" s="45">
        <f t="shared" si="0"/>
        <v>149.03540223074384</v>
      </c>
      <c r="C30" s="45">
        <f t="shared" si="1"/>
        <v>146.37378430780365</v>
      </c>
      <c r="D30" s="45">
        <f t="shared" si="2"/>
        <v>144.43008677112141</v>
      </c>
      <c r="E30" s="45">
        <f t="shared" si="3"/>
        <v>142.54984130786528</v>
      </c>
      <c r="F30" s="45">
        <f t="shared" si="4"/>
        <v>151.24744334865636</v>
      </c>
      <c r="G30" s="94">
        <f t="shared" si="5"/>
        <v>146.72731159323811</v>
      </c>
      <c r="H30" s="95">
        <f t="shared" si="6"/>
        <v>3425.6076226671712</v>
      </c>
      <c r="I30" s="93">
        <f t="shared" si="7"/>
        <v>2.125090194716046E-2</v>
      </c>
      <c r="J30" s="93">
        <f t="shared" si="8"/>
        <v>0.11900000000000001</v>
      </c>
      <c r="K30" s="93">
        <f t="shared" si="9"/>
        <v>5.9277321627093107E-2</v>
      </c>
      <c r="L30">
        <f t="shared" si="10"/>
        <v>5</v>
      </c>
      <c r="O30" s="45"/>
    </row>
    <row r="31" spans="1:49" ht="13.15" x14ac:dyDescent="0.4">
      <c r="A31" s="79" t="s">
        <v>176</v>
      </c>
      <c r="B31" s="45">
        <f t="shared" si="0"/>
        <v>110.64749559555224</v>
      </c>
      <c r="C31" s="45">
        <f t="shared" si="1"/>
        <v>112.46561269117575</v>
      </c>
      <c r="D31" s="45">
        <f t="shared" si="2"/>
        <v>107.73588451907875</v>
      </c>
      <c r="E31" s="45">
        <f t="shared" si="3"/>
        <v>108.38848880509283</v>
      </c>
      <c r="F31" s="45">
        <f t="shared" si="4"/>
        <v>112.01170490674551</v>
      </c>
      <c r="G31" s="94">
        <f t="shared" si="5"/>
        <v>110.24983730352901</v>
      </c>
      <c r="H31" s="95">
        <f t="shared" si="6"/>
        <v>2573.9767120642136</v>
      </c>
      <c r="I31" s="93">
        <f t="shared" si="7"/>
        <v>1.7188914586787486E-2</v>
      </c>
      <c r="J31" s="93">
        <f t="shared" si="8"/>
        <v>0.11900000000000001</v>
      </c>
      <c r="K31" s="93">
        <f t="shared" si="9"/>
        <v>4.2900092079733193E-2</v>
      </c>
      <c r="L31">
        <f t="shared" si="10"/>
        <v>5</v>
      </c>
      <c r="O31" s="45"/>
    </row>
    <row r="32" spans="1:49" ht="13.15" x14ac:dyDescent="0.4">
      <c r="A32" s="79" t="s">
        <v>177</v>
      </c>
      <c r="B32" s="45">
        <f t="shared" si="0"/>
        <v>80.840415149403469</v>
      </c>
      <c r="C32" s="45">
        <f t="shared" si="1"/>
        <v>84.454514399178791</v>
      </c>
      <c r="D32" s="45">
        <f t="shared" si="2"/>
        <v>77.441833822624929</v>
      </c>
      <c r="E32" s="45">
        <f t="shared" si="3"/>
        <v>83.50552834011043</v>
      </c>
      <c r="F32" s="45">
        <f t="shared" si="4"/>
        <v>85.432656284805901</v>
      </c>
      <c r="G32" s="94">
        <f t="shared" si="5"/>
        <v>82.334989599224713</v>
      </c>
      <c r="H32" s="95">
        <f t="shared" si="6"/>
        <v>1922.2554064455749</v>
      </c>
      <c r="I32" s="93">
        <f t="shared" si="7"/>
        <v>3.5047646840734172E-2</v>
      </c>
      <c r="J32" s="93">
        <f t="shared" si="8"/>
        <v>0.13400000000000001</v>
      </c>
      <c r="K32" s="93">
        <f t="shared" si="9"/>
        <v>9.7052571465390897E-2</v>
      </c>
      <c r="L32">
        <f t="shared" si="10"/>
        <v>5</v>
      </c>
      <c r="O32" s="45"/>
    </row>
    <row r="33" spans="1:15" ht="13.15" x14ac:dyDescent="0.4">
      <c r="A33" s="79" t="s">
        <v>178</v>
      </c>
      <c r="B33" s="45">
        <f t="shared" si="0"/>
        <v>59.162538461295277</v>
      </c>
      <c r="C33" s="45">
        <f t="shared" si="1"/>
        <v>61.708660147030891</v>
      </c>
      <c r="D33" s="45">
        <f t="shared" si="2"/>
        <v>56.961348844740648</v>
      </c>
      <c r="E33" s="45">
        <f t="shared" si="3"/>
        <v>62.629146255082823</v>
      </c>
      <c r="F33" s="45">
        <f t="shared" si="4"/>
        <v>62.439669778524802</v>
      </c>
      <c r="G33" s="94">
        <f t="shared" si="5"/>
        <v>60.580272697334884</v>
      </c>
      <c r="H33" s="95">
        <f t="shared" si="6"/>
        <v>1414.3532085597756</v>
      </c>
      <c r="I33" s="93">
        <f t="shared" si="7"/>
        <v>3.6191497152270845E-2</v>
      </c>
      <c r="J33" s="93">
        <f t="shared" si="8"/>
        <v>0.13400000000000001</v>
      </c>
      <c r="K33" s="93">
        <f t="shared" si="9"/>
        <v>9.3558466444333438E-2</v>
      </c>
      <c r="L33">
        <f t="shared" si="10"/>
        <v>5</v>
      </c>
      <c r="O33" s="45"/>
    </row>
    <row r="34" spans="1:15" ht="13.15" x14ac:dyDescent="0.4">
      <c r="A34" s="79" t="s">
        <v>179</v>
      </c>
      <c r="B34" s="45">
        <f t="shared" si="0"/>
        <v>39.742773928198353</v>
      </c>
      <c r="C34" s="45">
        <f t="shared" si="1"/>
        <v>42.753781603574303</v>
      </c>
      <c r="D34" s="45">
        <f t="shared" si="2"/>
        <v>40.107616415023379</v>
      </c>
      <c r="E34" s="45"/>
      <c r="F34" s="45">
        <f t="shared" si="4"/>
        <v>41.134241914906546</v>
      </c>
      <c r="G34" s="94">
        <f t="shared" si="5"/>
        <v>40.934603465425646</v>
      </c>
      <c r="H34" s="95">
        <f t="shared" si="6"/>
        <v>955.69044467166782</v>
      </c>
      <c r="I34" s="93">
        <f t="shared" si="7"/>
        <v>2.852477615969716E-2</v>
      </c>
      <c r="J34" s="93">
        <f t="shared" si="8"/>
        <v>0.156</v>
      </c>
      <c r="K34" s="93">
        <f t="shared" si="9"/>
        <v>7.3556537024210333E-2</v>
      </c>
      <c r="L34">
        <f t="shared" si="10"/>
        <v>4</v>
      </c>
      <c r="O34" s="45"/>
    </row>
    <row r="35" spans="1:15" ht="13.15" x14ac:dyDescent="0.4">
      <c r="A35" s="79" t="s">
        <v>180</v>
      </c>
      <c r="B35" s="45">
        <f t="shared" si="0"/>
        <v>28.226401937640876</v>
      </c>
      <c r="C35" s="45">
        <f t="shared" si="1"/>
        <v>30.327805669530541</v>
      </c>
      <c r="D35" s="45">
        <f t="shared" si="2"/>
        <v>29.654035540894945</v>
      </c>
      <c r="E35" s="45"/>
      <c r="F35" s="45">
        <f t="shared" si="4"/>
        <v>30.16511073759813</v>
      </c>
      <c r="G35" s="94">
        <f t="shared" si="5"/>
        <v>29.593338471416125</v>
      </c>
      <c r="H35" s="95">
        <f t="shared" si="6"/>
        <v>690.90863007759617</v>
      </c>
      <c r="I35" s="93">
        <f t="shared" si="7"/>
        <v>2.7960026996164705E-2</v>
      </c>
      <c r="J35" s="93">
        <f t="shared" si="8"/>
        <v>0.156</v>
      </c>
      <c r="K35" s="93">
        <f t="shared" si="9"/>
        <v>7.1009350091385842E-2</v>
      </c>
      <c r="L35">
        <f t="shared" si="10"/>
        <v>4</v>
      </c>
      <c r="O35" s="45"/>
    </row>
    <row r="36" spans="1:15" ht="13.15" x14ac:dyDescent="0.4">
      <c r="A36" s="79" t="s">
        <v>181</v>
      </c>
      <c r="B36" s="45">
        <f t="shared" si="0"/>
        <v>21.226254257105939</v>
      </c>
      <c r="C36" s="45">
        <f t="shared" si="1"/>
        <v>19.586707828238474</v>
      </c>
      <c r="D36" s="45">
        <f t="shared" si="2"/>
        <v>21.333838518629456</v>
      </c>
      <c r="E36" s="45"/>
      <c r="F36" s="45">
        <f t="shared" si="4"/>
        <v>21.727317524283968</v>
      </c>
      <c r="G36" s="94">
        <f t="shared" si="5"/>
        <v>20.968529532064458</v>
      </c>
      <c r="H36" s="95">
        <f t="shared" si="6"/>
        <v>489.54726847508033</v>
      </c>
      <c r="I36" s="93">
        <f t="shared" si="7"/>
        <v>3.9073226879785622E-2</v>
      </c>
      <c r="J36" s="93">
        <f t="shared" si="8"/>
        <v>0.193</v>
      </c>
      <c r="K36" s="93">
        <f t="shared" si="9"/>
        <v>0.1020867816587776</v>
      </c>
      <c r="L36">
        <f t="shared" si="10"/>
        <v>4</v>
      </c>
      <c r="O36" s="45"/>
    </row>
    <row r="37" spans="1:15" ht="13.15" x14ac:dyDescent="0.4">
      <c r="A37" s="79" t="s">
        <v>182</v>
      </c>
      <c r="B37" s="45">
        <f t="shared" si="0"/>
        <v>11.064749559555224</v>
      </c>
      <c r="C37" s="45"/>
      <c r="D37" s="45">
        <f t="shared" si="2"/>
        <v>11.520272800059907</v>
      </c>
      <c r="E37" s="45">
        <f t="shared" si="3"/>
        <v>12.4414802324912</v>
      </c>
      <c r="F37" s="45">
        <f t="shared" si="4"/>
        <v>11.601965668306974</v>
      </c>
      <c r="G37" s="94">
        <f t="shared" si="5"/>
        <v>11.657117065103327</v>
      </c>
      <c r="H37" s="95">
        <f t="shared" si="6"/>
        <v>272.1559377251059</v>
      </c>
      <c r="I37" s="93">
        <f t="shared" si="7"/>
        <v>4.263181001665077E-2</v>
      </c>
      <c r="J37" s="93">
        <f t="shared" si="8"/>
        <v>0.193</v>
      </c>
      <c r="K37" s="93">
        <f t="shared" si="9"/>
        <v>0.11810215726985775</v>
      </c>
      <c r="L37">
        <f t="shared" si="10"/>
        <v>4</v>
      </c>
    </row>
    <row r="38" spans="1:15" ht="13.15" x14ac:dyDescent="0.4">
      <c r="A38" s="79" t="s">
        <v>183</v>
      </c>
      <c r="B38" s="165">
        <f t="shared" si="0"/>
        <v>3.6129794480180322</v>
      </c>
      <c r="C38" s="165">
        <f t="shared" si="1"/>
        <v>3.5803659470973552</v>
      </c>
      <c r="D38" s="165">
        <f t="shared" si="2"/>
        <v>4.2667677037258915</v>
      </c>
      <c r="E38" s="165">
        <f t="shared" si="3"/>
        <v>4.0065783799547932</v>
      </c>
      <c r="F38" s="165">
        <f t="shared" si="4"/>
        <v>4.4298414369899355</v>
      </c>
      <c r="G38" s="94">
        <f t="shared" si="5"/>
        <v>3.9793065831572014</v>
      </c>
      <c r="H38" s="95">
        <f t="shared" si="6"/>
        <v>92.903923722004393</v>
      </c>
      <c r="I38" s="93">
        <f t="shared" si="7"/>
        <v>8.5568207116960796E-2</v>
      </c>
      <c r="J38" s="93">
        <f t="shared" si="8"/>
        <v>0.27500000000000002</v>
      </c>
      <c r="K38" s="93">
        <f t="shared" si="9"/>
        <v>0.21347324518499458</v>
      </c>
      <c r="L38">
        <f t="shared" si="10"/>
        <v>5</v>
      </c>
    </row>
    <row r="40" spans="1:15" x14ac:dyDescent="0.35">
      <c r="A40" t="s">
        <v>184</v>
      </c>
    </row>
    <row r="41" spans="1:15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5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5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5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5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5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5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5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16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1" spans="1:16" x14ac:dyDescent="0.35">
      <c r="A51" s="105">
        <f>'6 - B1'!A51</f>
        <v>0</v>
      </c>
      <c r="B51" s="106" t="str">
        <f>'6 - B1'!B51</f>
        <v>Portion 1</v>
      </c>
      <c r="C51" s="106" t="str">
        <f>'6 - B1'!C51</f>
        <v>Portion 2</v>
      </c>
      <c r="D51" s="106" t="str">
        <f>'6 - B1'!D51</f>
        <v>Portion 3</v>
      </c>
      <c r="E51" s="106" t="str">
        <f>'6 - B1'!E51</f>
        <v>Portion 4</v>
      </c>
      <c r="F51" s="106" t="str">
        <f>'6 - B1'!F51</f>
        <v>Portion 5</v>
      </c>
      <c r="G51" s="106" t="str">
        <f>'6 - B1'!G51</f>
        <v>Portion 1</v>
      </c>
      <c r="H51" s="106" t="str">
        <f>'6 - B1'!H51</f>
        <v>Portion 2</v>
      </c>
      <c r="I51" s="106" t="str">
        <f>'6 - B1'!I51</f>
        <v>Portion 3</v>
      </c>
      <c r="J51" s="106" t="str">
        <f>'6 - B1'!J51</f>
        <v>Portion 4</v>
      </c>
      <c r="K51" s="106" t="str">
        <f>'6 - B1'!K51</f>
        <v>Portion 5</v>
      </c>
      <c r="L51" s="106" t="str">
        <f>'6 - B1'!L51</f>
        <v>Portion 1</v>
      </c>
      <c r="M51" s="106" t="str">
        <f>'6 - B1'!M51</f>
        <v>Portion 2</v>
      </c>
      <c r="N51" s="106" t="str">
        <f>'6 - B1'!N51</f>
        <v>Portion 3</v>
      </c>
      <c r="O51" s="106" t="str">
        <f>'6 - B1'!O51</f>
        <v>Portion 4</v>
      </c>
      <c r="P51" s="106" t="str">
        <f>'6 - B1'!P51</f>
        <v>Portion 5</v>
      </c>
    </row>
    <row r="52" spans="1:16" x14ac:dyDescent="0.35">
      <c r="A52" s="107" t="str">
        <f>'6 - B1'!A52</f>
        <v>NAME\mL</v>
      </c>
      <c r="B52" s="105">
        <f>'6 - B1'!B52</f>
        <v>4.4241849999999996</v>
      </c>
      <c r="C52" s="105">
        <f>'6 - B1'!C52</f>
        <v>4.7640890000000002</v>
      </c>
      <c r="D52" s="105">
        <f>'6 - B1'!D52</f>
        <v>4.6754949999999997</v>
      </c>
      <c r="E52" s="105">
        <f>'6 - B1'!E52</f>
        <v>4.7296820000000004</v>
      </c>
      <c r="F52" s="105">
        <f>'6 - B1'!F52</f>
        <v>4.7067110000000003</v>
      </c>
      <c r="G52" s="105">
        <f>'6 - B1'!G52</f>
        <v>4.4284780000000001</v>
      </c>
      <c r="H52" s="105">
        <f>'6 - B1'!H52</f>
        <v>4.7481179999999998</v>
      </c>
      <c r="I52" s="105">
        <f>'6 - B1'!I52</f>
        <v>4.6873889999999996</v>
      </c>
      <c r="J52" s="105">
        <f>'6 - B1'!J52</f>
        <v>4.7422009999999997</v>
      </c>
      <c r="K52" s="105">
        <f>'6 - B1'!K52</f>
        <v>4.7405759999999999</v>
      </c>
      <c r="L52" s="105">
        <f>'6 - B1'!L52</f>
        <v>4.47241</v>
      </c>
      <c r="M52" s="105">
        <f>'6 - B1'!M52</f>
        <v>4.749409</v>
      </c>
      <c r="N52" s="105">
        <f>'6 - B1'!N52</f>
        <v>4.6970419999999997</v>
      </c>
      <c r="O52" s="105">
        <f>'6 - B1'!O52</f>
        <v>4.7490690000000004</v>
      </c>
      <c r="P52" s="105">
        <f>'6 - B1'!P52</f>
        <v>4.766686</v>
      </c>
    </row>
    <row r="53" spans="1:16" x14ac:dyDescent="0.35">
      <c r="A53" s="107">
        <f>'6 - B1'!A53</f>
        <v>4</v>
      </c>
      <c r="B53" s="105">
        <f>'6 - B1'!B53</f>
        <v>72019</v>
      </c>
      <c r="C53" s="105">
        <f>'6 - B1'!C53</f>
        <v>75027</v>
      </c>
      <c r="D53" s="105">
        <f>'6 - B1'!D53</f>
        <v>74111</v>
      </c>
      <c r="E53" s="105">
        <f>'6 - B1'!E53</f>
        <v>75639</v>
      </c>
      <c r="F53" s="105">
        <f>'6 - B1'!F53</f>
        <v>73651</v>
      </c>
      <c r="G53" s="105">
        <f>'6 - B1'!G53</f>
        <v>67545</v>
      </c>
      <c r="H53" s="105">
        <f>'6 - B1'!H53</f>
        <v>73194</v>
      </c>
      <c r="I53" s="105">
        <f>'6 - B1'!I53</f>
        <v>72415</v>
      </c>
      <c r="J53" s="105">
        <f>'6 - B1'!J53</f>
        <v>73656</v>
      </c>
      <c r="K53" s="105">
        <f>'6 - B1'!K53</f>
        <v>71927</v>
      </c>
      <c r="L53" s="105">
        <f>'6 - B1'!L53</f>
        <v>67387</v>
      </c>
      <c r="M53" s="105">
        <f>'6 - B1'!M53</f>
        <v>70861</v>
      </c>
      <c r="N53" s="105">
        <f>'6 - B1'!N53</f>
        <v>69446</v>
      </c>
      <c r="O53" s="105">
        <f>'6 - B1'!O53</f>
        <v>71773</v>
      </c>
      <c r="P53" s="105">
        <f>'6 - B1'!P53</f>
        <v>70552</v>
      </c>
    </row>
    <row r="54" spans="1:16" x14ac:dyDescent="0.35">
      <c r="A54" s="107">
        <f>'6 - B1'!A54</f>
        <v>5</v>
      </c>
      <c r="B54" s="105">
        <f>'6 - B1'!B54</f>
        <v>62253</v>
      </c>
      <c r="C54" s="105">
        <f>'6 - B1'!C54</f>
        <v>65005</v>
      </c>
      <c r="D54" s="105">
        <f>'6 - B1'!D54</f>
        <v>64302</v>
      </c>
      <c r="E54" s="105">
        <f>'6 - B1'!E54</f>
        <v>65594</v>
      </c>
      <c r="F54" s="105">
        <f>'6 - B1'!F54</f>
        <v>63784</v>
      </c>
      <c r="G54" s="105">
        <f>'6 - B1'!G54</f>
        <v>58592</v>
      </c>
      <c r="H54" s="105">
        <f>'6 - B1'!H54</f>
        <v>63602</v>
      </c>
      <c r="I54" s="105">
        <f>'6 - B1'!I54</f>
        <v>62891</v>
      </c>
      <c r="J54" s="105">
        <f>'6 - B1'!J54</f>
        <v>63930</v>
      </c>
      <c r="K54" s="105">
        <f>'6 - B1'!K54</f>
        <v>62465</v>
      </c>
      <c r="L54" s="105">
        <f>'6 - B1'!L54</f>
        <v>58253</v>
      </c>
      <c r="M54" s="105">
        <f>'6 - B1'!M54</f>
        <v>61219</v>
      </c>
      <c r="N54" s="105">
        <f>'6 - B1'!N54</f>
        <v>60098</v>
      </c>
      <c r="O54" s="105">
        <f>'6 - B1'!O54</f>
        <v>62085</v>
      </c>
      <c r="P54" s="105">
        <f>'6 - B1'!P54</f>
        <v>60984</v>
      </c>
    </row>
    <row r="55" spans="1:16" x14ac:dyDescent="0.35">
      <c r="A55" s="107">
        <f>'6 - B1'!A55</f>
        <v>6</v>
      </c>
      <c r="B55" s="105">
        <f>'6 - B1'!B55</f>
        <v>53440</v>
      </c>
      <c r="C55" s="105">
        <f>'6 - B1'!C55</f>
        <v>55921</v>
      </c>
      <c r="D55" s="105">
        <f>'6 - B1'!D55</f>
        <v>55417</v>
      </c>
      <c r="E55" s="105">
        <f>'6 - B1'!E55</f>
        <v>56511</v>
      </c>
      <c r="F55" s="105">
        <f>'6 - B1'!F55</f>
        <v>54796</v>
      </c>
      <c r="G55" s="105">
        <f>'6 - B1'!G55</f>
        <v>50620</v>
      </c>
      <c r="H55" s="105">
        <f>'6 - B1'!H55</f>
        <v>55077</v>
      </c>
      <c r="I55" s="105">
        <f>'6 - B1'!I55</f>
        <v>54292</v>
      </c>
      <c r="J55" s="105">
        <f>'6 - B1'!J55</f>
        <v>55164</v>
      </c>
      <c r="K55" s="105">
        <f>'6 - B1'!K55</f>
        <v>54115</v>
      </c>
      <c r="L55" s="105">
        <f>'6 - B1'!L55</f>
        <v>50053</v>
      </c>
      <c r="M55" s="105">
        <f>'6 - B1'!M55</f>
        <v>52736</v>
      </c>
      <c r="N55" s="105">
        <f>'6 - B1'!N55</f>
        <v>51723</v>
      </c>
      <c r="O55" s="105">
        <f>'6 - B1'!O55</f>
        <v>53532</v>
      </c>
      <c r="P55" s="105">
        <f>'6 - B1'!P55</f>
        <v>52623</v>
      </c>
    </row>
    <row r="56" spans="1:16" x14ac:dyDescent="0.35">
      <c r="A56" s="107">
        <f>'6 - B1'!A56</f>
        <v>7</v>
      </c>
      <c r="B56" s="105">
        <f>'6 - B1'!B56</f>
        <v>46394</v>
      </c>
      <c r="C56" s="105">
        <f>'6 - B1'!C56</f>
        <v>48541</v>
      </c>
      <c r="D56" s="105">
        <f>'6 - B1'!D56</f>
        <v>48023</v>
      </c>
      <c r="E56" s="105">
        <f>'6 - B1'!E56</f>
        <v>49104</v>
      </c>
      <c r="F56" s="105">
        <f>'6 - B1'!F56</f>
        <v>47633</v>
      </c>
      <c r="G56" s="105">
        <f>'6 - B1'!G56</f>
        <v>44243</v>
      </c>
      <c r="H56" s="105">
        <f>'6 - B1'!H56</f>
        <v>47886</v>
      </c>
      <c r="I56" s="105">
        <f>'6 - B1'!I56</f>
        <v>47503</v>
      </c>
      <c r="J56" s="105">
        <f>'6 - B1'!J56</f>
        <v>48023</v>
      </c>
      <c r="K56" s="105">
        <f>'6 - B1'!K56</f>
        <v>47095</v>
      </c>
      <c r="L56" s="105">
        <f>'6 - B1'!L56</f>
        <v>43690</v>
      </c>
      <c r="M56" s="105">
        <f>'6 - B1'!M56</f>
        <v>45829</v>
      </c>
      <c r="N56" s="105">
        <f>'6 - B1'!N56</f>
        <v>44972</v>
      </c>
      <c r="O56" s="105">
        <f>'6 - B1'!O56</f>
        <v>46518</v>
      </c>
      <c r="P56" s="105">
        <f>'6 - B1'!P56</f>
        <v>45715</v>
      </c>
    </row>
    <row r="57" spans="1:16" x14ac:dyDescent="0.35">
      <c r="A57" s="107">
        <f>'6 - B1'!A57</f>
        <v>8</v>
      </c>
      <c r="B57" s="105">
        <f>'6 - B1'!B57</f>
        <v>39493</v>
      </c>
      <c r="C57" s="105">
        <f>'6 - B1'!C57</f>
        <v>41293</v>
      </c>
      <c r="D57" s="105">
        <f>'6 - B1'!D57</f>
        <v>40879</v>
      </c>
      <c r="E57" s="105">
        <f>'6 - B1'!E57</f>
        <v>41679</v>
      </c>
      <c r="F57" s="105">
        <f>'6 - B1'!F57</f>
        <v>40571</v>
      </c>
      <c r="G57" s="105">
        <f>'6 - B1'!G57</f>
        <v>37930</v>
      </c>
      <c r="H57" s="105">
        <f>'6 - B1'!H57</f>
        <v>40829</v>
      </c>
      <c r="I57" s="105">
        <f>'6 - B1'!I57</f>
        <v>40710</v>
      </c>
      <c r="J57" s="105">
        <f>'6 - B1'!J57</f>
        <v>41004</v>
      </c>
      <c r="K57" s="105">
        <f>'6 - B1'!K57</f>
        <v>40304</v>
      </c>
      <c r="L57" s="105">
        <f>'6 - B1'!L57</f>
        <v>37464</v>
      </c>
      <c r="M57" s="105">
        <f>'6 - B1'!M57</f>
        <v>39124</v>
      </c>
      <c r="N57" s="105">
        <f>'6 - B1'!N57</f>
        <v>38431</v>
      </c>
      <c r="O57" s="105">
        <f>'6 - B1'!O57</f>
        <v>39495</v>
      </c>
      <c r="P57" s="105">
        <f>'6 - B1'!P57</f>
        <v>39063</v>
      </c>
    </row>
    <row r="58" spans="1:16" x14ac:dyDescent="0.35">
      <c r="A58" s="107">
        <f>'6 - B1'!A58</f>
        <v>9</v>
      </c>
      <c r="B58" s="105">
        <f>'6 - B1'!B58</f>
        <v>33581</v>
      </c>
      <c r="C58" s="105">
        <f>'6 - B1'!C58</f>
        <v>35240</v>
      </c>
      <c r="D58" s="105">
        <f>'6 - B1'!D58</f>
        <v>34764</v>
      </c>
      <c r="E58" s="105">
        <f>'6 - B1'!E58</f>
        <v>35572</v>
      </c>
      <c r="F58" s="105">
        <f>'6 - B1'!F58</f>
        <v>34548</v>
      </c>
      <c r="G58" s="105">
        <f>'6 - B1'!G58</f>
        <v>32599</v>
      </c>
      <c r="H58" s="105">
        <f>'6 - B1'!H58</f>
        <v>35025</v>
      </c>
      <c r="I58" s="105">
        <f>'6 - B1'!I58</f>
        <v>34886</v>
      </c>
      <c r="J58" s="105">
        <f>'6 - B1'!J58</f>
        <v>35088</v>
      </c>
      <c r="K58" s="105">
        <f>'6 - B1'!K58</f>
        <v>34333</v>
      </c>
      <c r="L58" s="105">
        <f>'6 - B1'!L58</f>
        <v>32054</v>
      </c>
      <c r="M58" s="105">
        <f>'6 - B1'!M58</f>
        <v>33483</v>
      </c>
      <c r="N58" s="105">
        <f>'6 - B1'!N58</f>
        <v>32834</v>
      </c>
      <c r="O58" s="105">
        <f>'6 - B1'!O58</f>
        <v>33655</v>
      </c>
      <c r="P58" s="105">
        <f>'6 - B1'!P58</f>
        <v>33430</v>
      </c>
    </row>
    <row r="59" spans="1:16" x14ac:dyDescent="0.35">
      <c r="A59" s="107">
        <f>'6 - B1'!A59</f>
        <v>10</v>
      </c>
      <c r="B59" s="105">
        <f>'6 - B1'!B59</f>
        <v>28267</v>
      </c>
      <c r="C59" s="105">
        <f>'6 - B1'!C59</f>
        <v>29563</v>
      </c>
      <c r="D59" s="105">
        <f>'6 - B1'!D59</f>
        <v>29194</v>
      </c>
      <c r="E59" s="105">
        <f>'6 - B1'!E59</f>
        <v>29931</v>
      </c>
      <c r="F59" s="105">
        <f>'6 - B1'!F59</f>
        <v>29074</v>
      </c>
      <c r="G59" s="105">
        <f>'6 - B1'!G59</f>
        <v>27589</v>
      </c>
      <c r="H59" s="105">
        <f>'6 - B1'!H59</f>
        <v>29567</v>
      </c>
      <c r="I59" s="105">
        <f>'6 - B1'!I59</f>
        <v>29562</v>
      </c>
      <c r="J59" s="105">
        <f>'6 - B1'!J59</f>
        <v>29577</v>
      </c>
      <c r="K59" s="105">
        <f>'6 - B1'!K59</f>
        <v>29023</v>
      </c>
      <c r="L59" s="105">
        <f>'6 - B1'!L59</f>
        <v>27181</v>
      </c>
      <c r="M59" s="105">
        <f>'6 - B1'!M59</f>
        <v>28246</v>
      </c>
      <c r="N59" s="105">
        <f>'6 - B1'!N59</f>
        <v>27733</v>
      </c>
      <c r="O59" s="105">
        <f>'6 - B1'!O59</f>
        <v>28434</v>
      </c>
      <c r="P59" s="105">
        <f>'6 - B1'!P59</f>
        <v>28179</v>
      </c>
    </row>
    <row r="60" spans="1:16" x14ac:dyDescent="0.35">
      <c r="A60" s="107">
        <f>'6 - B1'!A60</f>
        <v>11</v>
      </c>
      <c r="B60" s="105">
        <f>'6 - B1'!B60</f>
        <v>23493</v>
      </c>
      <c r="C60" s="105">
        <f>'6 - B1'!C60</f>
        <v>24597</v>
      </c>
      <c r="D60" s="105">
        <f>'6 - B1'!D60</f>
        <v>24200</v>
      </c>
      <c r="E60" s="105">
        <f>'6 - B1'!E60</f>
        <v>24913</v>
      </c>
      <c r="F60" s="105">
        <f>'6 - B1'!F60</f>
        <v>24164</v>
      </c>
      <c r="G60" s="105">
        <f>'6 - B1'!G60</f>
        <v>23077</v>
      </c>
      <c r="H60" s="105">
        <f>'6 - B1'!H60</f>
        <v>24763</v>
      </c>
      <c r="I60" s="105">
        <f>'6 - B1'!I60</f>
        <v>24671</v>
      </c>
      <c r="J60" s="105">
        <f>'6 - B1'!J60</f>
        <v>24747</v>
      </c>
      <c r="K60" s="105">
        <f>'6 - B1'!K60</f>
        <v>24286</v>
      </c>
      <c r="L60" s="105">
        <f>'6 - B1'!L60</f>
        <v>22708</v>
      </c>
      <c r="M60" s="105">
        <f>'6 - B1'!M60</f>
        <v>23679</v>
      </c>
      <c r="N60" s="105">
        <f>'6 - B1'!N60</f>
        <v>23155</v>
      </c>
      <c r="O60" s="105">
        <f>'6 - B1'!O60</f>
        <v>23695</v>
      </c>
      <c r="P60" s="105">
        <f>'6 - B1'!P60</f>
        <v>23574</v>
      </c>
    </row>
    <row r="61" spans="1:16" x14ac:dyDescent="0.35">
      <c r="A61" s="107">
        <f>'6 - B1'!A61</f>
        <v>12</v>
      </c>
      <c r="B61" s="105">
        <f>'6 - B1'!B61</f>
        <v>19157</v>
      </c>
      <c r="C61" s="105">
        <f>'6 - B1'!C61</f>
        <v>20087</v>
      </c>
      <c r="D61" s="105">
        <f>'6 - B1'!D61</f>
        <v>19890</v>
      </c>
      <c r="E61" s="105">
        <f>'6 - B1'!E61</f>
        <v>20448</v>
      </c>
      <c r="F61" s="105">
        <f>'6 - B1'!F61</f>
        <v>19874</v>
      </c>
      <c r="G61" s="105">
        <f>'6 - B1'!G61</f>
        <v>19065</v>
      </c>
      <c r="H61" s="105">
        <f>'6 - B1'!H61</f>
        <v>20448</v>
      </c>
      <c r="I61" s="105">
        <f>'6 - B1'!I61</f>
        <v>20262</v>
      </c>
      <c r="J61" s="105">
        <f>'6 - B1'!J61</f>
        <v>20390</v>
      </c>
      <c r="K61" s="105">
        <f>'6 - B1'!K61</f>
        <v>19906</v>
      </c>
      <c r="L61" s="105">
        <f>'6 - B1'!L61</f>
        <v>18734</v>
      </c>
      <c r="M61" s="105">
        <f>'6 - B1'!M61</f>
        <v>19649</v>
      </c>
      <c r="N61" s="105">
        <f>'6 - B1'!N61</f>
        <v>19202</v>
      </c>
      <c r="O61" s="105">
        <f>'6 - B1'!O61</f>
        <v>19454</v>
      </c>
      <c r="P61" s="105">
        <f>'6 - B1'!P61</f>
        <v>19471</v>
      </c>
    </row>
    <row r="62" spans="1:16" x14ac:dyDescent="0.35">
      <c r="A62" s="107">
        <f>'6 - B1'!A62</f>
        <v>13</v>
      </c>
      <c r="B62" s="105">
        <f>'6 - B1'!B62</f>
        <v>15619</v>
      </c>
      <c r="C62" s="105">
        <f>'6 - B1'!C62</f>
        <v>16355</v>
      </c>
      <c r="D62" s="105">
        <f>'6 - B1'!D62</f>
        <v>16155</v>
      </c>
      <c r="E62" s="105">
        <f>'6 - B1'!E62</f>
        <v>16600</v>
      </c>
      <c r="F62" s="105">
        <f>'6 - B1'!F62</f>
        <v>16059</v>
      </c>
      <c r="G62" s="105">
        <f>'6 - B1'!G62</f>
        <v>15535</v>
      </c>
      <c r="H62" s="105">
        <f>'6 - B1'!H62</f>
        <v>16608</v>
      </c>
      <c r="I62" s="105">
        <f>'6 - B1'!I62</f>
        <v>16473</v>
      </c>
      <c r="J62" s="105">
        <f>'6 - B1'!J62</f>
        <v>16595</v>
      </c>
      <c r="K62" s="105">
        <f>'6 - B1'!K62</f>
        <v>16166</v>
      </c>
      <c r="L62" s="105">
        <f>'6 - B1'!L62</f>
        <v>15251</v>
      </c>
      <c r="M62" s="105">
        <f>'6 - B1'!M62</f>
        <v>16079</v>
      </c>
      <c r="N62" s="105">
        <f>'6 - B1'!N62</f>
        <v>15691</v>
      </c>
      <c r="O62" s="105">
        <f>'6 - B1'!O62</f>
        <v>15991</v>
      </c>
      <c r="P62" s="105">
        <f>'6 - B1'!P62</f>
        <v>15805</v>
      </c>
    </row>
    <row r="63" spans="1:16" x14ac:dyDescent="0.35">
      <c r="A63" s="107">
        <f>'6 - B1'!A63</f>
        <v>14</v>
      </c>
      <c r="B63" s="105">
        <f>'6 - B1'!B63</f>
        <v>12358</v>
      </c>
      <c r="C63" s="105">
        <f>'6 - B1'!C63</f>
        <v>12923</v>
      </c>
      <c r="D63" s="105">
        <f>'6 - B1'!D63</f>
        <v>12761</v>
      </c>
      <c r="E63" s="105">
        <f>'6 - B1'!E63</f>
        <v>13099</v>
      </c>
      <c r="F63" s="105">
        <f>'6 - B1'!F63</f>
        <v>12665</v>
      </c>
      <c r="G63" s="105">
        <f>'6 - B1'!G63</f>
        <v>12348</v>
      </c>
      <c r="H63" s="105">
        <f>'6 - B1'!H63</f>
        <v>13267</v>
      </c>
      <c r="I63" s="105">
        <f>'6 - B1'!I63</f>
        <v>13153</v>
      </c>
      <c r="J63" s="105">
        <f>'6 - B1'!J63</f>
        <v>13206</v>
      </c>
      <c r="K63" s="105">
        <f>'6 - B1'!K63</f>
        <v>12862</v>
      </c>
      <c r="L63" s="105">
        <f>'6 - B1'!L63</f>
        <v>12197</v>
      </c>
      <c r="M63" s="105">
        <f>'6 - B1'!M63</f>
        <v>12742</v>
      </c>
      <c r="N63" s="105">
        <f>'6 - B1'!N63</f>
        <v>12480</v>
      </c>
      <c r="O63" s="105">
        <f>'6 - B1'!O63</f>
        <v>12663</v>
      </c>
      <c r="P63" s="105">
        <f>'6 - B1'!P63</f>
        <v>12586</v>
      </c>
    </row>
    <row r="64" spans="1:16" x14ac:dyDescent="0.35">
      <c r="A64" s="107">
        <f>'6 - B1'!A64</f>
        <v>15</v>
      </c>
      <c r="B64" s="105">
        <f>'6 - B1'!B64</f>
        <v>9666</v>
      </c>
      <c r="C64" s="105">
        <f>'6 - B1'!C64</f>
        <v>10067</v>
      </c>
      <c r="D64" s="105">
        <f>'6 - B1'!D64</f>
        <v>10011</v>
      </c>
      <c r="E64" s="105">
        <f>'6 - B1'!E64</f>
        <v>10150</v>
      </c>
      <c r="F64" s="105">
        <f>'6 - B1'!F64</f>
        <v>9871</v>
      </c>
      <c r="G64" s="105">
        <f>'6 - B1'!G64</f>
        <v>9653</v>
      </c>
      <c r="H64" s="105">
        <f>'6 - B1'!H64</f>
        <v>10343</v>
      </c>
      <c r="I64" s="105">
        <f>'6 - B1'!I64</f>
        <v>10260</v>
      </c>
      <c r="J64" s="105">
        <f>'6 - B1'!J64</f>
        <v>10334</v>
      </c>
      <c r="K64" s="105">
        <f>'6 - B1'!K64</f>
        <v>10104</v>
      </c>
      <c r="L64" s="105">
        <f>'6 - B1'!L64</f>
        <v>9591</v>
      </c>
      <c r="M64" s="105">
        <f>'6 - B1'!M64</f>
        <v>9987</v>
      </c>
      <c r="N64" s="105">
        <f>'6 - B1'!N64</f>
        <v>9754</v>
      </c>
      <c r="O64" s="105">
        <f>'6 - B1'!O64</f>
        <v>9911</v>
      </c>
      <c r="P64" s="105">
        <f>'6 - B1'!P64</f>
        <v>9871</v>
      </c>
    </row>
    <row r="65" spans="1:16" x14ac:dyDescent="0.35">
      <c r="A65" s="107">
        <f>'6 - B1'!A65</f>
        <v>16</v>
      </c>
      <c r="B65" s="105">
        <f>'6 - B1'!B65</f>
        <v>7498</v>
      </c>
      <c r="C65" s="105">
        <f>'6 - B1'!C65</f>
        <v>7769</v>
      </c>
      <c r="D65" s="105">
        <f>'6 - B1'!D65</f>
        <v>7776</v>
      </c>
      <c r="E65" s="105">
        <f>'6 - B1'!E65</f>
        <v>7757</v>
      </c>
      <c r="F65" s="105">
        <f>'6 - B1'!F65</f>
        <v>7588</v>
      </c>
      <c r="G65" s="105">
        <f>'6 - B1'!G65</f>
        <v>7444</v>
      </c>
      <c r="H65" s="105">
        <f>'6 - B1'!H65</f>
        <v>7929</v>
      </c>
      <c r="I65" s="105">
        <f>'6 - B1'!I65</f>
        <v>7902</v>
      </c>
      <c r="J65" s="105">
        <f>'6 - B1'!J65</f>
        <v>8072</v>
      </c>
      <c r="K65" s="105">
        <f>'6 - B1'!K65</f>
        <v>7831</v>
      </c>
      <c r="L65" s="105">
        <f>'6 - B1'!L65</f>
        <v>7441</v>
      </c>
      <c r="M65" s="105">
        <f>'6 - B1'!M65</f>
        <v>7706</v>
      </c>
      <c r="N65" s="105">
        <f>'6 - B1'!N65</f>
        <v>7608</v>
      </c>
      <c r="O65" s="105">
        <f>'6 - B1'!O65</f>
        <v>7739</v>
      </c>
      <c r="P65" s="105">
        <f>'6 - B1'!P65</f>
        <v>7649</v>
      </c>
    </row>
    <row r="66" spans="1:16" x14ac:dyDescent="0.35">
      <c r="A66" s="107">
        <f>'6 - B1'!A66</f>
        <v>17</v>
      </c>
      <c r="B66" s="105">
        <f>'6 - B1'!B66</f>
        <v>5730</v>
      </c>
      <c r="C66" s="105">
        <f>'6 - B1'!C66</f>
        <v>5933</v>
      </c>
      <c r="D66" s="105">
        <f>'6 - B1'!D66</f>
        <v>5879</v>
      </c>
      <c r="E66" s="105">
        <f>'6 - B1'!E66</f>
        <v>5971</v>
      </c>
      <c r="F66" s="105">
        <f>'6 - B1'!F66</f>
        <v>5812</v>
      </c>
      <c r="G66" s="105">
        <f>'6 - B1'!G66</f>
        <v>5689</v>
      </c>
      <c r="H66" s="105">
        <f>'6 - B1'!H66</f>
        <v>6044</v>
      </c>
      <c r="I66" s="105">
        <f>'6 - B1'!I66</f>
        <v>6015</v>
      </c>
      <c r="J66" s="105">
        <f>'6 - B1'!J66</f>
        <v>6104</v>
      </c>
      <c r="K66" s="105">
        <f>'6 - B1'!K66</f>
        <v>5988</v>
      </c>
      <c r="L66" s="105">
        <f>'6 - B1'!L66</f>
        <v>5766</v>
      </c>
      <c r="M66" s="105">
        <f>'6 - B1'!M66</f>
        <v>5894</v>
      </c>
      <c r="N66" s="105">
        <f>'6 - B1'!N66</f>
        <v>5858</v>
      </c>
      <c r="O66" s="105">
        <f>'6 - B1'!O66</f>
        <v>5917</v>
      </c>
      <c r="P66" s="105">
        <f>'6 - B1'!P66</f>
        <v>5822</v>
      </c>
    </row>
    <row r="67" spans="1:16" x14ac:dyDescent="0.35">
      <c r="A67" s="107">
        <f>'6 - B1'!A67</f>
        <v>18</v>
      </c>
      <c r="B67" s="105">
        <f>'6 - B1'!B67</f>
        <v>4390</v>
      </c>
      <c r="C67" s="105">
        <f>'6 - B1'!C67</f>
        <v>4448</v>
      </c>
      <c r="D67" s="105">
        <f>'6 - B1'!D67</f>
        <v>4502</v>
      </c>
      <c r="E67" s="105">
        <f>'6 - B1'!E67</f>
        <v>4543</v>
      </c>
      <c r="F67" s="105">
        <f>'6 - B1'!F67</f>
        <v>4402</v>
      </c>
      <c r="G67" s="105">
        <f>'6 - B1'!G67</f>
        <v>4351</v>
      </c>
      <c r="H67" s="105">
        <f>'6 - B1'!H67</f>
        <v>4532</v>
      </c>
      <c r="I67" s="105">
        <f>'6 - B1'!I67</f>
        <v>4604</v>
      </c>
      <c r="J67" s="105">
        <f>'6 - B1'!J67</f>
        <v>4731</v>
      </c>
      <c r="K67" s="105">
        <f>'6 - B1'!K67</f>
        <v>4564</v>
      </c>
      <c r="L67" s="105">
        <f>'6 - B1'!L67</f>
        <v>4363</v>
      </c>
      <c r="M67" s="105">
        <f>'6 - B1'!M67</f>
        <v>4520</v>
      </c>
      <c r="N67" s="105">
        <f>'6 - B1'!N67</f>
        <v>4485</v>
      </c>
      <c r="O67" s="105">
        <f>'6 - B1'!O67</f>
        <v>4488</v>
      </c>
      <c r="P67" s="105">
        <f>'6 - B1'!P67</f>
        <v>4405</v>
      </c>
    </row>
    <row r="68" spans="1:16" x14ac:dyDescent="0.35">
      <c r="A68" s="107">
        <f>'6 - B1'!A68</f>
        <v>19</v>
      </c>
      <c r="B68" s="105">
        <f>'6 - B1'!B68</f>
        <v>3309</v>
      </c>
      <c r="C68" s="105">
        <f>'6 - B1'!C68</f>
        <v>3387</v>
      </c>
      <c r="D68" s="105">
        <f>'6 - B1'!D68</f>
        <v>3426</v>
      </c>
      <c r="E68" s="105">
        <f>'6 - B1'!E68</f>
        <v>3457</v>
      </c>
      <c r="F68" s="105">
        <f>'6 - B1'!F68</f>
        <v>3313</v>
      </c>
      <c r="G68" s="105">
        <f>'6 - B1'!G68</f>
        <v>3371</v>
      </c>
      <c r="H68" s="105">
        <f>'6 - B1'!H68</f>
        <v>3445</v>
      </c>
      <c r="I68" s="105">
        <f>'6 - B1'!I68</f>
        <v>3459</v>
      </c>
      <c r="J68" s="105">
        <f>'6 - B1'!J68</f>
        <v>3590</v>
      </c>
      <c r="K68" s="105">
        <f>'6 - B1'!K68</f>
        <v>3495</v>
      </c>
      <c r="L68" s="105">
        <f>'6 - B1'!L68</f>
        <v>3412</v>
      </c>
      <c r="M68" s="105">
        <f>'6 - B1'!M68</f>
        <v>3463</v>
      </c>
      <c r="N68" s="105">
        <f>'6 - B1'!N68</f>
        <v>3420</v>
      </c>
      <c r="O68" s="105">
        <f>'6 - B1'!O68</f>
        <v>3418</v>
      </c>
      <c r="P68" s="105">
        <f>'6 - B1'!P68</f>
        <v>3355</v>
      </c>
    </row>
    <row r="69" spans="1:16" x14ac:dyDescent="0.35">
      <c r="A69" s="107">
        <f>'6 - B1'!A69</f>
        <v>20</v>
      </c>
      <c r="B69" s="105">
        <f>'6 - B1'!B69</f>
        <v>2571</v>
      </c>
      <c r="C69" s="105">
        <f>'6 - B1'!C69</f>
        <v>2609</v>
      </c>
      <c r="D69" s="105">
        <f>'6 - B1'!D69</f>
        <v>2633</v>
      </c>
      <c r="E69" s="105">
        <f>'6 - B1'!E69</f>
        <v>2637</v>
      </c>
      <c r="F69" s="105">
        <f>'6 - B1'!F69</f>
        <v>2513</v>
      </c>
      <c r="G69" s="105">
        <f>'6 - B1'!G69</f>
        <v>2583</v>
      </c>
      <c r="H69" s="105">
        <f>'6 - B1'!H69</f>
        <v>2638</v>
      </c>
      <c r="I69" s="105">
        <f>'6 - B1'!I69</f>
        <v>2559</v>
      </c>
      <c r="J69" s="105">
        <f>'6 - B1'!J69</f>
        <v>2717</v>
      </c>
      <c r="K69" s="105">
        <f>'6 - B1'!K69</f>
        <v>2639</v>
      </c>
      <c r="L69" s="105">
        <f>'6 - B1'!L69</f>
        <v>2606</v>
      </c>
      <c r="M69" s="105">
        <f>'6 - B1'!M69</f>
        <v>2660</v>
      </c>
      <c r="N69" s="105">
        <f>'6 - B1'!N69</f>
        <v>2638</v>
      </c>
      <c r="O69" s="105">
        <f>'6 - B1'!O69</f>
        <v>2604</v>
      </c>
      <c r="P69" s="105">
        <f>'6 - B1'!P69</f>
        <v>2521</v>
      </c>
    </row>
    <row r="70" spans="1:16" x14ac:dyDescent="0.35">
      <c r="A70" s="107">
        <f>'6 - B1'!A70</f>
        <v>21</v>
      </c>
      <c r="B70" s="105">
        <f>'6 - B1'!B70</f>
        <v>1989</v>
      </c>
      <c r="C70" s="105">
        <f>'6 - B1'!C70</f>
        <v>2006</v>
      </c>
      <c r="D70" s="105">
        <f>'6 - B1'!D70</f>
        <v>2014</v>
      </c>
      <c r="E70" s="105">
        <f>'6 - B1'!E70</f>
        <v>2041</v>
      </c>
      <c r="F70" s="105">
        <f>'6 - B1'!F70</f>
        <v>1883</v>
      </c>
      <c r="G70" s="105">
        <f>'6 - B1'!G70</f>
        <v>1954</v>
      </c>
      <c r="H70" s="105">
        <f>'6 - B1'!H70</f>
        <v>1977</v>
      </c>
      <c r="I70" s="105">
        <f>'6 - B1'!I70</f>
        <v>1977</v>
      </c>
      <c r="J70" s="105">
        <f>'6 - B1'!J70</f>
        <v>2070</v>
      </c>
      <c r="K70" s="105">
        <f>'6 - B1'!K70</f>
        <v>2052</v>
      </c>
      <c r="L70" s="105">
        <f>'6 - B1'!L70</f>
        <v>2020</v>
      </c>
      <c r="M70" s="105">
        <f>'6 - B1'!M70</f>
        <v>2047</v>
      </c>
      <c r="N70" s="105">
        <f>'6 - B1'!N70</f>
        <v>1992</v>
      </c>
      <c r="O70" s="105">
        <f>'6 - B1'!O70</f>
        <v>2019</v>
      </c>
      <c r="P70" s="105">
        <f>'6 - B1'!P70</f>
        <v>1895</v>
      </c>
    </row>
    <row r="71" spans="1:16" x14ac:dyDescent="0.35">
      <c r="A71" s="107">
        <f>'6 - B1'!A71</f>
        <v>22</v>
      </c>
      <c r="B71" s="105">
        <f>'6 - B1'!B71</f>
        <v>1548</v>
      </c>
      <c r="C71" s="105">
        <f>'6 - B1'!C71</f>
        <v>1562</v>
      </c>
      <c r="D71" s="105">
        <f>'6 - B1'!D71</f>
        <v>1552</v>
      </c>
      <c r="E71" s="105">
        <f>'6 - B1'!E71</f>
        <v>1596</v>
      </c>
      <c r="F71" s="105">
        <f>'6 - B1'!F71</f>
        <v>1436</v>
      </c>
      <c r="G71" s="105">
        <f>'6 - B1'!G71</f>
        <v>1498</v>
      </c>
      <c r="H71" s="105">
        <f>'6 - B1'!H71</f>
        <v>1549</v>
      </c>
      <c r="I71" s="105">
        <f>'6 - B1'!I71</f>
        <v>1531</v>
      </c>
      <c r="J71" s="105">
        <f>'6 - B1'!J71</f>
        <v>1589</v>
      </c>
      <c r="K71" s="105">
        <f>'6 - B1'!K71</f>
        <v>1595</v>
      </c>
      <c r="L71" s="105">
        <f>'6 - B1'!L71</f>
        <v>1578</v>
      </c>
      <c r="M71" s="105">
        <f>'6 - B1'!M71</f>
        <v>1574</v>
      </c>
      <c r="N71" s="105">
        <f>'6 - B1'!N71</f>
        <v>1556</v>
      </c>
      <c r="O71" s="105">
        <f>'6 - B1'!O71</f>
        <v>1552</v>
      </c>
      <c r="P71" s="105">
        <f>'6 - B1'!P71</f>
        <v>1451</v>
      </c>
    </row>
    <row r="72" spans="1:16" x14ac:dyDescent="0.35">
      <c r="A72" s="107">
        <f>'6 - B1'!A72</f>
        <v>23</v>
      </c>
      <c r="B72" s="105">
        <f>'6 - B1'!B72</f>
        <v>1198</v>
      </c>
      <c r="C72" s="105">
        <f>'6 - B1'!C72</f>
        <v>1218</v>
      </c>
      <c r="D72" s="105">
        <f>'6 - B1'!D72</f>
        <v>1183</v>
      </c>
      <c r="E72" s="105">
        <f>'6 - B1'!E72</f>
        <v>1233</v>
      </c>
      <c r="F72" s="105">
        <f>'6 - B1'!F72</f>
        <v>1084</v>
      </c>
      <c r="G72" s="105">
        <f>'6 - B1'!G72</f>
        <v>1149</v>
      </c>
      <c r="H72" s="105">
        <f>'6 - B1'!H72</f>
        <v>1180</v>
      </c>
      <c r="I72" s="105">
        <f>'6 - B1'!I72</f>
        <v>1175</v>
      </c>
      <c r="J72" s="105">
        <f>'6 - B1'!J72</f>
        <v>1234</v>
      </c>
      <c r="K72" s="105">
        <f>'6 - B1'!K72</f>
        <v>1220</v>
      </c>
      <c r="L72" s="105">
        <f>'6 - B1'!L72</f>
        <v>1236</v>
      </c>
      <c r="M72" s="105">
        <f>'6 - B1'!M72</f>
        <v>1189</v>
      </c>
      <c r="N72" s="105">
        <f>'6 - B1'!N72</f>
        <v>1206</v>
      </c>
      <c r="O72" s="105">
        <f>'6 - B1'!O72</f>
        <v>1194</v>
      </c>
      <c r="P72" s="105">
        <f>'6 - B1'!P72</f>
        <v>1108</v>
      </c>
    </row>
    <row r="73" spans="1:16" x14ac:dyDescent="0.35">
      <c r="A73" s="107">
        <f>'6 - B1'!A73</f>
        <v>24</v>
      </c>
      <c r="B73" s="105">
        <f>'6 - B1'!B73</f>
        <v>931</v>
      </c>
      <c r="C73" s="105">
        <f>'6 - B1'!C73</f>
        <v>930</v>
      </c>
      <c r="D73" s="105">
        <f>'6 - B1'!D73</f>
        <v>930</v>
      </c>
      <c r="E73" s="105">
        <f>'6 - B1'!E73</f>
        <v>929</v>
      </c>
      <c r="F73" s="105">
        <f>'6 - B1'!F73</f>
        <v>810</v>
      </c>
      <c r="G73" s="105">
        <f>'6 - B1'!G73</f>
        <v>869</v>
      </c>
      <c r="H73" s="105">
        <f>'6 - B1'!H73</f>
        <v>925</v>
      </c>
      <c r="I73" s="105">
        <f>'6 - B1'!I73</f>
        <v>915</v>
      </c>
      <c r="J73" s="105">
        <f>'6 - B1'!J73</f>
        <v>886</v>
      </c>
      <c r="K73" s="105">
        <f>'6 - B1'!K73</f>
        <v>944</v>
      </c>
      <c r="L73" s="105">
        <f>'6 - B1'!L73</f>
        <v>923</v>
      </c>
      <c r="M73" s="105">
        <f>'6 - B1'!M73</f>
        <v>918</v>
      </c>
      <c r="N73" s="105">
        <f>'6 - B1'!N73</f>
        <v>936</v>
      </c>
      <c r="O73" s="105">
        <f>'6 - B1'!O73</f>
        <v>904</v>
      </c>
      <c r="P73" s="105">
        <f>'6 - B1'!P73</f>
        <v>843</v>
      </c>
    </row>
    <row r="74" spans="1:16" x14ac:dyDescent="0.35">
      <c r="A74" s="107">
        <f>'6 - B1'!A74</f>
        <v>25</v>
      </c>
      <c r="B74" s="105">
        <f>'6 - B1'!B74</f>
        <v>696</v>
      </c>
      <c r="C74" s="105">
        <f>'6 - B1'!C74</f>
        <v>703</v>
      </c>
      <c r="D74" s="105">
        <f>'6 - B1'!D74</f>
        <v>721</v>
      </c>
      <c r="E74" s="105">
        <f>'6 - B1'!E74</f>
        <v>682</v>
      </c>
      <c r="F74" s="105">
        <f>'6 - B1'!F74</f>
        <v>615</v>
      </c>
      <c r="G74" s="105">
        <f>'6 - B1'!G74</f>
        <v>660</v>
      </c>
      <c r="H74" s="105">
        <f>'6 - B1'!H74</f>
        <v>695</v>
      </c>
      <c r="I74" s="105">
        <f>'6 - B1'!I74</f>
        <v>677</v>
      </c>
      <c r="J74" s="105">
        <f>'6 - B1'!J74</f>
        <v>676</v>
      </c>
      <c r="K74" s="105">
        <f>'6 - B1'!K74</f>
        <v>717</v>
      </c>
      <c r="L74" s="105">
        <f>'6 - B1'!L74</f>
        <v>710</v>
      </c>
      <c r="M74" s="105">
        <f>'6 - B1'!M74</f>
        <v>700</v>
      </c>
      <c r="N74" s="105">
        <f>'6 - B1'!N74</f>
        <v>726</v>
      </c>
      <c r="O74" s="105">
        <f>'6 - B1'!O74</f>
        <v>688</v>
      </c>
      <c r="P74" s="105">
        <f>'6 - B1'!P74</f>
        <v>657</v>
      </c>
    </row>
    <row r="75" spans="1:16" x14ac:dyDescent="0.35">
      <c r="A75" s="107">
        <f>'6 - B1'!A75</f>
        <v>26</v>
      </c>
      <c r="B75" s="105">
        <f>'6 - B1'!B75</f>
        <v>507</v>
      </c>
      <c r="C75" s="105">
        <f>'6 - B1'!C75</f>
        <v>533</v>
      </c>
      <c r="D75" s="105">
        <f>'6 - B1'!D75</f>
        <v>539</v>
      </c>
      <c r="E75" s="105">
        <f>'6 - B1'!E75</f>
        <v>499</v>
      </c>
      <c r="F75" s="105">
        <f>'6 - B1'!F75</f>
        <v>461</v>
      </c>
      <c r="G75" s="105">
        <f>'6 - B1'!G75</f>
        <v>490</v>
      </c>
      <c r="H75" s="105">
        <f>'6 - B1'!H75</f>
        <v>534</v>
      </c>
      <c r="I75" s="105">
        <f>'6 - B1'!I75</f>
        <v>505</v>
      </c>
      <c r="J75" s="105">
        <f>'6 - B1'!J75</f>
        <v>514</v>
      </c>
      <c r="K75" s="105">
        <f>'6 - B1'!K75</f>
        <v>531</v>
      </c>
      <c r="L75" s="105">
        <f>'6 - B1'!L75</f>
        <v>520</v>
      </c>
      <c r="M75" s="105">
        <f>'6 - B1'!M75</f>
        <v>515</v>
      </c>
      <c r="N75" s="105">
        <f>'6 - B1'!N75</f>
        <v>546</v>
      </c>
      <c r="O75" s="105">
        <f>'6 - B1'!O75</f>
        <v>527</v>
      </c>
      <c r="P75" s="105">
        <f>'6 - B1'!P75</f>
        <v>498</v>
      </c>
    </row>
    <row r="76" spans="1:16" x14ac:dyDescent="0.35">
      <c r="A76" s="107">
        <f>'6 - B1'!A76</f>
        <v>27</v>
      </c>
      <c r="B76" s="105">
        <f>'6 - B1'!B76</f>
        <v>387</v>
      </c>
      <c r="C76" s="105">
        <f>'6 - B1'!C76</f>
        <v>393</v>
      </c>
      <c r="D76" s="105">
        <f>'6 - B1'!D76</f>
        <v>388</v>
      </c>
      <c r="E76" s="105">
        <f>'6 - B1'!E76</f>
        <v>364</v>
      </c>
      <c r="F76" s="105">
        <f>'6 - B1'!F76</f>
        <v>341</v>
      </c>
      <c r="G76" s="105">
        <f>'6 - B1'!G76</f>
        <v>358</v>
      </c>
      <c r="H76" s="105">
        <f>'6 - B1'!H76</f>
        <v>401</v>
      </c>
      <c r="I76" s="105">
        <f>'6 - B1'!I76</f>
        <v>363</v>
      </c>
      <c r="J76" s="105">
        <f>'6 - B1'!J76</f>
        <v>396</v>
      </c>
      <c r="K76" s="105">
        <f>'6 - B1'!K76</f>
        <v>405</v>
      </c>
      <c r="L76" s="105">
        <f>'6 - B1'!L76</f>
        <v>403</v>
      </c>
      <c r="M76" s="105">
        <f>'6 - B1'!M76</f>
        <v>371</v>
      </c>
      <c r="N76" s="105">
        <f>'6 - B1'!N76</f>
        <v>396</v>
      </c>
      <c r="O76" s="105">
        <f>'6 - B1'!O76</f>
        <v>393</v>
      </c>
      <c r="P76" s="105">
        <f>'6 - B1'!P76</f>
        <v>361</v>
      </c>
    </row>
    <row r="77" spans="1:16" x14ac:dyDescent="0.35">
      <c r="A77" s="107">
        <f>'6 - B1'!A77</f>
        <v>28</v>
      </c>
      <c r="B77" s="105">
        <f>'6 - B1'!B77</f>
        <v>277</v>
      </c>
      <c r="C77" s="105">
        <f>'6 - B1'!C77</f>
        <v>290</v>
      </c>
      <c r="D77" s="105">
        <f>'6 - B1'!D77</f>
        <v>278</v>
      </c>
      <c r="E77" s="105">
        <f>'6 - B1'!E77</f>
        <v>264</v>
      </c>
      <c r="F77" s="105">
        <f>'6 - B1'!F77</f>
        <v>253</v>
      </c>
      <c r="G77" s="105">
        <f>'6 - B1'!G77</f>
        <v>262</v>
      </c>
      <c r="H77" s="105">
        <f>'6 - B1'!H77</f>
        <v>293</v>
      </c>
      <c r="I77" s="105">
        <f>'6 - B1'!I77</f>
        <v>267</v>
      </c>
      <c r="J77" s="105">
        <f>'6 - B1'!J77</f>
        <v>297</v>
      </c>
      <c r="K77" s="105">
        <f>'6 - B1'!K77</f>
        <v>296</v>
      </c>
      <c r="L77" s="105">
        <f>'6 - B1'!L77</f>
        <v>302</v>
      </c>
      <c r="M77" s="105">
        <f>'6 - B1'!M77</f>
        <v>278</v>
      </c>
      <c r="N77" s="105">
        <f>'6 - B1'!N77</f>
        <v>302</v>
      </c>
      <c r="O77" s="105">
        <f>'6 - B1'!O77</f>
        <v>286</v>
      </c>
      <c r="P77" s="105">
        <f>'6 - B1'!P77</f>
        <v>260</v>
      </c>
    </row>
    <row r="78" spans="1:16" x14ac:dyDescent="0.35">
      <c r="A78" s="107">
        <f>'6 - B1'!A78</f>
        <v>29</v>
      </c>
      <c r="B78" s="105">
        <f>'6 - B1'!B78</f>
        <v>212</v>
      </c>
      <c r="C78" s="105">
        <f>'6 - B1'!C78</f>
        <v>214</v>
      </c>
      <c r="D78" s="105">
        <f>'6 - B1'!D78</f>
        <v>202</v>
      </c>
      <c r="E78" s="105">
        <f>'6 - B1'!E78</f>
        <v>189</v>
      </c>
      <c r="F78" s="105">
        <f>'6 - B1'!F78</f>
        <v>181</v>
      </c>
      <c r="G78" s="105">
        <f>'6 - B1'!G78</f>
        <v>176</v>
      </c>
      <c r="H78" s="105">
        <f>'6 - B1'!H78</f>
        <v>203</v>
      </c>
      <c r="I78" s="105">
        <f>'6 - B1'!I78</f>
        <v>188</v>
      </c>
      <c r="J78" s="105">
        <f>'6 - B1'!J78</f>
        <v>215</v>
      </c>
      <c r="K78" s="105">
        <f>'6 - B1'!K78</f>
        <v>195</v>
      </c>
      <c r="L78" s="105">
        <f>'6 - B1'!L78</f>
        <v>214</v>
      </c>
      <c r="M78" s="105">
        <f>'6 - B1'!M78</f>
        <v>201</v>
      </c>
      <c r="N78" s="105">
        <f>'6 - B1'!N78</f>
        <v>222</v>
      </c>
      <c r="O78" s="105">
        <f>'6 - B1'!O78</f>
        <v>204</v>
      </c>
      <c r="P78" s="105">
        <f>'6 - B1'!P78</f>
        <v>179</v>
      </c>
    </row>
    <row r="79" spans="1:16" x14ac:dyDescent="0.35">
      <c r="A79" s="107">
        <f>'6 - B1'!A79</f>
        <v>30</v>
      </c>
      <c r="B79" s="105">
        <f>'6 - B1'!B79</f>
        <v>152</v>
      </c>
      <c r="C79" s="105">
        <f>'6 - B1'!C79</f>
        <v>161</v>
      </c>
      <c r="D79" s="105">
        <f>'6 - B1'!D79</f>
        <v>143</v>
      </c>
      <c r="E79" s="105">
        <f>'6 - B1'!E79</f>
        <v>129</v>
      </c>
      <c r="F79" s="105">
        <f>'6 - B1'!F79</f>
        <v>128</v>
      </c>
      <c r="G79" s="105">
        <f>'6 - B1'!G79</f>
        <v>125</v>
      </c>
      <c r="H79" s="105">
        <f>'6 - B1'!H79</f>
        <v>144</v>
      </c>
      <c r="I79" s="105">
        <f>'6 - B1'!I79</f>
        <v>139</v>
      </c>
      <c r="J79" s="105">
        <f>'6 - B1'!J79</f>
        <v>165</v>
      </c>
      <c r="K79" s="108">
        <f>'6 - B1'!K79</f>
        <v>143</v>
      </c>
      <c r="L79" s="105">
        <f>'6 - B1'!L79</f>
        <v>156</v>
      </c>
      <c r="M79" s="105">
        <f>'6 - B1'!M79</f>
        <v>149</v>
      </c>
      <c r="N79" s="105">
        <f>'6 - B1'!N79</f>
        <v>148</v>
      </c>
      <c r="O79" s="105">
        <f>'6 - B1'!O79</f>
        <v>143</v>
      </c>
      <c r="P79" s="105">
        <f>'6 - B1'!P79</f>
        <v>120</v>
      </c>
    </row>
    <row r="80" spans="1:16" x14ac:dyDescent="0.35">
      <c r="A80" s="107">
        <f>'6 - B1'!A80</f>
        <v>38</v>
      </c>
      <c r="B80" s="105">
        <f>'6 - B1'!B80</f>
        <v>111</v>
      </c>
      <c r="C80" s="105">
        <f>'6 - B1'!C80</f>
        <v>108</v>
      </c>
      <c r="D80" s="105">
        <f>'6 - B1'!D80</f>
        <v>98</v>
      </c>
      <c r="E80" s="105">
        <f>'6 - B1'!E80</f>
        <v>80</v>
      </c>
      <c r="F80" s="105">
        <f>'6 - B1'!F80</f>
        <v>93</v>
      </c>
      <c r="G80" s="105">
        <f>'6 - B1'!G80</f>
        <v>94</v>
      </c>
      <c r="H80" s="105">
        <f>'6 - B1'!H80</f>
        <v>93</v>
      </c>
      <c r="I80" s="105">
        <f>'6 - B1'!I80</f>
        <v>100</v>
      </c>
      <c r="J80" s="105">
        <f>'6 - B1'!J80</f>
        <v>118</v>
      </c>
      <c r="K80" s="105">
        <f>'6 - B1'!K80</f>
        <v>103</v>
      </c>
      <c r="L80" s="105">
        <f>'6 - B1'!L80</f>
        <v>120</v>
      </c>
      <c r="M80" s="105">
        <f>'6 - B1'!M80</f>
        <v>110</v>
      </c>
      <c r="N80" s="105">
        <f>'6 - B1'!N80</f>
        <v>103</v>
      </c>
      <c r="O80" s="105">
        <f>'6 - B1'!O80</f>
        <v>100</v>
      </c>
      <c r="P80" s="105">
        <f>'6 - B1'!P80</f>
        <v>79</v>
      </c>
    </row>
    <row r="81" spans="1:16" x14ac:dyDescent="0.35">
      <c r="A81" s="107">
        <f>'6 - B1'!A81</f>
        <v>50</v>
      </c>
      <c r="B81" s="105">
        <f>'6 - B1'!B81</f>
        <v>57</v>
      </c>
      <c r="C81" s="105">
        <f>'6 - B1'!C81</f>
        <v>54</v>
      </c>
      <c r="D81" s="105">
        <f>'6 - B1'!D81</f>
        <v>55</v>
      </c>
      <c r="E81" s="105">
        <f>'6 - B1'!E81</f>
        <v>38</v>
      </c>
      <c r="F81" s="105">
        <f>'6 - B1'!F81</f>
        <v>55</v>
      </c>
      <c r="G81" s="105">
        <f>'6 - B1'!G81</f>
        <v>49</v>
      </c>
      <c r="H81" s="105">
        <f>'6 - B1'!H81</f>
        <v>45</v>
      </c>
      <c r="I81" s="105">
        <f>'6 - B1'!I81</f>
        <v>54</v>
      </c>
      <c r="J81" s="105">
        <f>'6 - B1'!J81</f>
        <v>59</v>
      </c>
      <c r="K81" s="105">
        <f>'6 - B1'!K81</f>
        <v>55</v>
      </c>
      <c r="L81" s="105">
        <f>'6 - B1'!L81</f>
        <v>57</v>
      </c>
      <c r="M81" s="105">
        <f>'6 - B1'!M81</f>
        <v>60</v>
      </c>
      <c r="N81" s="105">
        <f>'6 - B1'!N81</f>
        <v>54</v>
      </c>
      <c r="O81" s="105">
        <f>'6 - B1'!O81</f>
        <v>49</v>
      </c>
      <c r="P81" s="105">
        <f>'6 - B1'!P81</f>
        <v>41</v>
      </c>
    </row>
    <row r="82" spans="1:16" x14ac:dyDescent="0.35">
      <c r="A82" s="107">
        <f>'6 - B1'!A82</f>
        <v>70</v>
      </c>
      <c r="B82" s="105">
        <f>'6 - B1'!B82</f>
        <v>17</v>
      </c>
      <c r="C82" s="105">
        <f>'6 - B1'!C82</f>
        <v>17</v>
      </c>
      <c r="D82" s="105">
        <f>'6 - B1'!D82</f>
        <v>13</v>
      </c>
      <c r="E82" s="105">
        <f>'6 - B1'!E82</f>
        <v>15</v>
      </c>
      <c r="F82" s="105">
        <f>'6 - B1'!F82</f>
        <v>20</v>
      </c>
      <c r="G82" s="105">
        <f>'6 - B1'!G82</f>
        <v>16</v>
      </c>
      <c r="H82" s="105">
        <f>'6 - B1'!H82</f>
        <v>17</v>
      </c>
      <c r="I82" s="105">
        <f>'6 - B1'!I82</f>
        <v>20</v>
      </c>
      <c r="J82" s="105">
        <f>'6 - B1'!J82</f>
        <v>19</v>
      </c>
      <c r="K82" s="105">
        <f>'6 - B1'!K82</f>
        <v>21</v>
      </c>
      <c r="L82" s="105">
        <f>'6 - B1'!L82</f>
        <v>28</v>
      </c>
      <c r="M82" s="105">
        <f>'6 - B1'!M82</f>
        <v>17</v>
      </c>
      <c r="N82" s="105">
        <f>'6 - B1'!N82</f>
        <v>21</v>
      </c>
      <c r="O82" s="105">
        <f>'6 - B1'!O82</f>
        <v>20</v>
      </c>
      <c r="P82" s="105">
        <f>'6 - B1'!P82</f>
        <v>15</v>
      </c>
    </row>
  </sheetData>
  <conditionalFormatting sqref="H9:H40">
    <cfRule type="cellIs" dxfId="13" priority="2" operator="greaterThan">
      <formula>1000</formula>
    </cfRule>
  </conditionalFormatting>
  <conditionalFormatting sqref="K9:K40">
    <cfRule type="cellIs" dxfId="12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W82"/>
  <sheetViews>
    <sheetView zoomScale="95" zoomScaleNormal="95" workbookViewId="0">
      <selection activeCell="P12" sqref="P12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89" t="s">
        <v>197</v>
      </c>
      <c r="O2" s="89"/>
    </row>
    <row r="3" spans="1:49" ht="13.15" x14ac:dyDescent="0.4">
      <c r="A3" t="str">
        <f>'6 - B1'!$A$3</f>
        <v>Serial #</v>
      </c>
      <c r="B3" s="87" t="str">
        <f>'6 - B1'!$B$3</f>
        <v>11171-00009</v>
      </c>
    </row>
    <row r="4" spans="1:49" ht="17.100000000000001" customHeight="1" x14ac:dyDescent="1.05">
      <c r="A4" s="8" t="str">
        <f>'6 - B1'!$A$4</f>
        <v>Date</v>
      </c>
      <c r="B4" s="88">
        <f>'6 - B1'!$B$4</f>
        <v>45832</v>
      </c>
      <c r="O4" s="89"/>
    </row>
    <row r="5" spans="1:49" ht="13.15" x14ac:dyDescent="0.4">
      <c r="A5" s="8" t="str">
        <f>'6 - B1'!$A$5</f>
        <v>RM</v>
      </c>
      <c r="B5" s="104" t="str">
        <f>'6 - B1'!$B$5</f>
        <v>34D</v>
      </c>
    </row>
    <row r="6" spans="1:49" ht="13.15" x14ac:dyDescent="0.4">
      <c r="B6" s="8"/>
      <c r="C6" s="8"/>
      <c r="D6" s="8"/>
      <c r="E6" s="8"/>
      <c r="F6" s="8"/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L7" s="76" t="s">
        <v>152</v>
      </c>
      <c r="O7" s="76"/>
    </row>
    <row r="8" spans="1:49" ht="13.15" x14ac:dyDescent="0.4">
      <c r="A8" s="79" t="s">
        <v>153</v>
      </c>
      <c r="B8" s="49">
        <f>L52</f>
        <v>4.47241</v>
      </c>
      <c r="C8" s="49">
        <f>M52</f>
        <v>4.749409</v>
      </c>
      <c r="D8" s="49">
        <f>N52</f>
        <v>4.6970419999999997</v>
      </c>
      <c r="E8" s="49">
        <f>O52</f>
        <v>4.7490690000000004</v>
      </c>
      <c r="F8" s="49">
        <f>P52</f>
        <v>4.766686</v>
      </c>
      <c r="G8" s="92">
        <f>AVERAGE(B$8:F$8)*5</f>
        <v>23.434615999999998</v>
      </c>
      <c r="I8" s="93"/>
      <c r="K8" s="93"/>
    </row>
    <row r="9" spans="1:49" x14ac:dyDescent="0.35">
      <c r="A9" s="79" t="s">
        <v>154</v>
      </c>
      <c r="B9" s="45">
        <f t="shared" ref="B9:B37" si="0">L53/B$8</f>
        <v>15067.267983033757</v>
      </c>
      <c r="C9" s="45">
        <f t="shared" ref="C9:C38" si="1">M53/C$8</f>
        <v>14919.961620487938</v>
      </c>
      <c r="D9" s="45">
        <f t="shared" ref="D9:D38" si="2">N53/D$8</f>
        <v>14785.049824974953</v>
      </c>
      <c r="E9" s="45">
        <f t="shared" ref="E9:E38" si="3">O53/E$8</f>
        <v>15113.06742437307</v>
      </c>
      <c r="F9" s="45">
        <f t="shared" ref="F9:F38" si="4">P53/F$8</f>
        <v>14801.058848852221</v>
      </c>
      <c r="G9" s="46">
        <f t="shared" ref="G9:G38" si="5">AVERAGE(B9:F9)</f>
        <v>14937.281140344387</v>
      </c>
      <c r="H9" s="95">
        <f t="shared" ref="H9:H38" si="6">G9*G$8</f>
        <v>350049.44760801276</v>
      </c>
      <c r="I9" s="93">
        <f t="shared" ref="I9:I38" si="7">STDEVP(B9:F9)/G9</f>
        <v>8.9732529267056386E-3</v>
      </c>
      <c r="J9" s="93">
        <f t="shared" ref="J9:J38" si="8">IF(H9&gt;$A$43, $C$43, IF(H9&gt;$A$44, $C$44, IF(H9&gt;$A$45,$C$45,IF(H9&gt;$A$46,$C$46, IF(H9&gt;$A$47,$C$47,IF(H9&gt;$A$48,$C$48,$C$49))))))/100</f>
        <v>0.11</v>
      </c>
      <c r="K9" s="93">
        <f t="shared" ref="K9:K38" si="9">(MAX(B9:F9)-MIN(B9:F9))/G9</f>
        <v>2.1959658944368965E-2</v>
      </c>
      <c r="L9">
        <f t="shared" ref="L9:L38" si="10">COUNTA(B9:F9)</f>
        <v>5</v>
      </c>
      <c r="O9" s="45"/>
    </row>
    <row r="10" spans="1:49" x14ac:dyDescent="0.35">
      <c r="A10" s="79" t="s">
        <v>155</v>
      </c>
      <c r="B10" s="45">
        <f t="shared" si="0"/>
        <v>13024.968641068239</v>
      </c>
      <c r="C10" s="45">
        <f t="shared" si="1"/>
        <v>12889.81429057805</v>
      </c>
      <c r="D10" s="45">
        <f t="shared" si="2"/>
        <v>12794.861106202585</v>
      </c>
      <c r="E10" s="45">
        <f t="shared" si="3"/>
        <v>13073.08864116314</v>
      </c>
      <c r="F10" s="45">
        <f t="shared" si="4"/>
        <v>12793.794262932361</v>
      </c>
      <c r="G10" s="46">
        <f t="shared" si="5"/>
        <v>12915.305388388875</v>
      </c>
      <c r="H10" s="95">
        <f t="shared" si="6"/>
        <v>302665.22229962412</v>
      </c>
      <c r="I10" s="93">
        <f t="shared" si="7"/>
        <v>8.952386014906881E-3</v>
      </c>
      <c r="J10" s="93">
        <f t="shared" si="8"/>
        <v>0.11</v>
      </c>
      <c r="K10" s="93">
        <f t="shared" si="9"/>
        <v>2.1625069623353289E-2</v>
      </c>
      <c r="L10">
        <f t="shared" si="10"/>
        <v>5</v>
      </c>
      <c r="O10" s="45"/>
    </row>
    <row r="11" spans="1:49" x14ac:dyDescent="0.35">
      <c r="A11" s="79" t="s">
        <v>156</v>
      </c>
      <c r="B11" s="45">
        <f t="shared" si="0"/>
        <v>11191.505251083867</v>
      </c>
      <c r="C11" s="45">
        <f t="shared" si="1"/>
        <v>11103.697323182738</v>
      </c>
      <c r="D11" s="45">
        <f t="shared" si="2"/>
        <v>11011.824037340948</v>
      </c>
      <c r="E11" s="45">
        <f t="shared" si="3"/>
        <v>11272.104069239675</v>
      </c>
      <c r="F11" s="45">
        <f t="shared" si="4"/>
        <v>11039.745433200342</v>
      </c>
      <c r="G11" s="46">
        <f t="shared" si="5"/>
        <v>11123.775222809514</v>
      </c>
      <c r="H11" s="95">
        <f t="shared" si="6"/>
        <v>260681.4008168554</v>
      </c>
      <c r="I11" s="93">
        <f t="shared" si="7"/>
        <v>8.6774176235717166E-3</v>
      </c>
      <c r="J11" s="93">
        <f t="shared" si="8"/>
        <v>0.11</v>
      </c>
      <c r="K11" s="93">
        <f t="shared" si="9"/>
        <v>2.339853392263962E-2</v>
      </c>
      <c r="L11">
        <f t="shared" si="10"/>
        <v>5</v>
      </c>
      <c r="O11" s="45"/>
    </row>
    <row r="12" spans="1:49" x14ac:dyDescent="0.35">
      <c r="A12" s="79" t="s">
        <v>157</v>
      </c>
      <c r="B12" s="45">
        <f t="shared" si="0"/>
        <v>9768.7823790752645</v>
      </c>
      <c r="C12" s="45">
        <f t="shared" si="1"/>
        <v>9649.4111162041427</v>
      </c>
      <c r="D12" s="45">
        <f t="shared" si="2"/>
        <v>9574.5364848770787</v>
      </c>
      <c r="E12" s="45">
        <f t="shared" si="3"/>
        <v>9795.1830137654342</v>
      </c>
      <c r="F12" s="45">
        <f t="shared" si="4"/>
        <v>9590.5205419446556</v>
      </c>
      <c r="G12" s="46">
        <f t="shared" si="5"/>
        <v>9675.6867071733159</v>
      </c>
      <c r="H12" s="95">
        <f t="shared" si="6"/>
        <v>226746.00251891109</v>
      </c>
      <c r="I12" s="93">
        <f t="shared" si="7"/>
        <v>9.3727320674219707E-3</v>
      </c>
      <c r="J12" s="93">
        <f t="shared" si="8"/>
        <v>0.11</v>
      </c>
      <c r="K12" s="93">
        <f t="shared" si="9"/>
        <v>2.2804224192663619E-2</v>
      </c>
      <c r="L12">
        <f t="shared" si="10"/>
        <v>5</v>
      </c>
      <c r="O12" s="45"/>
    </row>
    <row r="13" spans="1:49" x14ac:dyDescent="0.35">
      <c r="A13" s="79" t="s">
        <v>158</v>
      </c>
      <c r="B13" s="45">
        <f t="shared" si="0"/>
        <v>8376.6917612651796</v>
      </c>
      <c r="C13" s="45">
        <f t="shared" si="1"/>
        <v>8237.6565168424113</v>
      </c>
      <c r="D13" s="45">
        <f t="shared" si="2"/>
        <v>8181.957921602575</v>
      </c>
      <c r="E13" s="45">
        <f t="shared" si="3"/>
        <v>8316.3668500078638</v>
      </c>
      <c r="F13" s="45">
        <f t="shared" si="4"/>
        <v>8195.0017265664246</v>
      </c>
      <c r="G13" s="46">
        <f t="shared" si="5"/>
        <v>8261.5349552568896</v>
      </c>
      <c r="H13" s="95">
        <f t="shared" si="6"/>
        <v>193605.89924702237</v>
      </c>
      <c r="I13" s="93">
        <f t="shared" si="7"/>
        <v>8.9925951669375653E-3</v>
      </c>
      <c r="J13" s="93">
        <f t="shared" si="8"/>
        <v>0.11</v>
      </c>
      <c r="K13" s="93">
        <f t="shared" si="9"/>
        <v>2.3571145158526954E-2</v>
      </c>
      <c r="L13">
        <f t="shared" si="10"/>
        <v>5</v>
      </c>
      <c r="O13" s="45"/>
    </row>
    <row r="14" spans="1:49" x14ac:dyDescent="0.35">
      <c r="A14" s="79" t="s">
        <v>159</v>
      </c>
      <c r="B14" s="45">
        <f t="shared" si="0"/>
        <v>7167.0531100681737</v>
      </c>
      <c r="C14" s="45">
        <f t="shared" si="1"/>
        <v>7049.9297912645552</v>
      </c>
      <c r="D14" s="45">
        <f t="shared" si="2"/>
        <v>6990.3569097316995</v>
      </c>
      <c r="E14" s="45">
        <f t="shared" si="3"/>
        <v>7086.6521417145123</v>
      </c>
      <c r="F14" s="45">
        <f t="shared" si="4"/>
        <v>7013.2582679035286</v>
      </c>
      <c r="G14" s="46">
        <f t="shared" si="5"/>
        <v>7061.4500441364926</v>
      </c>
      <c r="H14" s="95">
        <f t="shared" si="6"/>
        <v>165482.37018752174</v>
      </c>
      <c r="I14" s="93">
        <f t="shared" si="7"/>
        <v>8.7975338673033227E-3</v>
      </c>
      <c r="J14" s="93">
        <f t="shared" si="8"/>
        <v>0.11</v>
      </c>
      <c r="K14" s="93">
        <f t="shared" si="9"/>
        <v>2.5022651046465273E-2</v>
      </c>
      <c r="L14">
        <f t="shared" si="10"/>
        <v>5</v>
      </c>
      <c r="O14" s="45"/>
    </row>
    <row r="15" spans="1:49" x14ac:dyDescent="0.35">
      <c r="A15" s="79" t="s">
        <v>160</v>
      </c>
      <c r="B15" s="45">
        <f t="shared" si="0"/>
        <v>6077.4839516055099</v>
      </c>
      <c r="C15" s="45">
        <f t="shared" si="1"/>
        <v>5947.2662809204257</v>
      </c>
      <c r="D15" s="45">
        <f t="shared" si="2"/>
        <v>5904.3542723271376</v>
      </c>
      <c r="E15" s="45">
        <f t="shared" si="3"/>
        <v>5987.2787697967742</v>
      </c>
      <c r="F15" s="45">
        <f t="shared" si="4"/>
        <v>5911.6543443390228</v>
      </c>
      <c r="G15" s="46">
        <f t="shared" si="5"/>
        <v>5965.607523797773</v>
      </c>
      <c r="H15" s="95">
        <f t="shared" si="6"/>
        <v>139801.72152691166</v>
      </c>
      <c r="I15" s="93">
        <f t="shared" si="7"/>
        <v>1.059779463072519E-2</v>
      </c>
      <c r="J15" s="93">
        <f t="shared" si="8"/>
        <v>0.11</v>
      </c>
      <c r="K15" s="93">
        <f t="shared" si="9"/>
        <v>2.902129893522664E-2</v>
      </c>
      <c r="L15">
        <f t="shared" si="10"/>
        <v>5</v>
      </c>
      <c r="O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 s="45">
        <f t="shared" si="0"/>
        <v>5077.3520316786698</v>
      </c>
      <c r="C16" s="45">
        <f t="shared" si="1"/>
        <v>4985.6729542559924</v>
      </c>
      <c r="D16" s="45">
        <f t="shared" si="2"/>
        <v>4929.6983079989495</v>
      </c>
      <c r="E16" s="45">
        <f t="shared" si="3"/>
        <v>4989.3989748306449</v>
      </c>
      <c r="F16" s="45">
        <f t="shared" si="4"/>
        <v>4945.5743466215308</v>
      </c>
      <c r="G16" s="46">
        <f t="shared" si="5"/>
        <v>4985.5393230771579</v>
      </c>
      <c r="H16" s="95">
        <f t="shared" si="6"/>
        <v>116834.19958921312</v>
      </c>
      <c r="I16" s="93">
        <f t="shared" si="7"/>
        <v>1.0290328859478531E-2</v>
      </c>
      <c r="J16" s="93">
        <f t="shared" si="8"/>
        <v>0.11</v>
      </c>
      <c r="K16" s="93">
        <f t="shared" si="9"/>
        <v>2.9616399372532874E-2</v>
      </c>
      <c r="L16">
        <f t="shared" si="10"/>
        <v>5</v>
      </c>
      <c r="O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 s="45">
        <f t="shared" si="0"/>
        <v>4188.7930668252684</v>
      </c>
      <c r="C17" s="45">
        <f t="shared" si="1"/>
        <v>4137.1463270482709</v>
      </c>
      <c r="D17" s="45">
        <f t="shared" si="2"/>
        <v>4088.1048114962568</v>
      </c>
      <c r="E17" s="45">
        <f t="shared" si="3"/>
        <v>4096.3818382087093</v>
      </c>
      <c r="F17" s="45">
        <f t="shared" si="4"/>
        <v>4084.8086070699856</v>
      </c>
      <c r="G17" s="46">
        <f t="shared" si="5"/>
        <v>4119.046930129698</v>
      </c>
      <c r="H17" s="95">
        <f t="shared" si="6"/>
        <v>96528.283093568301</v>
      </c>
      <c r="I17" s="93">
        <f t="shared" si="7"/>
        <v>9.6106219463529055E-3</v>
      </c>
      <c r="J17" s="93">
        <f t="shared" si="8"/>
        <v>0.11</v>
      </c>
      <c r="K17" s="93">
        <f t="shared" si="9"/>
        <v>2.5244786359355377E-2</v>
      </c>
      <c r="L17">
        <f t="shared" si="10"/>
        <v>5</v>
      </c>
      <c r="O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 s="45">
        <f t="shared" si="0"/>
        <v>3410.0183122745902</v>
      </c>
      <c r="C18" s="45">
        <f t="shared" si="1"/>
        <v>3385.4738557997425</v>
      </c>
      <c r="D18" s="45">
        <f t="shared" si="2"/>
        <v>3340.6130922397547</v>
      </c>
      <c r="E18" s="45">
        <f t="shared" si="3"/>
        <v>3367.1862843011963</v>
      </c>
      <c r="F18" s="45">
        <f t="shared" si="4"/>
        <v>3315.7208173561253</v>
      </c>
      <c r="G18" s="46">
        <f t="shared" si="5"/>
        <v>3363.8024723942822</v>
      </c>
      <c r="H18" s="95">
        <f t="shared" si="6"/>
        <v>78829.4192404106</v>
      </c>
      <c r="I18" s="93">
        <f t="shared" si="7"/>
        <v>9.8297618043122446E-3</v>
      </c>
      <c r="J18" s="93">
        <f t="shared" si="8"/>
        <v>0.11</v>
      </c>
      <c r="K18" s="93">
        <f t="shared" si="9"/>
        <v>2.8033006008032938E-2</v>
      </c>
      <c r="L18">
        <f t="shared" si="10"/>
        <v>5</v>
      </c>
      <c r="O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 s="45">
        <f t="shared" si="0"/>
        <v>2727.1649960535819</v>
      </c>
      <c r="C19" s="45">
        <f t="shared" si="1"/>
        <v>2682.8601200696762</v>
      </c>
      <c r="D19" s="45">
        <f t="shared" si="2"/>
        <v>2656.9913575394899</v>
      </c>
      <c r="E19" s="45">
        <f t="shared" si="3"/>
        <v>2666.417354643615</v>
      </c>
      <c r="F19" s="45">
        <f t="shared" si="4"/>
        <v>2640.4088710689148</v>
      </c>
      <c r="G19" s="46">
        <f t="shared" si="5"/>
        <v>2674.7685398750555</v>
      </c>
      <c r="H19" s="95">
        <f t="shared" si="6"/>
        <v>62682.173620852605</v>
      </c>
      <c r="I19" s="93">
        <f t="shared" si="7"/>
        <v>1.106185498520835E-2</v>
      </c>
      <c r="J19" s="93">
        <f t="shared" si="8"/>
        <v>0.11</v>
      </c>
      <c r="K19" s="93">
        <f t="shared" si="9"/>
        <v>3.2435002764283946E-2</v>
      </c>
      <c r="L19">
        <f t="shared" si="10"/>
        <v>5</v>
      </c>
      <c r="O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 s="45">
        <f t="shared" si="0"/>
        <v>2144.4813869926952</v>
      </c>
      <c r="C20" s="45">
        <f t="shared" si="1"/>
        <v>2102.7879468792853</v>
      </c>
      <c r="D20" s="45">
        <f t="shared" si="2"/>
        <v>2076.6260978718096</v>
      </c>
      <c r="E20" s="45">
        <f t="shared" si="3"/>
        <v>2086.935355119077</v>
      </c>
      <c r="F20" s="45">
        <f t="shared" si="4"/>
        <v>2070.8307616654424</v>
      </c>
      <c r="G20" s="46">
        <f t="shared" si="5"/>
        <v>2096.3323097056614</v>
      </c>
      <c r="H20" s="95">
        <f t="shared" si="6"/>
        <v>49126.742686345242</v>
      </c>
      <c r="I20" s="93">
        <f t="shared" si="7"/>
        <v>1.2597353338061284E-2</v>
      </c>
      <c r="J20" s="93">
        <f t="shared" si="8"/>
        <v>0.11</v>
      </c>
      <c r="K20" s="93">
        <f t="shared" si="9"/>
        <v>3.5133086956806864E-2</v>
      </c>
      <c r="L20">
        <f t="shared" si="10"/>
        <v>5</v>
      </c>
      <c r="O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 s="45">
        <f t="shared" si="0"/>
        <v>1663.7562298626467</v>
      </c>
      <c r="C21" s="45">
        <f t="shared" si="1"/>
        <v>1622.5176648294557</v>
      </c>
      <c r="D21" s="45">
        <f t="shared" si="2"/>
        <v>1619.7428083461891</v>
      </c>
      <c r="E21" s="45">
        <f t="shared" si="3"/>
        <v>1629.5825560757276</v>
      </c>
      <c r="F21" s="45">
        <f t="shared" si="4"/>
        <v>1604.6788061978491</v>
      </c>
      <c r="G21" s="46">
        <f t="shared" si="5"/>
        <v>1628.0556130623736</v>
      </c>
      <c r="H21" s="95">
        <f t="shared" si="6"/>
        <v>38152.858118761309</v>
      </c>
      <c r="I21" s="93">
        <f t="shared" si="7"/>
        <v>1.2046144908504683E-2</v>
      </c>
      <c r="J21" s="93">
        <f t="shared" si="8"/>
        <v>0.11</v>
      </c>
      <c r="K21" s="93">
        <f t="shared" si="9"/>
        <v>3.6287104193985696E-2</v>
      </c>
      <c r="L21">
        <f t="shared" si="10"/>
        <v>5</v>
      </c>
      <c r="O21" s="45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x14ac:dyDescent="0.35">
      <c r="A22" s="79" t="s">
        <v>167</v>
      </c>
      <c r="B22" s="45">
        <f t="shared" si="0"/>
        <v>1289.2377934938881</v>
      </c>
      <c r="C22" s="45">
        <f t="shared" si="1"/>
        <v>1240.9965113554128</v>
      </c>
      <c r="D22" s="45">
        <f t="shared" si="2"/>
        <v>1247.1678984348023</v>
      </c>
      <c r="E22" s="45">
        <f t="shared" si="3"/>
        <v>1245.9284124951648</v>
      </c>
      <c r="F22" s="45">
        <f t="shared" si="4"/>
        <v>1221.3936474942968</v>
      </c>
      <c r="G22" s="46">
        <f t="shared" si="5"/>
        <v>1248.944852654713</v>
      </c>
      <c r="H22" s="95">
        <f t="shared" si="6"/>
        <v>29268.543027139778</v>
      </c>
      <c r="I22" s="93">
        <f t="shared" si="7"/>
        <v>1.7752710489726677E-2</v>
      </c>
      <c r="J22" s="93">
        <f t="shared" si="8"/>
        <v>0.11</v>
      </c>
      <c r="K22" s="93">
        <f t="shared" si="9"/>
        <v>5.4321170270556142E-2</v>
      </c>
      <c r="L22">
        <f t="shared" si="10"/>
        <v>5</v>
      </c>
      <c r="O22" s="45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x14ac:dyDescent="0.35">
      <c r="A23" s="79" t="s">
        <v>168</v>
      </c>
      <c r="B23" s="45">
        <f t="shared" si="0"/>
        <v>975.53667932948906</v>
      </c>
      <c r="C23" s="45">
        <f t="shared" si="1"/>
        <v>951.69735855555928</v>
      </c>
      <c r="D23" s="45">
        <f t="shared" si="2"/>
        <v>954.85626911575423</v>
      </c>
      <c r="E23" s="45">
        <f t="shared" si="3"/>
        <v>945.02733061995934</v>
      </c>
      <c r="F23" s="45">
        <f t="shared" si="4"/>
        <v>924.12212593823051</v>
      </c>
      <c r="G23" s="46">
        <f t="shared" si="5"/>
        <v>950.24795271179846</v>
      </c>
      <c r="H23" s="95">
        <f t="shared" si="6"/>
        <v>22268.695876587153</v>
      </c>
      <c r="I23" s="93">
        <f t="shared" si="7"/>
        <v>1.7436577654779215E-2</v>
      </c>
      <c r="J23" s="93">
        <f t="shared" si="8"/>
        <v>0.11</v>
      </c>
      <c r="K23" s="93">
        <f t="shared" si="9"/>
        <v>5.410646057645558E-2</v>
      </c>
      <c r="L23">
        <f t="shared" si="10"/>
        <v>5</v>
      </c>
      <c r="O23" s="45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x14ac:dyDescent="0.35">
      <c r="A24" s="79" t="s">
        <v>169</v>
      </c>
      <c r="B24" s="45">
        <f t="shared" si="0"/>
        <v>762.89964471056987</v>
      </c>
      <c r="C24" s="45">
        <f t="shared" si="1"/>
        <v>729.14335236236764</v>
      </c>
      <c r="D24" s="45">
        <f t="shared" si="2"/>
        <v>728.11782394111026</v>
      </c>
      <c r="E24" s="45">
        <f t="shared" si="3"/>
        <v>719.72001249086918</v>
      </c>
      <c r="F24" s="45">
        <f t="shared" si="4"/>
        <v>703.84329909710857</v>
      </c>
      <c r="G24" s="46">
        <f t="shared" si="5"/>
        <v>728.74482652040501</v>
      </c>
      <c r="H24" s="95">
        <f t="shared" si="6"/>
        <v>17077.855171492305</v>
      </c>
      <c r="I24" s="93">
        <f t="shared" si="7"/>
        <v>2.6527845110336845E-2</v>
      </c>
      <c r="J24" s="93">
        <f t="shared" si="8"/>
        <v>0.11</v>
      </c>
      <c r="K24" s="93">
        <f t="shared" si="9"/>
        <v>8.1038442352232204E-2</v>
      </c>
      <c r="L24">
        <f t="shared" si="10"/>
        <v>5</v>
      </c>
      <c r="O24" s="45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x14ac:dyDescent="0.35">
      <c r="A25" s="79" t="s">
        <v>170</v>
      </c>
      <c r="B25" s="45">
        <f t="shared" si="0"/>
        <v>582.68360906088662</v>
      </c>
      <c r="C25" s="45">
        <f t="shared" si="1"/>
        <v>560.06968445968755</v>
      </c>
      <c r="D25" s="45">
        <f t="shared" si="2"/>
        <v>561.63006419785052</v>
      </c>
      <c r="E25" s="45">
        <f t="shared" si="3"/>
        <v>548.31799664313144</v>
      </c>
      <c r="F25" s="45">
        <f t="shared" si="4"/>
        <v>528.87897377758884</v>
      </c>
      <c r="G25" s="46">
        <f t="shared" si="5"/>
        <v>556.31606562782895</v>
      </c>
      <c r="H25" s="95">
        <f t="shared" si="6"/>
        <v>13037.05337261897</v>
      </c>
      <c r="I25" s="93">
        <f t="shared" si="7"/>
        <v>3.1693209818022379E-2</v>
      </c>
      <c r="J25" s="93">
        <f t="shared" si="8"/>
        <v>0.11</v>
      </c>
      <c r="K25" s="93">
        <f t="shared" si="9"/>
        <v>9.6715947296213189E-2</v>
      </c>
      <c r="L25">
        <f t="shared" si="10"/>
        <v>5</v>
      </c>
      <c r="O25" s="45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x14ac:dyDescent="0.35">
      <c r="A26" s="79" t="s">
        <v>171</v>
      </c>
      <c r="B26" s="45">
        <f t="shared" si="0"/>
        <v>451.65805460590599</v>
      </c>
      <c r="C26" s="45">
        <f t="shared" si="1"/>
        <v>431.00099401841368</v>
      </c>
      <c r="D26" s="45">
        <f t="shared" si="2"/>
        <v>424.09669745341859</v>
      </c>
      <c r="E26" s="45">
        <f t="shared" si="3"/>
        <v>425.13595822675978</v>
      </c>
      <c r="F26" s="45"/>
      <c r="G26" s="46">
        <f t="shared" si="5"/>
        <v>432.97292607612451</v>
      </c>
      <c r="H26" s="95">
        <f t="shared" si="6"/>
        <v>10146.554260990364</v>
      </c>
      <c r="I26" s="93">
        <f t="shared" si="7"/>
        <v>2.5646797604582671E-2</v>
      </c>
      <c r="J26" s="93">
        <f t="shared" si="8"/>
        <v>0.11</v>
      </c>
      <c r="K26" s="93">
        <f t="shared" si="9"/>
        <v>6.3656075224531747E-2</v>
      </c>
      <c r="L26">
        <f t="shared" si="10"/>
        <v>4</v>
      </c>
      <c r="O26" s="45"/>
    </row>
    <row r="27" spans="1:49" x14ac:dyDescent="0.35">
      <c r="A27" s="79" t="s">
        <v>172</v>
      </c>
      <c r="B27" s="45">
        <f t="shared" si="0"/>
        <v>352.82990602382159</v>
      </c>
      <c r="C27" s="45">
        <f t="shared" si="1"/>
        <v>331.40965539080759</v>
      </c>
      <c r="D27" s="45">
        <f t="shared" si="2"/>
        <v>331.27231989835309</v>
      </c>
      <c r="E27" s="45">
        <f t="shared" si="3"/>
        <v>326.80089508069892</v>
      </c>
      <c r="F27" s="45"/>
      <c r="G27" s="46">
        <f t="shared" si="5"/>
        <v>335.57819409842028</v>
      </c>
      <c r="H27" s="95">
        <f t="shared" si="6"/>
        <v>7864.1461166699446</v>
      </c>
      <c r="I27" s="93">
        <f t="shared" si="7"/>
        <v>3.0190830954680701E-2</v>
      </c>
      <c r="J27" s="93">
        <f t="shared" si="8"/>
        <v>0.113</v>
      </c>
      <c r="K27" s="93">
        <f t="shared" si="9"/>
        <v>7.756466719493918E-2</v>
      </c>
      <c r="L27">
        <f t="shared" si="10"/>
        <v>4</v>
      </c>
      <c r="O27" s="45"/>
    </row>
    <row r="28" spans="1:49" x14ac:dyDescent="0.35">
      <c r="A28" s="79" t="s">
        <v>173</v>
      </c>
      <c r="B28" s="45">
        <f t="shared" si="0"/>
        <v>276.36106707569297</v>
      </c>
      <c r="C28" s="45">
        <f t="shared" si="1"/>
        <v>250.34693790322123</v>
      </c>
      <c r="D28" s="45">
        <f t="shared" si="2"/>
        <v>256.7573379160757</v>
      </c>
      <c r="E28" s="45">
        <f t="shared" si="3"/>
        <v>251.4176989216202</v>
      </c>
      <c r="F28" s="45"/>
      <c r="G28" s="46">
        <f t="shared" si="5"/>
        <v>258.72076045415253</v>
      </c>
      <c r="H28" s="95">
        <f t="shared" si="6"/>
        <v>6063.0216724710499</v>
      </c>
      <c r="I28" s="93">
        <f t="shared" si="7"/>
        <v>4.0468685299583335E-2</v>
      </c>
      <c r="J28" s="93">
        <f t="shared" si="8"/>
        <v>0.113</v>
      </c>
      <c r="K28" s="93">
        <f t="shared" si="9"/>
        <v>0.10054905963791669</v>
      </c>
      <c r="L28">
        <f t="shared" si="10"/>
        <v>4</v>
      </c>
      <c r="O28" s="45"/>
    </row>
    <row r="29" spans="1:49" x14ac:dyDescent="0.35">
      <c r="A29" s="79" t="s">
        <v>174</v>
      </c>
      <c r="B29" s="45">
        <f t="shared" si="0"/>
        <v>206.3764279214115</v>
      </c>
      <c r="C29" s="45">
        <f t="shared" si="1"/>
        <v>193.28720689247862</v>
      </c>
      <c r="D29" s="45">
        <f t="shared" si="2"/>
        <v>199.27435181546176</v>
      </c>
      <c r="E29" s="45">
        <f t="shared" si="3"/>
        <v>190.35309868102567</v>
      </c>
      <c r="F29" s="45"/>
      <c r="G29" s="46">
        <f t="shared" si="5"/>
        <v>197.32277132759438</v>
      </c>
      <c r="H29" s="95">
        <f t="shared" si="6"/>
        <v>4624.1833741179844</v>
      </c>
      <c r="I29" s="93">
        <f t="shared" si="7"/>
        <v>3.1100129948981925E-2</v>
      </c>
      <c r="J29" s="93">
        <f t="shared" si="8"/>
        <v>0.11900000000000001</v>
      </c>
      <c r="K29" s="93">
        <f t="shared" si="9"/>
        <v>8.1203649901024216E-2</v>
      </c>
      <c r="L29">
        <f t="shared" si="10"/>
        <v>4</v>
      </c>
      <c r="O29" s="45"/>
    </row>
    <row r="30" spans="1:49" x14ac:dyDescent="0.35">
      <c r="A30" s="79" t="s">
        <v>175</v>
      </c>
      <c r="B30" s="45">
        <f t="shared" si="0"/>
        <v>158.75109840108576</v>
      </c>
      <c r="C30" s="45">
        <f t="shared" si="1"/>
        <v>147.38675906833882</v>
      </c>
      <c r="D30" s="45">
        <f t="shared" si="2"/>
        <v>154.56536262609532</v>
      </c>
      <c r="E30" s="45">
        <f t="shared" si="3"/>
        <v>144.87049988113458</v>
      </c>
      <c r="F30" s="45"/>
      <c r="G30" s="46">
        <f t="shared" si="5"/>
        <v>151.39342999416363</v>
      </c>
      <c r="H30" s="95">
        <f t="shared" si="6"/>
        <v>3547.8468968361067</v>
      </c>
      <c r="I30" s="93">
        <f t="shared" si="7"/>
        <v>3.6598177067496622E-2</v>
      </c>
      <c r="J30" s="93">
        <f t="shared" si="8"/>
        <v>0.11900000000000001</v>
      </c>
      <c r="K30" s="93">
        <f t="shared" si="9"/>
        <v>9.1685606967794375E-2</v>
      </c>
      <c r="L30">
        <f t="shared" si="10"/>
        <v>4</v>
      </c>
      <c r="O30" s="45"/>
    </row>
    <row r="31" spans="1:49" x14ac:dyDescent="0.35">
      <c r="A31" s="79" t="s">
        <v>176</v>
      </c>
      <c r="B31" s="45">
        <f t="shared" si="0"/>
        <v>116.26841009656985</v>
      </c>
      <c r="C31" s="45">
        <f t="shared" si="1"/>
        <v>108.43454417170642</v>
      </c>
      <c r="D31" s="45">
        <f t="shared" si="2"/>
        <v>116.24337189235268</v>
      </c>
      <c r="E31" s="45">
        <f t="shared" si="3"/>
        <v>110.96911836825279</v>
      </c>
      <c r="F31" s="45"/>
      <c r="G31" s="46">
        <f t="shared" si="5"/>
        <v>112.97886113222043</v>
      </c>
      <c r="H31" s="95">
        <f t="shared" si="6"/>
        <v>2647.6162267509108</v>
      </c>
      <c r="I31" s="93">
        <f t="shared" si="7"/>
        <v>3.0070701282039418E-2</v>
      </c>
      <c r="J31" s="93">
        <f t="shared" si="8"/>
        <v>0.11900000000000001</v>
      </c>
      <c r="K31" s="93">
        <f t="shared" si="9"/>
        <v>6.9339218384361037E-2</v>
      </c>
      <c r="L31">
        <f t="shared" si="10"/>
        <v>4</v>
      </c>
      <c r="O31" s="45"/>
    </row>
    <row r="32" spans="1:49" x14ac:dyDescent="0.35">
      <c r="A32" s="79" t="s">
        <v>177</v>
      </c>
      <c r="B32" s="45"/>
      <c r="C32" s="45">
        <f t="shared" si="1"/>
        <v>78.114982306219574</v>
      </c>
      <c r="D32" s="45">
        <f t="shared" si="2"/>
        <v>84.308379614233814</v>
      </c>
      <c r="E32" s="45">
        <f t="shared" si="3"/>
        <v>82.753061705357396</v>
      </c>
      <c r="F32" s="45">
        <f t="shared" si="4"/>
        <v>75.733958561566681</v>
      </c>
      <c r="G32" s="46">
        <f t="shared" si="5"/>
        <v>80.227595546844356</v>
      </c>
      <c r="H32" s="95">
        <f t="shared" si="6"/>
        <v>1880.1028942436074</v>
      </c>
      <c r="I32" s="93">
        <f t="shared" si="7"/>
        <v>4.3037278334918105E-2</v>
      </c>
      <c r="J32" s="93">
        <f t="shared" si="8"/>
        <v>0.13400000000000001</v>
      </c>
      <c r="K32" s="93">
        <f t="shared" si="9"/>
        <v>0.10687620630061868</v>
      </c>
      <c r="L32">
        <f t="shared" si="10"/>
        <v>4</v>
      </c>
      <c r="O32" s="45"/>
    </row>
    <row r="33" spans="1:15" x14ac:dyDescent="0.35">
      <c r="A33" s="79" t="s">
        <v>178</v>
      </c>
      <c r="B33" s="45">
        <f t="shared" si="0"/>
        <v>67.525115094546337</v>
      </c>
      <c r="C33" s="45">
        <f t="shared" si="1"/>
        <v>58.533598601425986</v>
      </c>
      <c r="D33" s="45">
        <f t="shared" si="2"/>
        <v>64.295784453279325</v>
      </c>
      <c r="E33" s="45">
        <f t="shared" si="3"/>
        <v>60.222329892448386</v>
      </c>
      <c r="F33" s="45"/>
      <c r="G33" s="46">
        <f t="shared" si="5"/>
        <v>62.644207010425006</v>
      </c>
      <c r="H33" s="95">
        <f t="shared" si="6"/>
        <v>1468.0429359138179</v>
      </c>
      <c r="I33" s="93">
        <f t="shared" si="7"/>
        <v>5.6049568720840534E-2</v>
      </c>
      <c r="J33" s="93">
        <f t="shared" si="8"/>
        <v>0.13400000000000001</v>
      </c>
      <c r="K33" s="93">
        <f t="shared" si="9"/>
        <v>0.14353308824907013</v>
      </c>
      <c r="L33">
        <f t="shared" si="10"/>
        <v>4</v>
      </c>
      <c r="O33" s="45"/>
    </row>
    <row r="34" spans="1:15" x14ac:dyDescent="0.35">
      <c r="A34" s="79" t="s">
        <v>179</v>
      </c>
      <c r="B34" s="45">
        <f t="shared" si="0"/>
        <v>47.848922616665291</v>
      </c>
      <c r="C34" s="45">
        <f t="shared" si="1"/>
        <v>42.321055103908719</v>
      </c>
      <c r="D34" s="45">
        <f t="shared" si="2"/>
        <v>47.263788571615926</v>
      </c>
      <c r="E34" s="45">
        <f t="shared" si="3"/>
        <v>42.955787755452697</v>
      </c>
      <c r="F34" s="45"/>
      <c r="G34" s="46">
        <f t="shared" si="5"/>
        <v>45.097388511910658</v>
      </c>
      <c r="H34" s="95">
        <f t="shared" si="6"/>
        <v>1056.8399823794377</v>
      </c>
      <c r="I34" s="93">
        <f t="shared" si="7"/>
        <v>5.4944140924285227E-2</v>
      </c>
      <c r="J34" s="93">
        <f t="shared" si="8"/>
        <v>0.13400000000000001</v>
      </c>
      <c r="K34" s="93">
        <f t="shared" si="9"/>
        <v>0.12257622215301023</v>
      </c>
      <c r="L34">
        <f t="shared" si="10"/>
        <v>4</v>
      </c>
      <c r="O34" s="45"/>
    </row>
    <row r="35" spans="1:15" x14ac:dyDescent="0.35">
      <c r="A35" s="79" t="s">
        <v>180</v>
      </c>
      <c r="B35" s="45">
        <f t="shared" si="0"/>
        <v>34.880523028970956</v>
      </c>
      <c r="C35" s="45">
        <f t="shared" si="1"/>
        <v>31.37232443026069</v>
      </c>
      <c r="D35" s="45">
        <f t="shared" si="2"/>
        <v>31.509192381077284</v>
      </c>
      <c r="E35" s="45">
        <f t="shared" si="3"/>
        <v>30.111164946224193</v>
      </c>
      <c r="F35" s="45"/>
      <c r="G35" s="46">
        <f t="shared" si="5"/>
        <v>31.968301196633281</v>
      </c>
      <c r="H35" s="95">
        <f t="shared" si="6"/>
        <v>749.16486271544136</v>
      </c>
      <c r="I35" s="93">
        <f t="shared" si="7"/>
        <v>5.5288558079240741E-2</v>
      </c>
      <c r="J35" s="93">
        <f t="shared" si="8"/>
        <v>0.156</v>
      </c>
      <c r="K35" s="93">
        <f t="shared" si="9"/>
        <v>0.1491902260746043</v>
      </c>
      <c r="L35">
        <f t="shared" si="10"/>
        <v>4</v>
      </c>
      <c r="O35" s="45"/>
    </row>
    <row r="36" spans="1:15" x14ac:dyDescent="0.35">
      <c r="A36" s="79" t="s">
        <v>181</v>
      </c>
      <c r="B36" s="45">
        <f t="shared" si="0"/>
        <v>26.831171560746892</v>
      </c>
      <c r="C36" s="45">
        <f t="shared" si="1"/>
        <v>23.160776425024672</v>
      </c>
      <c r="D36" s="45">
        <f t="shared" si="2"/>
        <v>21.928694697641625</v>
      </c>
      <c r="E36" s="45">
        <f t="shared" si="3"/>
        <v>21.056758703653284</v>
      </c>
      <c r="F36" s="45"/>
      <c r="G36" s="46">
        <f t="shared" si="5"/>
        <v>23.244350346766616</v>
      </c>
      <c r="H36" s="95">
        <f t="shared" si="6"/>
        <v>544.72242454594243</v>
      </c>
      <c r="I36" s="93">
        <f t="shared" si="7"/>
        <v>9.471697311055291E-2</v>
      </c>
      <c r="J36" s="93">
        <f t="shared" si="8"/>
        <v>0.156</v>
      </c>
      <c r="K36" s="93">
        <f t="shared" si="9"/>
        <v>0.24842220887867716</v>
      </c>
      <c r="L36">
        <f t="shared" si="10"/>
        <v>4</v>
      </c>
      <c r="O36" s="45"/>
    </row>
    <row r="37" spans="1:15" x14ac:dyDescent="0.35">
      <c r="A37" s="79" t="s">
        <v>182</v>
      </c>
      <c r="B37" s="45">
        <f t="shared" si="0"/>
        <v>12.744806491354773</v>
      </c>
      <c r="C37" s="45">
        <f t="shared" si="1"/>
        <v>12.633150777286184</v>
      </c>
      <c r="D37" s="45">
        <f t="shared" si="2"/>
        <v>11.496597220122792</v>
      </c>
      <c r="E37" s="45">
        <f t="shared" si="3"/>
        <v>10.317811764790109</v>
      </c>
      <c r="F37" s="45">
        <f t="shared" si="4"/>
        <v>8.6013637147485689</v>
      </c>
      <c r="G37" s="46">
        <f t="shared" si="5"/>
        <v>11.158745993660485</v>
      </c>
      <c r="H37" s="95">
        <f t="shared" si="6"/>
        <v>261.50092740297191</v>
      </c>
      <c r="I37" s="93">
        <f t="shared" si="7"/>
        <v>0.13912677060205239</v>
      </c>
      <c r="J37" s="93">
        <f t="shared" si="8"/>
        <v>0.193</v>
      </c>
      <c r="K37" s="93">
        <f t="shared" si="9"/>
        <v>0.37131795803580253</v>
      </c>
      <c r="L37">
        <f t="shared" si="10"/>
        <v>5</v>
      </c>
    </row>
    <row r="38" spans="1:15" x14ac:dyDescent="0.35">
      <c r="A38" s="79" t="s">
        <v>183</v>
      </c>
      <c r="B38" s="45"/>
      <c r="C38" s="45">
        <f t="shared" si="1"/>
        <v>3.5793927202310858</v>
      </c>
      <c r="D38" s="45">
        <f t="shared" si="2"/>
        <v>4.4708989189366415</v>
      </c>
      <c r="E38" s="45">
        <f t="shared" si="3"/>
        <v>4.2113517407306569</v>
      </c>
      <c r="F38" s="45">
        <f t="shared" si="4"/>
        <v>3.1468403834445988</v>
      </c>
      <c r="G38" s="46">
        <f t="shared" si="5"/>
        <v>3.8521209408357455</v>
      </c>
      <c r="H38" s="95">
        <f t="shared" si="6"/>
        <v>90.272975034044407</v>
      </c>
      <c r="I38" s="93">
        <f t="shared" si="7"/>
        <v>0.13512369113095785</v>
      </c>
      <c r="J38" s="93">
        <f t="shared" si="8"/>
        <v>0.27500000000000002</v>
      </c>
      <c r="K38" s="93">
        <f t="shared" si="9"/>
        <v>0.34372195365309027</v>
      </c>
      <c r="L38">
        <f t="shared" si="10"/>
        <v>4</v>
      </c>
    </row>
    <row r="40" spans="1:15" x14ac:dyDescent="0.35">
      <c r="A40" t="s">
        <v>184</v>
      </c>
    </row>
    <row r="41" spans="1:15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5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5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5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5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5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5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5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16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1" spans="1:16" x14ac:dyDescent="0.35">
      <c r="A51" s="105">
        <f>'6 - B1'!A51</f>
        <v>0</v>
      </c>
      <c r="B51" s="106" t="str">
        <f>'6 - B1'!B51</f>
        <v>Portion 1</v>
      </c>
      <c r="C51" s="106" t="str">
        <f>'6 - B1'!C51</f>
        <v>Portion 2</v>
      </c>
      <c r="D51" s="106" t="str">
        <f>'6 - B1'!D51</f>
        <v>Portion 3</v>
      </c>
      <c r="E51" s="106" t="str">
        <f>'6 - B1'!E51</f>
        <v>Portion 4</v>
      </c>
      <c r="F51" s="106" t="str">
        <f>'6 - B1'!F51</f>
        <v>Portion 5</v>
      </c>
      <c r="G51" s="106" t="str">
        <f>'6 - B1'!G51</f>
        <v>Portion 1</v>
      </c>
      <c r="H51" s="106" t="str">
        <f>'6 - B1'!H51</f>
        <v>Portion 2</v>
      </c>
      <c r="I51" s="106" t="str">
        <f>'6 - B1'!I51</f>
        <v>Portion 3</v>
      </c>
      <c r="J51" s="106" t="str">
        <f>'6 - B1'!J51</f>
        <v>Portion 4</v>
      </c>
      <c r="K51" s="106" t="str">
        <f>'6 - B1'!K51</f>
        <v>Portion 5</v>
      </c>
      <c r="L51" s="106" t="str">
        <f>'6 - B1'!L51</f>
        <v>Portion 1</v>
      </c>
      <c r="M51" s="106" t="str">
        <f>'6 - B1'!M51</f>
        <v>Portion 2</v>
      </c>
      <c r="N51" s="106" t="str">
        <f>'6 - B1'!N51</f>
        <v>Portion 3</v>
      </c>
      <c r="O51" s="106" t="str">
        <f>'6 - B1'!O51</f>
        <v>Portion 4</v>
      </c>
      <c r="P51" s="106" t="str">
        <f>'6 - B1'!P51</f>
        <v>Portion 5</v>
      </c>
    </row>
    <row r="52" spans="1:16" x14ac:dyDescent="0.35">
      <c r="A52" s="105" t="str">
        <f>'6 - B1'!A52</f>
        <v>NAME\mL</v>
      </c>
      <c r="B52" s="105">
        <f>'6 - B1'!B52</f>
        <v>4.4241849999999996</v>
      </c>
      <c r="C52" s="105">
        <f>'6 - B1'!C52</f>
        <v>4.7640890000000002</v>
      </c>
      <c r="D52" s="105">
        <f>'6 - B1'!D52</f>
        <v>4.6754949999999997</v>
      </c>
      <c r="E52" s="105">
        <f>'6 - B1'!E52</f>
        <v>4.7296820000000004</v>
      </c>
      <c r="F52" s="105">
        <f>'6 - B1'!F52</f>
        <v>4.7067110000000003</v>
      </c>
      <c r="G52" s="105">
        <f>'6 - B1'!G52</f>
        <v>4.4284780000000001</v>
      </c>
      <c r="H52" s="105">
        <f>'6 - B1'!H52</f>
        <v>4.7481179999999998</v>
      </c>
      <c r="I52" s="105">
        <f>'6 - B1'!I52</f>
        <v>4.6873889999999996</v>
      </c>
      <c r="J52" s="105">
        <f>'6 - B1'!J52</f>
        <v>4.7422009999999997</v>
      </c>
      <c r="K52" s="105">
        <f>'6 - B1'!K52</f>
        <v>4.7405759999999999</v>
      </c>
      <c r="L52" s="105">
        <f>'6 - B1'!L52</f>
        <v>4.47241</v>
      </c>
      <c r="M52" s="105">
        <f>'6 - B1'!M52</f>
        <v>4.749409</v>
      </c>
      <c r="N52" s="105">
        <f>'6 - B1'!N52</f>
        <v>4.6970419999999997</v>
      </c>
      <c r="O52" s="105">
        <f>'6 - B1'!O52</f>
        <v>4.7490690000000004</v>
      </c>
      <c r="P52" s="105">
        <f>'6 - B1'!P52</f>
        <v>4.766686</v>
      </c>
    </row>
    <row r="53" spans="1:16" x14ac:dyDescent="0.35">
      <c r="A53" s="105">
        <f>'6 - B1'!A53</f>
        <v>4</v>
      </c>
      <c r="B53" s="105">
        <f>'6 - B1'!B53</f>
        <v>72019</v>
      </c>
      <c r="C53" s="105">
        <f>'6 - B1'!C53</f>
        <v>75027</v>
      </c>
      <c r="D53" s="105">
        <f>'6 - B1'!D53</f>
        <v>74111</v>
      </c>
      <c r="E53" s="105">
        <f>'6 - B1'!E53</f>
        <v>75639</v>
      </c>
      <c r="F53" s="105">
        <f>'6 - B1'!F53</f>
        <v>73651</v>
      </c>
      <c r="G53" s="105">
        <f>'6 - B1'!G53</f>
        <v>67545</v>
      </c>
      <c r="H53" s="105">
        <f>'6 - B1'!H53</f>
        <v>73194</v>
      </c>
      <c r="I53" s="105">
        <f>'6 - B1'!I53</f>
        <v>72415</v>
      </c>
      <c r="J53" s="105">
        <f>'6 - B1'!J53</f>
        <v>73656</v>
      </c>
      <c r="K53" s="105">
        <f>'6 - B1'!K53</f>
        <v>71927</v>
      </c>
      <c r="L53" s="105">
        <f>'6 - B1'!L53</f>
        <v>67387</v>
      </c>
      <c r="M53" s="105">
        <f>'6 - B1'!M53</f>
        <v>70861</v>
      </c>
      <c r="N53" s="105">
        <f>'6 - B1'!N53</f>
        <v>69446</v>
      </c>
      <c r="O53" s="105">
        <f>'6 - B1'!O53</f>
        <v>71773</v>
      </c>
      <c r="P53" s="105">
        <f>'6 - B1'!P53</f>
        <v>70552</v>
      </c>
    </row>
    <row r="54" spans="1:16" x14ac:dyDescent="0.35">
      <c r="A54" s="105">
        <f>'6 - B1'!A54</f>
        <v>5</v>
      </c>
      <c r="B54" s="105">
        <f>'6 - B1'!B54</f>
        <v>62253</v>
      </c>
      <c r="C54" s="105">
        <f>'6 - B1'!C54</f>
        <v>65005</v>
      </c>
      <c r="D54" s="105">
        <f>'6 - B1'!D54</f>
        <v>64302</v>
      </c>
      <c r="E54" s="105">
        <f>'6 - B1'!E54</f>
        <v>65594</v>
      </c>
      <c r="F54" s="105">
        <f>'6 - B1'!F54</f>
        <v>63784</v>
      </c>
      <c r="G54" s="105">
        <f>'6 - B1'!G54</f>
        <v>58592</v>
      </c>
      <c r="H54" s="105">
        <f>'6 - B1'!H54</f>
        <v>63602</v>
      </c>
      <c r="I54" s="105">
        <f>'6 - B1'!I54</f>
        <v>62891</v>
      </c>
      <c r="J54" s="105">
        <f>'6 - B1'!J54</f>
        <v>63930</v>
      </c>
      <c r="K54" s="105">
        <f>'6 - B1'!K54</f>
        <v>62465</v>
      </c>
      <c r="L54" s="105">
        <f>'6 - B1'!L54</f>
        <v>58253</v>
      </c>
      <c r="M54" s="105">
        <f>'6 - B1'!M54</f>
        <v>61219</v>
      </c>
      <c r="N54" s="105">
        <f>'6 - B1'!N54</f>
        <v>60098</v>
      </c>
      <c r="O54" s="105">
        <f>'6 - B1'!O54</f>
        <v>62085</v>
      </c>
      <c r="P54" s="105">
        <f>'6 - B1'!P54</f>
        <v>60984</v>
      </c>
    </row>
    <row r="55" spans="1:16" x14ac:dyDescent="0.35">
      <c r="A55" s="105">
        <f>'6 - B1'!A55</f>
        <v>6</v>
      </c>
      <c r="B55" s="105">
        <f>'6 - B1'!B55</f>
        <v>53440</v>
      </c>
      <c r="C55" s="105">
        <f>'6 - B1'!C55</f>
        <v>55921</v>
      </c>
      <c r="D55" s="105">
        <f>'6 - B1'!D55</f>
        <v>55417</v>
      </c>
      <c r="E55" s="105">
        <f>'6 - B1'!E55</f>
        <v>56511</v>
      </c>
      <c r="F55" s="105">
        <f>'6 - B1'!F55</f>
        <v>54796</v>
      </c>
      <c r="G55" s="105">
        <f>'6 - B1'!G55</f>
        <v>50620</v>
      </c>
      <c r="H55" s="105">
        <f>'6 - B1'!H55</f>
        <v>55077</v>
      </c>
      <c r="I55" s="105">
        <f>'6 - B1'!I55</f>
        <v>54292</v>
      </c>
      <c r="J55" s="105">
        <f>'6 - B1'!J55</f>
        <v>55164</v>
      </c>
      <c r="K55" s="105">
        <f>'6 - B1'!K55</f>
        <v>54115</v>
      </c>
      <c r="L55" s="105">
        <f>'6 - B1'!L55</f>
        <v>50053</v>
      </c>
      <c r="M55" s="105">
        <f>'6 - B1'!M55</f>
        <v>52736</v>
      </c>
      <c r="N55" s="105">
        <f>'6 - B1'!N55</f>
        <v>51723</v>
      </c>
      <c r="O55" s="105">
        <f>'6 - B1'!O55</f>
        <v>53532</v>
      </c>
      <c r="P55" s="105">
        <f>'6 - B1'!P55</f>
        <v>52623</v>
      </c>
    </row>
    <row r="56" spans="1:16" x14ac:dyDescent="0.35">
      <c r="A56" s="105">
        <f>'6 - B1'!A56</f>
        <v>7</v>
      </c>
      <c r="B56" s="105">
        <f>'6 - B1'!B56</f>
        <v>46394</v>
      </c>
      <c r="C56" s="105">
        <f>'6 - B1'!C56</f>
        <v>48541</v>
      </c>
      <c r="D56" s="105">
        <f>'6 - B1'!D56</f>
        <v>48023</v>
      </c>
      <c r="E56" s="105">
        <f>'6 - B1'!E56</f>
        <v>49104</v>
      </c>
      <c r="F56" s="105">
        <f>'6 - B1'!F56</f>
        <v>47633</v>
      </c>
      <c r="G56" s="105">
        <f>'6 - B1'!G56</f>
        <v>44243</v>
      </c>
      <c r="H56" s="105">
        <f>'6 - B1'!H56</f>
        <v>47886</v>
      </c>
      <c r="I56" s="105">
        <f>'6 - B1'!I56</f>
        <v>47503</v>
      </c>
      <c r="J56" s="105">
        <f>'6 - B1'!J56</f>
        <v>48023</v>
      </c>
      <c r="K56" s="105">
        <f>'6 - B1'!K56</f>
        <v>47095</v>
      </c>
      <c r="L56" s="105">
        <f>'6 - B1'!L56</f>
        <v>43690</v>
      </c>
      <c r="M56" s="105">
        <f>'6 - B1'!M56</f>
        <v>45829</v>
      </c>
      <c r="N56" s="105">
        <f>'6 - B1'!N56</f>
        <v>44972</v>
      </c>
      <c r="O56" s="105">
        <f>'6 - B1'!O56</f>
        <v>46518</v>
      </c>
      <c r="P56" s="105">
        <f>'6 - B1'!P56</f>
        <v>45715</v>
      </c>
    </row>
    <row r="57" spans="1:16" x14ac:dyDescent="0.35">
      <c r="A57" s="105">
        <f>'6 - B1'!A57</f>
        <v>8</v>
      </c>
      <c r="B57" s="105">
        <f>'6 - B1'!B57</f>
        <v>39493</v>
      </c>
      <c r="C57" s="105">
        <f>'6 - B1'!C57</f>
        <v>41293</v>
      </c>
      <c r="D57" s="105">
        <f>'6 - B1'!D57</f>
        <v>40879</v>
      </c>
      <c r="E57" s="105">
        <f>'6 - B1'!E57</f>
        <v>41679</v>
      </c>
      <c r="F57" s="105">
        <f>'6 - B1'!F57</f>
        <v>40571</v>
      </c>
      <c r="G57" s="105">
        <f>'6 - B1'!G57</f>
        <v>37930</v>
      </c>
      <c r="H57" s="105">
        <f>'6 - B1'!H57</f>
        <v>40829</v>
      </c>
      <c r="I57" s="105">
        <f>'6 - B1'!I57</f>
        <v>40710</v>
      </c>
      <c r="J57" s="105">
        <f>'6 - B1'!J57</f>
        <v>41004</v>
      </c>
      <c r="K57" s="105">
        <f>'6 - B1'!K57</f>
        <v>40304</v>
      </c>
      <c r="L57" s="105">
        <f>'6 - B1'!L57</f>
        <v>37464</v>
      </c>
      <c r="M57" s="105">
        <f>'6 - B1'!M57</f>
        <v>39124</v>
      </c>
      <c r="N57" s="105">
        <f>'6 - B1'!N57</f>
        <v>38431</v>
      </c>
      <c r="O57" s="105">
        <f>'6 - B1'!O57</f>
        <v>39495</v>
      </c>
      <c r="P57" s="105">
        <f>'6 - B1'!P57</f>
        <v>39063</v>
      </c>
    </row>
    <row r="58" spans="1:16" x14ac:dyDescent="0.35">
      <c r="A58" s="105">
        <f>'6 - B1'!A58</f>
        <v>9</v>
      </c>
      <c r="B58" s="105">
        <f>'6 - B1'!B58</f>
        <v>33581</v>
      </c>
      <c r="C58" s="105">
        <f>'6 - B1'!C58</f>
        <v>35240</v>
      </c>
      <c r="D58" s="105">
        <f>'6 - B1'!D58</f>
        <v>34764</v>
      </c>
      <c r="E58" s="105">
        <f>'6 - B1'!E58</f>
        <v>35572</v>
      </c>
      <c r="F58" s="105">
        <f>'6 - B1'!F58</f>
        <v>34548</v>
      </c>
      <c r="G58" s="105">
        <f>'6 - B1'!G58</f>
        <v>32599</v>
      </c>
      <c r="H58" s="105">
        <f>'6 - B1'!H58</f>
        <v>35025</v>
      </c>
      <c r="I58" s="105">
        <f>'6 - B1'!I58</f>
        <v>34886</v>
      </c>
      <c r="J58" s="105">
        <f>'6 - B1'!J58</f>
        <v>35088</v>
      </c>
      <c r="K58" s="105">
        <f>'6 - B1'!K58</f>
        <v>34333</v>
      </c>
      <c r="L58" s="105">
        <f>'6 - B1'!L58</f>
        <v>32054</v>
      </c>
      <c r="M58" s="105">
        <f>'6 - B1'!M58</f>
        <v>33483</v>
      </c>
      <c r="N58" s="105">
        <f>'6 - B1'!N58</f>
        <v>32834</v>
      </c>
      <c r="O58" s="105">
        <f>'6 - B1'!O58</f>
        <v>33655</v>
      </c>
      <c r="P58" s="105">
        <f>'6 - B1'!P58</f>
        <v>33430</v>
      </c>
    </row>
    <row r="59" spans="1:16" x14ac:dyDescent="0.35">
      <c r="A59" s="105">
        <f>'6 - B1'!A59</f>
        <v>10</v>
      </c>
      <c r="B59" s="105">
        <f>'6 - B1'!B59</f>
        <v>28267</v>
      </c>
      <c r="C59" s="105">
        <f>'6 - B1'!C59</f>
        <v>29563</v>
      </c>
      <c r="D59" s="105">
        <f>'6 - B1'!D59</f>
        <v>29194</v>
      </c>
      <c r="E59" s="105">
        <f>'6 - B1'!E59</f>
        <v>29931</v>
      </c>
      <c r="F59" s="105">
        <f>'6 - B1'!F59</f>
        <v>29074</v>
      </c>
      <c r="G59" s="105">
        <f>'6 - B1'!G59</f>
        <v>27589</v>
      </c>
      <c r="H59" s="105">
        <f>'6 - B1'!H59</f>
        <v>29567</v>
      </c>
      <c r="I59" s="105">
        <f>'6 - B1'!I59</f>
        <v>29562</v>
      </c>
      <c r="J59" s="105">
        <f>'6 - B1'!J59</f>
        <v>29577</v>
      </c>
      <c r="K59" s="105">
        <f>'6 - B1'!K59</f>
        <v>29023</v>
      </c>
      <c r="L59" s="105">
        <f>'6 - B1'!L59</f>
        <v>27181</v>
      </c>
      <c r="M59" s="105">
        <f>'6 - B1'!M59</f>
        <v>28246</v>
      </c>
      <c r="N59" s="105">
        <f>'6 - B1'!N59</f>
        <v>27733</v>
      </c>
      <c r="O59" s="105">
        <f>'6 - B1'!O59</f>
        <v>28434</v>
      </c>
      <c r="P59" s="105">
        <f>'6 - B1'!P59</f>
        <v>28179</v>
      </c>
    </row>
    <row r="60" spans="1:16" x14ac:dyDescent="0.35">
      <c r="A60" s="105">
        <f>'6 - B1'!A60</f>
        <v>11</v>
      </c>
      <c r="B60" s="105">
        <f>'6 - B1'!B60</f>
        <v>23493</v>
      </c>
      <c r="C60" s="105">
        <f>'6 - B1'!C60</f>
        <v>24597</v>
      </c>
      <c r="D60" s="105">
        <f>'6 - B1'!D60</f>
        <v>24200</v>
      </c>
      <c r="E60" s="105">
        <f>'6 - B1'!E60</f>
        <v>24913</v>
      </c>
      <c r="F60" s="105">
        <f>'6 - B1'!F60</f>
        <v>24164</v>
      </c>
      <c r="G60" s="105">
        <f>'6 - B1'!G60</f>
        <v>23077</v>
      </c>
      <c r="H60" s="105">
        <f>'6 - B1'!H60</f>
        <v>24763</v>
      </c>
      <c r="I60" s="105">
        <f>'6 - B1'!I60</f>
        <v>24671</v>
      </c>
      <c r="J60" s="105">
        <f>'6 - B1'!J60</f>
        <v>24747</v>
      </c>
      <c r="K60" s="105">
        <f>'6 - B1'!K60</f>
        <v>24286</v>
      </c>
      <c r="L60" s="105">
        <f>'6 - B1'!L60</f>
        <v>22708</v>
      </c>
      <c r="M60" s="105">
        <f>'6 - B1'!M60</f>
        <v>23679</v>
      </c>
      <c r="N60" s="105">
        <f>'6 - B1'!N60</f>
        <v>23155</v>
      </c>
      <c r="O60" s="105">
        <f>'6 - B1'!O60</f>
        <v>23695</v>
      </c>
      <c r="P60" s="105">
        <f>'6 - B1'!P60</f>
        <v>23574</v>
      </c>
    </row>
    <row r="61" spans="1:16" x14ac:dyDescent="0.35">
      <c r="A61" s="105">
        <f>'6 - B1'!A61</f>
        <v>12</v>
      </c>
      <c r="B61" s="105">
        <f>'6 - B1'!B61</f>
        <v>19157</v>
      </c>
      <c r="C61" s="105">
        <f>'6 - B1'!C61</f>
        <v>20087</v>
      </c>
      <c r="D61" s="105">
        <f>'6 - B1'!D61</f>
        <v>19890</v>
      </c>
      <c r="E61" s="105">
        <f>'6 - B1'!E61</f>
        <v>20448</v>
      </c>
      <c r="F61" s="105">
        <f>'6 - B1'!F61</f>
        <v>19874</v>
      </c>
      <c r="G61" s="105">
        <f>'6 - B1'!G61</f>
        <v>19065</v>
      </c>
      <c r="H61" s="105">
        <f>'6 - B1'!H61</f>
        <v>20448</v>
      </c>
      <c r="I61" s="105">
        <f>'6 - B1'!I61</f>
        <v>20262</v>
      </c>
      <c r="J61" s="105">
        <f>'6 - B1'!J61</f>
        <v>20390</v>
      </c>
      <c r="K61" s="105">
        <f>'6 - B1'!K61</f>
        <v>19906</v>
      </c>
      <c r="L61" s="105">
        <f>'6 - B1'!L61</f>
        <v>18734</v>
      </c>
      <c r="M61" s="105">
        <f>'6 - B1'!M61</f>
        <v>19649</v>
      </c>
      <c r="N61" s="105">
        <f>'6 - B1'!N61</f>
        <v>19202</v>
      </c>
      <c r="O61" s="105">
        <f>'6 - B1'!O61</f>
        <v>19454</v>
      </c>
      <c r="P61" s="105">
        <f>'6 - B1'!P61</f>
        <v>19471</v>
      </c>
    </row>
    <row r="62" spans="1:16" x14ac:dyDescent="0.35">
      <c r="A62" s="105">
        <f>'6 - B1'!A62</f>
        <v>13</v>
      </c>
      <c r="B62" s="105">
        <f>'6 - B1'!B62</f>
        <v>15619</v>
      </c>
      <c r="C62" s="105">
        <f>'6 - B1'!C62</f>
        <v>16355</v>
      </c>
      <c r="D62" s="105">
        <f>'6 - B1'!D62</f>
        <v>16155</v>
      </c>
      <c r="E62" s="105">
        <f>'6 - B1'!E62</f>
        <v>16600</v>
      </c>
      <c r="F62" s="105">
        <f>'6 - B1'!F62</f>
        <v>16059</v>
      </c>
      <c r="G62" s="105">
        <f>'6 - B1'!G62</f>
        <v>15535</v>
      </c>
      <c r="H62" s="105">
        <f>'6 - B1'!H62</f>
        <v>16608</v>
      </c>
      <c r="I62" s="105">
        <f>'6 - B1'!I62</f>
        <v>16473</v>
      </c>
      <c r="J62" s="105">
        <f>'6 - B1'!J62</f>
        <v>16595</v>
      </c>
      <c r="K62" s="105">
        <f>'6 - B1'!K62</f>
        <v>16166</v>
      </c>
      <c r="L62" s="105">
        <f>'6 - B1'!L62</f>
        <v>15251</v>
      </c>
      <c r="M62" s="105">
        <f>'6 - B1'!M62</f>
        <v>16079</v>
      </c>
      <c r="N62" s="105">
        <f>'6 - B1'!N62</f>
        <v>15691</v>
      </c>
      <c r="O62" s="105">
        <f>'6 - B1'!O62</f>
        <v>15991</v>
      </c>
      <c r="P62" s="105">
        <f>'6 - B1'!P62</f>
        <v>15805</v>
      </c>
    </row>
    <row r="63" spans="1:16" x14ac:dyDescent="0.35">
      <c r="A63" s="105">
        <f>'6 - B1'!A63</f>
        <v>14</v>
      </c>
      <c r="B63" s="105">
        <f>'6 - B1'!B63</f>
        <v>12358</v>
      </c>
      <c r="C63" s="105">
        <f>'6 - B1'!C63</f>
        <v>12923</v>
      </c>
      <c r="D63" s="105">
        <f>'6 - B1'!D63</f>
        <v>12761</v>
      </c>
      <c r="E63" s="105">
        <f>'6 - B1'!E63</f>
        <v>13099</v>
      </c>
      <c r="F63" s="105">
        <f>'6 - B1'!F63</f>
        <v>12665</v>
      </c>
      <c r="G63" s="105">
        <f>'6 - B1'!G63</f>
        <v>12348</v>
      </c>
      <c r="H63" s="105">
        <f>'6 - B1'!H63</f>
        <v>13267</v>
      </c>
      <c r="I63" s="105">
        <f>'6 - B1'!I63</f>
        <v>13153</v>
      </c>
      <c r="J63" s="105">
        <f>'6 - B1'!J63</f>
        <v>13206</v>
      </c>
      <c r="K63" s="105">
        <f>'6 - B1'!K63</f>
        <v>12862</v>
      </c>
      <c r="L63" s="105">
        <f>'6 - B1'!L63</f>
        <v>12197</v>
      </c>
      <c r="M63" s="105">
        <f>'6 - B1'!M63</f>
        <v>12742</v>
      </c>
      <c r="N63" s="105">
        <f>'6 - B1'!N63</f>
        <v>12480</v>
      </c>
      <c r="O63" s="105">
        <f>'6 - B1'!O63</f>
        <v>12663</v>
      </c>
      <c r="P63" s="105">
        <f>'6 - B1'!P63</f>
        <v>12586</v>
      </c>
    </row>
    <row r="64" spans="1:16" x14ac:dyDescent="0.35">
      <c r="A64" s="105">
        <f>'6 - B1'!A64</f>
        <v>15</v>
      </c>
      <c r="B64" s="105">
        <f>'6 - B1'!B64</f>
        <v>9666</v>
      </c>
      <c r="C64" s="105">
        <f>'6 - B1'!C64</f>
        <v>10067</v>
      </c>
      <c r="D64" s="105">
        <f>'6 - B1'!D64</f>
        <v>10011</v>
      </c>
      <c r="E64" s="105">
        <f>'6 - B1'!E64</f>
        <v>10150</v>
      </c>
      <c r="F64" s="105">
        <f>'6 - B1'!F64</f>
        <v>9871</v>
      </c>
      <c r="G64" s="105">
        <f>'6 - B1'!G64</f>
        <v>9653</v>
      </c>
      <c r="H64" s="105">
        <f>'6 - B1'!H64</f>
        <v>10343</v>
      </c>
      <c r="I64" s="105">
        <f>'6 - B1'!I64</f>
        <v>10260</v>
      </c>
      <c r="J64" s="105">
        <f>'6 - B1'!J64</f>
        <v>10334</v>
      </c>
      <c r="K64" s="105">
        <f>'6 - B1'!K64</f>
        <v>10104</v>
      </c>
      <c r="L64" s="105">
        <f>'6 - B1'!L64</f>
        <v>9591</v>
      </c>
      <c r="M64" s="105">
        <f>'6 - B1'!M64</f>
        <v>9987</v>
      </c>
      <c r="N64" s="105">
        <f>'6 - B1'!N64</f>
        <v>9754</v>
      </c>
      <c r="O64" s="105">
        <f>'6 - B1'!O64</f>
        <v>9911</v>
      </c>
      <c r="P64" s="105">
        <f>'6 - B1'!P64</f>
        <v>9871</v>
      </c>
    </row>
    <row r="65" spans="1:16" x14ac:dyDescent="0.35">
      <c r="A65" s="105">
        <f>'6 - B1'!A65</f>
        <v>16</v>
      </c>
      <c r="B65" s="105">
        <f>'6 - B1'!B65</f>
        <v>7498</v>
      </c>
      <c r="C65" s="105">
        <f>'6 - B1'!C65</f>
        <v>7769</v>
      </c>
      <c r="D65" s="105">
        <f>'6 - B1'!D65</f>
        <v>7776</v>
      </c>
      <c r="E65" s="105">
        <f>'6 - B1'!E65</f>
        <v>7757</v>
      </c>
      <c r="F65" s="105">
        <f>'6 - B1'!F65</f>
        <v>7588</v>
      </c>
      <c r="G65" s="105">
        <f>'6 - B1'!G65</f>
        <v>7444</v>
      </c>
      <c r="H65" s="105">
        <f>'6 - B1'!H65</f>
        <v>7929</v>
      </c>
      <c r="I65" s="105">
        <f>'6 - B1'!I65</f>
        <v>7902</v>
      </c>
      <c r="J65" s="105">
        <f>'6 - B1'!J65</f>
        <v>8072</v>
      </c>
      <c r="K65" s="105">
        <f>'6 - B1'!K65</f>
        <v>7831</v>
      </c>
      <c r="L65" s="105">
        <f>'6 - B1'!L65</f>
        <v>7441</v>
      </c>
      <c r="M65" s="105">
        <f>'6 - B1'!M65</f>
        <v>7706</v>
      </c>
      <c r="N65" s="105">
        <f>'6 - B1'!N65</f>
        <v>7608</v>
      </c>
      <c r="O65" s="105">
        <f>'6 - B1'!O65</f>
        <v>7739</v>
      </c>
      <c r="P65" s="105">
        <f>'6 - B1'!P65</f>
        <v>7649</v>
      </c>
    </row>
    <row r="66" spans="1:16" x14ac:dyDescent="0.35">
      <c r="A66" s="105">
        <f>'6 - B1'!A66</f>
        <v>17</v>
      </c>
      <c r="B66" s="105">
        <f>'6 - B1'!B66</f>
        <v>5730</v>
      </c>
      <c r="C66" s="105">
        <f>'6 - B1'!C66</f>
        <v>5933</v>
      </c>
      <c r="D66" s="105">
        <f>'6 - B1'!D66</f>
        <v>5879</v>
      </c>
      <c r="E66" s="105">
        <f>'6 - B1'!E66</f>
        <v>5971</v>
      </c>
      <c r="F66" s="105">
        <f>'6 - B1'!F66</f>
        <v>5812</v>
      </c>
      <c r="G66" s="105">
        <f>'6 - B1'!G66</f>
        <v>5689</v>
      </c>
      <c r="H66" s="105">
        <f>'6 - B1'!H66</f>
        <v>6044</v>
      </c>
      <c r="I66" s="105">
        <f>'6 - B1'!I66</f>
        <v>6015</v>
      </c>
      <c r="J66" s="105">
        <f>'6 - B1'!J66</f>
        <v>6104</v>
      </c>
      <c r="K66" s="105">
        <f>'6 - B1'!K66</f>
        <v>5988</v>
      </c>
      <c r="L66" s="105">
        <f>'6 - B1'!L66</f>
        <v>5766</v>
      </c>
      <c r="M66" s="105">
        <f>'6 - B1'!M66</f>
        <v>5894</v>
      </c>
      <c r="N66" s="105">
        <f>'6 - B1'!N66</f>
        <v>5858</v>
      </c>
      <c r="O66" s="105">
        <f>'6 - B1'!O66</f>
        <v>5917</v>
      </c>
      <c r="P66" s="105">
        <f>'6 - B1'!P66</f>
        <v>5822</v>
      </c>
    </row>
    <row r="67" spans="1:16" x14ac:dyDescent="0.35">
      <c r="A67" s="105">
        <f>'6 - B1'!A67</f>
        <v>18</v>
      </c>
      <c r="B67" s="105">
        <f>'6 - B1'!B67</f>
        <v>4390</v>
      </c>
      <c r="C67" s="105">
        <f>'6 - B1'!C67</f>
        <v>4448</v>
      </c>
      <c r="D67" s="105">
        <f>'6 - B1'!D67</f>
        <v>4502</v>
      </c>
      <c r="E67" s="105">
        <f>'6 - B1'!E67</f>
        <v>4543</v>
      </c>
      <c r="F67" s="105">
        <f>'6 - B1'!F67</f>
        <v>4402</v>
      </c>
      <c r="G67" s="105">
        <f>'6 - B1'!G67</f>
        <v>4351</v>
      </c>
      <c r="H67" s="105">
        <f>'6 - B1'!H67</f>
        <v>4532</v>
      </c>
      <c r="I67" s="105">
        <f>'6 - B1'!I67</f>
        <v>4604</v>
      </c>
      <c r="J67" s="105">
        <f>'6 - B1'!J67</f>
        <v>4731</v>
      </c>
      <c r="K67" s="105">
        <f>'6 - B1'!K67</f>
        <v>4564</v>
      </c>
      <c r="L67" s="105">
        <f>'6 - B1'!L67</f>
        <v>4363</v>
      </c>
      <c r="M67" s="105">
        <f>'6 - B1'!M67</f>
        <v>4520</v>
      </c>
      <c r="N67" s="105">
        <f>'6 - B1'!N67</f>
        <v>4485</v>
      </c>
      <c r="O67" s="105">
        <f>'6 - B1'!O67</f>
        <v>4488</v>
      </c>
      <c r="P67" s="105">
        <f>'6 - B1'!P67</f>
        <v>4405</v>
      </c>
    </row>
    <row r="68" spans="1:16" x14ac:dyDescent="0.35">
      <c r="A68" s="105">
        <f>'6 - B1'!A68</f>
        <v>19</v>
      </c>
      <c r="B68" s="105">
        <f>'6 - B1'!B68</f>
        <v>3309</v>
      </c>
      <c r="C68" s="105">
        <f>'6 - B1'!C68</f>
        <v>3387</v>
      </c>
      <c r="D68" s="105">
        <f>'6 - B1'!D68</f>
        <v>3426</v>
      </c>
      <c r="E68" s="105">
        <f>'6 - B1'!E68</f>
        <v>3457</v>
      </c>
      <c r="F68" s="105">
        <f>'6 - B1'!F68</f>
        <v>3313</v>
      </c>
      <c r="G68" s="105">
        <f>'6 - B1'!G68</f>
        <v>3371</v>
      </c>
      <c r="H68" s="105">
        <f>'6 - B1'!H68</f>
        <v>3445</v>
      </c>
      <c r="I68" s="105">
        <f>'6 - B1'!I68</f>
        <v>3459</v>
      </c>
      <c r="J68" s="105">
        <f>'6 - B1'!J68</f>
        <v>3590</v>
      </c>
      <c r="K68" s="105">
        <f>'6 - B1'!K68</f>
        <v>3495</v>
      </c>
      <c r="L68" s="105">
        <f>'6 - B1'!L68</f>
        <v>3412</v>
      </c>
      <c r="M68" s="105">
        <f>'6 - B1'!M68</f>
        <v>3463</v>
      </c>
      <c r="N68" s="105">
        <f>'6 - B1'!N68</f>
        <v>3420</v>
      </c>
      <c r="O68" s="105">
        <f>'6 - B1'!O68</f>
        <v>3418</v>
      </c>
      <c r="P68" s="105">
        <f>'6 - B1'!P68</f>
        <v>3355</v>
      </c>
    </row>
    <row r="69" spans="1:16" x14ac:dyDescent="0.35">
      <c r="A69" s="105">
        <f>'6 - B1'!A69</f>
        <v>20</v>
      </c>
      <c r="B69" s="105">
        <f>'6 - B1'!B69</f>
        <v>2571</v>
      </c>
      <c r="C69" s="105">
        <f>'6 - B1'!C69</f>
        <v>2609</v>
      </c>
      <c r="D69" s="105">
        <f>'6 - B1'!D69</f>
        <v>2633</v>
      </c>
      <c r="E69" s="105">
        <f>'6 - B1'!E69</f>
        <v>2637</v>
      </c>
      <c r="F69" s="105">
        <f>'6 - B1'!F69</f>
        <v>2513</v>
      </c>
      <c r="G69" s="105">
        <f>'6 - B1'!G69</f>
        <v>2583</v>
      </c>
      <c r="H69" s="105">
        <f>'6 - B1'!H69</f>
        <v>2638</v>
      </c>
      <c r="I69" s="105">
        <f>'6 - B1'!I69</f>
        <v>2559</v>
      </c>
      <c r="J69" s="105">
        <f>'6 - B1'!J69</f>
        <v>2717</v>
      </c>
      <c r="K69" s="105">
        <f>'6 - B1'!K69</f>
        <v>2639</v>
      </c>
      <c r="L69" s="105">
        <f>'6 - B1'!L69</f>
        <v>2606</v>
      </c>
      <c r="M69" s="105">
        <f>'6 - B1'!M69</f>
        <v>2660</v>
      </c>
      <c r="N69" s="105">
        <f>'6 - B1'!N69</f>
        <v>2638</v>
      </c>
      <c r="O69" s="105">
        <f>'6 - B1'!O69</f>
        <v>2604</v>
      </c>
      <c r="P69" s="105">
        <f>'6 - B1'!P69</f>
        <v>2521</v>
      </c>
    </row>
    <row r="70" spans="1:16" x14ac:dyDescent="0.35">
      <c r="A70" s="105">
        <f>'6 - B1'!A70</f>
        <v>21</v>
      </c>
      <c r="B70" s="105">
        <f>'6 - B1'!B70</f>
        <v>1989</v>
      </c>
      <c r="C70" s="105">
        <f>'6 - B1'!C70</f>
        <v>2006</v>
      </c>
      <c r="D70" s="105">
        <f>'6 - B1'!D70</f>
        <v>2014</v>
      </c>
      <c r="E70" s="105">
        <f>'6 - B1'!E70</f>
        <v>2041</v>
      </c>
      <c r="F70" s="105">
        <f>'6 - B1'!F70</f>
        <v>1883</v>
      </c>
      <c r="G70" s="105">
        <f>'6 - B1'!G70</f>
        <v>1954</v>
      </c>
      <c r="H70" s="105">
        <f>'6 - B1'!H70</f>
        <v>1977</v>
      </c>
      <c r="I70" s="105">
        <f>'6 - B1'!I70</f>
        <v>1977</v>
      </c>
      <c r="J70" s="105">
        <f>'6 - B1'!J70</f>
        <v>2070</v>
      </c>
      <c r="K70" s="105">
        <f>'6 - B1'!K70</f>
        <v>2052</v>
      </c>
      <c r="L70" s="105">
        <f>'6 - B1'!L70</f>
        <v>2020</v>
      </c>
      <c r="M70" s="105">
        <f>'6 - B1'!M70</f>
        <v>2047</v>
      </c>
      <c r="N70" s="105">
        <f>'6 - B1'!N70</f>
        <v>1992</v>
      </c>
      <c r="O70" s="105">
        <f>'6 - B1'!O70</f>
        <v>2019</v>
      </c>
      <c r="P70" s="105">
        <f>'6 - B1'!P70</f>
        <v>1895</v>
      </c>
    </row>
    <row r="71" spans="1:16" x14ac:dyDescent="0.35">
      <c r="A71" s="105">
        <f>'6 - B1'!A71</f>
        <v>22</v>
      </c>
      <c r="B71" s="105">
        <f>'6 - B1'!B71</f>
        <v>1548</v>
      </c>
      <c r="C71" s="105">
        <f>'6 - B1'!C71</f>
        <v>1562</v>
      </c>
      <c r="D71" s="105">
        <f>'6 - B1'!D71</f>
        <v>1552</v>
      </c>
      <c r="E71" s="105">
        <f>'6 - B1'!E71</f>
        <v>1596</v>
      </c>
      <c r="F71" s="105">
        <f>'6 - B1'!F71</f>
        <v>1436</v>
      </c>
      <c r="G71" s="105">
        <f>'6 - B1'!G71</f>
        <v>1498</v>
      </c>
      <c r="H71" s="105">
        <f>'6 - B1'!H71</f>
        <v>1549</v>
      </c>
      <c r="I71" s="105">
        <f>'6 - B1'!I71</f>
        <v>1531</v>
      </c>
      <c r="J71" s="105">
        <f>'6 - B1'!J71</f>
        <v>1589</v>
      </c>
      <c r="K71" s="105">
        <f>'6 - B1'!K71</f>
        <v>1595</v>
      </c>
      <c r="L71" s="105">
        <f>'6 - B1'!L71</f>
        <v>1578</v>
      </c>
      <c r="M71" s="105">
        <f>'6 - B1'!M71</f>
        <v>1574</v>
      </c>
      <c r="N71" s="105">
        <f>'6 - B1'!N71</f>
        <v>1556</v>
      </c>
      <c r="O71" s="105">
        <f>'6 - B1'!O71</f>
        <v>1552</v>
      </c>
      <c r="P71" s="105">
        <f>'6 - B1'!P71</f>
        <v>1451</v>
      </c>
    </row>
    <row r="72" spans="1:16" x14ac:dyDescent="0.35">
      <c r="A72" s="105">
        <f>'6 - B1'!A72</f>
        <v>23</v>
      </c>
      <c r="B72" s="105">
        <f>'6 - B1'!B72</f>
        <v>1198</v>
      </c>
      <c r="C72" s="105">
        <f>'6 - B1'!C72</f>
        <v>1218</v>
      </c>
      <c r="D72" s="105">
        <f>'6 - B1'!D72</f>
        <v>1183</v>
      </c>
      <c r="E72" s="105">
        <f>'6 - B1'!E72</f>
        <v>1233</v>
      </c>
      <c r="F72" s="105">
        <f>'6 - B1'!F72</f>
        <v>1084</v>
      </c>
      <c r="G72" s="105">
        <f>'6 - B1'!G72</f>
        <v>1149</v>
      </c>
      <c r="H72" s="105">
        <f>'6 - B1'!H72</f>
        <v>1180</v>
      </c>
      <c r="I72" s="105">
        <f>'6 - B1'!I72</f>
        <v>1175</v>
      </c>
      <c r="J72" s="105">
        <f>'6 - B1'!J72</f>
        <v>1234</v>
      </c>
      <c r="K72" s="105">
        <f>'6 - B1'!K72</f>
        <v>1220</v>
      </c>
      <c r="L72" s="105">
        <f>'6 - B1'!L72</f>
        <v>1236</v>
      </c>
      <c r="M72" s="105">
        <f>'6 - B1'!M72</f>
        <v>1189</v>
      </c>
      <c r="N72" s="105">
        <f>'6 - B1'!N72</f>
        <v>1206</v>
      </c>
      <c r="O72" s="105">
        <f>'6 - B1'!O72</f>
        <v>1194</v>
      </c>
      <c r="P72" s="105">
        <f>'6 - B1'!P72</f>
        <v>1108</v>
      </c>
    </row>
    <row r="73" spans="1:16" x14ac:dyDescent="0.35">
      <c r="A73" s="105">
        <f>'6 - B1'!A73</f>
        <v>24</v>
      </c>
      <c r="B73" s="105">
        <f>'6 - B1'!B73</f>
        <v>931</v>
      </c>
      <c r="C73" s="105">
        <f>'6 - B1'!C73</f>
        <v>930</v>
      </c>
      <c r="D73" s="105">
        <f>'6 - B1'!D73</f>
        <v>930</v>
      </c>
      <c r="E73" s="105">
        <f>'6 - B1'!E73</f>
        <v>929</v>
      </c>
      <c r="F73" s="105">
        <f>'6 - B1'!F73</f>
        <v>810</v>
      </c>
      <c r="G73" s="105">
        <f>'6 - B1'!G73</f>
        <v>869</v>
      </c>
      <c r="H73" s="105">
        <f>'6 - B1'!H73</f>
        <v>925</v>
      </c>
      <c r="I73" s="105">
        <f>'6 - B1'!I73</f>
        <v>915</v>
      </c>
      <c r="J73" s="105">
        <f>'6 - B1'!J73</f>
        <v>886</v>
      </c>
      <c r="K73" s="105">
        <f>'6 - B1'!K73</f>
        <v>944</v>
      </c>
      <c r="L73" s="105">
        <f>'6 - B1'!L73</f>
        <v>923</v>
      </c>
      <c r="M73" s="105">
        <f>'6 - B1'!M73</f>
        <v>918</v>
      </c>
      <c r="N73" s="105">
        <f>'6 - B1'!N73</f>
        <v>936</v>
      </c>
      <c r="O73" s="105">
        <f>'6 - B1'!O73</f>
        <v>904</v>
      </c>
      <c r="P73" s="105">
        <f>'6 - B1'!P73</f>
        <v>843</v>
      </c>
    </row>
    <row r="74" spans="1:16" x14ac:dyDescent="0.35">
      <c r="A74" s="105">
        <f>'6 - B1'!A74</f>
        <v>25</v>
      </c>
      <c r="B74" s="105">
        <f>'6 - B1'!B74</f>
        <v>696</v>
      </c>
      <c r="C74" s="105">
        <f>'6 - B1'!C74</f>
        <v>703</v>
      </c>
      <c r="D74" s="105">
        <f>'6 - B1'!D74</f>
        <v>721</v>
      </c>
      <c r="E74" s="105">
        <f>'6 - B1'!E74</f>
        <v>682</v>
      </c>
      <c r="F74" s="105">
        <f>'6 - B1'!F74</f>
        <v>615</v>
      </c>
      <c r="G74" s="105">
        <f>'6 - B1'!G74</f>
        <v>660</v>
      </c>
      <c r="H74" s="105">
        <f>'6 - B1'!H74</f>
        <v>695</v>
      </c>
      <c r="I74" s="105">
        <f>'6 - B1'!I74</f>
        <v>677</v>
      </c>
      <c r="J74" s="105">
        <f>'6 - B1'!J74</f>
        <v>676</v>
      </c>
      <c r="K74" s="105">
        <f>'6 - B1'!K74</f>
        <v>717</v>
      </c>
      <c r="L74" s="105">
        <f>'6 - B1'!L74</f>
        <v>710</v>
      </c>
      <c r="M74" s="105">
        <f>'6 - B1'!M74</f>
        <v>700</v>
      </c>
      <c r="N74" s="105">
        <f>'6 - B1'!N74</f>
        <v>726</v>
      </c>
      <c r="O74" s="105">
        <f>'6 - B1'!O74</f>
        <v>688</v>
      </c>
      <c r="P74" s="105">
        <f>'6 - B1'!P74</f>
        <v>657</v>
      </c>
    </row>
    <row r="75" spans="1:16" x14ac:dyDescent="0.35">
      <c r="A75" s="105">
        <f>'6 - B1'!A75</f>
        <v>26</v>
      </c>
      <c r="B75" s="105">
        <f>'6 - B1'!B75</f>
        <v>507</v>
      </c>
      <c r="C75" s="105">
        <f>'6 - B1'!C75</f>
        <v>533</v>
      </c>
      <c r="D75" s="105">
        <f>'6 - B1'!D75</f>
        <v>539</v>
      </c>
      <c r="E75" s="105">
        <f>'6 - B1'!E75</f>
        <v>499</v>
      </c>
      <c r="F75" s="105">
        <f>'6 - B1'!F75</f>
        <v>461</v>
      </c>
      <c r="G75" s="105">
        <f>'6 - B1'!G75</f>
        <v>490</v>
      </c>
      <c r="H75" s="105">
        <f>'6 - B1'!H75</f>
        <v>534</v>
      </c>
      <c r="I75" s="105">
        <f>'6 - B1'!I75</f>
        <v>505</v>
      </c>
      <c r="J75" s="105">
        <f>'6 - B1'!J75</f>
        <v>514</v>
      </c>
      <c r="K75" s="105">
        <f>'6 - B1'!K75</f>
        <v>531</v>
      </c>
      <c r="L75" s="105">
        <f>'6 - B1'!L75</f>
        <v>520</v>
      </c>
      <c r="M75" s="105">
        <f>'6 - B1'!M75</f>
        <v>515</v>
      </c>
      <c r="N75" s="105">
        <f>'6 - B1'!N75</f>
        <v>546</v>
      </c>
      <c r="O75" s="105">
        <f>'6 - B1'!O75</f>
        <v>527</v>
      </c>
      <c r="P75" s="105">
        <f>'6 - B1'!P75</f>
        <v>498</v>
      </c>
    </row>
    <row r="76" spans="1:16" x14ac:dyDescent="0.35">
      <c r="A76" s="105">
        <f>'6 - B1'!A76</f>
        <v>27</v>
      </c>
      <c r="B76" s="105">
        <f>'6 - B1'!B76</f>
        <v>387</v>
      </c>
      <c r="C76" s="105">
        <f>'6 - B1'!C76</f>
        <v>393</v>
      </c>
      <c r="D76" s="105">
        <f>'6 - B1'!D76</f>
        <v>388</v>
      </c>
      <c r="E76" s="105">
        <f>'6 - B1'!E76</f>
        <v>364</v>
      </c>
      <c r="F76" s="105">
        <f>'6 - B1'!F76</f>
        <v>341</v>
      </c>
      <c r="G76" s="105">
        <f>'6 - B1'!G76</f>
        <v>358</v>
      </c>
      <c r="H76" s="105">
        <f>'6 - B1'!H76</f>
        <v>401</v>
      </c>
      <c r="I76" s="105">
        <f>'6 - B1'!I76</f>
        <v>363</v>
      </c>
      <c r="J76" s="105">
        <f>'6 - B1'!J76</f>
        <v>396</v>
      </c>
      <c r="K76" s="105">
        <f>'6 - B1'!K76</f>
        <v>405</v>
      </c>
      <c r="L76" s="105">
        <f>'6 - B1'!L76</f>
        <v>403</v>
      </c>
      <c r="M76" s="105">
        <f>'6 - B1'!M76</f>
        <v>371</v>
      </c>
      <c r="N76" s="105">
        <f>'6 - B1'!N76</f>
        <v>396</v>
      </c>
      <c r="O76" s="105">
        <f>'6 - B1'!O76</f>
        <v>393</v>
      </c>
      <c r="P76" s="105">
        <f>'6 - B1'!P76</f>
        <v>361</v>
      </c>
    </row>
    <row r="77" spans="1:16" x14ac:dyDescent="0.35">
      <c r="A77" s="105">
        <f>'6 - B1'!A77</f>
        <v>28</v>
      </c>
      <c r="B77" s="105">
        <f>'6 - B1'!B77</f>
        <v>277</v>
      </c>
      <c r="C77" s="105">
        <f>'6 - B1'!C77</f>
        <v>290</v>
      </c>
      <c r="D77" s="105">
        <f>'6 - B1'!D77</f>
        <v>278</v>
      </c>
      <c r="E77" s="105">
        <f>'6 - B1'!E77</f>
        <v>264</v>
      </c>
      <c r="F77" s="105">
        <f>'6 - B1'!F77</f>
        <v>253</v>
      </c>
      <c r="G77" s="105">
        <f>'6 - B1'!G77</f>
        <v>262</v>
      </c>
      <c r="H77" s="105">
        <f>'6 - B1'!H77</f>
        <v>293</v>
      </c>
      <c r="I77" s="105">
        <f>'6 - B1'!I77</f>
        <v>267</v>
      </c>
      <c r="J77" s="105">
        <f>'6 - B1'!J77</f>
        <v>297</v>
      </c>
      <c r="K77" s="105">
        <f>'6 - B1'!K77</f>
        <v>296</v>
      </c>
      <c r="L77" s="105">
        <f>'6 - B1'!L77</f>
        <v>302</v>
      </c>
      <c r="M77" s="105">
        <f>'6 - B1'!M77</f>
        <v>278</v>
      </c>
      <c r="N77" s="105">
        <f>'6 - B1'!N77</f>
        <v>302</v>
      </c>
      <c r="O77" s="105">
        <f>'6 - B1'!O77</f>
        <v>286</v>
      </c>
      <c r="P77" s="105">
        <f>'6 - B1'!P77</f>
        <v>260</v>
      </c>
    </row>
    <row r="78" spans="1:16" x14ac:dyDescent="0.35">
      <c r="A78" s="105">
        <f>'6 - B1'!A78</f>
        <v>29</v>
      </c>
      <c r="B78" s="105">
        <f>'6 - B1'!B78</f>
        <v>212</v>
      </c>
      <c r="C78" s="105">
        <f>'6 - B1'!C78</f>
        <v>214</v>
      </c>
      <c r="D78" s="105">
        <f>'6 - B1'!D78</f>
        <v>202</v>
      </c>
      <c r="E78" s="105">
        <f>'6 - B1'!E78</f>
        <v>189</v>
      </c>
      <c r="F78" s="105">
        <f>'6 - B1'!F78</f>
        <v>181</v>
      </c>
      <c r="G78" s="105">
        <f>'6 - B1'!G78</f>
        <v>176</v>
      </c>
      <c r="H78" s="105">
        <f>'6 - B1'!H78</f>
        <v>203</v>
      </c>
      <c r="I78" s="105">
        <f>'6 - B1'!I78</f>
        <v>188</v>
      </c>
      <c r="J78" s="105">
        <f>'6 - B1'!J78</f>
        <v>215</v>
      </c>
      <c r="K78" s="105">
        <f>'6 - B1'!K78</f>
        <v>195</v>
      </c>
      <c r="L78" s="105">
        <f>'6 - B1'!L78</f>
        <v>214</v>
      </c>
      <c r="M78" s="105">
        <f>'6 - B1'!M78</f>
        <v>201</v>
      </c>
      <c r="N78" s="105">
        <f>'6 - B1'!N78</f>
        <v>222</v>
      </c>
      <c r="O78" s="105">
        <f>'6 - B1'!O78</f>
        <v>204</v>
      </c>
      <c r="P78" s="105">
        <f>'6 - B1'!P78</f>
        <v>179</v>
      </c>
    </row>
    <row r="79" spans="1:16" x14ac:dyDescent="0.35">
      <c r="A79" s="105">
        <f>'6 - B1'!A79</f>
        <v>30</v>
      </c>
      <c r="B79" s="105">
        <f>'6 - B1'!B79</f>
        <v>152</v>
      </c>
      <c r="C79" s="105">
        <f>'6 - B1'!C79</f>
        <v>161</v>
      </c>
      <c r="D79" s="105">
        <f>'6 - B1'!D79</f>
        <v>143</v>
      </c>
      <c r="E79" s="105">
        <f>'6 - B1'!E79</f>
        <v>129</v>
      </c>
      <c r="F79" s="105">
        <f>'6 - B1'!F79</f>
        <v>128</v>
      </c>
      <c r="G79" s="105">
        <f>'6 - B1'!G79</f>
        <v>125</v>
      </c>
      <c r="H79" s="105">
        <f>'6 - B1'!H79</f>
        <v>144</v>
      </c>
      <c r="I79" s="105">
        <f>'6 - B1'!I79</f>
        <v>139</v>
      </c>
      <c r="J79" s="105">
        <f>'6 - B1'!J79</f>
        <v>165</v>
      </c>
      <c r="K79" s="108">
        <f>'6 - B1'!K79</f>
        <v>143</v>
      </c>
      <c r="L79" s="105">
        <f>'6 - B1'!L79</f>
        <v>156</v>
      </c>
      <c r="M79" s="105">
        <f>'6 - B1'!M79</f>
        <v>149</v>
      </c>
      <c r="N79" s="105">
        <f>'6 - B1'!N79</f>
        <v>148</v>
      </c>
      <c r="O79" s="105">
        <f>'6 - B1'!O79</f>
        <v>143</v>
      </c>
      <c r="P79" s="105">
        <f>'6 - B1'!P79</f>
        <v>120</v>
      </c>
    </row>
    <row r="80" spans="1:16" x14ac:dyDescent="0.35">
      <c r="A80" s="105">
        <f>'6 - B1'!A80</f>
        <v>38</v>
      </c>
      <c r="B80" s="105">
        <f>'6 - B1'!B80</f>
        <v>111</v>
      </c>
      <c r="C80" s="105">
        <f>'6 - B1'!C80</f>
        <v>108</v>
      </c>
      <c r="D80" s="105">
        <f>'6 - B1'!D80</f>
        <v>98</v>
      </c>
      <c r="E80" s="105">
        <f>'6 - B1'!E80</f>
        <v>80</v>
      </c>
      <c r="F80" s="105">
        <f>'6 - B1'!F80</f>
        <v>93</v>
      </c>
      <c r="G80" s="105">
        <f>'6 - B1'!G80</f>
        <v>94</v>
      </c>
      <c r="H80" s="105">
        <f>'6 - B1'!H80</f>
        <v>93</v>
      </c>
      <c r="I80" s="105">
        <f>'6 - B1'!I80</f>
        <v>100</v>
      </c>
      <c r="J80" s="105">
        <f>'6 - B1'!J80</f>
        <v>118</v>
      </c>
      <c r="K80" s="105">
        <f>'6 - B1'!K80</f>
        <v>103</v>
      </c>
      <c r="L80" s="105">
        <f>'6 - B1'!L80</f>
        <v>120</v>
      </c>
      <c r="M80" s="105">
        <f>'6 - B1'!M80</f>
        <v>110</v>
      </c>
      <c r="N80" s="105">
        <f>'6 - B1'!N80</f>
        <v>103</v>
      </c>
      <c r="O80" s="105">
        <f>'6 - B1'!O80</f>
        <v>100</v>
      </c>
      <c r="P80" s="105">
        <f>'6 - B1'!P80</f>
        <v>79</v>
      </c>
    </row>
    <row r="81" spans="1:16" x14ac:dyDescent="0.35">
      <c r="A81" s="105">
        <f>'6 - B1'!A81</f>
        <v>50</v>
      </c>
      <c r="B81" s="105">
        <f>'6 - B1'!B81</f>
        <v>57</v>
      </c>
      <c r="C81" s="105">
        <f>'6 - B1'!C81</f>
        <v>54</v>
      </c>
      <c r="D81" s="105">
        <f>'6 - B1'!D81</f>
        <v>55</v>
      </c>
      <c r="E81" s="105">
        <f>'6 - B1'!E81</f>
        <v>38</v>
      </c>
      <c r="F81" s="105">
        <f>'6 - B1'!F81</f>
        <v>55</v>
      </c>
      <c r="G81" s="105">
        <f>'6 - B1'!G81</f>
        <v>49</v>
      </c>
      <c r="H81" s="105">
        <f>'6 - B1'!H81</f>
        <v>45</v>
      </c>
      <c r="I81" s="105">
        <f>'6 - B1'!I81</f>
        <v>54</v>
      </c>
      <c r="J81" s="105">
        <f>'6 - B1'!J81</f>
        <v>59</v>
      </c>
      <c r="K81" s="105">
        <f>'6 - B1'!K81</f>
        <v>55</v>
      </c>
      <c r="L81" s="105">
        <f>'6 - B1'!L81</f>
        <v>57</v>
      </c>
      <c r="M81" s="105">
        <f>'6 - B1'!M81</f>
        <v>60</v>
      </c>
      <c r="N81" s="105">
        <f>'6 - B1'!N81</f>
        <v>54</v>
      </c>
      <c r="O81" s="105">
        <f>'6 - B1'!O81</f>
        <v>49</v>
      </c>
      <c r="P81" s="105">
        <f>'6 - B1'!P81</f>
        <v>41</v>
      </c>
    </row>
    <row r="82" spans="1:16" x14ac:dyDescent="0.35">
      <c r="A82" s="105">
        <f>'6 - B1'!A82</f>
        <v>70</v>
      </c>
      <c r="B82" s="105">
        <f>'6 - B1'!B82</f>
        <v>17</v>
      </c>
      <c r="C82" s="105">
        <f>'6 - B1'!C82</f>
        <v>17</v>
      </c>
      <c r="D82" s="105">
        <f>'6 - B1'!D82</f>
        <v>13</v>
      </c>
      <c r="E82" s="105">
        <f>'6 - B1'!E82</f>
        <v>15</v>
      </c>
      <c r="F82" s="105">
        <f>'6 - B1'!F82</f>
        <v>20</v>
      </c>
      <c r="G82" s="105">
        <f>'6 - B1'!G82</f>
        <v>16</v>
      </c>
      <c r="H82" s="105">
        <f>'6 - B1'!H82</f>
        <v>17</v>
      </c>
      <c r="I82" s="105">
        <f>'6 - B1'!I82</f>
        <v>20</v>
      </c>
      <c r="J82" s="105">
        <f>'6 - B1'!J82</f>
        <v>19</v>
      </c>
      <c r="K82" s="105">
        <f>'6 - B1'!K82</f>
        <v>21</v>
      </c>
      <c r="L82" s="105">
        <f>'6 - B1'!L82</f>
        <v>28</v>
      </c>
      <c r="M82" s="105">
        <f>'6 - B1'!M82</f>
        <v>17</v>
      </c>
      <c r="N82" s="105">
        <f>'6 - B1'!N82</f>
        <v>21</v>
      </c>
      <c r="O82" s="105">
        <f>'6 - B1'!O82</f>
        <v>20</v>
      </c>
      <c r="P82" s="105">
        <f>'6 - B1'!P82</f>
        <v>15</v>
      </c>
    </row>
  </sheetData>
  <conditionalFormatting sqref="H9:H40">
    <cfRule type="cellIs" dxfId="11" priority="2" operator="greaterThan">
      <formula>1000</formula>
    </cfRule>
  </conditionalFormatting>
  <conditionalFormatting sqref="K9:K40">
    <cfRule type="cellIs" dxfId="10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N72"/>
  <sheetViews>
    <sheetView zoomScale="70" zoomScaleNormal="70" workbookViewId="0"/>
  </sheetViews>
  <sheetFormatPr defaultColWidth="11.53125" defaultRowHeight="12.75" x14ac:dyDescent="0.35"/>
  <cols>
    <col min="11" max="11" width="27.6640625" customWidth="1"/>
  </cols>
  <sheetData>
    <row r="1" spans="1:16" ht="37.25" customHeight="1" x14ac:dyDescent="0.35">
      <c r="K1" s="171" t="s">
        <v>198</v>
      </c>
      <c r="L1" s="171" t="s">
        <v>199</v>
      </c>
      <c r="M1" s="171"/>
      <c r="N1" s="171"/>
      <c r="O1" s="171"/>
    </row>
    <row r="2" spans="1:16" ht="52.15" x14ac:dyDescent="0.5">
      <c r="B2" s="109" t="s">
        <v>200</v>
      </c>
      <c r="C2" s="109" t="s">
        <v>201</v>
      </c>
      <c r="D2" s="109" t="s">
        <v>202</v>
      </c>
      <c r="E2" s="109" t="s">
        <v>203</v>
      </c>
      <c r="F2" s="110" t="s">
        <v>204</v>
      </c>
      <c r="G2" s="76" t="s">
        <v>152</v>
      </c>
      <c r="H2" s="111" t="s">
        <v>205</v>
      </c>
      <c r="K2" s="112" t="s">
        <v>206</v>
      </c>
      <c r="L2" s="110" t="s">
        <v>207</v>
      </c>
      <c r="M2" s="110" t="s">
        <v>208</v>
      </c>
      <c r="O2" s="79" t="s">
        <v>145</v>
      </c>
      <c r="P2" s="79" t="s">
        <v>209</v>
      </c>
    </row>
    <row r="3" spans="1:16" ht="26.25" x14ac:dyDescent="0.45">
      <c r="B3" s="110" t="s">
        <v>210</v>
      </c>
      <c r="C3" s="110" t="s">
        <v>210</v>
      </c>
      <c r="D3" s="110" t="s">
        <v>210</v>
      </c>
      <c r="E3" s="110" t="s">
        <v>210</v>
      </c>
      <c r="F3" s="110" t="s">
        <v>211</v>
      </c>
      <c r="G3" s="79" t="s">
        <v>212</v>
      </c>
      <c r="H3" s="79" t="s">
        <v>38</v>
      </c>
      <c r="K3" s="1" t="s">
        <v>213</v>
      </c>
      <c r="L3" s="110" t="s">
        <v>210</v>
      </c>
      <c r="M3" s="110" t="s">
        <v>211</v>
      </c>
      <c r="O3" s="113" t="s">
        <v>214</v>
      </c>
      <c r="P3" s="114">
        <v>1</v>
      </c>
    </row>
    <row r="4" spans="1:16" ht="13.15" x14ac:dyDescent="0.4">
      <c r="A4">
        <v>29</v>
      </c>
      <c r="B4" s="46">
        <f>'6 - B1'!$G$37</f>
        <v>11.140359835893829</v>
      </c>
      <c r="C4" s="46">
        <f>'6 - B2'!$G$37</f>
        <v>11.657117065103327</v>
      </c>
      <c r="D4" s="46">
        <f>'6 - B3'!$G$37</f>
        <v>11.158745993660485</v>
      </c>
      <c r="E4" s="115">
        <f t="shared" ref="E4:E32" si="0">AVERAGE(B4:D4)</f>
        <v>11.318740964885881</v>
      </c>
      <c r="F4">
        <v>6560</v>
      </c>
      <c r="G4">
        <f>'6 - B1'!$L37+'6 - B2'!$L37+'6 - B3'!$L37</f>
        <v>14</v>
      </c>
      <c r="H4" s="46">
        <f>STDEVP('6 - B1'!$B37:F37,'6 - B2'!B37:F37,'6 - B3'!B37:F37)/SQRT(G4)</f>
        <v>0.37242640147600986</v>
      </c>
      <c r="K4" s="116">
        <v>4</v>
      </c>
      <c r="L4">
        <f>P4</f>
        <v>10750.3</v>
      </c>
      <c r="M4" s="66">
        <f>CubicSpline(L4,$E$4:$E$31,$F$4:$F$31)</f>
        <v>82.073469253997629</v>
      </c>
      <c r="O4">
        <v>10750.3</v>
      </c>
      <c r="P4">
        <f t="shared" ref="P4:P30" si="1">O4*P$3</f>
        <v>10750.3</v>
      </c>
    </row>
    <row r="5" spans="1:16" ht="13.15" x14ac:dyDescent="0.4">
      <c r="A5">
        <v>28</v>
      </c>
      <c r="B5" s="46">
        <f>'6 - B1'!$G$36</f>
        <v>21.078558605058927</v>
      </c>
      <c r="C5" s="46">
        <f>'6 - B2'!$G$36</f>
        <v>20.968529532064458</v>
      </c>
      <c r="D5" s="46">
        <f>'6 - B3'!$G$36</f>
        <v>23.244350346766616</v>
      </c>
      <c r="E5" s="115">
        <f t="shared" si="0"/>
        <v>21.763812827963335</v>
      </c>
      <c r="F5">
        <v>5000</v>
      </c>
      <c r="G5">
        <f>'6 - B1'!$L36+'6 - B2'!$L36+'6 - B3'!$L36</f>
        <v>13</v>
      </c>
      <c r="H5" s="46">
        <f>STDEVP('6 - B1'!$B36:F36,'6 - B2'!B36:F36,'6 - B3'!B36:F36)/SQRT(G5)</f>
        <v>0.65901286954552185</v>
      </c>
      <c r="K5" s="116">
        <v>5</v>
      </c>
      <c r="L5">
        <f t="shared" ref="L5:L30" si="2">P5</f>
        <v>7121.1</v>
      </c>
      <c r="M5" s="66">
        <f t="shared" ref="M5:M30" si="3">CubicSpline(L5,$E$4:$E$31,$F$4:$F$31)</f>
        <v>128.08160383269302</v>
      </c>
      <c r="O5">
        <v>7121.1</v>
      </c>
      <c r="P5">
        <f t="shared" si="1"/>
        <v>7121.1</v>
      </c>
    </row>
    <row r="6" spans="1:16" ht="13.15" x14ac:dyDescent="0.4">
      <c r="A6">
        <v>27</v>
      </c>
      <c r="B6" s="46">
        <f>'6 - B1'!$G$35</f>
        <v>31.502666737783798</v>
      </c>
      <c r="C6" s="46">
        <f>'6 - B2'!$G$35</f>
        <v>29.593338471416125</v>
      </c>
      <c r="D6" s="46">
        <f>'6 - B3'!$G$35</f>
        <v>31.968301196633281</v>
      </c>
      <c r="E6" s="115">
        <f t="shared" si="0"/>
        <v>31.02143546861107</v>
      </c>
      <c r="F6">
        <v>4228</v>
      </c>
      <c r="G6">
        <f>'6 - B1'!$L35+'6 - B2'!$L35+'6 - B3'!$L35</f>
        <v>12</v>
      </c>
      <c r="H6" s="46">
        <f>STDEVP('6 - B1'!$B35:F35,'6 - B2'!B35:F35,'6 - B3'!B35:F35)/SQRT(G6)</f>
        <v>0.64561236650294596</v>
      </c>
      <c r="K6" s="116">
        <v>6</v>
      </c>
      <c r="L6">
        <f t="shared" si="2"/>
        <v>4729.1000000000004</v>
      </c>
      <c r="M6" s="66">
        <f t="shared" si="3"/>
        <v>188.12508270942803</v>
      </c>
      <c r="O6">
        <v>4729.1000000000004</v>
      </c>
      <c r="P6">
        <f t="shared" si="1"/>
        <v>4729.1000000000004</v>
      </c>
    </row>
    <row r="7" spans="1:16" ht="13.15" x14ac:dyDescent="0.4">
      <c r="A7">
        <v>26</v>
      </c>
      <c r="B7" s="46">
        <f>'6 - B1'!$G$34</f>
        <v>44.000552741121979</v>
      </c>
      <c r="C7" s="46">
        <f>'6 - B2'!$G$34</f>
        <v>40.934603465425646</v>
      </c>
      <c r="D7" s="46">
        <f>'6 - B3'!$G$34</f>
        <v>45.097388511910658</v>
      </c>
      <c r="E7" s="115">
        <f t="shared" si="0"/>
        <v>43.344181572819423</v>
      </c>
      <c r="F7">
        <v>3575</v>
      </c>
      <c r="G7">
        <f>'6 - B1'!$L34+'6 - B2'!$L34+'6 - B3'!$L34</f>
        <v>12</v>
      </c>
      <c r="H7" s="46">
        <f>STDEVP('6 - B1'!$B34:F34,'6 - B2'!B34:F34,'6 - B3'!B34:F34)/SQRT(G7)</f>
        <v>0.83502414766459587</v>
      </c>
      <c r="K7" s="116">
        <v>7</v>
      </c>
      <c r="L7">
        <f t="shared" si="2"/>
        <v>3199.3</v>
      </c>
      <c r="M7" s="66">
        <f t="shared" si="3"/>
        <v>257.67467064568547</v>
      </c>
      <c r="O7">
        <v>3199.3</v>
      </c>
      <c r="P7">
        <f t="shared" si="1"/>
        <v>3199.3</v>
      </c>
    </row>
    <row r="8" spans="1:16" ht="13.15" x14ac:dyDescent="0.4">
      <c r="A8">
        <v>25</v>
      </c>
      <c r="B8" s="46">
        <f>'6 - B1'!$G$33</f>
        <v>59.689782850581452</v>
      </c>
      <c r="C8" s="46">
        <f>'6 - B2'!$G$33</f>
        <v>60.580272697334884</v>
      </c>
      <c r="D8" s="46">
        <f>'6 - B3'!$G$33</f>
        <v>62.644207010425006</v>
      </c>
      <c r="E8" s="115">
        <f t="shared" si="0"/>
        <v>60.971420852780454</v>
      </c>
      <c r="F8">
        <v>3023</v>
      </c>
      <c r="G8">
        <f>'6 - B1'!$L33+'6 - B2'!$L33+'6 - B3'!$L33</f>
        <v>13</v>
      </c>
      <c r="H8" s="46">
        <f>STDEVP('6 - B1'!$B33:F33,'6 - B2'!B33:F33,'6 - B3'!B33:F33)/SQRT(G8)</f>
        <v>0.83147831581386178</v>
      </c>
      <c r="K8" s="116">
        <v>8</v>
      </c>
      <c r="L8">
        <f t="shared" si="2"/>
        <v>2280.6</v>
      </c>
      <c r="M8" s="66">
        <f t="shared" si="3"/>
        <v>327.28334558185634</v>
      </c>
      <c r="O8">
        <v>2280.6</v>
      </c>
      <c r="P8">
        <f t="shared" si="1"/>
        <v>2280.6</v>
      </c>
    </row>
    <row r="9" spans="1:16" ht="13.15" x14ac:dyDescent="0.4">
      <c r="A9">
        <v>24</v>
      </c>
      <c r="B9" s="46">
        <f>'6 - B1'!$G$32</f>
        <v>82.478135520789706</v>
      </c>
      <c r="C9" s="46">
        <f>'6 - B2'!$G$32</f>
        <v>82.334989599224713</v>
      </c>
      <c r="D9" s="46">
        <f>'6 - B3'!$G$32</f>
        <v>80.227595546844356</v>
      </c>
      <c r="E9" s="115">
        <f t="shared" si="0"/>
        <v>81.680240222286258</v>
      </c>
      <c r="F9">
        <v>2556</v>
      </c>
      <c r="G9">
        <f>'6 - B1'!$L32+'6 - B2'!$L32+'6 - B3'!$L32</f>
        <v>13</v>
      </c>
      <c r="H9" s="46">
        <f>STDEVP('6 - B1'!$B32:F32,'6 - B2'!B32:F32,'6 - B3'!B32:F32)/SQRT(G9)</f>
        <v>0.96713613431358203</v>
      </c>
      <c r="K9" s="116">
        <v>9</v>
      </c>
      <c r="L9">
        <f t="shared" si="2"/>
        <v>1615</v>
      </c>
      <c r="M9" s="66">
        <f t="shared" si="3"/>
        <v>409.70314664424626</v>
      </c>
      <c r="O9">
        <v>1615</v>
      </c>
      <c r="P9">
        <f t="shared" si="1"/>
        <v>1615</v>
      </c>
    </row>
    <row r="10" spans="1:16" ht="13.15" x14ac:dyDescent="0.4">
      <c r="A10">
        <v>23</v>
      </c>
      <c r="B10" s="46">
        <f>'6 - B1'!$G$31</f>
        <v>111.8154733361248</v>
      </c>
      <c r="C10" s="46">
        <f>'6 - B2'!$G$31</f>
        <v>110.24983730352901</v>
      </c>
      <c r="D10" s="46">
        <f>'6 - B3'!$G$31</f>
        <v>112.97886113222043</v>
      </c>
      <c r="E10" s="115">
        <f t="shared" si="0"/>
        <v>111.68139059062474</v>
      </c>
      <c r="F10">
        <v>2162</v>
      </c>
      <c r="G10">
        <f>'6 - B1'!$L31+'6 - B2'!$L31+'6 - B3'!$L31</f>
        <v>13</v>
      </c>
      <c r="H10" s="46">
        <f>STDEVP('6 - B1'!$B31:F31,'6 - B2'!B31:F31,'6 - B3'!B31:F31)/SQRT(G10)</f>
        <v>0.91216035043290067</v>
      </c>
      <c r="K10" s="116">
        <v>10</v>
      </c>
      <c r="L10">
        <f t="shared" si="2"/>
        <v>1130.5</v>
      </c>
      <c r="M10" s="66">
        <f t="shared" si="3"/>
        <v>511.48655726372169</v>
      </c>
      <c r="O10">
        <v>1130.5</v>
      </c>
      <c r="P10">
        <f t="shared" si="1"/>
        <v>1130.5</v>
      </c>
    </row>
    <row r="11" spans="1:16" ht="13.15" x14ac:dyDescent="0.4">
      <c r="A11">
        <v>22</v>
      </c>
      <c r="B11" s="46">
        <f>'6 - B1'!$G$30</f>
        <v>150.82085921903735</v>
      </c>
      <c r="C11" s="46">
        <f>'6 - B2'!$G$30</f>
        <v>146.72731159323811</v>
      </c>
      <c r="D11" s="46">
        <f>'6 - B3'!$G$30</f>
        <v>151.39342999416363</v>
      </c>
      <c r="E11" s="115">
        <f t="shared" si="0"/>
        <v>149.64720026881301</v>
      </c>
      <c r="F11">
        <v>1828</v>
      </c>
      <c r="G11">
        <f>'6 - B1'!$L30+'6 - B2'!$L30+'6 - B3'!$L30</f>
        <v>13</v>
      </c>
      <c r="H11" s="46">
        <f>STDEVP('6 - B1'!$B30:F30,'6 - B2'!B30:F30,'6 - B3'!B30:F30)/SQRT(G11)</f>
        <v>1.4168827057319973</v>
      </c>
      <c r="K11" s="116">
        <v>11</v>
      </c>
      <c r="L11">
        <f t="shared" si="2"/>
        <v>816.2</v>
      </c>
      <c r="M11" s="66">
        <f t="shared" si="3"/>
        <v>625.101247445627</v>
      </c>
      <c r="O11">
        <v>816.2</v>
      </c>
      <c r="P11">
        <f t="shared" si="1"/>
        <v>816.2</v>
      </c>
    </row>
    <row r="12" spans="1:16" ht="13.15" x14ac:dyDescent="0.4">
      <c r="A12">
        <v>21</v>
      </c>
      <c r="B12" s="46">
        <f>'6 - B1'!$G$29</f>
        <v>200.24331059442846</v>
      </c>
      <c r="C12" s="46">
        <f>'6 - B2'!$G$29</f>
        <v>194.44271881164991</v>
      </c>
      <c r="D12" s="46">
        <f>'6 - B3'!$G$29</f>
        <v>197.32277132759438</v>
      </c>
      <c r="E12" s="115">
        <f t="shared" si="0"/>
        <v>197.33626691122424</v>
      </c>
      <c r="F12">
        <v>1546</v>
      </c>
      <c r="G12">
        <f>'6 - B1'!$L29+'6 - B2'!$L29+'6 - B3'!$L29</f>
        <v>13</v>
      </c>
      <c r="H12" s="46">
        <f>STDEVP('6 - B1'!$B29:F29,'6 - B2'!B29:F29,'6 - B3'!B29:F29)/SQRT(G12)</f>
        <v>1.6409316100884563</v>
      </c>
      <c r="K12" s="116">
        <v>12</v>
      </c>
      <c r="L12">
        <f t="shared" si="2"/>
        <v>618.6</v>
      </c>
      <c r="M12" s="66">
        <f t="shared" si="3"/>
        <v>741.54030068396537</v>
      </c>
      <c r="O12">
        <v>618.6</v>
      </c>
      <c r="P12">
        <f t="shared" si="1"/>
        <v>618.6</v>
      </c>
    </row>
    <row r="13" spans="1:16" ht="13.15" x14ac:dyDescent="0.4">
      <c r="A13">
        <v>20</v>
      </c>
      <c r="B13" s="46">
        <f>'6 - B1'!$G$28</f>
        <v>260.04061595175676</v>
      </c>
      <c r="C13" s="46">
        <f>'6 - B2'!$G$28</f>
        <v>255.24372460847925</v>
      </c>
      <c r="D13" s="46">
        <f>'6 - B3'!$G$28</f>
        <v>258.72076045415253</v>
      </c>
      <c r="E13" s="115">
        <f t="shared" si="0"/>
        <v>258.00170033812952</v>
      </c>
      <c r="F13">
        <v>1307</v>
      </c>
      <c r="G13">
        <f>'6 - B1'!$L28+'6 - B2'!$L28+'6 - B3'!$L28</f>
        <v>13</v>
      </c>
      <c r="H13" s="46">
        <f>STDEVP('6 - B1'!$B28:F28,'6 - B2'!B28:F28,'6 - B3'!B28:F28)/SQRT(G13)</f>
        <v>2.1647616805071075</v>
      </c>
      <c r="K13" s="116">
        <v>13</v>
      </c>
      <c r="L13">
        <f t="shared" si="2"/>
        <v>481.9</v>
      </c>
      <c r="M13" s="66">
        <f t="shared" si="3"/>
        <v>870.17058804949806</v>
      </c>
      <c r="O13">
        <v>481.9</v>
      </c>
      <c r="P13">
        <f t="shared" si="1"/>
        <v>481.9</v>
      </c>
    </row>
    <row r="14" spans="1:16" ht="13.15" x14ac:dyDescent="0.4">
      <c r="A14">
        <v>19</v>
      </c>
      <c r="B14" s="46">
        <f>'6 - B1'!$G$27</f>
        <v>336.78785746232631</v>
      </c>
      <c r="C14" s="46">
        <f>'6 - B2'!$G$27</f>
        <v>332.53085394457264</v>
      </c>
      <c r="D14" s="46">
        <f>'6 - B3'!$G$27</f>
        <v>335.57819409842028</v>
      </c>
      <c r="E14" s="115">
        <f t="shared" si="0"/>
        <v>334.96563516843975</v>
      </c>
      <c r="F14">
        <v>1105</v>
      </c>
      <c r="G14">
        <f>'6 - B1'!$L27+'6 - B2'!$L27+'6 - B3'!$L27</f>
        <v>13</v>
      </c>
      <c r="H14" s="46">
        <f>STDEVP('6 - B1'!$B27:F27,'6 - B2'!B27:F27,'6 - B3'!B27:F27)/SQRT(G14)</f>
        <v>2.2546775092219238</v>
      </c>
      <c r="K14" s="116">
        <v>14</v>
      </c>
      <c r="L14">
        <f t="shared" si="2"/>
        <v>384.7</v>
      </c>
      <c r="M14" s="66">
        <f t="shared" si="3"/>
        <v>1009.164345538766</v>
      </c>
      <c r="O14">
        <v>384.7</v>
      </c>
      <c r="P14">
        <f t="shared" si="1"/>
        <v>384.7</v>
      </c>
    </row>
    <row r="15" spans="1:16" ht="13.15" x14ac:dyDescent="0.4">
      <c r="A15">
        <v>18</v>
      </c>
      <c r="B15" s="46">
        <f>'6 - B1'!$G$26</f>
        <v>433.2319469459627</v>
      </c>
      <c r="C15" s="46">
        <f>'6 - B2'!$G$26</f>
        <v>429.74911279710904</v>
      </c>
      <c r="D15" s="46">
        <f>'6 - B3'!$G$26</f>
        <v>432.97292607612451</v>
      </c>
      <c r="E15" s="115">
        <f t="shared" si="0"/>
        <v>431.98466193973201</v>
      </c>
      <c r="F15">
        <v>935</v>
      </c>
      <c r="G15">
        <f>'6 - B1'!$L26+'6 - B2'!$L26+'6 - B3'!$L26</f>
        <v>13</v>
      </c>
      <c r="H15" s="46">
        <f>STDEVP('6 - B1'!$B26:F26,'6 - B2'!B26:F26,'6 - B3'!B26:F26)/SQRT(G15)</f>
        <v>2.8594539163771233</v>
      </c>
      <c r="K15" s="116">
        <v>15</v>
      </c>
      <c r="L15">
        <f t="shared" si="2"/>
        <v>314.60000000000002</v>
      </c>
      <c r="M15" s="66">
        <f t="shared" si="3"/>
        <v>1150.6065382645406</v>
      </c>
      <c r="O15">
        <v>314.60000000000002</v>
      </c>
      <c r="P15">
        <f t="shared" si="1"/>
        <v>314.60000000000002</v>
      </c>
    </row>
    <row r="16" spans="1:16" ht="13.15" x14ac:dyDescent="0.4">
      <c r="A16">
        <v>17</v>
      </c>
      <c r="B16" s="46">
        <f>'6 - B1'!$G$25</f>
        <v>556.67459321790261</v>
      </c>
      <c r="C16" s="46">
        <f>'6 - B2'!$G$25</f>
        <v>562.88319279958955</v>
      </c>
      <c r="D16" s="46">
        <f>'6 - B3'!$G$25</f>
        <v>556.31606562782895</v>
      </c>
      <c r="E16" s="115">
        <f t="shared" si="0"/>
        <v>558.62461721510704</v>
      </c>
      <c r="F16">
        <v>790</v>
      </c>
      <c r="G16">
        <f>'6 - B1'!$L25+'6 - B2'!$L25+'6 - B3'!$L25</f>
        <v>15</v>
      </c>
      <c r="H16" s="46">
        <f>STDEVP('6 - B1'!$B25:F25,'6 - B2'!B25:F25,'6 - B3'!B25:F25)/SQRT(G16)</f>
        <v>4.1238367269501204</v>
      </c>
      <c r="K16" s="116">
        <v>16</v>
      </c>
      <c r="L16">
        <f t="shared" si="2"/>
        <v>261.8</v>
      </c>
      <c r="M16" s="66">
        <f t="shared" si="3"/>
        <v>1295.1328707953439</v>
      </c>
      <c r="O16">
        <v>261.8</v>
      </c>
      <c r="P16">
        <f t="shared" si="1"/>
        <v>261.8</v>
      </c>
    </row>
    <row r="17" spans="1:16" ht="13.15" x14ac:dyDescent="0.4">
      <c r="A17">
        <v>16</v>
      </c>
      <c r="B17" s="46">
        <f>'6 - B1'!$G$24</f>
        <v>725.28788049941841</v>
      </c>
      <c r="C17" s="46">
        <f>'6 - B2'!$G$24</f>
        <v>743.79646675667175</v>
      </c>
      <c r="D17" s="46">
        <f>'6 - B3'!$G$24</f>
        <v>728.74482652040501</v>
      </c>
      <c r="E17" s="115">
        <f t="shared" si="0"/>
        <v>732.60972459216498</v>
      </c>
      <c r="F17">
        <v>668</v>
      </c>
      <c r="G17">
        <f>'6 - B1'!$L24+'6 - B2'!$L24+'6 - B3'!$L24</f>
        <v>15</v>
      </c>
      <c r="H17" s="46">
        <f>STDEVP('6 - B1'!$B24:F24,'6 - B2'!B24:F24,'6 - B3'!B24:F24)/SQRT(G17)</f>
        <v>4.7091227922023116</v>
      </c>
      <c r="K17" s="116">
        <v>17</v>
      </c>
      <c r="L17">
        <f t="shared" si="2"/>
        <v>221.2</v>
      </c>
      <c r="M17" s="66">
        <f t="shared" si="3"/>
        <v>1440.5607245557028</v>
      </c>
      <c r="O17">
        <v>221.2</v>
      </c>
      <c r="P17">
        <f t="shared" si="1"/>
        <v>221.2</v>
      </c>
    </row>
    <row r="18" spans="1:16" ht="13.15" x14ac:dyDescent="0.4">
      <c r="A18">
        <v>15</v>
      </c>
      <c r="B18" s="46">
        <f>'6 - B1'!$G$23</f>
        <v>956.9215201889283</v>
      </c>
      <c r="C18" s="46">
        <f>'6 - B2'!$G$23</f>
        <v>975.91763716696607</v>
      </c>
      <c r="D18" s="46">
        <f>'6 - B3'!$G$23</f>
        <v>950.24795271179846</v>
      </c>
      <c r="E18" s="115">
        <f t="shared" si="0"/>
        <v>961.02903668923091</v>
      </c>
      <c r="F18">
        <v>565</v>
      </c>
      <c r="G18">
        <f>'6 - B1'!$L23+'6 - B2'!$L23+'6 - B3'!$L23</f>
        <v>15</v>
      </c>
      <c r="H18" s="46">
        <f>STDEVP('6 - B1'!$B23:F23,'6 - B2'!B23:F23,'6 - B3'!B23:F23)/SQRT(G18)</f>
        <v>5.4337021321273662</v>
      </c>
      <c r="K18" s="116">
        <v>18</v>
      </c>
      <c r="L18">
        <f t="shared" si="2"/>
        <v>188.7</v>
      </c>
      <c r="M18" s="66">
        <f t="shared" si="3"/>
        <v>1588.7239706019923</v>
      </c>
      <c r="O18">
        <v>188.7</v>
      </c>
      <c r="P18">
        <f t="shared" si="1"/>
        <v>188.7</v>
      </c>
    </row>
    <row r="19" spans="1:16" ht="13.15" x14ac:dyDescent="0.4">
      <c r="A19">
        <v>14</v>
      </c>
      <c r="B19" s="46">
        <f>'6 - B1'!$G$22</f>
        <v>1259.040966838345</v>
      </c>
      <c r="C19" s="46">
        <f>'6 - B2'!$G$22</f>
        <v>1278.2198915371132</v>
      </c>
      <c r="D19" s="46">
        <f>'6 - B3'!$G$22</f>
        <v>1248.944852654713</v>
      </c>
      <c r="E19" s="115">
        <f t="shared" si="0"/>
        <v>1262.0685703433903</v>
      </c>
      <c r="F19">
        <v>478</v>
      </c>
      <c r="G19">
        <f>'6 - B1'!$L22+'6 - B2'!$L22+'6 - B3'!$L22</f>
        <v>15</v>
      </c>
      <c r="H19" s="46">
        <f>STDEVP('6 - B1'!$B22:F22,'6 - B2'!B22:F22,'6 - B3'!B22:F22)/SQRT(G19)</f>
        <v>5.642260527256016</v>
      </c>
      <c r="K19" s="116">
        <v>19</v>
      </c>
      <c r="L19">
        <f t="shared" si="2"/>
        <v>161</v>
      </c>
      <c r="M19" s="66">
        <f t="shared" si="3"/>
        <v>1750.7872251435726</v>
      </c>
      <c r="O19">
        <v>161</v>
      </c>
      <c r="P19">
        <f t="shared" si="1"/>
        <v>161</v>
      </c>
    </row>
    <row r="20" spans="1:16" ht="13.15" x14ac:dyDescent="0.4">
      <c r="A20">
        <v>13</v>
      </c>
      <c r="B20" s="46">
        <f>'6 - B1'!$G$21</f>
        <v>1648.1781849349077</v>
      </c>
      <c r="C20" s="46">
        <f>'6 - B2'!$G$21</f>
        <v>1678.1471135578881</v>
      </c>
      <c r="D20" s="46">
        <f>'6 - B3'!$G$21</f>
        <v>1628.0556130623736</v>
      </c>
      <c r="E20" s="115">
        <f t="shared" si="0"/>
        <v>1651.4603038517232</v>
      </c>
      <c r="F20">
        <v>404</v>
      </c>
      <c r="G20">
        <f>'6 - B1'!$L21+'6 - B2'!$L21+'6 - B3'!$L21</f>
        <v>15</v>
      </c>
      <c r="H20" s="46">
        <f>STDEVP('6 - B1'!$B21:F21,'6 - B2'!B21:F21,'6 - B3'!B21:F21)/SQRT(G20)</f>
        <v>7.8138861596837224</v>
      </c>
      <c r="K20" s="116">
        <v>20</v>
      </c>
      <c r="L20">
        <f t="shared" si="2"/>
        <v>136.4</v>
      </c>
      <c r="M20" s="66">
        <f t="shared" si="3"/>
        <v>1929.6214567215673</v>
      </c>
      <c r="O20">
        <v>136.4</v>
      </c>
      <c r="P20">
        <f t="shared" si="1"/>
        <v>136.4</v>
      </c>
    </row>
    <row r="21" spans="1:16" ht="13.15" x14ac:dyDescent="0.4">
      <c r="A21">
        <v>12</v>
      </c>
      <c r="B21" s="46">
        <f>'6 - B1'!$G$20</f>
        <v>2136.4626893525647</v>
      </c>
      <c r="C21" s="46">
        <f>'6 - B2'!$G$20</f>
        <v>2171.4975437392104</v>
      </c>
      <c r="D21" s="46">
        <f>'6 - B3'!$G$20</f>
        <v>2096.3323097056614</v>
      </c>
      <c r="E21" s="115">
        <f t="shared" si="0"/>
        <v>2134.7641809324791</v>
      </c>
      <c r="F21">
        <v>342</v>
      </c>
      <c r="G21">
        <f>'6 - B1'!$L20+'6 - B2'!$L20+'6 - B3'!$L20</f>
        <v>15</v>
      </c>
      <c r="H21" s="46">
        <f>STDEVP('6 - B1'!$B20:F20,'6 - B2'!B20:F20,'6 - B3'!B20:F20)/SQRT(G21)</f>
        <v>10.382380065374104</v>
      </c>
      <c r="K21" s="116">
        <v>21</v>
      </c>
      <c r="L21">
        <f t="shared" si="2"/>
        <v>114.4</v>
      </c>
      <c r="M21" s="66">
        <f t="shared" si="3"/>
        <v>2133.6963622757071</v>
      </c>
      <c r="O21">
        <v>114.4</v>
      </c>
      <c r="P21">
        <f t="shared" si="1"/>
        <v>114.4</v>
      </c>
    </row>
    <row r="22" spans="1:16" ht="13.15" x14ac:dyDescent="0.4">
      <c r="A22">
        <v>11</v>
      </c>
      <c r="B22" s="46">
        <f>'6 - B1'!$G$19</f>
        <v>2739.1149514256267</v>
      </c>
      <c r="C22" s="46">
        <f>'6 - B2'!$G$19</f>
        <v>2777.2943261572814</v>
      </c>
      <c r="D22" s="46">
        <f>'6 - B3'!$G$19</f>
        <v>2674.7685398750555</v>
      </c>
      <c r="E22" s="115">
        <f t="shared" si="0"/>
        <v>2730.3926058193215</v>
      </c>
      <c r="F22">
        <v>289</v>
      </c>
      <c r="G22">
        <f>'6 - B1'!$L19+'6 - B2'!$L19+'6 - B3'!$L19</f>
        <v>15</v>
      </c>
      <c r="H22" s="46">
        <f>STDEVP('6 - B1'!$B19:F19,'6 - B2'!B19:F19,'6 - B3'!B19:F19)/SQRT(G22)</f>
        <v>13.922944844918952</v>
      </c>
      <c r="K22" s="116">
        <v>22</v>
      </c>
      <c r="L22">
        <f t="shared" si="2"/>
        <v>95.3</v>
      </c>
      <c r="M22" s="66">
        <f t="shared" si="3"/>
        <v>2354.2940399815943</v>
      </c>
      <c r="O22">
        <v>95.3</v>
      </c>
      <c r="P22">
        <f t="shared" si="1"/>
        <v>95.3</v>
      </c>
    </row>
    <row r="23" spans="1:16" ht="13.15" x14ac:dyDescent="0.4">
      <c r="A23">
        <v>10</v>
      </c>
      <c r="B23" s="46">
        <f>'6 - B1'!$G$18</f>
        <v>3468.0557193294799</v>
      </c>
      <c r="C23" s="46">
        <f>'6 - B2'!$G$18</f>
        <v>3485.934281153664</v>
      </c>
      <c r="D23" s="46">
        <f>'6 - B3'!$G$18</f>
        <v>3363.8024723942822</v>
      </c>
      <c r="E23" s="115">
        <f t="shared" si="0"/>
        <v>3439.2641576258084</v>
      </c>
      <c r="F23">
        <v>244</v>
      </c>
      <c r="G23">
        <f>'6 - B1'!$L18+'6 - B2'!$L18+'6 - B3'!$L18</f>
        <v>15</v>
      </c>
      <c r="H23" s="46">
        <f>STDEVP('6 - B1'!$B18:F18,'6 - B2'!B18:F18,'6 - B3'!B18:F18)/SQRT(G23)</f>
        <v>17.191721439849996</v>
      </c>
      <c r="K23" s="116">
        <v>23</v>
      </c>
      <c r="L23">
        <f t="shared" si="2"/>
        <v>79</v>
      </c>
      <c r="M23" s="66">
        <f t="shared" si="3"/>
        <v>2603.2431873747355</v>
      </c>
      <c r="O23">
        <v>79</v>
      </c>
      <c r="P23">
        <f t="shared" si="1"/>
        <v>79</v>
      </c>
    </row>
    <row r="24" spans="1:16" ht="13.15" x14ac:dyDescent="0.4">
      <c r="A24">
        <v>9</v>
      </c>
      <c r="B24" s="46">
        <f>'6 - B1'!$G$17</f>
        <v>4269.2621223887554</v>
      </c>
      <c r="C24" s="46">
        <f>'6 - B2'!$G$17</f>
        <v>4286.6121202366503</v>
      </c>
      <c r="D24" s="46">
        <f>'6 - B3'!$G$17</f>
        <v>4119.046930129698</v>
      </c>
      <c r="E24" s="115">
        <f t="shared" si="0"/>
        <v>4224.9737242517012</v>
      </c>
      <c r="F24">
        <v>207</v>
      </c>
      <c r="G24">
        <f>'6 - B1'!$L17+'6 - B2'!$L17+'6 - B3'!$L17</f>
        <v>15</v>
      </c>
      <c r="H24" s="46">
        <f>STDEVP('6 - B1'!$B17:F17,'6 - B2'!B17:F17,'6 - B3'!B17:F17)/SQRT(G24)</f>
        <v>22.554189872896774</v>
      </c>
      <c r="K24" s="116">
        <v>24</v>
      </c>
      <c r="L24">
        <f t="shared" si="2"/>
        <v>65.3</v>
      </c>
      <c r="M24" s="66">
        <f t="shared" si="3"/>
        <v>2911.191013665758</v>
      </c>
      <c r="O24">
        <v>65.3</v>
      </c>
      <c r="P24">
        <f t="shared" si="1"/>
        <v>65.3</v>
      </c>
    </row>
    <row r="25" spans="1:16" ht="13.15" x14ac:dyDescent="0.4">
      <c r="A25">
        <v>8</v>
      </c>
      <c r="B25" s="46">
        <f>'6 - B1'!$G$16</f>
        <v>5210.0748060235956</v>
      </c>
      <c r="C25" s="46">
        <f>'6 - B2'!$G$16</f>
        <v>5206.2230600967032</v>
      </c>
      <c r="D25" s="46">
        <f>'6 - B3'!$G$16</f>
        <v>4985.5393230771579</v>
      </c>
      <c r="E25" s="115">
        <f t="shared" si="0"/>
        <v>5133.9457297324852</v>
      </c>
      <c r="F25">
        <v>175</v>
      </c>
      <c r="G25">
        <f>'6 - B1'!$L16+'6 - B2'!$L16+'6 - B3'!$L16</f>
        <v>15</v>
      </c>
      <c r="H25" s="46">
        <f>STDEVP('6 - B1'!$B16:F16,'6 - B2'!B16:F16,'6 - B3'!B16:F16)/SQRT(G25)</f>
        <v>30.644057714582811</v>
      </c>
      <c r="K25" s="116">
        <v>25</v>
      </c>
      <c r="L25">
        <f t="shared" si="2"/>
        <v>53.8</v>
      </c>
      <c r="M25" s="66">
        <f t="shared" si="3"/>
        <v>3220.7839437034918</v>
      </c>
      <c r="O25">
        <v>53.8</v>
      </c>
      <c r="P25">
        <f t="shared" si="1"/>
        <v>53.8</v>
      </c>
    </row>
    <row r="26" spans="1:16" ht="13.15" x14ac:dyDescent="0.4">
      <c r="A26">
        <v>7</v>
      </c>
      <c r="B26" s="46">
        <f>'6 - B1'!$G$15</f>
        <v>6268.8194968240923</v>
      </c>
      <c r="C26" s="46">
        <f>'6 - B2'!$G$15</f>
        <v>6224.5885802897337</v>
      </c>
      <c r="D26" s="46">
        <f>'6 - B3'!$G$15</f>
        <v>5965.607523797773</v>
      </c>
      <c r="E26" s="115">
        <f t="shared" si="0"/>
        <v>6153.0052003038654</v>
      </c>
      <c r="F26">
        <v>148</v>
      </c>
      <c r="G26">
        <f>'6 - B1'!$L15+'6 - B2'!$L15+'6 - B3'!$L15</f>
        <v>15</v>
      </c>
      <c r="H26" s="46">
        <f>STDEVP('6 - B1'!$B15:F15,'6 - B2'!B15:F15,'6 - B3'!B15:F15)/SQRT(G26)</f>
        <v>38.686299695164614</v>
      </c>
      <c r="K26" s="116">
        <v>26</v>
      </c>
      <c r="L26">
        <f t="shared" si="2"/>
        <v>44.6</v>
      </c>
      <c r="M26" s="66">
        <f t="shared" si="3"/>
        <v>3526.5285986619438</v>
      </c>
      <c r="O26">
        <v>44.6</v>
      </c>
      <c r="P26">
        <f t="shared" si="1"/>
        <v>44.6</v>
      </c>
    </row>
    <row r="27" spans="1:16" ht="13.15" x14ac:dyDescent="0.4">
      <c r="A27">
        <v>6</v>
      </c>
      <c r="B27" s="46">
        <f>'6 - B1'!$G$14</f>
        <v>7456.7729204136995</v>
      </c>
      <c r="C27" s="46">
        <f>'6 - B2'!$G$14</f>
        <v>7364.3628768843291</v>
      </c>
      <c r="D27" s="46">
        <f>'6 - B3'!$G$14</f>
        <v>7061.4500441364926</v>
      </c>
      <c r="E27" s="115">
        <f t="shared" si="0"/>
        <v>7294.1952804781731</v>
      </c>
      <c r="F27">
        <v>125</v>
      </c>
      <c r="G27">
        <f>'6 - B1'!$L14+'6 - B2'!$L14+'6 - B3'!$L14</f>
        <v>15</v>
      </c>
      <c r="H27" s="46">
        <f>STDEVP('6 - B1'!$B14:F14,'6 - B2'!B14:F14,'6 - B3'!B14:F14)/SQRT(G27)</f>
        <v>47.556901148726929</v>
      </c>
      <c r="K27" s="116">
        <v>27</v>
      </c>
      <c r="L27">
        <f t="shared" si="2"/>
        <v>37</v>
      </c>
      <c r="M27" s="66">
        <f t="shared" si="3"/>
        <v>3872.1237307360316</v>
      </c>
      <c r="O27">
        <v>37</v>
      </c>
      <c r="P27">
        <f t="shared" si="1"/>
        <v>37</v>
      </c>
    </row>
    <row r="28" spans="1:16" ht="13.15" x14ac:dyDescent="0.4">
      <c r="A28">
        <v>5</v>
      </c>
      <c r="B28" s="46">
        <f>'6 - B1'!$G$13</f>
        <v>8753.8911047365364</v>
      </c>
      <c r="C28" s="46">
        <f>'6 - B2'!$G$13</f>
        <v>8599.5098703564199</v>
      </c>
      <c r="D28" s="46">
        <f>'6 - B3'!$G$13</f>
        <v>8261.5349552568896</v>
      </c>
      <c r="E28" s="115">
        <f t="shared" si="0"/>
        <v>8538.3119767832814</v>
      </c>
      <c r="F28">
        <v>106</v>
      </c>
      <c r="G28">
        <f>'6 - B1'!$L13+'6 - B2'!$L13+'6 - B3'!$L13</f>
        <v>15</v>
      </c>
      <c r="H28" s="46">
        <f>STDEVP('6 - B1'!$B13:F13,'6 - B2'!B13:F13,'6 - B3'!B13:F13)/SQRT(G28)</f>
        <v>57.377627349343754</v>
      </c>
      <c r="K28" s="116">
        <v>28</v>
      </c>
      <c r="L28">
        <f t="shared" si="2"/>
        <v>30.7</v>
      </c>
      <c r="M28" s="66">
        <f t="shared" si="3"/>
        <v>4248.9831060737397</v>
      </c>
      <c r="O28">
        <v>30.7</v>
      </c>
      <c r="P28">
        <f t="shared" si="1"/>
        <v>30.7</v>
      </c>
    </row>
    <row r="29" spans="1:16" ht="13.15" x14ac:dyDescent="0.4">
      <c r="A29">
        <v>4</v>
      </c>
      <c r="B29" s="46">
        <f>'6 - B1'!$G$12</f>
        <v>10289.78466685712</v>
      </c>
      <c r="C29" s="46">
        <f>'6 - B2'!$G$12</f>
        <v>10054.243407748809</v>
      </c>
      <c r="D29" s="46">
        <f>'6 - B3'!$G$12</f>
        <v>9675.6867071733159</v>
      </c>
      <c r="E29" s="115">
        <f t="shared" si="0"/>
        <v>10006.571593926414</v>
      </c>
      <c r="F29">
        <v>89</v>
      </c>
      <c r="G29">
        <f>'6 - B1'!$L12+'6 - B2'!$L12+'6 - B3'!$L12</f>
        <v>15</v>
      </c>
      <c r="H29" s="46">
        <f>STDEVP('6 - B1'!$B12:F12,'6 - B2'!B12:F12,'6 - B3'!B12:F12)/SQRT(G29)</f>
        <v>70.504119118740959</v>
      </c>
      <c r="K29" s="116">
        <v>29</v>
      </c>
      <c r="L29">
        <f t="shared" si="2"/>
        <v>25.2</v>
      </c>
      <c r="M29" s="66">
        <f t="shared" si="3"/>
        <v>4666.4338273163703</v>
      </c>
      <c r="O29">
        <v>25.2</v>
      </c>
      <c r="P29">
        <f t="shared" si="1"/>
        <v>25.2</v>
      </c>
    </row>
    <row r="30" spans="1:16" ht="13.15" x14ac:dyDescent="0.4">
      <c r="A30">
        <v>3</v>
      </c>
      <c r="B30" s="46">
        <f>'6 - B1'!$G$11</f>
        <v>11851.999215358865</v>
      </c>
      <c r="C30" s="46">
        <f>'6 - B2'!$G$11</f>
        <v>11532.147562961472</v>
      </c>
      <c r="D30" s="46">
        <f>'6 - B3'!$G$11</f>
        <v>11123.775222809514</v>
      </c>
      <c r="E30" s="115">
        <f t="shared" si="0"/>
        <v>11502.640667043284</v>
      </c>
      <c r="F30">
        <v>76</v>
      </c>
      <c r="G30">
        <f>'6 - B1'!$L11+'6 - B2'!$L11+'6 - B3'!$L11</f>
        <v>15</v>
      </c>
      <c r="H30" s="46">
        <f>STDEVP('6 - B1'!$B11:F11,'6 - B2'!B11:F11,'6 - B3'!B11:F11)/SQRT(G30)</f>
        <v>82.675239804177167</v>
      </c>
      <c r="K30" s="116">
        <v>30</v>
      </c>
      <c r="L30">
        <f t="shared" si="2"/>
        <v>20.100000000000001</v>
      </c>
      <c r="M30" s="66">
        <f t="shared" si="3"/>
        <v>5194.0028033520566</v>
      </c>
      <c r="O30">
        <v>20.100000000000001</v>
      </c>
      <c r="P30">
        <f t="shared" si="1"/>
        <v>20.100000000000001</v>
      </c>
    </row>
    <row r="31" spans="1:16" x14ac:dyDescent="0.35">
      <c r="A31">
        <v>2</v>
      </c>
      <c r="B31" s="46">
        <f>'6 - B1'!$G$10</f>
        <v>13777.827830470274</v>
      </c>
      <c r="C31" s="46">
        <f>'6 - B2'!$G$10</f>
        <v>13340.1495781701</v>
      </c>
      <c r="D31" s="46">
        <f>'6 - B3'!$G$10</f>
        <v>12915.305388388875</v>
      </c>
      <c r="E31" s="115">
        <f t="shared" si="0"/>
        <v>13344.42759900975</v>
      </c>
      <c r="F31">
        <v>64</v>
      </c>
      <c r="G31">
        <f>'6 - B1'!$L10+'6 - B2'!$L10+'6 - B3'!$L10</f>
        <v>15</v>
      </c>
      <c r="H31" s="46">
        <f>STDEVP('6 - B1'!$B10:F10,'6 - B2'!B10:F10,'6 - B3'!B10:F10)/SQRT(G31)</f>
        <v>97.93465369673811</v>
      </c>
      <c r="K31" s="116"/>
    </row>
    <row r="32" spans="1:16" x14ac:dyDescent="0.35">
      <c r="A32">
        <v>1</v>
      </c>
      <c r="B32" s="46">
        <f>'6 - B1'!$G$9</f>
        <v>15903.671181770784</v>
      </c>
      <c r="C32" s="46">
        <f>'6 - B2'!$G$9</f>
        <v>15364.269137401867</v>
      </c>
      <c r="D32" s="46">
        <f>'6 - B3'!$G$9</f>
        <v>14937.281140344387</v>
      </c>
      <c r="E32" s="115">
        <f t="shared" si="0"/>
        <v>15401.74048650568</v>
      </c>
      <c r="F32">
        <v>54</v>
      </c>
      <c r="G32">
        <f>'6 - B1'!$L9+'6 - B2'!$L9+'6 - B3'!$L9</f>
        <v>15</v>
      </c>
      <c r="H32" s="46">
        <f>STDEVP('6 - B1'!$B9:F9,'6 - B2'!B9:F9,'6 - B3'!B9:F9)/SQRT(G32)</f>
        <v>110.8119940087671</v>
      </c>
    </row>
    <row r="33" spans="2:40" x14ac:dyDescent="0.35">
      <c r="B33" s="46"/>
    </row>
    <row r="42" spans="2:40" x14ac:dyDescent="0.35"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</row>
    <row r="45" spans="2:40" x14ac:dyDescent="0.35">
      <c r="M45" s="117"/>
    </row>
    <row r="46" spans="2:40" x14ac:dyDescent="0.35">
      <c r="M46" s="117"/>
    </row>
    <row r="47" spans="2:40" x14ac:dyDescent="0.35">
      <c r="M47" s="117"/>
    </row>
    <row r="48" spans="2:40" x14ac:dyDescent="0.35">
      <c r="M48" s="117"/>
    </row>
    <row r="49" spans="13:13" x14ac:dyDescent="0.35">
      <c r="M49" s="117"/>
    </row>
    <row r="50" spans="13:13" x14ac:dyDescent="0.35">
      <c r="M50" s="117"/>
    </row>
    <row r="51" spans="13:13" x14ac:dyDescent="0.35">
      <c r="M51" s="117"/>
    </row>
    <row r="52" spans="13:13" x14ac:dyDescent="0.35">
      <c r="M52" s="117"/>
    </row>
    <row r="53" spans="13:13" x14ac:dyDescent="0.35">
      <c r="M53" s="117"/>
    </row>
    <row r="54" spans="13:13" x14ac:dyDescent="0.35">
      <c r="M54" s="117"/>
    </row>
    <row r="55" spans="13:13" x14ac:dyDescent="0.35">
      <c r="M55" s="117"/>
    </row>
    <row r="56" spans="13:13" x14ac:dyDescent="0.35">
      <c r="M56" s="117"/>
    </row>
    <row r="57" spans="13:13" x14ac:dyDescent="0.35">
      <c r="M57" s="117"/>
    </row>
    <row r="58" spans="13:13" x14ac:dyDescent="0.35">
      <c r="M58" s="117"/>
    </row>
    <row r="59" spans="13:13" x14ac:dyDescent="0.35">
      <c r="M59" s="117"/>
    </row>
    <row r="60" spans="13:13" x14ac:dyDescent="0.35">
      <c r="M60" s="117"/>
    </row>
    <row r="61" spans="13:13" x14ac:dyDescent="0.35">
      <c r="M61" s="117"/>
    </row>
    <row r="62" spans="13:13" x14ac:dyDescent="0.35">
      <c r="M62" s="117"/>
    </row>
    <row r="63" spans="13:13" x14ac:dyDescent="0.35">
      <c r="M63" s="117"/>
    </row>
    <row r="64" spans="13:13" x14ac:dyDescent="0.35">
      <c r="M64" s="117"/>
    </row>
    <row r="65" spans="13:13" x14ac:dyDescent="0.35">
      <c r="M65" s="117"/>
    </row>
    <row r="66" spans="13:13" x14ac:dyDescent="0.35">
      <c r="M66" s="117"/>
    </row>
    <row r="67" spans="13:13" x14ac:dyDescent="0.35">
      <c r="M67" s="117"/>
    </row>
    <row r="68" spans="13:13" x14ac:dyDescent="0.35">
      <c r="M68" s="117"/>
    </row>
    <row r="69" spans="13:13" x14ac:dyDescent="0.35">
      <c r="M69" s="117"/>
    </row>
    <row r="70" spans="13:13" x14ac:dyDescent="0.35">
      <c r="M70" s="117"/>
    </row>
    <row r="71" spans="13:13" x14ac:dyDescent="0.35">
      <c r="M71" s="117"/>
    </row>
    <row r="72" spans="13:13" x14ac:dyDescent="0.35">
      <c r="M72" s="117"/>
    </row>
  </sheetData>
  <sortState xmlns:xlrd2="http://schemas.microsoft.com/office/spreadsheetml/2017/richdata2" ref="A4:H32">
    <sortCondition descending="1" ref="A4:A32"/>
  </sortState>
  <mergeCells count="1">
    <mergeCell ref="K1:O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46"/>
  <sheetViews>
    <sheetView zoomScale="85" zoomScaleNormal="85" workbookViewId="0">
      <selection activeCell="P40" sqref="P40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ht="13.15" x14ac:dyDescent="0.4">
      <c r="A1" s="10" t="s">
        <v>22</v>
      </c>
      <c r="B1" s="10"/>
      <c r="C1" s="78"/>
      <c r="D1" s="15" t="s">
        <v>23</v>
      </c>
    </row>
    <row r="2" spans="1:17" ht="13.15" x14ac:dyDescent="0.4">
      <c r="A2" s="10" t="s">
        <v>24</v>
      </c>
      <c r="B2" s="10"/>
      <c r="C2" s="10"/>
      <c r="D2" s="10" t="s">
        <v>25</v>
      </c>
    </row>
    <row r="3" spans="1:17" ht="13.15" x14ac:dyDescent="0.4">
      <c r="A3" s="10" t="s">
        <v>28</v>
      </c>
      <c r="B3" s="10"/>
      <c r="C3" s="10"/>
      <c r="D3" s="118"/>
    </row>
    <row r="4" spans="1:17" ht="13.15" x14ac:dyDescent="0.4">
      <c r="A4" s="10" t="s">
        <v>27</v>
      </c>
      <c r="B4" s="10"/>
      <c r="C4" s="10"/>
      <c r="D4" s="10" t="s">
        <v>25</v>
      </c>
    </row>
    <row r="5" spans="1:17" ht="13.15" x14ac:dyDescent="0.4">
      <c r="A5" s="10" t="s">
        <v>26</v>
      </c>
      <c r="B5" s="10"/>
      <c r="C5" s="10"/>
      <c r="D5" s="15" t="s">
        <v>23</v>
      </c>
    </row>
    <row r="6" spans="1:17" ht="13.15" x14ac:dyDescent="0.4">
      <c r="A6" s="78" t="s">
        <v>128</v>
      </c>
      <c r="B6" s="10"/>
      <c r="C6" s="10"/>
      <c r="D6" s="12" t="s">
        <v>215</v>
      </c>
    </row>
    <row r="7" spans="1:17" ht="13.15" x14ac:dyDescent="0.4">
      <c r="A7" s="10" t="s">
        <v>29</v>
      </c>
      <c r="B7" s="10"/>
      <c r="C7" s="10"/>
      <c r="D7" s="14" t="s">
        <v>30</v>
      </c>
    </row>
    <row r="10" spans="1:17" x14ac:dyDescent="0.35">
      <c r="A10" s="29" t="s">
        <v>216</v>
      </c>
      <c r="B10" s="29"/>
      <c r="C10" s="29"/>
      <c r="D10" s="29"/>
    </row>
    <row r="11" spans="1:17" ht="13.15" x14ac:dyDescent="0.4">
      <c r="A11" s="29"/>
      <c r="B11" s="29"/>
      <c r="C11" s="29"/>
      <c r="D11" s="29"/>
      <c r="H11" s="8"/>
    </row>
    <row r="12" spans="1:17" ht="13.15" x14ac:dyDescent="0.4">
      <c r="A12" s="119">
        <v>49.4</v>
      </c>
      <c r="B12" s="120" t="s">
        <v>217</v>
      </c>
      <c r="C12" s="120" t="s">
        <v>218</v>
      </c>
      <c r="D12" s="121"/>
      <c r="F12" s="122">
        <v>39</v>
      </c>
      <c r="G12" s="120" t="s">
        <v>217</v>
      </c>
      <c r="H12" s="120" t="s">
        <v>218</v>
      </c>
      <c r="I12" s="39"/>
      <c r="J12" s="99"/>
      <c r="M12" s="119">
        <v>69.7</v>
      </c>
      <c r="N12" s="120" t="s">
        <v>217</v>
      </c>
      <c r="O12" s="120" t="s">
        <v>218</v>
      </c>
      <c r="P12" s="39"/>
      <c r="Q12" s="99"/>
    </row>
    <row r="13" spans="1:17" x14ac:dyDescent="0.35">
      <c r="A13" s="123">
        <f>(4/3)*(3.1415936)*((A12*0.000001/2)^3)</f>
        <v>6.3121832711697054E-14</v>
      </c>
      <c r="B13" s="29" t="s">
        <v>219</v>
      </c>
      <c r="C13" s="29" t="s">
        <v>220</v>
      </c>
      <c r="D13" s="124"/>
      <c r="F13" s="123">
        <f>(4/3)*(3.1415936)*((F12*0.000001/2)^3)</f>
        <v>3.1059365126399994E-14</v>
      </c>
      <c r="G13" s="29" t="s">
        <v>219</v>
      </c>
      <c r="H13" s="29" t="s">
        <v>220</v>
      </c>
      <c r="J13" s="48"/>
      <c r="M13" s="123">
        <f>(4/3)*(3.1415936)*((M12*0.000001/2)^3)</f>
        <v>1.7729524472000214E-13</v>
      </c>
      <c r="N13" s="29" t="s">
        <v>219</v>
      </c>
      <c r="O13" s="29" t="s">
        <v>220</v>
      </c>
      <c r="Q13" s="48"/>
    </row>
    <row r="14" spans="1:17" x14ac:dyDescent="0.35">
      <c r="A14" s="123">
        <f>A13*1.05*1000</f>
        <v>6.6277924347281912E-11</v>
      </c>
      <c r="B14" s="29" t="s">
        <v>221</v>
      </c>
      <c r="C14" s="29" t="s">
        <v>222</v>
      </c>
      <c r="D14" s="124"/>
      <c r="F14" s="123">
        <f>F13*1.05*1000</f>
        <v>3.2612333382719997E-11</v>
      </c>
      <c r="G14" s="29" t="s">
        <v>221</v>
      </c>
      <c r="H14" s="29" t="s">
        <v>222</v>
      </c>
      <c r="J14" s="48"/>
      <c r="M14" s="123">
        <f>M13*1.05*1000</f>
        <v>1.8616000695600225E-10</v>
      </c>
      <c r="N14" s="29" t="s">
        <v>221</v>
      </c>
      <c r="O14" s="29" t="s">
        <v>222</v>
      </c>
      <c r="Q14" s="48"/>
    </row>
    <row r="15" spans="1:17" x14ac:dyDescent="0.35">
      <c r="A15" s="123">
        <f>0.000001/A14</f>
        <v>15087.980045364991</v>
      </c>
      <c r="B15" s="29" t="s">
        <v>223</v>
      </c>
      <c r="C15" s="29" t="s">
        <v>224</v>
      </c>
      <c r="D15" s="124"/>
      <c r="F15" s="123">
        <f>0.000001/F14</f>
        <v>30663.245964787693</v>
      </c>
      <c r="G15" s="29" t="s">
        <v>223</v>
      </c>
      <c r="H15" s="29" t="s">
        <v>224</v>
      </c>
      <c r="J15" s="48"/>
      <c r="M15" s="123">
        <f>0.000001/M14</f>
        <v>5371.7230480999269</v>
      </c>
      <c r="N15" s="29" t="s">
        <v>223</v>
      </c>
      <c r="O15" s="29" t="s">
        <v>224</v>
      </c>
      <c r="Q15" s="48"/>
    </row>
    <row r="16" spans="1:17" ht="13.15" x14ac:dyDescent="0.4">
      <c r="A16" s="125">
        <v>5000</v>
      </c>
      <c r="B16" s="29"/>
      <c r="C16" s="29" t="s">
        <v>225</v>
      </c>
      <c r="D16" s="124"/>
      <c r="F16" s="125">
        <v>3000</v>
      </c>
      <c r="G16" s="29"/>
      <c r="H16" s="29" t="s">
        <v>225</v>
      </c>
      <c r="J16" s="48"/>
      <c r="M16" s="125">
        <v>2000</v>
      </c>
      <c r="N16" s="29"/>
      <c r="O16" s="29" t="s">
        <v>225</v>
      </c>
      <c r="Q16" s="48"/>
    </row>
    <row r="17" spans="1:17" x14ac:dyDescent="0.35">
      <c r="A17" s="126">
        <f>A16/A15*1000</f>
        <v>331.38962173640959</v>
      </c>
      <c r="B17" s="29" t="s">
        <v>77</v>
      </c>
      <c r="C17" s="29" t="s">
        <v>226</v>
      </c>
      <c r="D17" s="124"/>
      <c r="F17" s="126">
        <f>F16/F15*1000</f>
        <v>97.837000148159987</v>
      </c>
      <c r="G17" s="29" t="s">
        <v>77</v>
      </c>
      <c r="H17" s="29" t="s">
        <v>226</v>
      </c>
      <c r="J17" s="48"/>
      <c r="M17" s="126">
        <f>M16/M15*1000</f>
        <v>372.32001391200447</v>
      </c>
      <c r="N17" s="29" t="s">
        <v>77</v>
      </c>
      <c r="O17" s="29" t="s">
        <v>226</v>
      </c>
      <c r="Q17" s="48"/>
    </row>
    <row r="18" spans="1:17" ht="13.15" x14ac:dyDescent="0.4">
      <c r="A18" s="125">
        <v>0.20280000000000001</v>
      </c>
      <c r="B18" s="29" t="s">
        <v>227</v>
      </c>
      <c r="C18" s="29" t="s">
        <v>228</v>
      </c>
      <c r="D18" s="124"/>
      <c r="F18" s="125">
        <v>0.1</v>
      </c>
      <c r="G18" s="29" t="s">
        <v>227</v>
      </c>
      <c r="H18" s="29" t="s">
        <v>228</v>
      </c>
      <c r="J18" s="48"/>
      <c r="M18" s="125">
        <v>0.2</v>
      </c>
      <c r="N18" s="29" t="s">
        <v>227</v>
      </c>
      <c r="O18" s="29" t="s">
        <v>228</v>
      </c>
      <c r="Q18" s="48"/>
    </row>
    <row r="19" spans="1:17" x14ac:dyDescent="0.35">
      <c r="A19" s="126">
        <f>A18*A17</f>
        <v>67.205815288143867</v>
      </c>
      <c r="B19" s="29" t="s">
        <v>73</v>
      </c>
      <c r="C19" s="29" t="s">
        <v>229</v>
      </c>
      <c r="D19" s="124"/>
      <c r="F19" s="126">
        <f>F18*F17</f>
        <v>9.7837000148159987</v>
      </c>
      <c r="G19" s="29" t="s">
        <v>73</v>
      </c>
      <c r="H19" s="29" t="s">
        <v>229</v>
      </c>
      <c r="J19" s="48"/>
      <c r="M19" s="126">
        <f>M18*M17</f>
        <v>74.464002782400897</v>
      </c>
      <c r="N19" s="29" t="s">
        <v>73</v>
      </c>
      <c r="O19" s="29" t="s">
        <v>229</v>
      </c>
      <c r="Q19" s="48"/>
    </row>
    <row r="20" spans="1:17" ht="13.15" x14ac:dyDescent="0.4">
      <c r="A20" s="125">
        <v>67.2</v>
      </c>
      <c r="B20" s="29" t="s">
        <v>73</v>
      </c>
      <c r="C20" s="29" t="s">
        <v>230</v>
      </c>
      <c r="D20" s="124"/>
      <c r="F20" s="125">
        <v>13.46</v>
      </c>
      <c r="G20" s="29" t="s">
        <v>73</v>
      </c>
      <c r="H20" s="29" t="s">
        <v>230</v>
      </c>
      <c r="J20" s="48"/>
      <c r="M20" s="125">
        <v>77.569999999999993</v>
      </c>
      <c r="N20" s="29" t="s">
        <v>73</v>
      </c>
      <c r="O20" s="29" t="s">
        <v>230</v>
      </c>
      <c r="Q20" s="48"/>
    </row>
    <row r="21" spans="1:17" ht="13.15" x14ac:dyDescent="0.4">
      <c r="A21" s="127">
        <f>A20/A19*A16</f>
        <v>4999.5673523102923</v>
      </c>
      <c r="B21" s="29" t="s">
        <v>231</v>
      </c>
      <c r="C21" s="29" t="s">
        <v>232</v>
      </c>
      <c r="D21" s="124"/>
      <c r="F21" s="127">
        <f>F20/F19*F16</f>
        <v>4127.272906860424</v>
      </c>
      <c r="G21" s="29" t="s">
        <v>231</v>
      </c>
      <c r="H21" s="29" t="s">
        <v>232</v>
      </c>
      <c r="J21" s="48"/>
      <c r="M21" s="127">
        <f>M20/M19*M16</f>
        <v>2083.4227842055566</v>
      </c>
      <c r="N21" s="29" t="s">
        <v>231</v>
      </c>
      <c r="O21" s="29" t="s">
        <v>232</v>
      </c>
      <c r="Q21" s="48"/>
    </row>
    <row r="22" spans="1:17" x14ac:dyDescent="0.35">
      <c r="A22" s="41"/>
      <c r="D22" s="48"/>
      <c r="F22" s="128">
        <f>F20*F15</f>
        <v>412727.2906860424</v>
      </c>
      <c r="H22" t="s">
        <v>233</v>
      </c>
      <c r="J22" s="48"/>
      <c r="M22" s="128">
        <f>M20*M15</f>
        <v>416684.55684111128</v>
      </c>
      <c r="O22" t="s">
        <v>233</v>
      </c>
      <c r="Q22" s="48"/>
    </row>
    <row r="23" spans="1:17" x14ac:dyDescent="0.35">
      <c r="A23" s="41"/>
      <c r="D23" s="48"/>
      <c r="F23" s="128">
        <f>F21/F16*F18*1000</f>
        <v>137.57576356201415</v>
      </c>
      <c r="G23" t="s">
        <v>53</v>
      </c>
      <c r="H23" t="s">
        <v>234</v>
      </c>
      <c r="J23" s="48"/>
      <c r="M23" s="128">
        <f>M21/M16*M18*1000</f>
        <v>208.34227842055566</v>
      </c>
      <c r="N23" t="s">
        <v>53</v>
      </c>
      <c r="O23" t="s">
        <v>234</v>
      </c>
      <c r="Q23" s="48"/>
    </row>
    <row r="24" spans="1:17" x14ac:dyDescent="0.35">
      <c r="A24" s="41"/>
      <c r="D24" s="48"/>
      <c r="F24" s="128">
        <f>F23-F18*1000</f>
        <v>37.575763562014146</v>
      </c>
      <c r="G24" t="s">
        <v>53</v>
      </c>
      <c r="H24" t="s">
        <v>235</v>
      </c>
      <c r="J24" s="48"/>
      <c r="M24" s="128">
        <f>M23-M18*1000</f>
        <v>8.3422784205556582</v>
      </c>
      <c r="N24" t="s">
        <v>53</v>
      </c>
      <c r="O24" t="s">
        <v>235</v>
      </c>
      <c r="Q24" s="48"/>
    </row>
    <row r="25" spans="1:17" x14ac:dyDescent="0.35">
      <c r="A25" s="41"/>
      <c r="D25" s="48"/>
      <c r="F25" s="41"/>
      <c r="J25" s="48"/>
      <c r="M25" s="41"/>
      <c r="Q25" s="48"/>
    </row>
    <row r="26" spans="1:17" x14ac:dyDescent="0.35">
      <c r="A26" s="41"/>
      <c r="D26" s="48"/>
      <c r="F26" s="41"/>
      <c r="J26" s="48"/>
      <c r="M26" s="41"/>
      <c r="Q26" s="48"/>
    </row>
    <row r="27" spans="1:17" x14ac:dyDescent="0.35">
      <c r="A27" s="41" t="s">
        <v>209</v>
      </c>
      <c r="D27" s="48"/>
      <c r="F27" s="41" t="s">
        <v>209</v>
      </c>
      <c r="J27" s="48"/>
      <c r="M27" s="41" t="s">
        <v>209</v>
      </c>
      <c r="Q27" s="48"/>
    </row>
    <row r="28" spans="1:17" x14ac:dyDescent="0.35">
      <c r="A28" s="41">
        <v>100</v>
      </c>
      <c r="B28" t="s">
        <v>53</v>
      </c>
      <c r="C28" t="s">
        <v>236</v>
      </c>
      <c r="D28" s="48"/>
      <c r="F28" s="41">
        <v>100</v>
      </c>
      <c r="G28" t="s">
        <v>53</v>
      </c>
      <c r="H28" t="s">
        <v>236</v>
      </c>
      <c r="J28" s="48"/>
      <c r="M28" s="41">
        <v>100</v>
      </c>
      <c r="N28" t="s">
        <v>53</v>
      </c>
      <c r="O28" t="s">
        <v>236</v>
      </c>
      <c r="Q28" s="48"/>
    </row>
    <row r="29" spans="1:17" x14ac:dyDescent="0.35">
      <c r="A29" s="41">
        <v>300</v>
      </c>
      <c r="B29" t="s">
        <v>38</v>
      </c>
      <c r="C29" t="s">
        <v>237</v>
      </c>
      <c r="D29" s="48"/>
      <c r="F29" s="41">
        <v>300</v>
      </c>
      <c r="G29" t="s">
        <v>38</v>
      </c>
      <c r="H29" t="s">
        <v>238</v>
      </c>
      <c r="J29" s="48"/>
      <c r="M29" s="41">
        <v>300</v>
      </c>
      <c r="N29" t="s">
        <v>38</v>
      </c>
      <c r="O29" t="s">
        <v>238</v>
      </c>
      <c r="Q29" s="48"/>
    </row>
    <row r="30" spans="1:17" x14ac:dyDescent="0.35">
      <c r="A30" s="41">
        <f>A28*A29</f>
        <v>30000</v>
      </c>
      <c r="B30" t="s">
        <v>239</v>
      </c>
      <c r="C30" t="s">
        <v>240</v>
      </c>
      <c r="D30" s="48"/>
      <c r="F30" s="41">
        <f>F28*F29</f>
        <v>30000</v>
      </c>
      <c r="G30" t="s">
        <v>239</v>
      </c>
      <c r="H30" t="s">
        <v>240</v>
      </c>
      <c r="J30" s="48"/>
      <c r="M30" s="41">
        <f>M28*M29</f>
        <v>30000</v>
      </c>
      <c r="N30" t="s">
        <v>239</v>
      </c>
      <c r="O30" t="s">
        <v>240</v>
      </c>
      <c r="Q30" s="48"/>
    </row>
    <row r="31" spans="1:17" x14ac:dyDescent="0.35">
      <c r="A31" s="128">
        <f>A30/A21</f>
        <v>6.0005192221557024</v>
      </c>
      <c r="B31" t="s">
        <v>53</v>
      </c>
      <c r="C31" t="s">
        <v>241</v>
      </c>
      <c r="D31" s="48"/>
      <c r="F31" s="128">
        <f>F30/F21</f>
        <v>7.2687221506805342</v>
      </c>
      <c r="G31" t="s">
        <v>53</v>
      </c>
      <c r="H31" t="s">
        <v>241</v>
      </c>
      <c r="J31" s="48"/>
      <c r="M31" s="128">
        <f>M30/M21</f>
        <v>14.399381742116972</v>
      </c>
      <c r="N31" t="s">
        <v>53</v>
      </c>
      <c r="O31" t="s">
        <v>241</v>
      </c>
      <c r="Q31" s="48"/>
    </row>
    <row r="32" spans="1:17" x14ac:dyDescent="0.35">
      <c r="A32" s="128">
        <f>A28-A31</f>
        <v>93.999480777844298</v>
      </c>
      <c r="B32" t="s">
        <v>53</v>
      </c>
      <c r="C32" t="s">
        <v>242</v>
      </c>
      <c r="D32" s="48"/>
      <c r="F32" s="128">
        <f>F28-F31</f>
        <v>92.731277849319468</v>
      </c>
      <c r="G32" t="s">
        <v>53</v>
      </c>
      <c r="H32" t="s">
        <v>242</v>
      </c>
      <c r="J32" s="48"/>
      <c r="M32" s="128">
        <f>M28-M31</f>
        <v>85.600618257883028</v>
      </c>
      <c r="N32" t="s">
        <v>53</v>
      </c>
      <c r="O32" t="s">
        <v>242</v>
      </c>
      <c r="Q32" s="48"/>
    </row>
    <row r="33" spans="1:17" x14ac:dyDescent="0.35">
      <c r="A33" s="41"/>
      <c r="D33" s="48"/>
      <c r="F33" s="41"/>
      <c r="J33" s="48"/>
      <c r="M33" s="41"/>
      <c r="Q33" s="48"/>
    </row>
    <row r="34" spans="1:17" x14ac:dyDescent="0.35">
      <c r="A34" s="50"/>
      <c r="B34" s="51"/>
      <c r="C34" s="51"/>
      <c r="D34" s="103"/>
      <c r="F34" s="50"/>
      <c r="G34" s="51"/>
      <c r="H34" s="51"/>
      <c r="I34" s="51"/>
      <c r="J34" s="103"/>
      <c r="M34" s="50"/>
      <c r="N34" s="51"/>
      <c r="O34" s="51"/>
      <c r="P34" s="51"/>
      <c r="Q34" s="103"/>
    </row>
    <row r="37" spans="1:17" ht="13.15" x14ac:dyDescent="0.4">
      <c r="A37" s="8" t="s">
        <v>243</v>
      </c>
    </row>
    <row r="39" spans="1:17" x14ac:dyDescent="0.35">
      <c r="F39" s="32"/>
    </row>
    <row r="40" spans="1:17" ht="13.15" x14ac:dyDescent="0.4">
      <c r="A40" t="s">
        <v>244</v>
      </c>
      <c r="C40" s="8">
        <f>A12</f>
        <v>49.4</v>
      </c>
      <c r="D40" t="s">
        <v>245</v>
      </c>
      <c r="G40" s="8">
        <f>F12</f>
        <v>39</v>
      </c>
      <c r="H40" t="s">
        <v>245</v>
      </c>
      <c r="N40" s="8">
        <v>70</v>
      </c>
    </row>
    <row r="42" spans="1:17" ht="13.15" x14ac:dyDescent="0.4">
      <c r="A42" t="s">
        <v>246</v>
      </c>
      <c r="B42" s="129">
        <f>0.56*C42</f>
        <v>8736</v>
      </c>
      <c r="C42" s="130">
        <v>15600</v>
      </c>
      <c r="D42" s="131">
        <f>1.56*C42</f>
        <v>24336</v>
      </c>
      <c r="F42" s="129">
        <f>0.56*G42</f>
        <v>5600.0000000000009</v>
      </c>
      <c r="G42" s="130">
        <v>10000</v>
      </c>
      <c r="H42" s="131">
        <f>1.56*G42</f>
        <v>15600</v>
      </c>
      <c r="M42" s="129">
        <f>0.56*N42</f>
        <v>14000.000000000002</v>
      </c>
      <c r="N42" s="130">
        <v>25000</v>
      </c>
      <c r="O42" s="131">
        <f>1.56*N42</f>
        <v>39000</v>
      </c>
    </row>
    <row r="43" spans="1:17" x14ac:dyDescent="0.35">
      <c r="A43" t="s">
        <v>247</v>
      </c>
      <c r="B43" s="50">
        <v>41252</v>
      </c>
      <c r="C43" s="51">
        <v>20600</v>
      </c>
      <c r="D43" s="103">
        <v>92</v>
      </c>
      <c r="F43" s="50">
        <v>43502</v>
      </c>
      <c r="G43" s="51">
        <v>21877</v>
      </c>
      <c r="H43" s="103">
        <v>134</v>
      </c>
      <c r="M43" s="50">
        <v>20135</v>
      </c>
      <c r="N43" s="51">
        <v>10070</v>
      </c>
      <c r="O43" s="103">
        <v>0</v>
      </c>
    </row>
    <row r="44" spans="1:17" x14ac:dyDescent="0.35">
      <c r="A44" t="s">
        <v>248</v>
      </c>
      <c r="B44" s="132">
        <v>13047</v>
      </c>
      <c r="C44" s="132">
        <v>13354</v>
      </c>
      <c r="D44" s="132">
        <f>D43-L43</f>
        <v>92</v>
      </c>
      <c r="F44" s="132">
        <f>F43-G43</f>
        <v>21625</v>
      </c>
      <c r="G44" s="132">
        <f>G43-H43</f>
        <v>21743</v>
      </c>
      <c r="H44" s="132">
        <f>H43-P43</f>
        <v>134</v>
      </c>
      <c r="M44" s="132">
        <f>M43-N43</f>
        <v>10065</v>
      </c>
      <c r="N44" s="132">
        <f>N43-O43</f>
        <v>10070</v>
      </c>
      <c r="O44" s="132">
        <f>O43-B43</f>
        <v>-41252</v>
      </c>
    </row>
    <row r="46" spans="1:17" ht="13.15" x14ac:dyDescent="0.4">
      <c r="A46" t="s">
        <v>249</v>
      </c>
      <c r="B46" s="133">
        <f>(1-B44/C44)</f>
        <v>2.2989366481952933E-2</v>
      </c>
      <c r="F46" s="133">
        <f>(1-F44/G44)</f>
        <v>5.4270339879501917E-3</v>
      </c>
      <c r="M46" s="133">
        <f>(1-M44/N44)</f>
        <v>4.9652432969216065E-4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J44"/>
  <sheetViews>
    <sheetView zoomScale="85" zoomScaleNormal="85" workbookViewId="0">
      <selection sqref="A1:B1"/>
    </sheetView>
  </sheetViews>
  <sheetFormatPr defaultColWidth="11.53125" defaultRowHeight="12.75" x14ac:dyDescent="0.35"/>
  <sheetData>
    <row r="1" spans="1:4" ht="14.25" x14ac:dyDescent="0.45">
      <c r="A1" s="172" t="s">
        <v>250</v>
      </c>
      <c r="B1" s="172"/>
      <c r="C1" s="172" t="s">
        <v>251</v>
      </c>
      <c r="D1" s="172"/>
    </row>
    <row r="2" spans="1:4" ht="92.85" customHeight="1" x14ac:dyDescent="0.45">
      <c r="A2" s="173" t="s">
        <v>252</v>
      </c>
      <c r="B2" s="173"/>
      <c r="C2" s="173" t="s">
        <v>253</v>
      </c>
      <c r="D2" s="173"/>
    </row>
    <row r="3" spans="1:4" ht="57" x14ac:dyDescent="0.45">
      <c r="A3" s="134" t="s">
        <v>254</v>
      </c>
      <c r="B3" s="135" t="s">
        <v>255</v>
      </c>
      <c r="C3" s="134" t="s">
        <v>206</v>
      </c>
      <c r="D3" s="136" t="s">
        <v>208</v>
      </c>
    </row>
    <row r="4" spans="1:4" ht="14.25" x14ac:dyDescent="0.45">
      <c r="A4" s="1" t="s">
        <v>213</v>
      </c>
      <c r="B4" s="136" t="s">
        <v>211</v>
      </c>
      <c r="C4" s="1" t="s">
        <v>213</v>
      </c>
      <c r="D4" s="136" t="s">
        <v>211</v>
      </c>
    </row>
    <row r="5" spans="1:4" ht="13.15" x14ac:dyDescent="0.4">
      <c r="A5">
        <v>4</v>
      </c>
      <c r="B5" s="45">
        <f>'6 - Interpolated Thresholds'!$M4</f>
        <v>82.073469253997629</v>
      </c>
      <c r="C5" s="8">
        <v>4</v>
      </c>
      <c r="D5" s="66">
        <f>CubicSpline(C5,$A$5:$A$107,$B$5:$B$107)</f>
        <v>82.073469253997644</v>
      </c>
    </row>
    <row r="6" spans="1:4" ht="13.15" x14ac:dyDescent="0.4">
      <c r="A6">
        <v>5</v>
      </c>
      <c r="B6" s="45">
        <f>'6 - Interpolated Thresholds'!$M5</f>
        <v>128.08160383269302</v>
      </c>
      <c r="C6">
        <v>5</v>
      </c>
      <c r="D6" s="66">
        <f t="shared" ref="D6:D34" si="0">CubicSpline(C6,$A$5:$A$107,$B$5:$B$107)</f>
        <v>128.08160383269302</v>
      </c>
    </row>
    <row r="7" spans="1:4" ht="13.15" x14ac:dyDescent="0.4">
      <c r="A7">
        <v>6</v>
      </c>
      <c r="B7" s="45">
        <f>'6 - Interpolated Thresholds'!$M6</f>
        <v>188.12508270942803</v>
      </c>
      <c r="C7" s="8">
        <v>6</v>
      </c>
      <c r="D7" s="66">
        <f t="shared" si="0"/>
        <v>188.12508270942806</v>
      </c>
    </row>
    <row r="8" spans="1:4" ht="13.15" x14ac:dyDescent="0.4">
      <c r="A8">
        <v>7</v>
      </c>
      <c r="B8" s="45">
        <f>'6 - Interpolated Thresholds'!$M7</f>
        <v>257.67467064568547</v>
      </c>
      <c r="C8">
        <v>7</v>
      </c>
      <c r="D8" s="66">
        <f t="shared" si="0"/>
        <v>257.67467064568558</v>
      </c>
    </row>
    <row r="9" spans="1:4" ht="13.15" x14ac:dyDescent="0.4">
      <c r="A9">
        <v>8</v>
      </c>
      <c r="B9" s="45">
        <f>'6 - Interpolated Thresholds'!$M8</f>
        <v>327.28334558185634</v>
      </c>
      <c r="C9">
        <v>8</v>
      </c>
      <c r="D9" s="66">
        <f t="shared" si="0"/>
        <v>327.28334558185634</v>
      </c>
    </row>
    <row r="10" spans="1:4" ht="13.15" x14ac:dyDescent="0.4">
      <c r="A10">
        <v>9</v>
      </c>
      <c r="B10" s="45">
        <f>'6 - Interpolated Thresholds'!$M9</f>
        <v>409.70314664424626</v>
      </c>
      <c r="C10">
        <v>9</v>
      </c>
      <c r="D10" s="66">
        <f t="shared" si="0"/>
        <v>409.70314664424626</v>
      </c>
    </row>
    <row r="11" spans="1:4" ht="13.15" x14ac:dyDescent="0.4">
      <c r="A11">
        <v>10</v>
      </c>
      <c r="B11" s="45">
        <f>'6 - Interpolated Thresholds'!$M10</f>
        <v>511.48655726372169</v>
      </c>
      <c r="C11">
        <v>10</v>
      </c>
      <c r="D11" s="66">
        <f t="shared" si="0"/>
        <v>511.48655726372147</v>
      </c>
    </row>
    <row r="12" spans="1:4" ht="13.15" x14ac:dyDescent="0.4">
      <c r="A12">
        <v>11</v>
      </c>
      <c r="B12" s="45">
        <f>'6 - Interpolated Thresholds'!$M11</f>
        <v>625.101247445627</v>
      </c>
      <c r="C12">
        <v>11</v>
      </c>
      <c r="D12" s="66">
        <f t="shared" si="0"/>
        <v>625.101247445627</v>
      </c>
    </row>
    <row r="13" spans="1:4" ht="13.15" x14ac:dyDescent="0.4">
      <c r="A13">
        <v>12</v>
      </c>
      <c r="B13" s="45">
        <f>'6 - Interpolated Thresholds'!$M12</f>
        <v>741.54030068396537</v>
      </c>
      <c r="C13">
        <v>12</v>
      </c>
      <c r="D13" s="66">
        <f t="shared" si="0"/>
        <v>741.54030068396514</v>
      </c>
    </row>
    <row r="14" spans="1:4" ht="13.15" x14ac:dyDescent="0.4">
      <c r="A14">
        <v>13</v>
      </c>
      <c r="B14" s="45">
        <f>'6 - Interpolated Thresholds'!$M13</f>
        <v>870.17058804949806</v>
      </c>
      <c r="C14">
        <v>13</v>
      </c>
      <c r="D14" s="66">
        <f t="shared" si="0"/>
        <v>870.17058804949784</v>
      </c>
    </row>
    <row r="15" spans="1:4" ht="13.15" x14ac:dyDescent="0.4">
      <c r="A15">
        <v>14</v>
      </c>
      <c r="B15" s="45">
        <f>'6 - Interpolated Thresholds'!$M14</f>
        <v>1009.164345538766</v>
      </c>
      <c r="C15" s="8">
        <v>14</v>
      </c>
      <c r="D15" s="66">
        <f t="shared" si="0"/>
        <v>1009.1643455387659</v>
      </c>
    </row>
    <row r="16" spans="1:4" ht="13.15" x14ac:dyDescent="0.4">
      <c r="A16">
        <v>15</v>
      </c>
      <c r="B16" s="45">
        <f>'6 - Interpolated Thresholds'!$M15</f>
        <v>1150.6065382645406</v>
      </c>
      <c r="C16">
        <v>15</v>
      </c>
      <c r="D16" s="66">
        <f t="shared" si="0"/>
        <v>1150.6065382645406</v>
      </c>
    </row>
    <row r="17" spans="1:36" ht="13.15" x14ac:dyDescent="0.4">
      <c r="A17">
        <v>16</v>
      </c>
      <c r="B17" s="45">
        <f>'6 - Interpolated Thresholds'!$M16</f>
        <v>1295.1328707953439</v>
      </c>
      <c r="C17">
        <v>16</v>
      </c>
      <c r="D17" s="66">
        <f t="shared" si="0"/>
        <v>1295.1328707953439</v>
      </c>
    </row>
    <row r="18" spans="1:36" ht="13.15" x14ac:dyDescent="0.4">
      <c r="A18">
        <v>17</v>
      </c>
      <c r="B18" s="45">
        <f>'6 - Interpolated Thresholds'!$M17</f>
        <v>1440.5607245557028</v>
      </c>
      <c r="C18">
        <v>17</v>
      </c>
      <c r="D18" s="66">
        <f t="shared" si="0"/>
        <v>1440.5607245557023</v>
      </c>
    </row>
    <row r="19" spans="1:36" ht="13.15" x14ac:dyDescent="0.4">
      <c r="A19">
        <v>18</v>
      </c>
      <c r="B19" s="45">
        <f>'6 - Interpolated Thresholds'!$M18</f>
        <v>1588.7239706019923</v>
      </c>
      <c r="C19">
        <v>18</v>
      </c>
      <c r="D19" s="66">
        <f t="shared" si="0"/>
        <v>1588.7239706019909</v>
      </c>
    </row>
    <row r="20" spans="1:36" ht="13.15" x14ac:dyDescent="0.4">
      <c r="A20">
        <v>19</v>
      </c>
      <c r="B20" s="45">
        <f>'6 - Interpolated Thresholds'!$M19</f>
        <v>1750.7872251435726</v>
      </c>
      <c r="C20">
        <v>19</v>
      </c>
      <c r="D20" s="66">
        <f t="shared" si="0"/>
        <v>1750.7872251435726</v>
      </c>
    </row>
    <row r="21" spans="1:36" ht="13.15" x14ac:dyDescent="0.4">
      <c r="A21">
        <v>20</v>
      </c>
      <c r="B21" s="45">
        <f>'6 - Interpolated Thresholds'!$M20</f>
        <v>1929.6214567215673</v>
      </c>
      <c r="C21">
        <v>20</v>
      </c>
      <c r="D21" s="66">
        <f t="shared" si="0"/>
        <v>1929.6214567215657</v>
      </c>
      <c r="F21" t="s">
        <v>316</v>
      </c>
      <c r="G21">
        <v>4</v>
      </c>
      <c r="H21">
        <v>5</v>
      </c>
      <c r="I21">
        <v>6</v>
      </c>
      <c r="J21">
        <v>7</v>
      </c>
      <c r="K21">
        <v>8</v>
      </c>
      <c r="L21">
        <v>9</v>
      </c>
      <c r="M21">
        <v>10</v>
      </c>
      <c r="N21">
        <v>11</v>
      </c>
      <c r="O21">
        <v>12</v>
      </c>
      <c r="P21">
        <v>13</v>
      </c>
      <c r="Q21">
        <v>14</v>
      </c>
      <c r="R21">
        <v>15</v>
      </c>
      <c r="S21">
        <v>16</v>
      </c>
      <c r="T21">
        <v>17</v>
      </c>
      <c r="U21">
        <v>18</v>
      </c>
      <c r="V21">
        <v>19</v>
      </c>
      <c r="W21">
        <v>20</v>
      </c>
      <c r="X21">
        <v>21</v>
      </c>
      <c r="Y21">
        <v>22</v>
      </c>
      <c r="Z21">
        <v>23</v>
      </c>
      <c r="AA21">
        <v>24</v>
      </c>
      <c r="AB21">
        <v>25</v>
      </c>
      <c r="AC21">
        <v>26</v>
      </c>
      <c r="AD21">
        <v>27</v>
      </c>
      <c r="AE21">
        <v>28</v>
      </c>
      <c r="AF21">
        <v>29</v>
      </c>
      <c r="AG21">
        <v>30</v>
      </c>
      <c r="AH21">
        <v>38</v>
      </c>
      <c r="AI21">
        <v>50</v>
      </c>
      <c r="AJ21">
        <v>70</v>
      </c>
    </row>
    <row r="22" spans="1:36" ht="13.15" x14ac:dyDescent="0.4">
      <c r="A22">
        <v>21</v>
      </c>
      <c r="B22" s="45">
        <f>'6 - Interpolated Thresholds'!$M21</f>
        <v>2133.6963622757071</v>
      </c>
      <c r="C22" s="8">
        <v>21</v>
      </c>
      <c r="D22" s="66">
        <f t="shared" si="0"/>
        <v>2133.6963622757066</v>
      </c>
      <c r="G22" s="45">
        <f>'6 - Calibration Curve'!$D$5</f>
        <v>82.073469253997644</v>
      </c>
      <c r="H22" s="45">
        <f>'6 - Calibration Curve'!$D$6</f>
        <v>128.08160383269302</v>
      </c>
      <c r="I22" s="45">
        <f>'6 - Calibration Curve'!$D$7</f>
        <v>188.12508270942806</v>
      </c>
      <c r="J22" s="45">
        <f>'6 - Calibration Curve'!$D$8</f>
        <v>257.67467064568558</v>
      </c>
      <c r="K22" s="45">
        <f>'6 - Calibration Curve'!$D$9</f>
        <v>327.28334558185634</v>
      </c>
      <c r="L22" s="45">
        <f>'6 - Calibration Curve'!$D$10</f>
        <v>409.70314664424626</v>
      </c>
      <c r="M22" s="45">
        <f>'6 - Calibration Curve'!$D$11</f>
        <v>511.48655726372147</v>
      </c>
      <c r="N22" s="45">
        <f>'6 - Calibration Curve'!$D$12</f>
        <v>625.101247445627</v>
      </c>
      <c r="O22" s="45">
        <f>'6 - Calibration Curve'!$D$13</f>
        <v>741.54030068396514</v>
      </c>
      <c r="P22" s="45">
        <f>'6 - Calibration Curve'!$D$14</f>
        <v>870.17058804949784</v>
      </c>
      <c r="Q22" s="45">
        <f>'6 - Calibration Curve'!$D$15</f>
        <v>1009.1643455387659</v>
      </c>
      <c r="R22" s="45">
        <f>'6 - Calibration Curve'!$D$16</f>
        <v>1150.6065382645406</v>
      </c>
      <c r="S22" s="45">
        <f>'6 - Calibration Curve'!$D$17</f>
        <v>1295.1328707953439</v>
      </c>
      <c r="T22" s="45">
        <f>'6 - Calibration Curve'!$D$18</f>
        <v>1440.5607245557023</v>
      </c>
      <c r="U22" s="45">
        <f>'6 - Calibration Curve'!$D$19</f>
        <v>1588.7239706019909</v>
      </c>
      <c r="V22" s="45">
        <f>'6 - Calibration Curve'!$D$20</f>
        <v>1750.7872251435726</v>
      </c>
      <c r="W22" s="45">
        <f>'6 - Calibration Curve'!$D$21</f>
        <v>1929.6214567215657</v>
      </c>
      <c r="X22" s="45">
        <f>'6 - Calibration Curve'!$D$22</f>
        <v>2133.6963622757066</v>
      </c>
      <c r="Y22" s="45">
        <f>'6 - Calibration Curve'!$D$23</f>
        <v>2354.2940399815961</v>
      </c>
      <c r="Z22" s="45">
        <f>'6 - Calibration Curve'!$D$24</f>
        <v>2603.2431873747382</v>
      </c>
      <c r="AA22" s="45">
        <f>'6 - Calibration Curve'!$D$25</f>
        <v>2911.1910136657534</v>
      </c>
      <c r="AB22" s="45">
        <f>'6 - Calibration Curve'!$D$26</f>
        <v>3220.7839437034909</v>
      </c>
      <c r="AC22" s="45">
        <f>'6 - Calibration Curve'!$D$27</f>
        <v>3526.528598661951</v>
      </c>
      <c r="AD22" s="45">
        <f>'6 - Calibration Curve'!$D$28</f>
        <v>3872.1237307360325</v>
      </c>
      <c r="AE22" s="45">
        <f>'6 - Calibration Curve'!$D$29</f>
        <v>4248.9831060737379</v>
      </c>
      <c r="AF22" s="45">
        <f>'6 - Calibration Curve'!$D$30</f>
        <v>4666.4338273163894</v>
      </c>
      <c r="AG22" s="45">
        <f>'6 - Calibration Curve'!$D$31</f>
        <v>5194.0028033521203</v>
      </c>
      <c r="AH22" s="45">
        <f>'6 - Calibration Curve'!$D$32</f>
        <v>9463.9254490832809</v>
      </c>
      <c r="AI22" s="45">
        <f>'6 - Calibration Curve'!$D$33</f>
        <v>15895.418171796442</v>
      </c>
      <c r="AJ22" s="45">
        <f>'6 - Calibration Curve'!$D$34</f>
        <v>24999.999999999996</v>
      </c>
    </row>
    <row r="23" spans="1:36" ht="13.15" x14ac:dyDescent="0.4">
      <c r="A23">
        <v>22</v>
      </c>
      <c r="B23" s="45">
        <f>'6 - Interpolated Thresholds'!$M22</f>
        <v>2354.2940399815943</v>
      </c>
      <c r="C23">
        <v>22</v>
      </c>
      <c r="D23" s="66">
        <f t="shared" si="0"/>
        <v>2354.2940399815961</v>
      </c>
      <c r="F23" s="160" t="s">
        <v>256</v>
      </c>
      <c r="G23" s="160">
        <f t="shared" ref="G23:AJ23" si="1">INT(G22+0.5)</f>
        <v>82</v>
      </c>
      <c r="H23" s="160">
        <f t="shared" si="1"/>
        <v>128</v>
      </c>
      <c r="I23" s="160">
        <f t="shared" si="1"/>
        <v>188</v>
      </c>
      <c r="J23" s="160">
        <f t="shared" si="1"/>
        <v>258</v>
      </c>
      <c r="K23" s="160">
        <f t="shared" si="1"/>
        <v>327</v>
      </c>
      <c r="L23" s="160">
        <f t="shared" si="1"/>
        <v>410</v>
      </c>
      <c r="M23" s="160">
        <f t="shared" si="1"/>
        <v>511</v>
      </c>
      <c r="N23" s="160">
        <f t="shared" si="1"/>
        <v>625</v>
      </c>
      <c r="O23" s="160">
        <f t="shared" si="1"/>
        <v>742</v>
      </c>
      <c r="P23" s="160">
        <f t="shared" si="1"/>
        <v>870</v>
      </c>
      <c r="Q23" s="160">
        <f t="shared" si="1"/>
        <v>1009</v>
      </c>
      <c r="R23" s="160">
        <f t="shared" si="1"/>
        <v>1151</v>
      </c>
      <c r="S23" s="160">
        <f t="shared" si="1"/>
        <v>1295</v>
      </c>
      <c r="T23" s="160">
        <f t="shared" si="1"/>
        <v>1441</v>
      </c>
      <c r="U23" s="160">
        <f t="shared" si="1"/>
        <v>1589</v>
      </c>
      <c r="V23" s="160">
        <f t="shared" si="1"/>
        <v>1751</v>
      </c>
      <c r="W23" s="160">
        <f t="shared" si="1"/>
        <v>1930</v>
      </c>
      <c r="X23" s="160">
        <f t="shared" si="1"/>
        <v>2134</v>
      </c>
      <c r="Y23" s="160">
        <f t="shared" si="1"/>
        <v>2354</v>
      </c>
      <c r="Z23" s="160">
        <f t="shared" si="1"/>
        <v>2603</v>
      </c>
      <c r="AA23" s="160">
        <f t="shared" si="1"/>
        <v>2911</v>
      </c>
      <c r="AB23" s="160">
        <f t="shared" si="1"/>
        <v>3221</v>
      </c>
      <c r="AC23" s="160">
        <f t="shared" si="1"/>
        <v>3527</v>
      </c>
      <c r="AD23" s="160">
        <f t="shared" si="1"/>
        <v>3872</v>
      </c>
      <c r="AE23" s="160">
        <f t="shared" si="1"/>
        <v>4249</v>
      </c>
      <c r="AF23" s="160">
        <f t="shared" si="1"/>
        <v>4666</v>
      </c>
      <c r="AG23" s="160">
        <f t="shared" si="1"/>
        <v>5194</v>
      </c>
      <c r="AH23" s="160">
        <f t="shared" si="1"/>
        <v>9464</v>
      </c>
      <c r="AI23" s="160">
        <f t="shared" si="1"/>
        <v>15895</v>
      </c>
      <c r="AJ23" s="160">
        <f t="shared" si="1"/>
        <v>25000</v>
      </c>
    </row>
    <row r="24" spans="1:36" ht="13.15" x14ac:dyDescent="0.4">
      <c r="A24">
        <v>23</v>
      </c>
      <c r="B24" s="45">
        <f>'6 - Interpolated Thresholds'!$M23</f>
        <v>2603.2431873747355</v>
      </c>
      <c r="C24">
        <v>23</v>
      </c>
      <c r="D24" s="66">
        <f t="shared" si="0"/>
        <v>2603.2431873747382</v>
      </c>
    </row>
    <row r="25" spans="1:36" ht="13.15" x14ac:dyDescent="0.4">
      <c r="A25">
        <v>24</v>
      </c>
      <c r="B25" s="45">
        <f>'6 - Interpolated Thresholds'!$M24</f>
        <v>2911.191013665758</v>
      </c>
      <c r="C25">
        <v>24</v>
      </c>
      <c r="D25" s="66">
        <f t="shared" si="0"/>
        <v>2911.1910136657534</v>
      </c>
    </row>
    <row r="26" spans="1:36" ht="13.15" x14ac:dyDescent="0.4">
      <c r="A26">
        <v>25</v>
      </c>
      <c r="B26" s="45">
        <f>'6 - Interpolated Thresholds'!$M25</f>
        <v>3220.7839437034918</v>
      </c>
      <c r="C26" s="8">
        <v>25</v>
      </c>
      <c r="D26" s="66">
        <f t="shared" si="0"/>
        <v>3220.7839437034909</v>
      </c>
    </row>
    <row r="27" spans="1:36" ht="13.15" x14ac:dyDescent="0.4">
      <c r="A27">
        <v>26</v>
      </c>
      <c r="B27" s="45">
        <f>'6 - Interpolated Thresholds'!$M26</f>
        <v>3526.5285986619438</v>
      </c>
      <c r="C27">
        <v>26</v>
      </c>
      <c r="D27" s="66">
        <f t="shared" si="0"/>
        <v>3526.528598661951</v>
      </c>
      <c r="F27" s="53">
        <v>10</v>
      </c>
      <c r="G27">
        <f>CubicSpline(F27, $A$5:$A$107, $B$5:$B$107)</f>
        <v>511.48655726372147</v>
      </c>
    </row>
    <row r="28" spans="1:36" ht="13.15" x14ac:dyDescent="0.4">
      <c r="A28">
        <v>27</v>
      </c>
      <c r="B28" s="45">
        <f>'6 - Interpolated Thresholds'!$M27</f>
        <v>3872.1237307360316</v>
      </c>
      <c r="C28">
        <v>27</v>
      </c>
      <c r="D28" s="66">
        <f t="shared" si="0"/>
        <v>3872.1237307360325</v>
      </c>
      <c r="F28" s="53">
        <v>11</v>
      </c>
      <c r="G28">
        <f>CubicSpline(F28, $A$5:$A$107, $B$5:$B$107)</f>
        <v>625.101247445627</v>
      </c>
    </row>
    <row r="29" spans="1:36" ht="13.15" x14ac:dyDescent="0.4">
      <c r="A29">
        <v>28</v>
      </c>
      <c r="B29" s="45">
        <f>'6 - Interpolated Thresholds'!$M28</f>
        <v>4248.9831060737397</v>
      </c>
      <c r="C29">
        <v>28</v>
      </c>
      <c r="D29" s="66">
        <f t="shared" si="0"/>
        <v>4248.9831060737379</v>
      </c>
      <c r="F29">
        <v>9</v>
      </c>
      <c r="G29">
        <f>CubicSpline(F29, $A$5:$A$107, $B$5:$B$107)</f>
        <v>409.70314664424626</v>
      </c>
    </row>
    <row r="30" spans="1:36" ht="13.15" x14ac:dyDescent="0.4">
      <c r="A30">
        <v>29</v>
      </c>
      <c r="B30" s="45">
        <f>'6 - Interpolated Thresholds'!$M29</f>
        <v>4666.4338273163703</v>
      </c>
      <c r="C30">
        <v>29</v>
      </c>
      <c r="D30" s="66">
        <f t="shared" si="0"/>
        <v>4666.4338273163894</v>
      </c>
    </row>
    <row r="31" spans="1:36" ht="13.15" x14ac:dyDescent="0.4">
      <c r="A31">
        <v>30</v>
      </c>
      <c r="B31" s="45">
        <f>'6 - Interpolated Thresholds'!$M30</f>
        <v>5194.0028033520566</v>
      </c>
      <c r="C31">
        <v>30</v>
      </c>
      <c r="D31" s="66">
        <f t="shared" si="0"/>
        <v>5194.0028033521203</v>
      </c>
    </row>
    <row r="32" spans="1:36" ht="13.15" x14ac:dyDescent="0.4">
      <c r="A32">
        <f>'Clause 6 - Spheres'!$G$40</f>
        <v>39</v>
      </c>
      <c r="B32">
        <f>'Clause 6 - Spheres'!$G$42</f>
        <v>10000</v>
      </c>
      <c r="C32" s="8">
        <v>38</v>
      </c>
      <c r="D32" s="66">
        <f t="shared" si="0"/>
        <v>9463.9254490832809</v>
      </c>
    </row>
    <row r="33" spans="1:4" ht="13.15" x14ac:dyDescent="0.4">
      <c r="A33">
        <f>'Clause 6 - Spheres'!$C$40</f>
        <v>49.4</v>
      </c>
      <c r="B33">
        <f>'Clause 6 - Spheres'!$C$42</f>
        <v>15600</v>
      </c>
      <c r="C33" s="8">
        <v>50</v>
      </c>
      <c r="D33" s="66">
        <f t="shared" si="0"/>
        <v>15895.418171796442</v>
      </c>
    </row>
    <row r="34" spans="1:4" ht="13.15" x14ac:dyDescent="0.4">
      <c r="A34">
        <f>'Clause 6 - Spheres'!$N$40</f>
        <v>70</v>
      </c>
      <c r="B34">
        <f>'Clause 6 - Spheres'!$N$42</f>
        <v>25000</v>
      </c>
      <c r="C34" s="8">
        <v>70</v>
      </c>
      <c r="D34" s="66">
        <f t="shared" si="0"/>
        <v>24999.999999999996</v>
      </c>
    </row>
    <row r="36" spans="1:4" ht="40.15" x14ac:dyDescent="0.35">
      <c r="A36" s="137" t="s">
        <v>257</v>
      </c>
    </row>
    <row r="39" spans="1:4" ht="13.15" x14ac:dyDescent="0.4">
      <c r="A39" t="s">
        <v>258</v>
      </c>
    </row>
    <row r="40" spans="1:4" ht="13.15" x14ac:dyDescent="0.4">
      <c r="A40" t="s">
        <v>259</v>
      </c>
    </row>
    <row r="41" spans="1:4" x14ac:dyDescent="0.35">
      <c r="A41" t="s">
        <v>260</v>
      </c>
    </row>
    <row r="42" spans="1:4" x14ac:dyDescent="0.35">
      <c r="A42" t="s">
        <v>261</v>
      </c>
    </row>
    <row r="44" spans="1:4" x14ac:dyDescent="0.35">
      <c r="A44" t="s">
        <v>262</v>
      </c>
    </row>
  </sheetData>
  <mergeCells count="4">
    <mergeCell ref="A1:B1"/>
    <mergeCell ref="C1:D1"/>
    <mergeCell ref="A2:B2"/>
    <mergeCell ref="C2:D2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W79"/>
  <sheetViews>
    <sheetView tabSelected="1" zoomScale="70" zoomScaleNormal="70" workbookViewId="0">
      <selection activeCell="U35" sqref="U35"/>
    </sheetView>
  </sheetViews>
  <sheetFormatPr defaultColWidth="11.53125" defaultRowHeight="12.75" x14ac:dyDescent="0.35"/>
  <sheetData>
    <row r="1" spans="1:49" x14ac:dyDescent="0.35">
      <c r="A1" t="s">
        <v>290</v>
      </c>
    </row>
    <row r="2" spans="1:49" ht="40.15" x14ac:dyDescent="1.05">
      <c r="O2" s="89" t="s">
        <v>291</v>
      </c>
    </row>
    <row r="4" spans="1:49" ht="40.15" x14ac:dyDescent="1.05">
      <c r="A4" s="8" t="s">
        <v>28</v>
      </c>
      <c r="O4" s="89" t="s">
        <v>101</v>
      </c>
    </row>
    <row r="5" spans="1:49" x14ac:dyDescent="0.35">
      <c r="O5" s="32">
        <v>45831</v>
      </c>
    </row>
    <row r="6" spans="1:49" ht="13.15" x14ac:dyDescent="0.4">
      <c r="A6" t="s">
        <v>292</v>
      </c>
      <c r="B6" s="8"/>
      <c r="C6" s="8"/>
      <c r="D6" s="8"/>
      <c r="E6" s="8"/>
      <c r="F6" s="8"/>
      <c r="O6" t="s">
        <v>293</v>
      </c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M7" s="76"/>
    </row>
    <row r="8" spans="1:49" ht="13.15" x14ac:dyDescent="0.4">
      <c r="A8" s="79" t="s">
        <v>153</v>
      </c>
      <c r="B8">
        <v>4.5820169999999996</v>
      </c>
      <c r="C8">
        <v>4.8921020000000004</v>
      </c>
      <c r="D8">
        <v>4.8155239999999999</v>
      </c>
      <c r="E8">
        <v>4.8971920000000004</v>
      </c>
      <c r="F8">
        <v>4.8588750000000003</v>
      </c>
      <c r="G8" s="92">
        <v>25.517626</v>
      </c>
      <c r="H8" s="92">
        <f>AVERAGE(B$8:F$8)*5</f>
        <v>24.045710000000003</v>
      </c>
      <c r="I8" s="93"/>
      <c r="K8" s="93"/>
    </row>
    <row r="9" spans="1:49" ht="13.15" x14ac:dyDescent="0.4">
      <c r="A9" s="97" t="s">
        <v>154</v>
      </c>
      <c r="B9" s="39">
        <v>27404</v>
      </c>
      <c r="C9" s="39">
        <v>29126</v>
      </c>
      <c r="D9" s="39">
        <v>28598</v>
      </c>
      <c r="E9" s="39">
        <v>29459</v>
      </c>
      <c r="F9" s="39">
        <v>29065</v>
      </c>
      <c r="G9" s="141">
        <f t="shared" ref="G9:G38" si="0">AVERAGE(B9:F9)/AVERAGE(B$8:F$8)</f>
        <v>5974.1217872127709</v>
      </c>
      <c r="H9" s="142">
        <f t="shared" ref="H9:H38" si="1">G9*H$8</f>
        <v>143652.00000000003</v>
      </c>
      <c r="I9" s="143">
        <f t="shared" ref="I9:I38" si="2">STDEVP(B9:F9)/AVERAGE(B9:F9)</f>
        <v>2.4983974537638228E-2</v>
      </c>
      <c r="J9" s="143">
        <f t="shared" ref="J9:J38" si="3">IF(H9&gt;$A$43, $C$43, IF(H9&gt;$A$44, $C$44, IF(H9&gt;$A$45,$C$45,IF(H9&gt;$A$46,$C$46, IF(H9&gt;$A$47,$C$47,IF(H9&gt;$A$48,$C$48,$C$49))))))/100</f>
        <v>0.11</v>
      </c>
      <c r="K9" s="143">
        <f t="shared" ref="K9:K38" si="4">(MAX(B9:F9)-MIN(B9:F9))/H9*5</f>
        <v>7.1527023640464441E-2</v>
      </c>
      <c r="M9" s="45"/>
    </row>
    <row r="10" spans="1:49" ht="13.15" x14ac:dyDescent="0.4">
      <c r="A10" s="79" t="s">
        <v>155</v>
      </c>
      <c r="B10">
        <v>15860</v>
      </c>
      <c r="C10">
        <v>16782</v>
      </c>
      <c r="D10">
        <v>16559</v>
      </c>
      <c r="E10">
        <v>17056</v>
      </c>
      <c r="F10">
        <v>16857</v>
      </c>
      <c r="G10" s="94">
        <f t="shared" si="0"/>
        <v>3456.5001407735513</v>
      </c>
      <c r="H10" s="95">
        <f t="shared" si="1"/>
        <v>83114</v>
      </c>
      <c r="I10" s="93">
        <f t="shared" si="2"/>
        <v>2.4859165953219856E-2</v>
      </c>
      <c r="J10" s="93">
        <f t="shared" si="3"/>
        <v>0.11</v>
      </c>
      <c r="K10" s="93">
        <f t="shared" si="4"/>
        <v>7.1949370743797675E-2</v>
      </c>
      <c r="M10" s="45"/>
    </row>
    <row r="11" spans="1:49" ht="13.15" x14ac:dyDescent="0.4">
      <c r="A11" s="79" t="s">
        <v>156</v>
      </c>
      <c r="B11">
        <v>8756</v>
      </c>
      <c r="C11">
        <v>9159</v>
      </c>
      <c r="D11">
        <v>8992</v>
      </c>
      <c r="E11">
        <v>9425</v>
      </c>
      <c r="F11">
        <v>9333</v>
      </c>
      <c r="G11" s="94">
        <f t="shared" si="0"/>
        <v>1899.0913555890008</v>
      </c>
      <c r="H11" s="95">
        <f t="shared" si="1"/>
        <v>45665</v>
      </c>
      <c r="I11" s="93">
        <f t="shared" si="2"/>
        <v>2.6276050121796082E-2</v>
      </c>
      <c r="J11" s="93">
        <f t="shared" si="3"/>
        <v>0.11</v>
      </c>
      <c r="K11" s="93">
        <f t="shared" si="4"/>
        <v>7.3250848571115731E-2</v>
      </c>
      <c r="M11" s="45"/>
    </row>
    <row r="12" spans="1:49" ht="13.15" x14ac:dyDescent="0.4">
      <c r="A12" s="79" t="s">
        <v>157</v>
      </c>
      <c r="B12">
        <v>4821</v>
      </c>
      <c r="C12">
        <v>5031</v>
      </c>
      <c r="D12">
        <v>4970</v>
      </c>
      <c r="E12">
        <v>5068</v>
      </c>
      <c r="F12">
        <v>5045</v>
      </c>
      <c r="G12" s="94">
        <f t="shared" si="0"/>
        <v>1036.9833121999723</v>
      </c>
      <c r="H12" s="95">
        <f t="shared" si="1"/>
        <v>24935</v>
      </c>
      <c r="I12" s="93">
        <f t="shared" si="2"/>
        <v>1.7869141946556106E-2</v>
      </c>
      <c r="J12" s="93">
        <f t="shared" si="3"/>
        <v>0.11</v>
      </c>
      <c r="K12" s="93">
        <f t="shared" si="4"/>
        <v>4.9528774814517749E-2</v>
      </c>
      <c r="M12" s="45"/>
    </row>
    <row r="13" spans="1:49" ht="13.15" x14ac:dyDescent="0.4">
      <c r="A13" s="79" t="s">
        <v>158</v>
      </c>
      <c r="B13">
        <v>2949</v>
      </c>
      <c r="C13">
        <v>3118</v>
      </c>
      <c r="D13">
        <v>3040</v>
      </c>
      <c r="E13">
        <v>3060</v>
      </c>
      <c r="F13">
        <v>3057</v>
      </c>
      <c r="G13" s="94">
        <f t="shared" si="0"/>
        <v>633.1274892693956</v>
      </c>
      <c r="H13" s="95">
        <f t="shared" si="1"/>
        <v>15224</v>
      </c>
      <c r="I13" s="93">
        <f t="shared" si="2"/>
        <v>1.7952051414077179E-2</v>
      </c>
      <c r="J13" s="93">
        <f t="shared" si="3"/>
        <v>0.11</v>
      </c>
      <c r="K13" s="93">
        <f t="shared" si="4"/>
        <v>5.5504466631634261E-2</v>
      </c>
      <c r="M13" s="45"/>
    </row>
    <row r="14" spans="1:49" ht="13.15" x14ac:dyDescent="0.4">
      <c r="A14" s="101" t="s">
        <v>159</v>
      </c>
      <c r="B14" s="51">
        <v>1886</v>
      </c>
      <c r="C14" s="51">
        <v>2001</v>
      </c>
      <c r="D14" s="51">
        <v>1884</v>
      </c>
      <c r="E14" s="51">
        <v>1876</v>
      </c>
      <c r="F14" s="51">
        <v>1914</v>
      </c>
      <c r="G14" s="144">
        <f t="shared" si="0"/>
        <v>397.61770394802232</v>
      </c>
      <c r="H14" s="145">
        <f t="shared" si="1"/>
        <v>9561.0000000000018</v>
      </c>
      <c r="I14" s="146">
        <f t="shared" si="2"/>
        <v>2.4170385404267889E-2</v>
      </c>
      <c r="J14" s="146">
        <f t="shared" si="3"/>
        <v>0.113</v>
      </c>
      <c r="K14" s="146">
        <f t="shared" si="4"/>
        <v>6.5369731199665299E-2</v>
      </c>
      <c r="M14" s="45"/>
    </row>
    <row r="15" spans="1:49" ht="13.15" x14ac:dyDescent="0.4">
      <c r="A15" s="79" t="s">
        <v>160</v>
      </c>
      <c r="B15">
        <v>1293</v>
      </c>
      <c r="C15">
        <v>1363</v>
      </c>
      <c r="D15">
        <v>1271</v>
      </c>
      <c r="E15">
        <v>1224</v>
      </c>
      <c r="F15">
        <v>1293</v>
      </c>
      <c r="G15" s="94">
        <f t="shared" si="0"/>
        <v>267.98959149054025</v>
      </c>
      <c r="H15" s="95">
        <f t="shared" si="1"/>
        <v>6443.9999999999991</v>
      </c>
      <c r="I15" s="93">
        <f t="shared" si="2"/>
        <v>3.4798408107703606E-2</v>
      </c>
      <c r="J15" s="93">
        <f t="shared" si="3"/>
        <v>0.113</v>
      </c>
      <c r="K15" s="93">
        <f t="shared" si="4"/>
        <v>0.10785226567349473</v>
      </c>
      <c r="M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>
        <v>977</v>
      </c>
      <c r="C16">
        <v>1047</v>
      </c>
      <c r="D16">
        <v>937</v>
      </c>
      <c r="E16">
        <v>884</v>
      </c>
      <c r="F16">
        <v>935</v>
      </c>
      <c r="G16" s="94">
        <f t="shared" si="0"/>
        <v>198.7880582440693</v>
      </c>
      <c r="H16" s="95">
        <f t="shared" si="1"/>
        <v>4780</v>
      </c>
      <c r="I16" s="93">
        <f t="shared" si="2"/>
        <v>5.6732760525464394E-2</v>
      </c>
      <c r="J16" s="93">
        <f t="shared" si="3"/>
        <v>0.11900000000000001</v>
      </c>
      <c r="K16" s="93">
        <f t="shared" si="4"/>
        <v>0.17050209205020922</v>
      </c>
      <c r="M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>
        <v>811</v>
      </c>
      <c r="C17">
        <v>855</v>
      </c>
      <c r="D17">
        <v>774</v>
      </c>
      <c r="E17">
        <v>729</v>
      </c>
      <c r="F17">
        <v>755</v>
      </c>
      <c r="G17" s="94">
        <f t="shared" si="0"/>
        <v>163.18919258362507</v>
      </c>
      <c r="H17" s="95">
        <f t="shared" si="1"/>
        <v>3923.9999999999995</v>
      </c>
      <c r="I17" s="93">
        <f t="shared" si="2"/>
        <v>5.6217936809890075E-2</v>
      </c>
      <c r="J17" s="93">
        <f t="shared" si="3"/>
        <v>0.11900000000000001</v>
      </c>
      <c r="K17" s="93">
        <f t="shared" si="4"/>
        <v>0.16055045871559634</v>
      </c>
      <c r="M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>
        <v>670</v>
      </c>
      <c r="C18">
        <v>723</v>
      </c>
      <c r="D18">
        <v>634</v>
      </c>
      <c r="E18">
        <v>604</v>
      </c>
      <c r="F18">
        <v>627</v>
      </c>
      <c r="G18" s="94">
        <f t="shared" si="0"/>
        <v>135.49194430108321</v>
      </c>
      <c r="H18" s="95">
        <f t="shared" si="1"/>
        <v>3258</v>
      </c>
      <c r="I18" s="93">
        <f t="shared" si="2"/>
        <v>6.3711379486849753E-2</v>
      </c>
      <c r="J18" s="93">
        <f t="shared" si="3"/>
        <v>0.11900000000000001</v>
      </c>
      <c r="K18" s="93">
        <f t="shared" si="4"/>
        <v>0.18262737875997542</v>
      </c>
      <c r="M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>
        <v>561</v>
      </c>
      <c r="C19">
        <v>607</v>
      </c>
      <c r="D19">
        <v>542</v>
      </c>
      <c r="E19">
        <v>513</v>
      </c>
      <c r="F19">
        <v>544</v>
      </c>
      <c r="G19" s="94">
        <f t="shared" si="0"/>
        <v>115.07250149818823</v>
      </c>
      <c r="H19" s="95">
        <f t="shared" si="1"/>
        <v>2767</v>
      </c>
      <c r="I19" s="93">
        <f t="shared" si="2"/>
        <v>5.5878443262184753E-2</v>
      </c>
      <c r="J19" s="93">
        <f t="shared" si="3"/>
        <v>0.11900000000000001</v>
      </c>
      <c r="K19" s="93">
        <f t="shared" si="4"/>
        <v>0.16985905312612937</v>
      </c>
      <c r="M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>
        <v>485</v>
      </c>
      <c r="C20">
        <v>518</v>
      </c>
      <c r="D20">
        <v>468</v>
      </c>
      <c r="E20">
        <v>441</v>
      </c>
      <c r="F20">
        <v>477</v>
      </c>
      <c r="G20" s="94">
        <f t="shared" si="0"/>
        <v>99.352441662150952</v>
      </c>
      <c r="H20" s="95">
        <f t="shared" si="1"/>
        <v>2389</v>
      </c>
      <c r="I20" s="93">
        <f t="shared" si="2"/>
        <v>5.2271217427757331E-2</v>
      </c>
      <c r="J20" s="93">
        <f t="shared" si="3"/>
        <v>0.11900000000000001</v>
      </c>
      <c r="K20" s="93">
        <f t="shared" si="4"/>
        <v>0.16115529510255339</v>
      </c>
      <c r="M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>
        <v>419</v>
      </c>
      <c r="C21">
        <v>458</v>
      </c>
      <c r="D21">
        <v>389</v>
      </c>
      <c r="E21">
        <v>389</v>
      </c>
      <c r="F21">
        <v>420</v>
      </c>
      <c r="G21" s="94">
        <f t="shared" si="0"/>
        <v>86.293979258670248</v>
      </c>
      <c r="H21" s="95">
        <f t="shared" si="1"/>
        <v>2075</v>
      </c>
      <c r="I21" s="93">
        <f t="shared" si="2"/>
        <v>6.1358312416006693E-2</v>
      </c>
      <c r="J21" s="93">
        <f t="shared" si="3"/>
        <v>0.11900000000000001</v>
      </c>
      <c r="K21" s="93">
        <f t="shared" si="4"/>
        <v>0.16626506024096382</v>
      </c>
      <c r="M21" s="45"/>
      <c r="O21" s="8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>
        <v>369</v>
      </c>
      <c r="C22">
        <v>403</v>
      </c>
      <c r="D22">
        <v>352</v>
      </c>
      <c r="E22">
        <v>351</v>
      </c>
      <c r="F22">
        <v>379</v>
      </c>
      <c r="G22" s="94">
        <f t="shared" si="0"/>
        <v>77.103150624373328</v>
      </c>
      <c r="H22" s="95">
        <f t="shared" si="1"/>
        <v>1854.0000000000002</v>
      </c>
      <c r="I22" s="93">
        <f t="shared" si="2"/>
        <v>5.1914603734696717E-2</v>
      </c>
      <c r="J22" s="93">
        <f t="shared" si="3"/>
        <v>0.13400000000000001</v>
      </c>
      <c r="K22" s="93">
        <f t="shared" si="4"/>
        <v>0.1402373247033441</v>
      </c>
      <c r="M22" s="45"/>
      <c r="O22" s="76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>
        <v>330</v>
      </c>
      <c r="C23">
        <v>357</v>
      </c>
      <c r="D23">
        <v>308</v>
      </c>
      <c r="E23">
        <v>313</v>
      </c>
      <c r="F23">
        <v>341</v>
      </c>
      <c r="G23" s="94">
        <f t="shared" si="0"/>
        <v>68.577721348215533</v>
      </c>
      <c r="H23" s="95">
        <f t="shared" si="1"/>
        <v>1649</v>
      </c>
      <c r="I23" s="93">
        <f t="shared" si="2"/>
        <v>5.462567871383163E-2</v>
      </c>
      <c r="J23" s="93">
        <f t="shared" si="3"/>
        <v>0.13400000000000001</v>
      </c>
      <c r="K23" s="93">
        <f t="shared" si="4"/>
        <v>0.1485748938750758</v>
      </c>
      <c r="M23" s="45"/>
      <c r="O23" s="7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>
        <v>294</v>
      </c>
      <c r="C24">
        <v>316</v>
      </c>
      <c r="D24">
        <v>275</v>
      </c>
      <c r="E24">
        <v>275</v>
      </c>
      <c r="F24">
        <v>306</v>
      </c>
      <c r="G24" s="94">
        <f t="shared" si="0"/>
        <v>60.967216189499077</v>
      </c>
      <c r="H24" s="95">
        <f t="shared" si="1"/>
        <v>1466</v>
      </c>
      <c r="I24" s="93">
        <f t="shared" si="2"/>
        <v>5.5976093421360555E-2</v>
      </c>
      <c r="J24" s="93">
        <f t="shared" si="3"/>
        <v>0.13400000000000001</v>
      </c>
      <c r="K24" s="93">
        <f t="shared" si="4"/>
        <v>0.13983628922237379</v>
      </c>
      <c r="M24" s="45"/>
      <c r="O24" s="76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>
        <v>258</v>
      </c>
      <c r="C25">
        <v>275</v>
      </c>
      <c r="D25">
        <v>239</v>
      </c>
      <c r="E25">
        <v>233</v>
      </c>
      <c r="F25">
        <v>269</v>
      </c>
      <c r="G25" s="94">
        <f t="shared" si="0"/>
        <v>52.982423891829349</v>
      </c>
      <c r="H25" s="95">
        <f t="shared" si="1"/>
        <v>1274</v>
      </c>
      <c r="I25" s="93">
        <f t="shared" si="2"/>
        <v>6.436420722135007E-2</v>
      </c>
      <c r="J25" s="93">
        <f t="shared" si="3"/>
        <v>0.13400000000000001</v>
      </c>
      <c r="K25" s="93">
        <f t="shared" si="4"/>
        <v>0.16483516483516483</v>
      </c>
      <c r="M25" s="45"/>
      <c r="O25" s="7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>
        <v>216</v>
      </c>
      <c r="C26">
        <v>251</v>
      </c>
      <c r="D26">
        <v>208</v>
      </c>
      <c r="E26">
        <v>207</v>
      </c>
      <c r="F26">
        <v>228</v>
      </c>
      <c r="G26" s="94">
        <f t="shared" si="0"/>
        <v>46.16208047090312</v>
      </c>
      <c r="H26" s="95">
        <f t="shared" si="1"/>
        <v>1110</v>
      </c>
      <c r="I26" s="93">
        <f t="shared" si="2"/>
        <v>7.3576637798542052E-2</v>
      </c>
      <c r="J26" s="93">
        <f t="shared" si="3"/>
        <v>0.13400000000000001</v>
      </c>
      <c r="K26" s="93">
        <f t="shared" si="4"/>
        <v>0.19819819819819817</v>
      </c>
      <c r="M26" s="45"/>
    </row>
    <row r="27" spans="1:49" ht="13.15" x14ac:dyDescent="0.4">
      <c r="A27" s="79" t="s">
        <v>172</v>
      </c>
      <c r="B27">
        <v>182</v>
      </c>
      <c r="C27">
        <v>217</v>
      </c>
      <c r="D27">
        <v>177</v>
      </c>
      <c r="E27">
        <v>184</v>
      </c>
      <c r="F27">
        <v>196</v>
      </c>
      <c r="G27" s="94">
        <f t="shared" si="0"/>
        <v>39.757611648813857</v>
      </c>
      <c r="H27" s="95">
        <f t="shared" si="1"/>
        <v>956</v>
      </c>
      <c r="I27" s="93">
        <f t="shared" si="2"/>
        <v>7.4949724341727433E-2</v>
      </c>
      <c r="J27" s="93">
        <f t="shared" si="3"/>
        <v>0.156</v>
      </c>
      <c r="K27" s="93">
        <f t="shared" si="4"/>
        <v>0.20920502092050208</v>
      </c>
      <c r="M27" s="45"/>
    </row>
    <row r="28" spans="1:49" ht="13.15" x14ac:dyDescent="0.4">
      <c r="A28" s="79" t="s">
        <v>173</v>
      </c>
      <c r="B28">
        <v>153</v>
      </c>
      <c r="C28">
        <v>187</v>
      </c>
      <c r="D28">
        <v>155</v>
      </c>
      <c r="E28">
        <v>161</v>
      </c>
      <c r="F28">
        <v>170</v>
      </c>
      <c r="G28" s="94">
        <f t="shared" si="0"/>
        <v>34.351241863933311</v>
      </c>
      <c r="H28" s="95">
        <f t="shared" si="1"/>
        <v>826</v>
      </c>
      <c r="I28" s="93">
        <f t="shared" si="2"/>
        <v>7.5060532687651338E-2</v>
      </c>
      <c r="J28" s="93">
        <f t="shared" si="3"/>
        <v>0.156</v>
      </c>
      <c r="K28" s="93">
        <f t="shared" si="4"/>
        <v>0.20581113801452783</v>
      </c>
      <c r="M28" s="45"/>
    </row>
    <row r="29" spans="1:49" ht="13.15" x14ac:dyDescent="0.4">
      <c r="A29" s="79" t="s">
        <v>174</v>
      </c>
      <c r="B29">
        <v>125</v>
      </c>
      <c r="C29">
        <v>159</v>
      </c>
      <c r="D29">
        <v>122</v>
      </c>
      <c r="E29">
        <v>133</v>
      </c>
      <c r="F29">
        <v>144</v>
      </c>
      <c r="G29" s="94">
        <f t="shared" si="0"/>
        <v>28.404235100564712</v>
      </c>
      <c r="H29" s="95">
        <f t="shared" si="1"/>
        <v>683</v>
      </c>
      <c r="I29" s="93">
        <f t="shared" si="2"/>
        <v>9.9150822567127456E-2</v>
      </c>
      <c r="J29" s="93">
        <f t="shared" si="3"/>
        <v>0.156</v>
      </c>
      <c r="K29" s="93">
        <f t="shared" si="4"/>
        <v>0.27086383601756958</v>
      </c>
      <c r="M29" s="45"/>
    </row>
    <row r="30" spans="1:49" ht="13.15" x14ac:dyDescent="0.4">
      <c r="A30" s="79" t="s">
        <v>175</v>
      </c>
      <c r="B30">
        <v>110</v>
      </c>
      <c r="C30">
        <v>129</v>
      </c>
      <c r="D30">
        <v>106</v>
      </c>
      <c r="E30">
        <v>111</v>
      </c>
      <c r="F30">
        <v>127</v>
      </c>
      <c r="G30" s="94">
        <f t="shared" si="0"/>
        <v>24.245489112195063</v>
      </c>
      <c r="H30" s="95">
        <f t="shared" si="1"/>
        <v>583</v>
      </c>
      <c r="I30" s="93">
        <f t="shared" si="2"/>
        <v>8.1289849818681204E-2</v>
      </c>
      <c r="J30" s="93">
        <f t="shared" si="3"/>
        <v>0.156</v>
      </c>
      <c r="K30" s="93">
        <f t="shared" si="4"/>
        <v>0.19725557461406518</v>
      </c>
      <c r="M30" s="45"/>
    </row>
    <row r="31" spans="1:49" ht="13.15" x14ac:dyDescent="0.4">
      <c r="A31" s="79" t="s">
        <v>176</v>
      </c>
      <c r="B31">
        <v>87</v>
      </c>
      <c r="C31">
        <v>100</v>
      </c>
      <c r="D31">
        <v>81</v>
      </c>
      <c r="E31">
        <v>84</v>
      </c>
      <c r="F31">
        <v>109</v>
      </c>
      <c r="G31" s="94">
        <f t="shared" si="0"/>
        <v>19.171819006384091</v>
      </c>
      <c r="H31" s="95">
        <f t="shared" si="1"/>
        <v>461.00000000000006</v>
      </c>
      <c r="I31" s="93">
        <f t="shared" si="2"/>
        <v>0.11506973717895744</v>
      </c>
      <c r="J31" s="93">
        <f t="shared" si="3"/>
        <v>0.193</v>
      </c>
      <c r="K31" s="93">
        <f t="shared" si="4"/>
        <v>0.30368763557483724</v>
      </c>
      <c r="M31" s="45"/>
    </row>
    <row r="32" spans="1:49" ht="13.15" x14ac:dyDescent="0.4">
      <c r="A32" s="79" t="s">
        <v>177</v>
      </c>
      <c r="B32">
        <v>67</v>
      </c>
      <c r="C32">
        <v>83</v>
      </c>
      <c r="D32">
        <v>59</v>
      </c>
      <c r="E32">
        <v>71</v>
      </c>
      <c r="F32">
        <v>88</v>
      </c>
      <c r="G32" s="94">
        <f t="shared" si="0"/>
        <v>15.304185237200313</v>
      </c>
      <c r="H32" s="95">
        <f t="shared" si="1"/>
        <v>368</v>
      </c>
      <c r="I32" s="93">
        <f t="shared" si="2"/>
        <v>0.14368808767828573</v>
      </c>
      <c r="J32" s="93">
        <f t="shared" si="3"/>
        <v>0.193</v>
      </c>
      <c r="K32" s="93">
        <f t="shared" si="4"/>
        <v>0.39402173913043481</v>
      </c>
      <c r="M32" s="45"/>
    </row>
    <row r="33" spans="1:13" ht="13.15" x14ac:dyDescent="0.4">
      <c r="A33" s="79" t="s">
        <v>178</v>
      </c>
      <c r="B33">
        <v>57</v>
      </c>
      <c r="C33">
        <v>62</v>
      </c>
      <c r="D33">
        <v>47</v>
      </c>
      <c r="E33">
        <v>56</v>
      </c>
      <c r="F33">
        <v>71</v>
      </c>
      <c r="G33" s="94">
        <f t="shared" si="0"/>
        <v>12.185125745923077</v>
      </c>
      <c r="H33" s="95">
        <f t="shared" si="1"/>
        <v>293.00000000000006</v>
      </c>
      <c r="I33" s="93">
        <f t="shared" si="2"/>
        <v>0.13419524403643346</v>
      </c>
      <c r="J33" s="93">
        <f t="shared" si="3"/>
        <v>0.193</v>
      </c>
      <c r="K33" s="93">
        <f t="shared" si="4"/>
        <v>0.40955631399317399</v>
      </c>
      <c r="M33" s="45"/>
    </row>
    <row r="34" spans="1:13" ht="13.15" x14ac:dyDescent="0.4">
      <c r="A34" s="79" t="s">
        <v>179</v>
      </c>
      <c r="B34">
        <v>46</v>
      </c>
      <c r="C34">
        <v>51</v>
      </c>
      <c r="D34">
        <v>35</v>
      </c>
      <c r="E34">
        <v>47</v>
      </c>
      <c r="F34">
        <v>60</v>
      </c>
      <c r="G34" s="94">
        <f t="shared" si="0"/>
        <v>9.9394029122034642</v>
      </c>
      <c r="H34" s="95">
        <f t="shared" si="1"/>
        <v>239</v>
      </c>
      <c r="I34" s="93">
        <f t="shared" si="2"/>
        <v>0.16913291155989738</v>
      </c>
      <c r="J34" s="93">
        <f t="shared" si="3"/>
        <v>0.193</v>
      </c>
      <c r="K34" s="93">
        <f t="shared" si="4"/>
        <v>0.52301255230125521</v>
      </c>
      <c r="M34" s="45"/>
    </row>
    <row r="35" spans="1:13" ht="13.15" x14ac:dyDescent="0.4">
      <c r="A35" s="79" t="s">
        <v>180</v>
      </c>
      <c r="B35">
        <v>35</v>
      </c>
      <c r="C35">
        <v>41</v>
      </c>
      <c r="D35">
        <v>31</v>
      </c>
      <c r="E35">
        <v>35</v>
      </c>
      <c r="F35">
        <v>43</v>
      </c>
      <c r="G35" s="94">
        <f t="shared" si="0"/>
        <v>7.6936800784838537</v>
      </c>
      <c r="H35" s="95">
        <f t="shared" si="1"/>
        <v>185</v>
      </c>
      <c r="I35" s="93">
        <f t="shared" si="2"/>
        <v>0.11842649892003591</v>
      </c>
      <c r="J35" s="93">
        <f t="shared" si="3"/>
        <v>0.27500000000000002</v>
      </c>
      <c r="K35" s="93">
        <f t="shared" si="4"/>
        <v>0.32432432432432434</v>
      </c>
      <c r="M35" s="45"/>
    </row>
    <row r="36" spans="1:13" ht="13.15" x14ac:dyDescent="0.4">
      <c r="A36" s="79" t="s">
        <v>181</v>
      </c>
      <c r="B36">
        <v>8</v>
      </c>
      <c r="C36">
        <v>13</v>
      </c>
      <c r="D36">
        <v>7</v>
      </c>
      <c r="E36">
        <v>4</v>
      </c>
      <c r="F36">
        <v>6</v>
      </c>
      <c r="G36" s="94">
        <f t="shared" si="0"/>
        <v>1.5803234755804672</v>
      </c>
      <c r="H36" s="95">
        <f t="shared" si="1"/>
        <v>38</v>
      </c>
      <c r="I36" s="93">
        <f t="shared" si="2"/>
        <v>0.39561306258876072</v>
      </c>
      <c r="J36" s="93">
        <f t="shared" si="3"/>
        <v>0.27500000000000002</v>
      </c>
      <c r="K36" s="93">
        <f t="shared" si="4"/>
        <v>1.1842105263157894</v>
      </c>
      <c r="M36" s="45"/>
    </row>
    <row r="37" spans="1:13" ht="13.15" x14ac:dyDescent="0.4">
      <c r="A37" s="79" t="s">
        <v>182</v>
      </c>
      <c r="B37">
        <v>1</v>
      </c>
      <c r="C37">
        <v>3</v>
      </c>
      <c r="D37">
        <v>2</v>
      </c>
      <c r="E37">
        <v>0</v>
      </c>
      <c r="F37">
        <v>0</v>
      </c>
      <c r="G37" s="94">
        <f t="shared" si="0"/>
        <v>0.24952475930217902</v>
      </c>
      <c r="H37" s="95">
        <f t="shared" si="1"/>
        <v>6</v>
      </c>
      <c r="I37" s="93">
        <f t="shared" si="2"/>
        <v>0.97182531580755016</v>
      </c>
      <c r="J37" s="93">
        <f t="shared" si="3"/>
        <v>0.27500000000000002</v>
      </c>
      <c r="K37" s="93">
        <f t="shared" si="4"/>
        <v>2.5</v>
      </c>
    </row>
    <row r="38" spans="1:13" ht="13.15" x14ac:dyDescent="0.4">
      <c r="A38" s="79" t="s">
        <v>183</v>
      </c>
      <c r="B38">
        <v>0</v>
      </c>
      <c r="C38">
        <v>0</v>
      </c>
      <c r="D38">
        <v>0</v>
      </c>
      <c r="E38">
        <v>0</v>
      </c>
      <c r="F38">
        <v>0</v>
      </c>
      <c r="G38" s="94">
        <f t="shared" si="0"/>
        <v>0</v>
      </c>
      <c r="H38" s="95">
        <f t="shared" si="1"/>
        <v>0</v>
      </c>
      <c r="I38" s="93" t="e">
        <f t="shared" si="2"/>
        <v>#DIV/0!</v>
      </c>
      <c r="J38" s="93">
        <f t="shared" si="3"/>
        <v>0.27500000000000002</v>
      </c>
      <c r="K38" s="93" t="e">
        <f t="shared" si="4"/>
        <v>#DIV/0!</v>
      </c>
    </row>
    <row r="40" spans="1:13" x14ac:dyDescent="0.35">
      <c r="A40" t="s">
        <v>184</v>
      </c>
    </row>
    <row r="41" spans="1:13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3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3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3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3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3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3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3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31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2" spans="1:31" x14ac:dyDescent="0.35">
      <c r="A52" t="s">
        <v>294</v>
      </c>
      <c r="B52" t="s">
        <v>154</v>
      </c>
      <c r="C52" t="s">
        <v>155</v>
      </c>
      <c r="D52" t="s">
        <v>156</v>
      </c>
      <c r="E52" t="s">
        <v>157</v>
      </c>
      <c r="F52" t="s">
        <v>158</v>
      </c>
      <c r="G52" t="s">
        <v>159</v>
      </c>
      <c r="H52" t="s">
        <v>160</v>
      </c>
      <c r="I52" t="s">
        <v>161</v>
      </c>
      <c r="J52" t="s">
        <v>162</v>
      </c>
      <c r="K52" t="s">
        <v>163</v>
      </c>
      <c r="L52" t="s">
        <v>164</v>
      </c>
      <c r="M52" t="s">
        <v>165</v>
      </c>
      <c r="N52" t="s">
        <v>166</v>
      </c>
      <c r="O52" t="s">
        <v>167</v>
      </c>
      <c r="P52" t="s">
        <v>168</v>
      </c>
      <c r="Q52" t="s">
        <v>169</v>
      </c>
      <c r="R52" t="s">
        <v>170</v>
      </c>
      <c r="S52" t="s">
        <v>171</v>
      </c>
      <c r="T52" t="s">
        <v>172</v>
      </c>
      <c r="U52" t="s">
        <v>173</v>
      </c>
      <c r="V52" t="s">
        <v>174</v>
      </c>
      <c r="W52" t="s">
        <v>175</v>
      </c>
      <c r="X52" t="s">
        <v>176</v>
      </c>
      <c r="Y52" t="s">
        <v>177</v>
      </c>
      <c r="Z52" t="s">
        <v>178</v>
      </c>
      <c r="AA52" t="s">
        <v>179</v>
      </c>
      <c r="AB52" t="s">
        <v>180</v>
      </c>
      <c r="AC52" t="s">
        <v>181</v>
      </c>
      <c r="AD52" t="s">
        <v>182</v>
      </c>
      <c r="AE52" t="s">
        <v>183</v>
      </c>
    </row>
    <row r="53" spans="1:31" x14ac:dyDescent="0.35">
      <c r="A53">
        <v>4.5820169999999996</v>
      </c>
      <c r="B53">
        <v>27404</v>
      </c>
      <c r="C53">
        <v>15860</v>
      </c>
      <c r="D53">
        <v>8756</v>
      </c>
      <c r="E53">
        <v>4821</v>
      </c>
      <c r="F53">
        <v>2949</v>
      </c>
      <c r="G53">
        <v>1886</v>
      </c>
      <c r="H53">
        <v>1293</v>
      </c>
      <c r="I53">
        <v>977</v>
      </c>
      <c r="J53">
        <v>811</v>
      </c>
      <c r="K53">
        <v>670</v>
      </c>
      <c r="L53">
        <v>561</v>
      </c>
      <c r="M53">
        <v>485</v>
      </c>
      <c r="N53">
        <v>419</v>
      </c>
      <c r="O53">
        <v>369</v>
      </c>
      <c r="P53">
        <v>330</v>
      </c>
      <c r="Q53">
        <v>294</v>
      </c>
      <c r="R53">
        <v>258</v>
      </c>
      <c r="S53">
        <v>216</v>
      </c>
      <c r="T53">
        <v>182</v>
      </c>
      <c r="U53">
        <v>153</v>
      </c>
      <c r="V53">
        <v>125</v>
      </c>
      <c r="W53">
        <v>110</v>
      </c>
      <c r="X53">
        <v>87</v>
      </c>
      <c r="Y53">
        <v>67</v>
      </c>
      <c r="Z53">
        <v>57</v>
      </c>
      <c r="AA53">
        <v>46</v>
      </c>
      <c r="AB53">
        <v>35</v>
      </c>
      <c r="AC53">
        <v>8</v>
      </c>
      <c r="AD53">
        <v>1</v>
      </c>
      <c r="AE53">
        <v>0</v>
      </c>
    </row>
    <row r="54" spans="1:31" x14ac:dyDescent="0.35">
      <c r="A54">
        <v>4.8921020000000004</v>
      </c>
      <c r="B54">
        <v>29126</v>
      </c>
      <c r="C54">
        <v>16782</v>
      </c>
      <c r="D54">
        <v>9159</v>
      </c>
      <c r="E54">
        <v>5031</v>
      </c>
      <c r="F54">
        <v>3118</v>
      </c>
      <c r="G54">
        <v>2001</v>
      </c>
      <c r="H54">
        <v>1363</v>
      </c>
      <c r="I54">
        <v>1047</v>
      </c>
      <c r="J54">
        <v>855</v>
      </c>
      <c r="K54">
        <v>723</v>
      </c>
      <c r="L54">
        <v>607</v>
      </c>
      <c r="M54">
        <v>518</v>
      </c>
      <c r="N54">
        <v>458</v>
      </c>
      <c r="O54">
        <v>403</v>
      </c>
      <c r="P54">
        <v>357</v>
      </c>
      <c r="Q54">
        <v>316</v>
      </c>
      <c r="R54">
        <v>275</v>
      </c>
      <c r="S54">
        <v>251</v>
      </c>
      <c r="T54">
        <v>217</v>
      </c>
      <c r="U54">
        <v>187</v>
      </c>
      <c r="V54">
        <v>159</v>
      </c>
      <c r="W54">
        <v>129</v>
      </c>
      <c r="X54">
        <v>100</v>
      </c>
      <c r="Y54">
        <v>83</v>
      </c>
      <c r="Z54">
        <v>62</v>
      </c>
      <c r="AA54">
        <v>51</v>
      </c>
      <c r="AB54">
        <v>41</v>
      </c>
      <c r="AC54">
        <v>13</v>
      </c>
      <c r="AD54">
        <v>3</v>
      </c>
      <c r="AE54">
        <v>0</v>
      </c>
    </row>
    <row r="55" spans="1:31" x14ac:dyDescent="0.35">
      <c r="A55">
        <v>4.8155239999999999</v>
      </c>
      <c r="B55">
        <v>28598</v>
      </c>
      <c r="C55">
        <v>16559</v>
      </c>
      <c r="D55">
        <v>8992</v>
      </c>
      <c r="E55">
        <v>4970</v>
      </c>
      <c r="F55">
        <v>3040</v>
      </c>
      <c r="G55">
        <v>1884</v>
      </c>
      <c r="H55">
        <v>1271</v>
      </c>
      <c r="I55">
        <v>937</v>
      </c>
      <c r="J55">
        <v>774</v>
      </c>
      <c r="K55">
        <v>634</v>
      </c>
      <c r="L55">
        <v>542</v>
      </c>
      <c r="M55">
        <v>468</v>
      </c>
      <c r="N55">
        <v>389</v>
      </c>
      <c r="O55">
        <v>352</v>
      </c>
      <c r="P55">
        <v>308</v>
      </c>
      <c r="Q55">
        <v>275</v>
      </c>
      <c r="R55">
        <v>239</v>
      </c>
      <c r="S55">
        <v>208</v>
      </c>
      <c r="T55">
        <v>177</v>
      </c>
      <c r="U55">
        <v>155</v>
      </c>
      <c r="V55">
        <v>122</v>
      </c>
      <c r="W55">
        <v>106</v>
      </c>
      <c r="X55">
        <v>81</v>
      </c>
      <c r="Y55">
        <v>59</v>
      </c>
      <c r="Z55">
        <v>47</v>
      </c>
      <c r="AA55">
        <v>35</v>
      </c>
      <c r="AB55">
        <v>31</v>
      </c>
      <c r="AC55">
        <v>7</v>
      </c>
      <c r="AD55">
        <v>2</v>
      </c>
      <c r="AE55">
        <v>0</v>
      </c>
    </row>
    <row r="56" spans="1:31" x14ac:dyDescent="0.35">
      <c r="A56">
        <v>4.8971920000000004</v>
      </c>
      <c r="B56">
        <v>29459</v>
      </c>
      <c r="C56">
        <v>17056</v>
      </c>
      <c r="D56">
        <v>9425</v>
      </c>
      <c r="E56">
        <v>5068</v>
      </c>
      <c r="F56">
        <v>3060</v>
      </c>
      <c r="G56">
        <v>1876</v>
      </c>
      <c r="H56">
        <v>1224</v>
      </c>
      <c r="I56">
        <v>884</v>
      </c>
      <c r="J56">
        <v>729</v>
      </c>
      <c r="K56">
        <v>604</v>
      </c>
      <c r="L56">
        <v>513</v>
      </c>
      <c r="M56">
        <v>441</v>
      </c>
      <c r="N56">
        <v>389</v>
      </c>
      <c r="O56">
        <v>351</v>
      </c>
      <c r="P56">
        <v>313</v>
      </c>
      <c r="Q56">
        <v>275</v>
      </c>
      <c r="R56">
        <v>233</v>
      </c>
      <c r="S56">
        <v>207</v>
      </c>
      <c r="T56">
        <v>184</v>
      </c>
      <c r="U56">
        <v>161</v>
      </c>
      <c r="V56">
        <v>133</v>
      </c>
      <c r="W56">
        <v>111</v>
      </c>
      <c r="X56">
        <v>84</v>
      </c>
      <c r="Y56">
        <v>71</v>
      </c>
      <c r="Z56">
        <v>56</v>
      </c>
      <c r="AA56">
        <v>47</v>
      </c>
      <c r="AB56">
        <v>35</v>
      </c>
      <c r="AC56">
        <v>4</v>
      </c>
      <c r="AD56">
        <v>0</v>
      </c>
      <c r="AE56">
        <v>0</v>
      </c>
    </row>
    <row r="57" spans="1:31" x14ac:dyDescent="0.35">
      <c r="A57">
        <v>4.8588750000000003</v>
      </c>
      <c r="B57">
        <v>29065</v>
      </c>
      <c r="C57">
        <v>16857</v>
      </c>
      <c r="D57">
        <v>9333</v>
      </c>
      <c r="E57">
        <v>5045</v>
      </c>
      <c r="F57">
        <v>3057</v>
      </c>
      <c r="G57">
        <v>1914</v>
      </c>
      <c r="H57">
        <v>1293</v>
      </c>
      <c r="I57">
        <v>935</v>
      </c>
      <c r="J57">
        <v>755</v>
      </c>
      <c r="K57">
        <v>627</v>
      </c>
      <c r="L57">
        <v>544</v>
      </c>
      <c r="M57">
        <v>477</v>
      </c>
      <c r="N57">
        <v>420</v>
      </c>
      <c r="O57">
        <v>379</v>
      </c>
      <c r="P57">
        <v>341</v>
      </c>
      <c r="Q57">
        <v>306</v>
      </c>
      <c r="R57">
        <v>269</v>
      </c>
      <c r="S57">
        <v>228</v>
      </c>
      <c r="T57">
        <v>196</v>
      </c>
      <c r="U57">
        <v>170</v>
      </c>
      <c r="V57">
        <v>144</v>
      </c>
      <c r="W57">
        <v>127</v>
      </c>
      <c r="X57">
        <v>109</v>
      </c>
      <c r="Y57">
        <v>88</v>
      </c>
      <c r="Z57">
        <v>71</v>
      </c>
      <c r="AA57">
        <v>60</v>
      </c>
      <c r="AB57">
        <v>43</v>
      </c>
      <c r="AC57">
        <v>6</v>
      </c>
      <c r="AD57">
        <v>0</v>
      </c>
      <c r="AE57">
        <v>0</v>
      </c>
    </row>
    <row r="58" spans="1:31" x14ac:dyDescent="0.35">
      <c r="A58">
        <v>4.5819780000000003</v>
      </c>
      <c r="B58">
        <v>28630</v>
      </c>
      <c r="C58">
        <v>16456</v>
      </c>
      <c r="D58">
        <v>8916</v>
      </c>
      <c r="E58">
        <v>4646</v>
      </c>
      <c r="F58">
        <v>2665</v>
      </c>
      <c r="G58">
        <v>1535</v>
      </c>
      <c r="H58">
        <v>946</v>
      </c>
      <c r="I58">
        <v>657</v>
      </c>
      <c r="J58">
        <v>510</v>
      </c>
      <c r="K58">
        <v>426</v>
      </c>
      <c r="L58">
        <v>367</v>
      </c>
      <c r="M58">
        <v>332</v>
      </c>
      <c r="N58">
        <v>292</v>
      </c>
      <c r="O58">
        <v>262</v>
      </c>
      <c r="P58">
        <v>241</v>
      </c>
      <c r="Q58">
        <v>207</v>
      </c>
      <c r="R58">
        <v>185</v>
      </c>
      <c r="S58">
        <v>163</v>
      </c>
      <c r="T58">
        <v>143</v>
      </c>
      <c r="U58">
        <v>125</v>
      </c>
      <c r="V58">
        <v>109</v>
      </c>
      <c r="W58">
        <v>92</v>
      </c>
      <c r="X58">
        <v>80</v>
      </c>
      <c r="Y58">
        <v>64</v>
      </c>
      <c r="Z58">
        <v>58</v>
      </c>
      <c r="AA58">
        <v>45</v>
      </c>
      <c r="AB58">
        <v>32</v>
      </c>
      <c r="AC58">
        <v>7</v>
      </c>
      <c r="AD58">
        <v>2</v>
      </c>
      <c r="AE58">
        <v>0</v>
      </c>
    </row>
    <row r="59" spans="1:31" x14ac:dyDescent="0.35">
      <c r="A59">
        <v>4.8656750000000004</v>
      </c>
      <c r="B59">
        <v>30823</v>
      </c>
      <c r="C59">
        <v>17544</v>
      </c>
      <c r="D59">
        <v>9468</v>
      </c>
      <c r="E59">
        <v>5032</v>
      </c>
      <c r="F59">
        <v>2911</v>
      </c>
      <c r="G59">
        <v>1592</v>
      </c>
      <c r="H59">
        <v>939</v>
      </c>
      <c r="I59">
        <v>664</v>
      </c>
      <c r="J59">
        <v>510</v>
      </c>
      <c r="K59">
        <v>432</v>
      </c>
      <c r="L59">
        <v>370</v>
      </c>
      <c r="M59">
        <v>325</v>
      </c>
      <c r="N59">
        <v>291</v>
      </c>
      <c r="O59">
        <v>265</v>
      </c>
      <c r="P59">
        <v>243</v>
      </c>
      <c r="Q59">
        <v>214</v>
      </c>
      <c r="R59">
        <v>198</v>
      </c>
      <c r="S59">
        <v>173</v>
      </c>
      <c r="T59">
        <v>151</v>
      </c>
      <c r="U59">
        <v>137</v>
      </c>
      <c r="V59">
        <v>107</v>
      </c>
      <c r="W59">
        <v>93</v>
      </c>
      <c r="X59">
        <v>72</v>
      </c>
      <c r="Y59">
        <v>58</v>
      </c>
      <c r="Z59">
        <v>48</v>
      </c>
      <c r="AA59">
        <v>29</v>
      </c>
      <c r="AB59">
        <v>21</v>
      </c>
      <c r="AC59">
        <v>5</v>
      </c>
      <c r="AD59">
        <v>0</v>
      </c>
      <c r="AE59">
        <v>0</v>
      </c>
    </row>
    <row r="60" spans="1:31" x14ac:dyDescent="0.35">
      <c r="A60">
        <v>4.8124650000000004</v>
      </c>
      <c r="B60">
        <v>30377</v>
      </c>
      <c r="C60">
        <v>17301</v>
      </c>
      <c r="D60">
        <v>9200</v>
      </c>
      <c r="E60">
        <v>4851</v>
      </c>
      <c r="F60">
        <v>2745</v>
      </c>
      <c r="G60">
        <v>1489</v>
      </c>
      <c r="H60">
        <v>891</v>
      </c>
      <c r="I60">
        <v>591</v>
      </c>
      <c r="J60">
        <v>441</v>
      </c>
      <c r="K60">
        <v>374</v>
      </c>
      <c r="L60">
        <v>324</v>
      </c>
      <c r="M60">
        <v>287</v>
      </c>
      <c r="N60">
        <v>246</v>
      </c>
      <c r="O60">
        <v>213</v>
      </c>
      <c r="P60">
        <v>184</v>
      </c>
      <c r="Q60">
        <v>158</v>
      </c>
      <c r="R60">
        <v>136</v>
      </c>
      <c r="S60">
        <v>119</v>
      </c>
      <c r="T60">
        <v>106</v>
      </c>
      <c r="U60">
        <v>93</v>
      </c>
      <c r="V60">
        <v>77</v>
      </c>
      <c r="W60">
        <v>68</v>
      </c>
      <c r="X60">
        <v>52</v>
      </c>
      <c r="Y60">
        <v>45</v>
      </c>
      <c r="Z60">
        <v>36</v>
      </c>
      <c r="AA60">
        <v>28</v>
      </c>
      <c r="AB60">
        <v>23</v>
      </c>
      <c r="AC60">
        <v>5</v>
      </c>
      <c r="AD60">
        <v>1</v>
      </c>
      <c r="AE60">
        <v>1</v>
      </c>
    </row>
    <row r="61" spans="1:31" x14ac:dyDescent="0.35">
      <c r="A61">
        <v>4.8610559999999996</v>
      </c>
      <c r="B61">
        <v>30608</v>
      </c>
      <c r="C61">
        <v>17413</v>
      </c>
      <c r="D61">
        <v>9456</v>
      </c>
      <c r="E61">
        <v>4972</v>
      </c>
      <c r="F61">
        <v>2819</v>
      </c>
      <c r="G61">
        <v>1576</v>
      </c>
      <c r="H61">
        <v>921</v>
      </c>
      <c r="I61">
        <v>630</v>
      </c>
      <c r="J61">
        <v>491</v>
      </c>
      <c r="K61">
        <v>397</v>
      </c>
      <c r="L61">
        <v>351</v>
      </c>
      <c r="M61">
        <v>309</v>
      </c>
      <c r="N61">
        <v>272</v>
      </c>
      <c r="O61">
        <v>237</v>
      </c>
      <c r="P61">
        <v>219</v>
      </c>
      <c r="Q61">
        <v>195</v>
      </c>
      <c r="R61">
        <v>170</v>
      </c>
      <c r="S61">
        <v>151</v>
      </c>
      <c r="T61">
        <v>131</v>
      </c>
      <c r="U61">
        <v>111</v>
      </c>
      <c r="V61">
        <v>92</v>
      </c>
      <c r="W61">
        <v>78</v>
      </c>
      <c r="X61">
        <v>65</v>
      </c>
      <c r="Y61">
        <v>55</v>
      </c>
      <c r="Z61">
        <v>46</v>
      </c>
      <c r="AA61">
        <v>34</v>
      </c>
      <c r="AB61">
        <v>27</v>
      </c>
      <c r="AC61">
        <v>8</v>
      </c>
      <c r="AD61">
        <v>2</v>
      </c>
      <c r="AE61">
        <v>0</v>
      </c>
    </row>
    <row r="62" spans="1:31" x14ac:dyDescent="0.35">
      <c r="A62">
        <v>4.8600620000000001</v>
      </c>
      <c r="B62">
        <v>30684</v>
      </c>
      <c r="C62">
        <v>17484</v>
      </c>
      <c r="D62">
        <v>9470</v>
      </c>
      <c r="E62">
        <v>4955</v>
      </c>
      <c r="F62">
        <v>2867</v>
      </c>
      <c r="G62">
        <v>1625</v>
      </c>
      <c r="H62">
        <v>962</v>
      </c>
      <c r="I62">
        <v>649</v>
      </c>
      <c r="J62">
        <v>503</v>
      </c>
      <c r="K62">
        <v>403</v>
      </c>
      <c r="L62">
        <v>360</v>
      </c>
      <c r="M62">
        <v>324</v>
      </c>
      <c r="N62">
        <v>287</v>
      </c>
      <c r="O62">
        <v>259</v>
      </c>
      <c r="P62">
        <v>225</v>
      </c>
      <c r="Q62">
        <v>198</v>
      </c>
      <c r="R62">
        <v>171</v>
      </c>
      <c r="S62">
        <v>150</v>
      </c>
      <c r="T62">
        <v>132</v>
      </c>
      <c r="U62">
        <v>114</v>
      </c>
      <c r="V62">
        <v>89</v>
      </c>
      <c r="W62">
        <v>68</v>
      </c>
      <c r="X62">
        <v>54</v>
      </c>
      <c r="Y62">
        <v>42</v>
      </c>
      <c r="Z62">
        <v>35</v>
      </c>
      <c r="AA62">
        <v>25</v>
      </c>
      <c r="AB62">
        <v>20</v>
      </c>
      <c r="AC62">
        <v>5</v>
      </c>
      <c r="AD62">
        <v>0</v>
      </c>
      <c r="AE62">
        <v>0</v>
      </c>
    </row>
    <row r="63" spans="1:31" x14ac:dyDescent="0.35">
      <c r="A63">
        <v>4.5983349999999996</v>
      </c>
      <c r="B63">
        <v>25981</v>
      </c>
      <c r="C63">
        <v>15334</v>
      </c>
      <c r="D63">
        <v>8494</v>
      </c>
      <c r="E63">
        <v>4764</v>
      </c>
      <c r="F63">
        <v>3005</v>
      </c>
      <c r="G63">
        <v>1926</v>
      </c>
      <c r="H63">
        <v>1283</v>
      </c>
      <c r="I63">
        <v>924</v>
      </c>
      <c r="J63">
        <v>731</v>
      </c>
      <c r="K63">
        <v>590</v>
      </c>
      <c r="L63">
        <v>476</v>
      </c>
      <c r="M63">
        <v>391</v>
      </c>
      <c r="N63">
        <v>331</v>
      </c>
      <c r="O63">
        <v>270</v>
      </c>
      <c r="P63">
        <v>229</v>
      </c>
      <c r="Q63">
        <v>194</v>
      </c>
      <c r="R63">
        <v>164</v>
      </c>
      <c r="S63">
        <v>142</v>
      </c>
      <c r="T63">
        <v>115</v>
      </c>
      <c r="U63">
        <v>87</v>
      </c>
      <c r="V63">
        <v>66</v>
      </c>
      <c r="W63">
        <v>49</v>
      </c>
      <c r="X63">
        <v>39</v>
      </c>
      <c r="Y63">
        <v>29</v>
      </c>
      <c r="Z63">
        <v>23</v>
      </c>
      <c r="AA63">
        <v>17</v>
      </c>
      <c r="AB63">
        <v>10</v>
      </c>
      <c r="AC63">
        <v>1</v>
      </c>
      <c r="AD63">
        <v>0</v>
      </c>
      <c r="AE63">
        <v>0</v>
      </c>
    </row>
    <row r="64" spans="1:31" x14ac:dyDescent="0.35">
      <c r="A64">
        <v>4.8893050000000002</v>
      </c>
      <c r="B64">
        <v>26920</v>
      </c>
      <c r="C64">
        <v>15778</v>
      </c>
      <c r="D64">
        <v>8843</v>
      </c>
      <c r="E64">
        <v>4879</v>
      </c>
      <c r="F64">
        <v>3037</v>
      </c>
      <c r="G64">
        <v>1993</v>
      </c>
      <c r="H64">
        <v>1343</v>
      </c>
      <c r="I64">
        <v>972</v>
      </c>
      <c r="J64">
        <v>764</v>
      </c>
      <c r="K64">
        <v>602</v>
      </c>
      <c r="L64">
        <v>493</v>
      </c>
      <c r="M64">
        <v>409</v>
      </c>
      <c r="N64">
        <v>348</v>
      </c>
      <c r="O64">
        <v>307</v>
      </c>
      <c r="P64">
        <v>263</v>
      </c>
      <c r="Q64">
        <v>234</v>
      </c>
      <c r="R64">
        <v>194</v>
      </c>
      <c r="S64">
        <v>152</v>
      </c>
      <c r="T64">
        <v>126</v>
      </c>
      <c r="U64">
        <v>98</v>
      </c>
      <c r="V64">
        <v>71</v>
      </c>
      <c r="W64">
        <v>56</v>
      </c>
      <c r="X64">
        <v>44</v>
      </c>
      <c r="Y64">
        <v>35</v>
      </c>
      <c r="Z64">
        <v>21</v>
      </c>
      <c r="AA64">
        <v>19</v>
      </c>
      <c r="AB64">
        <v>15</v>
      </c>
      <c r="AC64">
        <v>2</v>
      </c>
      <c r="AD64">
        <v>0</v>
      </c>
      <c r="AE64">
        <v>0</v>
      </c>
    </row>
    <row r="65" spans="1:31" x14ac:dyDescent="0.35">
      <c r="A65">
        <v>4.7635069999999997</v>
      </c>
      <c r="B65">
        <v>26316</v>
      </c>
      <c r="C65">
        <v>15395</v>
      </c>
      <c r="D65">
        <v>8499</v>
      </c>
      <c r="E65">
        <v>4613</v>
      </c>
      <c r="F65">
        <v>2840</v>
      </c>
      <c r="G65">
        <v>1804</v>
      </c>
      <c r="H65">
        <v>1204</v>
      </c>
      <c r="I65">
        <v>860</v>
      </c>
      <c r="J65">
        <v>671</v>
      </c>
      <c r="K65">
        <v>550</v>
      </c>
      <c r="L65">
        <v>458</v>
      </c>
      <c r="M65">
        <v>360</v>
      </c>
      <c r="N65">
        <v>295</v>
      </c>
      <c r="O65">
        <v>254</v>
      </c>
      <c r="P65">
        <v>215</v>
      </c>
      <c r="Q65">
        <v>173</v>
      </c>
      <c r="R65">
        <v>140</v>
      </c>
      <c r="S65">
        <v>115</v>
      </c>
      <c r="T65">
        <v>98</v>
      </c>
      <c r="U65">
        <v>83</v>
      </c>
      <c r="V65">
        <v>63</v>
      </c>
      <c r="W65">
        <v>43</v>
      </c>
      <c r="X65">
        <v>35</v>
      </c>
      <c r="Y65">
        <v>30</v>
      </c>
      <c r="Z65">
        <v>17</v>
      </c>
      <c r="AA65">
        <v>11</v>
      </c>
      <c r="AB65">
        <v>8</v>
      </c>
      <c r="AC65">
        <v>2</v>
      </c>
      <c r="AD65">
        <v>0</v>
      </c>
      <c r="AE65">
        <v>0</v>
      </c>
    </row>
    <row r="66" spans="1:31" x14ac:dyDescent="0.35">
      <c r="A66">
        <v>4.9099269999999997</v>
      </c>
      <c r="B66">
        <v>26358</v>
      </c>
      <c r="C66">
        <v>15420</v>
      </c>
      <c r="D66">
        <v>8385</v>
      </c>
      <c r="E66">
        <v>4613</v>
      </c>
      <c r="F66">
        <v>2825</v>
      </c>
      <c r="G66">
        <v>1764</v>
      </c>
      <c r="H66">
        <v>1171</v>
      </c>
      <c r="I66">
        <v>864</v>
      </c>
      <c r="J66">
        <v>664</v>
      </c>
      <c r="K66">
        <v>521</v>
      </c>
      <c r="L66">
        <v>431</v>
      </c>
      <c r="M66">
        <v>362</v>
      </c>
      <c r="N66">
        <v>299</v>
      </c>
      <c r="O66">
        <v>248</v>
      </c>
      <c r="P66">
        <v>210</v>
      </c>
      <c r="Q66">
        <v>179</v>
      </c>
      <c r="R66">
        <v>146</v>
      </c>
      <c r="S66">
        <v>121</v>
      </c>
      <c r="T66">
        <v>96</v>
      </c>
      <c r="U66">
        <v>80</v>
      </c>
      <c r="V66">
        <v>62</v>
      </c>
      <c r="W66">
        <v>48</v>
      </c>
      <c r="X66">
        <v>37</v>
      </c>
      <c r="Y66">
        <v>28</v>
      </c>
      <c r="Z66">
        <v>23</v>
      </c>
      <c r="AA66">
        <v>19</v>
      </c>
      <c r="AB66">
        <v>13</v>
      </c>
      <c r="AC66">
        <v>2</v>
      </c>
      <c r="AD66">
        <v>1</v>
      </c>
      <c r="AE66">
        <v>1</v>
      </c>
    </row>
    <row r="67" spans="1:31" x14ac:dyDescent="0.35">
      <c r="A67">
        <v>4.8772599999999997</v>
      </c>
      <c r="B67">
        <v>26500</v>
      </c>
      <c r="C67">
        <v>15496</v>
      </c>
      <c r="D67">
        <v>8580</v>
      </c>
      <c r="E67">
        <v>4663</v>
      </c>
      <c r="F67">
        <v>2769</v>
      </c>
      <c r="G67">
        <v>1742</v>
      </c>
      <c r="H67">
        <v>1155</v>
      </c>
      <c r="I67">
        <v>808</v>
      </c>
      <c r="J67">
        <v>621</v>
      </c>
      <c r="K67">
        <v>498</v>
      </c>
      <c r="L67">
        <v>405</v>
      </c>
      <c r="M67">
        <v>327</v>
      </c>
      <c r="N67">
        <v>283</v>
      </c>
      <c r="O67">
        <v>253</v>
      </c>
      <c r="P67">
        <v>218</v>
      </c>
      <c r="Q67">
        <v>182</v>
      </c>
      <c r="R67">
        <v>157</v>
      </c>
      <c r="S67">
        <v>126</v>
      </c>
      <c r="T67">
        <v>110</v>
      </c>
      <c r="U67">
        <v>86</v>
      </c>
      <c r="V67">
        <v>65</v>
      </c>
      <c r="W67">
        <v>55</v>
      </c>
      <c r="X67">
        <v>47</v>
      </c>
      <c r="Y67">
        <v>41</v>
      </c>
      <c r="Z67">
        <v>36</v>
      </c>
      <c r="AA67">
        <v>26</v>
      </c>
      <c r="AB67">
        <v>20</v>
      </c>
      <c r="AC67">
        <v>3</v>
      </c>
      <c r="AD67">
        <v>0</v>
      </c>
      <c r="AE67">
        <v>0</v>
      </c>
    </row>
    <row r="71" spans="1:31" x14ac:dyDescent="0.35">
      <c r="H71" s="45"/>
      <c r="J71" s="45"/>
    </row>
    <row r="72" spans="1:31" x14ac:dyDescent="0.35">
      <c r="G72" s="45"/>
      <c r="H72" s="45"/>
      <c r="I72" s="45"/>
      <c r="J72" s="45"/>
    </row>
    <row r="73" spans="1:31" ht="13.15" x14ac:dyDescent="0.4">
      <c r="A73" s="8"/>
    </row>
    <row r="77" spans="1:31" x14ac:dyDescent="0.35">
      <c r="H77" s="96"/>
      <c r="J77" s="96"/>
    </row>
    <row r="78" spans="1:31" ht="13.15" x14ac:dyDescent="0.4">
      <c r="A78" s="8"/>
      <c r="H78" s="147"/>
      <c r="J78" s="147"/>
    </row>
    <row r="79" spans="1:31" ht="13.15" x14ac:dyDescent="0.4">
      <c r="K79" s="76"/>
    </row>
  </sheetData>
  <conditionalFormatting sqref="H9:H40">
    <cfRule type="cellIs" dxfId="9" priority="2" operator="greaterThan">
      <formula>1000</formula>
    </cfRule>
  </conditionalFormatting>
  <conditionalFormatting sqref="K9:K38">
    <cfRule type="cellIs" dxfId="8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W79"/>
  <sheetViews>
    <sheetView zoomScale="85" zoomScaleNormal="85" workbookViewId="0">
      <selection activeCell="B11" sqref="B11"/>
    </sheetView>
  </sheetViews>
  <sheetFormatPr defaultColWidth="11.53125" defaultRowHeight="12.75" x14ac:dyDescent="0.35"/>
  <sheetData>
    <row r="1" spans="1:49" x14ac:dyDescent="0.35">
      <c r="A1" t="s">
        <v>290</v>
      </c>
    </row>
    <row r="2" spans="1:49" ht="40.15" x14ac:dyDescent="1.05">
      <c r="O2" s="89"/>
    </row>
    <row r="4" spans="1:49" ht="40.15" x14ac:dyDescent="1.05">
      <c r="A4" s="8" t="s">
        <v>28</v>
      </c>
      <c r="O4" s="89" t="s">
        <v>101</v>
      </c>
    </row>
    <row r="5" spans="1:49" x14ac:dyDescent="0.35">
      <c r="O5" s="32">
        <v>45831</v>
      </c>
    </row>
    <row r="6" spans="1:49" ht="13.15" x14ac:dyDescent="0.4">
      <c r="A6" t="s">
        <v>292</v>
      </c>
      <c r="B6" s="8"/>
      <c r="C6" s="8"/>
      <c r="D6" s="8"/>
      <c r="E6" s="8"/>
      <c r="F6" s="8"/>
      <c r="O6" t="s">
        <v>293</v>
      </c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M7" s="76"/>
    </row>
    <row r="8" spans="1:49" ht="13.15" x14ac:dyDescent="0.4">
      <c r="A8" s="79" t="s">
        <v>153</v>
      </c>
      <c r="B8">
        <v>4.5819780000000003</v>
      </c>
      <c r="C8">
        <v>4.8656750000000004</v>
      </c>
      <c r="D8">
        <v>4.8124650000000004</v>
      </c>
      <c r="E8">
        <v>4.8610559999999996</v>
      </c>
      <c r="F8">
        <v>4.8600620000000001</v>
      </c>
      <c r="G8" s="92">
        <v>25.517626</v>
      </c>
      <c r="H8" s="92">
        <f>AVERAGE(B$8:F$8)*5</f>
        <v>23.981236000000003</v>
      </c>
      <c r="I8" s="93"/>
      <c r="K8" s="93"/>
    </row>
    <row r="9" spans="1:49" ht="13.15" x14ac:dyDescent="0.4">
      <c r="A9" s="97" t="s">
        <v>154</v>
      </c>
      <c r="B9">
        <v>28630</v>
      </c>
      <c r="C9">
        <v>30823</v>
      </c>
      <c r="D9">
        <v>30377</v>
      </c>
      <c r="E9">
        <v>30608</v>
      </c>
      <c r="F9">
        <v>30684</v>
      </c>
      <c r="G9" s="141">
        <f t="shared" ref="G9:G38" si="0">AVERAGE(B9:F9)/AVERAGE(B$8:F$8)</f>
        <v>6301.676861025845</v>
      </c>
      <c r="H9" s="142">
        <f t="shared" ref="H9:H38" si="1">G9*H$8</f>
        <v>151122</v>
      </c>
      <c r="I9" s="143">
        <f t="shared" ref="I9:I38" si="2">STDEVP(B9:F9)/AVERAGE(B9:F9)</f>
        <v>2.6806079025444036E-2</v>
      </c>
      <c r="J9" s="143">
        <f t="shared" ref="J9:J38" si="3">IF(H9&gt;$A$43, $C$43, IF(H9&gt;$A$44, $C$44, IF(H9&gt;$A$45,$C$45,IF(H9&gt;$A$46,$C$46, IF(H9&gt;$A$47,$C$47,IF(H9&gt;$A$48,$C$48,$C$49))))))/100</f>
        <v>0.11</v>
      </c>
      <c r="K9" s="143">
        <f t="shared" ref="K9:K38" si="4">(MAX(B9:F9)-MIN(B9:F9))/H9*5</f>
        <v>7.2557271608369389E-2</v>
      </c>
      <c r="M9" s="45"/>
    </row>
    <row r="10" spans="1:49" ht="13.15" x14ac:dyDescent="0.4">
      <c r="A10" s="79" t="s">
        <v>155</v>
      </c>
      <c r="B10">
        <v>16456</v>
      </c>
      <c r="C10">
        <v>17544</v>
      </c>
      <c r="D10">
        <v>17301</v>
      </c>
      <c r="E10">
        <v>17413</v>
      </c>
      <c r="F10">
        <v>17484</v>
      </c>
      <c r="G10" s="94">
        <f t="shared" si="0"/>
        <v>3594.3935500238595</v>
      </c>
      <c r="H10" s="95">
        <f t="shared" si="1"/>
        <v>86197.999999999985</v>
      </c>
      <c r="I10" s="93">
        <f t="shared" si="2"/>
        <v>2.3206123972291593E-2</v>
      </c>
      <c r="J10" s="93">
        <f t="shared" si="3"/>
        <v>0.11</v>
      </c>
      <c r="K10" s="93">
        <f t="shared" si="4"/>
        <v>6.3110513004942123E-2</v>
      </c>
      <c r="M10" s="45"/>
    </row>
    <row r="11" spans="1:49" ht="13.15" x14ac:dyDescent="0.4">
      <c r="A11" s="79" t="s">
        <v>156</v>
      </c>
      <c r="B11">
        <v>8916</v>
      </c>
      <c r="C11">
        <v>9468</v>
      </c>
      <c r="D11">
        <v>9200</v>
      </c>
      <c r="E11">
        <v>9456</v>
      </c>
      <c r="F11">
        <v>9470</v>
      </c>
      <c r="G11" s="94">
        <f t="shared" si="0"/>
        <v>1939.4329800182106</v>
      </c>
      <c r="H11" s="95">
        <f t="shared" si="1"/>
        <v>46510</v>
      </c>
      <c r="I11" s="93">
        <f t="shared" si="2"/>
        <v>2.3498660225975437E-2</v>
      </c>
      <c r="J11" s="93">
        <f t="shared" si="3"/>
        <v>0.11</v>
      </c>
      <c r="K11" s="93">
        <f t="shared" si="4"/>
        <v>5.9557084497957428E-2</v>
      </c>
      <c r="M11" s="45"/>
    </row>
    <row r="12" spans="1:49" ht="13.15" x14ac:dyDescent="0.4">
      <c r="A12" s="79" t="s">
        <v>157</v>
      </c>
      <c r="B12">
        <v>4646</v>
      </c>
      <c r="C12">
        <v>5032</v>
      </c>
      <c r="D12">
        <v>4851</v>
      </c>
      <c r="E12">
        <v>4972</v>
      </c>
      <c r="F12">
        <v>4955</v>
      </c>
      <c r="G12" s="94">
        <f t="shared" si="0"/>
        <v>1019.7973115313988</v>
      </c>
      <c r="H12" s="95">
        <f t="shared" si="1"/>
        <v>24456</v>
      </c>
      <c r="I12" s="93">
        <f t="shared" si="2"/>
        <v>2.7757311982117054E-2</v>
      </c>
      <c r="J12" s="93">
        <f t="shared" si="3"/>
        <v>0.11</v>
      </c>
      <c r="K12" s="93">
        <f t="shared" si="4"/>
        <v>7.8917239123323518E-2</v>
      </c>
      <c r="M12" s="45"/>
    </row>
    <row r="13" spans="1:49" ht="13.15" x14ac:dyDescent="0.4">
      <c r="A13" s="79" t="s">
        <v>158</v>
      </c>
      <c r="B13">
        <v>2665</v>
      </c>
      <c r="C13">
        <v>2911</v>
      </c>
      <c r="D13">
        <v>2745</v>
      </c>
      <c r="E13">
        <v>2819</v>
      </c>
      <c r="F13">
        <v>2867</v>
      </c>
      <c r="G13" s="94">
        <f t="shared" si="0"/>
        <v>584.08165450688193</v>
      </c>
      <c r="H13" s="95">
        <f t="shared" si="1"/>
        <v>14007</v>
      </c>
      <c r="I13" s="93">
        <f t="shared" si="2"/>
        <v>3.1287352203213332E-2</v>
      </c>
      <c r="J13" s="93">
        <f t="shared" si="3"/>
        <v>0.11</v>
      </c>
      <c r="K13" s="93">
        <f t="shared" si="4"/>
        <v>8.7813236239023346E-2</v>
      </c>
      <c r="M13" s="45"/>
    </row>
    <row r="14" spans="1:49" ht="13.15" x14ac:dyDescent="0.4">
      <c r="A14" s="101" t="s">
        <v>159</v>
      </c>
      <c r="B14">
        <v>1535</v>
      </c>
      <c r="C14">
        <v>1592</v>
      </c>
      <c r="D14">
        <v>1489</v>
      </c>
      <c r="E14">
        <v>1576</v>
      </c>
      <c r="F14">
        <v>1625</v>
      </c>
      <c r="G14" s="144">
        <f t="shared" si="0"/>
        <v>325.96318221462809</v>
      </c>
      <c r="H14" s="145">
        <f t="shared" si="1"/>
        <v>7817</v>
      </c>
      <c r="I14" s="146">
        <f t="shared" si="2"/>
        <v>3.0155355682072189E-2</v>
      </c>
      <c r="J14" s="146">
        <f t="shared" si="3"/>
        <v>0.113</v>
      </c>
      <c r="K14" s="146">
        <f t="shared" si="4"/>
        <v>8.6989893821159001E-2</v>
      </c>
      <c r="M14" s="45"/>
    </row>
    <row r="15" spans="1:49" ht="13.15" x14ac:dyDescent="0.4">
      <c r="A15" s="79" t="s">
        <v>160</v>
      </c>
      <c r="B15">
        <v>946</v>
      </c>
      <c r="C15">
        <v>939</v>
      </c>
      <c r="D15">
        <v>891</v>
      </c>
      <c r="E15">
        <v>921</v>
      </c>
      <c r="F15">
        <v>962</v>
      </c>
      <c r="G15" s="94">
        <f t="shared" si="0"/>
        <v>194.27689215017938</v>
      </c>
      <c r="H15" s="95">
        <f t="shared" si="1"/>
        <v>4659</v>
      </c>
      <c r="I15" s="93">
        <f t="shared" si="2"/>
        <v>2.6053592870645653E-2</v>
      </c>
      <c r="J15" s="93">
        <f t="shared" si="3"/>
        <v>0.11900000000000001</v>
      </c>
      <c r="K15" s="93">
        <f t="shared" si="4"/>
        <v>7.6196608714316383E-2</v>
      </c>
      <c r="M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>
        <v>657</v>
      </c>
      <c r="C16">
        <v>664</v>
      </c>
      <c r="D16">
        <v>591</v>
      </c>
      <c r="E16">
        <v>630</v>
      </c>
      <c r="F16">
        <v>649</v>
      </c>
      <c r="G16" s="94">
        <f t="shared" si="0"/>
        <v>133.06236592642679</v>
      </c>
      <c r="H16" s="95">
        <f t="shared" si="1"/>
        <v>3191</v>
      </c>
      <c r="I16" s="93">
        <f t="shared" si="2"/>
        <v>4.1044587814997945E-2</v>
      </c>
      <c r="J16" s="93">
        <f t="shared" si="3"/>
        <v>0.11900000000000001</v>
      </c>
      <c r="K16" s="93">
        <f t="shared" si="4"/>
        <v>0.11438420557818865</v>
      </c>
      <c r="M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>
        <v>510</v>
      </c>
      <c r="C17">
        <v>510</v>
      </c>
      <c r="D17">
        <v>441</v>
      </c>
      <c r="E17">
        <v>491</v>
      </c>
      <c r="F17">
        <v>503</v>
      </c>
      <c r="G17" s="94">
        <f t="shared" si="0"/>
        <v>102.37170427746091</v>
      </c>
      <c r="H17" s="95">
        <f t="shared" si="1"/>
        <v>2454.9999999999995</v>
      </c>
      <c r="I17" s="93">
        <f t="shared" si="2"/>
        <v>5.2843376726125428E-2</v>
      </c>
      <c r="J17" s="93">
        <f t="shared" si="3"/>
        <v>0.11900000000000001</v>
      </c>
      <c r="K17" s="93">
        <f t="shared" si="4"/>
        <v>0.14052953156822814</v>
      </c>
      <c r="M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>
        <v>426</v>
      </c>
      <c r="C18">
        <v>432</v>
      </c>
      <c r="D18">
        <v>374</v>
      </c>
      <c r="E18">
        <v>397</v>
      </c>
      <c r="F18">
        <v>403</v>
      </c>
      <c r="G18" s="94">
        <f t="shared" si="0"/>
        <v>84.732913683014488</v>
      </c>
      <c r="H18" s="95">
        <f t="shared" si="1"/>
        <v>2031.9999999999998</v>
      </c>
      <c r="I18" s="93">
        <f t="shared" si="2"/>
        <v>5.1487762400199082E-2</v>
      </c>
      <c r="J18" s="93">
        <f t="shared" si="3"/>
        <v>0.11900000000000001</v>
      </c>
      <c r="K18" s="93">
        <f t="shared" si="4"/>
        <v>0.14271653543307089</v>
      </c>
      <c r="M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>
        <v>367</v>
      </c>
      <c r="C19">
        <v>370</v>
      </c>
      <c r="D19">
        <v>324</v>
      </c>
      <c r="E19">
        <v>351</v>
      </c>
      <c r="F19">
        <v>360</v>
      </c>
      <c r="G19" s="94">
        <f t="shared" si="0"/>
        <v>73.891103861368933</v>
      </c>
      <c r="H19" s="95">
        <f t="shared" si="1"/>
        <v>1771.9999999999998</v>
      </c>
      <c r="I19" s="93">
        <f t="shared" si="2"/>
        <v>4.6693317366676319E-2</v>
      </c>
      <c r="J19" s="93">
        <f t="shared" si="3"/>
        <v>0.13400000000000001</v>
      </c>
      <c r="K19" s="93">
        <f t="shared" si="4"/>
        <v>0.12979683972911965</v>
      </c>
      <c r="M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>
        <v>332</v>
      </c>
      <c r="C20">
        <v>325</v>
      </c>
      <c r="D20">
        <v>287</v>
      </c>
      <c r="E20">
        <v>309</v>
      </c>
      <c r="F20">
        <v>324</v>
      </c>
      <c r="G20" s="94">
        <f t="shared" si="0"/>
        <v>65.759746495134763</v>
      </c>
      <c r="H20" s="95">
        <f t="shared" si="1"/>
        <v>1576.9999999999998</v>
      </c>
      <c r="I20" s="93">
        <f t="shared" si="2"/>
        <v>5.0911214487429426E-2</v>
      </c>
      <c r="J20" s="93">
        <f t="shared" si="3"/>
        <v>0.13400000000000001</v>
      </c>
      <c r="K20" s="93">
        <f t="shared" si="4"/>
        <v>0.14267596702599875</v>
      </c>
      <c r="M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>
        <v>292</v>
      </c>
      <c r="C21">
        <v>291</v>
      </c>
      <c r="D21">
        <v>246</v>
      </c>
      <c r="E21">
        <v>272</v>
      </c>
      <c r="F21">
        <v>287</v>
      </c>
      <c r="G21" s="94">
        <f t="shared" si="0"/>
        <v>57.878584740169352</v>
      </c>
      <c r="H21" s="95">
        <f t="shared" si="1"/>
        <v>1388</v>
      </c>
      <c r="I21" s="93">
        <f t="shared" si="2"/>
        <v>6.2501816698260299E-2</v>
      </c>
      <c r="J21" s="93">
        <f t="shared" si="3"/>
        <v>0.13400000000000001</v>
      </c>
      <c r="K21" s="93">
        <f t="shared" si="4"/>
        <v>0.16570605187319884</v>
      </c>
      <c r="M21" s="45"/>
      <c r="O21" s="8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>
        <v>262</v>
      </c>
      <c r="C22">
        <v>265</v>
      </c>
      <c r="D22">
        <v>213</v>
      </c>
      <c r="E22">
        <v>237</v>
      </c>
      <c r="F22">
        <v>259</v>
      </c>
      <c r="G22" s="94">
        <f t="shared" si="0"/>
        <v>51.540295921361171</v>
      </c>
      <c r="H22" s="95">
        <f t="shared" si="1"/>
        <v>1235.9999999999998</v>
      </c>
      <c r="I22" s="93">
        <f t="shared" si="2"/>
        <v>7.9863836111670333E-2</v>
      </c>
      <c r="J22" s="93">
        <f t="shared" si="3"/>
        <v>0.13400000000000001</v>
      </c>
      <c r="K22" s="93">
        <f t="shared" si="4"/>
        <v>0.21035598705501621</v>
      </c>
      <c r="M22" s="45"/>
      <c r="O22" s="76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>
        <v>241</v>
      </c>
      <c r="C23">
        <v>243</v>
      </c>
      <c r="D23">
        <v>184</v>
      </c>
      <c r="E23">
        <v>219</v>
      </c>
      <c r="F23">
        <v>225</v>
      </c>
      <c r="G23" s="94">
        <f t="shared" si="0"/>
        <v>46.369586621807144</v>
      </c>
      <c r="H23" s="95">
        <f t="shared" si="1"/>
        <v>1112</v>
      </c>
      <c r="I23" s="93">
        <f t="shared" si="2"/>
        <v>9.5662490265987055E-2</v>
      </c>
      <c r="J23" s="93">
        <f t="shared" si="3"/>
        <v>0.13400000000000001</v>
      </c>
      <c r="K23" s="93">
        <f t="shared" si="4"/>
        <v>0.26528776978417268</v>
      </c>
      <c r="M23" s="45"/>
      <c r="O23" s="7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>
        <v>207</v>
      </c>
      <c r="C24">
        <v>214</v>
      </c>
      <c r="D24">
        <v>158</v>
      </c>
      <c r="E24">
        <v>195</v>
      </c>
      <c r="F24">
        <v>198</v>
      </c>
      <c r="G24" s="94">
        <f t="shared" si="0"/>
        <v>40.531689025536458</v>
      </c>
      <c r="H24" s="95">
        <f t="shared" si="1"/>
        <v>971.99999999999989</v>
      </c>
      <c r="I24" s="93">
        <f t="shared" si="2"/>
        <v>9.9778328034603556E-2</v>
      </c>
      <c r="J24" s="93">
        <f t="shared" si="3"/>
        <v>0.156</v>
      </c>
      <c r="K24" s="93">
        <f t="shared" si="4"/>
        <v>0.2880658436213992</v>
      </c>
      <c r="M24" s="45"/>
      <c r="O24" s="76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>
        <v>185</v>
      </c>
      <c r="C25">
        <v>198</v>
      </c>
      <c r="D25">
        <v>136</v>
      </c>
      <c r="E25">
        <v>170</v>
      </c>
      <c r="F25">
        <v>171</v>
      </c>
      <c r="G25" s="94">
        <f t="shared" si="0"/>
        <v>35.861370948519912</v>
      </c>
      <c r="H25" s="95">
        <f t="shared" si="1"/>
        <v>860</v>
      </c>
      <c r="I25" s="93">
        <f t="shared" si="2"/>
        <v>0.12044850383794009</v>
      </c>
      <c r="J25" s="93">
        <f t="shared" si="3"/>
        <v>0.156</v>
      </c>
      <c r="K25" s="93">
        <f t="shared" si="4"/>
        <v>0.3604651162790698</v>
      </c>
      <c r="M25" s="45"/>
      <c r="O25" s="7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>
        <v>163</v>
      </c>
      <c r="C26">
        <v>173</v>
      </c>
      <c r="D26">
        <v>119</v>
      </c>
      <c r="E26">
        <v>151</v>
      </c>
      <c r="F26">
        <v>150</v>
      </c>
      <c r="G26" s="94">
        <f t="shared" si="0"/>
        <v>31.524647019861689</v>
      </c>
      <c r="H26" s="95">
        <f t="shared" si="1"/>
        <v>755.99999999999989</v>
      </c>
      <c r="I26" s="93">
        <f t="shared" si="2"/>
        <v>0.12024675319961388</v>
      </c>
      <c r="J26" s="93">
        <f t="shared" si="3"/>
        <v>0.156</v>
      </c>
      <c r="K26" s="93">
        <f t="shared" si="4"/>
        <v>0.35714285714285721</v>
      </c>
      <c r="M26" s="45"/>
    </row>
    <row r="27" spans="1:49" ht="13.15" x14ac:dyDescent="0.4">
      <c r="A27" s="79" t="s">
        <v>172</v>
      </c>
      <c r="B27">
        <v>143</v>
      </c>
      <c r="C27">
        <v>151</v>
      </c>
      <c r="D27">
        <v>106</v>
      </c>
      <c r="E27">
        <v>131</v>
      </c>
      <c r="F27">
        <v>132</v>
      </c>
      <c r="G27" s="94">
        <f t="shared" si="0"/>
        <v>27.646615045196164</v>
      </c>
      <c r="H27" s="95">
        <f t="shared" si="1"/>
        <v>663</v>
      </c>
      <c r="I27" s="93">
        <f t="shared" si="2"/>
        <v>0.11472965463491169</v>
      </c>
      <c r="J27" s="93">
        <f t="shared" si="3"/>
        <v>0.156</v>
      </c>
      <c r="K27" s="93">
        <f t="shared" si="4"/>
        <v>0.33936651583710403</v>
      </c>
      <c r="M27" s="45"/>
    </row>
    <row r="28" spans="1:49" ht="13.15" x14ac:dyDescent="0.4">
      <c r="A28" s="79" t="s">
        <v>173</v>
      </c>
      <c r="B28">
        <v>125</v>
      </c>
      <c r="C28">
        <v>137</v>
      </c>
      <c r="D28">
        <v>93</v>
      </c>
      <c r="E28">
        <v>111</v>
      </c>
      <c r="F28">
        <v>114</v>
      </c>
      <c r="G28" s="94">
        <f t="shared" si="0"/>
        <v>24.185575755978547</v>
      </c>
      <c r="H28" s="95">
        <f t="shared" si="1"/>
        <v>580</v>
      </c>
      <c r="I28" s="93">
        <f t="shared" si="2"/>
        <v>0.12669774531637129</v>
      </c>
      <c r="J28" s="93">
        <f t="shared" si="3"/>
        <v>0.156</v>
      </c>
      <c r="K28" s="93">
        <f t="shared" si="4"/>
        <v>0.37931034482758619</v>
      </c>
      <c r="M28" s="45"/>
    </row>
    <row r="29" spans="1:49" ht="13.15" x14ac:dyDescent="0.4">
      <c r="A29" s="79" t="s">
        <v>174</v>
      </c>
      <c r="B29">
        <v>109</v>
      </c>
      <c r="C29">
        <v>107</v>
      </c>
      <c r="D29">
        <v>77</v>
      </c>
      <c r="E29">
        <v>92</v>
      </c>
      <c r="F29">
        <v>89</v>
      </c>
      <c r="G29" s="94">
        <f t="shared" si="0"/>
        <v>19.765453290230742</v>
      </c>
      <c r="H29" s="95">
        <f t="shared" si="1"/>
        <v>473.99999999999994</v>
      </c>
      <c r="I29" s="93">
        <f t="shared" si="2"/>
        <v>0.12559389085347863</v>
      </c>
      <c r="J29" s="93">
        <f t="shared" si="3"/>
        <v>0.193</v>
      </c>
      <c r="K29" s="93">
        <f t="shared" si="4"/>
        <v>0.3375527426160338</v>
      </c>
      <c r="M29" s="45"/>
    </row>
    <row r="30" spans="1:49" ht="13.15" x14ac:dyDescent="0.4">
      <c r="A30" s="79" t="s">
        <v>175</v>
      </c>
      <c r="B30">
        <v>92</v>
      </c>
      <c r="C30">
        <v>93</v>
      </c>
      <c r="D30">
        <v>68</v>
      </c>
      <c r="E30">
        <v>78</v>
      </c>
      <c r="F30">
        <v>68</v>
      </c>
      <c r="G30" s="94">
        <f t="shared" si="0"/>
        <v>16.638008149371448</v>
      </c>
      <c r="H30" s="95">
        <f t="shared" si="1"/>
        <v>399</v>
      </c>
      <c r="I30" s="93">
        <f t="shared" si="2"/>
        <v>0.13782182541220572</v>
      </c>
      <c r="J30" s="93">
        <f t="shared" si="3"/>
        <v>0.193</v>
      </c>
      <c r="K30" s="93">
        <f t="shared" si="4"/>
        <v>0.31328320802005011</v>
      </c>
      <c r="M30" s="45"/>
    </row>
    <row r="31" spans="1:49" ht="13.15" x14ac:dyDescent="0.4">
      <c r="A31" s="79" t="s">
        <v>176</v>
      </c>
      <c r="B31">
        <v>80</v>
      </c>
      <c r="C31">
        <v>72</v>
      </c>
      <c r="D31">
        <v>52</v>
      </c>
      <c r="E31">
        <v>65</v>
      </c>
      <c r="F31">
        <v>54</v>
      </c>
      <c r="G31" s="94">
        <f t="shared" si="0"/>
        <v>13.468863739967361</v>
      </c>
      <c r="H31" s="95">
        <f t="shared" si="1"/>
        <v>322.99999999999994</v>
      </c>
      <c r="I31" s="93">
        <f t="shared" si="2"/>
        <v>0.16429101128695481</v>
      </c>
      <c r="J31" s="93">
        <f t="shared" si="3"/>
        <v>0.193</v>
      </c>
      <c r="K31" s="93">
        <f t="shared" si="4"/>
        <v>0.43343653250774</v>
      </c>
      <c r="M31" s="45"/>
    </row>
    <row r="32" spans="1:49" ht="13.15" x14ac:dyDescent="0.4">
      <c r="A32" s="79" t="s">
        <v>177</v>
      </c>
      <c r="B32">
        <v>64</v>
      </c>
      <c r="C32">
        <v>58</v>
      </c>
      <c r="D32">
        <v>45</v>
      </c>
      <c r="E32">
        <v>55</v>
      </c>
      <c r="F32">
        <v>42</v>
      </c>
      <c r="G32" s="94">
        <f t="shared" si="0"/>
        <v>11.008606895824716</v>
      </c>
      <c r="H32" s="95">
        <f t="shared" si="1"/>
        <v>263.99999999999994</v>
      </c>
      <c r="I32" s="93">
        <f t="shared" si="2"/>
        <v>0.15497933746574835</v>
      </c>
      <c r="J32" s="93">
        <f t="shared" si="3"/>
        <v>0.193</v>
      </c>
      <c r="K32" s="93">
        <f t="shared" si="4"/>
        <v>0.4166666666666668</v>
      </c>
      <c r="M32" s="45"/>
    </row>
    <row r="33" spans="1:13" ht="13.15" x14ac:dyDescent="0.4">
      <c r="A33" s="79" t="s">
        <v>178</v>
      </c>
      <c r="B33">
        <v>58</v>
      </c>
      <c r="C33">
        <v>48</v>
      </c>
      <c r="D33">
        <v>36</v>
      </c>
      <c r="E33">
        <v>46</v>
      </c>
      <c r="F33">
        <v>35</v>
      </c>
      <c r="G33" s="94">
        <f t="shared" si="0"/>
        <v>9.2989368854883026</v>
      </c>
      <c r="H33" s="95">
        <f t="shared" si="1"/>
        <v>222.99999999999997</v>
      </c>
      <c r="I33" s="93">
        <f t="shared" si="2"/>
        <v>0.19004143587818018</v>
      </c>
      <c r="J33" s="93">
        <f t="shared" si="3"/>
        <v>0.193</v>
      </c>
      <c r="K33" s="93">
        <f t="shared" si="4"/>
        <v>0.51569506726457404</v>
      </c>
      <c r="M33" s="45"/>
    </row>
    <row r="34" spans="1:13" ht="13.15" x14ac:dyDescent="0.4">
      <c r="A34" s="79" t="s">
        <v>179</v>
      </c>
      <c r="B34">
        <v>45</v>
      </c>
      <c r="C34">
        <v>29</v>
      </c>
      <c r="D34">
        <v>28</v>
      </c>
      <c r="E34">
        <v>34</v>
      </c>
      <c r="F34">
        <v>25</v>
      </c>
      <c r="G34" s="94">
        <f t="shared" si="0"/>
        <v>6.7135822357112866</v>
      </c>
      <c r="H34" s="95">
        <f t="shared" si="1"/>
        <v>161</v>
      </c>
      <c r="I34" s="93">
        <f t="shared" si="2"/>
        <v>0.21818842323292292</v>
      </c>
      <c r="J34" s="93">
        <f t="shared" si="3"/>
        <v>0.27500000000000002</v>
      </c>
      <c r="K34" s="93">
        <f t="shared" si="4"/>
        <v>0.6211180124223602</v>
      </c>
      <c r="M34" s="45"/>
    </row>
    <row r="35" spans="1:13" ht="13.15" x14ac:dyDescent="0.4">
      <c r="A35" s="79" t="s">
        <v>180</v>
      </c>
      <c r="B35">
        <v>32</v>
      </c>
      <c r="C35">
        <v>21</v>
      </c>
      <c r="D35">
        <v>23</v>
      </c>
      <c r="E35">
        <v>27</v>
      </c>
      <c r="F35">
        <v>20</v>
      </c>
      <c r="G35" s="94">
        <f t="shared" si="0"/>
        <v>5.1290100310092432</v>
      </c>
      <c r="H35" s="95">
        <f t="shared" si="1"/>
        <v>123</v>
      </c>
      <c r="I35" s="93">
        <f t="shared" si="2"/>
        <v>0.17923095678901302</v>
      </c>
      <c r="J35" s="93">
        <f t="shared" si="3"/>
        <v>0.27500000000000002</v>
      </c>
      <c r="K35" s="93">
        <f t="shared" si="4"/>
        <v>0.48780487804878048</v>
      </c>
      <c r="M35" s="45"/>
    </row>
    <row r="36" spans="1:13" ht="13.15" x14ac:dyDescent="0.4">
      <c r="A36" s="79" t="s">
        <v>181</v>
      </c>
      <c r="B36">
        <v>7</v>
      </c>
      <c r="C36">
        <v>5</v>
      </c>
      <c r="D36">
        <v>5</v>
      </c>
      <c r="E36">
        <v>8</v>
      </c>
      <c r="F36">
        <v>5</v>
      </c>
      <c r="G36" s="94">
        <f t="shared" si="0"/>
        <v>1.2509780563437178</v>
      </c>
      <c r="H36" s="95">
        <f t="shared" si="1"/>
        <v>29.999999999999996</v>
      </c>
      <c r="I36" s="93">
        <f t="shared" si="2"/>
        <v>0.21081851067789195</v>
      </c>
      <c r="J36" s="93">
        <f t="shared" si="3"/>
        <v>0.27500000000000002</v>
      </c>
      <c r="K36" s="93">
        <f t="shared" si="4"/>
        <v>0.5</v>
      </c>
      <c r="M36" s="45"/>
    </row>
    <row r="37" spans="1:13" ht="13.15" x14ac:dyDescent="0.4">
      <c r="A37" s="79" t="s">
        <v>182</v>
      </c>
      <c r="B37">
        <v>2</v>
      </c>
      <c r="C37">
        <v>0</v>
      </c>
      <c r="D37">
        <v>1</v>
      </c>
      <c r="E37">
        <v>2</v>
      </c>
      <c r="F37">
        <v>0</v>
      </c>
      <c r="G37" s="94">
        <f t="shared" si="0"/>
        <v>0.20849634272395298</v>
      </c>
      <c r="H37" s="95">
        <f t="shared" si="1"/>
        <v>5</v>
      </c>
      <c r="I37" s="93">
        <f t="shared" si="2"/>
        <v>0.89442719099991586</v>
      </c>
      <c r="J37" s="93">
        <f t="shared" si="3"/>
        <v>0.27500000000000002</v>
      </c>
      <c r="K37" s="93">
        <f t="shared" si="4"/>
        <v>2</v>
      </c>
    </row>
    <row r="38" spans="1:13" ht="13.15" x14ac:dyDescent="0.4">
      <c r="A38" s="79" t="s">
        <v>183</v>
      </c>
      <c r="B38">
        <v>0</v>
      </c>
      <c r="C38">
        <v>0</v>
      </c>
      <c r="D38">
        <v>1</v>
      </c>
      <c r="E38">
        <v>0</v>
      </c>
      <c r="F38">
        <v>0</v>
      </c>
      <c r="G38" s="94">
        <f t="shared" si="0"/>
        <v>4.1699268544790599E-2</v>
      </c>
      <c r="H38" s="95">
        <f t="shared" si="1"/>
        <v>1</v>
      </c>
      <c r="I38" s="93">
        <f t="shared" si="2"/>
        <v>2</v>
      </c>
      <c r="J38" s="93">
        <f t="shared" si="3"/>
        <v>0.27500000000000002</v>
      </c>
      <c r="K38" s="93">
        <f t="shared" si="4"/>
        <v>5</v>
      </c>
    </row>
    <row r="40" spans="1:13" x14ac:dyDescent="0.35">
      <c r="A40" t="s">
        <v>184</v>
      </c>
    </row>
    <row r="41" spans="1:13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3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3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3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3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3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3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3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31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2" spans="1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1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1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1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1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45"/>
      <c r="J71" s="45"/>
    </row>
    <row r="72" spans="1:11" x14ac:dyDescent="0.35">
      <c r="G72" s="45"/>
      <c r="H72" s="45"/>
      <c r="I72" s="45"/>
      <c r="J72" s="45"/>
    </row>
    <row r="73" spans="1:11" ht="13.15" x14ac:dyDescent="0.4">
      <c r="A73" s="8"/>
    </row>
    <row r="77" spans="1:11" x14ac:dyDescent="0.35">
      <c r="H77" s="96"/>
      <c r="J77" s="96"/>
    </row>
    <row r="78" spans="1:11" ht="13.15" x14ac:dyDescent="0.4">
      <c r="A78" s="8"/>
      <c r="H78" s="147"/>
      <c r="J78" s="147"/>
    </row>
    <row r="79" spans="1:11" ht="13.15" x14ac:dyDescent="0.4">
      <c r="K79" s="76"/>
    </row>
  </sheetData>
  <conditionalFormatting sqref="H9:H40">
    <cfRule type="cellIs" dxfId="7" priority="2" operator="greaterThan">
      <formula>1000</formula>
    </cfRule>
  </conditionalFormatting>
  <conditionalFormatting sqref="K9:K38">
    <cfRule type="cellIs" dxfId="6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W79"/>
  <sheetViews>
    <sheetView zoomScale="95" zoomScaleNormal="95" workbookViewId="0">
      <selection activeCell="C51" sqref="C51"/>
    </sheetView>
  </sheetViews>
  <sheetFormatPr defaultColWidth="11.53125" defaultRowHeight="12.75" x14ac:dyDescent="0.35"/>
  <sheetData>
    <row r="1" spans="1:49" x14ac:dyDescent="0.35">
      <c r="A1" t="s">
        <v>290</v>
      </c>
    </row>
    <row r="2" spans="1:49" ht="40.15" x14ac:dyDescent="1.05">
      <c r="O2" s="89"/>
    </row>
    <row r="4" spans="1:49" ht="40.15" x14ac:dyDescent="1.05">
      <c r="A4" s="8" t="s">
        <v>28</v>
      </c>
      <c r="O4" s="89" t="s">
        <v>101</v>
      </c>
    </row>
    <row r="5" spans="1:49" x14ac:dyDescent="0.35">
      <c r="O5" s="32">
        <v>45831</v>
      </c>
    </row>
    <row r="6" spans="1:49" ht="13.15" x14ac:dyDescent="0.4">
      <c r="A6" t="s">
        <v>292</v>
      </c>
      <c r="B6" s="8"/>
      <c r="C6" s="8"/>
      <c r="D6" s="8"/>
      <c r="E6" s="8"/>
      <c r="F6" s="8"/>
      <c r="O6" t="s">
        <v>293</v>
      </c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M7" s="76"/>
    </row>
    <row r="8" spans="1:49" ht="13.15" x14ac:dyDescent="0.4">
      <c r="A8" s="79" t="s">
        <v>153</v>
      </c>
      <c r="B8">
        <v>4.5983349999999996</v>
      </c>
      <c r="C8">
        <v>4.8893050000000002</v>
      </c>
      <c r="D8">
        <v>4.7635069999999997</v>
      </c>
      <c r="E8">
        <v>4.9099269999999997</v>
      </c>
      <c r="F8">
        <v>4.8772599999999997</v>
      </c>
      <c r="G8" s="92">
        <v>25.517626</v>
      </c>
      <c r="H8" s="92">
        <f>AVERAGE(B$8:F$8)*5</f>
        <v>24.038333999999999</v>
      </c>
      <c r="I8" s="93"/>
      <c r="K8" s="93"/>
    </row>
    <row r="9" spans="1:49" ht="13.15" x14ac:dyDescent="0.4">
      <c r="A9" s="97" t="s">
        <v>154</v>
      </c>
      <c r="B9">
        <v>25981</v>
      </c>
      <c r="C9">
        <v>26920</v>
      </c>
      <c r="D9">
        <v>26316</v>
      </c>
      <c r="E9">
        <v>26358</v>
      </c>
      <c r="F9">
        <v>26500</v>
      </c>
      <c r="G9" s="141">
        <f t="shared" ref="G9:G38" si="0">AVERAGE(B9:F9)/AVERAGE(B$8:F$8)</f>
        <v>5494.3491508188545</v>
      </c>
      <c r="H9" s="142">
        <f t="shared" ref="H9:H38" si="1">G9*H$8</f>
        <v>132075</v>
      </c>
      <c r="I9" s="143">
        <f t="shared" ref="I9:I38" si="2">STDEVP(B9:F9)/AVERAGE(B9:F9)</f>
        <v>1.1528221834743224E-2</v>
      </c>
      <c r="J9" s="143">
        <f t="shared" ref="J9:J38" si="3">IF(H9&gt;$A$43, $C$43, IF(H9&gt;$A$44, $C$44, IF(H9&gt;$A$45,$C$45,IF(H9&gt;$A$46,$C$46, IF(H9&gt;$A$47,$C$47,IF(H9&gt;$A$48,$C$48,$C$49))))))/100</f>
        <v>0.11</v>
      </c>
      <c r="K9" s="143">
        <f t="shared" ref="K9:K38" si="4">(MAX(B9:F9)-MIN(B9:F9))/H9*5</f>
        <v>3.5547984099943218E-2</v>
      </c>
      <c r="M9" s="45"/>
    </row>
    <row r="10" spans="1:49" ht="13.15" x14ac:dyDescent="0.4">
      <c r="A10" s="79" t="s">
        <v>155</v>
      </c>
      <c r="B10">
        <v>15334</v>
      </c>
      <c r="C10">
        <v>15778</v>
      </c>
      <c r="D10">
        <v>15395</v>
      </c>
      <c r="E10">
        <v>15420</v>
      </c>
      <c r="F10">
        <v>15496</v>
      </c>
      <c r="G10" s="94">
        <f t="shared" si="0"/>
        <v>3220.8138883501661</v>
      </c>
      <c r="H10" s="95">
        <f t="shared" si="1"/>
        <v>77423</v>
      </c>
      <c r="I10" s="93">
        <f t="shared" si="2"/>
        <v>1.0050287169606674E-2</v>
      </c>
      <c r="J10" s="93">
        <f t="shared" si="3"/>
        <v>0.11</v>
      </c>
      <c r="K10" s="93">
        <f t="shared" si="4"/>
        <v>2.8673649948981569E-2</v>
      </c>
      <c r="M10" s="45"/>
    </row>
    <row r="11" spans="1:49" ht="13.15" x14ac:dyDescent="0.4">
      <c r="A11" s="79" t="s">
        <v>156</v>
      </c>
      <c r="B11">
        <v>8494</v>
      </c>
      <c r="C11">
        <v>8843</v>
      </c>
      <c r="D11">
        <v>8499</v>
      </c>
      <c r="E11">
        <v>8385</v>
      </c>
      <c r="F11">
        <v>8580</v>
      </c>
      <c r="G11" s="94">
        <f t="shared" si="0"/>
        <v>1780.531046785522</v>
      </c>
      <c r="H11" s="95">
        <f t="shared" si="1"/>
        <v>42801</v>
      </c>
      <c r="I11" s="93">
        <f t="shared" si="2"/>
        <v>1.8036507784950539E-2</v>
      </c>
      <c r="J11" s="93">
        <f t="shared" si="3"/>
        <v>0.11</v>
      </c>
      <c r="K11" s="93">
        <f t="shared" si="4"/>
        <v>5.3503422817223895E-2</v>
      </c>
      <c r="M11" s="45"/>
    </row>
    <row r="12" spans="1:49" ht="13.15" x14ac:dyDescent="0.4">
      <c r="A12" s="79" t="s">
        <v>157</v>
      </c>
      <c r="B12">
        <v>4764</v>
      </c>
      <c r="C12">
        <v>4879</v>
      </c>
      <c r="D12">
        <v>4613</v>
      </c>
      <c r="E12">
        <v>4613</v>
      </c>
      <c r="F12">
        <v>4663</v>
      </c>
      <c r="G12" s="94">
        <f t="shared" si="0"/>
        <v>978.9363938449311</v>
      </c>
      <c r="H12" s="95">
        <f t="shared" si="1"/>
        <v>23531.999999999996</v>
      </c>
      <c r="I12" s="93">
        <f t="shared" si="2"/>
        <v>2.1759764522010606E-2</v>
      </c>
      <c r="J12" s="93">
        <f t="shared" si="3"/>
        <v>0.11</v>
      </c>
      <c r="K12" s="93">
        <f t="shared" si="4"/>
        <v>5.6518782933877285E-2</v>
      </c>
      <c r="M12" s="45"/>
    </row>
    <row r="13" spans="1:49" ht="13.15" x14ac:dyDescent="0.4">
      <c r="A13" s="79" t="s">
        <v>158</v>
      </c>
      <c r="B13">
        <v>3005</v>
      </c>
      <c r="C13">
        <v>3037</v>
      </c>
      <c r="D13">
        <v>2840</v>
      </c>
      <c r="E13">
        <v>2825</v>
      </c>
      <c r="F13">
        <v>2769</v>
      </c>
      <c r="G13" s="94">
        <f t="shared" si="0"/>
        <v>602.20479505776063</v>
      </c>
      <c r="H13" s="95">
        <f t="shared" si="1"/>
        <v>14475.999999999998</v>
      </c>
      <c r="I13" s="93">
        <f t="shared" si="2"/>
        <v>3.6574766850102552E-2</v>
      </c>
      <c r="J13" s="93">
        <f t="shared" si="3"/>
        <v>0.11</v>
      </c>
      <c r="K13" s="93">
        <f t="shared" si="4"/>
        <v>9.256700746062449E-2</v>
      </c>
      <c r="M13" s="45"/>
    </row>
    <row r="14" spans="1:49" ht="13.15" x14ac:dyDescent="0.4">
      <c r="A14" s="101" t="s">
        <v>159</v>
      </c>
      <c r="B14">
        <v>1926</v>
      </c>
      <c r="C14">
        <v>1993</v>
      </c>
      <c r="D14">
        <v>1804</v>
      </c>
      <c r="E14">
        <v>1764</v>
      </c>
      <c r="F14">
        <v>1742</v>
      </c>
      <c r="G14" s="144">
        <f t="shared" si="0"/>
        <v>383.92843697071521</v>
      </c>
      <c r="H14" s="145">
        <f t="shared" si="1"/>
        <v>9229</v>
      </c>
      <c r="I14" s="146">
        <f t="shared" si="2"/>
        <v>5.2701100170130542E-2</v>
      </c>
      <c r="J14" s="146">
        <f t="shared" si="3"/>
        <v>0.113</v>
      </c>
      <c r="K14" s="146">
        <f t="shared" si="4"/>
        <v>0.1359843970094268</v>
      </c>
      <c r="M14" s="45"/>
    </row>
    <row r="15" spans="1:49" ht="13.15" x14ac:dyDescent="0.4">
      <c r="A15" s="79" t="s">
        <v>160</v>
      </c>
      <c r="B15">
        <v>1283</v>
      </c>
      <c r="C15">
        <v>1343</v>
      </c>
      <c r="D15">
        <v>1204</v>
      </c>
      <c r="E15">
        <v>1171</v>
      </c>
      <c r="F15">
        <v>1155</v>
      </c>
      <c r="G15" s="94">
        <f t="shared" si="0"/>
        <v>256.09095871619058</v>
      </c>
      <c r="H15" s="95">
        <f t="shared" si="1"/>
        <v>6156</v>
      </c>
      <c r="I15" s="93">
        <f t="shared" si="2"/>
        <v>5.7836147444908247E-2</v>
      </c>
      <c r="J15" s="93">
        <f t="shared" si="3"/>
        <v>0.113</v>
      </c>
      <c r="K15" s="93">
        <f t="shared" si="4"/>
        <v>0.15269655620532813</v>
      </c>
      <c r="M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>
        <v>924</v>
      </c>
      <c r="C16">
        <v>972</v>
      </c>
      <c r="D16">
        <v>860</v>
      </c>
      <c r="E16">
        <v>864</v>
      </c>
      <c r="F16">
        <v>808</v>
      </c>
      <c r="G16" s="94">
        <f t="shared" si="0"/>
        <v>184.20577732217217</v>
      </c>
      <c r="H16" s="95">
        <f t="shared" si="1"/>
        <v>4428</v>
      </c>
      <c r="I16" s="93">
        <f t="shared" si="2"/>
        <v>6.4041813458956098E-2</v>
      </c>
      <c r="J16" s="93">
        <f t="shared" si="3"/>
        <v>0.11900000000000001</v>
      </c>
      <c r="K16" s="93">
        <f t="shared" si="4"/>
        <v>0.18518518518518517</v>
      </c>
      <c r="M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>
        <v>731</v>
      </c>
      <c r="C17">
        <v>764</v>
      </c>
      <c r="D17">
        <v>671</v>
      </c>
      <c r="E17">
        <v>664</v>
      </c>
      <c r="F17">
        <v>621</v>
      </c>
      <c r="G17" s="94">
        <f t="shared" si="0"/>
        <v>143.56236168446617</v>
      </c>
      <c r="H17" s="95">
        <f t="shared" si="1"/>
        <v>3451</v>
      </c>
      <c r="I17" s="93">
        <f t="shared" si="2"/>
        <v>7.3748874900144645E-2</v>
      </c>
      <c r="J17" s="93">
        <f t="shared" si="3"/>
        <v>0.11900000000000001</v>
      </c>
      <c r="K17" s="93">
        <f t="shared" si="4"/>
        <v>0.20718632280498406</v>
      </c>
      <c r="M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>
        <v>590</v>
      </c>
      <c r="C18">
        <v>602</v>
      </c>
      <c r="D18">
        <v>550</v>
      </c>
      <c r="E18">
        <v>521</v>
      </c>
      <c r="F18">
        <v>498</v>
      </c>
      <c r="G18" s="94">
        <f t="shared" si="0"/>
        <v>114.85820939171576</v>
      </c>
      <c r="H18" s="95">
        <f t="shared" si="1"/>
        <v>2761</v>
      </c>
      <c r="I18" s="93">
        <f t="shared" si="2"/>
        <v>7.1639940830016915E-2</v>
      </c>
      <c r="J18" s="93">
        <f t="shared" si="3"/>
        <v>0.11900000000000001</v>
      </c>
      <c r="K18" s="93">
        <f t="shared" si="4"/>
        <v>0.18833755885548714</v>
      </c>
      <c r="M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>
        <v>476</v>
      </c>
      <c r="C19">
        <v>493</v>
      </c>
      <c r="D19">
        <v>458</v>
      </c>
      <c r="E19">
        <v>431</v>
      </c>
      <c r="F19">
        <v>405</v>
      </c>
      <c r="G19" s="94">
        <f t="shared" si="0"/>
        <v>94.141299476078515</v>
      </c>
      <c r="H19" s="95">
        <f t="shared" si="1"/>
        <v>2263.0000000000005</v>
      </c>
      <c r="I19" s="93">
        <f t="shared" si="2"/>
        <v>6.9457102889449354E-2</v>
      </c>
      <c r="J19" s="93">
        <f t="shared" si="3"/>
        <v>0.11900000000000001</v>
      </c>
      <c r="K19" s="93">
        <f t="shared" si="4"/>
        <v>0.19443216968625715</v>
      </c>
      <c r="M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>
        <v>391</v>
      </c>
      <c r="C20">
        <v>409</v>
      </c>
      <c r="D20">
        <v>360</v>
      </c>
      <c r="E20">
        <v>362</v>
      </c>
      <c r="F20">
        <v>327</v>
      </c>
      <c r="G20" s="94">
        <f t="shared" si="0"/>
        <v>76.918808100428265</v>
      </c>
      <c r="H20" s="95">
        <f t="shared" si="1"/>
        <v>1849</v>
      </c>
      <c r="I20" s="93">
        <f t="shared" si="2"/>
        <v>7.6244010340504764E-2</v>
      </c>
      <c r="J20" s="93">
        <f t="shared" si="3"/>
        <v>0.13400000000000001</v>
      </c>
      <c r="K20" s="93">
        <f t="shared" si="4"/>
        <v>0.22174148188209844</v>
      </c>
      <c r="M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>
        <v>331</v>
      </c>
      <c r="C21">
        <v>348</v>
      </c>
      <c r="D21">
        <v>295</v>
      </c>
      <c r="E21">
        <v>299</v>
      </c>
      <c r="F21">
        <v>283</v>
      </c>
      <c r="G21" s="94">
        <f t="shared" si="0"/>
        <v>64.729943431187863</v>
      </c>
      <c r="H21" s="95">
        <f t="shared" si="1"/>
        <v>1555.9999999999998</v>
      </c>
      <c r="I21" s="93">
        <f t="shared" si="2"/>
        <v>7.80894610749822E-2</v>
      </c>
      <c r="J21" s="93">
        <f t="shared" si="3"/>
        <v>0.13400000000000001</v>
      </c>
      <c r="K21" s="93">
        <f t="shared" si="4"/>
        <v>0.20886889460154243</v>
      </c>
      <c r="M21" s="45"/>
      <c r="O21" s="8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>
        <v>270</v>
      </c>
      <c r="C22">
        <v>307</v>
      </c>
      <c r="D22">
        <v>254</v>
      </c>
      <c r="E22">
        <v>248</v>
      </c>
      <c r="F22">
        <v>253</v>
      </c>
      <c r="G22" s="94">
        <f t="shared" si="0"/>
        <v>55.411493991222514</v>
      </c>
      <c r="H22" s="95">
        <f t="shared" si="1"/>
        <v>1331.9999999999998</v>
      </c>
      <c r="I22" s="93">
        <f t="shared" si="2"/>
        <v>8.108803217896185E-2</v>
      </c>
      <c r="J22" s="93">
        <f t="shared" si="3"/>
        <v>0.13400000000000001</v>
      </c>
      <c r="K22" s="93">
        <f t="shared" si="4"/>
        <v>0.2214714714714715</v>
      </c>
      <c r="M22" s="45"/>
      <c r="O22" s="76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>
        <v>229</v>
      </c>
      <c r="C23">
        <v>263</v>
      </c>
      <c r="D23">
        <v>215</v>
      </c>
      <c r="E23">
        <v>210</v>
      </c>
      <c r="F23">
        <v>218</v>
      </c>
      <c r="G23" s="94">
        <f t="shared" si="0"/>
        <v>47.216250510538714</v>
      </c>
      <c r="H23" s="95">
        <f t="shared" si="1"/>
        <v>1135</v>
      </c>
      <c r="I23" s="93">
        <f t="shared" si="2"/>
        <v>8.3908852516716301E-2</v>
      </c>
      <c r="J23" s="93">
        <f t="shared" si="3"/>
        <v>0.13400000000000001</v>
      </c>
      <c r="K23" s="93">
        <f t="shared" si="4"/>
        <v>0.23348017621145373</v>
      </c>
      <c r="M23" s="45"/>
      <c r="O23" s="7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>
        <v>194</v>
      </c>
      <c r="C24">
        <v>234</v>
      </c>
      <c r="D24">
        <v>173</v>
      </c>
      <c r="E24">
        <v>179</v>
      </c>
      <c r="F24">
        <v>182</v>
      </c>
      <c r="G24" s="94">
        <f t="shared" si="0"/>
        <v>40.019412326994043</v>
      </c>
      <c r="H24" s="95">
        <f t="shared" si="1"/>
        <v>962</v>
      </c>
      <c r="I24" s="93">
        <f t="shared" si="2"/>
        <v>0.1138051890720681</v>
      </c>
      <c r="J24" s="93">
        <f t="shared" si="3"/>
        <v>0.156</v>
      </c>
      <c r="K24" s="93">
        <f t="shared" si="4"/>
        <v>0.31704781704781704</v>
      </c>
      <c r="M24" s="45"/>
      <c r="O24" s="76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>
        <v>164</v>
      </c>
      <c r="C25">
        <v>194</v>
      </c>
      <c r="D25">
        <v>140</v>
      </c>
      <c r="E25">
        <v>146</v>
      </c>
      <c r="F25">
        <v>157</v>
      </c>
      <c r="G25" s="94">
        <f t="shared" si="0"/>
        <v>33.321776792018944</v>
      </c>
      <c r="H25" s="95">
        <f t="shared" si="1"/>
        <v>800.99999999999989</v>
      </c>
      <c r="I25" s="93">
        <f t="shared" si="2"/>
        <v>0.11767162714554985</v>
      </c>
      <c r="J25" s="93">
        <f t="shared" si="3"/>
        <v>0.156</v>
      </c>
      <c r="K25" s="93">
        <f t="shared" si="4"/>
        <v>0.3370786516853933</v>
      </c>
      <c r="M25" s="45"/>
      <c r="O25" s="7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>
        <v>142</v>
      </c>
      <c r="C26">
        <v>152</v>
      </c>
      <c r="D26">
        <v>115</v>
      </c>
      <c r="E26">
        <v>121</v>
      </c>
      <c r="F26">
        <v>126</v>
      </c>
      <c r="G26" s="94">
        <f t="shared" si="0"/>
        <v>27.28974478846995</v>
      </c>
      <c r="H26" s="95">
        <f t="shared" si="1"/>
        <v>656</v>
      </c>
      <c r="I26" s="93">
        <f t="shared" si="2"/>
        <v>0.10466246276690166</v>
      </c>
      <c r="J26" s="93">
        <f t="shared" si="3"/>
        <v>0.156</v>
      </c>
      <c r="K26" s="93">
        <f t="shared" si="4"/>
        <v>0.28201219512195125</v>
      </c>
      <c r="M26" s="45"/>
    </row>
    <row r="27" spans="1:49" ht="13.15" x14ac:dyDescent="0.4">
      <c r="A27" s="79" t="s">
        <v>172</v>
      </c>
      <c r="B27">
        <v>115</v>
      </c>
      <c r="C27">
        <v>126</v>
      </c>
      <c r="D27">
        <v>98</v>
      </c>
      <c r="E27">
        <v>96</v>
      </c>
      <c r="F27">
        <v>110</v>
      </c>
      <c r="G27" s="94">
        <f t="shared" si="0"/>
        <v>22.672120289201409</v>
      </c>
      <c r="H27" s="95">
        <f t="shared" si="1"/>
        <v>545</v>
      </c>
      <c r="I27" s="93">
        <f t="shared" si="2"/>
        <v>0.10183072972852557</v>
      </c>
      <c r="J27" s="93">
        <f t="shared" si="3"/>
        <v>0.156</v>
      </c>
      <c r="K27" s="93">
        <f t="shared" si="4"/>
        <v>0.27522935779816515</v>
      </c>
      <c r="M27" s="45"/>
    </row>
    <row r="28" spans="1:49" ht="13.15" x14ac:dyDescent="0.4">
      <c r="A28" s="79" t="s">
        <v>173</v>
      </c>
      <c r="B28">
        <v>87</v>
      </c>
      <c r="C28">
        <v>98</v>
      </c>
      <c r="D28">
        <v>83</v>
      </c>
      <c r="E28">
        <v>80</v>
      </c>
      <c r="F28">
        <v>86</v>
      </c>
      <c r="G28" s="94">
        <f t="shared" si="0"/>
        <v>18.054495789932862</v>
      </c>
      <c r="H28" s="95">
        <f t="shared" si="1"/>
        <v>433.99999999999994</v>
      </c>
      <c r="I28" s="93">
        <f t="shared" si="2"/>
        <v>7.0418003640258645E-2</v>
      </c>
      <c r="J28" s="93">
        <f t="shared" si="3"/>
        <v>0.193</v>
      </c>
      <c r="K28" s="93">
        <f t="shared" si="4"/>
        <v>0.20737327188940097</v>
      </c>
      <c r="M28" s="45"/>
    </row>
    <row r="29" spans="1:49" ht="13.15" x14ac:dyDescent="0.4">
      <c r="A29" s="79" t="s">
        <v>174</v>
      </c>
      <c r="B29">
        <v>66</v>
      </c>
      <c r="C29">
        <v>71</v>
      </c>
      <c r="D29">
        <v>63</v>
      </c>
      <c r="E29">
        <v>62</v>
      </c>
      <c r="F29">
        <v>65</v>
      </c>
      <c r="G29" s="94">
        <f t="shared" si="0"/>
        <v>13.603272173520846</v>
      </c>
      <c r="H29" s="95">
        <f t="shared" si="1"/>
        <v>327.00000000000006</v>
      </c>
      <c r="I29" s="93">
        <f t="shared" si="2"/>
        <v>4.7964486670819942E-2</v>
      </c>
      <c r="J29" s="93">
        <f t="shared" si="3"/>
        <v>0.193</v>
      </c>
      <c r="K29" s="93">
        <f t="shared" si="4"/>
        <v>0.13761467889908255</v>
      </c>
      <c r="M29" s="45"/>
    </row>
    <row r="30" spans="1:49" ht="13.15" x14ac:dyDescent="0.4">
      <c r="A30" s="79" t="s">
        <v>175</v>
      </c>
      <c r="B30">
        <v>49</v>
      </c>
      <c r="C30">
        <v>56</v>
      </c>
      <c r="D30">
        <v>43</v>
      </c>
      <c r="E30">
        <v>48</v>
      </c>
      <c r="F30">
        <v>55</v>
      </c>
      <c r="G30" s="94">
        <f t="shared" si="0"/>
        <v>10.441655399246887</v>
      </c>
      <c r="H30" s="95">
        <f t="shared" si="1"/>
        <v>251</v>
      </c>
      <c r="I30" s="93">
        <f t="shared" si="2"/>
        <v>9.5451382874190735E-2</v>
      </c>
      <c r="J30" s="93">
        <f t="shared" si="3"/>
        <v>0.193</v>
      </c>
      <c r="K30" s="93">
        <f t="shared" si="4"/>
        <v>0.25896414342629481</v>
      </c>
      <c r="M30" s="45"/>
    </row>
    <row r="31" spans="1:49" ht="13.15" x14ac:dyDescent="0.4">
      <c r="A31" s="79" t="s">
        <v>176</v>
      </c>
      <c r="B31">
        <v>39</v>
      </c>
      <c r="C31">
        <v>44</v>
      </c>
      <c r="D31">
        <v>35</v>
      </c>
      <c r="E31">
        <v>37</v>
      </c>
      <c r="F31">
        <v>47</v>
      </c>
      <c r="G31" s="94">
        <f t="shared" si="0"/>
        <v>8.4032445842544661</v>
      </c>
      <c r="H31" s="95">
        <f t="shared" si="1"/>
        <v>202</v>
      </c>
      <c r="I31" s="93">
        <f t="shared" si="2"/>
        <v>0.11025275966000045</v>
      </c>
      <c r="J31" s="93">
        <f t="shared" si="3"/>
        <v>0.193</v>
      </c>
      <c r="K31" s="93">
        <f t="shared" si="4"/>
        <v>0.29702970297029702</v>
      </c>
      <c r="M31" s="45"/>
    </row>
    <row r="32" spans="1:49" ht="13.15" x14ac:dyDescent="0.4">
      <c r="A32" s="79" t="s">
        <v>177</v>
      </c>
      <c r="B32">
        <v>29</v>
      </c>
      <c r="C32">
        <v>35</v>
      </c>
      <c r="D32">
        <v>30</v>
      </c>
      <c r="E32">
        <v>28</v>
      </c>
      <c r="F32">
        <v>41</v>
      </c>
      <c r="G32" s="94">
        <f t="shared" si="0"/>
        <v>6.780835976403357</v>
      </c>
      <c r="H32" s="95">
        <f t="shared" si="1"/>
        <v>163</v>
      </c>
      <c r="I32" s="93">
        <f t="shared" si="2"/>
        <v>0.14851188266147489</v>
      </c>
      <c r="J32" s="93">
        <f t="shared" si="3"/>
        <v>0.27500000000000002</v>
      </c>
      <c r="K32" s="93">
        <f t="shared" si="4"/>
        <v>0.3987730061349693</v>
      </c>
      <c r="M32" s="45"/>
    </row>
    <row r="33" spans="1:13" ht="13.15" x14ac:dyDescent="0.4">
      <c r="A33" s="79" t="s">
        <v>178</v>
      </c>
      <c r="B33">
        <v>23</v>
      </c>
      <c r="C33">
        <v>21</v>
      </c>
      <c r="D33">
        <v>17</v>
      </c>
      <c r="E33">
        <v>23</v>
      </c>
      <c r="F33">
        <v>36</v>
      </c>
      <c r="G33" s="94">
        <f t="shared" si="0"/>
        <v>4.9920264856957228</v>
      </c>
      <c r="H33" s="95">
        <f t="shared" si="1"/>
        <v>120</v>
      </c>
      <c r="I33" s="93">
        <f t="shared" si="2"/>
        <v>0.26614532371118854</v>
      </c>
      <c r="J33" s="93">
        <f t="shared" si="3"/>
        <v>0.27500000000000002</v>
      </c>
      <c r="K33" s="93">
        <f t="shared" si="4"/>
        <v>0.79166666666666663</v>
      </c>
      <c r="M33" s="45"/>
    </row>
    <row r="34" spans="1:13" ht="13.15" x14ac:dyDescent="0.4">
      <c r="A34" s="79" t="s">
        <v>179</v>
      </c>
      <c r="B34">
        <v>17</v>
      </c>
      <c r="C34">
        <v>19</v>
      </c>
      <c r="D34">
        <v>11</v>
      </c>
      <c r="E34">
        <v>19</v>
      </c>
      <c r="F34">
        <v>26</v>
      </c>
      <c r="G34" s="94">
        <f t="shared" si="0"/>
        <v>3.8272203057000538</v>
      </c>
      <c r="H34" s="95">
        <f t="shared" si="1"/>
        <v>91.999999999999986</v>
      </c>
      <c r="I34" s="93">
        <f t="shared" si="2"/>
        <v>0.2608695652173913</v>
      </c>
      <c r="J34" s="93">
        <f t="shared" si="3"/>
        <v>0.27500000000000002</v>
      </c>
      <c r="K34" s="93">
        <f t="shared" si="4"/>
        <v>0.815217391304348</v>
      </c>
      <c r="M34" s="45"/>
    </row>
    <row r="35" spans="1:13" ht="13.15" x14ac:dyDescent="0.4">
      <c r="A35" s="79" t="s">
        <v>180</v>
      </c>
      <c r="B35">
        <v>10</v>
      </c>
      <c r="C35">
        <v>15</v>
      </c>
      <c r="D35">
        <v>8</v>
      </c>
      <c r="E35">
        <v>13</v>
      </c>
      <c r="F35">
        <v>20</v>
      </c>
      <c r="G35" s="94">
        <f t="shared" si="0"/>
        <v>2.7456145671326473</v>
      </c>
      <c r="H35" s="95">
        <f t="shared" si="1"/>
        <v>66</v>
      </c>
      <c r="I35" s="93">
        <f t="shared" si="2"/>
        <v>0.31564646448484335</v>
      </c>
      <c r="J35" s="93">
        <f t="shared" si="3"/>
        <v>0.27500000000000002</v>
      </c>
      <c r="K35" s="93">
        <f t="shared" si="4"/>
        <v>0.90909090909090917</v>
      </c>
      <c r="M35" s="45"/>
    </row>
    <row r="36" spans="1:13" ht="13.15" x14ac:dyDescent="0.4">
      <c r="A36" s="79" t="s">
        <v>181</v>
      </c>
      <c r="B36">
        <v>1</v>
      </c>
      <c r="C36">
        <v>2</v>
      </c>
      <c r="D36">
        <v>2</v>
      </c>
      <c r="E36">
        <v>2</v>
      </c>
      <c r="F36">
        <v>3</v>
      </c>
      <c r="G36" s="94">
        <f t="shared" si="0"/>
        <v>0.41600220714131025</v>
      </c>
      <c r="H36" s="95">
        <f t="shared" si="1"/>
        <v>10</v>
      </c>
      <c r="I36" s="93">
        <f t="shared" si="2"/>
        <v>0.31622776601683794</v>
      </c>
      <c r="J36" s="93">
        <f t="shared" si="3"/>
        <v>0.27500000000000002</v>
      </c>
      <c r="K36" s="93">
        <f t="shared" si="4"/>
        <v>1</v>
      </c>
      <c r="M36" s="45"/>
    </row>
    <row r="37" spans="1:13" ht="13.15" x14ac:dyDescent="0.4">
      <c r="A37" s="79" t="s">
        <v>182</v>
      </c>
      <c r="B37">
        <v>0</v>
      </c>
      <c r="C37">
        <v>0</v>
      </c>
      <c r="D37">
        <v>0</v>
      </c>
      <c r="E37">
        <v>1</v>
      </c>
      <c r="F37">
        <v>0</v>
      </c>
      <c r="G37" s="94">
        <f t="shared" si="0"/>
        <v>4.1600220714131025E-2</v>
      </c>
      <c r="H37" s="95">
        <f t="shared" si="1"/>
        <v>1</v>
      </c>
      <c r="I37" s="93">
        <f t="shared" si="2"/>
        <v>2</v>
      </c>
      <c r="J37" s="93">
        <f t="shared" si="3"/>
        <v>0.27500000000000002</v>
      </c>
      <c r="K37" s="93">
        <f t="shared" si="4"/>
        <v>5</v>
      </c>
    </row>
    <row r="38" spans="1:13" ht="13.15" x14ac:dyDescent="0.4">
      <c r="A38" s="79" t="s">
        <v>183</v>
      </c>
      <c r="B38">
        <v>0</v>
      </c>
      <c r="C38">
        <v>0</v>
      </c>
      <c r="D38">
        <v>0</v>
      </c>
      <c r="E38">
        <v>1</v>
      </c>
      <c r="F38">
        <v>0</v>
      </c>
      <c r="G38" s="94">
        <f t="shared" si="0"/>
        <v>4.1600220714131025E-2</v>
      </c>
      <c r="H38" s="95">
        <f t="shared" si="1"/>
        <v>1</v>
      </c>
      <c r="I38" s="93">
        <f t="shared" si="2"/>
        <v>2</v>
      </c>
      <c r="J38" s="93">
        <f t="shared" si="3"/>
        <v>0.27500000000000002</v>
      </c>
      <c r="K38" s="93">
        <f t="shared" si="4"/>
        <v>5</v>
      </c>
    </row>
    <row r="40" spans="1:13" x14ac:dyDescent="0.35">
      <c r="A40" t="s">
        <v>184</v>
      </c>
    </row>
    <row r="41" spans="1:13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3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3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3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3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3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3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3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31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1" spans="1:31" x14ac:dyDescent="0.35">
      <c r="A51">
        <v>4.9231350000000003</v>
      </c>
      <c r="B51">
        <v>29157</v>
      </c>
      <c r="C51">
        <v>17360</v>
      </c>
      <c r="D51">
        <v>9287</v>
      </c>
      <c r="E51">
        <v>4587</v>
      </c>
      <c r="F51">
        <v>2348</v>
      </c>
      <c r="G51">
        <v>1088</v>
      </c>
      <c r="H51">
        <v>532</v>
      </c>
      <c r="I51">
        <v>270</v>
      </c>
      <c r="J51">
        <v>164</v>
      </c>
      <c r="K51">
        <v>115</v>
      </c>
      <c r="L51">
        <v>70</v>
      </c>
      <c r="M51">
        <v>48</v>
      </c>
      <c r="N51">
        <v>40</v>
      </c>
      <c r="O51">
        <v>36</v>
      </c>
      <c r="P51">
        <v>34</v>
      </c>
      <c r="Q51">
        <v>31</v>
      </c>
      <c r="R51">
        <v>23</v>
      </c>
      <c r="S51">
        <v>19</v>
      </c>
      <c r="T51">
        <v>17</v>
      </c>
      <c r="U51">
        <v>14</v>
      </c>
      <c r="V51">
        <v>13</v>
      </c>
      <c r="W51">
        <v>9</v>
      </c>
      <c r="X51">
        <v>8</v>
      </c>
      <c r="Y51">
        <v>7</v>
      </c>
      <c r="Z51">
        <v>6</v>
      </c>
      <c r="AA51">
        <v>5</v>
      </c>
      <c r="AB51">
        <v>5</v>
      </c>
      <c r="AC51">
        <v>4</v>
      </c>
      <c r="AD51">
        <v>1</v>
      </c>
      <c r="AE51">
        <v>1</v>
      </c>
    </row>
    <row r="52" spans="1:31" x14ac:dyDescent="0.35">
      <c r="A52">
        <v>5.2287220000000003</v>
      </c>
      <c r="B52">
        <v>30687</v>
      </c>
      <c r="C52">
        <v>18503</v>
      </c>
      <c r="D52">
        <v>9843</v>
      </c>
      <c r="E52">
        <v>4921</v>
      </c>
      <c r="F52">
        <v>2546</v>
      </c>
      <c r="G52">
        <v>1198</v>
      </c>
      <c r="H52">
        <v>560</v>
      </c>
      <c r="I52">
        <v>276</v>
      </c>
      <c r="J52">
        <v>149</v>
      </c>
      <c r="K52">
        <v>100</v>
      </c>
      <c r="L52">
        <v>66</v>
      </c>
      <c r="M52">
        <v>50</v>
      </c>
      <c r="N52">
        <v>38</v>
      </c>
      <c r="O52">
        <v>33</v>
      </c>
      <c r="P52">
        <v>28</v>
      </c>
      <c r="Q52">
        <v>23</v>
      </c>
      <c r="R52">
        <v>20</v>
      </c>
      <c r="S52">
        <v>15</v>
      </c>
      <c r="T52">
        <v>12</v>
      </c>
      <c r="U52">
        <v>11</v>
      </c>
      <c r="V52">
        <v>10</v>
      </c>
      <c r="W52">
        <v>9</v>
      </c>
      <c r="X52">
        <v>7</v>
      </c>
      <c r="Y52">
        <v>5</v>
      </c>
      <c r="Z52">
        <v>5</v>
      </c>
      <c r="AA52">
        <v>4</v>
      </c>
      <c r="AB52">
        <v>3</v>
      </c>
      <c r="AC52">
        <v>0</v>
      </c>
      <c r="AD52">
        <v>0</v>
      </c>
      <c r="AE52">
        <v>0</v>
      </c>
    </row>
    <row r="53" spans="1:31" x14ac:dyDescent="0.35">
      <c r="A53">
        <v>5.1742039999999996</v>
      </c>
      <c r="B53">
        <v>30764</v>
      </c>
      <c r="C53">
        <v>18397</v>
      </c>
      <c r="D53">
        <v>9784</v>
      </c>
      <c r="E53">
        <v>4957</v>
      </c>
      <c r="F53">
        <v>2570</v>
      </c>
      <c r="G53">
        <v>1203</v>
      </c>
      <c r="H53">
        <v>561</v>
      </c>
      <c r="I53">
        <v>286</v>
      </c>
      <c r="J53">
        <v>163</v>
      </c>
      <c r="K53">
        <v>97</v>
      </c>
      <c r="L53">
        <v>67</v>
      </c>
      <c r="M53">
        <v>51</v>
      </c>
      <c r="N53">
        <v>38</v>
      </c>
      <c r="O53">
        <v>34</v>
      </c>
      <c r="P53">
        <v>28</v>
      </c>
      <c r="Q53">
        <v>26</v>
      </c>
      <c r="R53">
        <v>24</v>
      </c>
      <c r="S53">
        <v>20</v>
      </c>
      <c r="T53">
        <v>17</v>
      </c>
      <c r="U53">
        <v>17</v>
      </c>
      <c r="V53">
        <v>16</v>
      </c>
      <c r="W53">
        <v>14</v>
      </c>
      <c r="X53">
        <v>13</v>
      </c>
      <c r="Y53">
        <v>10</v>
      </c>
      <c r="Z53">
        <v>10</v>
      </c>
      <c r="AA53">
        <v>10</v>
      </c>
      <c r="AB53">
        <v>7</v>
      </c>
      <c r="AC53">
        <v>2</v>
      </c>
      <c r="AD53">
        <v>1</v>
      </c>
      <c r="AE53">
        <v>1</v>
      </c>
    </row>
    <row r="54" spans="1:31" x14ac:dyDescent="0.35">
      <c r="A54">
        <v>5.1799340000000003</v>
      </c>
      <c r="B54">
        <v>30363</v>
      </c>
      <c r="C54">
        <v>18440</v>
      </c>
      <c r="D54">
        <v>9952</v>
      </c>
      <c r="E54">
        <v>5035</v>
      </c>
      <c r="F54">
        <v>2656</v>
      </c>
      <c r="G54">
        <v>1267</v>
      </c>
      <c r="H54">
        <v>572</v>
      </c>
      <c r="I54">
        <v>277</v>
      </c>
      <c r="J54">
        <v>149</v>
      </c>
      <c r="K54">
        <v>98</v>
      </c>
      <c r="L54">
        <v>64</v>
      </c>
      <c r="M54">
        <v>47</v>
      </c>
      <c r="N54">
        <v>32</v>
      </c>
      <c r="O54">
        <v>27</v>
      </c>
      <c r="P54">
        <v>21</v>
      </c>
      <c r="Q54">
        <v>17</v>
      </c>
      <c r="R54">
        <v>17</v>
      </c>
      <c r="S54">
        <v>13</v>
      </c>
      <c r="T54">
        <v>12</v>
      </c>
      <c r="U54">
        <v>11</v>
      </c>
      <c r="V54">
        <v>9</v>
      </c>
      <c r="W54">
        <v>7</v>
      </c>
      <c r="X54">
        <v>7</v>
      </c>
      <c r="Y54">
        <v>5</v>
      </c>
      <c r="Z54">
        <v>5</v>
      </c>
      <c r="AA54">
        <v>5</v>
      </c>
      <c r="AB54">
        <v>5</v>
      </c>
      <c r="AC54">
        <v>3</v>
      </c>
      <c r="AD54">
        <v>1</v>
      </c>
      <c r="AE54">
        <v>1</v>
      </c>
    </row>
    <row r="55" spans="1:31" x14ac:dyDescent="0.35">
      <c r="A55">
        <v>5.2270570000000003</v>
      </c>
      <c r="B55">
        <v>30954</v>
      </c>
      <c r="C55">
        <v>18549</v>
      </c>
      <c r="D55">
        <v>9906</v>
      </c>
      <c r="E55">
        <v>4939</v>
      </c>
      <c r="F55">
        <v>2616</v>
      </c>
      <c r="G55">
        <v>1255</v>
      </c>
      <c r="H55">
        <v>588</v>
      </c>
      <c r="I55">
        <v>317</v>
      </c>
      <c r="J55">
        <v>180</v>
      </c>
      <c r="K55">
        <v>116</v>
      </c>
      <c r="L55">
        <v>81</v>
      </c>
      <c r="M55">
        <v>59</v>
      </c>
      <c r="N55">
        <v>41</v>
      </c>
      <c r="O55">
        <v>32</v>
      </c>
      <c r="P55">
        <v>26</v>
      </c>
      <c r="Q55">
        <v>23</v>
      </c>
      <c r="R55">
        <v>18</v>
      </c>
      <c r="S55">
        <v>18</v>
      </c>
      <c r="T55">
        <v>16</v>
      </c>
      <c r="U55">
        <v>12</v>
      </c>
      <c r="V55">
        <v>11</v>
      </c>
      <c r="W55">
        <v>9</v>
      </c>
      <c r="X55">
        <v>7</v>
      </c>
      <c r="Y55">
        <v>5</v>
      </c>
      <c r="Z55">
        <v>5</v>
      </c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45"/>
      <c r="J71" s="45"/>
    </row>
    <row r="72" spans="1:11" x14ac:dyDescent="0.35">
      <c r="G72" s="45"/>
      <c r="H72" s="45"/>
      <c r="I72" s="45"/>
      <c r="J72" s="45"/>
    </row>
    <row r="73" spans="1:11" ht="13.15" x14ac:dyDescent="0.4">
      <c r="A73" s="8"/>
    </row>
    <row r="77" spans="1:11" x14ac:dyDescent="0.35">
      <c r="H77" s="96"/>
      <c r="J77" s="96"/>
    </row>
    <row r="78" spans="1:11" ht="13.15" x14ac:dyDescent="0.4">
      <c r="A78" s="8"/>
      <c r="H78" s="147"/>
      <c r="J78" s="147"/>
    </row>
    <row r="79" spans="1:11" ht="13.15" x14ac:dyDescent="0.4">
      <c r="K79" s="76"/>
    </row>
  </sheetData>
  <conditionalFormatting sqref="H9:H40">
    <cfRule type="cellIs" dxfId="5" priority="2" operator="greaterThan">
      <formula>1000</formula>
    </cfRule>
  </conditionalFormatting>
  <conditionalFormatting sqref="K9:K38">
    <cfRule type="cellIs" dxfId="4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6"/>
  <sheetViews>
    <sheetView zoomScale="85" zoomScaleNormal="85" workbookViewId="0">
      <selection activeCell="A55" sqref="A55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2" t="s">
        <v>17</v>
      </c>
      <c r="B1" s="2" t="s">
        <v>295</v>
      </c>
      <c r="C1" s="169" t="s">
        <v>19</v>
      </c>
      <c r="D1" s="169"/>
      <c r="E1" s="169"/>
      <c r="F1" s="169"/>
      <c r="G1" s="169"/>
      <c r="H1" s="169"/>
      <c r="I1" s="16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3" spans="1:1024" ht="13.15" x14ac:dyDescent="0.4">
      <c r="A3" s="8" t="s">
        <v>128</v>
      </c>
      <c r="D3" s="79" t="s">
        <v>264</v>
      </c>
    </row>
    <row r="4" spans="1:1024" x14ac:dyDescent="0.35">
      <c r="A4" t="s">
        <v>22</v>
      </c>
      <c r="D4" s="79" t="s">
        <v>60</v>
      </c>
    </row>
    <row r="5" spans="1:1024" x14ac:dyDescent="0.35">
      <c r="A5" t="s">
        <v>24</v>
      </c>
      <c r="D5" s="79" t="s">
        <v>25</v>
      </c>
    </row>
    <row r="6" spans="1:1024" x14ac:dyDescent="0.35">
      <c r="A6" t="s">
        <v>26</v>
      </c>
      <c r="D6" s="79" t="s">
        <v>60</v>
      </c>
    </row>
    <row r="7" spans="1:1024" x14ac:dyDescent="0.35">
      <c r="A7" t="s">
        <v>27</v>
      </c>
      <c r="D7" s="79"/>
    </row>
    <row r="8" spans="1:1024" ht="13.15" x14ac:dyDescent="0.4">
      <c r="A8" t="s">
        <v>28</v>
      </c>
      <c r="D8" s="148">
        <v>45831</v>
      </c>
    </row>
    <row r="9" spans="1:1024" x14ac:dyDescent="0.35">
      <c r="A9" t="s">
        <v>29</v>
      </c>
      <c r="D9" s="74" t="s">
        <v>30</v>
      </c>
    </row>
    <row r="10" spans="1:1024" ht="13.15" x14ac:dyDescent="0.4">
      <c r="A10" t="s">
        <v>31</v>
      </c>
      <c r="D10" s="76">
        <v>36</v>
      </c>
    </row>
    <row r="11" spans="1:1024" x14ac:dyDescent="0.35">
      <c r="A11" t="s">
        <v>296</v>
      </c>
      <c r="D11">
        <v>1</v>
      </c>
    </row>
    <row r="13" spans="1:1024" x14ac:dyDescent="0.35">
      <c r="A13" t="s">
        <v>297</v>
      </c>
      <c r="B13">
        <v>50</v>
      </c>
      <c r="C13" t="s">
        <v>53</v>
      </c>
    </row>
    <row r="14" spans="1:1024" x14ac:dyDescent="0.35">
      <c r="A14" t="s">
        <v>298</v>
      </c>
      <c r="B14">
        <v>5</v>
      </c>
    </row>
    <row r="15" spans="1:1024" x14ac:dyDescent="0.35">
      <c r="A15" t="s">
        <v>299</v>
      </c>
      <c r="B15">
        <f>B13/B14</f>
        <v>10</v>
      </c>
      <c r="C15" t="s">
        <v>53</v>
      </c>
    </row>
    <row r="16" spans="1:1024" x14ac:dyDescent="0.35">
      <c r="A16" t="s">
        <v>289</v>
      </c>
      <c r="B16">
        <v>0.7</v>
      </c>
    </row>
    <row r="17" spans="1:10" x14ac:dyDescent="0.35">
      <c r="D17" s="79"/>
    </row>
    <row r="18" spans="1:10" x14ac:dyDescent="0.35">
      <c r="A18" t="s">
        <v>300</v>
      </c>
      <c r="B18">
        <f>$B$16*$B$15/100</f>
        <v>7.0000000000000007E-2</v>
      </c>
    </row>
    <row r="19" spans="1:10" x14ac:dyDescent="0.35">
      <c r="A19" s="81" t="s">
        <v>301</v>
      </c>
      <c r="B19">
        <f>B16*$B$13</f>
        <v>35</v>
      </c>
      <c r="C19" t="s">
        <v>53</v>
      </c>
    </row>
    <row r="20" spans="1:10" x14ac:dyDescent="0.35">
      <c r="A20" t="s">
        <v>302</v>
      </c>
      <c r="B20">
        <f>B15*B16</f>
        <v>7</v>
      </c>
      <c r="C20" t="s">
        <v>53</v>
      </c>
    </row>
    <row r="22" spans="1:10" x14ac:dyDescent="0.35">
      <c r="A22" s="149" t="s">
        <v>245</v>
      </c>
      <c r="B22" s="149" t="s">
        <v>303</v>
      </c>
      <c r="C22" s="149" t="s">
        <v>304</v>
      </c>
      <c r="D22" s="149" t="s">
        <v>305</v>
      </c>
      <c r="E22" s="149" t="s">
        <v>306</v>
      </c>
      <c r="F22" s="149" t="s">
        <v>307</v>
      </c>
      <c r="G22" s="149" t="s">
        <v>308</v>
      </c>
      <c r="H22" s="149" t="s">
        <v>309</v>
      </c>
      <c r="I22" s="149" t="s">
        <v>39</v>
      </c>
    </row>
    <row r="23" spans="1:10" x14ac:dyDescent="0.35">
      <c r="A23" s="150">
        <v>4</v>
      </c>
      <c r="B23" s="151">
        <f>'ANNEX E - B1'!$G9</f>
        <v>5974.1217872127709</v>
      </c>
      <c r="C23" s="151">
        <f>'ANNEX E - B2'!$G9</f>
        <v>6301.676861025845</v>
      </c>
      <c r="D23" s="151">
        <f>'ANNEX E - B3'!$G9</f>
        <v>5494.3491508188545</v>
      </c>
      <c r="E23" s="45">
        <f t="shared" ref="E23:E28" si="0">AVERAGE(B23:D23)</f>
        <v>5923.3825996858241</v>
      </c>
      <c r="F23" s="132">
        <v>6300</v>
      </c>
      <c r="G23">
        <v>4553</v>
      </c>
      <c r="H23">
        <v>8713</v>
      </c>
      <c r="I23" s="93">
        <f t="shared" ref="I23:I28" si="1">(E23-F23)/F23</f>
        <v>-5.9780539732408877E-2</v>
      </c>
    </row>
    <row r="24" spans="1:10" x14ac:dyDescent="0.35">
      <c r="A24" s="79">
        <v>5</v>
      </c>
      <c r="B24" s="151">
        <f>'ANNEX E - B1'!$G10</f>
        <v>3456.5001407735513</v>
      </c>
      <c r="C24" s="151">
        <f>'ANNEX E - B2'!$G10</f>
        <v>3594.3935500238595</v>
      </c>
      <c r="D24" s="151">
        <f>'ANNEX E - B3'!$G10</f>
        <v>3220.8138883501661</v>
      </c>
      <c r="E24" s="45">
        <f t="shared" si="0"/>
        <v>3423.9025263825256</v>
      </c>
      <c r="F24" s="152">
        <v>3475</v>
      </c>
      <c r="G24">
        <v>2330</v>
      </c>
      <c r="H24">
        <v>5183</v>
      </c>
      <c r="I24" s="93">
        <f t="shared" si="1"/>
        <v>-1.4704308954668894E-2</v>
      </c>
    </row>
    <row r="25" spans="1:10" x14ac:dyDescent="0.35">
      <c r="A25" s="79">
        <v>6</v>
      </c>
      <c r="B25" s="151">
        <f>'ANNEX E - B1'!$G11</f>
        <v>1899.0913555890008</v>
      </c>
      <c r="C25" s="151">
        <f>'ANNEX E - B2'!$G11</f>
        <v>1939.4329800182106</v>
      </c>
      <c r="D25" s="151">
        <f>'ANNEX E - B3'!$G11</f>
        <v>1780.531046785522</v>
      </c>
      <c r="E25" s="45">
        <f t="shared" si="0"/>
        <v>1873.0184607975777</v>
      </c>
      <c r="F25" s="152">
        <v>1631</v>
      </c>
      <c r="G25">
        <v>938.2</v>
      </c>
      <c r="H25">
        <v>2834</v>
      </c>
      <c r="I25" s="93">
        <f t="shared" si="1"/>
        <v>0.14838654861899309</v>
      </c>
    </row>
    <row r="26" spans="1:10" x14ac:dyDescent="0.35">
      <c r="A26" s="79">
        <v>7</v>
      </c>
      <c r="B26" s="151">
        <f>'ANNEX E - B1'!$G12</f>
        <v>1036.9833121999723</v>
      </c>
      <c r="C26" s="151">
        <f>'ANNEX E - B2'!$G12</f>
        <v>1019.7973115313988</v>
      </c>
      <c r="D26" s="151">
        <f>'ANNEX E - B3'!$G12</f>
        <v>978.9363938449311</v>
      </c>
      <c r="E26" s="45">
        <f t="shared" si="0"/>
        <v>1011.9056725254341</v>
      </c>
      <c r="F26" s="152">
        <v>769.8</v>
      </c>
      <c r="G26">
        <v>413.6</v>
      </c>
      <c r="H26">
        <v>1433</v>
      </c>
      <c r="I26" s="93">
        <f t="shared" si="1"/>
        <v>0.31450464084883623</v>
      </c>
    </row>
    <row r="27" spans="1:10" x14ac:dyDescent="0.35">
      <c r="A27" s="79">
        <v>8</v>
      </c>
      <c r="B27" s="151">
        <f>'ANNEX E - B1'!$G13</f>
        <v>633.1274892693956</v>
      </c>
      <c r="C27" s="151">
        <f>'ANNEX E - B2'!$G13</f>
        <v>584.08165450688193</v>
      </c>
      <c r="D27" s="151">
        <f>'ANNEX E - B3'!$G13</f>
        <v>602.20479505776063</v>
      </c>
      <c r="E27" s="45">
        <f t="shared" si="0"/>
        <v>606.47131294467943</v>
      </c>
      <c r="F27" s="152">
        <v>379.1</v>
      </c>
      <c r="G27">
        <v>179.7</v>
      </c>
      <c r="H27">
        <v>799.5</v>
      </c>
      <c r="I27" s="93">
        <f t="shared" si="1"/>
        <v>0.5997660589413859</v>
      </c>
    </row>
    <row r="28" spans="1:10" x14ac:dyDescent="0.35">
      <c r="A28" s="101">
        <v>9</v>
      </c>
      <c r="B28" s="153">
        <f>'ANNEX E - B1'!$G14</f>
        <v>397.61770394802232</v>
      </c>
      <c r="C28" s="153">
        <f>'ANNEX E - B2'!$G14</f>
        <v>325.96318221462809</v>
      </c>
      <c r="D28" s="153">
        <f>'ANNEX E - B3'!$G14</f>
        <v>383.92843697071521</v>
      </c>
      <c r="E28" s="154">
        <f t="shared" si="0"/>
        <v>369.16977437778854</v>
      </c>
      <c r="F28" s="155">
        <v>196.2</v>
      </c>
      <c r="G28" s="51">
        <v>76.569999999999993</v>
      </c>
      <c r="H28" s="51">
        <v>502.6</v>
      </c>
      <c r="I28" s="146">
        <f t="shared" si="1"/>
        <v>0.88159925778689385</v>
      </c>
    </row>
    <row r="29" spans="1:10" ht="13.15" x14ac:dyDescent="0.4">
      <c r="A29" s="8"/>
      <c r="B29" s="8"/>
      <c r="C29" s="156"/>
      <c r="D29" s="132"/>
      <c r="E29" s="132"/>
      <c r="J29" s="79"/>
    </row>
    <row r="30" spans="1:10" x14ac:dyDescent="0.35">
      <c r="A30" t="s">
        <v>307</v>
      </c>
      <c r="C30" s="46"/>
    </row>
    <row r="31" spans="1:10" x14ac:dyDescent="0.35">
      <c r="A31" s="149" t="s">
        <v>245</v>
      </c>
      <c r="B31" s="149" t="s">
        <v>310</v>
      </c>
      <c r="C31" s="149" t="s">
        <v>311</v>
      </c>
      <c r="D31" s="149" t="s">
        <v>312</v>
      </c>
    </row>
    <row r="32" spans="1:10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32"/>
    </row>
    <row r="34" spans="1:21" ht="13.15" x14ac:dyDescent="0.4">
      <c r="A34" s="157">
        <v>4</v>
      </c>
      <c r="B34" s="157">
        <v>6300</v>
      </c>
      <c r="C34" s="157">
        <v>4553</v>
      </c>
      <c r="D34" s="157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96"/>
      <c r="F35" s="45"/>
      <c r="G35" s="96"/>
      <c r="H35" s="45"/>
      <c r="I35" s="96"/>
      <c r="J35" s="45"/>
      <c r="K35" s="96"/>
    </row>
    <row r="36" spans="1:21" ht="13.15" x14ac:dyDescent="0.4">
      <c r="A36" s="157">
        <v>6</v>
      </c>
      <c r="B36" s="157">
        <v>1631</v>
      </c>
      <c r="C36" s="157">
        <v>938.2</v>
      </c>
      <c r="D36" s="157">
        <v>2834</v>
      </c>
      <c r="E36" s="96"/>
      <c r="F36" s="45"/>
      <c r="G36" s="96"/>
      <c r="H36" s="45"/>
      <c r="I36" s="96"/>
      <c r="J36" s="45"/>
      <c r="K36" s="96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96"/>
      <c r="F37" s="45"/>
      <c r="G37" s="96"/>
      <c r="H37" s="45"/>
      <c r="I37" s="96"/>
      <c r="J37" s="45"/>
      <c r="K37" s="96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96"/>
      <c r="F38" s="45"/>
      <c r="G38" s="96"/>
      <c r="H38" s="45"/>
      <c r="I38" s="96"/>
      <c r="J38" s="45"/>
      <c r="K38" s="96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96"/>
      <c r="F39" s="45"/>
      <c r="G39" s="96"/>
      <c r="H39" s="45"/>
      <c r="I39" s="96"/>
      <c r="J39" s="45"/>
      <c r="K39" s="96"/>
    </row>
    <row r="40" spans="1:21" x14ac:dyDescent="0.35">
      <c r="A40" s="51">
        <v>10</v>
      </c>
      <c r="B40" s="51">
        <v>88.9</v>
      </c>
      <c r="C40" s="51">
        <v>27.89</v>
      </c>
      <c r="D40" s="51">
        <v>283.39999999999998</v>
      </c>
    </row>
    <row r="42" spans="1:21" x14ac:dyDescent="0.35">
      <c r="A42" t="s">
        <v>184</v>
      </c>
    </row>
    <row r="43" spans="1:21" ht="15" x14ac:dyDescent="0.5">
      <c r="A43" s="38"/>
      <c r="B43" s="97" t="s">
        <v>185</v>
      </c>
      <c r="C43" s="38"/>
      <c r="D43" s="98" t="s">
        <v>186</v>
      </c>
      <c r="E43" s="39"/>
      <c r="F43" s="39"/>
      <c r="G43" s="39"/>
      <c r="H43" s="99"/>
      <c r="U43" s="32"/>
    </row>
    <row r="44" spans="1:21" ht="15" x14ac:dyDescent="0.5">
      <c r="A44" s="100" t="s">
        <v>187</v>
      </c>
      <c r="B44" s="101" t="s">
        <v>188</v>
      </c>
      <c r="C44" s="100" t="s">
        <v>189</v>
      </c>
      <c r="D44" s="100" t="s">
        <v>190</v>
      </c>
      <c r="E44" s="101" t="s">
        <v>191</v>
      </c>
      <c r="F44" s="101" t="s">
        <v>192</v>
      </c>
      <c r="G44" s="101" t="s">
        <v>193</v>
      </c>
      <c r="H44" s="102" t="s">
        <v>194</v>
      </c>
      <c r="I44" s="45"/>
      <c r="J44" s="45"/>
    </row>
    <row r="45" spans="1:21" x14ac:dyDescent="0.35">
      <c r="A45" s="41">
        <v>10000</v>
      </c>
      <c r="C45" s="41">
        <v>11</v>
      </c>
      <c r="D45" s="41">
        <v>7.8</v>
      </c>
      <c r="E45">
        <v>5.3</v>
      </c>
      <c r="F45">
        <v>4</v>
      </c>
      <c r="G45">
        <v>2.7</v>
      </c>
      <c r="H45" s="48">
        <v>1.8</v>
      </c>
      <c r="I45" s="45"/>
      <c r="J45" s="45"/>
    </row>
    <row r="46" spans="1:21" x14ac:dyDescent="0.35">
      <c r="A46" s="41">
        <v>5000</v>
      </c>
      <c r="B46">
        <v>10000</v>
      </c>
      <c r="C46" s="41">
        <v>11.3</v>
      </c>
      <c r="D46" s="41">
        <v>7.8</v>
      </c>
      <c r="E46">
        <v>5.3</v>
      </c>
      <c r="F46">
        <v>4</v>
      </c>
      <c r="G46">
        <v>2.7</v>
      </c>
      <c r="H46" s="48">
        <v>1.9</v>
      </c>
    </row>
    <row r="47" spans="1:21" x14ac:dyDescent="0.35">
      <c r="A47" s="41">
        <v>2000</v>
      </c>
      <c r="B47">
        <v>5000</v>
      </c>
      <c r="C47" s="41">
        <v>11.9</v>
      </c>
      <c r="D47" s="41">
        <v>7.9</v>
      </c>
      <c r="E47">
        <v>5.4</v>
      </c>
      <c r="F47">
        <v>4.0999999999999996</v>
      </c>
      <c r="G47">
        <v>2.9</v>
      </c>
      <c r="H47" s="48">
        <v>2.1</v>
      </c>
      <c r="J47" s="45"/>
    </row>
    <row r="48" spans="1:21" x14ac:dyDescent="0.35">
      <c r="A48" s="41">
        <v>1000</v>
      </c>
      <c r="B48">
        <v>2000</v>
      </c>
      <c r="C48" s="41">
        <v>13.4</v>
      </c>
      <c r="D48" s="41">
        <v>8</v>
      </c>
      <c r="E48">
        <v>5.6</v>
      </c>
      <c r="F48">
        <v>4.3</v>
      </c>
      <c r="G48">
        <v>3.1</v>
      </c>
      <c r="H48" s="48">
        <v>2.4</v>
      </c>
      <c r="J48" s="45"/>
    </row>
    <row r="49" spans="1:12" x14ac:dyDescent="0.35">
      <c r="A49" s="41">
        <v>500</v>
      </c>
      <c r="B49">
        <v>1000</v>
      </c>
      <c r="C49" s="41">
        <v>15.6</v>
      </c>
      <c r="D49" s="41">
        <v>8.1999999999999993</v>
      </c>
      <c r="E49">
        <v>5.9</v>
      </c>
      <c r="F49">
        <v>4.7</v>
      </c>
      <c r="G49">
        <v>3.6</v>
      </c>
      <c r="H49" s="48">
        <v>2.9</v>
      </c>
      <c r="I49" s="45"/>
      <c r="J49" s="45"/>
    </row>
    <row r="50" spans="1:12" x14ac:dyDescent="0.35">
      <c r="A50" s="41">
        <v>200</v>
      </c>
      <c r="B50">
        <v>500</v>
      </c>
      <c r="C50" s="41">
        <v>19.3</v>
      </c>
      <c r="D50" s="41">
        <v>8.9</v>
      </c>
      <c r="E50">
        <v>6.8</v>
      </c>
      <c r="F50">
        <v>5.7</v>
      </c>
      <c r="G50">
        <v>4.7</v>
      </c>
      <c r="H50" s="48">
        <v>4.0999999999999996</v>
      </c>
    </row>
    <row r="51" spans="1:12" x14ac:dyDescent="0.35">
      <c r="A51" s="50">
        <v>100</v>
      </c>
      <c r="B51" s="51">
        <v>200</v>
      </c>
      <c r="C51" s="50">
        <v>27.5</v>
      </c>
      <c r="D51" s="50">
        <v>10</v>
      </c>
      <c r="E51" s="51">
        <v>8</v>
      </c>
      <c r="F51" s="51">
        <v>7</v>
      </c>
      <c r="G51" s="51">
        <v>6.1</v>
      </c>
      <c r="H51" s="103">
        <v>5.5</v>
      </c>
    </row>
    <row r="53" spans="1:12" ht="30" x14ac:dyDescent="1.1000000000000001">
      <c r="A53" s="158" t="s">
        <v>313</v>
      </c>
    </row>
    <row r="54" spans="1:12" x14ac:dyDescent="0.35">
      <c r="B54" s="96"/>
      <c r="D54" s="96"/>
      <c r="F54" s="96"/>
      <c r="H54" s="96"/>
      <c r="J54" s="96"/>
    </row>
    <row r="55" spans="1:12" ht="13.15" x14ac:dyDescent="0.4">
      <c r="A55" s="8"/>
      <c r="B55" s="147"/>
      <c r="D55" s="147"/>
      <c r="F55" s="147"/>
      <c r="H55" s="147"/>
      <c r="J55" s="147"/>
    </row>
    <row r="56" spans="1:12" ht="13.15" x14ac:dyDescent="0.4">
      <c r="B56" s="96"/>
      <c r="D56" s="96"/>
      <c r="K56" s="76"/>
      <c r="L56" s="76"/>
    </row>
  </sheetData>
  <mergeCells count="1">
    <mergeCell ref="C1:I1"/>
  </mergeCells>
  <conditionalFormatting sqref="A29">
    <cfRule type="cellIs" dxfId="3" priority="2" operator="between">
      <formula>$C$34</formula>
      <formula>$D$34</formula>
    </cfRule>
  </conditionalFormatting>
  <conditionalFormatting sqref="B29">
    <cfRule type="cellIs" dxfId="2" priority="3" operator="between">
      <formula>$C$36</formula>
      <formula>$D$36</formula>
    </cfRule>
  </conditionalFormatting>
  <conditionalFormatting sqref="B55 D55">
    <cfRule type="cellIs" dxfId="1" priority="4" operator="lessThan">
      <formula>B56</formula>
    </cfRule>
  </conditionalFormatting>
  <conditionalFormatting sqref="E23:E28">
    <cfRule type="cellIs" dxfId="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ISO 11171_2020 Summary</vt:lpstr>
      <vt:lpstr>Annex A Preliminary Check</vt:lpstr>
      <vt:lpstr>Annex B Coincidence Limit</vt:lpstr>
      <vt:lpstr>Annex C - Flow Rate</vt:lpstr>
      <vt:lpstr>Annex D Resolution</vt:lpstr>
      <vt:lpstr>Clause 6 Sizing Calibration</vt:lpstr>
      <vt:lpstr>6 - B1</vt:lpstr>
      <vt:lpstr>6 - B2</vt:lpstr>
      <vt:lpstr>6 - B3</vt:lpstr>
      <vt:lpstr>6 - Interpolated Thresholds</vt:lpstr>
      <vt:lpstr>Clause 6 - Spheres</vt:lpstr>
      <vt:lpstr>6 - Calibration Curve</vt:lpstr>
      <vt:lpstr>ANNEX E - B1</vt:lpstr>
      <vt:lpstr>ANNEX E - B2</vt:lpstr>
      <vt:lpstr>ANNEX E - B3</vt:lpstr>
      <vt:lpstr>Annex E Verify Counting Accurac</vt:lpstr>
      <vt:lpstr>'ISO 11171_2020 Summary'!Print_Area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>jd</dc:creator>
  <dc:description/>
  <cp:lastModifiedBy>John Devereux</cp:lastModifiedBy>
  <cp:revision>205</cp:revision>
  <dcterms:created xsi:type="dcterms:W3CDTF">2021-11-24T13:24:09Z</dcterms:created>
  <dcterms:modified xsi:type="dcterms:W3CDTF">2025-12-16T15:31:58Z</dcterms:modified>
  <dc:language>en-GB</dc:language>
</cp:coreProperties>
</file>