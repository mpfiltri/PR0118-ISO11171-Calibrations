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13_ncr:1_{764E0200-7989-4766-8D3E-2EC230327839}" xr6:coauthVersionLast="47" xr6:coauthVersionMax="47" xr10:uidLastSave="{00000000-0000-0000-0000-000000000000}"/>
  <bookViews>
    <workbookView xWindow="-98" yWindow="-98" windowWidth="28996" windowHeight="17745" activeTab="6"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31" i="7" l="1"/>
  <c r="AI31" i="7"/>
  <c r="AH31" i="7"/>
  <c r="AG31" i="7"/>
  <c r="AF31" i="7"/>
  <c r="AE31" i="7"/>
  <c r="AD31" i="7"/>
  <c r="AC31" i="7"/>
  <c r="AB31" i="7"/>
  <c r="AA31" i="7"/>
  <c r="Z31" i="7"/>
  <c r="Y31" i="7"/>
  <c r="X31" i="7"/>
  <c r="W31" i="7"/>
  <c r="V31" i="7"/>
  <c r="U31" i="7"/>
  <c r="T31" i="7"/>
  <c r="S31" i="7"/>
  <c r="R31" i="7"/>
  <c r="Q31" i="7"/>
  <c r="P31" i="7"/>
  <c r="O31" i="7"/>
  <c r="N31" i="7"/>
  <c r="M31" i="7"/>
  <c r="L31" i="7"/>
  <c r="K31" i="7"/>
  <c r="J31" i="7"/>
  <c r="I31" i="7"/>
  <c r="H31" i="7"/>
  <c r="G31" i="7"/>
  <c r="F30" i="7"/>
  <c r="F33" i="7"/>
  <c r="D37" i="4" l="1"/>
  <c r="D36" i="3"/>
  <c r="E33" i="3"/>
  <c r="C31" i="3"/>
  <c r="C32" i="3"/>
  <c r="F38" i="4"/>
  <c r="D38" i="4"/>
  <c r="C38" i="4"/>
  <c r="B38" i="4"/>
  <c r="E37" i="4"/>
  <c r="C37" i="4"/>
  <c r="B37" i="4"/>
  <c r="E36" i="4"/>
  <c r="D36" i="4"/>
  <c r="C36" i="4"/>
  <c r="B36" i="4"/>
  <c r="E35" i="4"/>
  <c r="D35" i="4"/>
  <c r="C35" i="4"/>
  <c r="B35" i="4"/>
  <c r="E34" i="4"/>
  <c r="D34" i="4"/>
  <c r="C34" i="4"/>
  <c r="B34" i="4"/>
  <c r="F33" i="4"/>
  <c r="E33" i="4"/>
  <c r="D33" i="4"/>
  <c r="C33" i="4"/>
  <c r="F32" i="4"/>
  <c r="E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E38" i="3"/>
  <c r="D38" i="3"/>
  <c r="C38" i="3"/>
  <c r="B38" i="3"/>
  <c r="E37" i="3"/>
  <c r="D37" i="3"/>
  <c r="C37" i="3"/>
  <c r="B37" i="3"/>
  <c r="F36" i="3"/>
  <c r="E36" i="3"/>
  <c r="B36" i="3"/>
  <c r="F35" i="3"/>
  <c r="E35" i="3"/>
  <c r="D35" i="3"/>
  <c r="C35" i="3"/>
  <c r="B35" i="3"/>
  <c r="F34" i="3"/>
  <c r="E34" i="3"/>
  <c r="D34" i="3"/>
  <c r="C34" i="3"/>
  <c r="B34" i="3"/>
  <c r="F33" i="3"/>
  <c r="D33" i="3"/>
  <c r="B33" i="3"/>
  <c r="F32" i="3"/>
  <c r="D32" i="3"/>
  <c r="B32" i="3"/>
  <c r="F31" i="3"/>
  <c r="D31" i="3"/>
  <c r="B31" i="3"/>
  <c r="F30" i="3"/>
  <c r="E30" i="3"/>
  <c r="D30" i="3"/>
  <c r="B30" i="3"/>
  <c r="F29" i="3"/>
  <c r="E29" i="3"/>
  <c r="D29" i="3"/>
  <c r="B29" i="3"/>
  <c r="F28" i="3"/>
  <c r="E28" i="3"/>
  <c r="D28" i="3"/>
  <c r="B28" i="3"/>
  <c r="F27" i="3"/>
  <c r="E27" i="3"/>
  <c r="D27" i="3"/>
  <c r="B27" i="3"/>
  <c r="F26" i="3"/>
  <c r="E26" i="3"/>
  <c r="D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F9" i="2"/>
  <c r="F10" i="2"/>
  <c r="F11" i="2"/>
  <c r="F12" i="2"/>
  <c r="F13" i="2"/>
  <c r="F14" i="2"/>
  <c r="F15" i="2"/>
  <c r="F16" i="2"/>
  <c r="F17" i="2"/>
  <c r="F18" i="2"/>
  <c r="F19" i="2"/>
  <c r="F20" i="2"/>
  <c r="F21" i="2"/>
  <c r="F22" i="2"/>
  <c r="F23" i="2"/>
  <c r="F24" i="2"/>
  <c r="F25" i="2"/>
  <c r="F26" i="2"/>
  <c r="F27" i="2"/>
  <c r="F28" i="2"/>
  <c r="F29" i="2"/>
  <c r="F30" i="2"/>
  <c r="F31" i="2"/>
  <c r="F38" i="2"/>
  <c r="D38" i="2"/>
  <c r="C38" i="2"/>
  <c r="B38" i="2"/>
  <c r="F37" i="2"/>
  <c r="D37" i="2"/>
  <c r="C37" i="2"/>
  <c r="B37" i="2"/>
  <c r="F36" i="2"/>
  <c r="D36" i="2"/>
  <c r="C36" i="2"/>
  <c r="B36" i="2"/>
  <c r="F35" i="2"/>
  <c r="E35" i="2"/>
  <c r="D35" i="2"/>
  <c r="C35" i="2"/>
  <c r="B35" i="2"/>
  <c r="E34" i="2"/>
  <c r="D34" i="2"/>
  <c r="C34" i="2"/>
  <c r="B34" i="2"/>
  <c r="E33" i="2"/>
  <c r="D33" i="2"/>
  <c r="C33" i="2"/>
  <c r="B33" i="2"/>
  <c r="E32" i="2"/>
  <c r="D32" i="2"/>
  <c r="C32" i="2"/>
  <c r="B32" i="2"/>
  <c r="E31" i="2"/>
  <c r="D31" i="2"/>
  <c r="C31" i="2"/>
  <c r="E30" i="2"/>
  <c r="D30" i="2"/>
  <c r="C30" i="2"/>
  <c r="B30" i="2"/>
  <c r="E29" i="2"/>
  <c r="D29" i="2"/>
  <c r="C29" i="2"/>
  <c r="B29" i="2"/>
  <c r="E28" i="2"/>
  <c r="D28" i="2"/>
  <c r="C28" i="2"/>
  <c r="B28" i="2"/>
  <c r="E27" i="2"/>
  <c r="D27" i="2"/>
  <c r="C27" i="2"/>
  <c r="B27" i="2"/>
  <c r="E26" i="2"/>
  <c r="D26" i="2"/>
  <c r="C26" i="2"/>
  <c r="B26" i="2"/>
  <c r="E25" i="2"/>
  <c r="D25" i="2"/>
  <c r="C25" i="2"/>
  <c r="B25" i="2"/>
  <c r="E24" i="2"/>
  <c r="D24" i="2"/>
  <c r="C24" i="2"/>
  <c r="B24" i="2"/>
  <c r="E23" i="2"/>
  <c r="D23" i="2"/>
  <c r="C23" i="2"/>
  <c r="B23" i="2"/>
  <c r="E22" i="2"/>
  <c r="D22" i="2"/>
  <c r="C22" i="2"/>
  <c r="B22" i="2"/>
  <c r="E21" i="2"/>
  <c r="D21" i="2"/>
  <c r="C21" i="2"/>
  <c r="B21" i="2"/>
  <c r="E20" i="2"/>
  <c r="D20" i="2"/>
  <c r="C20" i="2"/>
  <c r="B20" i="2"/>
  <c r="E19" i="2"/>
  <c r="D19" i="2"/>
  <c r="C19" i="2"/>
  <c r="B19" i="2"/>
  <c r="E18" i="2"/>
  <c r="D18" i="2"/>
  <c r="C18" i="2"/>
  <c r="B18" i="2"/>
  <c r="E17" i="2"/>
  <c r="D17" i="2"/>
  <c r="C17" i="2"/>
  <c r="B17" i="2"/>
  <c r="E16" i="2"/>
  <c r="D16" i="2"/>
  <c r="C16" i="2"/>
  <c r="B16" i="2"/>
  <c r="E15" i="2"/>
  <c r="D15" i="2"/>
  <c r="C15" i="2"/>
  <c r="B15" i="2"/>
  <c r="E14" i="2"/>
  <c r="D14" i="2"/>
  <c r="C14" i="2"/>
  <c r="B14" i="2"/>
  <c r="E13" i="2"/>
  <c r="D13" i="2"/>
  <c r="C13" i="2"/>
  <c r="B13" i="2"/>
  <c r="E12" i="2"/>
  <c r="D12" i="2"/>
  <c r="C12" i="2"/>
  <c r="B12" i="2"/>
  <c r="E11" i="2"/>
  <c r="D11" i="2"/>
  <c r="C11" i="2"/>
  <c r="B11" i="2"/>
  <c r="E10" i="2"/>
  <c r="D10" i="2"/>
  <c r="C10" i="2"/>
  <c r="B10" i="2"/>
  <c r="E9" i="2"/>
  <c r="D9" i="2"/>
  <c r="C9" i="2"/>
  <c r="B9" i="2"/>
  <c r="B46" i="6" l="1"/>
  <c r="F87" i="6" l="1"/>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G11" i="3" l="1"/>
  <c r="S11" i="3" s="1"/>
  <c r="G24" i="3"/>
  <c r="G25" i="3"/>
  <c r="O25" i="3" s="1"/>
  <c r="G28" i="3"/>
  <c r="O28" i="3" s="1"/>
  <c r="G38" i="3"/>
  <c r="I13" i="3"/>
  <c r="M15" i="3"/>
  <c r="I29" i="3"/>
  <c r="G30" i="3"/>
  <c r="O30" i="3" s="1"/>
  <c r="G31" i="3"/>
  <c r="P31" i="3" s="1"/>
  <c r="G33" i="3"/>
  <c r="M17" i="3"/>
  <c r="M18" i="3"/>
  <c r="G19" i="3"/>
  <c r="P19" i="3" s="1"/>
  <c r="M20" i="3"/>
  <c r="M34" i="3"/>
  <c r="M35" i="3"/>
  <c r="I36" i="3"/>
  <c r="G21" i="3"/>
  <c r="P21" i="3" s="1"/>
  <c r="G26" i="3"/>
  <c r="O26" i="3" s="1"/>
  <c r="M27" i="3"/>
  <c r="G9" i="3"/>
  <c r="O9" i="3" s="1"/>
  <c r="M12" i="3"/>
  <c r="I14" i="3"/>
  <c r="G16" i="3"/>
  <c r="O16" i="3" s="1"/>
  <c r="I23" i="3"/>
  <c r="G14" i="3"/>
  <c r="O14" i="3" s="1"/>
  <c r="G22" i="3"/>
  <c r="Q22" i="3" s="1"/>
  <c r="G20" i="3"/>
  <c r="G37" i="3"/>
  <c r="G10" i="3"/>
  <c r="R10" i="3" s="1"/>
  <c r="G32" i="3"/>
  <c r="P32" i="3" s="1"/>
  <c r="A18" i="6"/>
  <c r="A20" i="6" s="1"/>
  <c r="A22" i="6" s="1"/>
  <c r="A24" i="6" s="1"/>
  <c r="A25" i="6" s="1"/>
  <c r="A23" i="6"/>
  <c r="B8" i="4"/>
  <c r="D8" i="2"/>
  <c r="C8" i="2"/>
  <c r="E8" i="2"/>
  <c r="F8" i="2"/>
  <c r="B8" i="2"/>
  <c r="C22" i="1"/>
  <c r="H22" i="1"/>
  <c r="E3" i="2"/>
  <c r="F46" i="6"/>
  <c r="D50" i="1"/>
  <c r="F32" i="5" s="1"/>
  <c r="B56" i="1"/>
  <c r="G8" i="3"/>
  <c r="M9" i="3"/>
  <c r="I9" i="3"/>
  <c r="M10" i="3"/>
  <c r="I10" i="3"/>
  <c r="M11" i="3"/>
  <c r="I11" i="3"/>
  <c r="I12" i="3"/>
  <c r="I16" i="3"/>
  <c r="M16" i="3"/>
  <c r="I19" i="3"/>
  <c r="M21" i="3"/>
  <c r="I21" i="3"/>
  <c r="M23" i="3"/>
  <c r="M24" i="3"/>
  <c r="I24" i="3"/>
  <c r="O24" i="3"/>
  <c r="M25" i="3"/>
  <c r="I25" i="3"/>
  <c r="M26" i="3"/>
  <c r="I26" i="3"/>
  <c r="M28" i="3"/>
  <c r="I28" i="3"/>
  <c r="I30" i="3"/>
  <c r="M30" i="3"/>
  <c r="I32" i="3"/>
  <c r="M32" i="3"/>
  <c r="I33" i="3"/>
  <c r="M33" i="3"/>
  <c r="I34" i="3"/>
  <c r="I35" i="3"/>
  <c r="I37" i="3"/>
  <c r="M37" i="3"/>
  <c r="I38" i="3"/>
  <c r="M38" i="3"/>
  <c r="F23" i="6"/>
  <c r="F18" i="6"/>
  <c r="F20" i="6" s="1"/>
  <c r="F22" i="6" s="1"/>
  <c r="F24" i="6" s="1"/>
  <c r="F25" i="6" s="1"/>
  <c r="M18" i="6"/>
  <c r="M20" i="6" s="1"/>
  <c r="M22" i="6" s="1"/>
  <c r="M24" i="6" s="1"/>
  <c r="M25" i="6" s="1"/>
  <c r="M23" i="6"/>
  <c r="B23" i="1"/>
  <c r="I22" i="3"/>
  <c r="M22" i="3"/>
  <c r="A32" i="6" l="1"/>
  <c r="A33" i="6" s="1"/>
  <c r="G27" i="3"/>
  <c r="S27" i="3" s="1"/>
  <c r="R20" i="3"/>
  <c r="M21" i="4"/>
  <c r="G38" i="4"/>
  <c r="G23" i="3"/>
  <c r="P23" i="3" s="1"/>
  <c r="I20" i="3"/>
  <c r="I15" i="3"/>
  <c r="M35" i="4"/>
  <c r="G37" i="4"/>
  <c r="G17" i="3"/>
  <c r="O17" i="3" s="1"/>
  <c r="M14" i="3"/>
  <c r="G36" i="4"/>
  <c r="I36" i="4" s="1"/>
  <c r="G15" i="3"/>
  <c r="O15" i="3" s="1"/>
  <c r="G29" i="3"/>
  <c r="R29" i="3" s="1"/>
  <c r="G18" i="4"/>
  <c r="P18" i="4" s="1"/>
  <c r="I31" i="3"/>
  <c r="M19" i="3"/>
  <c r="M13" i="3"/>
  <c r="G12" i="3"/>
  <c r="L12" i="3" s="1"/>
  <c r="C30" i="5" s="1"/>
  <c r="G33" i="4"/>
  <c r="R33" i="4" s="1"/>
  <c r="G17" i="4"/>
  <c r="S17" i="4" s="1"/>
  <c r="M16" i="4"/>
  <c r="I27" i="3"/>
  <c r="M31" i="3"/>
  <c r="M36" i="3"/>
  <c r="I18" i="3"/>
  <c r="G13" i="3"/>
  <c r="O13" i="3" s="1"/>
  <c r="G18" i="3"/>
  <c r="O18" i="3" s="1"/>
  <c r="G36" i="3"/>
  <c r="P36" i="3" s="1"/>
  <c r="G15" i="4"/>
  <c r="R15" i="4" s="1"/>
  <c r="G35" i="3"/>
  <c r="Q35" i="3" s="1"/>
  <c r="G24" i="4"/>
  <c r="S24" i="4" s="1"/>
  <c r="M28" i="4"/>
  <c r="G34" i="3"/>
  <c r="P34" i="3" s="1"/>
  <c r="M29" i="3"/>
  <c r="I17" i="3"/>
  <c r="M12" i="4"/>
  <c r="G29" i="4"/>
  <c r="G10" i="4"/>
  <c r="P10" i="4" s="1"/>
  <c r="M27" i="4"/>
  <c r="G11" i="4"/>
  <c r="P11" i="4" s="1"/>
  <c r="M32" i="4"/>
  <c r="M22" i="4"/>
  <c r="I20" i="2"/>
  <c r="M33" i="2"/>
  <c r="I25" i="2"/>
  <c r="I36" i="2"/>
  <c r="I17" i="2"/>
  <c r="I28" i="2"/>
  <c r="M13" i="2"/>
  <c r="G18" i="2"/>
  <c r="P18" i="2" s="1"/>
  <c r="I34" i="2"/>
  <c r="M37" i="2"/>
  <c r="I29" i="2"/>
  <c r="G9" i="2"/>
  <c r="H9" i="2" s="1"/>
  <c r="G21" i="2"/>
  <c r="G23" i="2"/>
  <c r="Q23" i="2" s="1"/>
  <c r="H23" i="1"/>
  <c r="C56" i="1"/>
  <c r="A26" i="6"/>
  <c r="F26" i="6"/>
  <c r="F32" i="6" s="1"/>
  <c r="F33" i="6" s="1"/>
  <c r="M20" i="4"/>
  <c r="S37" i="4"/>
  <c r="M13" i="4"/>
  <c r="M37" i="4"/>
  <c r="G8" i="4"/>
  <c r="G8" i="2"/>
  <c r="M33" i="4"/>
  <c r="M26" i="4"/>
  <c r="M9" i="4"/>
  <c r="M30" i="4"/>
  <c r="M25" i="4"/>
  <c r="M31" i="4"/>
  <c r="M11" i="4"/>
  <c r="M19" i="4"/>
  <c r="M15" i="4"/>
  <c r="M24" i="4"/>
  <c r="M23" i="4"/>
  <c r="I19" i="2"/>
  <c r="M19" i="2"/>
  <c r="M14" i="4"/>
  <c r="I11" i="2"/>
  <c r="M22" i="2"/>
  <c r="I22" i="2"/>
  <c r="M36" i="4"/>
  <c r="I13" i="2"/>
  <c r="Q11" i="3"/>
  <c r="Q16" i="3"/>
  <c r="P16" i="3"/>
  <c r="D49" i="1"/>
  <c r="D48" i="1" s="1"/>
  <c r="Q21" i="3"/>
  <c r="O34" i="3"/>
  <c r="Q34" i="3"/>
  <c r="P33" i="3"/>
  <c r="Q33" i="3"/>
  <c r="O38" i="3"/>
  <c r="S38" i="3"/>
  <c r="Q37" i="3"/>
  <c r="S37" i="3"/>
  <c r="Q32" i="3"/>
  <c r="Q31" i="3"/>
  <c r="Q20" i="3"/>
  <c r="O33" i="3"/>
  <c r="O20" i="3"/>
  <c r="P17" i="3"/>
  <c r="O37" i="3"/>
  <c r="S9" i="3"/>
  <c r="O31" i="3"/>
  <c r="P20" i="3"/>
  <c r="S19" i="3"/>
  <c r="Q19" i="3"/>
  <c r="S20" i="3"/>
  <c r="R19" i="3"/>
  <c r="R30" i="3"/>
  <c r="Q30" i="3"/>
  <c r="P38" i="3"/>
  <c r="O32" i="3"/>
  <c r="P30" i="3"/>
  <c r="S18" i="3"/>
  <c r="Q38" i="3"/>
  <c r="P22" i="3"/>
  <c r="R21" i="3"/>
  <c r="R28" i="3"/>
  <c r="S14" i="3"/>
  <c r="Q14" i="3"/>
  <c r="R14" i="3"/>
  <c r="P14" i="3"/>
  <c r="S28" i="3"/>
  <c r="O21" i="3"/>
  <c r="K12" i="3"/>
  <c r="H12" i="3"/>
  <c r="J12" i="3" s="1"/>
  <c r="O22" i="3"/>
  <c r="H37" i="3"/>
  <c r="J37" i="3" s="1"/>
  <c r="R37" i="3"/>
  <c r="L37" i="3"/>
  <c r="C5" i="5" s="1"/>
  <c r="K37" i="3"/>
  <c r="H33" i="3"/>
  <c r="J33" i="3" s="1"/>
  <c r="S33" i="3"/>
  <c r="R33" i="3"/>
  <c r="L33" i="3"/>
  <c r="C9" i="5" s="1"/>
  <c r="K33" i="3"/>
  <c r="H16" i="3"/>
  <c r="J16" i="3" s="1"/>
  <c r="R16" i="3"/>
  <c r="L16" i="3"/>
  <c r="C26" i="5" s="1"/>
  <c r="K16" i="3"/>
  <c r="S17" i="3"/>
  <c r="S16" i="3"/>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2" i="3"/>
  <c r="J32" i="3" s="1"/>
  <c r="S32" i="3"/>
  <c r="R32" i="3"/>
  <c r="L32" i="3"/>
  <c r="C10" i="5" s="1"/>
  <c r="K32" i="3"/>
  <c r="S15" i="3"/>
  <c r="M26" i="6"/>
  <c r="M32" i="6" s="1"/>
  <c r="M33" i="6" s="1"/>
  <c r="O19" i="3"/>
  <c r="O11" i="3"/>
  <c r="S22" i="3"/>
  <c r="R22" i="3"/>
  <c r="L22" i="3"/>
  <c r="C20" i="5" s="1"/>
  <c r="K22" i="3"/>
  <c r="H22" i="3"/>
  <c r="J22" i="3" s="1"/>
  <c r="P37" i="3"/>
  <c r="L27" i="3"/>
  <c r="C15" i="5" s="1"/>
  <c r="K27" i="3"/>
  <c r="H27" i="3"/>
  <c r="J27" i="3" s="1"/>
  <c r="R27" i="3"/>
  <c r="Q27" i="3"/>
  <c r="P27" i="3"/>
  <c r="R23" i="3"/>
  <c r="P10" i="3"/>
  <c r="L10" i="3"/>
  <c r="C32" i="5" s="1"/>
  <c r="K10" i="3"/>
  <c r="H10" i="3"/>
  <c r="J10" i="3" s="1"/>
  <c r="S10" i="3"/>
  <c r="Q10" i="3"/>
  <c r="C23" i="1"/>
  <c r="B24" i="1"/>
  <c r="H24" i="1" s="1"/>
  <c r="H31" i="3"/>
  <c r="J31" i="3" s="1"/>
  <c r="S31" i="3"/>
  <c r="R31" i="3"/>
  <c r="L31" i="3"/>
  <c r="C11" i="5" s="1"/>
  <c r="K31" i="3"/>
  <c r="K14" i="3"/>
  <c r="H14" i="3"/>
  <c r="J14" i="3" s="1"/>
  <c r="L14" i="3"/>
  <c r="C28" i="5" s="1"/>
  <c r="O27" i="3"/>
  <c r="O23" i="3"/>
  <c r="K18" i="3"/>
  <c r="O10" i="3"/>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Q15" i="3" l="1"/>
  <c r="P15" i="3"/>
  <c r="K15" i="3"/>
  <c r="L15" i="3"/>
  <c r="C27" i="5" s="1"/>
  <c r="H15" i="3"/>
  <c r="J15" i="3" s="1"/>
  <c r="H23" i="3"/>
  <c r="J23" i="3" s="1"/>
  <c r="K23" i="3"/>
  <c r="L23" i="3"/>
  <c r="C19" i="5" s="1"/>
  <c r="Q23" i="3"/>
  <c r="S23" i="3"/>
  <c r="O35" i="3"/>
  <c r="R15" i="3"/>
  <c r="H35" i="3"/>
  <c r="J35" i="3" s="1"/>
  <c r="H18" i="3"/>
  <c r="J18" i="3" s="1"/>
  <c r="L18" i="3"/>
  <c r="C24" i="5" s="1"/>
  <c r="P18" i="3"/>
  <c r="Q18" i="3"/>
  <c r="O29" i="3"/>
  <c r="S29" i="3"/>
  <c r="Q29" i="3"/>
  <c r="P29" i="3"/>
  <c r="K29" i="3"/>
  <c r="H29" i="3"/>
  <c r="J29" i="3" s="1"/>
  <c r="L29" i="3"/>
  <c r="C13" i="5" s="1"/>
  <c r="R18" i="3"/>
  <c r="K35" i="3"/>
  <c r="L35" i="3"/>
  <c r="C7" i="5" s="1"/>
  <c r="R35" i="3"/>
  <c r="P35" i="3"/>
  <c r="S35" i="3"/>
  <c r="R13" i="3"/>
  <c r="S13" i="3"/>
  <c r="Q13" i="3"/>
  <c r="G15" i="2"/>
  <c r="G21" i="4"/>
  <c r="K21" i="2"/>
  <c r="G16" i="4"/>
  <c r="S16" i="4" s="1"/>
  <c r="M18" i="4"/>
  <c r="M28" i="2"/>
  <c r="G14" i="5" s="1"/>
  <c r="H14" i="5" s="1"/>
  <c r="I21" i="2"/>
  <c r="I9" i="2"/>
  <c r="I21" i="4"/>
  <c r="G12" i="4"/>
  <c r="O12" i="4" s="1"/>
  <c r="G32" i="4"/>
  <c r="R32" i="4" s="1"/>
  <c r="M34" i="2"/>
  <c r="K9" i="2"/>
  <c r="G13" i="2"/>
  <c r="P13" i="2" s="1"/>
  <c r="G28" i="4"/>
  <c r="I28" i="4" s="1"/>
  <c r="G34" i="4"/>
  <c r="O34" i="4" s="1"/>
  <c r="Q12" i="3"/>
  <c r="O38" i="4"/>
  <c r="M17" i="4"/>
  <c r="G20" i="4"/>
  <c r="K20" i="4" s="1"/>
  <c r="M9" i="2"/>
  <c r="G33" i="5" s="1"/>
  <c r="H33" i="5" s="1"/>
  <c r="I37" i="2"/>
  <c r="G23" i="4"/>
  <c r="L23" i="4" s="1"/>
  <c r="D19" i="5" s="1"/>
  <c r="L36" i="3"/>
  <c r="C6" i="5" s="1"/>
  <c r="M36" i="2"/>
  <c r="G6" i="5" s="1"/>
  <c r="H6" i="5" s="1"/>
  <c r="G31" i="4"/>
  <c r="P31" i="4" s="1"/>
  <c r="R36" i="3"/>
  <c r="M34" i="4"/>
  <c r="I14" i="2"/>
  <c r="H36" i="3"/>
  <c r="J36" i="3" s="1"/>
  <c r="O36" i="3"/>
  <c r="M25" i="2"/>
  <c r="I15" i="2"/>
  <c r="M29" i="4"/>
  <c r="O29" i="4"/>
  <c r="M14" i="2"/>
  <c r="G28" i="5" s="1"/>
  <c r="H28" i="5" s="1"/>
  <c r="Q36" i="3"/>
  <c r="M15" i="2"/>
  <c r="M10" i="4"/>
  <c r="G19" i="2"/>
  <c r="R19" i="2" s="1"/>
  <c r="G11" i="2"/>
  <c r="K11" i="2" s="1"/>
  <c r="G14" i="4"/>
  <c r="S14" i="4" s="1"/>
  <c r="G9" i="4"/>
  <c r="Q9" i="4" s="1"/>
  <c r="M38" i="4"/>
  <c r="M17" i="2"/>
  <c r="I33" i="2"/>
  <c r="G33" i="2"/>
  <c r="O33" i="2" s="1"/>
  <c r="G27" i="4"/>
  <c r="H27" i="4" s="1"/>
  <c r="J27" i="4" s="1"/>
  <c r="G30" i="4"/>
  <c r="K30" i="4" s="1"/>
  <c r="G19" i="4"/>
  <c r="O19" i="4" s="1"/>
  <c r="G25" i="4"/>
  <c r="Q25" i="4" s="1"/>
  <c r="K36" i="3"/>
  <c r="S36" i="3"/>
  <c r="G38" i="2"/>
  <c r="Q38" i="2" s="1"/>
  <c r="I26" i="2"/>
  <c r="I30" i="2"/>
  <c r="G26" i="4"/>
  <c r="R26" i="4" s="1"/>
  <c r="G35" i="4"/>
  <c r="P35" i="4" s="1"/>
  <c r="M24" i="2"/>
  <c r="G18" i="5" s="1"/>
  <c r="H18" i="5" s="1"/>
  <c r="M35" i="2"/>
  <c r="G7" i="5" s="1"/>
  <c r="H7" i="5" s="1"/>
  <c r="M20" i="2"/>
  <c r="G22" i="5" s="1"/>
  <c r="H22" i="5" s="1"/>
  <c r="M31" i="2"/>
  <c r="G11" i="5" s="1"/>
  <c r="H11" i="5" s="1"/>
  <c r="M32" i="2"/>
  <c r="G10" i="5" s="1"/>
  <c r="H10" i="5" s="1"/>
  <c r="M16" i="2"/>
  <c r="G13" i="4"/>
  <c r="S13" i="4" s="1"/>
  <c r="G22" i="4"/>
  <c r="P22" i="4" s="1"/>
  <c r="M30" i="2"/>
  <c r="I27" i="2"/>
  <c r="I35" i="2"/>
  <c r="G27" i="2"/>
  <c r="Q27" i="2" s="1"/>
  <c r="I16" i="2"/>
  <c r="G10" i="2"/>
  <c r="K10" i="2" s="1"/>
  <c r="G24" i="2"/>
  <c r="K24" i="2" s="1"/>
  <c r="I31" i="2"/>
  <c r="G16" i="2"/>
  <c r="Q16" i="2" s="1"/>
  <c r="K31" i="2"/>
  <c r="I10" i="2"/>
  <c r="G29" i="2"/>
  <c r="K29" i="2" s="1"/>
  <c r="G32" i="2"/>
  <c r="K32" i="2" s="1"/>
  <c r="M10" i="2"/>
  <c r="G25" i="2"/>
  <c r="O25" i="2" s="1"/>
  <c r="G31" i="2"/>
  <c r="L31" i="2" s="1"/>
  <c r="B11" i="5" s="1"/>
  <c r="I32" i="2"/>
  <c r="G12" i="2"/>
  <c r="P12" i="2" s="1"/>
  <c r="G26" i="2"/>
  <c r="P26" i="2" s="1"/>
  <c r="G28" i="2"/>
  <c r="O28" i="2" s="1"/>
  <c r="I12" i="2"/>
  <c r="M11" i="2"/>
  <c r="G31" i="5" s="1"/>
  <c r="H31" i="5" s="1"/>
  <c r="M18" i="2"/>
  <c r="G37" i="2"/>
  <c r="Q37" i="2" s="1"/>
  <c r="I23" i="2"/>
  <c r="M12" i="2"/>
  <c r="G30" i="5" s="1"/>
  <c r="H30" i="5" s="1"/>
  <c r="M26" i="2"/>
  <c r="G16" i="5" s="1"/>
  <c r="H16" i="5" s="1"/>
  <c r="M38" i="2"/>
  <c r="I24" i="2"/>
  <c r="G34" i="2"/>
  <c r="P34" i="2" s="1"/>
  <c r="M23" i="2"/>
  <c r="I18" i="2"/>
  <c r="I38" i="2"/>
  <c r="G20" i="2"/>
  <c r="R20" i="2" s="1"/>
  <c r="G17" i="2"/>
  <c r="P17" i="2" s="1"/>
  <c r="G35" i="2"/>
  <c r="K35" i="2" s="1"/>
  <c r="M27" i="2"/>
  <c r="G15" i="5" s="1"/>
  <c r="H15" i="5" s="1"/>
  <c r="G36" i="2"/>
  <c r="Q36" i="2" s="1"/>
  <c r="G14" i="2"/>
  <c r="K14" i="2" s="1"/>
  <c r="M21" i="2"/>
  <c r="G21" i="5" s="1"/>
  <c r="H21" i="5" s="1"/>
  <c r="M29" i="2"/>
  <c r="G13" i="5" s="1"/>
  <c r="H13" i="5" s="1"/>
  <c r="G22" i="2"/>
  <c r="O22" i="2" s="1"/>
  <c r="G30" i="2"/>
  <c r="Q30" i="2" s="1"/>
  <c r="O15" i="2"/>
  <c r="S29" i="4"/>
  <c r="L29" i="4"/>
  <c r="D13" i="5" s="1"/>
  <c r="I17" i="4"/>
  <c r="L22" i="4"/>
  <c r="D20" i="5" s="1"/>
  <c r="Q35" i="2"/>
  <c r="I24" i="4"/>
  <c r="L21" i="4"/>
  <c r="D21" i="5" s="1"/>
  <c r="S19" i="4"/>
  <c r="O21" i="4"/>
  <c r="K37" i="4"/>
  <c r="K21" i="4"/>
  <c r="P21" i="4"/>
  <c r="S10" i="4"/>
  <c r="L16" i="4"/>
  <c r="D26" i="5" s="1"/>
  <c r="Q24" i="4"/>
  <c r="Q21" i="4"/>
  <c r="K16" i="4"/>
  <c r="I37" i="4"/>
  <c r="R37" i="4"/>
  <c r="L37" i="4"/>
  <c r="D5" i="5" s="1"/>
  <c r="O36" i="4"/>
  <c r="Q37" i="4"/>
  <c r="O22" i="4"/>
  <c r="S21" i="4"/>
  <c r="R21" i="4"/>
  <c r="K22" i="4"/>
  <c r="K19" i="4"/>
  <c r="O37" i="4"/>
  <c r="P37" i="4"/>
  <c r="K17" i="4"/>
  <c r="L17" i="4"/>
  <c r="D25" i="5" s="1"/>
  <c r="Q17" i="4"/>
  <c r="O17" i="4"/>
  <c r="P17" i="4"/>
  <c r="G26" i="5"/>
  <c r="H26" i="5" s="1"/>
  <c r="Q33" i="2"/>
  <c r="R10" i="4"/>
  <c r="R17" i="4"/>
  <c r="I22" i="4"/>
  <c r="S31" i="2"/>
  <c r="S33" i="2"/>
  <c r="Q22" i="4"/>
  <c r="I16" i="4"/>
  <c r="L11" i="4"/>
  <c r="D31" i="5" s="1"/>
  <c r="O16" i="4"/>
  <c r="R33" i="2"/>
  <c r="G5" i="5"/>
  <c r="H5" i="5" s="1"/>
  <c r="S22" i="4"/>
  <c r="O24" i="4"/>
  <c r="I29" i="4"/>
  <c r="P16" i="4"/>
  <c r="P24" i="4"/>
  <c r="K29" i="4"/>
  <c r="Q16" i="4"/>
  <c r="R16" i="4"/>
  <c r="Q36" i="4"/>
  <c r="K24" i="4"/>
  <c r="Q24" i="2"/>
  <c r="Q29" i="4"/>
  <c r="P29" i="4"/>
  <c r="G32" i="5"/>
  <c r="H32" i="5" s="1"/>
  <c r="H22" i="4"/>
  <c r="J22" i="4" s="1"/>
  <c r="L24" i="4"/>
  <c r="D18" i="5" s="1"/>
  <c r="R29" i="4"/>
  <c r="R22" i="4"/>
  <c r="I19" i="4"/>
  <c r="H17" i="4"/>
  <c r="J17" i="4" s="1"/>
  <c r="R19" i="4"/>
  <c r="P26" i="4"/>
  <c r="S11" i="4"/>
  <c r="H21" i="4"/>
  <c r="J21" i="4" s="1"/>
  <c r="I26" i="4"/>
  <c r="R36" i="4"/>
  <c r="K11" i="4"/>
  <c r="K14" i="4"/>
  <c r="K36" i="4"/>
  <c r="I14" i="4"/>
  <c r="P19" i="4"/>
  <c r="S36" i="4"/>
  <c r="Q19" i="4"/>
  <c r="O10" i="4"/>
  <c r="O26" i="4"/>
  <c r="R24" i="4"/>
  <c r="K10" i="4"/>
  <c r="L26" i="4"/>
  <c r="D16" i="5" s="1"/>
  <c r="I38" i="4"/>
  <c r="I10" i="4"/>
  <c r="K38" i="4"/>
  <c r="L36" i="4"/>
  <c r="D6" i="5" s="1"/>
  <c r="H38" i="4"/>
  <c r="J38" i="4" s="1"/>
  <c r="H19" i="4"/>
  <c r="J19" i="4" s="1"/>
  <c r="S35" i="4"/>
  <c r="P36" i="4"/>
  <c r="O11" i="4"/>
  <c r="Q38" i="4"/>
  <c r="R38" i="4"/>
  <c r="R14" i="4"/>
  <c r="L38" i="4"/>
  <c r="D4" i="5" s="1"/>
  <c r="R11" i="4"/>
  <c r="H37" i="4"/>
  <c r="J37" i="4" s="1"/>
  <c r="P14" i="4"/>
  <c r="H26" i="4"/>
  <c r="J26" i="4" s="1"/>
  <c r="G29" i="5"/>
  <c r="H29" i="5" s="1"/>
  <c r="H24" i="4"/>
  <c r="J24" i="4" s="1"/>
  <c r="H29" i="4"/>
  <c r="J29" i="4" s="1"/>
  <c r="O14" i="4"/>
  <c r="H16" i="4"/>
  <c r="J16" i="4" s="1"/>
  <c r="H36" i="4"/>
  <c r="J36" i="4" s="1"/>
  <c r="Q11" i="4"/>
  <c r="G17" i="5"/>
  <c r="H17" i="5" s="1"/>
  <c r="I11" i="4"/>
  <c r="H11" i="4"/>
  <c r="J11" i="4" s="1"/>
  <c r="Q10" i="4"/>
  <c r="R28" i="4"/>
  <c r="L10" i="4"/>
  <c r="D32" i="5" s="1"/>
  <c r="Q15" i="2"/>
  <c r="I15" i="4"/>
  <c r="K15" i="4"/>
  <c r="L15" i="4"/>
  <c r="D27" i="5" s="1"/>
  <c r="R20" i="4"/>
  <c r="R31" i="4"/>
  <c r="R27" i="4"/>
  <c r="G19" i="5"/>
  <c r="H19" i="5" s="1"/>
  <c r="G12" i="5"/>
  <c r="H12" i="5" s="1"/>
  <c r="H10" i="4"/>
  <c r="J10" i="4" s="1"/>
  <c r="R36" i="2"/>
  <c r="K18" i="2"/>
  <c r="G9" i="5"/>
  <c r="H9" i="5" s="1"/>
  <c r="S9" i="2"/>
  <c r="R18" i="2"/>
  <c r="I25" i="4"/>
  <c r="Q18" i="2"/>
  <c r="Q33" i="4"/>
  <c r="L33" i="4"/>
  <c r="D9" i="5" s="1"/>
  <c r="K33" i="4"/>
  <c r="I33" i="4"/>
  <c r="H13" i="4"/>
  <c r="J13" i="4" s="1"/>
  <c r="S25" i="4"/>
  <c r="H12" i="4"/>
  <c r="J12" i="4" s="1"/>
  <c r="K23" i="4"/>
  <c r="S23" i="4"/>
  <c r="K13" i="4"/>
  <c r="K23" i="2"/>
  <c r="R13" i="4"/>
  <c r="O25" i="4"/>
  <c r="H23" i="4"/>
  <c r="J23" i="4" s="1"/>
  <c r="S12" i="4"/>
  <c r="Q13" i="4"/>
  <c r="S38" i="4"/>
  <c r="G23" i="5"/>
  <c r="H23" i="5" s="1"/>
  <c r="S23" i="2"/>
  <c r="P12" i="4"/>
  <c r="P13" i="4"/>
  <c r="Q12" i="4"/>
  <c r="Q23" i="4"/>
  <c r="R23" i="4"/>
  <c r="S15" i="2"/>
  <c r="O13" i="4"/>
  <c r="P23" i="4"/>
  <c r="I23" i="4"/>
  <c r="K25" i="4"/>
  <c r="P38" i="4"/>
  <c r="L13" i="4"/>
  <c r="D29" i="5" s="1"/>
  <c r="K12" i="4"/>
  <c r="I12" i="4"/>
  <c r="I13" i="4"/>
  <c r="R34" i="2"/>
  <c r="R12" i="4"/>
  <c r="O23" i="4"/>
  <c r="R25" i="4"/>
  <c r="Q34" i="2"/>
  <c r="R38" i="2"/>
  <c r="S34" i="2"/>
  <c r="L12" i="4"/>
  <c r="D30" i="5" s="1"/>
  <c r="G20" i="5"/>
  <c r="H20" i="5" s="1"/>
  <c r="H15" i="4"/>
  <c r="J15" i="4" s="1"/>
  <c r="S15" i="4"/>
  <c r="H30" i="4"/>
  <c r="J30" i="4" s="1"/>
  <c r="I31" i="4"/>
  <c r="O15" i="4"/>
  <c r="S31" i="4"/>
  <c r="O18" i="2"/>
  <c r="O9" i="2"/>
  <c r="P15" i="4"/>
  <c r="Q30" i="4"/>
  <c r="O29" i="2"/>
  <c r="Q15" i="4"/>
  <c r="P30" i="4"/>
  <c r="O34" i="2"/>
  <c r="O30" i="4"/>
  <c r="L30" i="4"/>
  <c r="D12" i="5" s="1"/>
  <c r="S32" i="2"/>
  <c r="I30" i="4"/>
  <c r="Q9" i="2"/>
  <c r="H31" i="4"/>
  <c r="J31" i="4" s="1"/>
  <c r="O35" i="2"/>
  <c r="R30" i="4"/>
  <c r="S30" i="4"/>
  <c r="G27" i="5"/>
  <c r="H27" i="5" s="1"/>
  <c r="L20" i="4"/>
  <c r="D22" i="5" s="1"/>
  <c r="P20" i="4"/>
  <c r="Q20" i="4"/>
  <c r="R10" i="2"/>
  <c r="P33" i="2"/>
  <c r="P19" i="2"/>
  <c r="R11" i="2"/>
  <c r="P15" i="2"/>
  <c r="K15" i="2"/>
  <c r="S19" i="2"/>
  <c r="S10" i="2"/>
  <c r="O20" i="4"/>
  <c r="S11" i="2"/>
  <c r="Q21" i="2"/>
  <c r="S21" i="2"/>
  <c r="P38" i="2"/>
  <c r="O21" i="2"/>
  <c r="K33" i="2"/>
  <c r="P11" i="2"/>
  <c r="S20" i="4"/>
  <c r="Q19" i="2"/>
  <c r="H20" i="4"/>
  <c r="J20" i="4" s="1"/>
  <c r="Q11" i="2"/>
  <c r="P21" i="2"/>
  <c r="O10" i="2"/>
  <c r="I20" i="4"/>
  <c r="R21" i="2"/>
  <c r="R15" i="2"/>
  <c r="R18" i="4"/>
  <c r="O33" i="4"/>
  <c r="L26" i="2"/>
  <c r="B16" i="5" s="1"/>
  <c r="L19" i="2"/>
  <c r="B23" i="5" s="1"/>
  <c r="P20" i="2"/>
  <c r="L34" i="2"/>
  <c r="B8" i="5" s="1"/>
  <c r="H34" i="2"/>
  <c r="J34" i="2" s="1"/>
  <c r="H35" i="2"/>
  <c r="J35" i="2" s="1"/>
  <c r="L35" i="2"/>
  <c r="B7" i="5" s="1"/>
  <c r="L9" i="2"/>
  <c r="B33" i="5" s="1"/>
  <c r="J9" i="2"/>
  <c r="P35" i="2"/>
  <c r="S12" i="2"/>
  <c r="R35" i="2"/>
  <c r="O32" i="2"/>
  <c r="Q18" i="4"/>
  <c r="H18" i="4"/>
  <c r="J18" i="4" s="1"/>
  <c r="I18" i="4"/>
  <c r="H33" i="4"/>
  <c r="J33" i="4" s="1"/>
  <c r="S33" i="4"/>
  <c r="H33" i="2"/>
  <c r="J33" i="2" s="1"/>
  <c r="L33" i="2"/>
  <c r="B9" i="5" s="1"/>
  <c r="P9" i="2"/>
  <c r="K18" i="4"/>
  <c r="L11" i="2"/>
  <c r="B31" i="5" s="1"/>
  <c r="H11" i="2"/>
  <c r="J11" i="2" s="1"/>
  <c r="H10" i="2"/>
  <c r="J10" i="2" s="1"/>
  <c r="L10" i="2"/>
  <c r="B32" i="5" s="1"/>
  <c r="O20" i="2"/>
  <c r="S18" i="4"/>
  <c r="H23" i="2"/>
  <c r="J23" i="2" s="1"/>
  <c r="L23" i="2"/>
  <c r="B19" i="5" s="1"/>
  <c r="E19" i="5" s="1"/>
  <c r="O23" i="2"/>
  <c r="R23" i="2"/>
  <c r="K17" i="2"/>
  <c r="L18" i="4"/>
  <c r="D24" i="5" s="1"/>
  <c r="O18" i="4"/>
  <c r="O31" i="2"/>
  <c r="S18" i="2"/>
  <c r="H18" i="2"/>
  <c r="J18" i="2" s="1"/>
  <c r="L18" i="2"/>
  <c r="B24" i="5" s="1"/>
  <c r="O19" i="2"/>
  <c r="S20" i="2"/>
  <c r="P33" i="4"/>
  <c r="P28" i="2"/>
  <c r="H21" i="2"/>
  <c r="J21" i="2" s="1"/>
  <c r="L21" i="2"/>
  <c r="B21" i="5" s="1"/>
  <c r="O26" i="2"/>
  <c r="K19" i="2"/>
  <c r="H38" i="2"/>
  <c r="J38" i="2" s="1"/>
  <c r="L38" i="2"/>
  <c r="B4" i="5" s="1"/>
  <c r="H15" i="2"/>
  <c r="J15" i="2" s="1"/>
  <c r="L15" i="2"/>
  <c r="B27" i="5" s="1"/>
  <c r="R9" i="2"/>
  <c r="P23" i="2"/>
  <c r="F31" i="5"/>
  <c r="C24" i="1"/>
  <c r="B25" i="1"/>
  <c r="H25" i="1" s="1"/>
  <c r="D56" i="1"/>
  <c r="F30" i="5"/>
  <c r="D47" i="1"/>
  <c r="R35" i="4" l="1"/>
  <c r="G24" i="5"/>
  <c r="H24" i="5" s="1"/>
  <c r="P25" i="4"/>
  <c r="H25" i="4"/>
  <c r="J25" i="4" s="1"/>
  <c r="O28" i="4"/>
  <c r="Q26" i="4"/>
  <c r="L25" i="4"/>
  <c r="D17" i="5" s="1"/>
  <c r="K26" i="4"/>
  <c r="Q32" i="4"/>
  <c r="H32" i="4"/>
  <c r="J32" i="4" s="1"/>
  <c r="P32" i="4"/>
  <c r="S32" i="4"/>
  <c r="L32" i="4"/>
  <c r="D10" i="5" s="1"/>
  <c r="L31" i="4"/>
  <c r="D11" i="5" s="1"/>
  <c r="Q31" i="4"/>
  <c r="K31" i="4"/>
  <c r="O31" i="4"/>
  <c r="L34" i="4"/>
  <c r="D8" i="5" s="1"/>
  <c r="R34" i="4"/>
  <c r="I35" i="4"/>
  <c r="Q35" i="4"/>
  <c r="I34" i="4"/>
  <c r="L28" i="4"/>
  <c r="D14" i="5" s="1"/>
  <c r="L27" i="4"/>
  <c r="D15" i="5" s="1"/>
  <c r="S34" i="4"/>
  <c r="H28" i="4"/>
  <c r="J28" i="4" s="1"/>
  <c r="S28" i="4"/>
  <c r="P34" i="4"/>
  <c r="K27" i="4"/>
  <c r="K34" i="4"/>
  <c r="K28" i="4"/>
  <c r="O27" i="4"/>
  <c r="P28" i="4"/>
  <c r="Q27" i="4"/>
  <c r="P27" i="4"/>
  <c r="Q34" i="4"/>
  <c r="S27" i="4"/>
  <c r="H34" i="4"/>
  <c r="J34" i="4" s="1"/>
  <c r="I27" i="4"/>
  <c r="Q28" i="4"/>
  <c r="S14" i="2"/>
  <c r="P10" i="2"/>
  <c r="Q10" i="2"/>
  <c r="H19" i="2"/>
  <c r="J19" i="2" s="1"/>
  <c r="K20" i="2"/>
  <c r="P14" i="2"/>
  <c r="R12" i="2"/>
  <c r="O12" i="2"/>
  <c r="H20" i="2"/>
  <c r="J20" i="2" s="1"/>
  <c r="K12" i="2"/>
  <c r="O24" i="2"/>
  <c r="L12" i="2"/>
  <c r="B30" i="5" s="1"/>
  <c r="H12" i="2"/>
  <c r="J12" i="2" s="1"/>
  <c r="Q20" i="2"/>
  <c r="Q12" i="2"/>
  <c r="R14" i="2"/>
  <c r="S26" i="2"/>
  <c r="H26" i="2"/>
  <c r="J26" i="2" s="1"/>
  <c r="R26" i="2"/>
  <c r="K26" i="2"/>
  <c r="Q17" i="2"/>
  <c r="R24" i="2"/>
  <c r="O11" i="2"/>
  <c r="O14" i="2"/>
  <c r="O17" i="2"/>
  <c r="H14" i="2"/>
  <c r="J14" i="2" s="1"/>
  <c r="L24" i="2"/>
  <c r="B18" i="5" s="1"/>
  <c r="E18" i="5" s="1"/>
  <c r="L14" i="2"/>
  <c r="B28" i="5" s="1"/>
  <c r="Q14" i="2"/>
  <c r="Q26" i="2"/>
  <c r="S38" i="2"/>
  <c r="G4" i="5"/>
  <c r="H4" i="5" s="1"/>
  <c r="O38" i="2"/>
  <c r="K38" i="2"/>
  <c r="L37" i="2"/>
  <c r="B5" i="5" s="1"/>
  <c r="O36" i="2"/>
  <c r="H36" i="2"/>
  <c r="J36" i="2" s="1"/>
  <c r="P36" i="2"/>
  <c r="L36" i="2"/>
  <c r="B6" i="5" s="1"/>
  <c r="P31" i="2"/>
  <c r="Q31" i="2"/>
  <c r="R31" i="2"/>
  <c r="H31" i="2"/>
  <c r="J31" i="2" s="1"/>
  <c r="G8" i="5"/>
  <c r="H8" i="5" s="1"/>
  <c r="K34" i="2"/>
  <c r="L9" i="4"/>
  <c r="D33" i="5" s="1"/>
  <c r="L14" i="4"/>
  <c r="D28" i="5" s="1"/>
  <c r="O32" i="4"/>
  <c r="L19" i="4"/>
  <c r="D23" i="5" s="1"/>
  <c r="S26" i="4"/>
  <c r="E23" i="5"/>
  <c r="G25" i="5"/>
  <c r="H25" i="5" s="1"/>
  <c r="I9" i="4"/>
  <c r="H9" i="4"/>
  <c r="J9" i="4" s="1"/>
  <c r="R9" i="4"/>
  <c r="E33" i="5"/>
  <c r="S9" i="4"/>
  <c r="K9" i="4"/>
  <c r="O9" i="4"/>
  <c r="L30" i="2"/>
  <c r="B12" i="5" s="1"/>
  <c r="R13" i="2"/>
  <c r="K37" i="2"/>
  <c r="L13" i="2"/>
  <c r="B29" i="5" s="1"/>
  <c r="E29" i="5" s="1"/>
  <c r="S13" i="2"/>
  <c r="H13" i="2"/>
  <c r="J13" i="2" s="1"/>
  <c r="Q13" i="2"/>
  <c r="K13" i="2"/>
  <c r="Q29" i="2"/>
  <c r="L29" i="2"/>
  <c r="B13" i="5" s="1"/>
  <c r="E13" i="5" s="1"/>
  <c r="O37" i="2"/>
  <c r="S35" i="2"/>
  <c r="P16" i="2"/>
  <c r="S29" i="2"/>
  <c r="H29" i="2"/>
  <c r="J29" i="2" s="1"/>
  <c r="O16" i="2"/>
  <c r="R29" i="2"/>
  <c r="O13" i="2"/>
  <c r="H37" i="2"/>
  <c r="J37" i="2" s="1"/>
  <c r="H16" i="2"/>
  <c r="J16" i="2" s="1"/>
  <c r="L16" i="2"/>
  <c r="B26" i="5" s="1"/>
  <c r="E26" i="5" s="1"/>
  <c r="K16" i="2"/>
  <c r="R16" i="2"/>
  <c r="S16" i="2"/>
  <c r="L20" i="2"/>
  <c r="B22" i="5" s="1"/>
  <c r="E22" i="5" s="1"/>
  <c r="H24" i="2"/>
  <c r="J24" i="2" s="1"/>
  <c r="P24" i="2"/>
  <c r="L25" i="2"/>
  <c r="B17" i="5" s="1"/>
  <c r="E17" i="5" s="1"/>
  <c r="K25" i="2"/>
  <c r="P25" i="2"/>
  <c r="S25" i="2"/>
  <c r="Q25" i="2"/>
  <c r="R25" i="2"/>
  <c r="H25" i="2"/>
  <c r="J25" i="2" s="1"/>
  <c r="L17" i="2"/>
  <c r="B25" i="5" s="1"/>
  <c r="E25" i="5" s="1"/>
  <c r="H17" i="2"/>
  <c r="J17" i="2" s="1"/>
  <c r="R27" i="2"/>
  <c r="R17" i="2"/>
  <c r="S27" i="2"/>
  <c r="Q28" i="2"/>
  <c r="P27" i="2"/>
  <c r="K28" i="2"/>
  <c r="O27" i="2"/>
  <c r="L27" i="2"/>
  <c r="B15" i="5" s="1"/>
  <c r="E15" i="5" s="1"/>
  <c r="P29" i="2"/>
  <c r="S17" i="2"/>
  <c r="H27" i="2"/>
  <c r="J27" i="2" s="1"/>
  <c r="R28" i="2"/>
  <c r="L28" i="2"/>
  <c r="B14" i="5" s="1"/>
  <c r="K27" i="2"/>
  <c r="H28" i="2"/>
  <c r="J28" i="2" s="1"/>
  <c r="R30" i="2"/>
  <c r="S28" i="2"/>
  <c r="S24" i="2"/>
  <c r="L22" i="2"/>
  <c r="B20" i="5" s="1"/>
  <c r="E20" i="5" s="1"/>
  <c r="H22" i="2"/>
  <c r="J22" i="2" s="1"/>
  <c r="R22" i="2"/>
  <c r="S22" i="2"/>
  <c r="K35" i="4"/>
  <c r="K22" i="2"/>
  <c r="Q14" i="4"/>
  <c r="O35" i="4"/>
  <c r="H35" i="4"/>
  <c r="J35" i="4" s="1"/>
  <c r="K32" i="4"/>
  <c r="P22" i="2"/>
  <c r="Q22" i="2"/>
  <c r="L35" i="4"/>
  <c r="D7" i="5" s="1"/>
  <c r="E7" i="5" s="1"/>
  <c r="I32" i="4"/>
  <c r="H14" i="4"/>
  <c r="J14" i="4" s="1"/>
  <c r="P9" i="4"/>
  <c r="H30" i="2"/>
  <c r="J30" i="2" s="1"/>
  <c r="P30" i="2"/>
  <c r="P37" i="2"/>
  <c r="S37" i="2"/>
  <c r="Q32" i="2"/>
  <c r="S36" i="2"/>
  <c r="K36" i="2"/>
  <c r="S30" i="2"/>
  <c r="O30" i="2"/>
  <c r="R32" i="2"/>
  <c r="L32" i="2"/>
  <c r="B10" i="5" s="1"/>
  <c r="P32" i="2"/>
  <c r="K30" i="2"/>
  <c r="H32" i="2"/>
  <c r="J32" i="2" s="1"/>
  <c r="R37" i="2"/>
  <c r="E21" i="5"/>
  <c r="E16" i="5"/>
  <c r="E5" i="5"/>
  <c r="E27" i="5"/>
  <c r="E31" i="5"/>
  <c r="E24" i="5"/>
  <c r="E6" i="5"/>
  <c r="E9" i="5"/>
  <c r="E32" i="5"/>
  <c r="E4" i="5"/>
  <c r="E30" i="5"/>
  <c r="E12" i="5"/>
  <c r="E8" i="5"/>
  <c r="E11" i="5"/>
  <c r="F29" i="5"/>
  <c r="D46" i="1"/>
  <c r="C25" i="1"/>
  <c r="B26" i="1"/>
  <c r="H26" i="1" s="1"/>
  <c r="E56" i="1"/>
  <c r="E28" i="5" l="1"/>
  <c r="E14" i="5"/>
  <c r="E10" i="5"/>
  <c r="B27" i="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4" i="5"/>
  <c r="M12" i="5"/>
  <c r="M28" i="5"/>
  <c r="M6" i="5"/>
  <c r="M26" i="5"/>
  <c r="M8" i="5"/>
  <c r="M5" i="5"/>
  <c r="M15" i="5"/>
  <c r="M25" i="5"/>
  <c r="M30" i="5"/>
  <c r="M9" i="5"/>
  <c r="M24" i="5"/>
  <c r="M18" i="5"/>
  <c r="M27" i="5"/>
  <c r="M17" i="5"/>
  <c r="M22" i="5"/>
  <c r="M4" i="5"/>
  <c r="M13" i="5"/>
  <c r="M11" i="5"/>
  <c r="M21" i="5"/>
  <c r="M16" i="5"/>
  <c r="M20" i="5"/>
  <c r="M23" i="5"/>
  <c r="M19" i="5"/>
  <c r="M29" i="5"/>
  <c r="M7"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18" i="7"/>
  <c r="D17" i="7"/>
  <c r="D34" i="7"/>
  <c r="D27" i="7"/>
  <c r="D11" i="7"/>
  <c r="D20" i="7"/>
  <c r="D8" i="7"/>
  <c r="D31" i="7"/>
  <c r="D12" i="7"/>
  <c r="D28" i="7"/>
  <c r="D26" i="7"/>
  <c r="D14" i="7"/>
  <c r="D7" i="7"/>
  <c r="D32" i="7"/>
  <c r="D10" i="7"/>
  <c r="D21" i="7"/>
  <c r="D9" i="7"/>
  <c r="D13" i="7"/>
  <c r="D15" i="7"/>
  <c r="D23" i="7"/>
  <c r="D29" i="7"/>
  <c r="D16" i="7"/>
  <c r="D30" i="7"/>
  <c r="D33" i="7"/>
  <c r="D19" i="7"/>
  <c r="D22" i="7"/>
  <c r="D25" i="7"/>
  <c r="D24" i="7"/>
  <c r="D5" i="7"/>
  <c r="D6"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7" i="1"/>
  <c r="I30" i="1"/>
  <c r="I34" i="1"/>
  <c r="I36" i="1"/>
  <c r="I39" i="1"/>
  <c r="I29" i="1"/>
  <c r="I35" i="1"/>
  <c r="I26" i="1"/>
  <c r="I49" i="1"/>
  <c r="I41" i="1"/>
  <c r="I24" i="1"/>
  <c r="I51" i="1"/>
  <c r="I25" i="1"/>
  <c r="I44" i="1"/>
  <c r="I48" i="1"/>
  <c r="I23" i="1"/>
  <c r="I46" i="1"/>
  <c r="I42" i="1"/>
  <c r="I22" i="1"/>
  <c r="I32" i="1"/>
  <c r="I43" i="1"/>
  <c r="I38" i="1"/>
  <c r="I47" i="1"/>
  <c r="I33" i="1"/>
  <c r="I31" i="1"/>
  <c r="I40" i="1"/>
  <c r="I37" i="1"/>
  <c r="I28" i="1"/>
  <c r="I50" i="1"/>
</calcChain>
</file>

<file path=xl/sharedStrings.xml><?xml version="1.0" encoding="utf-8"?>
<sst xmlns="http://schemas.openxmlformats.org/spreadsheetml/2006/main" count="487" uniqueCount="201">
  <si>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</si>
  <si>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</si>
  <si>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</si>
  <si>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</si>
  <si>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</si>
  <si>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</si>
  <si>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</si>
  <si>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</si>
  <si>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</si>
  <si>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</si>
  <si>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</si>
  <si>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</si>
  <si>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</si>
  <si>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</si>
  <si>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</si>
  <si>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</si>
  <si>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</si>
  <si>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</si>
  <si>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</si>
  <si>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</si>
  <si>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</si>
  <si>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</si>
  <si>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</si>
  <si>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</si>
  <si>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</si>
  <si>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</si>
  <si>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</si>
  <si>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</si>
  <si>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</si>
  <si>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</si>
  <si>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</si>
  <si>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</si>
  <si>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</si>
  <si>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</si>
  <si>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</si>
  <si>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</si>
  <si>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</si>
  <si>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</si>
  <si>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</si>
  <si>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</si>
  <si>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</si>
  <si>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</si>
  <si>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</si>
  <si>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</si>
  <si>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</si>
  <si>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</si>
  <si>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</si>
  <si>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</si>
  <si>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</si>
  <si>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</si>
  <si>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</si>
  <si>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</si>
  <si>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</si>
  <si>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</si>
  <si>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</si>
  <si>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</si>
  <si>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</si>
  <si>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</si>
  <si>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</si>
  <si>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</si>
  <si>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</si>
  <si>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</si>
  <si>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</si>
  <si>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</si>
  <si>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</si>
  <si>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</si>
  <si>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</si>
  <si>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</si>
  <si>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</si>
  <si>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</si>
  <si>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</si>
  <si>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</si>
  <si>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</si>
  <si>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</si>
  <si>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</si>
  <si>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</si>
  <si>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</si>
  <si>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</si>
  <si>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</si>
  <si>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</si>
  <si>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</si>
  <si>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</si>
  <si>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</si>
  <si>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</si>
  <si>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</si>
  <si>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</si>
  <si>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</si>
  <si>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</si>
  <si>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</si>
  <si>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</si>
  <si>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</si>
  <si>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</si>
  <si>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</si>
  <si>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</si>
  <si>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</si>
  <si>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</si>
  <si>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</si>
  <si>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</si>
  <si>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</si>
  <si>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</si>
  <si>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</si>
  <si>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</si>
  <si>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</si>
  <si>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</si>
  <si>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</si>
  <si>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</si>
  <si>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</si>
  <si>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</si>
  <si>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</si>
  <si>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</si>
  <si>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</si>
  <si>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</si>
  <si>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</si>
  <si>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</si>
  <si>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</si>
  <si>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</si>
  <si>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</si>
  <si>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</si>
  <si>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</si>
  <si>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</si>
  <si>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</si>
  <si>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</si>
  <si>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</si>
  <si>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</si>
  <si>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</si>
  <si>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</si>
  <si>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</si>
  <si>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</si>
  <si>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</si>
  <si>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</si>
  <si>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</si>
  <si>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</si>
  <si>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</si>
  <si>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</si>
  <si>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</si>
  <si>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</si>
  <si>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</si>
  <si>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</si>
  <si>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</si>
  <si>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</si>
  <si>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</si>
  <si>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</si>
  <si>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</si>
  <si>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</si>
  <si>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</si>
  <si>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</si>
  <si>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</si>
  <si>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</si>
  <si>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</si>
  <si>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</si>
  <si>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</si>
  <si>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</si>
  <si>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</si>
  <si>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</si>
  <si>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</si>
  <si>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</si>
  <si>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</si>
  <si>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</si>
  <si>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</si>
  <si>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</si>
  <si>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</si>
  <si>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</si>
  <si>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</si>
  <si>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</si>
  <si>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</si>
  <si>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</si>
  <si>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</si>
  <si>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</si>
  <si>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</si>
  <si>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</si>
  <si>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</si>
  <si>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</si>
  <si>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</si>
  <si>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</si>
  <si>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</si>
  <si>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</si>
  <si>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</si>
  <si>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</si>
  <si>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</si>
  <si>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</si>
  <si>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</si>
  <si>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</si>
  <si>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</si>
  <si>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</si>
  <si>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</si>
  <si>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</si>
  <si>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</si>
  <si>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</si>
  <si>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</si>
  <si>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</si>
  <si>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</si>
  <si>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</si>
  <si>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</si>
  <si>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</si>
  <si>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</si>
  <si>
    <t>Previous</t>
  </si>
  <si>
    <t>photocurrent</t>
  </si>
  <si>
    <t>scale factor</t>
  </si>
  <si>
    <t>ADU thresholds</t>
  </si>
  <si>
    <t>ADU Peak</t>
  </si>
  <si>
    <t>Peak Threshold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</si>
</sst>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33"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
      <b/>
      <sz val="11"/>
      <color rgb="FFFA7D00"/>
      <name val="Arial"/>
      <family val="2"/>
    </font>
  </fonts>
  <fills count="8">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rgb="FFF2F2F2"/>
        <bgColor rgb="FF000000"/>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style="medium">
        <color indexed="64"/>
      </right>
      <top style="thin">
        <color rgb="FF7F7F7F"/>
      </top>
      <bottom style="medium">
        <color indexed="64"/>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70">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32" fillId="7" borderId="24" xfId="0" applyFont="1" applyFill="1" applyBorder="1"/>
    <xf numFmtId="0" fontId="32" fillId="7" borderId="31" xfId="0" applyFont="1" applyFill="1" applyBorder="1"/>
    <xf numFmtId="0" fontId="32" fillId="7" borderId="32" xfId="0" applyFont="1" applyFill="1" applyBorder="1"/>
    <xf numFmtId="14" fontId="0" fillId="0" borderId="0" xfId="0" applyNumberFormat="1"/>
    <xf numFmtId="169" fontId="0" fillId="0" borderId="0" xfId="0" applyNumberFormat="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-3.3217050113556468E-3</c:v>
                </c:pt>
                <c:pt idx="1">
                  <c:v>8.7159004985211119E-3</c:v>
                </c:pt>
                <c:pt idx="2">
                  <c:v>9.6443091724021102E-3</c:v>
                </c:pt>
                <c:pt idx="3">
                  <c:v>-2.7112204083745262E-2</c:v>
                </c:pt>
                <c:pt idx="4">
                  <c:v>1.207369942417813E-2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-3.445703880836648E-3</c:v>
                </c:pt>
                <c:pt idx="1">
                  <c:v>7.7470630688896147E-3</c:v>
                </c:pt>
                <c:pt idx="2">
                  <c:v>1.0866449270269252E-2</c:v>
                </c:pt>
                <c:pt idx="3">
                  <c:v>-2.6164017914783733E-2</c:v>
                </c:pt>
                <c:pt idx="4">
                  <c:v>1.0996209456461514E-2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-4.2556541890680366E-3</c:v>
                </c:pt>
                <c:pt idx="1">
                  <c:v>5.786381516855732E-3</c:v>
                </c:pt>
                <c:pt idx="2">
                  <c:v>1.2331647384310473E-2</c:v>
                </c:pt>
                <c:pt idx="3">
                  <c:v>-2.4929019378900019E-2</c:v>
                </c:pt>
                <c:pt idx="4">
                  <c:v>1.1066644666801517E-2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-4.6549646793299093E-3</c:v>
                </c:pt>
                <c:pt idx="1">
                  <c:v>4.1402924058453472E-3</c:v>
                </c:pt>
                <c:pt idx="2">
                  <c:v>1.1504365502882585E-2</c:v>
                </c:pt>
                <c:pt idx="3">
                  <c:v>-2.3070781428924159E-2</c:v>
                </c:pt>
                <c:pt idx="4">
                  <c:v>1.2081088199525691E-2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-5.1253079442273863E-3</c:v>
                </c:pt>
                <c:pt idx="1">
                  <c:v>5.6398361775340522E-3</c:v>
                </c:pt>
                <c:pt idx="2">
                  <c:v>1.1919814291101227E-2</c:v>
                </c:pt>
                <c:pt idx="3">
                  <c:v>-2.2706182841884193E-2</c:v>
                </c:pt>
                <c:pt idx="4">
                  <c:v>1.0271840317475744E-2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-5.564867708742538E-3</c:v>
                </c:pt>
                <c:pt idx="1">
                  <c:v>9.3642030448692903E-3</c:v>
                </c:pt>
                <c:pt idx="2">
                  <c:v>9.5404004067038972E-3</c:v>
                </c:pt>
                <c:pt idx="3">
                  <c:v>-2.1107484713191793E-2</c:v>
                </c:pt>
                <c:pt idx="4">
                  <c:v>7.7677489703611435E-3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-5.1774870700204145E-3</c:v>
                </c:pt>
                <c:pt idx="1">
                  <c:v>1.0910435236689331E-2</c:v>
                </c:pt>
                <c:pt idx="2">
                  <c:v>6.1043998339518346E-3</c:v>
                </c:pt>
                <c:pt idx="3">
                  <c:v>-1.8554086095194267E-2</c:v>
                </c:pt>
                <c:pt idx="4">
                  <c:v>6.7167380945738486E-3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-4.5945080300057173E-3</c:v>
                </c:pt>
                <c:pt idx="1">
                  <c:v>1.2626488291243243E-2</c:v>
                </c:pt>
                <c:pt idx="2">
                  <c:v>6.7892585900795055E-3</c:v>
                </c:pt>
                <c:pt idx="3">
                  <c:v>-1.7510192198119112E-2</c:v>
                </c:pt>
                <c:pt idx="4">
                  <c:v>2.6889533468026361E-3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2.7587109258075948E-4</c:v>
                </c:pt>
                <c:pt idx="1">
                  <c:v>1.1252841210212416E-2</c:v>
                </c:pt>
                <c:pt idx="2">
                  <c:v>6.3045442042890532E-3</c:v>
                </c:pt>
                <c:pt idx="3">
                  <c:v>-1.7921293872423361E-2</c:v>
                </c:pt>
                <c:pt idx="4">
                  <c:v>8.803736534113149E-5</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2.6890072692944411E-3</c:v>
                </c:pt>
                <c:pt idx="1">
                  <c:v>1.3910964111053747E-2</c:v>
                </c:pt>
                <c:pt idx="2">
                  <c:v>4.055032228760469E-3</c:v>
                </c:pt>
                <c:pt idx="3">
                  <c:v>-1.8985523070067178E-2</c:v>
                </c:pt>
                <c:pt idx="4">
                  <c:v>-1.669480539041257E-3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3.7889602177347825E-3</c:v>
                </c:pt>
                <c:pt idx="1">
                  <c:v>1.8098645239665867E-2</c:v>
                </c:pt>
                <c:pt idx="2">
                  <c:v>2.1531212491339158E-3</c:v>
                </c:pt>
                <c:pt idx="3">
                  <c:v>-1.8282195088070052E-2</c:v>
                </c:pt>
                <c:pt idx="4">
                  <c:v>-5.758531618464402E-3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1.0328174727713968E-2</c:v>
                </c:pt>
                <c:pt idx="1">
                  <c:v>1.8792773366041571E-2</c:v>
                </c:pt>
                <c:pt idx="2">
                  <c:v>-1.2940612817032848E-3</c:v>
                </c:pt>
                <c:pt idx="3">
                  <c:v>-2.0520268921479845E-2</c:v>
                </c:pt>
                <c:pt idx="4">
                  <c:v>-7.3066178905725199E-3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1.4273748282190857E-2</c:v>
                </c:pt>
                <c:pt idx="1">
                  <c:v>2.5442085278253312E-2</c:v>
                </c:pt>
                <c:pt idx="2">
                  <c:v>-3.4085205597449431E-3</c:v>
                </c:pt>
                <c:pt idx="3">
                  <c:v>-2.3000155023369828E-2</c:v>
                </c:pt>
                <c:pt idx="4">
                  <c:v>-1.3307157977329065E-2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9.7472486154692728E-3</c:v>
                </c:pt>
                <c:pt idx="1">
                  <c:v>2.0477532701726808E-2</c:v>
                </c:pt>
                <c:pt idx="2">
                  <c:v>-2.773055669553437E-3</c:v>
                </c:pt>
                <c:pt idx="3">
                  <c:v>-2.59835959201975E-2</c:v>
                </c:pt>
                <c:pt idx="4">
                  <c:v>-1.4681297274451444E-3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1.0167815829710047E-2</c:v>
                </c:pt>
                <c:pt idx="1">
                  <c:v>1.5850548213061755E-2</c:v>
                </c:pt>
                <c:pt idx="2">
                  <c:v>-8.5590671152925291E-3</c:v>
                </c:pt>
                <c:pt idx="3">
                  <c:v>-2.2413617882071635E-2</c:v>
                </c:pt>
                <c:pt idx="4">
                  <c:v>4.9543209545919176E-3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1.8724470892637068E-3</c:v>
                </c:pt>
                <c:pt idx="1">
                  <c:v>2.0383725278052767E-2</c:v>
                </c:pt>
                <c:pt idx="2">
                  <c:v>-1.9151005153725809E-3</c:v>
                </c:pt>
                <c:pt idx="3">
                  <c:v>-9.4518967735318649E-3</c:v>
                </c:pt>
                <c:pt idx="4">
                  <c:v>-1.0889175078412028E-2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1.9468374232187724E-3</c:v>
                </c:pt>
                <c:pt idx="1">
                  <c:v>1.9467340310588277E-3</c:v>
                </c:pt>
                <c:pt idx="2">
                  <c:v>-2.8140939123966202E-4</c:v>
                </c:pt>
                <c:pt idx="3">
                  <c:v>-8.1298794442601352E-3</c:v>
                </c:pt>
                <c:pt idx="4">
                  <c:v>4.51771738122142E-3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2.1702859114591577E-2</c:v>
                </c:pt>
                <c:pt idx="1">
                  <c:v>6.7513456616732359E-3</c:v>
                </c:pt>
                <c:pt idx="2">
                  <c:v>-1.0273777255008443E-2</c:v>
                </c:pt>
                <c:pt idx="3">
                  <c:v>-2.0684434882100255E-2</c:v>
                </c:pt>
                <c:pt idx="4">
                  <c:v>2.5040073608448843E-3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1.7932471669561689E-3</c:v>
                </c:pt>
                <c:pt idx="1">
                  <c:v>1.6171559012748249E-2</c:v>
                </c:pt>
                <c:pt idx="2">
                  <c:v>3.7929406088486051E-3</c:v>
                </c:pt>
                <c:pt idx="3">
                  <c:v>-2.4653147116989294E-2</c:v>
                </c:pt>
                <c:pt idx="4">
                  <c:v>2.8954003284360486E-3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1.18459603971246E-2</c:v>
                </c:pt>
                <c:pt idx="1">
                  <c:v>3.49353772302472E-2</c:v>
                </c:pt>
                <c:pt idx="2">
                  <c:v>-1.8986320620932418E-2</c:v>
                </c:pt>
                <c:pt idx="3">
                  <c:v>-1.6269630731765794E-2</c:v>
                </c:pt>
                <c:pt idx="4">
                  <c:v>-1.1525386274673033E-2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1.0250800744625588E-2</c:v>
                </c:pt>
                <c:pt idx="1">
                  <c:v>4.1912942653081986E-2</c:v>
                </c:pt>
                <c:pt idx="2">
                  <c:v>-1.406340731639899E-2</c:v>
                </c:pt>
                <c:pt idx="3">
                  <c:v>-2.2922501766054038E-2</c:v>
                </c:pt>
                <c:pt idx="4">
                  <c:v>-1.5177834315253991E-2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5.4299415428771036E-2</c:v>
                </c:pt>
                <c:pt idx="1">
                  <c:v>-4.8151728778335068E-3</c:v>
                </c:pt>
                <c:pt idx="2">
                  <c:v>-3.8032253097174729E-2</c:v>
                </c:pt>
                <c:pt idx="3">
                  <c:v>-1.019266564341037E-2</c:v>
                </c:pt>
                <c:pt idx="4">
                  <c:v>-1.2593238103527638E-3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-1.4830128288043976E-2</c:v>
                </c:pt>
                <c:pt idx="2">
                  <c:v>-4.6792250743848962E-2</c:v>
                </c:pt>
                <c:pt idx="3">
                  <c:v>-8.7903052743018018E-3</c:v>
                </c:pt>
                <c:pt idx="4">
                  <c:v>7.0412684306194517E-2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4.5169192006649039E-2</c:v>
                </c:pt>
                <c:pt idx="1">
                  <c:v>-5.0180350384890104E-2</c:v>
                </c:pt>
                <c:pt idx="2">
                  <c:v>-1.1365820396477933E-2</c:v>
                </c:pt>
                <c:pt idx="3">
                  <c:v>1.6376978774719442E-2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3.2233063565477282E-2</c:v>
                </c:pt>
                <c:pt idx="1">
                  <c:v>-8.945755415768919E-3</c:v>
                </c:pt>
                <c:pt idx="2">
                  <c:v>-6.8053089958906909E-2</c:v>
                </c:pt>
                <c:pt idx="3">
                  <c:v>4.4765781809198435E-2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-4.4579181618281671E-3</c:v>
                </c:pt>
                <c:pt idx="1">
                  <c:v>-5.0687929406733501E-2</c:v>
                </c:pt>
                <c:pt idx="2">
                  <c:v>-1.1391094081911857E-2</c:v>
                </c:pt>
                <c:pt idx="3">
                  <c:v>6.6536941650473302E-2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-1.211017383270041E-2</c:v>
                </c:pt>
                <c:pt idx="1">
                  <c:v>-7.5532213947264282E-2</c:v>
                </c:pt>
                <c:pt idx="2">
                  <c:v>-4.1093859536380672E-2</c:v>
                </c:pt>
                <c:pt idx="3">
                  <c:v>7.3475638513412767E-2</c:v>
                </c:pt>
                <c:pt idx="4">
                  <c:v>5.5260608802932154E-2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-5.8495456461412632E-2</c:v>
                </c:pt>
                <c:pt idx="1">
                  <c:v>-8.3302514378245096E-3</c:v>
                </c:pt>
                <c:pt idx="2">
                  <c:v>1.2859957979911796E-2</c:v>
                </c:pt>
                <c:pt idx="3">
                  <c:v>0</c:v>
                </c:pt>
                <c:pt idx="4">
                  <c:v>5.3965749919324901E-2</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-7.1896294466734068E-2</c:v>
                </c:pt>
                <c:pt idx="1">
                  <c:v>-2.2445141889462006E-2</c:v>
                </c:pt>
                <c:pt idx="2">
                  <c:v>6.1636023890834446E-2</c:v>
                </c:pt>
                <c:pt idx="3">
                  <c:v>0</c:v>
                </c:pt>
                <c:pt idx="4">
                  <c:v>3.2705412465361405E-2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-3.4338030992562274E-2</c:v>
                </c:pt>
                <c:pt idx="1">
                  <c:v>-2.8315167741031932E-2</c:v>
                </c:pt>
                <c:pt idx="2">
                  <c:v>0.11986903163850005</c:v>
                </c:pt>
                <c:pt idx="3">
                  <c:v>0</c:v>
                </c:pt>
                <c:pt idx="4">
                  <c:v>-5.7215832904905284E-2</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-1.19591593942866E-2</c:v>
                </c:pt>
                <c:pt idx="1">
                  <c:v>2.1399209931941776E-2</c:v>
                </c:pt>
                <c:pt idx="2">
                  <c:v>-6.3567798700857603E-3</c:v>
                </c:pt>
                <c:pt idx="3">
                  <c:v>-8.5971064802516928E-3</c:v>
                </c:pt>
                <c:pt idx="4">
                  <c:v>5.5138358126824993E-3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-1.1176380078743886E-2</c:v>
                </c:pt>
                <c:pt idx="1">
                  <c:v>1.996219041305336E-2</c:v>
                </c:pt>
                <c:pt idx="2">
                  <c:v>-7.3261235774700895E-3</c:v>
                </c:pt>
                <c:pt idx="3">
                  <c:v>-7.428695995231549E-3</c:v>
                </c:pt>
                <c:pt idx="4">
                  <c:v>5.9690092383919424E-3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-9.6516197687352978E-3</c:v>
                </c:pt>
                <c:pt idx="1">
                  <c:v>1.885622147130972E-2</c:v>
                </c:pt>
                <c:pt idx="2">
                  <c:v>-6.5883109396386308E-3</c:v>
                </c:pt>
                <c:pt idx="3">
                  <c:v>-7.7166209180383749E-3</c:v>
                </c:pt>
                <c:pt idx="4">
                  <c:v>5.1003301551026947E-3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-5.8904523054168489E-3</c:v>
                </c:pt>
                <c:pt idx="1">
                  <c:v>2.0062976613834493E-2</c:v>
                </c:pt>
                <c:pt idx="2">
                  <c:v>-8.9631892656188983E-3</c:v>
                </c:pt>
                <c:pt idx="3">
                  <c:v>-8.9345709176443799E-3</c:v>
                </c:pt>
                <c:pt idx="4">
                  <c:v>3.7252358748458558E-3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-5.3680051545552665E-3</c:v>
                </c:pt>
                <c:pt idx="1">
                  <c:v>2.1861643124911456E-2</c:v>
                </c:pt>
                <c:pt idx="2">
                  <c:v>-1.0981367737200931E-2</c:v>
                </c:pt>
                <c:pt idx="3">
                  <c:v>-7.4206744832889804E-3</c:v>
                </c:pt>
                <c:pt idx="4">
                  <c:v>1.9084042501338327E-3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-6.1854239060490368E-3</c:v>
                </c:pt>
                <c:pt idx="1">
                  <c:v>2.2291464700297414E-2</c:v>
                </c:pt>
                <c:pt idx="2">
                  <c:v>-1.2650169827134072E-2</c:v>
                </c:pt>
                <c:pt idx="3">
                  <c:v>-6.6306187278597495E-3</c:v>
                </c:pt>
                <c:pt idx="4">
                  <c:v>3.1747477607451113E-3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-5.2903786779422424E-3</c:v>
                </c:pt>
                <c:pt idx="1">
                  <c:v>2.0095927047398154E-2</c:v>
                </c:pt>
                <c:pt idx="2">
                  <c:v>-1.1716582202096371E-2</c:v>
                </c:pt>
                <c:pt idx="3">
                  <c:v>-8.1484127342256185E-3</c:v>
                </c:pt>
                <c:pt idx="4">
                  <c:v>5.0594465668667432E-3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1.6690003703092593E-3</c:v>
                </c:pt>
                <c:pt idx="1">
                  <c:v>1.8170400916358354E-2</c:v>
                </c:pt>
                <c:pt idx="2">
                  <c:v>-1.0282944287911544E-2</c:v>
                </c:pt>
                <c:pt idx="3">
                  <c:v>-1.2000332473862674E-2</c:v>
                </c:pt>
                <c:pt idx="4">
                  <c:v>2.4438754751074931E-3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4.0495609915880415E-4</c:v>
                </c:pt>
                <c:pt idx="1">
                  <c:v>1.9160641404400769E-2</c:v>
                </c:pt>
                <c:pt idx="2">
                  <c:v>-8.2261115249844252E-3</c:v>
                </c:pt>
                <c:pt idx="3">
                  <c:v>-1.4108336466661209E-2</c:v>
                </c:pt>
                <c:pt idx="4">
                  <c:v>2.7688504880858389E-3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-9.1985817256712288E-4</c:v>
                </c:pt>
                <c:pt idx="1">
                  <c:v>2.2845391841066265E-2</c:v>
                </c:pt>
                <c:pt idx="2">
                  <c:v>-9.6077148734643458E-3</c:v>
                </c:pt>
                <c:pt idx="3">
                  <c:v>-1.1968157753950992E-2</c:v>
                </c:pt>
                <c:pt idx="4">
                  <c:v>-3.4966104108358209E-4</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-1.2392494575953483E-3</c:v>
                </c:pt>
                <c:pt idx="1">
                  <c:v>2.5969392459813445E-2</c:v>
                </c:pt>
                <c:pt idx="2">
                  <c:v>-1.2551240107006478E-2</c:v>
                </c:pt>
                <c:pt idx="3">
                  <c:v>-1.0857875178575616E-2</c:v>
                </c:pt>
                <c:pt idx="4">
                  <c:v>-1.3210277166357809E-3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-1.7865806350821911E-3</c:v>
                </c:pt>
                <c:pt idx="1">
                  <c:v>3.0577895970603564E-2</c:v>
                </c:pt>
                <c:pt idx="2">
                  <c:v>-1.7817583143959648E-2</c:v>
                </c:pt>
                <c:pt idx="3">
                  <c:v>-8.434742581430954E-3</c:v>
                </c:pt>
                <c:pt idx="4">
                  <c:v>-2.5389896101306597E-3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-1.5050952450961219E-3</c:v>
                </c:pt>
                <c:pt idx="1">
                  <c:v>3.9183221121320333E-2</c:v>
                </c:pt>
                <c:pt idx="2">
                  <c:v>-1.8800492266710322E-2</c:v>
                </c:pt>
                <c:pt idx="3">
                  <c:v>-1.7622631569136238E-2</c:v>
                </c:pt>
                <c:pt idx="4">
                  <c:v>-1.2550020403778728E-3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3.8792775550930969E-3</c:v>
                </c:pt>
                <c:pt idx="1">
                  <c:v>3.1405106864765164E-2</c:v>
                </c:pt>
                <c:pt idx="2">
                  <c:v>-1.198108932575459E-2</c:v>
                </c:pt>
                <c:pt idx="3">
                  <c:v>-1.498212719825498E-2</c:v>
                </c:pt>
                <c:pt idx="4">
                  <c:v>-8.3211678958488022E-3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1.0243752602083545E-2</c:v>
                </c:pt>
                <c:pt idx="1">
                  <c:v>3.3169877383768309E-2</c:v>
                </c:pt>
                <c:pt idx="2">
                  <c:v>-6.904813939241583E-3</c:v>
                </c:pt>
                <c:pt idx="3">
                  <c:v>-2.0322106573283261E-2</c:v>
                </c:pt>
                <c:pt idx="4">
                  <c:v>-1.6186709473326566E-2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-4.638602689662652E-3</c:v>
                </c:pt>
                <c:pt idx="1">
                  <c:v>3.2461725159423693E-2</c:v>
                </c:pt>
                <c:pt idx="2">
                  <c:v>1.7139159014514904E-2</c:v>
                </c:pt>
                <c:pt idx="3">
                  <c:v>-2.3641117584683791E-2</c:v>
                </c:pt>
                <c:pt idx="4">
                  <c:v>-2.1321163899592266E-2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-2.8451345588826893E-3</c:v>
                </c:pt>
                <c:pt idx="1">
                  <c:v>2.1130061923234855E-2</c:v>
                </c:pt>
                <c:pt idx="2">
                  <c:v>2.8586879337870963E-2</c:v>
                </c:pt>
                <c:pt idx="3">
                  <c:v>-2.818869650693534E-2</c:v>
                </c:pt>
                <c:pt idx="4">
                  <c:v>-1.8683110195287123E-2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3.8848452680533274E-3</c:v>
                </c:pt>
                <c:pt idx="1">
                  <c:v>0</c:v>
                </c:pt>
                <c:pt idx="2">
                  <c:v>2.3335036935068443E-2</c:v>
                </c:pt>
                <c:pt idx="3">
                  <c:v>-1.6916894242990366E-2</c:v>
                </c:pt>
                <c:pt idx="4">
                  <c:v>-1.0302987960131849E-2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1.531437986216222E-2</c:v>
                </c:pt>
                <c:pt idx="1">
                  <c:v>0</c:v>
                </c:pt>
                <c:pt idx="2">
                  <c:v>8.1737085820914324E-3</c:v>
                </c:pt>
                <c:pt idx="3">
                  <c:v>-2.6643849275201026E-2</c:v>
                </c:pt>
                <c:pt idx="4">
                  <c:v>3.1557608309473739E-3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2.9373379758818485E-2</c:v>
                </c:pt>
                <c:pt idx="1">
                  <c:v>0</c:v>
                </c:pt>
                <c:pt idx="2">
                  <c:v>2.0077102858073292E-2</c:v>
                </c:pt>
                <c:pt idx="3">
                  <c:v>-5.9126851759664367E-2</c:v>
                </c:pt>
                <c:pt idx="4">
                  <c:v>9.6763691427723675E-3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1.7226382777929317E-2</c:v>
                </c:pt>
                <c:pt idx="1">
                  <c:v>0</c:v>
                </c:pt>
                <c:pt idx="2">
                  <c:v>4.0466709498455433E-2</c:v>
                </c:pt>
                <c:pt idx="3">
                  <c:v>-6.569257095367198E-2</c:v>
                </c:pt>
                <c:pt idx="4">
                  <c:v>7.9994786772870086E-3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3.6037485449059048E-2</c:v>
                </c:pt>
                <c:pt idx="1">
                  <c:v>0</c:v>
                </c:pt>
                <c:pt idx="2">
                  <c:v>2.5163657603821443E-2</c:v>
                </c:pt>
                <c:pt idx="3">
                  <c:v>-7.2281014116800768E-2</c:v>
                </c:pt>
                <c:pt idx="4">
                  <c:v>1.1079871063920166E-2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-3.7649799899555081E-3</c:v>
                </c:pt>
                <c:pt idx="1">
                  <c:v>6.4224349338132036E-2</c:v>
                </c:pt>
                <c:pt idx="2">
                  <c:v>-2.2488569704093964E-2</c:v>
                </c:pt>
                <c:pt idx="3">
                  <c:v>0</c:v>
                </c:pt>
                <c:pt idx="4">
                  <c:v>-3.7970799644082565E-2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2.0320471936425832E-2</c:v>
                </c:pt>
                <c:pt idx="1">
                  <c:v>7.4112500322851549E-2</c:v>
                </c:pt>
                <c:pt idx="2">
                  <c:v>-5.8881688814863775E-2</c:v>
                </c:pt>
                <c:pt idx="3">
                  <c:v>0</c:v>
                </c:pt>
                <c:pt idx="4">
                  <c:v>-3.5551283444413717E-2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5.1450153787581554E-2</c:v>
                </c:pt>
                <c:pt idx="1">
                  <c:v>0</c:v>
                </c:pt>
                <c:pt idx="2">
                  <c:v>-1.3549546281605984E-2</c:v>
                </c:pt>
                <c:pt idx="3">
                  <c:v>-6.3267101867637732E-2</c:v>
                </c:pt>
                <c:pt idx="4">
                  <c:v>2.5366494361662051E-2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4.6988599481404547E-2</c:v>
                </c:pt>
                <c:pt idx="1">
                  <c:v>8.4078754382284515E-2</c:v>
                </c:pt>
                <c:pt idx="2">
                  <c:v>-4.2668241641142357E-2</c:v>
                </c:pt>
                <c:pt idx="3">
                  <c:v>-6.1484078849263657E-2</c:v>
                </c:pt>
                <c:pt idx="4">
                  <c:v>-2.6915033373283492E-2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6.1486428703668272E-2</c:v>
                </c:pt>
                <c:pt idx="1">
                  <c:v>6.9556700802032356E-2</c:v>
                </c:pt>
                <c:pt idx="2">
                  <c:v>-2.241394795113294E-2</c:v>
                </c:pt>
                <c:pt idx="3">
                  <c:v>-7.8782864479028158E-2</c:v>
                </c:pt>
                <c:pt idx="4">
                  <c:v>-2.9846317075539752E-2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0.1364238051022344</c:v>
                </c:pt>
                <c:pt idx="1">
                  <c:v>0</c:v>
                </c:pt>
                <c:pt idx="2">
                  <c:v>-7.6947966224018893E-2</c:v>
                </c:pt>
                <c:pt idx="3">
                  <c:v>-3.5775582253123939E-2</c:v>
                </c:pt>
                <c:pt idx="4">
                  <c:v>-2.3700256625091898E-2</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0.1300738006468023</c:v>
                </c:pt>
                <c:pt idx="1">
                  <c:v>0.1851758844396576</c:v>
                </c:pt>
                <c:pt idx="2">
                  <c:v>-0.11007479128605235</c:v>
                </c:pt>
                <c:pt idx="3">
                  <c:v>-0.20517489380040754</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0.18997590110327978</c:v>
                </c:pt>
                <c:pt idx="1">
                  <c:v>0.21340594132763702</c:v>
                </c:pt>
                <c:pt idx="2">
                  <c:v>-0.16062821873059852</c:v>
                </c:pt>
                <c:pt idx="3">
                  <c:v>-0.24275362370031817</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-6.6397291819392246E-3</c:v>
                </c:pt>
                <c:pt idx="1">
                  <c:v>2.2173930969033195E-2</c:v>
                </c:pt>
                <c:pt idx="2">
                  <c:v>-2.1348450731435098E-2</c:v>
                </c:pt>
                <c:pt idx="3">
                  <c:v>2.3895154439037114E-2</c:v>
                </c:pt>
                <c:pt idx="4">
                  <c:v>-1.8080905494695765E-2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-6.9867033806430001E-3</c:v>
                </c:pt>
                <c:pt idx="1">
                  <c:v>2.1725857483042121E-2</c:v>
                </c:pt>
                <c:pt idx="2">
                  <c:v>-1.8787686595926112E-2</c:v>
                </c:pt>
                <c:pt idx="3">
                  <c:v>2.2958433876033135E-2</c:v>
                </c:pt>
                <c:pt idx="4">
                  <c:v>-1.8909901382505589E-2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-8.472664982346223E-3</c:v>
                </c:pt>
                <c:pt idx="1">
                  <c:v>2.0743697908766512E-2</c:v>
                </c:pt>
                <c:pt idx="2">
                  <c:v>-1.5478585344648854E-2</c:v>
                </c:pt>
                <c:pt idx="3">
                  <c:v>2.2959374582184777E-2</c:v>
                </c:pt>
                <c:pt idx="4">
                  <c:v>-1.9751822163956656E-2</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-7.2739499400191754E-3</c:v>
                </c:pt>
                <c:pt idx="1">
                  <c:v>1.8887578430492269E-2</c:v>
                </c:pt>
                <c:pt idx="2">
                  <c:v>-1.3894183663165971E-2</c:v>
                </c:pt>
                <c:pt idx="3">
                  <c:v>2.3150165234734343E-2</c:v>
                </c:pt>
                <c:pt idx="4">
                  <c:v>-2.0869610062041466E-2</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-6.5874865451758247E-3</c:v>
                </c:pt>
                <c:pt idx="1">
                  <c:v>1.8219732660629484E-2</c:v>
                </c:pt>
                <c:pt idx="2">
                  <c:v>-1.3192493940818006E-2</c:v>
                </c:pt>
                <c:pt idx="3">
                  <c:v>2.2683726145680705E-2</c:v>
                </c:pt>
                <c:pt idx="4">
                  <c:v>-2.1123478320316025E-2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-6.0412911843176209E-3</c:v>
                </c:pt>
                <c:pt idx="1">
                  <c:v>1.7170787373709473E-2</c:v>
                </c:pt>
                <c:pt idx="2">
                  <c:v>-1.2254524653201093E-2</c:v>
                </c:pt>
                <c:pt idx="3">
                  <c:v>2.0530373216612885E-2</c:v>
                </c:pt>
                <c:pt idx="4">
                  <c:v>-1.9405344752803755E-2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-1.7226142924086085E-3</c:v>
                </c:pt>
                <c:pt idx="1">
                  <c:v>1.3358047754093771E-2</c:v>
                </c:pt>
                <c:pt idx="2">
                  <c:v>-1.3862862461731518E-2</c:v>
                </c:pt>
                <c:pt idx="3">
                  <c:v>1.9913148469407727E-2</c:v>
                </c:pt>
                <c:pt idx="4">
                  <c:v>-1.7685719469362371E-2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-2.235224080708309E-3</c:v>
                </c:pt>
                <c:pt idx="1">
                  <c:v>1.1716408972350045E-2</c:v>
                </c:pt>
                <c:pt idx="2">
                  <c:v>-1.0184941964625716E-2</c:v>
                </c:pt>
                <c:pt idx="3">
                  <c:v>1.9399792557896367E-2</c:v>
                </c:pt>
                <c:pt idx="4">
                  <c:v>-1.8696035484911722E-2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-1.1504587521270482E-3</c:v>
                </c:pt>
                <c:pt idx="1">
                  <c:v>9.1758677121145382E-3</c:v>
                </c:pt>
                <c:pt idx="2">
                  <c:v>-8.9606594664353167E-3</c:v>
                </c:pt>
                <c:pt idx="3">
                  <c:v>2.0923400673697801E-2</c:v>
                </c:pt>
                <c:pt idx="4">
                  <c:v>-1.9988150167249863E-2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4.0274361912058243E-3</c:v>
                </c:pt>
                <c:pt idx="1">
                  <c:v>5.5921265855654045E-3</c:v>
                </c:pt>
                <c:pt idx="2">
                  <c:v>-1.0059001348731722E-2</c:v>
                </c:pt>
                <c:pt idx="3">
                  <c:v>2.2985341170361107E-2</c:v>
                </c:pt>
                <c:pt idx="4">
                  <c:v>-2.2545902598401169E-2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6.5591924612737884E-3</c:v>
                </c:pt>
                <c:pt idx="1">
                  <c:v>7.2708904467275737E-3</c:v>
                </c:pt>
                <c:pt idx="2">
                  <c:v>-2.1198095006577544E-2</c:v>
                </c:pt>
                <c:pt idx="3">
                  <c:v>2.7696336696508839E-2</c:v>
                </c:pt>
                <c:pt idx="4">
                  <c:v>-2.0328324597932768E-2</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6.9372262184557165E-3</c:v>
                </c:pt>
                <c:pt idx="1">
                  <c:v>-1.4171132075112558E-3</c:v>
                </c:pt>
                <c:pt idx="2">
                  <c:v>-1.7031873597921243E-2</c:v>
                </c:pt>
                <c:pt idx="3">
                  <c:v>2.7366316766438636E-2</c:v>
                </c:pt>
                <c:pt idx="4">
                  <c:v>-1.5854556179461632E-2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2.3171717142380643E-3</c:v>
                </c:pt>
                <c:pt idx="1">
                  <c:v>7.6504668390748876E-3</c:v>
                </c:pt>
                <c:pt idx="2">
                  <c:v>-1.6562755862527978E-2</c:v>
                </c:pt>
                <c:pt idx="3">
                  <c:v>2.586820193502315E-2</c:v>
                </c:pt>
                <c:pt idx="4">
                  <c:v>-1.9273084625808123E-2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5.5881813386855494E-3</c:v>
                </c:pt>
                <c:pt idx="1">
                  <c:v>3.8628968075760106E-4</c:v>
                </c:pt>
                <c:pt idx="2">
                  <c:v>-1.4406184528895083E-2</c:v>
                </c:pt>
                <c:pt idx="3">
                  <c:v>2.5516324931264212E-2</c:v>
                </c:pt>
                <c:pt idx="4">
                  <c:v>-1.7084611421812723E-2</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3.2933954385048203E-3</c:v>
                </c:pt>
                <c:pt idx="1">
                  <c:v>-2.42441883863731E-3</c:v>
                </c:pt>
                <c:pt idx="2">
                  <c:v>-1.4967790307753526E-2</c:v>
                </c:pt>
                <c:pt idx="3">
                  <c:v>2.89047645699263E-2</c:v>
                </c:pt>
                <c:pt idx="4">
                  <c:v>-1.480595086203973E-2</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1.8467066138105892E-4</c:v>
                </c:pt>
                <c:pt idx="1">
                  <c:v>9.1142908104442366E-3</c:v>
                </c:pt>
                <c:pt idx="2">
                  <c:v>-2.9455588374504682E-2</c:v>
                </c:pt>
                <c:pt idx="3">
                  <c:v>2.6093052413302065E-2</c:v>
                </c:pt>
                <c:pt idx="4">
                  <c:v>-5.9364255106222341E-3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-2.3784926432616205E-3</c:v>
                </c:pt>
                <c:pt idx="1">
                  <c:v>2.2781643607767688E-3</c:v>
                </c:pt>
                <c:pt idx="2">
                  <c:v>-1.2446529552551655E-2</c:v>
                </c:pt>
                <c:pt idx="3">
                  <c:v>3.1211436047279051E-2</c:v>
                </c:pt>
                <c:pt idx="4">
                  <c:v>-1.8664578212242433E-2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1.5193240316382361E-3</c:v>
                </c:pt>
                <c:pt idx="1">
                  <c:v>1.5631734949864473E-2</c:v>
                </c:pt>
                <c:pt idx="2">
                  <c:v>-1.1208897692940756E-2</c:v>
                </c:pt>
                <c:pt idx="3">
                  <c:v>3.6328231300053693E-2</c:v>
                </c:pt>
                <c:pt idx="4">
                  <c:v>-4.2270392588615313E-2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1.9147195999144273E-2</c:v>
                </c:pt>
                <c:pt idx="1">
                  <c:v>2.0652774550881325E-2</c:v>
                </c:pt>
                <c:pt idx="2">
                  <c:v>-3.6013537773155857E-2</c:v>
                </c:pt>
                <c:pt idx="3">
                  <c:v>4.2168457846196272E-2</c:v>
                </c:pt>
                <c:pt idx="4">
                  <c:v>-4.5954890623066458E-2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3.0499112878627166E-2</c:v>
                </c:pt>
                <c:pt idx="1">
                  <c:v>-5.8814340935713361E-3</c:v>
                </c:pt>
                <c:pt idx="2">
                  <c:v>-3.5650972427880401E-2</c:v>
                </c:pt>
                <c:pt idx="3">
                  <c:v>4.0823734742619466E-2</c:v>
                </c:pt>
                <c:pt idx="4">
                  <c:v>-2.979044109979645E-2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2.6611598620669863E-2</c:v>
                </c:pt>
                <c:pt idx="1">
                  <c:v>-4.5509893362494225E-3</c:v>
                </c:pt>
                <c:pt idx="2">
                  <c:v>-3.6586618611171406E-2</c:v>
                </c:pt>
                <c:pt idx="3">
                  <c:v>3.4331004151291422E-2</c:v>
                </c:pt>
                <c:pt idx="4">
                  <c:v>-1.9804994824540012E-2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6.4220357040352116E-3</c:v>
                </c:pt>
                <c:pt idx="1">
                  <c:v>4.4754281685350783E-3</c:v>
                </c:pt>
                <c:pt idx="2">
                  <c:v>-2.5134136265812956E-2</c:v>
                </c:pt>
                <c:pt idx="3">
                  <c:v>2.6701370188620732E-2</c:v>
                </c:pt>
                <c:pt idx="4">
                  <c:v>-1.246469779537851E-2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2.3654829208907602E-2</c:v>
                </c:pt>
                <c:pt idx="1">
                  <c:v>-5.2848961819751405E-3</c:v>
                </c:pt>
                <c:pt idx="2">
                  <c:v>-5.9766383538962797E-3</c:v>
                </c:pt>
                <c:pt idx="3">
                  <c:v>-1.1987629502419495E-2</c:v>
                </c:pt>
                <c:pt idx="4">
                  <c:v>-4.0566517061779717E-4</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3.750025112506461E-2</c:v>
                </c:pt>
                <c:pt idx="1">
                  <c:v>-1.5060854970057158E-2</c:v>
                </c:pt>
                <c:pt idx="2">
                  <c:v>0</c:v>
                </c:pt>
                <c:pt idx="3">
                  <c:v>5.65938376302344E-3</c:v>
                </c:pt>
                <c:pt idx="4">
                  <c:v>-2.8098779918030781E-2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c:v>
                </c:pt>
                <c:pt idx="1">
                  <c:v>2.0869068256923251E-2</c:v>
                </c:pt>
                <c:pt idx="2">
                  <c:v>-3.304654631028725E-2</c:v>
                </c:pt>
                <c:pt idx="3">
                  <c:v>5.2257904369969355E-2</c:v>
                </c:pt>
                <c:pt idx="4">
                  <c:v>-4.0080426316605577E-2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6.1497899998658845E-2</c:v>
                </c:pt>
                <c:pt idx="1">
                  <c:v>-4.6153470116524486E-2</c:v>
                </c:pt>
                <c:pt idx="2">
                  <c:v>-2.2444642046767438E-2</c:v>
                </c:pt>
                <c:pt idx="3">
                  <c:v>7.1002121646326355E-3</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8.5047610927997397E-2</c:v>
                </c:pt>
                <c:pt idx="1">
                  <c:v>-4.6584098170423416E-2</c:v>
                </c:pt>
                <c:pt idx="2">
                  <c:v>1.8431943541366236E-2</c:v>
                </c:pt>
                <c:pt idx="3">
                  <c:v>-5.6895456298940106E-2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2.0735487742629122E-2</c:v>
                </c:pt>
                <c:pt idx="1">
                  <c:v>-2.1424874856199705E-2</c:v>
                </c:pt>
                <c:pt idx="2">
                  <c:v>3.5655650351649415E-2</c:v>
                </c:pt>
                <c:pt idx="3">
                  <c:v>-3.4966263238078943E-2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7.2918075061233711E-2</c:v>
                </c:pt>
                <c:pt idx="1">
                  <c:v>-4.1529414211694315E-2</c:v>
                </c:pt>
                <c:pt idx="2">
                  <c:v>9.9455143550539971E-2</c:v>
                </c:pt>
                <c:pt idx="3">
                  <c:v>-0.13084380440007926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0.28548486878456814</c:v>
                </c:pt>
                <c:pt idx="1">
                  <c:v>-0.16482702395967241</c:v>
                </c:pt>
                <c:pt idx="2">
                  <c:v>1.9323290129674708E-2</c:v>
                </c:pt>
                <c:pt idx="3">
                  <c:v>0</c:v>
                </c:pt>
                <c:pt idx="4">
                  <c:v>-0.13998113495457054</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81.450291934261202</c:v>
                </c:pt>
                <c:pt idx="1">
                  <c:v>130.34531177119257</c:v>
                </c:pt>
                <c:pt idx="2">
                  <c:v>191.79788715905306</c:v>
                </c:pt>
                <c:pt idx="3">
                  <c:v>257.6577872783339</c:v>
                </c:pt>
                <c:pt idx="4">
                  <c:v>339.93714980730101</c:v>
                </c:pt>
                <c:pt idx="5">
                  <c:v>434.7396291181953</c:v>
                </c:pt>
                <c:pt idx="6">
                  <c:v>538.16443729214711</c:v>
                </c:pt>
                <c:pt idx="7">
                  <c:v>657.29953200685111</c:v>
                </c:pt>
                <c:pt idx="8">
                  <c:v>790.73046287897159</c:v>
                </c:pt>
                <c:pt idx="9">
                  <c:v>925.81654802405808</c:v>
                </c:pt>
                <c:pt idx="10">
                  <c:v>1067.8867096146978</c:v>
                </c:pt>
                <c:pt idx="11">
                  <c:v>1216.3624862185</c:v>
                </c:pt>
                <c:pt idx="12">
                  <c:v>1366.4759938439845</c:v>
                </c:pt>
                <c:pt idx="13">
                  <c:v>1517.7673342010467</c:v>
                </c:pt>
                <c:pt idx="14">
                  <c:v>1667.5849090557806</c:v>
                </c:pt>
                <c:pt idx="15">
                  <c:v>1831.9652506220368</c:v>
                </c:pt>
                <c:pt idx="16">
                  <c:v>2019.3423212901234</c:v>
                </c:pt>
                <c:pt idx="17">
                  <c:v>2246.3052316140706</c:v>
                </c:pt>
                <c:pt idx="18">
                  <c:v>2493.0575828039664</c:v>
                </c:pt>
                <c:pt idx="19">
                  <c:v>2752.2264248488482</c:v>
                </c:pt>
                <c:pt idx="20">
                  <c:v>3012.1646397067379</c:v>
                </c:pt>
                <c:pt idx="21">
                  <c:v>3299.8359446443983</c:v>
                </c:pt>
                <c:pt idx="22">
                  <c:v>3672.8522122182621</c:v>
                </c:pt>
                <c:pt idx="23">
                  <c:v>4058.3592217597202</c:v>
                </c:pt>
                <c:pt idx="24">
                  <c:v>4453.3306611279622</c:v>
                </c:pt>
                <c:pt idx="25">
                  <c:v>4838.4362414860789</c:v>
                </c:pt>
                <c:pt idx="26">
                  <c:v>5288.3995273330902</c:v>
                </c:pt>
                <c:pt idx="27">
                  <c:v>10072.132962873835</c:v>
                </c:pt>
                <c:pt idx="28">
                  <c:v>16030.175521350355</c:v>
                </c:pt>
                <c:pt idx="29">
                  <c:v>24934</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85" zoomScaleNormal="85" workbookViewId="0">
      <selection activeCell="A20" sqref="A20"/>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0.3</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46136</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1010881.0500000002</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617475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269632.05000000005</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163478.39999999999</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104794.79999999999</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70194.749999999985</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47448.45</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32632.05</v>
      </c>
      <c r="R12" s="12"/>
    </row>
    <row r="13" spans="1:1024" hidden="1" x14ac:dyDescent="0.35">
      <c r="B13" s="20"/>
      <c r="L13" s="21">
        <v>9</v>
      </c>
      <c r="M13" s="16">
        <v>1512.11</v>
      </c>
      <c r="N13" s="16">
        <v>1615</v>
      </c>
      <c r="O13" s="16">
        <v>1512.11</v>
      </c>
      <c r="P13" s="16">
        <f t="shared" si="0"/>
        <v>1512.11</v>
      </c>
      <c r="Q13" s="16">
        <f t="shared" si="1"/>
        <v>22681.649999999998</v>
      </c>
      <c r="R13" s="12"/>
    </row>
    <row r="14" spans="1:1024" x14ac:dyDescent="0.35">
      <c r="A14" t="s">
        <v>35</v>
      </c>
      <c r="B14" s="140">
        <f>B12*1.5</f>
        <v>45</v>
      </c>
      <c r="L14" s="15">
        <v>10</v>
      </c>
      <c r="M14" s="16">
        <v>1079.78</v>
      </c>
      <c r="N14" s="16">
        <v>1130.5</v>
      </c>
      <c r="O14" s="16">
        <v>1079.78</v>
      </c>
      <c r="P14" s="16">
        <f t="shared" si="0"/>
        <v>1079.78</v>
      </c>
      <c r="Q14" s="16">
        <f t="shared" si="1"/>
        <v>16196.699999999999</v>
      </c>
      <c r="R14" s="12"/>
    </row>
    <row r="15" spans="1:1024" ht="13.15" x14ac:dyDescent="0.4">
      <c r="A15" t="s">
        <v>36</v>
      </c>
      <c r="B15" s="108">
        <v>8000</v>
      </c>
      <c r="L15" s="15">
        <v>11</v>
      </c>
      <c r="M15" s="16">
        <v>786.62</v>
      </c>
      <c r="N15" s="16">
        <v>816.2</v>
      </c>
      <c r="O15" s="16">
        <v>786.62</v>
      </c>
      <c r="P15" s="16">
        <f t="shared" si="0"/>
        <v>786.62</v>
      </c>
      <c r="Q15" s="16">
        <f t="shared" si="1"/>
        <v>11799.3</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8790.9</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6748.9499999999989</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5289.3</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4230.6000000000004</v>
      </c>
      <c r="R19" s="12"/>
    </row>
    <row r="20" spans="1:18" x14ac:dyDescent="0.35">
      <c r="G20" t="s">
        <v>176</v>
      </c>
      <c r="L20" s="15">
        <v>16</v>
      </c>
      <c r="M20" s="16">
        <v>229.42</v>
      </c>
      <c r="N20" s="16">
        <v>261.8</v>
      </c>
      <c r="O20" s="16">
        <v>229.42</v>
      </c>
      <c r="P20" s="16">
        <f t="shared" si="0"/>
        <v>229.42</v>
      </c>
      <c r="Q20" s="16">
        <f t="shared" si="1"/>
        <v>3441.2999999999997</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2791.5</v>
      </c>
      <c r="R21" s="12"/>
    </row>
    <row r="22" spans="1:18" x14ac:dyDescent="0.35">
      <c r="A22">
        <v>4</v>
      </c>
      <c r="B22" s="83">
        <f>B12*1.5</f>
        <v>45</v>
      </c>
      <c r="C22" s="85">
        <f t="shared" ref="C22:C51" si="2">INT($B22+0.5)</f>
        <v>45</v>
      </c>
      <c r="D22" s="85">
        <f t="shared" ref="D22:D50" si="3">D23*B$16</f>
        <v>7999.9999999999909</v>
      </c>
      <c r="E22" s="11"/>
      <c r="F22" s="118">
        <f>'6 - Curve'!C5</f>
        <v>4</v>
      </c>
      <c r="G22" s="119">
        <f>'6 - Curve'!D5</f>
        <v>81.450291934261202</v>
      </c>
      <c r="H22" s="85">
        <f t="shared" ref="H22:H51" si="4">B22</f>
        <v>45</v>
      </c>
      <c r="I22" s="116">
        <f t="shared" ref="I22:I51" si="5">CubicSpline(B22,$G$22:$G$51, $F$22:$F$51)</f>
        <v>0</v>
      </c>
      <c r="L22" s="15">
        <v>18</v>
      </c>
      <c r="M22" s="16">
        <v>153.87</v>
      </c>
      <c r="N22" s="16">
        <v>188.7</v>
      </c>
      <c r="O22" s="16">
        <v>153.87</v>
      </c>
      <c r="P22" s="16">
        <f t="shared" si="0"/>
        <v>153.87</v>
      </c>
      <c r="Q22" s="16">
        <f t="shared" si="1"/>
        <v>2308.0500000000002</v>
      </c>
      <c r="R22" s="12"/>
    </row>
    <row r="23" spans="1:18" x14ac:dyDescent="0.35">
      <c r="A23">
        <v>5</v>
      </c>
      <c r="B23" s="83">
        <f t="shared" ref="B23:B51" si="6">B22*B$16</f>
        <v>53.801513816694545</v>
      </c>
      <c r="C23" s="85">
        <f t="shared" si="2"/>
        <v>54</v>
      </c>
      <c r="D23" s="85">
        <f t="shared" si="3"/>
        <v>6691.2615363676259</v>
      </c>
      <c r="F23" s="120">
        <f>'6 - Curve'!C6</f>
        <v>5</v>
      </c>
      <c r="G23" s="121">
        <f>'6 - Curve'!D6</f>
        <v>130.34531177119257</v>
      </c>
      <c r="H23" s="85">
        <f t="shared" si="4"/>
        <v>53.801513816694545</v>
      </c>
      <c r="I23" s="116">
        <f t="shared" si="5"/>
        <v>0</v>
      </c>
      <c r="L23" s="15">
        <v>19</v>
      </c>
      <c r="M23" s="16">
        <v>128.62</v>
      </c>
      <c r="N23" s="16">
        <v>161</v>
      </c>
      <c r="O23" s="16">
        <v>128.62</v>
      </c>
      <c r="P23" s="16">
        <f t="shared" si="0"/>
        <v>128.62</v>
      </c>
      <c r="Q23" s="16">
        <f t="shared" si="1"/>
        <v>1929.3</v>
      </c>
      <c r="R23" s="12"/>
    </row>
    <row r="24" spans="1:18" x14ac:dyDescent="0.35">
      <c r="A24">
        <v>6</v>
      </c>
      <c r="B24" s="83">
        <f t="shared" si="6"/>
        <v>64.324508643732756</v>
      </c>
      <c r="C24" s="85">
        <f t="shared" si="2"/>
        <v>64</v>
      </c>
      <c r="D24" s="85">
        <f t="shared" si="3"/>
        <v>5596.6226185091118</v>
      </c>
      <c r="F24" s="120">
        <f>'6 - Curve'!C7</f>
        <v>6</v>
      </c>
      <c r="G24" s="121">
        <f>'6 - Curve'!D7</f>
        <v>191.79788715905306</v>
      </c>
      <c r="H24" s="85">
        <f t="shared" si="4"/>
        <v>64.324508643732756</v>
      </c>
      <c r="I24" s="116">
        <f t="shared" si="5"/>
        <v>0</v>
      </c>
      <c r="L24" s="15">
        <v>20</v>
      </c>
      <c r="M24" s="16">
        <v>107.35</v>
      </c>
      <c r="N24" s="16">
        <v>136.4</v>
      </c>
      <c r="O24" s="16">
        <v>107.35</v>
      </c>
      <c r="P24" s="16">
        <f t="shared" si="0"/>
        <v>107.35</v>
      </c>
      <c r="Q24" s="16">
        <f t="shared" si="1"/>
        <v>1610.25</v>
      </c>
      <c r="R24" s="12"/>
    </row>
    <row r="25" spans="1:18" x14ac:dyDescent="0.35">
      <c r="A25">
        <v>7</v>
      </c>
      <c r="B25" s="83">
        <f t="shared" si="6"/>
        <v>76.905687567730567</v>
      </c>
      <c r="C25" s="85">
        <f t="shared" si="2"/>
        <v>77</v>
      </c>
      <c r="D25" s="85">
        <f t="shared" si="3"/>
        <v>4681.0582075993907</v>
      </c>
      <c r="F25" s="120">
        <f>'6 - Curve'!C8</f>
        <v>7</v>
      </c>
      <c r="G25" s="121">
        <f>'6 - Curve'!D8</f>
        <v>257.6577872783339</v>
      </c>
      <c r="H25" s="85">
        <f t="shared" si="4"/>
        <v>76.905687567730567</v>
      </c>
      <c r="I25" s="116">
        <f t="shared" si="5"/>
        <v>0</v>
      </c>
      <c r="L25" s="15">
        <v>21</v>
      </c>
      <c r="M25" s="16">
        <v>88.64</v>
      </c>
      <c r="N25" s="16">
        <v>114.4</v>
      </c>
      <c r="O25" s="16">
        <v>88.64</v>
      </c>
      <c r="P25" s="16">
        <f t="shared" si="0"/>
        <v>88.64</v>
      </c>
      <c r="Q25" s="16">
        <f t="shared" si="1"/>
        <v>1329.6</v>
      </c>
      <c r="R25" s="12"/>
    </row>
    <row r="26" spans="1:18" x14ac:dyDescent="0.35">
      <c r="A26">
        <v>8</v>
      </c>
      <c r="B26" s="83">
        <f t="shared" si="6"/>
        <v>91.947609161281108</v>
      </c>
      <c r="C26" s="85">
        <f t="shared" si="2"/>
        <v>92</v>
      </c>
      <c r="D26" s="85">
        <f t="shared" si="3"/>
        <v>3915.2730917509775</v>
      </c>
      <c r="F26" s="120">
        <f>'6 - Curve'!C9</f>
        <v>8</v>
      </c>
      <c r="G26" s="121">
        <f>'6 - Curve'!D9</f>
        <v>339.93714980730101</v>
      </c>
      <c r="H26" s="85">
        <f t="shared" si="4"/>
        <v>91.947609161281108</v>
      </c>
      <c r="I26" s="116">
        <f t="shared" si="5"/>
        <v>4.2263437837348539</v>
      </c>
      <c r="L26" s="15">
        <v>22</v>
      </c>
      <c r="M26" s="16">
        <v>75.56</v>
      </c>
      <c r="N26" s="16">
        <v>95.3</v>
      </c>
      <c r="O26" s="16">
        <v>75.56</v>
      </c>
      <c r="P26" s="16">
        <f t="shared" si="0"/>
        <v>75.56</v>
      </c>
      <c r="Q26" s="16">
        <f t="shared" si="1"/>
        <v>1133.3999999999999</v>
      </c>
      <c r="R26" s="12"/>
    </row>
    <row r="27" spans="1:18" x14ac:dyDescent="0.35">
      <c r="A27">
        <v>9</v>
      </c>
      <c r="B27" s="83">
        <f t="shared" si="6"/>
        <v>109.93156810450434</v>
      </c>
      <c r="C27" s="85">
        <f t="shared" si="2"/>
        <v>110</v>
      </c>
      <c r="D27" s="85">
        <f t="shared" si="3"/>
        <v>3274.7645304010625</v>
      </c>
      <c r="F27" s="120">
        <f>'6 - Curve'!C10</f>
        <v>9</v>
      </c>
      <c r="G27" s="121">
        <f>'6 - Curve'!D10</f>
        <v>434.7396291181953</v>
      </c>
      <c r="H27" s="85">
        <f t="shared" si="4"/>
        <v>109.93156810450434</v>
      </c>
      <c r="I27" s="116">
        <f t="shared" si="5"/>
        <v>4.6043967083351012</v>
      </c>
      <c r="L27" s="15">
        <v>23</v>
      </c>
      <c r="M27" s="16">
        <v>61.94</v>
      </c>
      <c r="N27" s="16">
        <v>79</v>
      </c>
      <c r="O27" s="16">
        <v>61.94</v>
      </c>
      <c r="P27" s="16">
        <f t="shared" si="0"/>
        <v>61.94</v>
      </c>
      <c r="Q27" s="16">
        <f t="shared" si="1"/>
        <v>929.09999999999991</v>
      </c>
      <c r="R27" s="12"/>
    </row>
    <row r="28" spans="1:18" x14ac:dyDescent="0.35">
      <c r="A28">
        <v>10</v>
      </c>
      <c r="B28" s="83">
        <f t="shared" si="6"/>
        <v>131.4329951170086</v>
      </c>
      <c r="C28" s="85">
        <f t="shared" si="2"/>
        <v>131</v>
      </c>
      <c r="D28" s="85">
        <f t="shared" si="3"/>
        <v>2739.0382428667058</v>
      </c>
      <c r="E28" s="22"/>
      <c r="F28" s="120">
        <f>'6 - Curve'!C11</f>
        <v>10</v>
      </c>
      <c r="G28" s="121">
        <f>'6 - Curve'!D11</f>
        <v>538.16443729214711</v>
      </c>
      <c r="H28" s="85">
        <f t="shared" si="4"/>
        <v>131.4329951170086</v>
      </c>
      <c r="I28" s="116">
        <f t="shared" si="5"/>
        <v>5.0196537489908311</v>
      </c>
      <c r="L28" s="15">
        <v>24</v>
      </c>
      <c r="M28" s="16">
        <v>50.86</v>
      </c>
      <c r="N28" s="16">
        <v>65.3</v>
      </c>
      <c r="O28" s="16">
        <v>50.86</v>
      </c>
      <c r="P28" s="16">
        <f t="shared" si="0"/>
        <v>50.86</v>
      </c>
      <c r="Q28" s="16">
        <f t="shared" si="1"/>
        <v>762.9</v>
      </c>
      <c r="R28" s="12"/>
    </row>
    <row r="29" spans="1:18" x14ac:dyDescent="0.35">
      <c r="A29">
        <v>11</v>
      </c>
      <c r="B29" s="83">
        <f t="shared" si="6"/>
        <v>157.13986895016188</v>
      </c>
      <c r="C29" s="85">
        <f t="shared" si="2"/>
        <v>157</v>
      </c>
      <c r="D29" s="85">
        <f t="shared" si="3"/>
        <v>2290.9526551417471</v>
      </c>
      <c r="E29" s="22"/>
      <c r="F29" s="120">
        <f>'6 - Curve'!C12</f>
        <v>11</v>
      </c>
      <c r="G29" s="121">
        <f>'6 - Curve'!D12</f>
        <v>657.29953200685111</v>
      </c>
      <c r="H29" s="85">
        <f t="shared" si="4"/>
        <v>157.13986895016188</v>
      </c>
      <c r="I29" s="116">
        <f t="shared" si="5"/>
        <v>5.4555143601894045</v>
      </c>
      <c r="L29" s="15">
        <v>25</v>
      </c>
      <c r="M29" s="16">
        <v>41.61</v>
      </c>
      <c r="N29" s="16">
        <v>53.8</v>
      </c>
      <c r="O29" s="16">
        <v>41.61</v>
      </c>
      <c r="P29" s="16">
        <f t="shared" si="0"/>
        <v>41.61</v>
      </c>
      <c r="Q29" s="16">
        <f t="shared" si="1"/>
        <v>624.15</v>
      </c>
      <c r="R29" s="12"/>
    </row>
    <row r="30" spans="1:18" x14ac:dyDescent="0.35">
      <c r="A30">
        <v>12</v>
      </c>
      <c r="B30" s="83">
        <f t="shared" si="6"/>
        <v>187.87472956612677</v>
      </c>
      <c r="C30" s="85">
        <f t="shared" si="2"/>
        <v>188</v>
      </c>
      <c r="D30" s="85">
        <f t="shared" si="3"/>
        <v>1916.1704228736594</v>
      </c>
      <c r="E30" s="22"/>
      <c r="F30" s="120">
        <f>'6 - Curve'!C13</f>
        <v>12</v>
      </c>
      <c r="G30" s="121">
        <f>'6 - Curve'!D13</f>
        <v>790.73046287897159</v>
      </c>
      <c r="H30" s="85">
        <f t="shared" si="4"/>
        <v>187.87472956612677</v>
      </c>
      <c r="I30" s="116">
        <f t="shared" si="5"/>
        <v>5.9385306497083636</v>
      </c>
      <c r="L30" s="15">
        <v>26</v>
      </c>
      <c r="M30" s="16">
        <v>33.44</v>
      </c>
      <c r="N30" s="16">
        <v>44.6</v>
      </c>
      <c r="O30" s="16">
        <v>33.44</v>
      </c>
      <c r="P30" s="16">
        <f t="shared" si="0"/>
        <v>33.44</v>
      </c>
      <c r="Q30" s="16">
        <f t="shared" si="1"/>
        <v>501.59999999999991</v>
      </c>
      <c r="R30" s="12"/>
    </row>
    <row r="31" spans="1:18" x14ac:dyDescent="0.35">
      <c r="A31">
        <v>13</v>
      </c>
      <c r="B31" s="83">
        <f t="shared" si="6"/>
        <v>224.6209968568827</v>
      </c>
      <c r="C31" s="85">
        <f t="shared" si="2"/>
        <v>225</v>
      </c>
      <c r="D31" s="85">
        <f t="shared" si="3"/>
        <v>1602.6996809624775</v>
      </c>
      <c r="E31" s="22"/>
      <c r="F31" s="120">
        <f>'6 - Curve'!C14</f>
        <v>13</v>
      </c>
      <c r="G31" s="121">
        <f>'6 - Curve'!D14</f>
        <v>925.81654802405808</v>
      </c>
      <c r="H31" s="85">
        <f t="shared" si="4"/>
        <v>224.6209968568827</v>
      </c>
      <c r="I31" s="116">
        <f t="shared" si="5"/>
        <v>6.5165286837829557</v>
      </c>
      <c r="L31" s="15">
        <v>27</v>
      </c>
      <c r="M31" s="16">
        <v>26.08</v>
      </c>
      <c r="N31" s="16">
        <v>37</v>
      </c>
      <c r="O31" s="16">
        <v>26.08</v>
      </c>
      <c r="P31" s="16">
        <f t="shared" si="0"/>
        <v>26.08</v>
      </c>
      <c r="Q31" s="16">
        <f t="shared" si="1"/>
        <v>391.19999999999993</v>
      </c>
      <c r="R31" s="12"/>
    </row>
    <row r="32" spans="1:18" x14ac:dyDescent="0.35">
      <c r="A32">
        <v>14</v>
      </c>
      <c r="B32" s="83">
        <f t="shared" si="6"/>
        <v>268.55443702033949</v>
      </c>
      <c r="C32" s="85">
        <f t="shared" si="2"/>
        <v>269</v>
      </c>
      <c r="D32" s="85">
        <f t="shared" si="3"/>
        <v>1340.5103411966129</v>
      </c>
      <c r="E32" s="22"/>
      <c r="F32" s="120">
        <f>'6 - Curve'!C15</f>
        <v>14</v>
      </c>
      <c r="G32" s="121">
        <f>'6 - Curve'!D15</f>
        <v>1067.8867096146978</v>
      </c>
      <c r="H32" s="85">
        <f t="shared" si="4"/>
        <v>268.55443702033949</v>
      </c>
      <c r="I32" s="116">
        <f t="shared" si="5"/>
        <v>7.1445591565635249</v>
      </c>
      <c r="L32" s="15">
        <v>28</v>
      </c>
      <c r="M32" s="16">
        <v>20.41</v>
      </c>
      <c r="N32" s="16">
        <v>30.7</v>
      </c>
      <c r="O32" s="16">
        <v>20.41</v>
      </c>
      <c r="P32" s="16">
        <f t="shared" si="0"/>
        <v>20.41</v>
      </c>
      <c r="Q32" s="16">
        <f t="shared" si="1"/>
        <v>306.15000000000003</v>
      </c>
      <c r="R32" s="12"/>
    </row>
    <row r="33" spans="1:18" x14ac:dyDescent="0.35">
      <c r="A33">
        <v>15</v>
      </c>
      <c r="B33" s="83">
        <f t="shared" si="6"/>
        <v>321.08078341965376</v>
      </c>
      <c r="C33" s="85">
        <f t="shared" si="2"/>
        <v>321</v>
      </c>
      <c r="D33" s="85">
        <f t="shared" si="3"/>
        <v>1121.2131606439937</v>
      </c>
      <c r="E33" s="22"/>
      <c r="F33" s="120">
        <f>'6 - Curve'!C16</f>
        <v>15</v>
      </c>
      <c r="G33" s="121">
        <f>'6 - Curve'!D16</f>
        <v>1216.3624862185</v>
      </c>
      <c r="H33" s="85">
        <f t="shared" si="4"/>
        <v>321.08078341965376</v>
      </c>
      <c r="I33" s="116">
        <f t="shared" si="5"/>
        <v>7.7849421114643773</v>
      </c>
      <c r="L33" s="15">
        <v>29</v>
      </c>
      <c r="M33" s="16">
        <v>16.39</v>
      </c>
      <c r="N33" s="16">
        <v>25.2</v>
      </c>
      <c r="O33" s="16">
        <v>16.39</v>
      </c>
      <c r="P33" s="16">
        <f t="shared" si="0"/>
        <v>16.39</v>
      </c>
      <c r="Q33" s="16">
        <f t="shared" si="1"/>
        <v>245.85</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1366.4759938439845</v>
      </c>
      <c r="H34" s="85">
        <f t="shared" si="4"/>
        <v>383.88071567616913</v>
      </c>
      <c r="I34" s="116">
        <f t="shared" si="5"/>
        <v>8.4779755977322804</v>
      </c>
      <c r="L34" s="23">
        <v>30</v>
      </c>
      <c r="M34" s="24">
        <v>13.94</v>
      </c>
      <c r="N34" s="24">
        <v>20.100000000000001</v>
      </c>
      <c r="O34" s="24">
        <v>13.94</v>
      </c>
      <c r="P34" s="24">
        <f t="shared" si="0"/>
        <v>13.94</v>
      </c>
      <c r="Q34" s="24">
        <f t="shared" si="1"/>
        <v>209.09999999999997</v>
      </c>
      <c r="R34" s="25"/>
    </row>
    <row r="35" spans="1:18" x14ac:dyDescent="0.35">
      <c r="A35">
        <v>17</v>
      </c>
      <c r="B35" s="83">
        <f t="shared" si="6"/>
        <v>458.96363618697785</v>
      </c>
      <c r="C35" s="85">
        <f t="shared" si="2"/>
        <v>459</v>
      </c>
      <c r="D35" s="85">
        <f t="shared" si="3"/>
        <v>784.375866878784</v>
      </c>
      <c r="E35" s="22"/>
      <c r="F35" s="120">
        <f>'6 - Curve'!C18</f>
        <v>17</v>
      </c>
      <c r="G35" s="121">
        <f>'6 - Curve'!D18</f>
        <v>1517.7673342010467</v>
      </c>
      <c r="H35" s="85">
        <f t="shared" si="4"/>
        <v>458.96363618697785</v>
      </c>
      <c r="I35" s="116">
        <f t="shared" si="5"/>
        <v>9.2431583137039546</v>
      </c>
    </row>
    <row r="36" spans="1:18" x14ac:dyDescent="0.35">
      <c r="A36">
        <v>18</v>
      </c>
      <c r="B36" s="83">
        <f t="shared" si="6"/>
        <v>548.73196474831241</v>
      </c>
      <c r="C36" s="85">
        <f t="shared" si="2"/>
        <v>549</v>
      </c>
      <c r="D36" s="85">
        <f t="shared" si="3"/>
        <v>656.05800851262836</v>
      </c>
      <c r="E36" s="22"/>
      <c r="F36" s="120">
        <f>'6 - Curve'!C19</f>
        <v>18</v>
      </c>
      <c r="G36" s="121">
        <f>'6 - Curve'!D19</f>
        <v>1667.5849090557806</v>
      </c>
      <c r="H36" s="85">
        <f t="shared" si="4"/>
        <v>548.73196474831241</v>
      </c>
      <c r="I36" s="116">
        <f t="shared" si="5"/>
        <v>10.094307759616063</v>
      </c>
    </row>
    <row r="37" spans="1:18" x14ac:dyDescent="0.35">
      <c r="A37">
        <v>19</v>
      </c>
      <c r="B37" s="83">
        <f t="shared" si="6"/>
        <v>656.05800851262836</v>
      </c>
      <c r="C37" s="85">
        <f t="shared" si="2"/>
        <v>656</v>
      </c>
      <c r="D37" s="85">
        <f t="shared" si="3"/>
        <v>548.73196474831241</v>
      </c>
      <c r="E37" s="22"/>
      <c r="F37" s="120">
        <f>'6 - Curve'!C20</f>
        <v>19</v>
      </c>
      <c r="G37" s="121">
        <f>'6 - Curve'!D20</f>
        <v>1831.9652506220368</v>
      </c>
      <c r="H37" s="85">
        <f t="shared" si="4"/>
        <v>656.05800851262836</v>
      </c>
      <c r="I37" s="116">
        <f t="shared" si="5"/>
        <v>10.990164077393983</v>
      </c>
    </row>
    <row r="38" spans="1:18" x14ac:dyDescent="0.35">
      <c r="A38">
        <v>20</v>
      </c>
      <c r="B38" s="83">
        <f t="shared" si="6"/>
        <v>784.375866878784</v>
      </c>
      <c r="C38" s="85">
        <f t="shared" si="2"/>
        <v>784</v>
      </c>
      <c r="D38" s="85">
        <f t="shared" si="3"/>
        <v>458.96363618697785</v>
      </c>
      <c r="E38" s="22"/>
      <c r="F38" s="120">
        <f>'6 - Curve'!C21</f>
        <v>20</v>
      </c>
      <c r="G38" s="121">
        <f>'6 - Curve'!D21</f>
        <v>2019.3423212901234</v>
      </c>
      <c r="H38" s="85">
        <f t="shared" si="4"/>
        <v>784.375866878784</v>
      </c>
      <c r="I38" s="116">
        <f t="shared" si="5"/>
        <v>11.952763921529897</v>
      </c>
    </row>
    <row r="39" spans="1:18" x14ac:dyDescent="0.35">
      <c r="A39">
        <v>21</v>
      </c>
      <c r="B39" s="83">
        <f t="shared" si="6"/>
        <v>937.79131198579239</v>
      </c>
      <c r="C39" s="85">
        <f t="shared" si="2"/>
        <v>938</v>
      </c>
      <c r="D39" s="85">
        <f t="shared" si="3"/>
        <v>383.88071567616913</v>
      </c>
      <c r="E39" s="22"/>
      <c r="F39" s="120">
        <f>'6 - Curve'!C22</f>
        <v>21</v>
      </c>
      <c r="G39" s="121">
        <f>'6 - Curve'!D22</f>
        <v>2246.3052316140706</v>
      </c>
      <c r="H39" s="85">
        <f t="shared" si="4"/>
        <v>937.79131198579239</v>
      </c>
      <c r="I39" s="116">
        <f t="shared" si="5"/>
        <v>13.086212115920492</v>
      </c>
    </row>
    <row r="40" spans="1:18" x14ac:dyDescent="0.35">
      <c r="A40">
        <v>22</v>
      </c>
      <c r="B40" s="83">
        <f t="shared" si="6"/>
        <v>1121.2131606439937</v>
      </c>
      <c r="C40" s="85">
        <f t="shared" si="2"/>
        <v>1121</v>
      </c>
      <c r="D40" s="85">
        <f t="shared" si="3"/>
        <v>321.08078341965376</v>
      </c>
      <c r="E40" s="22"/>
      <c r="F40" s="120">
        <f>'6 - Curve'!C23</f>
        <v>22</v>
      </c>
      <c r="G40" s="121">
        <f>'6 - Curve'!D23</f>
        <v>2493.0575828039664</v>
      </c>
      <c r="H40" s="85">
        <f t="shared" si="4"/>
        <v>1121.2131606439937</v>
      </c>
      <c r="I40" s="116">
        <f t="shared" si="5"/>
        <v>14.362864549238584</v>
      </c>
    </row>
    <row r="41" spans="1:18" x14ac:dyDescent="0.35">
      <c r="A41">
        <v>23</v>
      </c>
      <c r="B41" s="83">
        <f t="shared" si="6"/>
        <v>1340.5103411966129</v>
      </c>
      <c r="C41" s="85">
        <f t="shared" si="2"/>
        <v>1341</v>
      </c>
      <c r="D41" s="85">
        <f t="shared" si="3"/>
        <v>268.55443702033949</v>
      </c>
      <c r="E41" s="22"/>
      <c r="F41" s="120">
        <f>'6 - Curve'!C24</f>
        <v>23</v>
      </c>
      <c r="G41" s="121">
        <f>'6 - Curve'!D24</f>
        <v>2752.2264248488482</v>
      </c>
      <c r="H41" s="85">
        <f t="shared" si="4"/>
        <v>1340.5103411966129</v>
      </c>
      <c r="I41" s="116">
        <f t="shared" si="5"/>
        <v>15.827624591619832</v>
      </c>
    </row>
    <row r="42" spans="1:18" x14ac:dyDescent="0.35">
      <c r="A42">
        <v>24</v>
      </c>
      <c r="B42" s="83">
        <f t="shared" si="6"/>
        <v>1602.6996809624775</v>
      </c>
      <c r="C42" s="85">
        <f t="shared" si="2"/>
        <v>1603</v>
      </c>
      <c r="D42" s="85">
        <f t="shared" si="3"/>
        <v>224.6209968568827</v>
      </c>
      <c r="F42" s="120">
        <f>'6 - Curve'!C25</f>
        <v>24</v>
      </c>
      <c r="G42" s="121">
        <f>'6 - Curve'!D25</f>
        <v>3012.1646397067379</v>
      </c>
      <c r="H42" s="85">
        <f t="shared" si="4"/>
        <v>1602.6996809624775</v>
      </c>
      <c r="I42" s="116">
        <f t="shared" si="5"/>
        <v>17.572835901648194</v>
      </c>
    </row>
    <row r="43" spans="1:18" x14ac:dyDescent="0.35">
      <c r="A43">
        <v>25</v>
      </c>
      <c r="B43" s="83">
        <f t="shared" si="6"/>
        <v>1916.1704228736594</v>
      </c>
      <c r="C43" s="85">
        <f t="shared" si="2"/>
        <v>1916</v>
      </c>
      <c r="D43" s="85">
        <f t="shared" si="3"/>
        <v>187.87472956612677</v>
      </c>
      <c r="F43" s="120">
        <f>'6 - Curve'!C26</f>
        <v>25</v>
      </c>
      <c r="G43" s="121">
        <f>'6 - Curve'!D26</f>
        <v>3299.8359446443983</v>
      </c>
      <c r="H43" s="85">
        <f t="shared" si="4"/>
        <v>1916.1704228736594</v>
      </c>
      <c r="I43" s="116">
        <f t="shared" si="5"/>
        <v>19.468919579129199</v>
      </c>
    </row>
    <row r="44" spans="1:18" x14ac:dyDescent="0.35">
      <c r="A44">
        <v>26</v>
      </c>
      <c r="B44" s="83">
        <f t="shared" si="6"/>
        <v>2290.9526551417471</v>
      </c>
      <c r="C44" s="85">
        <f t="shared" si="2"/>
        <v>2291</v>
      </c>
      <c r="D44" s="85">
        <f t="shared" si="3"/>
        <v>157.13986895016188</v>
      </c>
      <c r="F44" s="120">
        <f>'6 - Curve'!C27</f>
        <v>26</v>
      </c>
      <c r="G44" s="121">
        <f>'6 - Curve'!D27</f>
        <v>3672.8522122182621</v>
      </c>
      <c r="H44" s="85">
        <f t="shared" si="4"/>
        <v>2290.9526551417471</v>
      </c>
      <c r="I44" s="116">
        <f t="shared" si="5"/>
        <v>21.186669199990725</v>
      </c>
    </row>
    <row r="45" spans="1:18" x14ac:dyDescent="0.35">
      <c r="A45">
        <v>27</v>
      </c>
      <c r="B45" s="83">
        <f t="shared" si="6"/>
        <v>2739.0382428667058</v>
      </c>
      <c r="C45" s="85">
        <f t="shared" si="2"/>
        <v>2739</v>
      </c>
      <c r="D45" s="85">
        <f t="shared" si="3"/>
        <v>131.4329951170086</v>
      </c>
      <c r="F45" s="120">
        <f>'6 - Curve'!C28</f>
        <v>27</v>
      </c>
      <c r="G45" s="121">
        <f>'6 - Curve'!D28</f>
        <v>4058.3592217597202</v>
      </c>
      <c r="H45" s="85">
        <f t="shared" si="4"/>
        <v>2739.0382428667058</v>
      </c>
      <c r="I45" s="116">
        <f t="shared" si="5"/>
        <v>22.949241807017479</v>
      </c>
    </row>
    <row r="46" spans="1:18" x14ac:dyDescent="0.35">
      <c r="A46">
        <v>28</v>
      </c>
      <c r="B46" s="83">
        <f t="shared" si="6"/>
        <v>3274.7645304010625</v>
      </c>
      <c r="C46" s="85">
        <f t="shared" si="2"/>
        <v>3275</v>
      </c>
      <c r="D46" s="85">
        <f t="shared" si="3"/>
        <v>109.93156810450434</v>
      </c>
      <c r="F46" s="120">
        <f>'6 - Curve'!C29</f>
        <v>28</v>
      </c>
      <c r="G46" s="121">
        <f>'6 - Curve'!D29</f>
        <v>4453.3306611279622</v>
      </c>
      <c r="H46" s="85">
        <f t="shared" si="4"/>
        <v>3274.7645304010625</v>
      </c>
      <c r="I46" s="116">
        <f t="shared" si="5"/>
        <v>24.922579393647943</v>
      </c>
    </row>
    <row r="47" spans="1:18" x14ac:dyDescent="0.35">
      <c r="A47">
        <v>29</v>
      </c>
      <c r="B47" s="83">
        <f t="shared" si="6"/>
        <v>3915.2730917509775</v>
      </c>
      <c r="C47" s="85">
        <f t="shared" si="2"/>
        <v>3915</v>
      </c>
      <c r="D47" s="85">
        <f t="shared" si="3"/>
        <v>91.947609161281108</v>
      </c>
      <c r="F47" s="120">
        <f>'6 - Curve'!C30</f>
        <v>29</v>
      </c>
      <c r="G47" s="121">
        <f>'6 - Curve'!D30</f>
        <v>4838.4362414860789</v>
      </c>
      <c r="H47" s="85">
        <f t="shared" si="4"/>
        <v>3915.2730917509775</v>
      </c>
      <c r="I47" s="116">
        <f t="shared" si="5"/>
        <v>26.632042866967215</v>
      </c>
    </row>
    <row r="48" spans="1:18" x14ac:dyDescent="0.35">
      <c r="A48">
        <v>30</v>
      </c>
      <c r="B48" s="83">
        <f t="shared" si="6"/>
        <v>4681.0582075993907</v>
      </c>
      <c r="C48" s="85">
        <f t="shared" si="2"/>
        <v>4681</v>
      </c>
      <c r="D48" s="85">
        <f t="shared" si="3"/>
        <v>76.905687567730567</v>
      </c>
      <c r="F48" s="120">
        <f>'6 - Curve'!C31</f>
        <v>30</v>
      </c>
      <c r="G48" s="121">
        <f>'6 - Curve'!D31</f>
        <v>5288.3995273330902</v>
      </c>
      <c r="H48" s="85">
        <f t="shared" si="4"/>
        <v>4681.0582075993907</v>
      </c>
      <c r="I48" s="116">
        <f t="shared" si="5"/>
        <v>28.601187733611322</v>
      </c>
    </row>
    <row r="49" spans="1:31" x14ac:dyDescent="0.35">
      <c r="A49">
        <v>38</v>
      </c>
      <c r="B49" s="83">
        <f t="shared" si="6"/>
        <v>5596.6226185091118</v>
      </c>
      <c r="C49" s="85">
        <f t="shared" si="2"/>
        <v>5597</v>
      </c>
      <c r="D49" s="85">
        <f t="shared" si="3"/>
        <v>64.324508643732756</v>
      </c>
      <c r="F49" s="120">
        <f>'6 - Curve'!C32</f>
        <v>38</v>
      </c>
      <c r="G49" s="121">
        <f>'6 - Curve'!D32</f>
        <v>10072.132962873835</v>
      </c>
      <c r="H49" s="85">
        <f t="shared" si="4"/>
        <v>5596.6226185091118</v>
      </c>
      <c r="I49" s="116">
        <f t="shared" si="5"/>
        <v>30.57629190429148</v>
      </c>
    </row>
    <row r="50" spans="1:31" x14ac:dyDescent="0.35">
      <c r="A50">
        <v>50</v>
      </c>
      <c r="B50" s="83">
        <f t="shared" si="6"/>
        <v>6691.2615363676259</v>
      </c>
      <c r="C50" s="85">
        <f t="shared" si="2"/>
        <v>6691</v>
      </c>
      <c r="D50" s="85">
        <f t="shared" si="3"/>
        <v>53.801513816694545</v>
      </c>
      <c r="F50" s="120">
        <f>'6 - Curve'!C33</f>
        <v>50</v>
      </c>
      <c r="G50" s="121">
        <f>'6 - Curve'!D33</f>
        <v>16030.175521350355</v>
      </c>
      <c r="H50" s="85">
        <f t="shared" si="4"/>
        <v>6691.2615363676259</v>
      </c>
      <c r="I50" s="116">
        <f t="shared" si="5"/>
        <v>32.466478180151555</v>
      </c>
    </row>
    <row r="51" spans="1:31" ht="13.15" thickBot="1" x14ac:dyDescent="0.4">
      <c r="A51">
        <v>70</v>
      </c>
      <c r="B51" s="83">
        <f t="shared" si="6"/>
        <v>7999.9999999999909</v>
      </c>
      <c r="C51" s="85">
        <f t="shared" si="2"/>
        <v>8000</v>
      </c>
      <c r="D51" s="85">
        <f>$B$12*1.5</f>
        <v>45</v>
      </c>
      <c r="E51" s="11"/>
      <c r="F51" s="122">
        <f>'6 - Curve'!C34</f>
        <v>70</v>
      </c>
      <c r="G51" s="123">
        <f>'6 - Curve'!D34</f>
        <v>24934</v>
      </c>
      <c r="H51" s="85">
        <f t="shared" si="4"/>
        <v>7999.9999999999909</v>
      </c>
      <c r="I51" s="116">
        <f t="shared" si="5"/>
        <v>34.551650132059891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55" zoomScaleNormal="55" workbookViewId="0"/>
  </sheetViews>
  <sheetFormatPr defaultColWidth="11.53125" defaultRowHeight="12.75" x14ac:dyDescent="0.35"/>
  <cols>
    <col min="12" max="12" width="12.3984375" customWidth="1"/>
  </cols>
  <sheetData>
    <row r="1" spans="1:49" x14ac:dyDescent="0.35">
      <c r="A1" t="s">
        <v>45</v>
      </c>
    </row>
    <row r="2" spans="1:49" ht="40.15" x14ac:dyDescent="0.4">
      <c r="A2" s="164" t="s">
        <v>46</v>
      </c>
      <c r="B2" s="164"/>
      <c r="C2" s="164"/>
      <c r="D2" s="164"/>
      <c r="E2" s="164"/>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46136</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3.992318</v>
      </c>
      <c r="C8" s="30">
        <f t="shared" ref="C8:F8" si="0">C52/$E$4</f>
        <v>4.4795170000000004</v>
      </c>
      <c r="D8" s="30">
        <f t="shared" si="0"/>
        <v>4.4420279999999996</v>
      </c>
      <c r="E8" s="30">
        <f t="shared" si="0"/>
        <v>4.4823040000000001</v>
      </c>
      <c r="F8" s="30">
        <f t="shared" si="0"/>
        <v>4.4849249999999996</v>
      </c>
      <c r="G8" s="31">
        <f>AVERAGE(B$8:F$8)*5</f>
        <v>21.881091999999999</v>
      </c>
      <c r="I8" s="32"/>
      <c r="K8" s="32"/>
      <c r="O8" s="81"/>
      <c r="P8" s="81"/>
      <c r="Q8" s="81"/>
      <c r="R8" s="81"/>
      <c r="S8" s="81"/>
    </row>
    <row r="9" spans="1:49" ht="13.15" x14ac:dyDescent="0.4">
      <c r="A9" s="11" t="s">
        <v>63</v>
      </c>
      <c r="B9" s="30">
        <f>B53*$E$4</f>
        <v>17927.179688</v>
      </c>
      <c r="C9" s="30">
        <f t="shared" ref="C9:F9" si="1">C53*$E$4</f>
        <v>18143.699218999998</v>
      </c>
      <c r="D9" s="30">
        <f t="shared" si="1"/>
        <v>18160.398438</v>
      </c>
      <c r="E9" s="30">
        <f t="shared" si="1"/>
        <v>17499.261718999998</v>
      </c>
      <c r="F9" s="30">
        <f t="shared" si="1"/>
        <v>18204.095702999999</v>
      </c>
      <c r="G9" s="33">
        <f>AVERAGE(B9:F9)</f>
        <v>17986.926953399998</v>
      </c>
      <c r="H9" s="34">
        <f>G9*G$8</f>
        <v>393573.60346462502</v>
      </c>
      <c r="I9" s="32">
        <f t="shared" ref="I9:I38" si="2">STDEVP(B9:F9)/AVERAGE(B9:F9)</f>
        <v>1.4566119408816613E-2</v>
      </c>
      <c r="J9" s="32">
        <f t="shared" ref="J9:J38" si="3">IF(H9&gt;$A$43, $C$43, IF(H9&gt;$A$44, $C$44, IF(H9&gt;$A$45,$C$45,IF(H9&gt;$A$46,$C$46, IF(H9&gt;$A$47,$C$47,IF(H9&gt;$A$48,$C$48,$C$49))))))/100</f>
        <v>0.11</v>
      </c>
      <c r="K9" s="32">
        <f>(MAX(B9:F9)-MIN(B9:F9))/G9</f>
        <v>3.9185903507923503E-2</v>
      </c>
      <c r="L9" s="16">
        <f>G9/'Clause 6'!$G$11</f>
        <v>17986.926953399998</v>
      </c>
      <c r="M9">
        <f t="shared" ref="M9:M38" si="4">COUNTA(B9:F9)</f>
        <v>5</v>
      </c>
      <c r="O9" s="82">
        <f>IF(ISNUMBER(B9), (B9/$G9-1), 0)</f>
        <v>-3.3217050113556468E-3</v>
      </c>
      <c r="P9" s="82">
        <f t="shared" ref="P9:S38" si="5">IF(ISNUMBER(C9), (C9/$G9-1), 0)</f>
        <v>8.7159004985211119E-3</v>
      </c>
      <c r="Q9" s="82">
        <f t="shared" si="5"/>
        <v>9.6443091724021102E-3</v>
      </c>
      <c r="R9" s="82">
        <f t="shared" si="5"/>
        <v>-2.7112204083745262E-2</v>
      </c>
      <c r="S9" s="82">
        <f t="shared" si="5"/>
        <v>1.207369942417813E-2</v>
      </c>
    </row>
    <row r="10" spans="1:49" ht="13.15" x14ac:dyDescent="0.4">
      <c r="A10" s="11" t="s">
        <v>64</v>
      </c>
      <c r="B10" s="30">
        <f t="shared" ref="B10:F10" si="6">B54*$E$4</f>
        <v>15329.941406</v>
      </c>
      <c r="C10" s="30">
        <f t="shared" si="6"/>
        <v>15502.119140999999</v>
      </c>
      <c r="D10" s="30">
        <f t="shared" si="6"/>
        <v>15550.104492</v>
      </c>
      <c r="E10" s="30">
        <f t="shared" si="6"/>
        <v>14980.466796999999</v>
      </c>
      <c r="F10" s="30">
        <f t="shared" si="6"/>
        <v>15552.100586</v>
      </c>
      <c r="G10" s="33">
        <f t="shared" ref="G10:G38" si="7">AVERAGE(B10:F10)</f>
        <v>15382.946484399999</v>
      </c>
      <c r="H10" s="34">
        <f t="shared" ref="H10:H38" si="8">G10*G$8</f>
        <v>336595.66725623293</v>
      </c>
      <c r="I10" s="32">
        <f t="shared" si="2"/>
        <v>1.410986914912111E-2</v>
      </c>
      <c r="J10" s="32">
        <f t="shared" si="3"/>
        <v>0.11</v>
      </c>
      <c r="K10" s="32">
        <f t="shared" ref="K10:K38" si="9">(MAX(B10:F10)-MIN(B10:F10))/G10</f>
        <v>3.7160227371245226E-2</v>
      </c>
      <c r="L10" s="16">
        <f>G10/'Clause 6'!$G$11</f>
        <v>15382.946484399999</v>
      </c>
      <c r="M10">
        <f t="shared" si="4"/>
        <v>5</v>
      </c>
      <c r="O10" s="82">
        <f t="shared" ref="O10:O38" si="10">IF(ISNUMBER(B10), (B10/$G10-1), 0)</f>
        <v>-3.445703880836648E-3</v>
      </c>
      <c r="P10" s="82">
        <f t="shared" si="5"/>
        <v>7.7470630688896147E-3</v>
      </c>
      <c r="Q10" s="82">
        <f t="shared" si="5"/>
        <v>1.0866449270269252E-2</v>
      </c>
      <c r="R10" s="82">
        <f t="shared" si="5"/>
        <v>-2.6164017914783733E-2</v>
      </c>
      <c r="S10" s="82">
        <f t="shared" si="5"/>
        <v>1.0996209456461514E-2</v>
      </c>
    </row>
    <row r="11" spans="1:49" ht="13.15" x14ac:dyDescent="0.4">
      <c r="A11" s="11" t="s">
        <v>65</v>
      </c>
      <c r="B11" s="30">
        <f t="shared" ref="B11:F11" si="11">B55*$E$4</f>
        <v>13266.979492</v>
      </c>
      <c r="C11" s="30">
        <f t="shared" si="11"/>
        <v>13400.776367</v>
      </c>
      <c r="D11" s="30">
        <f t="shared" si="11"/>
        <v>13487.983398</v>
      </c>
      <c r="E11" s="30">
        <f t="shared" si="11"/>
        <v>12991.534180000001</v>
      </c>
      <c r="F11" s="30">
        <f t="shared" si="11"/>
        <v>13471.128906</v>
      </c>
      <c r="G11" s="33">
        <f t="shared" si="7"/>
        <v>13323.680468600001</v>
      </c>
      <c r="H11" s="34">
        <f t="shared" si="8"/>
        <v>291536.67811203975</v>
      </c>
      <c r="I11" s="32">
        <f t="shared" si="2"/>
        <v>1.3766546133444857E-2</v>
      </c>
      <c r="J11" s="32">
        <f t="shared" si="3"/>
        <v>0.11</v>
      </c>
      <c r="K11" s="32">
        <f t="shared" si="9"/>
        <v>3.7260666763210409E-2</v>
      </c>
      <c r="L11" s="16">
        <f>G11/'Clause 6'!$G$11</f>
        <v>13323.680468600001</v>
      </c>
      <c r="M11">
        <f t="shared" si="4"/>
        <v>5</v>
      </c>
      <c r="O11" s="82">
        <f t="shared" si="10"/>
        <v>-4.2556541890680366E-3</v>
      </c>
      <c r="P11" s="82">
        <f t="shared" si="5"/>
        <v>5.786381516855732E-3</v>
      </c>
      <c r="Q11" s="82">
        <f t="shared" si="5"/>
        <v>1.2331647384310473E-2</v>
      </c>
      <c r="R11" s="82">
        <f t="shared" si="5"/>
        <v>-2.4929019378900019E-2</v>
      </c>
      <c r="S11" s="82">
        <f t="shared" si="5"/>
        <v>1.1066644666801517E-2</v>
      </c>
    </row>
    <row r="12" spans="1:49" ht="13.15" x14ac:dyDescent="0.4">
      <c r="A12" s="11" t="s">
        <v>66</v>
      </c>
      <c r="B12" s="30">
        <f t="shared" ref="B12:F12" si="12">B56*$E$4</f>
        <v>11300.703125</v>
      </c>
      <c r="C12" s="30">
        <f t="shared" si="12"/>
        <v>11400.560546999999</v>
      </c>
      <c r="D12" s="30">
        <f t="shared" si="12"/>
        <v>11484.168944999999</v>
      </c>
      <c r="E12" s="30">
        <f t="shared" si="12"/>
        <v>11091.618164</v>
      </c>
      <c r="F12" s="30">
        <f t="shared" si="12"/>
        <v>11490.716796999999</v>
      </c>
      <c r="G12" s="33">
        <f t="shared" si="7"/>
        <v>11353.553515600001</v>
      </c>
      <c r="H12" s="34">
        <f t="shared" si="8"/>
        <v>248428.14900176704</v>
      </c>
      <c r="I12" s="32">
        <f t="shared" si="2"/>
        <v>1.3033608792821229E-2</v>
      </c>
      <c r="J12" s="32">
        <f t="shared" si="3"/>
        <v>0.11</v>
      </c>
      <c r="K12" s="32">
        <f t="shared" si="9"/>
        <v>3.5151869628449843E-2</v>
      </c>
      <c r="L12" s="16">
        <f>G12/'Clause 6'!$G$11</f>
        <v>11353.553515600001</v>
      </c>
      <c r="M12">
        <f t="shared" si="4"/>
        <v>5</v>
      </c>
      <c r="O12" s="82">
        <f t="shared" si="10"/>
        <v>-4.6549646793299093E-3</v>
      </c>
      <c r="P12" s="82">
        <f t="shared" si="5"/>
        <v>4.1402924058453472E-3</v>
      </c>
      <c r="Q12" s="82">
        <f t="shared" si="5"/>
        <v>1.1504365502882585E-2</v>
      </c>
      <c r="R12" s="82">
        <f t="shared" si="5"/>
        <v>-2.3070781428924159E-2</v>
      </c>
      <c r="S12" s="82">
        <f t="shared" si="5"/>
        <v>1.2081088199525691E-2</v>
      </c>
    </row>
    <row r="13" spans="1:49" ht="13.15" x14ac:dyDescent="0.4">
      <c r="A13" s="11" t="s">
        <v>67</v>
      </c>
      <c r="B13" s="30">
        <f t="shared" ref="B13:F13" si="13">B57*$E$4</f>
        <v>9640.2646480000003</v>
      </c>
      <c r="C13" s="30">
        <f t="shared" si="13"/>
        <v>9744.578125</v>
      </c>
      <c r="D13" s="30">
        <f t="shared" si="13"/>
        <v>9805.4306639999995</v>
      </c>
      <c r="E13" s="30">
        <f t="shared" si="13"/>
        <v>9469.9072269999997</v>
      </c>
      <c r="F13" s="30">
        <f t="shared" si="13"/>
        <v>9789.4619139999995</v>
      </c>
      <c r="G13" s="33">
        <f t="shared" si="7"/>
        <v>9689.9285156000005</v>
      </c>
      <c r="H13" s="34">
        <f t="shared" si="8"/>
        <v>212026.21732326705</v>
      </c>
      <c r="I13" s="32">
        <f t="shared" si="2"/>
        <v>1.2815927193330355E-2</v>
      </c>
      <c r="J13" s="32">
        <f t="shared" si="3"/>
        <v>0.11</v>
      </c>
      <c r="K13" s="32">
        <f t="shared" si="9"/>
        <v>3.4625997132985475E-2</v>
      </c>
      <c r="L13" s="16">
        <f>G13/'Clause 6'!$G$11</f>
        <v>9689.9285156000005</v>
      </c>
      <c r="M13">
        <f t="shared" si="4"/>
        <v>5</v>
      </c>
      <c r="O13" s="82">
        <f t="shared" si="10"/>
        <v>-5.1253079442273863E-3</v>
      </c>
      <c r="P13" s="82">
        <f t="shared" si="5"/>
        <v>5.6398361775340522E-3</v>
      </c>
      <c r="Q13" s="82">
        <f t="shared" si="5"/>
        <v>1.1919814291101227E-2</v>
      </c>
      <c r="R13" s="82">
        <f t="shared" si="5"/>
        <v>-2.2706182841884193E-2</v>
      </c>
      <c r="S13" s="82">
        <f t="shared" si="5"/>
        <v>1.0271840317475744E-2</v>
      </c>
    </row>
    <row r="14" spans="1:49" ht="13.15" x14ac:dyDescent="0.4">
      <c r="A14" s="11" t="s">
        <v>68</v>
      </c>
      <c r="B14" s="30">
        <f t="shared" ref="B14:F14" si="14">B58*$E$4</f>
        <v>8184.71875</v>
      </c>
      <c r="C14" s="30">
        <f t="shared" si="14"/>
        <v>8307.5927730000003</v>
      </c>
      <c r="D14" s="30">
        <f t="shared" si="14"/>
        <v>8309.0429690000001</v>
      </c>
      <c r="E14" s="30">
        <f t="shared" si="14"/>
        <v>8056.794922</v>
      </c>
      <c r="F14" s="30">
        <f t="shared" si="14"/>
        <v>8294.453125</v>
      </c>
      <c r="G14" s="33">
        <f t="shared" si="7"/>
        <v>8230.5205077999999</v>
      </c>
      <c r="H14" s="34">
        <f t="shared" si="8"/>
        <v>180092.77643905851</v>
      </c>
      <c r="I14" s="32">
        <f t="shared" si="2"/>
        <v>1.1962768293215032E-2</v>
      </c>
      <c r="J14" s="32">
        <f t="shared" si="3"/>
        <v>0.11</v>
      </c>
      <c r="K14" s="32">
        <f t="shared" si="9"/>
        <v>3.0647885119895704E-2</v>
      </c>
      <c r="L14" s="16">
        <f>G14/'Clause 6'!$G$11</f>
        <v>8230.5205077999999</v>
      </c>
      <c r="M14">
        <f t="shared" si="4"/>
        <v>5</v>
      </c>
      <c r="O14" s="82">
        <f t="shared" si="10"/>
        <v>-5.564867708742538E-3</v>
      </c>
      <c r="P14" s="82">
        <f t="shared" si="5"/>
        <v>9.3642030448692903E-3</v>
      </c>
      <c r="Q14" s="82">
        <f t="shared" si="5"/>
        <v>9.5404004067038972E-3</v>
      </c>
      <c r="R14" s="82">
        <f t="shared" si="5"/>
        <v>-2.1107484713191793E-2</v>
      </c>
      <c r="S14" s="82">
        <f t="shared" si="5"/>
        <v>7.7677489703611435E-3</v>
      </c>
    </row>
    <row r="15" spans="1:49" ht="13.15" x14ac:dyDescent="0.4">
      <c r="A15" s="11" t="s">
        <v>69</v>
      </c>
      <c r="B15" s="30">
        <f t="shared" ref="B15:F15" si="15">B59*$E$4</f>
        <v>6934.8183589999999</v>
      </c>
      <c r="C15" s="30">
        <f t="shared" si="15"/>
        <v>7046.9658200000003</v>
      </c>
      <c r="D15" s="30">
        <f t="shared" si="15"/>
        <v>7013.4633789999998</v>
      </c>
      <c r="E15" s="30">
        <f t="shared" si="15"/>
        <v>6841.5712890000004</v>
      </c>
      <c r="F15" s="30">
        <f t="shared" si="15"/>
        <v>7017.7319340000004</v>
      </c>
      <c r="G15" s="33">
        <f t="shared" si="7"/>
        <v>6970.9101561999996</v>
      </c>
      <c r="H15" s="34">
        <f t="shared" si="8"/>
        <v>152531.12645154656</v>
      </c>
      <c r="I15" s="32">
        <f t="shared" si="2"/>
        <v>1.070024624208207E-2</v>
      </c>
      <c r="J15" s="32">
        <f t="shared" si="3"/>
        <v>0.11</v>
      </c>
      <c r="K15" s="32">
        <f t="shared" si="9"/>
        <v>2.9464521331883743E-2</v>
      </c>
      <c r="L15" s="16">
        <f>G15/'Clause 6'!$G$11</f>
        <v>6970.9101561999996</v>
      </c>
      <c r="M15">
        <f t="shared" si="4"/>
        <v>5</v>
      </c>
      <c r="O15" s="82">
        <f t="shared" si="10"/>
        <v>-5.1774870700204145E-3</v>
      </c>
      <c r="P15" s="82">
        <f t="shared" si="5"/>
        <v>1.0910435236689331E-2</v>
      </c>
      <c r="Q15" s="82">
        <f t="shared" si="5"/>
        <v>6.1043998339518346E-3</v>
      </c>
      <c r="R15" s="82">
        <f t="shared" si="5"/>
        <v>-1.8554086095194267E-2</v>
      </c>
      <c r="S15" s="82">
        <f t="shared" si="5"/>
        <v>6.7167380945738486E-3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5780.1005859999996</v>
      </c>
      <c r="C16" s="30">
        <f t="shared" si="16"/>
        <v>5880.0991210000002</v>
      </c>
      <c r="D16" s="30">
        <f t="shared" si="16"/>
        <v>5846.2036129999997</v>
      </c>
      <c r="E16" s="30">
        <f t="shared" si="16"/>
        <v>5705.1020509999998</v>
      </c>
      <c r="F16" s="30">
        <f t="shared" si="16"/>
        <v>5822.3940430000002</v>
      </c>
      <c r="G16" s="33">
        <f t="shared" si="7"/>
        <v>5806.7798827999995</v>
      </c>
      <c r="H16" s="34">
        <f t="shared" si="8"/>
        <v>127058.68483929599</v>
      </c>
      <c r="I16" s="32">
        <f t="shared" si="2"/>
        <v>1.0396817241117661E-2</v>
      </c>
      <c r="J16" s="32">
        <f t="shared" si="3"/>
        <v>0.11</v>
      </c>
      <c r="K16" s="32">
        <f t="shared" si="9"/>
        <v>3.0136680489362317E-2</v>
      </c>
      <c r="L16" s="16">
        <f>G16/'Clause 6'!$G$11</f>
        <v>5806.7798827999995</v>
      </c>
      <c r="M16">
        <f t="shared" si="4"/>
        <v>5</v>
      </c>
      <c r="O16" s="82">
        <f t="shared" si="10"/>
        <v>-4.5945080300057173E-3</v>
      </c>
      <c r="P16" s="82">
        <f t="shared" si="5"/>
        <v>1.2626488291243243E-2</v>
      </c>
      <c r="Q16" s="82">
        <f t="shared" si="5"/>
        <v>6.7892585900795055E-3</v>
      </c>
      <c r="R16" s="82">
        <f t="shared" si="5"/>
        <v>-1.7510192198119112E-2</v>
      </c>
      <c r="S16" s="82">
        <f t="shared" si="5"/>
        <v>2.6889533468026361E-3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4776.673828</v>
      </c>
      <c r="C17" s="30">
        <f t="shared" si="17"/>
        <v>4829.0927730000003</v>
      </c>
      <c r="D17" s="30">
        <f t="shared" si="17"/>
        <v>4805.4628910000001</v>
      </c>
      <c r="E17" s="30">
        <f t="shared" si="17"/>
        <v>4689.7758789999998</v>
      </c>
      <c r="F17" s="30">
        <f t="shared" si="17"/>
        <v>4775.7768550000001</v>
      </c>
      <c r="G17" s="33">
        <f t="shared" si="7"/>
        <v>4775.3564452000001</v>
      </c>
      <c r="H17" s="34">
        <f t="shared" si="8"/>
        <v>104490.01371021416</v>
      </c>
      <c r="I17" s="32">
        <f t="shared" si="2"/>
        <v>9.8755287698965091E-3</v>
      </c>
      <c r="J17" s="32">
        <f t="shared" si="3"/>
        <v>0.11</v>
      </c>
      <c r="K17" s="32">
        <f t="shared" si="9"/>
        <v>2.9174135082635843E-2</v>
      </c>
      <c r="L17" s="16">
        <f>G17/'Clause 6'!$G$11</f>
        <v>4775.3564452000001</v>
      </c>
      <c r="M17">
        <f t="shared" si="4"/>
        <v>5</v>
      </c>
      <c r="O17" s="82">
        <f t="shared" si="10"/>
        <v>2.7587109258075948E-4</v>
      </c>
      <c r="P17" s="82">
        <f t="shared" si="5"/>
        <v>1.1252841210212416E-2</v>
      </c>
      <c r="Q17" s="82">
        <f t="shared" si="5"/>
        <v>6.3045442042890532E-3</v>
      </c>
      <c r="R17" s="82">
        <f t="shared" si="5"/>
        <v>-1.7921293872423361E-2</v>
      </c>
      <c r="S17" s="82">
        <f t="shared" si="5"/>
        <v>8.803736534113149E-5</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3861.6665039999998</v>
      </c>
      <c r="C18" s="30">
        <f t="shared" si="18"/>
        <v>3904.8857419999999</v>
      </c>
      <c r="D18" s="30">
        <f t="shared" si="18"/>
        <v>3866.92749</v>
      </c>
      <c r="E18" s="30">
        <f t="shared" si="18"/>
        <v>3778.1911620000001</v>
      </c>
      <c r="F18" s="30">
        <f t="shared" si="18"/>
        <v>3844.880615</v>
      </c>
      <c r="G18" s="33">
        <f t="shared" si="7"/>
        <v>3851.3103025999999</v>
      </c>
      <c r="H18" s="34">
        <f t="shared" si="8"/>
        <v>84270.875051738432</v>
      </c>
      <c r="I18" s="32">
        <f t="shared" si="2"/>
        <v>1.0774286245352128E-2</v>
      </c>
      <c r="J18" s="32">
        <f t="shared" si="3"/>
        <v>0.11</v>
      </c>
      <c r="K18" s="32">
        <f t="shared" si="9"/>
        <v>3.2896487181120926E-2</v>
      </c>
      <c r="L18" s="16">
        <f>G18/'Clause 6'!$G$11</f>
        <v>3851.3103025999999</v>
      </c>
      <c r="M18">
        <f t="shared" si="4"/>
        <v>5</v>
      </c>
      <c r="O18" s="82">
        <f t="shared" si="10"/>
        <v>2.6890072692944411E-3</v>
      </c>
      <c r="P18" s="82">
        <f t="shared" si="5"/>
        <v>1.3910964111053747E-2</v>
      </c>
      <c r="Q18" s="82">
        <f t="shared" si="5"/>
        <v>4.055032228760469E-3</v>
      </c>
      <c r="R18" s="82">
        <f t="shared" si="5"/>
        <v>-1.8985523070067178E-2</v>
      </c>
      <c r="S18" s="82">
        <f t="shared" si="5"/>
        <v>-1.669480539041257E-3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3075.9072270000001</v>
      </c>
      <c r="C19" s="30">
        <f t="shared" si="19"/>
        <v>3119.7563479999999</v>
      </c>
      <c r="D19" s="30">
        <f t="shared" si="19"/>
        <v>3070.8945309999999</v>
      </c>
      <c r="E19" s="30">
        <f t="shared" si="19"/>
        <v>3008.2746579999998</v>
      </c>
      <c r="F19" s="30">
        <f t="shared" si="19"/>
        <v>3046.6508789999998</v>
      </c>
      <c r="G19" s="33">
        <f t="shared" si="7"/>
        <v>3064.2967285999998</v>
      </c>
      <c r="H19" s="34">
        <f t="shared" si="8"/>
        <v>67050.158633795625</v>
      </c>
      <c r="I19" s="32">
        <f t="shared" si="2"/>
        <v>1.1949497510736045E-2</v>
      </c>
      <c r="J19" s="32">
        <f t="shared" si="3"/>
        <v>0.11</v>
      </c>
      <c r="K19" s="32">
        <f t="shared" si="9"/>
        <v>3.6380840327735905E-2</v>
      </c>
      <c r="L19" s="16">
        <f>G19/'Clause 6'!$G$11</f>
        <v>3064.2967285999998</v>
      </c>
      <c r="M19">
        <f t="shared" si="4"/>
        <v>5</v>
      </c>
      <c r="O19" s="82">
        <f t="shared" si="10"/>
        <v>3.7889602177347825E-3</v>
      </c>
      <c r="P19" s="82">
        <f t="shared" si="5"/>
        <v>1.8098645239665867E-2</v>
      </c>
      <c r="Q19" s="82">
        <f t="shared" si="5"/>
        <v>2.1531212491339158E-3</v>
      </c>
      <c r="R19" s="82">
        <f t="shared" si="5"/>
        <v>-1.8282195088070052E-2</v>
      </c>
      <c r="S19" s="82">
        <f t="shared" si="5"/>
        <v>-5.758531618464402E-3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2418.3945309999999</v>
      </c>
      <c r="C20" s="30">
        <f t="shared" si="20"/>
        <v>2438.6560060000002</v>
      </c>
      <c r="D20" s="30">
        <f t="shared" si="20"/>
        <v>2390.5747070000002</v>
      </c>
      <c r="E20" s="30">
        <f t="shared" si="20"/>
        <v>2344.5534670000002</v>
      </c>
      <c r="F20" s="30">
        <f t="shared" si="20"/>
        <v>2376.1826169999999</v>
      </c>
      <c r="G20" s="33">
        <f t="shared" si="7"/>
        <v>2393.6722656000002</v>
      </c>
      <c r="H20" s="34">
        <f t="shared" si="8"/>
        <v>52376.163061442036</v>
      </c>
      <c r="I20" s="32">
        <f t="shared" si="2"/>
        <v>1.3681975151293617E-2</v>
      </c>
      <c r="J20" s="32">
        <f t="shared" si="3"/>
        <v>0.11</v>
      </c>
      <c r="K20" s="32">
        <f t="shared" si="9"/>
        <v>3.9313042287521409E-2</v>
      </c>
      <c r="L20" s="16">
        <f>G20/'Clause 6'!$G$11</f>
        <v>2393.6722656000002</v>
      </c>
      <c r="M20">
        <f t="shared" si="4"/>
        <v>5</v>
      </c>
      <c r="O20" s="82">
        <f t="shared" si="10"/>
        <v>1.0328174727713968E-2</v>
      </c>
      <c r="P20" s="82">
        <f t="shared" si="5"/>
        <v>1.8792773366041571E-2</v>
      </c>
      <c r="Q20" s="82">
        <f t="shared" si="5"/>
        <v>-1.2940612817032848E-3</v>
      </c>
      <c r="R20" s="82">
        <f t="shared" si="5"/>
        <v>-2.0520268921479845E-2</v>
      </c>
      <c r="S20" s="82">
        <f t="shared" si="5"/>
        <v>-7.3066178905725199E-3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1850.8045649999999</v>
      </c>
      <c r="C21" s="30">
        <f t="shared" si="21"/>
        <v>1871.184082</v>
      </c>
      <c r="D21" s="30">
        <f t="shared" si="21"/>
        <v>1818.5386960000001</v>
      </c>
      <c r="E21" s="30">
        <f t="shared" si="21"/>
        <v>1782.7886960000001</v>
      </c>
      <c r="F21" s="30">
        <f t="shared" si="21"/>
        <v>1800.4760739999999</v>
      </c>
      <c r="G21" s="33">
        <f t="shared" si="7"/>
        <v>1824.7584225999999</v>
      </c>
      <c r="H21" s="34">
        <f t="shared" si="8"/>
        <v>39927.706922685473</v>
      </c>
      <c r="I21" s="32">
        <f t="shared" si="2"/>
        <v>1.771296243019839E-2</v>
      </c>
      <c r="J21" s="32">
        <f t="shared" si="3"/>
        <v>0.11</v>
      </c>
      <c r="K21" s="32">
        <f t="shared" si="9"/>
        <v>4.8442240301623106E-2</v>
      </c>
      <c r="L21" s="16">
        <f>G21/'Clause 6'!$G$11</f>
        <v>1824.7584225999999</v>
      </c>
      <c r="M21">
        <f t="shared" si="4"/>
        <v>5</v>
      </c>
      <c r="O21" s="82">
        <f t="shared" si="10"/>
        <v>1.4273748282190857E-2</v>
      </c>
      <c r="P21" s="82">
        <f t="shared" si="5"/>
        <v>2.5442085278253312E-2</v>
      </c>
      <c r="Q21" s="82">
        <f t="shared" si="5"/>
        <v>-3.4085205597449431E-3</v>
      </c>
      <c r="R21" s="82">
        <f t="shared" si="5"/>
        <v>-2.3000155023369828E-2</v>
      </c>
      <c r="S21" s="82">
        <f t="shared" si="5"/>
        <v>-1.3307157977329065E-2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1391.1717530000001</v>
      </c>
      <c r="C22" s="30">
        <f t="shared" si="22"/>
        <v>1405.955322</v>
      </c>
      <c r="D22" s="30">
        <f t="shared" si="22"/>
        <v>1373.9219969999999</v>
      </c>
      <c r="E22" s="30">
        <f t="shared" si="22"/>
        <v>1341.9438479999999</v>
      </c>
      <c r="F22" s="30">
        <f t="shared" si="22"/>
        <v>1375.7198490000001</v>
      </c>
      <c r="G22" s="33">
        <f t="shared" si="7"/>
        <v>1377.7425538</v>
      </c>
      <c r="H22" s="34">
        <f t="shared" si="8"/>
        <v>30146.511572012747</v>
      </c>
      <c r="I22" s="32">
        <f t="shared" si="2"/>
        <v>1.5487612473904476E-2</v>
      </c>
      <c r="J22" s="32">
        <f t="shared" si="3"/>
        <v>0.11</v>
      </c>
      <c r="K22" s="32">
        <f t="shared" si="9"/>
        <v>4.6461128621924211E-2</v>
      </c>
      <c r="L22" s="16">
        <f>G22/'Clause 6'!$G$11</f>
        <v>1377.7425538</v>
      </c>
      <c r="M22">
        <f t="shared" si="4"/>
        <v>5</v>
      </c>
      <c r="O22" s="82">
        <f t="shared" si="10"/>
        <v>9.7472486154692728E-3</v>
      </c>
      <c r="P22" s="82">
        <f t="shared" si="5"/>
        <v>2.0477532701726808E-2</v>
      </c>
      <c r="Q22" s="82">
        <f t="shared" si="5"/>
        <v>-2.773055669553437E-3</v>
      </c>
      <c r="R22" s="82">
        <f t="shared" si="5"/>
        <v>-2.59835959201975E-2</v>
      </c>
      <c r="S22" s="82">
        <f t="shared" si="5"/>
        <v>-1.4681297274451444E-3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1048.0126949999999</v>
      </c>
      <c r="C23" s="30">
        <f t="shared" si="23"/>
        <v>1053.9083250000001</v>
      </c>
      <c r="D23" s="30">
        <f t="shared" si="23"/>
        <v>1028.5842290000001</v>
      </c>
      <c r="E23" s="30">
        <f t="shared" si="23"/>
        <v>1014.210632</v>
      </c>
      <c r="F23" s="30">
        <f t="shared" si="23"/>
        <v>1042.6038820000001</v>
      </c>
      <c r="G23" s="33">
        <f t="shared" si="7"/>
        <v>1037.4639526000001</v>
      </c>
      <c r="H23" s="34">
        <f t="shared" si="8"/>
        <v>22700.844193524241</v>
      </c>
      <c r="I23" s="32">
        <f t="shared" si="2"/>
        <v>1.3818810006438406E-2</v>
      </c>
      <c r="J23" s="32">
        <f t="shared" si="3"/>
        <v>0.11</v>
      </c>
      <c r="K23" s="32">
        <f t="shared" si="9"/>
        <v>3.8264166095133459E-2</v>
      </c>
      <c r="L23" s="16">
        <f>G23/'Clause 6'!$G$11</f>
        <v>1037.4639526000001</v>
      </c>
      <c r="M23">
        <f t="shared" si="4"/>
        <v>5</v>
      </c>
      <c r="O23" s="82">
        <f t="shared" si="10"/>
        <v>1.0167815829710047E-2</v>
      </c>
      <c r="P23" s="82">
        <f t="shared" si="5"/>
        <v>1.5850548213061755E-2</v>
      </c>
      <c r="Q23" s="82">
        <f t="shared" si="5"/>
        <v>-8.5590671152925291E-3</v>
      </c>
      <c r="R23" s="82">
        <f t="shared" si="5"/>
        <v>-2.2413617882071635E-2</v>
      </c>
      <c r="S23" s="82">
        <f t="shared" si="5"/>
        <v>4.9543209545919176E-3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780.74945100000002</v>
      </c>
      <c r="C24" s="30">
        <f t="shared" si="24"/>
        <v>795.17511000000002</v>
      </c>
      <c r="D24" s="30">
        <f t="shared" si="24"/>
        <v>777.79785200000003</v>
      </c>
      <c r="E24" s="30">
        <f t="shared" si="24"/>
        <v>771.92449999999997</v>
      </c>
      <c r="F24" s="30">
        <f t="shared" si="24"/>
        <v>770.80444299999999</v>
      </c>
      <c r="G24" s="33">
        <f t="shared" si="7"/>
        <v>779.29027120000001</v>
      </c>
      <c r="H24" s="34">
        <f t="shared" si="8"/>
        <v>17051.722118832149</v>
      </c>
      <c r="I24" s="32">
        <f t="shared" si="2"/>
        <v>1.1230159489544311E-2</v>
      </c>
      <c r="J24" s="32">
        <f t="shared" si="3"/>
        <v>0.11</v>
      </c>
      <c r="K24" s="32">
        <f t="shared" si="9"/>
        <v>3.1272900356464794E-2</v>
      </c>
      <c r="L24" s="16">
        <f>G24/'Clause 6'!$G$11</f>
        <v>779.29027120000001</v>
      </c>
      <c r="M24">
        <f t="shared" si="4"/>
        <v>5</v>
      </c>
      <c r="O24" s="82">
        <f t="shared" si="10"/>
        <v>1.8724470892637068E-3</v>
      </c>
      <c r="P24" s="82">
        <f t="shared" si="5"/>
        <v>2.0383725278052767E-2</v>
      </c>
      <c r="Q24" s="82">
        <f t="shared" si="5"/>
        <v>-1.9151005153725809E-3</v>
      </c>
      <c r="R24" s="82">
        <f t="shared" si="5"/>
        <v>-9.4518967735318649E-3</v>
      </c>
      <c r="S24" s="82">
        <f t="shared" si="5"/>
        <v>-1.0889175078412028E-2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591.13531499999999</v>
      </c>
      <c r="C25" s="30">
        <f t="shared" si="25"/>
        <v>591.13525400000003</v>
      </c>
      <c r="D25" s="30">
        <f t="shared" si="25"/>
        <v>589.82067900000004</v>
      </c>
      <c r="E25" s="30">
        <f t="shared" si="25"/>
        <v>585.19018600000004</v>
      </c>
      <c r="F25" s="30">
        <f t="shared" si="25"/>
        <v>592.65210000000002</v>
      </c>
      <c r="G25" s="33">
        <f t="shared" si="7"/>
        <v>589.98670680000009</v>
      </c>
      <c r="H25" s="34">
        <f t="shared" si="8"/>
        <v>12909.553410267827</v>
      </c>
      <c r="I25" s="32">
        <f t="shared" si="2"/>
        <v>4.3396739670256233E-3</v>
      </c>
      <c r="J25" s="32">
        <f t="shared" si="3"/>
        <v>0.11</v>
      </c>
      <c r="K25" s="32">
        <f t="shared" si="9"/>
        <v>1.2647596825481522E-2</v>
      </c>
      <c r="L25" s="16">
        <f>G25/'Clause 6'!$G$11</f>
        <v>589.98670680000009</v>
      </c>
      <c r="M25">
        <f t="shared" si="4"/>
        <v>5</v>
      </c>
      <c r="O25" s="82">
        <f t="shared" si="10"/>
        <v>1.9468374232187724E-3</v>
      </c>
      <c r="P25" s="82">
        <f t="shared" si="5"/>
        <v>1.9467340310588277E-3</v>
      </c>
      <c r="Q25" s="82">
        <f t="shared" si="5"/>
        <v>-2.8140939123966202E-4</v>
      </c>
      <c r="R25" s="82">
        <f t="shared" si="5"/>
        <v>-8.1298794442601352E-3</v>
      </c>
      <c r="S25" s="82">
        <f t="shared" si="5"/>
        <v>4.51771738122142E-3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450.61541699999998</v>
      </c>
      <c r="C26" s="30">
        <f t="shared" si="26"/>
        <v>444.02114899999998</v>
      </c>
      <c r="D26" s="30">
        <f t="shared" si="26"/>
        <v>436.51232900000002</v>
      </c>
      <c r="E26" s="30">
        <f t="shared" si="26"/>
        <v>431.92077599999999</v>
      </c>
      <c r="F26" s="30">
        <f t="shared" si="26"/>
        <v>442.14788800000002</v>
      </c>
      <c r="G26" s="33">
        <f t="shared" si="7"/>
        <v>441.04351179999992</v>
      </c>
      <c r="H26" s="34">
        <f t="shared" si="8"/>
        <v>9650.5136576988825</v>
      </c>
      <c r="I26" s="32">
        <f t="shared" si="2"/>
        <v>1.4534518638962508E-2</v>
      </c>
      <c r="J26" s="32">
        <f t="shared" si="3"/>
        <v>0.113</v>
      </c>
      <c r="K26" s="32">
        <f t="shared" si="9"/>
        <v>4.2387293996691763E-2</v>
      </c>
      <c r="L26" s="16">
        <f>G26/'Clause 6'!$G$11</f>
        <v>441.04351179999992</v>
      </c>
      <c r="M26">
        <f t="shared" si="4"/>
        <v>5</v>
      </c>
      <c r="O26" s="82">
        <f t="shared" si="10"/>
        <v>2.1702859114591577E-2</v>
      </c>
      <c r="P26" s="82">
        <f t="shared" si="5"/>
        <v>6.7513456616732359E-3</v>
      </c>
      <c r="Q26" s="82">
        <f t="shared" si="5"/>
        <v>-1.0273777255008443E-2</v>
      </c>
      <c r="R26" s="82">
        <f t="shared" si="5"/>
        <v>-2.0684434882100255E-2</v>
      </c>
      <c r="S26" s="82">
        <f t="shared" si="5"/>
        <v>2.5040073608448843E-3</v>
      </c>
    </row>
    <row r="27" spans="1:49" ht="13.15" x14ac:dyDescent="0.4">
      <c r="A27" s="11" t="s">
        <v>81</v>
      </c>
      <c r="B27" s="30">
        <f t="shared" ref="B27:F27" si="27">B71*$E$4</f>
        <v>333.64077800000001</v>
      </c>
      <c r="C27" s="30">
        <f t="shared" si="27"/>
        <v>338.42938199999998</v>
      </c>
      <c r="D27" s="30">
        <f t="shared" si="27"/>
        <v>334.30676299999999</v>
      </c>
      <c r="E27" s="30">
        <f t="shared" si="27"/>
        <v>324.83297700000003</v>
      </c>
      <c r="F27" s="30">
        <f t="shared" si="27"/>
        <v>334.00784299999998</v>
      </c>
      <c r="G27" s="33">
        <f t="shared" si="7"/>
        <v>333.04354860000001</v>
      </c>
      <c r="H27" s="34">
        <f t="shared" si="8"/>
        <v>7287.3565269230712</v>
      </c>
      <c r="I27" s="32">
        <f t="shared" si="2"/>
        <v>1.3381199203364943E-2</v>
      </c>
      <c r="J27" s="32">
        <f t="shared" si="3"/>
        <v>0.113</v>
      </c>
      <c r="K27" s="32">
        <f t="shared" si="9"/>
        <v>4.0824706129737494E-2</v>
      </c>
      <c r="L27" s="16">
        <f>G27/'Clause 6'!$G$11</f>
        <v>333.04354860000001</v>
      </c>
      <c r="M27">
        <f t="shared" si="4"/>
        <v>5</v>
      </c>
      <c r="O27" s="82">
        <f t="shared" si="10"/>
        <v>1.7932471669561689E-3</v>
      </c>
      <c r="P27" s="82">
        <f t="shared" si="5"/>
        <v>1.6171559012748249E-2</v>
      </c>
      <c r="Q27" s="82">
        <f t="shared" si="5"/>
        <v>3.7929406088486051E-3</v>
      </c>
      <c r="R27" s="82">
        <f t="shared" si="5"/>
        <v>-2.4653147116989294E-2</v>
      </c>
      <c r="S27" s="82">
        <f t="shared" si="5"/>
        <v>2.8954003284360486E-3</v>
      </c>
    </row>
    <row r="28" spans="1:49" ht="13.15" x14ac:dyDescent="0.4">
      <c r="A28" s="11" t="s">
        <v>82</v>
      </c>
      <c r="B28" s="30">
        <f t="shared" ref="B28:F28" si="28">B72*$E$4</f>
        <v>254.488754</v>
      </c>
      <c r="C28" s="30">
        <f t="shared" si="28"/>
        <v>260.29595899999998</v>
      </c>
      <c r="D28" s="30">
        <f t="shared" si="28"/>
        <v>246.73414600000001</v>
      </c>
      <c r="E28" s="30">
        <f t="shared" si="28"/>
        <v>247.417419</v>
      </c>
      <c r="F28" s="30">
        <f t="shared" si="28"/>
        <v>248.61064099999999</v>
      </c>
      <c r="G28" s="33">
        <f t="shared" si="7"/>
        <v>251.50938379999997</v>
      </c>
      <c r="H28" s="34">
        <f t="shared" si="8"/>
        <v>5503.2999657911087</v>
      </c>
      <c r="I28" s="32">
        <f t="shared" si="2"/>
        <v>2.058554416865974E-2</v>
      </c>
      <c r="J28" s="32">
        <f t="shared" si="3"/>
        <v>0.113</v>
      </c>
      <c r="K28" s="32">
        <f t="shared" si="9"/>
        <v>5.3921697851179638E-2</v>
      </c>
      <c r="L28" s="16">
        <f>G28/'Clause 6'!$G$11</f>
        <v>251.50938379999997</v>
      </c>
      <c r="M28">
        <f t="shared" si="4"/>
        <v>5</v>
      </c>
      <c r="O28" s="82">
        <f t="shared" si="10"/>
        <v>1.18459603971246E-2</v>
      </c>
      <c r="P28" s="82">
        <f t="shared" si="5"/>
        <v>3.49353772302472E-2</v>
      </c>
      <c r="Q28" s="82">
        <f t="shared" si="5"/>
        <v>-1.8986320620932418E-2</v>
      </c>
      <c r="R28" s="82">
        <f t="shared" si="5"/>
        <v>-1.6269630731765794E-2</v>
      </c>
      <c r="S28" s="82">
        <f t="shared" si="5"/>
        <v>-1.1525386274673033E-2</v>
      </c>
    </row>
    <row r="29" spans="1:49" ht="13.15" x14ac:dyDescent="0.4">
      <c r="A29" s="11" t="s">
        <v>83</v>
      </c>
      <c r="B29" s="30">
        <f t="shared" ref="B29:F29" si="29">B73*$E$4</f>
        <v>189.61415099999999</v>
      </c>
      <c r="C29" s="30">
        <f t="shared" si="29"/>
        <v>195.55682400000001</v>
      </c>
      <c r="D29" s="30">
        <f t="shared" si="29"/>
        <v>185.050613</v>
      </c>
      <c r="E29" s="30">
        <f t="shared" si="29"/>
        <v>183.38784799999999</v>
      </c>
      <c r="F29" s="30">
        <f t="shared" si="29"/>
        <v>184.84144599999999</v>
      </c>
      <c r="G29" s="33">
        <f t="shared" si="7"/>
        <v>187.69017639999998</v>
      </c>
      <c r="H29" s="34">
        <f t="shared" si="8"/>
        <v>4106.8660173046283</v>
      </c>
      <c r="I29" s="32">
        <f t="shared" si="2"/>
        <v>2.3729141766231421E-2</v>
      </c>
      <c r="J29" s="32">
        <f t="shared" si="3"/>
        <v>0.11900000000000001</v>
      </c>
      <c r="K29" s="32">
        <f t="shared" si="9"/>
        <v>6.4835444419135912E-2</v>
      </c>
      <c r="L29" s="16">
        <f>G29/'Clause 6'!$G$11</f>
        <v>187.69017639999998</v>
      </c>
      <c r="M29">
        <f t="shared" si="4"/>
        <v>5</v>
      </c>
      <c r="O29" s="82">
        <f t="shared" si="10"/>
        <v>1.0250800744625588E-2</v>
      </c>
      <c r="P29" s="82">
        <f t="shared" si="5"/>
        <v>4.1912942653081986E-2</v>
      </c>
      <c r="Q29" s="82">
        <f t="shared" si="5"/>
        <v>-1.406340731639899E-2</v>
      </c>
      <c r="R29" s="82">
        <f t="shared" si="5"/>
        <v>-2.2922501766054038E-2</v>
      </c>
      <c r="S29" s="82">
        <f t="shared" si="5"/>
        <v>-1.5177834315253991E-2</v>
      </c>
    </row>
    <row r="30" spans="1:49" ht="13.15" x14ac:dyDescent="0.4">
      <c r="A30" s="11" t="s">
        <v>84</v>
      </c>
      <c r="B30" s="30">
        <f t="shared" ref="B30:F30" si="30">B74*$E$4</f>
        <v>148.28478999999999</v>
      </c>
      <c r="C30" s="30">
        <f t="shared" si="30"/>
        <v>139.97045900000001</v>
      </c>
      <c r="D30" s="30">
        <f t="shared" si="30"/>
        <v>135.298553</v>
      </c>
      <c r="E30" s="30">
        <f t="shared" si="30"/>
        <v>139.21412699999999</v>
      </c>
      <c r="F30" s="30">
        <f t="shared" si="30"/>
        <v>140.47058100000001</v>
      </c>
      <c r="G30" s="33">
        <f t="shared" si="7"/>
        <v>140.64770200000001</v>
      </c>
      <c r="H30" s="34">
        <f t="shared" si="8"/>
        <v>3077.5253070505842</v>
      </c>
      <c r="I30" s="32">
        <f t="shared" si="2"/>
        <v>3.0078367677701223E-2</v>
      </c>
      <c r="J30" s="32">
        <f t="shared" si="3"/>
        <v>0.11900000000000001</v>
      </c>
      <c r="K30" s="32">
        <f t="shared" si="9"/>
        <v>9.2331668525945682E-2</v>
      </c>
      <c r="L30" s="16">
        <f>G30/'Clause 6'!$G$11</f>
        <v>140.64770200000001</v>
      </c>
      <c r="M30">
        <f t="shared" si="4"/>
        <v>5</v>
      </c>
      <c r="O30" s="82">
        <f t="shared" si="10"/>
        <v>5.4299415428771036E-2</v>
      </c>
      <c r="P30" s="82">
        <f t="shared" si="5"/>
        <v>-4.8151728778335068E-3</v>
      </c>
      <c r="Q30" s="82">
        <f t="shared" si="5"/>
        <v>-3.8032253097174729E-2</v>
      </c>
      <c r="R30" s="82">
        <f t="shared" si="5"/>
        <v>-1.019266564341037E-2</v>
      </c>
      <c r="S30" s="82">
        <f t="shared" si="5"/>
        <v>-1.2593238103527638E-3</v>
      </c>
    </row>
    <row r="31" spans="1:49" ht="13.15" x14ac:dyDescent="0.4">
      <c r="A31" s="11" t="s">
        <v>85</v>
      </c>
      <c r="B31" s="30"/>
      <c r="C31" s="30">
        <f t="shared" ref="C31:F31" si="31">C75*$E$4</f>
        <v>99.117844000000005</v>
      </c>
      <c r="D31" s="30">
        <f t="shared" si="31"/>
        <v>95.902137999999994</v>
      </c>
      <c r="E31" s="30">
        <f t="shared" si="31"/>
        <v>99.72551</v>
      </c>
      <c r="F31" s="30">
        <f t="shared" si="31"/>
        <v>107.694115</v>
      </c>
      <c r="G31" s="33">
        <f t="shared" si="7"/>
        <v>100.60990175000001</v>
      </c>
      <c r="H31" s="34">
        <f t="shared" si="8"/>
        <v>2201.454516302711</v>
      </c>
      <c r="I31" s="32">
        <f t="shared" si="2"/>
        <v>4.3141230316062783E-2</v>
      </c>
      <c r="J31" s="32">
        <f t="shared" si="3"/>
        <v>0.11900000000000001</v>
      </c>
      <c r="K31" s="32">
        <f t="shared" si="9"/>
        <v>0.11720493505004344</v>
      </c>
      <c r="L31" s="16">
        <f>G31/'Clause 6'!$G$11</f>
        <v>100.60990175000001</v>
      </c>
      <c r="M31">
        <f t="shared" si="4"/>
        <v>4</v>
      </c>
      <c r="O31" s="82">
        <f t="shared" si="10"/>
        <v>0</v>
      </c>
      <c r="P31" s="82">
        <f t="shared" si="5"/>
        <v>-1.4830128288043976E-2</v>
      </c>
      <c r="Q31" s="82">
        <f t="shared" si="5"/>
        <v>-4.6792250743848962E-2</v>
      </c>
      <c r="R31" s="82">
        <f t="shared" si="5"/>
        <v>-8.7903052743018018E-3</v>
      </c>
      <c r="S31" s="82">
        <f t="shared" si="5"/>
        <v>7.0412684306194517E-2</v>
      </c>
    </row>
    <row r="32" spans="1:49" ht="13.15" x14ac:dyDescent="0.4">
      <c r="A32" s="11" t="s">
        <v>86</v>
      </c>
      <c r="B32" s="30">
        <f t="shared" ref="B32:E32" si="32">B76*$E$4</f>
        <v>76.396720999999999</v>
      </c>
      <c r="C32" s="30">
        <f t="shared" si="32"/>
        <v>69.427138999999997</v>
      </c>
      <c r="D32" s="30">
        <f t="shared" si="32"/>
        <v>72.264290000000003</v>
      </c>
      <c r="E32" s="30">
        <f t="shared" si="32"/>
        <v>74.292152000000002</v>
      </c>
      <c r="F32" s="30"/>
      <c r="G32" s="33">
        <f t="shared" si="7"/>
        <v>73.095075499999993</v>
      </c>
      <c r="H32" s="34">
        <f t="shared" si="8"/>
        <v>1599.4000717624458</v>
      </c>
      <c r="I32" s="32">
        <f t="shared" si="2"/>
        <v>3.5198404716536756E-2</v>
      </c>
      <c r="J32" s="32">
        <f t="shared" si="3"/>
        <v>0.13400000000000001</v>
      </c>
      <c r="K32" s="32">
        <f t="shared" si="9"/>
        <v>9.534954239153913E-2</v>
      </c>
      <c r="L32" s="16">
        <f>G32/'Clause 6'!$G$11</f>
        <v>73.095075499999993</v>
      </c>
      <c r="M32">
        <f t="shared" si="4"/>
        <v>4</v>
      </c>
      <c r="O32" s="82">
        <f t="shared" si="10"/>
        <v>4.5169192006649039E-2</v>
      </c>
      <c r="P32" s="82">
        <f t="shared" si="5"/>
        <v>-5.0180350384890104E-2</v>
      </c>
      <c r="Q32" s="82">
        <f t="shared" si="5"/>
        <v>-1.1365820396477933E-2</v>
      </c>
      <c r="R32" s="82">
        <f t="shared" si="5"/>
        <v>1.6376978774719442E-2</v>
      </c>
      <c r="S32" s="82">
        <f t="shared" si="5"/>
        <v>0</v>
      </c>
    </row>
    <row r="33" spans="1:19" ht="13.15" x14ac:dyDescent="0.4">
      <c r="A33" s="11" t="s">
        <v>87</v>
      </c>
      <c r="B33" s="30">
        <f t="shared" ref="B33:E33" si="33">B77*$E$4</f>
        <v>55.105831000000002</v>
      </c>
      <c r="C33" s="30">
        <f t="shared" si="33"/>
        <v>52.907496999999999</v>
      </c>
      <c r="D33" s="30">
        <f t="shared" si="33"/>
        <v>49.752048000000002</v>
      </c>
      <c r="E33" s="30">
        <f t="shared" si="33"/>
        <v>55.774890999999997</v>
      </c>
      <c r="F33" s="30"/>
      <c r="G33" s="33">
        <f t="shared" si="7"/>
        <v>53.38506675</v>
      </c>
      <c r="H33" s="34">
        <f t="shared" si="8"/>
        <v>1168.1235569828909</v>
      </c>
      <c r="I33" s="32">
        <f t="shared" si="2"/>
        <v>4.402895411180778E-2</v>
      </c>
      <c r="J33" s="32">
        <f t="shared" si="3"/>
        <v>0.13400000000000001</v>
      </c>
      <c r="K33" s="32">
        <f t="shared" si="9"/>
        <v>0.11281887176810534</v>
      </c>
      <c r="L33" s="16">
        <f>G33/'Clause 6'!$G$11</f>
        <v>53.38506675</v>
      </c>
      <c r="M33">
        <f t="shared" si="4"/>
        <v>4</v>
      </c>
      <c r="O33" s="82">
        <f t="shared" si="10"/>
        <v>3.2233063565477282E-2</v>
      </c>
      <c r="P33" s="82">
        <f t="shared" si="5"/>
        <v>-8.945755415768919E-3</v>
      </c>
      <c r="Q33" s="82">
        <f t="shared" si="5"/>
        <v>-6.8053089958906909E-2</v>
      </c>
      <c r="R33" s="82">
        <f t="shared" si="5"/>
        <v>4.4765781809198435E-2</v>
      </c>
      <c r="S33" s="82">
        <f t="shared" si="5"/>
        <v>0</v>
      </c>
    </row>
    <row r="34" spans="1:19" ht="13.15" x14ac:dyDescent="0.4">
      <c r="A34" s="11" t="s">
        <v>88</v>
      </c>
      <c r="B34" s="30">
        <f t="shared" ref="B34:E34" si="34">B78*$E$4</f>
        <v>35.81879</v>
      </c>
      <c r="C34" s="30">
        <f t="shared" si="34"/>
        <v>34.155472000000003</v>
      </c>
      <c r="D34" s="30">
        <f t="shared" si="34"/>
        <v>35.569339999999997</v>
      </c>
      <c r="E34" s="30">
        <f t="shared" si="34"/>
        <v>38.373126999999997</v>
      </c>
      <c r="F34" s="30"/>
      <c r="G34" s="33">
        <f t="shared" si="7"/>
        <v>35.979182250000001</v>
      </c>
      <c r="H34" s="34">
        <f t="shared" si="8"/>
        <v>787.26379689701696</v>
      </c>
      <c r="I34" s="32">
        <f t="shared" si="2"/>
        <v>4.2267188368937593E-2</v>
      </c>
      <c r="J34" s="32">
        <f t="shared" si="3"/>
        <v>0.156</v>
      </c>
      <c r="K34" s="32">
        <f t="shared" si="9"/>
        <v>0.11722487105720679</v>
      </c>
      <c r="L34" s="16">
        <f>G34/'Clause 6'!$G$11</f>
        <v>35.979182250000001</v>
      </c>
      <c r="M34">
        <f t="shared" si="4"/>
        <v>4</v>
      </c>
      <c r="O34" s="82">
        <f t="shared" si="10"/>
        <v>-4.4579181618281671E-3</v>
      </c>
      <c r="P34" s="82">
        <f t="shared" si="5"/>
        <v>-5.0687929406733501E-2</v>
      </c>
      <c r="Q34" s="82">
        <f t="shared" si="5"/>
        <v>-1.1391094081911857E-2</v>
      </c>
      <c r="R34" s="82">
        <f t="shared" si="5"/>
        <v>6.6536941650473302E-2</v>
      </c>
      <c r="S34" s="82">
        <f t="shared" si="5"/>
        <v>0</v>
      </c>
    </row>
    <row r="35" spans="1:19" ht="13.15" x14ac:dyDescent="0.4">
      <c r="A35" s="11" t="s">
        <v>89</v>
      </c>
      <c r="B35" s="30">
        <f t="shared" ref="B35:F35" si="35">B79*$E$4</f>
        <v>25.048105</v>
      </c>
      <c r="C35" s="30">
        <f t="shared" si="35"/>
        <v>23.440028999999999</v>
      </c>
      <c r="D35" s="30">
        <f t="shared" si="35"/>
        <v>24.313219</v>
      </c>
      <c r="E35" s="30">
        <f t="shared" si="35"/>
        <v>27.218146999999998</v>
      </c>
      <c r="F35" s="30">
        <f t="shared" si="35"/>
        <v>26.756302000000002</v>
      </c>
      <c r="G35" s="33">
        <f t="shared" si="7"/>
        <v>25.355160400000003</v>
      </c>
      <c r="H35" s="34">
        <f t="shared" si="8"/>
        <v>554.79859738715686</v>
      </c>
      <c r="I35" s="32">
        <f t="shared" si="2"/>
        <v>5.6555956867254432E-2</v>
      </c>
      <c r="J35" s="32">
        <f t="shared" si="3"/>
        <v>0.156</v>
      </c>
      <c r="K35" s="32">
        <f t="shared" si="9"/>
        <v>0.14900785246067696</v>
      </c>
      <c r="L35" s="16">
        <f>G35/'Clause 6'!$G$11</f>
        <v>25.355160400000003</v>
      </c>
      <c r="M35">
        <f t="shared" si="4"/>
        <v>5</v>
      </c>
      <c r="O35" s="82">
        <f t="shared" si="10"/>
        <v>-1.211017383270041E-2</v>
      </c>
      <c r="P35" s="82">
        <f t="shared" si="5"/>
        <v>-7.5532213947264282E-2</v>
      </c>
      <c r="Q35" s="82">
        <f t="shared" si="5"/>
        <v>-4.1093859536380672E-2</v>
      </c>
      <c r="R35" s="82">
        <f t="shared" si="5"/>
        <v>7.3475638513412767E-2</v>
      </c>
      <c r="S35" s="82">
        <f t="shared" si="5"/>
        <v>5.5260608802932154E-2</v>
      </c>
    </row>
    <row r="36" spans="1:19" ht="13.15" x14ac:dyDescent="0.4">
      <c r="A36" s="11" t="s">
        <v>90</v>
      </c>
      <c r="B36" s="30">
        <f t="shared" ref="B36:F36" si="36">B80*$E$4</f>
        <v>16.531749999999999</v>
      </c>
      <c r="C36" s="30">
        <f t="shared" si="36"/>
        <v>17.412593999999999</v>
      </c>
      <c r="D36" s="30">
        <f t="shared" si="36"/>
        <v>17.784669999999998</v>
      </c>
      <c r="E36" s="30"/>
      <c r="F36" s="30">
        <f t="shared" si="36"/>
        <v>18.506440999999999</v>
      </c>
      <c r="G36" s="33">
        <f t="shared" si="7"/>
        <v>17.55886375</v>
      </c>
      <c r="H36" s="34">
        <f t="shared" si="8"/>
        <v>384.20711312921497</v>
      </c>
      <c r="I36" s="32">
        <f t="shared" si="2"/>
        <v>4.0524042861141724E-2</v>
      </c>
      <c r="J36" s="32">
        <f t="shared" si="3"/>
        <v>0.193</v>
      </c>
      <c r="K36" s="32">
        <f t="shared" si="9"/>
        <v>0.11246120638073748</v>
      </c>
      <c r="L36" s="16">
        <f>G36/'Clause 6'!$G$11</f>
        <v>17.55886375</v>
      </c>
      <c r="M36">
        <f t="shared" si="4"/>
        <v>4</v>
      </c>
      <c r="O36" s="82">
        <f t="shared" si="10"/>
        <v>-5.8495456461412632E-2</v>
      </c>
      <c r="P36" s="82">
        <f t="shared" si="5"/>
        <v>-8.3302514378245096E-3</v>
      </c>
      <c r="Q36" s="82">
        <f t="shared" si="5"/>
        <v>1.2859957979911796E-2</v>
      </c>
      <c r="R36" s="82">
        <f t="shared" si="5"/>
        <v>0</v>
      </c>
      <c r="S36" s="82">
        <f t="shared" si="5"/>
        <v>5.3965749919324901E-2</v>
      </c>
    </row>
    <row r="37" spans="1:19" ht="13.15" x14ac:dyDescent="0.4">
      <c r="A37" s="11" t="s">
        <v>91</v>
      </c>
      <c r="B37" s="30">
        <f t="shared" ref="B37:F37" si="37">B81*$E$4</f>
        <v>11.021167</v>
      </c>
      <c r="C37" s="30">
        <f t="shared" si="37"/>
        <v>11.608396000000001</v>
      </c>
      <c r="D37" s="30">
        <f t="shared" si="37"/>
        <v>12.606854</v>
      </c>
      <c r="E37" s="30"/>
      <c r="F37" s="30">
        <f t="shared" si="37"/>
        <v>12.263305000000001</v>
      </c>
      <c r="G37" s="33">
        <f t="shared" si="7"/>
        <v>11.874930500000001</v>
      </c>
      <c r="H37" s="34">
        <f t="shared" si="8"/>
        <v>259.83644676410603</v>
      </c>
      <c r="I37" s="32">
        <f t="shared" si="2"/>
        <v>5.1335915785360113E-2</v>
      </c>
      <c r="J37" s="32">
        <f t="shared" si="3"/>
        <v>0.193</v>
      </c>
      <c r="K37" s="32">
        <f t="shared" si="9"/>
        <v>0.13353231835756849</v>
      </c>
      <c r="L37" s="16">
        <f>G37/'Clause 6'!$G$11</f>
        <v>11.874930500000001</v>
      </c>
      <c r="M37">
        <f t="shared" si="4"/>
        <v>4</v>
      </c>
      <c r="O37" s="82">
        <f t="shared" si="10"/>
        <v>-7.1896294466734068E-2</v>
      </c>
      <c r="P37" s="82">
        <f t="shared" si="5"/>
        <v>-2.2445141889462006E-2</v>
      </c>
      <c r="Q37" s="82">
        <f t="shared" si="5"/>
        <v>6.1636023890834446E-2</v>
      </c>
      <c r="R37" s="82">
        <f t="shared" si="5"/>
        <v>0</v>
      </c>
      <c r="S37" s="82">
        <f t="shared" si="5"/>
        <v>3.2705412465361405E-2</v>
      </c>
    </row>
    <row r="38" spans="1:19" ht="13.15" x14ac:dyDescent="0.4">
      <c r="A38" s="11" t="s">
        <v>92</v>
      </c>
      <c r="B38" s="30">
        <f t="shared" ref="B38:F38" si="38">B82*$E$4</f>
        <v>7.764913</v>
      </c>
      <c r="C38" s="30">
        <f t="shared" si="38"/>
        <v>7.8133429999999997</v>
      </c>
      <c r="D38" s="30">
        <f t="shared" si="38"/>
        <v>9.0048960000000005</v>
      </c>
      <c r="E38" s="30"/>
      <c r="F38" s="30">
        <f t="shared" si="38"/>
        <v>7.5809519999999999</v>
      </c>
      <c r="G38" s="33">
        <f t="shared" si="7"/>
        <v>8.0410259999999987</v>
      </c>
      <c r="H38" s="34">
        <f t="shared" si="8"/>
        <v>175.94642968039196</v>
      </c>
      <c r="I38" s="32">
        <f t="shared" si="2"/>
        <v>7.0041211757083985E-2</v>
      </c>
      <c r="J38" s="32">
        <f t="shared" si="3"/>
        <v>0.27500000000000002</v>
      </c>
      <c r="K38" s="32">
        <f t="shared" si="9"/>
        <v>0.17708486454340538</v>
      </c>
      <c r="L38" s="16">
        <f>G38/'Clause 6'!$G$11</f>
        <v>8.0410259999999987</v>
      </c>
      <c r="M38">
        <f t="shared" si="4"/>
        <v>4</v>
      </c>
      <c r="O38" s="82">
        <f t="shared" si="10"/>
        <v>-3.4338030992562274E-2</v>
      </c>
      <c r="P38" s="82">
        <f t="shared" si="5"/>
        <v>-2.8315167741031932E-2</v>
      </c>
      <c r="Q38" s="82">
        <f t="shared" si="5"/>
        <v>0.11986903163850005</v>
      </c>
      <c r="R38" s="82">
        <f t="shared" si="5"/>
        <v>0</v>
      </c>
      <c r="S38" s="82">
        <f t="shared" si="5"/>
        <v>-5.7215832904905284E-2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v>3.992318</v>
      </c>
      <c r="C52">
        <v>4.4795170000000004</v>
      </c>
      <c r="D52">
        <v>4.4420279999999996</v>
      </c>
      <c r="E52">
        <v>4.4823040000000001</v>
      </c>
      <c r="F52">
        <v>4.4849249999999996</v>
      </c>
      <c r="G52">
        <v>3.9893839999999998</v>
      </c>
      <c r="H52">
        <v>4.4712589999999999</v>
      </c>
      <c r="I52">
        <v>4.4437980000000001</v>
      </c>
      <c r="J52">
        <v>4.4779450000000001</v>
      </c>
      <c r="K52">
        <v>4.4778409999999997</v>
      </c>
      <c r="L52">
        <v>4.0045830000000002</v>
      </c>
      <c r="M52">
        <v>4.4827570000000003</v>
      </c>
      <c r="N52">
        <v>4.4763520000000003</v>
      </c>
      <c r="O52">
        <v>4.4940040000000003</v>
      </c>
      <c r="P52">
        <v>4.4892890000000003</v>
      </c>
    </row>
    <row r="53" spans="1:16" ht="13.15" x14ac:dyDescent="0.4">
      <c r="A53" s="27">
        <v>4</v>
      </c>
      <c r="B53">
        <v>17927.179688</v>
      </c>
      <c r="C53">
        <v>18143.699218999998</v>
      </c>
      <c r="D53">
        <v>18160.398438</v>
      </c>
      <c r="E53">
        <v>17499.261718999998</v>
      </c>
      <c r="F53">
        <v>18204.095702999999</v>
      </c>
      <c r="G53">
        <v>17902.011718999998</v>
      </c>
      <c r="H53">
        <v>18506.421875</v>
      </c>
      <c r="I53">
        <v>18003.519531000002</v>
      </c>
      <c r="J53">
        <v>17962.927734000001</v>
      </c>
      <c r="K53">
        <v>18218.599609000001</v>
      </c>
      <c r="L53">
        <v>16683.632812</v>
      </c>
      <c r="M53">
        <v>17167.5625</v>
      </c>
      <c r="N53">
        <v>16436.597656000002</v>
      </c>
      <c r="O53">
        <v>17196.470702999999</v>
      </c>
      <c r="P53">
        <v>16491.476562</v>
      </c>
    </row>
    <row r="54" spans="1:16" ht="13.15" x14ac:dyDescent="0.4">
      <c r="A54" s="27">
        <v>5</v>
      </c>
      <c r="B54">
        <v>15329.941406</v>
      </c>
      <c r="C54">
        <v>15502.119140999999</v>
      </c>
      <c r="D54">
        <v>15550.104492</v>
      </c>
      <c r="E54">
        <v>14980.466796999999</v>
      </c>
      <c r="F54">
        <v>15552.100586</v>
      </c>
      <c r="G54">
        <v>15288.827148</v>
      </c>
      <c r="H54">
        <v>15770.280273</v>
      </c>
      <c r="I54">
        <v>15348.358398</v>
      </c>
      <c r="J54">
        <v>15346.772461</v>
      </c>
      <c r="K54">
        <v>15553.922852</v>
      </c>
      <c r="L54">
        <v>14226.948242</v>
      </c>
      <c r="M54">
        <v>14638.314453000001</v>
      </c>
      <c r="N54">
        <v>14057.875</v>
      </c>
      <c r="O54">
        <v>14655.973633</v>
      </c>
      <c r="P54">
        <v>14056.124023</v>
      </c>
    </row>
    <row r="55" spans="1:16" ht="13.15" x14ac:dyDescent="0.4">
      <c r="A55" s="27">
        <v>6</v>
      </c>
      <c r="B55">
        <v>13266.979492</v>
      </c>
      <c r="C55">
        <v>13400.776367</v>
      </c>
      <c r="D55">
        <v>13487.983398</v>
      </c>
      <c r="E55">
        <v>12991.534180000001</v>
      </c>
      <c r="F55">
        <v>13471.128906</v>
      </c>
      <c r="G55">
        <v>13207.051758</v>
      </c>
      <c r="H55">
        <v>13587.225586</v>
      </c>
      <c r="I55">
        <v>13247.903319999999</v>
      </c>
      <c r="J55">
        <v>13232.856444999999</v>
      </c>
      <c r="K55">
        <v>13403.780273</v>
      </c>
      <c r="L55">
        <v>12302.903319999999</v>
      </c>
      <c r="M55">
        <v>12665.420898</v>
      </c>
      <c r="N55">
        <v>12215.973633</v>
      </c>
      <c r="O55">
        <v>12692.913086</v>
      </c>
      <c r="P55">
        <v>12162.951171999999</v>
      </c>
    </row>
    <row r="56" spans="1:16" ht="13.15" x14ac:dyDescent="0.4">
      <c r="A56" s="27">
        <v>7</v>
      </c>
      <c r="B56">
        <v>11300.703125</v>
      </c>
      <c r="C56">
        <v>11400.560546999999</v>
      </c>
      <c r="D56">
        <v>11484.168944999999</v>
      </c>
      <c r="E56">
        <v>11091.618164</v>
      </c>
      <c r="F56">
        <v>11490.716796999999</v>
      </c>
      <c r="G56">
        <v>11296.230469</v>
      </c>
      <c r="H56">
        <v>11591.143555000001</v>
      </c>
      <c r="I56">
        <v>11261.314453000001</v>
      </c>
      <c r="J56">
        <v>11261.639648</v>
      </c>
      <c r="K56">
        <v>11405.495117</v>
      </c>
      <c r="L56">
        <v>10538.174805000001</v>
      </c>
      <c r="M56">
        <v>10815.889648</v>
      </c>
      <c r="N56">
        <v>10467.898438</v>
      </c>
      <c r="O56">
        <v>10861.138671999999</v>
      </c>
      <c r="P56">
        <v>10393.851562</v>
      </c>
    </row>
    <row r="57" spans="1:16" ht="13.15" x14ac:dyDescent="0.4">
      <c r="A57" s="27">
        <v>8</v>
      </c>
      <c r="B57">
        <v>9640.2646480000003</v>
      </c>
      <c r="C57">
        <v>9744.578125</v>
      </c>
      <c r="D57">
        <v>9805.4306639999995</v>
      </c>
      <c r="E57">
        <v>9469.9072269999997</v>
      </c>
      <c r="F57">
        <v>9789.4619139999995</v>
      </c>
      <c r="G57">
        <v>9642.8417969999991</v>
      </c>
      <c r="H57">
        <v>9906.8300780000009</v>
      </c>
      <c r="I57">
        <v>9588.4208980000003</v>
      </c>
      <c r="J57">
        <v>9622.9414059999999</v>
      </c>
      <c r="K57">
        <v>9713.3857420000004</v>
      </c>
      <c r="L57">
        <v>9047.3828119999998</v>
      </c>
      <c r="M57">
        <v>9273.3115230000003</v>
      </c>
      <c r="N57">
        <v>8987.2285159999992</v>
      </c>
      <c r="O57">
        <v>9313.9667969999991</v>
      </c>
      <c r="P57">
        <v>8914.9980469999991</v>
      </c>
    </row>
    <row r="58" spans="1:16" ht="13.15" x14ac:dyDescent="0.4">
      <c r="A58" s="27">
        <v>9</v>
      </c>
      <c r="B58">
        <v>8184.71875</v>
      </c>
      <c r="C58">
        <v>8307.5927730000003</v>
      </c>
      <c r="D58">
        <v>8309.0429690000001</v>
      </c>
      <c r="E58">
        <v>8056.794922</v>
      </c>
      <c r="F58">
        <v>8294.453125</v>
      </c>
      <c r="G58">
        <v>8190.2368159999996</v>
      </c>
      <c r="H58">
        <v>8424.9208980000003</v>
      </c>
      <c r="I58">
        <v>8136.9594729999999</v>
      </c>
      <c r="J58">
        <v>8186.5678710000002</v>
      </c>
      <c r="K58">
        <v>8267.3759769999997</v>
      </c>
      <c r="L58">
        <v>7715.4091799999997</v>
      </c>
      <c r="M58">
        <v>7895.5883789999998</v>
      </c>
      <c r="N58">
        <v>7667.1801759999998</v>
      </c>
      <c r="O58">
        <v>7921.6665039999998</v>
      </c>
      <c r="P58">
        <v>7611.6733400000003</v>
      </c>
    </row>
    <row r="59" spans="1:16" ht="13.15" x14ac:dyDescent="0.4">
      <c r="A59" s="27">
        <v>10</v>
      </c>
      <c r="B59">
        <v>6934.8183589999999</v>
      </c>
      <c r="C59">
        <v>7046.9658200000003</v>
      </c>
      <c r="D59">
        <v>7013.4633789999998</v>
      </c>
      <c r="E59">
        <v>6841.5712890000004</v>
      </c>
      <c r="F59">
        <v>7017.7319340000004</v>
      </c>
      <c r="G59">
        <v>6941.4228519999997</v>
      </c>
      <c r="H59">
        <v>7118.5771480000003</v>
      </c>
      <c r="I59">
        <v>6896.5786129999997</v>
      </c>
      <c r="J59">
        <v>6921.4785160000001</v>
      </c>
      <c r="K59">
        <v>7013.6474609999996</v>
      </c>
      <c r="L59">
        <v>6572.71875</v>
      </c>
      <c r="M59">
        <v>6672.0107420000004</v>
      </c>
      <c r="N59">
        <v>6492.7866210000002</v>
      </c>
      <c r="O59">
        <v>6715.169922</v>
      </c>
      <c r="P59">
        <v>6467.6166990000002</v>
      </c>
    </row>
    <row r="60" spans="1:16" ht="13.15" x14ac:dyDescent="0.4">
      <c r="A60" s="27">
        <v>11</v>
      </c>
      <c r="B60">
        <v>5780.1005859999996</v>
      </c>
      <c r="C60">
        <v>5880.0991210000002</v>
      </c>
      <c r="D60">
        <v>5846.2036129999997</v>
      </c>
      <c r="E60">
        <v>5705.1020509999998</v>
      </c>
      <c r="F60">
        <v>5822.3940430000002</v>
      </c>
      <c r="G60">
        <v>5832.2290039999998</v>
      </c>
      <c r="H60">
        <v>5928.3085940000001</v>
      </c>
      <c r="I60">
        <v>5762.638672</v>
      </c>
      <c r="J60">
        <v>5752.6391599999997</v>
      </c>
      <c r="K60">
        <v>5836.7407229999999</v>
      </c>
      <c r="L60">
        <v>5498.6992190000001</v>
      </c>
      <c r="M60">
        <v>5575.5869140000004</v>
      </c>
      <c r="N60">
        <v>5454.8881840000004</v>
      </c>
      <c r="O60">
        <v>5617.9301759999998</v>
      </c>
      <c r="P60">
        <v>5407.9833980000003</v>
      </c>
    </row>
    <row r="61" spans="1:16" ht="13.15" x14ac:dyDescent="0.4">
      <c r="A61" s="27">
        <v>12</v>
      </c>
      <c r="B61">
        <v>4776.673828</v>
      </c>
      <c r="C61">
        <v>4829.0927730000003</v>
      </c>
      <c r="D61">
        <v>4805.4628910000001</v>
      </c>
      <c r="E61">
        <v>4689.7758789999998</v>
      </c>
      <c r="F61">
        <v>4775.7768550000001</v>
      </c>
      <c r="G61">
        <v>4785.2001950000003</v>
      </c>
      <c r="H61">
        <v>4874.9135740000002</v>
      </c>
      <c r="I61">
        <v>4743.9155270000001</v>
      </c>
      <c r="J61">
        <v>4715.779297</v>
      </c>
      <c r="K61">
        <v>4796.5073240000002</v>
      </c>
      <c r="L61">
        <v>4547.0400390000004</v>
      </c>
      <c r="M61">
        <v>4594.0483400000003</v>
      </c>
      <c r="N61">
        <v>4511.4858400000003</v>
      </c>
      <c r="O61">
        <v>4647.5263670000004</v>
      </c>
      <c r="P61">
        <v>4461.2856449999999</v>
      </c>
    </row>
    <row r="62" spans="1:16" ht="13.15" x14ac:dyDescent="0.4">
      <c r="A62" s="27">
        <v>13</v>
      </c>
      <c r="B62">
        <v>3861.6665039999998</v>
      </c>
      <c r="C62">
        <v>3904.8857419999999</v>
      </c>
      <c r="D62">
        <v>3866.92749</v>
      </c>
      <c r="E62">
        <v>3778.1911620000001</v>
      </c>
      <c r="F62">
        <v>3844.880615</v>
      </c>
      <c r="G62">
        <v>3867.514404</v>
      </c>
      <c r="H62">
        <v>3959.5114749999998</v>
      </c>
      <c r="I62">
        <v>3833.883057</v>
      </c>
      <c r="J62">
        <v>3824.7456050000001</v>
      </c>
      <c r="K62">
        <v>3869.7216800000001</v>
      </c>
      <c r="L62">
        <v>3714.2441410000001</v>
      </c>
      <c r="M62">
        <v>3720.032471</v>
      </c>
      <c r="N62">
        <v>3662.1335450000001</v>
      </c>
      <c r="O62">
        <v>3784.3759770000001</v>
      </c>
      <c r="P62">
        <v>3615.9401859999998</v>
      </c>
    </row>
    <row r="63" spans="1:16" ht="13.15" x14ac:dyDescent="0.4">
      <c r="A63" s="27">
        <v>14</v>
      </c>
      <c r="B63">
        <v>3075.9072270000001</v>
      </c>
      <c r="C63">
        <v>3119.7563479999999</v>
      </c>
      <c r="D63">
        <v>3070.8945309999999</v>
      </c>
      <c r="E63">
        <v>3008.2746579999998</v>
      </c>
      <c r="F63">
        <v>3046.6508789999998</v>
      </c>
      <c r="G63">
        <v>3071.1508789999998</v>
      </c>
      <c r="H63">
        <v>3154.8164059999999</v>
      </c>
      <c r="I63">
        <v>3036.366943</v>
      </c>
      <c r="J63">
        <v>3041.5739749999998</v>
      </c>
      <c r="K63">
        <v>3070.899414</v>
      </c>
      <c r="L63">
        <v>2977.0886230000001</v>
      </c>
      <c r="M63">
        <v>2979.1936040000001</v>
      </c>
      <c r="N63">
        <v>2894.991211</v>
      </c>
      <c r="O63">
        <v>3039.6057129999999</v>
      </c>
      <c r="P63">
        <v>2897.563721</v>
      </c>
    </row>
    <row r="64" spans="1:16" ht="13.15" x14ac:dyDescent="0.4">
      <c r="A64" s="27">
        <v>15</v>
      </c>
      <c r="B64">
        <v>2418.3945309999999</v>
      </c>
      <c r="C64">
        <v>2438.6560060000002</v>
      </c>
      <c r="D64">
        <v>2390.5747070000002</v>
      </c>
      <c r="E64">
        <v>2344.5534670000002</v>
      </c>
      <c r="F64">
        <v>2376.1826169999999</v>
      </c>
      <c r="G64">
        <v>2391.3466800000001</v>
      </c>
      <c r="H64">
        <v>2468.8798830000001</v>
      </c>
      <c r="I64">
        <v>2352.9423830000001</v>
      </c>
      <c r="J64">
        <v>2375.4201659999999</v>
      </c>
      <c r="K64">
        <v>2389.5441890000002</v>
      </c>
      <c r="L64">
        <v>2349.3081050000001</v>
      </c>
      <c r="M64">
        <v>2329.8164059999999</v>
      </c>
      <c r="N64">
        <v>2293.3852539999998</v>
      </c>
      <c r="O64">
        <v>2396.9716800000001</v>
      </c>
      <c r="P64">
        <v>2296.1320799999999</v>
      </c>
    </row>
    <row r="65" spans="1:16" ht="13.15" x14ac:dyDescent="0.4">
      <c r="A65" s="27">
        <v>16</v>
      </c>
      <c r="B65">
        <v>1850.8045649999999</v>
      </c>
      <c r="C65">
        <v>1871.184082</v>
      </c>
      <c r="D65">
        <v>1818.5386960000001</v>
      </c>
      <c r="E65">
        <v>1782.7886960000001</v>
      </c>
      <c r="F65">
        <v>1800.4760739999999</v>
      </c>
      <c r="G65">
        <v>1828.101807</v>
      </c>
      <c r="H65">
        <v>1902.596313</v>
      </c>
      <c r="I65">
        <v>1796.4364009999999</v>
      </c>
      <c r="J65">
        <v>1798.5928960000001</v>
      </c>
      <c r="K65">
        <v>1828.559692</v>
      </c>
      <c r="L65">
        <v>1806.6798100000001</v>
      </c>
      <c r="M65">
        <v>1816.293091</v>
      </c>
      <c r="N65">
        <v>1772.648682</v>
      </c>
      <c r="O65">
        <v>1849.130615</v>
      </c>
      <c r="P65">
        <v>1767.7633060000001</v>
      </c>
    </row>
    <row r="66" spans="1:16" ht="13.15" x14ac:dyDescent="0.4">
      <c r="A66" s="27">
        <v>17</v>
      </c>
      <c r="B66">
        <v>1391.1717530000001</v>
      </c>
      <c r="C66">
        <v>1405.955322</v>
      </c>
      <c r="D66">
        <v>1373.9219969999999</v>
      </c>
      <c r="E66">
        <v>1341.9438479999999</v>
      </c>
      <c r="F66">
        <v>1375.7198490000001</v>
      </c>
      <c r="G66">
        <v>1384.674927</v>
      </c>
      <c r="H66">
        <v>1422.6419679999999</v>
      </c>
      <c r="I66">
        <v>1362.7983400000001</v>
      </c>
      <c r="J66">
        <v>1358.658936</v>
      </c>
      <c r="K66">
        <v>1367.846558</v>
      </c>
      <c r="L66">
        <v>1384.663452</v>
      </c>
      <c r="M66">
        <v>1377.5006100000001</v>
      </c>
      <c r="N66">
        <v>1357.131836</v>
      </c>
      <c r="O66">
        <v>1412.1038820000001</v>
      </c>
      <c r="P66">
        <v>1353.443726</v>
      </c>
    </row>
    <row r="67" spans="1:16" ht="13.15" x14ac:dyDescent="0.4">
      <c r="A67" s="27">
        <v>18</v>
      </c>
      <c r="B67">
        <v>1048.0126949999999</v>
      </c>
      <c r="C67">
        <v>1053.9083250000001</v>
      </c>
      <c r="D67">
        <v>1028.5842290000001</v>
      </c>
      <c r="E67">
        <v>1014.210632</v>
      </c>
      <c r="F67">
        <v>1042.6038820000001</v>
      </c>
      <c r="G67">
        <v>1042.2662350000001</v>
      </c>
      <c r="H67">
        <v>1065.919067</v>
      </c>
      <c r="I67">
        <v>1024.5740969999999</v>
      </c>
      <c r="J67">
        <v>1010.731506</v>
      </c>
      <c r="K67">
        <v>1014.997986</v>
      </c>
      <c r="L67">
        <v>1042.8050539999999</v>
      </c>
      <c r="M67">
        <v>1036.862061</v>
      </c>
      <c r="N67">
        <v>1023.824707</v>
      </c>
      <c r="O67">
        <v>1069.4250489999999</v>
      </c>
      <c r="P67">
        <v>1023.99292</v>
      </c>
    </row>
    <row r="68" spans="1:16" ht="13.15" x14ac:dyDescent="0.4">
      <c r="A68" s="27">
        <v>19</v>
      </c>
      <c r="B68">
        <v>780.74945100000002</v>
      </c>
      <c r="C68">
        <v>795.17511000000002</v>
      </c>
      <c r="D68">
        <v>777.79785200000003</v>
      </c>
      <c r="E68">
        <v>771.92449999999997</v>
      </c>
      <c r="F68">
        <v>770.80444299999999</v>
      </c>
      <c r="G68">
        <v>774.05438200000003</v>
      </c>
      <c r="H68">
        <v>802.90588400000001</v>
      </c>
      <c r="I68">
        <v>790.99011199999995</v>
      </c>
      <c r="J68">
        <v>759.27685499999995</v>
      </c>
      <c r="K68">
        <v>761.08099400000003</v>
      </c>
      <c r="L68">
        <v>787.34783900000002</v>
      </c>
      <c r="M68">
        <v>794.37725799999998</v>
      </c>
      <c r="N68">
        <v>764.01495399999999</v>
      </c>
      <c r="O68">
        <v>807.74298099999999</v>
      </c>
      <c r="P68">
        <v>782.52929700000004</v>
      </c>
    </row>
    <row r="69" spans="1:16" ht="13.15" x14ac:dyDescent="0.4">
      <c r="A69" s="27">
        <v>20</v>
      </c>
      <c r="B69">
        <v>591.13531499999999</v>
      </c>
      <c r="C69">
        <v>591.13525400000003</v>
      </c>
      <c r="D69">
        <v>589.82067900000004</v>
      </c>
      <c r="E69">
        <v>585.19018600000004</v>
      </c>
      <c r="F69">
        <v>592.65210000000002</v>
      </c>
      <c r="G69">
        <v>587.058044</v>
      </c>
      <c r="H69">
        <v>601.17303500000003</v>
      </c>
      <c r="I69">
        <v>605.56311000000005</v>
      </c>
      <c r="J69">
        <v>572.13745100000006</v>
      </c>
      <c r="K69">
        <v>577.73370399999999</v>
      </c>
      <c r="L69">
        <v>593.07043499999997</v>
      </c>
      <c r="M69">
        <v>595.83874500000002</v>
      </c>
      <c r="N69">
        <v>587.08514400000001</v>
      </c>
      <c r="O69">
        <v>613.03912400000002</v>
      </c>
      <c r="P69">
        <v>583.38861099999997</v>
      </c>
    </row>
    <row r="70" spans="1:16" ht="13.15" x14ac:dyDescent="0.4">
      <c r="A70" s="27">
        <v>21</v>
      </c>
      <c r="B70">
        <v>450.61541699999998</v>
      </c>
      <c r="C70">
        <v>444.02114899999998</v>
      </c>
      <c r="D70">
        <v>436.51232900000002</v>
      </c>
      <c r="E70">
        <v>431.92077599999999</v>
      </c>
      <c r="F70">
        <v>442.14788800000002</v>
      </c>
      <c r="G70">
        <v>442.17352299999999</v>
      </c>
      <c r="H70">
        <v>456.47100799999998</v>
      </c>
      <c r="I70">
        <v>450.74060100000003</v>
      </c>
      <c r="J70">
        <v>433.01113900000001</v>
      </c>
      <c r="K70">
        <v>435.92431599999998</v>
      </c>
      <c r="L70">
        <v>450.733521</v>
      </c>
      <c r="M70">
        <v>457.08480800000001</v>
      </c>
      <c r="N70">
        <v>445.00518799999998</v>
      </c>
      <c r="O70">
        <v>466.39926100000002</v>
      </c>
      <c r="P70">
        <v>431.02596999999997</v>
      </c>
    </row>
    <row r="71" spans="1:16" ht="13.15" x14ac:dyDescent="0.4">
      <c r="A71" s="27">
        <v>22</v>
      </c>
      <c r="B71">
        <v>333.64077800000001</v>
      </c>
      <c r="C71">
        <v>338.42938199999998</v>
      </c>
      <c r="D71">
        <v>334.30676299999999</v>
      </c>
      <c r="E71">
        <v>324.83297700000003</v>
      </c>
      <c r="F71">
        <v>334.00784299999998</v>
      </c>
      <c r="G71">
        <v>342.659424</v>
      </c>
      <c r="H71">
        <v>356.49917599999998</v>
      </c>
      <c r="I71">
        <v>340.24951199999998</v>
      </c>
      <c r="J71">
        <v>328.49890099999999</v>
      </c>
      <c r="K71">
        <v>338.55599999999998</v>
      </c>
      <c r="L71">
        <v>348.60055499999999</v>
      </c>
      <c r="M71">
        <v>349.11554000000001</v>
      </c>
      <c r="N71">
        <v>329.73275799999999</v>
      </c>
      <c r="O71">
        <v>356.47500600000001</v>
      </c>
      <c r="P71">
        <v>326.33230600000002</v>
      </c>
    </row>
    <row r="72" spans="1:16" ht="13.15" x14ac:dyDescent="0.4">
      <c r="A72" s="27">
        <v>23</v>
      </c>
      <c r="B72">
        <v>254.488754</v>
      </c>
      <c r="C72">
        <v>260.29595899999998</v>
      </c>
      <c r="D72">
        <v>246.73414600000001</v>
      </c>
      <c r="E72">
        <v>247.417419</v>
      </c>
      <c r="F72">
        <v>248.61064099999999</v>
      </c>
      <c r="G72">
        <v>260.69189499999999</v>
      </c>
      <c r="H72">
        <v>269.499054</v>
      </c>
      <c r="I72">
        <v>258.33758499999999</v>
      </c>
      <c r="J72">
        <v>238.27894599999999</v>
      </c>
      <c r="K72">
        <v>255.70356799999999</v>
      </c>
      <c r="L72">
        <v>265.69555700000001</v>
      </c>
      <c r="M72">
        <v>256.31549100000001</v>
      </c>
      <c r="N72">
        <v>248.63995399999999</v>
      </c>
      <c r="O72">
        <v>268.357574</v>
      </c>
      <c r="P72">
        <v>250.15098599999999</v>
      </c>
    </row>
    <row r="73" spans="1:16" ht="13.15" x14ac:dyDescent="0.4">
      <c r="A73" s="27">
        <v>24</v>
      </c>
      <c r="B73">
        <v>189.61415099999999</v>
      </c>
      <c r="C73">
        <v>195.55682400000001</v>
      </c>
      <c r="D73">
        <v>185.050613</v>
      </c>
      <c r="E73">
        <v>183.38784799999999</v>
      </c>
      <c r="F73">
        <v>184.84144599999999</v>
      </c>
      <c r="G73">
        <v>194.265579</v>
      </c>
      <c r="H73">
        <v>202.85116600000001</v>
      </c>
      <c r="I73">
        <v>198.70391799999999</v>
      </c>
      <c r="J73">
        <v>178.430069</v>
      </c>
      <c r="K73">
        <v>192.50346400000001</v>
      </c>
      <c r="L73">
        <v>198.772232</v>
      </c>
      <c r="M73">
        <v>192.738541</v>
      </c>
      <c r="N73">
        <v>186.53581199999999</v>
      </c>
      <c r="O73">
        <v>200.26686100000001</v>
      </c>
      <c r="P73">
        <v>189.785065</v>
      </c>
    </row>
    <row r="74" spans="1:16" ht="13.15" x14ac:dyDescent="0.4">
      <c r="A74" s="27">
        <v>25</v>
      </c>
      <c r="B74">
        <v>148.28478999999999</v>
      </c>
      <c r="C74">
        <v>139.97045900000001</v>
      </c>
      <c r="D74">
        <v>135.298553</v>
      </c>
      <c r="E74">
        <v>139.21412699999999</v>
      </c>
      <c r="F74">
        <v>140.47058100000001</v>
      </c>
      <c r="G74">
        <v>147.14051799999999</v>
      </c>
      <c r="H74">
        <v>157.22642500000001</v>
      </c>
      <c r="I74">
        <v>145.596191</v>
      </c>
      <c r="J74">
        <v>131.756866</v>
      </c>
      <c r="K74">
        <v>143.595978</v>
      </c>
      <c r="L74">
        <v>144.834045</v>
      </c>
      <c r="M74">
        <v>144.553909</v>
      </c>
      <c r="N74">
        <v>140.292801</v>
      </c>
      <c r="O74">
        <v>147.752441</v>
      </c>
      <c r="P74">
        <v>142.11605800000001</v>
      </c>
    </row>
    <row r="75" spans="1:16" ht="13.15" x14ac:dyDescent="0.4">
      <c r="A75" s="27">
        <v>26</v>
      </c>
      <c r="B75">
        <v>108.959259</v>
      </c>
      <c r="C75">
        <v>99.117844000000005</v>
      </c>
      <c r="D75">
        <v>95.902137999999994</v>
      </c>
      <c r="E75">
        <v>99.72551</v>
      </c>
      <c r="F75">
        <v>107.694115</v>
      </c>
      <c r="G75">
        <v>110.543381</v>
      </c>
      <c r="H75">
        <v>118.08755499999999</v>
      </c>
      <c r="I75">
        <v>108.46579</v>
      </c>
      <c r="J75">
        <v>93.123076999999995</v>
      </c>
      <c r="K75">
        <v>106.74786400000001</v>
      </c>
      <c r="L75">
        <v>108.12610599999999</v>
      </c>
      <c r="M75">
        <v>105.069275</v>
      </c>
      <c r="N75">
        <v>104.996208</v>
      </c>
      <c r="O75">
        <v>104.361282</v>
      </c>
      <c r="P75">
        <v>105.584656</v>
      </c>
    </row>
    <row r="76" spans="1:16" ht="13.15" x14ac:dyDescent="0.4">
      <c r="A76" s="27">
        <v>27</v>
      </c>
      <c r="B76">
        <v>76.396720999999999</v>
      </c>
      <c r="C76">
        <v>69.427138999999997</v>
      </c>
      <c r="D76">
        <v>72.264290000000003</v>
      </c>
      <c r="E76">
        <v>74.292152000000002</v>
      </c>
      <c r="F76">
        <v>80.045936999999995</v>
      </c>
      <c r="G76">
        <v>82.218208000000004</v>
      </c>
      <c r="H76">
        <v>86.552811000000005</v>
      </c>
      <c r="I76">
        <v>75.836037000000005</v>
      </c>
      <c r="J76">
        <v>67.218338000000003</v>
      </c>
      <c r="K76">
        <v>77.716019000000003</v>
      </c>
      <c r="L76">
        <v>79.658721999999997</v>
      </c>
      <c r="M76">
        <v>75.623108000000002</v>
      </c>
      <c r="N76">
        <v>71.263382000000007</v>
      </c>
      <c r="O76">
        <v>77.213997000000006</v>
      </c>
      <c r="P76">
        <v>74.622062999999997</v>
      </c>
    </row>
    <row r="77" spans="1:16" ht="13.15" x14ac:dyDescent="0.4">
      <c r="A77" s="27">
        <v>28</v>
      </c>
      <c r="B77">
        <v>55.105831000000002</v>
      </c>
      <c r="C77">
        <v>52.907496999999999</v>
      </c>
      <c r="D77">
        <v>49.752048000000002</v>
      </c>
      <c r="E77">
        <v>55.774890999999997</v>
      </c>
      <c r="F77">
        <v>57.080109</v>
      </c>
      <c r="G77">
        <v>55.647689999999997</v>
      </c>
      <c r="H77">
        <v>63.516792000000002</v>
      </c>
      <c r="I77">
        <v>52.207599999999999</v>
      </c>
      <c r="J77">
        <v>49.576312999999999</v>
      </c>
      <c r="K77">
        <v>54.267220000000002</v>
      </c>
      <c r="L77">
        <v>57.933616999999998</v>
      </c>
      <c r="M77">
        <v>53.538485999999999</v>
      </c>
      <c r="N77">
        <v>50.710934000000002</v>
      </c>
      <c r="O77">
        <v>55.184643000000001</v>
      </c>
      <c r="P77">
        <v>50.342049000000003</v>
      </c>
    </row>
    <row r="78" spans="1:16" ht="13.15" x14ac:dyDescent="0.4">
      <c r="A78" s="27">
        <v>29</v>
      </c>
      <c r="B78">
        <v>35.81879</v>
      </c>
      <c r="C78">
        <v>34.155472000000003</v>
      </c>
      <c r="D78">
        <v>35.569339999999997</v>
      </c>
      <c r="E78">
        <v>38.373126999999997</v>
      </c>
      <c r="F78">
        <v>42.810080999999997</v>
      </c>
      <c r="G78">
        <v>40.607773000000002</v>
      </c>
      <c r="H78">
        <v>42.046326000000001</v>
      </c>
      <c r="I78">
        <v>37.130405000000003</v>
      </c>
      <c r="J78">
        <v>36.400627</v>
      </c>
      <c r="K78">
        <v>37.741397999999997</v>
      </c>
      <c r="L78">
        <v>42.451358999999997</v>
      </c>
      <c r="M78">
        <v>38.146172</v>
      </c>
      <c r="N78">
        <v>39.094334000000003</v>
      </c>
      <c r="O78">
        <v>40.275889999999997</v>
      </c>
      <c r="P78">
        <v>31.630845999999998</v>
      </c>
    </row>
    <row r="79" spans="1:16" ht="13.15" x14ac:dyDescent="0.4">
      <c r="A79" s="27">
        <v>30</v>
      </c>
      <c r="B79">
        <v>25.048105</v>
      </c>
      <c r="C79">
        <v>23.440028999999999</v>
      </c>
      <c r="D79">
        <v>24.313219</v>
      </c>
      <c r="E79">
        <v>27.218146999999998</v>
      </c>
      <c r="F79">
        <v>26.756302000000002</v>
      </c>
      <c r="G79">
        <v>29.077171</v>
      </c>
      <c r="H79">
        <v>29.298238999999999</v>
      </c>
      <c r="I79">
        <v>26.778898000000002</v>
      </c>
      <c r="J79">
        <v>25.234791000000001</v>
      </c>
      <c r="K79">
        <v>26.575303999999999</v>
      </c>
      <c r="L79">
        <v>30.465091999999999</v>
      </c>
      <c r="M79">
        <v>26.769242999999999</v>
      </c>
      <c r="N79">
        <v>28.594711</v>
      </c>
      <c r="O79">
        <v>26.479728999999999</v>
      </c>
      <c r="P79">
        <v>24.502768</v>
      </c>
    </row>
    <row r="80" spans="1:16" ht="13.15" x14ac:dyDescent="0.4">
      <c r="A80" s="27">
        <v>38</v>
      </c>
      <c r="B80">
        <v>16.531749999999999</v>
      </c>
      <c r="C80">
        <v>17.412593999999999</v>
      </c>
      <c r="D80">
        <v>17.784669999999998</v>
      </c>
      <c r="E80">
        <v>21.863758000000001</v>
      </c>
      <c r="F80">
        <v>18.506440999999999</v>
      </c>
      <c r="G80">
        <v>21.055883000000001</v>
      </c>
      <c r="H80">
        <v>22.812367999999999</v>
      </c>
      <c r="I80">
        <v>17.102488999999998</v>
      </c>
      <c r="J80">
        <v>17.865338999999999</v>
      </c>
      <c r="K80">
        <v>18.089072999999999</v>
      </c>
      <c r="L80">
        <v>20.476538000000001</v>
      </c>
      <c r="M80">
        <v>19.630776999999998</v>
      </c>
      <c r="N80">
        <v>20.775845</v>
      </c>
      <c r="O80">
        <v>19.359128999999999</v>
      </c>
      <c r="P80">
        <v>15.59267</v>
      </c>
    </row>
    <row r="81" spans="1:32" ht="13.15" x14ac:dyDescent="0.4">
      <c r="A81" s="27">
        <v>50</v>
      </c>
      <c r="B81">
        <v>11.021167</v>
      </c>
      <c r="C81">
        <v>11.608396000000001</v>
      </c>
      <c r="D81">
        <v>12.606854</v>
      </c>
      <c r="E81">
        <v>14.947671</v>
      </c>
      <c r="F81">
        <v>12.263305000000001</v>
      </c>
      <c r="G81">
        <v>14.28792</v>
      </c>
      <c r="H81">
        <v>14.984595000000001</v>
      </c>
      <c r="I81">
        <v>11.251637000000001</v>
      </c>
      <c r="J81">
        <v>10.049253</v>
      </c>
      <c r="K81">
        <v>9.3795190000000002</v>
      </c>
      <c r="L81">
        <v>13.734261999999999</v>
      </c>
      <c r="M81">
        <v>12.269237</v>
      </c>
      <c r="N81">
        <v>14.073959</v>
      </c>
      <c r="O81">
        <v>11.125937</v>
      </c>
      <c r="P81">
        <v>10.692117</v>
      </c>
    </row>
    <row r="82" spans="1:32" ht="13.15" x14ac:dyDescent="0.4">
      <c r="A82" s="27">
        <v>70</v>
      </c>
      <c r="B82">
        <v>7.764913</v>
      </c>
      <c r="C82">
        <v>7.8133429999999997</v>
      </c>
      <c r="D82">
        <v>9.0048960000000005</v>
      </c>
      <c r="E82">
        <v>10.26258</v>
      </c>
      <c r="F82">
        <v>7.5809519999999999</v>
      </c>
      <c r="G82">
        <v>10.527941999999999</v>
      </c>
      <c r="H82">
        <v>10.735232</v>
      </c>
      <c r="I82">
        <v>7.4260809999999999</v>
      </c>
      <c r="J82">
        <v>6.6995019999999998</v>
      </c>
      <c r="K82">
        <v>6.4763349999999997</v>
      </c>
      <c r="L82">
        <v>10.987411</v>
      </c>
      <c r="M82">
        <v>7.1384650000000001</v>
      </c>
      <c r="N82">
        <v>8.7124509999999997</v>
      </c>
      <c r="O82">
        <v>6.008006</v>
      </c>
      <c r="P82">
        <v>7.3508300000000002</v>
      </c>
    </row>
    <row r="85" spans="1:32" ht="13.15" x14ac:dyDescent="0.4">
      <c r="B85" s="27" t="s">
        <v>105</v>
      </c>
    </row>
    <row r="86" spans="1:32" x14ac:dyDescent="0.35">
      <c r="A86">
        <v>1</v>
      </c>
      <c r="B86">
        <v>3.992318</v>
      </c>
      <c r="C86">
        <v>17927.179688</v>
      </c>
      <c r="D86">
        <v>15329.941406</v>
      </c>
      <c r="E86">
        <v>13266.979492</v>
      </c>
      <c r="F86">
        <v>11300.703125</v>
      </c>
      <c r="G86">
        <v>9640.2646480000003</v>
      </c>
      <c r="H86">
        <v>8184.71875</v>
      </c>
      <c r="I86">
        <v>6934.8183589999999</v>
      </c>
      <c r="J86">
        <v>5780.1005859999996</v>
      </c>
      <c r="K86">
        <v>4776.673828</v>
      </c>
      <c r="L86">
        <v>3861.6665039999998</v>
      </c>
      <c r="M86">
        <v>3075.9072270000001</v>
      </c>
      <c r="N86">
        <v>2418.3945309999999</v>
      </c>
      <c r="O86">
        <v>1850.8045649999999</v>
      </c>
      <c r="P86">
        <v>1391.1717530000001</v>
      </c>
      <c r="Q86">
        <v>1048.0126949999999</v>
      </c>
      <c r="R86">
        <v>780.74945100000002</v>
      </c>
      <c r="S86">
        <v>591.13531499999999</v>
      </c>
      <c r="T86">
        <v>450.61541699999998</v>
      </c>
      <c r="U86">
        <v>333.64077800000001</v>
      </c>
      <c r="V86">
        <v>254.488754</v>
      </c>
      <c r="W86">
        <v>189.61415099999999</v>
      </c>
      <c r="X86">
        <v>148.28478999999999</v>
      </c>
      <c r="Y86">
        <v>108.959259</v>
      </c>
      <c r="Z86">
        <v>76.396720999999999</v>
      </c>
      <c r="AA86">
        <v>55.105831000000002</v>
      </c>
      <c r="AB86">
        <v>35.81879</v>
      </c>
      <c r="AC86">
        <v>25.048105</v>
      </c>
      <c r="AD86">
        <v>16.531749999999999</v>
      </c>
      <c r="AE86">
        <v>11.021167</v>
      </c>
      <c r="AF86">
        <v>7.764913</v>
      </c>
    </row>
    <row r="87" spans="1:32" x14ac:dyDescent="0.35">
      <c r="A87">
        <v>2</v>
      </c>
      <c r="B87">
        <v>4.4795170000000004</v>
      </c>
      <c r="C87">
        <v>18143.699218999998</v>
      </c>
      <c r="D87">
        <v>15502.119140999999</v>
      </c>
      <c r="E87">
        <v>13400.776367</v>
      </c>
      <c r="F87">
        <v>11400.560546999999</v>
      </c>
      <c r="G87">
        <v>9744.578125</v>
      </c>
      <c r="H87">
        <v>8307.5927730000003</v>
      </c>
      <c r="I87">
        <v>7046.9658200000003</v>
      </c>
      <c r="J87">
        <v>5880.0991210000002</v>
      </c>
      <c r="K87">
        <v>4829.0927730000003</v>
      </c>
      <c r="L87">
        <v>3904.8857419999999</v>
      </c>
      <c r="M87">
        <v>3119.7563479999999</v>
      </c>
      <c r="N87">
        <v>2438.6560060000002</v>
      </c>
      <c r="O87">
        <v>1871.184082</v>
      </c>
      <c r="P87">
        <v>1405.955322</v>
      </c>
      <c r="Q87">
        <v>1053.9083250000001</v>
      </c>
      <c r="R87">
        <v>795.17511000000002</v>
      </c>
      <c r="S87">
        <v>591.13525400000003</v>
      </c>
      <c r="T87">
        <v>444.02114899999998</v>
      </c>
      <c r="U87">
        <v>338.42938199999998</v>
      </c>
      <c r="V87">
        <v>260.29595899999998</v>
      </c>
      <c r="W87">
        <v>195.55682400000001</v>
      </c>
      <c r="X87">
        <v>139.97045900000001</v>
      </c>
      <c r="Y87">
        <v>99.117844000000005</v>
      </c>
      <c r="Z87">
        <v>69.427138999999997</v>
      </c>
      <c r="AA87">
        <v>52.907496999999999</v>
      </c>
      <c r="AB87">
        <v>34.155472000000003</v>
      </c>
      <c r="AC87">
        <v>23.440028999999999</v>
      </c>
      <c r="AD87">
        <v>17.412593999999999</v>
      </c>
      <c r="AE87">
        <v>11.608396000000001</v>
      </c>
      <c r="AF87">
        <v>7.8133429999999997</v>
      </c>
    </row>
    <row r="88" spans="1:32" x14ac:dyDescent="0.35">
      <c r="A88">
        <v>3</v>
      </c>
      <c r="B88">
        <v>4.4420279999999996</v>
      </c>
      <c r="C88">
        <v>18160.398438</v>
      </c>
      <c r="D88">
        <v>15550.104492</v>
      </c>
      <c r="E88">
        <v>13487.983398</v>
      </c>
      <c r="F88">
        <v>11484.168944999999</v>
      </c>
      <c r="G88">
        <v>9805.4306639999995</v>
      </c>
      <c r="H88">
        <v>8309.0429690000001</v>
      </c>
      <c r="I88">
        <v>7013.4633789999998</v>
      </c>
      <c r="J88">
        <v>5846.2036129999997</v>
      </c>
      <c r="K88">
        <v>4805.4628910000001</v>
      </c>
      <c r="L88">
        <v>3866.92749</v>
      </c>
      <c r="M88">
        <v>3070.8945309999999</v>
      </c>
      <c r="N88">
        <v>2390.5747070000002</v>
      </c>
      <c r="O88">
        <v>1818.5386960000001</v>
      </c>
      <c r="P88">
        <v>1373.9219969999999</v>
      </c>
      <c r="Q88">
        <v>1028.5842290000001</v>
      </c>
      <c r="R88">
        <v>777.79785200000003</v>
      </c>
      <c r="S88">
        <v>589.82067900000004</v>
      </c>
      <c r="T88">
        <v>436.51232900000002</v>
      </c>
      <c r="U88">
        <v>334.30676299999999</v>
      </c>
      <c r="V88">
        <v>246.73414600000001</v>
      </c>
      <c r="W88">
        <v>185.050613</v>
      </c>
      <c r="X88">
        <v>135.298553</v>
      </c>
      <c r="Y88">
        <v>95.902137999999994</v>
      </c>
      <c r="Z88">
        <v>72.264290000000003</v>
      </c>
      <c r="AA88">
        <v>49.752048000000002</v>
      </c>
      <c r="AB88">
        <v>35.569339999999997</v>
      </c>
      <c r="AC88">
        <v>24.313219</v>
      </c>
      <c r="AD88">
        <v>17.784669999999998</v>
      </c>
      <c r="AE88">
        <v>12.606854</v>
      </c>
      <c r="AF88">
        <v>9.0048960000000005</v>
      </c>
    </row>
    <row r="89" spans="1:32" x14ac:dyDescent="0.35">
      <c r="A89">
        <v>4</v>
      </c>
      <c r="B89">
        <v>4.4823040000000001</v>
      </c>
      <c r="C89">
        <v>17499.261718999998</v>
      </c>
      <c r="D89">
        <v>14980.466796999999</v>
      </c>
      <c r="E89">
        <v>12991.534180000001</v>
      </c>
      <c r="F89">
        <v>11091.618164</v>
      </c>
      <c r="G89">
        <v>9469.9072269999997</v>
      </c>
      <c r="H89">
        <v>8056.794922</v>
      </c>
      <c r="I89">
        <v>6841.5712890000004</v>
      </c>
      <c r="J89">
        <v>5705.1020509999998</v>
      </c>
      <c r="K89">
        <v>4689.7758789999998</v>
      </c>
      <c r="L89">
        <v>3778.1911620000001</v>
      </c>
      <c r="M89">
        <v>3008.2746579999998</v>
      </c>
      <c r="N89">
        <v>2344.5534670000002</v>
      </c>
      <c r="O89">
        <v>1782.7886960000001</v>
      </c>
      <c r="P89">
        <v>1341.9438479999999</v>
      </c>
      <c r="Q89">
        <v>1014.210632</v>
      </c>
      <c r="R89">
        <v>771.92449999999997</v>
      </c>
      <c r="S89">
        <v>585.19018600000004</v>
      </c>
      <c r="T89">
        <v>431.92077599999999</v>
      </c>
      <c r="U89">
        <v>324.83297700000003</v>
      </c>
      <c r="V89">
        <v>247.417419</v>
      </c>
      <c r="W89">
        <v>183.38784799999999</v>
      </c>
      <c r="X89">
        <v>139.21412699999999</v>
      </c>
      <c r="Y89">
        <v>99.72551</v>
      </c>
      <c r="Z89">
        <v>74.292152000000002</v>
      </c>
      <c r="AA89">
        <v>55.774890999999997</v>
      </c>
      <c r="AB89">
        <v>38.373126999999997</v>
      </c>
      <c r="AC89">
        <v>27.218146999999998</v>
      </c>
      <c r="AD89">
        <v>21.863758000000001</v>
      </c>
      <c r="AE89">
        <v>14.947671</v>
      </c>
      <c r="AF89">
        <v>10.26258</v>
      </c>
    </row>
    <row r="90" spans="1:32" x14ac:dyDescent="0.35">
      <c r="A90">
        <v>5</v>
      </c>
      <c r="B90">
        <v>4.4849249999999996</v>
      </c>
      <c r="C90">
        <v>18204.095702999999</v>
      </c>
      <c r="D90">
        <v>15552.100586</v>
      </c>
      <c r="E90">
        <v>13471.128906</v>
      </c>
      <c r="F90">
        <v>11490.716796999999</v>
      </c>
      <c r="G90">
        <v>9789.4619139999995</v>
      </c>
      <c r="H90">
        <v>8294.453125</v>
      </c>
      <c r="I90">
        <v>7017.7319340000004</v>
      </c>
      <c r="J90">
        <v>5822.3940430000002</v>
      </c>
      <c r="K90">
        <v>4775.7768550000001</v>
      </c>
      <c r="L90">
        <v>3844.880615</v>
      </c>
      <c r="M90">
        <v>3046.6508789999998</v>
      </c>
      <c r="N90">
        <v>2376.1826169999999</v>
      </c>
      <c r="O90">
        <v>1800.4760739999999</v>
      </c>
      <c r="P90">
        <v>1375.7198490000001</v>
      </c>
      <c r="Q90">
        <v>1042.6038820000001</v>
      </c>
      <c r="R90">
        <v>770.80444299999999</v>
      </c>
      <c r="S90">
        <v>592.65210000000002</v>
      </c>
      <c r="T90">
        <v>442.14788800000002</v>
      </c>
      <c r="U90">
        <v>334.00784299999998</v>
      </c>
      <c r="V90">
        <v>248.61064099999999</v>
      </c>
      <c r="W90">
        <v>184.84144599999999</v>
      </c>
      <c r="X90">
        <v>140.47058100000001</v>
      </c>
      <c r="Y90">
        <v>107.694115</v>
      </c>
      <c r="Z90">
        <v>80.045936999999995</v>
      </c>
      <c r="AA90">
        <v>57.080109</v>
      </c>
      <c r="AB90">
        <v>42.810080999999997</v>
      </c>
      <c r="AC90">
        <v>26.756302000000002</v>
      </c>
      <c r="AD90">
        <v>18.506440999999999</v>
      </c>
      <c r="AE90">
        <v>12.263305000000001</v>
      </c>
      <c r="AF90">
        <v>7.5809519999999999</v>
      </c>
    </row>
    <row r="91" spans="1:32" x14ac:dyDescent="0.35">
      <c r="A91">
        <v>1</v>
      </c>
      <c r="B91">
        <v>3.9893839999999998</v>
      </c>
      <c r="C91">
        <v>17902.011718999998</v>
      </c>
      <c r="D91">
        <v>15288.827148</v>
      </c>
      <c r="E91">
        <v>13207.051758</v>
      </c>
      <c r="F91">
        <v>11296.230469</v>
      </c>
      <c r="G91">
        <v>9642.8417969999991</v>
      </c>
      <c r="H91">
        <v>8190.2368159999996</v>
      </c>
      <c r="I91">
        <v>6941.4228519999997</v>
      </c>
      <c r="J91">
        <v>5832.2290039999998</v>
      </c>
      <c r="K91">
        <v>4785.2001950000003</v>
      </c>
      <c r="L91">
        <v>3867.514404</v>
      </c>
      <c r="M91">
        <v>3071.1508789999998</v>
      </c>
      <c r="N91">
        <v>2391.3466800000001</v>
      </c>
      <c r="O91">
        <v>1828.101807</v>
      </c>
      <c r="P91">
        <v>1384.674927</v>
      </c>
      <c r="Q91">
        <v>1042.2662350000001</v>
      </c>
      <c r="R91">
        <v>774.05438200000003</v>
      </c>
      <c r="S91">
        <v>587.058044</v>
      </c>
      <c r="T91">
        <v>442.17352299999999</v>
      </c>
      <c r="U91">
        <v>342.659424</v>
      </c>
      <c r="V91">
        <v>260.69189499999999</v>
      </c>
      <c r="W91">
        <v>194.265579</v>
      </c>
      <c r="X91">
        <v>147.14051799999999</v>
      </c>
      <c r="Y91">
        <v>110.543381</v>
      </c>
      <c r="Z91">
        <v>82.218208000000004</v>
      </c>
      <c r="AA91">
        <v>55.647689999999997</v>
      </c>
      <c r="AB91">
        <v>40.607773000000002</v>
      </c>
      <c r="AC91">
        <v>29.077171</v>
      </c>
      <c r="AD91">
        <v>21.055883000000001</v>
      </c>
      <c r="AE91">
        <v>14.28792</v>
      </c>
      <c r="AF91">
        <v>10.527941999999999</v>
      </c>
    </row>
    <row r="92" spans="1:32" x14ac:dyDescent="0.35">
      <c r="A92">
        <v>2</v>
      </c>
      <c r="B92">
        <v>4.4712589999999999</v>
      </c>
      <c r="C92">
        <v>18506.421875</v>
      </c>
      <c r="D92">
        <v>15770.280273</v>
      </c>
      <c r="E92">
        <v>13587.225586</v>
      </c>
      <c r="F92">
        <v>11591.143555000001</v>
      </c>
      <c r="G92">
        <v>9906.8300780000009</v>
      </c>
      <c r="H92">
        <v>8424.9208980000003</v>
      </c>
      <c r="I92">
        <v>7118.5771480000003</v>
      </c>
      <c r="J92">
        <v>5928.3085940000001</v>
      </c>
      <c r="K92">
        <v>4874.9135740000002</v>
      </c>
      <c r="L92">
        <v>3959.5114749999998</v>
      </c>
      <c r="M92">
        <v>3154.8164059999999</v>
      </c>
      <c r="N92">
        <v>2468.8798830000001</v>
      </c>
      <c r="O92">
        <v>1902.596313</v>
      </c>
      <c r="P92">
        <v>1422.6419679999999</v>
      </c>
      <c r="Q92">
        <v>1065.919067</v>
      </c>
      <c r="R92">
        <v>802.90588400000001</v>
      </c>
      <c r="S92">
        <v>601.17303500000003</v>
      </c>
      <c r="T92">
        <v>456.47100799999998</v>
      </c>
      <c r="U92">
        <v>356.49917599999998</v>
      </c>
      <c r="V92">
        <v>269.499054</v>
      </c>
      <c r="W92">
        <v>202.85116600000001</v>
      </c>
      <c r="X92">
        <v>157.22642500000001</v>
      </c>
      <c r="Y92">
        <v>118.08755499999999</v>
      </c>
      <c r="Z92">
        <v>86.552811000000005</v>
      </c>
      <c r="AA92">
        <v>63.516792000000002</v>
      </c>
      <c r="AB92">
        <v>42.046326000000001</v>
      </c>
      <c r="AC92">
        <v>29.298238999999999</v>
      </c>
      <c r="AD92">
        <v>22.812367999999999</v>
      </c>
      <c r="AE92">
        <v>14.984595000000001</v>
      </c>
      <c r="AF92">
        <v>10.735232</v>
      </c>
    </row>
    <row r="93" spans="1:32" x14ac:dyDescent="0.35">
      <c r="A93">
        <v>3</v>
      </c>
      <c r="B93">
        <v>4.4437980000000001</v>
      </c>
      <c r="C93">
        <v>18003.519531000002</v>
      </c>
      <c r="D93">
        <v>15348.358398</v>
      </c>
      <c r="E93">
        <v>13247.903319999999</v>
      </c>
      <c r="F93">
        <v>11261.314453000001</v>
      </c>
      <c r="G93">
        <v>9588.4208980000003</v>
      </c>
      <c r="H93">
        <v>8136.9594729999999</v>
      </c>
      <c r="I93">
        <v>6896.5786129999997</v>
      </c>
      <c r="J93">
        <v>5762.638672</v>
      </c>
      <c r="K93">
        <v>4743.9155270000001</v>
      </c>
      <c r="L93">
        <v>3833.883057</v>
      </c>
      <c r="M93">
        <v>3036.366943</v>
      </c>
      <c r="N93">
        <v>2352.9423830000001</v>
      </c>
      <c r="O93">
        <v>1796.4364009999999</v>
      </c>
      <c r="P93">
        <v>1362.7983400000001</v>
      </c>
      <c r="Q93">
        <v>1024.5740969999999</v>
      </c>
      <c r="R93">
        <v>790.99011199999995</v>
      </c>
      <c r="S93">
        <v>605.56311000000005</v>
      </c>
      <c r="T93">
        <v>450.74060100000003</v>
      </c>
      <c r="U93">
        <v>340.24951199999998</v>
      </c>
      <c r="V93">
        <v>258.33758499999999</v>
      </c>
      <c r="W93">
        <v>198.70391799999999</v>
      </c>
      <c r="X93">
        <v>145.596191</v>
      </c>
      <c r="Y93">
        <v>108.46579</v>
      </c>
      <c r="Z93">
        <v>75.836037000000005</v>
      </c>
      <c r="AA93">
        <v>52.207599999999999</v>
      </c>
      <c r="AB93">
        <v>37.130405000000003</v>
      </c>
      <c r="AC93">
        <v>26.778898000000002</v>
      </c>
      <c r="AD93">
        <v>17.102488999999998</v>
      </c>
      <c r="AE93">
        <v>11.251637000000001</v>
      </c>
      <c r="AF93">
        <v>7.4260809999999999</v>
      </c>
    </row>
    <row r="94" spans="1:32" x14ac:dyDescent="0.35">
      <c r="A94">
        <v>4</v>
      </c>
      <c r="B94">
        <v>4.4779450000000001</v>
      </c>
      <c r="C94">
        <v>17962.927734000001</v>
      </c>
      <c r="D94">
        <v>15346.772461</v>
      </c>
      <c r="E94">
        <v>13232.856444999999</v>
      </c>
      <c r="F94">
        <v>11261.639648</v>
      </c>
      <c r="G94">
        <v>9622.9414059999999</v>
      </c>
      <c r="H94">
        <v>8186.5678710000002</v>
      </c>
      <c r="I94">
        <v>6921.4785160000001</v>
      </c>
      <c r="J94">
        <v>5752.6391599999997</v>
      </c>
      <c r="K94">
        <v>4715.779297</v>
      </c>
      <c r="L94">
        <v>3824.7456050000001</v>
      </c>
      <c r="M94">
        <v>3041.5739749999998</v>
      </c>
      <c r="N94">
        <v>2375.4201659999999</v>
      </c>
      <c r="O94">
        <v>1798.5928960000001</v>
      </c>
      <c r="P94">
        <v>1358.658936</v>
      </c>
      <c r="Q94">
        <v>1010.731506</v>
      </c>
      <c r="R94">
        <v>759.27685499999995</v>
      </c>
      <c r="S94">
        <v>572.13745100000006</v>
      </c>
      <c r="T94">
        <v>433.01113900000001</v>
      </c>
      <c r="U94">
        <v>328.49890099999999</v>
      </c>
      <c r="V94">
        <v>238.27894599999999</v>
      </c>
      <c r="W94">
        <v>178.430069</v>
      </c>
      <c r="X94">
        <v>131.756866</v>
      </c>
      <c r="Y94">
        <v>93.123076999999995</v>
      </c>
      <c r="Z94">
        <v>67.218338000000003</v>
      </c>
      <c r="AA94">
        <v>49.576312999999999</v>
      </c>
      <c r="AB94">
        <v>36.400627</v>
      </c>
      <c r="AC94">
        <v>25.234791000000001</v>
      </c>
      <c r="AD94">
        <v>17.865338999999999</v>
      </c>
      <c r="AE94">
        <v>10.049253</v>
      </c>
      <c r="AF94">
        <v>6.6995019999999998</v>
      </c>
    </row>
    <row r="95" spans="1:32" x14ac:dyDescent="0.35">
      <c r="A95">
        <v>5</v>
      </c>
      <c r="B95">
        <v>4.4778409999999997</v>
      </c>
      <c r="C95">
        <v>18218.599609000001</v>
      </c>
      <c r="D95">
        <v>15553.922852</v>
      </c>
      <c r="E95">
        <v>13403.780273</v>
      </c>
      <c r="F95">
        <v>11405.495117</v>
      </c>
      <c r="G95">
        <v>9713.3857420000004</v>
      </c>
      <c r="H95">
        <v>8267.3759769999997</v>
      </c>
      <c r="I95">
        <v>7013.6474609999996</v>
      </c>
      <c r="J95">
        <v>5836.7407229999999</v>
      </c>
      <c r="K95">
        <v>4796.5073240000002</v>
      </c>
      <c r="L95">
        <v>3869.7216800000001</v>
      </c>
      <c r="M95">
        <v>3070.899414</v>
      </c>
      <c r="N95">
        <v>2389.5441890000002</v>
      </c>
      <c r="O95">
        <v>1828.559692</v>
      </c>
      <c r="P95">
        <v>1367.846558</v>
      </c>
      <c r="Q95">
        <v>1014.997986</v>
      </c>
      <c r="R95">
        <v>761.08099400000003</v>
      </c>
      <c r="S95">
        <v>577.73370399999999</v>
      </c>
      <c r="T95">
        <v>435.92431599999998</v>
      </c>
      <c r="U95">
        <v>338.55599999999998</v>
      </c>
      <c r="V95">
        <v>255.70356799999999</v>
      </c>
      <c r="W95">
        <v>192.50346400000001</v>
      </c>
      <c r="X95">
        <v>143.595978</v>
      </c>
      <c r="Y95">
        <v>106.74786400000001</v>
      </c>
      <c r="Z95">
        <v>77.716019000000003</v>
      </c>
      <c r="AA95">
        <v>54.267220000000002</v>
      </c>
      <c r="AB95">
        <v>37.741397999999997</v>
      </c>
      <c r="AC95">
        <v>26.575303999999999</v>
      </c>
      <c r="AD95">
        <v>18.089072999999999</v>
      </c>
      <c r="AE95">
        <v>9.3795190000000002</v>
      </c>
      <c r="AF95">
        <v>6.4763349999999997</v>
      </c>
    </row>
    <row r="96" spans="1:32" x14ac:dyDescent="0.35">
      <c r="A96">
        <v>1</v>
      </c>
      <c r="B96">
        <v>4.0045830000000002</v>
      </c>
      <c r="C96">
        <v>16683.632812</v>
      </c>
      <c r="D96">
        <v>14226.948242</v>
      </c>
      <c r="E96">
        <v>12302.903319999999</v>
      </c>
      <c r="F96">
        <v>10538.174805000001</v>
      </c>
      <c r="G96">
        <v>9047.3828119999998</v>
      </c>
      <c r="H96">
        <v>7715.4091799999997</v>
      </c>
      <c r="I96">
        <v>6572.71875</v>
      </c>
      <c r="J96">
        <v>5498.6992190000001</v>
      </c>
      <c r="K96">
        <v>4547.0400390000004</v>
      </c>
      <c r="L96">
        <v>3714.2441410000001</v>
      </c>
      <c r="M96">
        <v>2977.0886230000001</v>
      </c>
      <c r="N96">
        <v>2349.3081050000001</v>
      </c>
      <c r="O96">
        <v>1806.6798100000001</v>
      </c>
      <c r="P96">
        <v>1384.663452</v>
      </c>
      <c r="Q96">
        <v>1042.8050539999999</v>
      </c>
      <c r="R96">
        <v>787.34783900000002</v>
      </c>
      <c r="S96">
        <v>593.07043499999997</v>
      </c>
      <c r="T96">
        <v>450.733521</v>
      </c>
      <c r="U96">
        <v>348.60055499999999</v>
      </c>
      <c r="V96">
        <v>265.69555700000001</v>
      </c>
      <c r="W96">
        <v>198.772232</v>
      </c>
      <c r="X96">
        <v>144.834045</v>
      </c>
      <c r="Y96">
        <v>108.12610599999999</v>
      </c>
      <c r="Z96">
        <v>79.658721999999997</v>
      </c>
      <c r="AA96">
        <v>57.933616999999998</v>
      </c>
      <c r="AB96">
        <v>42.451358999999997</v>
      </c>
      <c r="AC96">
        <v>30.465091999999999</v>
      </c>
      <c r="AD96">
        <v>20.476538000000001</v>
      </c>
      <c r="AE96">
        <v>13.734261999999999</v>
      </c>
      <c r="AF96">
        <v>10.987411</v>
      </c>
    </row>
    <row r="97" spans="1:32" x14ac:dyDescent="0.35">
      <c r="A97">
        <v>2</v>
      </c>
      <c r="B97">
        <v>4.4827570000000003</v>
      </c>
      <c r="C97">
        <v>17167.5625</v>
      </c>
      <c r="D97">
        <v>14638.314453000001</v>
      </c>
      <c r="E97">
        <v>12665.420898</v>
      </c>
      <c r="F97">
        <v>10815.889648</v>
      </c>
      <c r="G97">
        <v>9273.3115230000003</v>
      </c>
      <c r="H97">
        <v>7895.5883789999998</v>
      </c>
      <c r="I97">
        <v>6672.0107420000004</v>
      </c>
      <c r="J97">
        <v>5575.5869140000004</v>
      </c>
      <c r="K97">
        <v>4594.0483400000003</v>
      </c>
      <c r="L97">
        <v>3720.032471</v>
      </c>
      <c r="M97">
        <v>2979.1936040000001</v>
      </c>
      <c r="N97">
        <v>2329.8164059999999</v>
      </c>
      <c r="O97">
        <v>1816.293091</v>
      </c>
      <c r="P97">
        <v>1377.5006100000001</v>
      </c>
      <c r="Q97">
        <v>1036.862061</v>
      </c>
      <c r="R97">
        <v>794.37725799999998</v>
      </c>
      <c r="S97">
        <v>595.83874500000002</v>
      </c>
      <c r="T97">
        <v>457.08480800000001</v>
      </c>
      <c r="U97">
        <v>349.11554000000001</v>
      </c>
      <c r="V97">
        <v>256.31549100000001</v>
      </c>
      <c r="W97">
        <v>192.738541</v>
      </c>
      <c r="X97">
        <v>144.553909</v>
      </c>
      <c r="Y97">
        <v>105.069275</v>
      </c>
      <c r="Z97">
        <v>75.623108000000002</v>
      </c>
      <c r="AA97">
        <v>53.538485999999999</v>
      </c>
      <c r="AB97">
        <v>38.146172</v>
      </c>
      <c r="AC97">
        <v>26.769242999999999</v>
      </c>
      <c r="AD97">
        <v>19.630776999999998</v>
      </c>
      <c r="AE97">
        <v>12.269237</v>
      </c>
      <c r="AF97">
        <v>7.1384650000000001</v>
      </c>
    </row>
    <row r="98" spans="1:32" x14ac:dyDescent="0.35">
      <c r="A98">
        <v>3</v>
      </c>
      <c r="B98">
        <v>4.4763520000000003</v>
      </c>
      <c r="C98">
        <v>16436.597656000002</v>
      </c>
      <c r="D98">
        <v>14057.875</v>
      </c>
      <c r="E98">
        <v>12215.973633</v>
      </c>
      <c r="F98">
        <v>10467.898438</v>
      </c>
      <c r="G98">
        <v>8987.2285159999992</v>
      </c>
      <c r="H98">
        <v>7667.1801759999998</v>
      </c>
      <c r="I98">
        <v>6492.7866210000002</v>
      </c>
      <c r="J98">
        <v>5454.8881840000004</v>
      </c>
      <c r="K98">
        <v>4511.4858400000003</v>
      </c>
      <c r="L98">
        <v>3662.1335450000001</v>
      </c>
      <c r="M98">
        <v>2894.991211</v>
      </c>
      <c r="N98">
        <v>2293.3852539999998</v>
      </c>
      <c r="O98">
        <v>1772.648682</v>
      </c>
      <c r="P98">
        <v>1357.131836</v>
      </c>
      <c r="Q98">
        <v>1023.824707</v>
      </c>
      <c r="R98">
        <v>764.01495399999999</v>
      </c>
      <c r="S98">
        <v>587.08514400000001</v>
      </c>
      <c r="T98">
        <v>445.00518799999998</v>
      </c>
      <c r="U98">
        <v>329.73275799999999</v>
      </c>
      <c r="V98">
        <v>248.63995399999999</v>
      </c>
      <c r="W98">
        <v>186.53581199999999</v>
      </c>
      <c r="X98">
        <v>140.292801</v>
      </c>
      <c r="Y98">
        <v>104.996208</v>
      </c>
      <c r="Z98">
        <v>71.263382000000007</v>
      </c>
      <c r="AA98">
        <v>50.710934000000002</v>
      </c>
      <c r="AB98">
        <v>39.094334000000003</v>
      </c>
      <c r="AC98">
        <v>28.594711</v>
      </c>
      <c r="AD98">
        <v>20.775845</v>
      </c>
      <c r="AE98">
        <v>14.073959</v>
      </c>
      <c r="AF98">
        <v>8.7124509999999997</v>
      </c>
    </row>
    <row r="99" spans="1:32" x14ac:dyDescent="0.35">
      <c r="A99">
        <v>4</v>
      </c>
      <c r="B99">
        <v>4.4940040000000003</v>
      </c>
      <c r="C99">
        <v>17196.470702999999</v>
      </c>
      <c r="D99">
        <v>14655.973633</v>
      </c>
      <c r="E99">
        <v>12692.913086</v>
      </c>
      <c r="F99">
        <v>10861.138671999999</v>
      </c>
      <c r="G99">
        <v>9313.9667969999991</v>
      </c>
      <c r="H99">
        <v>7921.6665039999998</v>
      </c>
      <c r="I99">
        <v>6715.169922</v>
      </c>
      <c r="J99">
        <v>5617.9301759999998</v>
      </c>
      <c r="K99">
        <v>4647.5263670000004</v>
      </c>
      <c r="L99">
        <v>3784.3759770000001</v>
      </c>
      <c r="M99">
        <v>3039.6057129999999</v>
      </c>
      <c r="N99">
        <v>2396.9716800000001</v>
      </c>
      <c r="O99">
        <v>1849.130615</v>
      </c>
      <c r="P99">
        <v>1412.1038820000001</v>
      </c>
      <c r="Q99">
        <v>1069.4250489999999</v>
      </c>
      <c r="R99">
        <v>807.74298099999999</v>
      </c>
      <c r="S99">
        <v>613.03912400000002</v>
      </c>
      <c r="T99">
        <v>466.39926100000002</v>
      </c>
      <c r="U99">
        <v>356.47500600000001</v>
      </c>
      <c r="V99">
        <v>268.357574</v>
      </c>
      <c r="W99">
        <v>200.26686100000001</v>
      </c>
      <c r="X99">
        <v>147.752441</v>
      </c>
      <c r="Y99">
        <v>104.361282</v>
      </c>
      <c r="Z99">
        <v>77.213997000000006</v>
      </c>
      <c r="AA99">
        <v>55.184643000000001</v>
      </c>
      <c r="AB99">
        <v>40.275889999999997</v>
      </c>
      <c r="AC99">
        <v>26.479728999999999</v>
      </c>
      <c r="AD99">
        <v>19.359128999999999</v>
      </c>
      <c r="AE99">
        <v>11.125937</v>
      </c>
      <c r="AF99">
        <v>6.008006</v>
      </c>
    </row>
    <row r="100" spans="1:32" x14ac:dyDescent="0.35">
      <c r="A100">
        <v>0</v>
      </c>
      <c r="B100">
        <v>4.4892890000000003</v>
      </c>
      <c r="C100">
        <v>16491.476562</v>
      </c>
      <c r="D100">
        <v>14056.124023</v>
      </c>
      <c r="E100">
        <v>12162.951171999999</v>
      </c>
      <c r="F100">
        <v>10393.851562</v>
      </c>
      <c r="G100">
        <v>8914.9980469999991</v>
      </c>
      <c r="H100">
        <v>7611.6733400000003</v>
      </c>
      <c r="I100">
        <v>6467.6166990000002</v>
      </c>
      <c r="J100">
        <v>5407.9833980000003</v>
      </c>
      <c r="K100">
        <v>4461.2856449999999</v>
      </c>
      <c r="L100">
        <v>3615.9401859999998</v>
      </c>
      <c r="M100">
        <v>2897.563721</v>
      </c>
      <c r="N100">
        <v>2296.1320799999999</v>
      </c>
      <c r="O100">
        <v>1767.7633060000001</v>
      </c>
      <c r="P100">
        <v>1353.443726</v>
      </c>
      <c r="Q100">
        <v>1023.99292</v>
      </c>
      <c r="R100">
        <v>782.52929700000004</v>
      </c>
      <c r="S100">
        <v>583.38861099999997</v>
      </c>
      <c r="T100">
        <v>431.02596999999997</v>
      </c>
      <c r="U100">
        <v>326.33230600000002</v>
      </c>
      <c r="V100">
        <v>250.15098599999999</v>
      </c>
      <c r="W100">
        <v>189.785065</v>
      </c>
      <c r="X100">
        <v>142.11605800000001</v>
      </c>
      <c r="Y100">
        <v>105.584656</v>
      </c>
      <c r="Z100">
        <v>74.622062999999997</v>
      </c>
      <c r="AA100">
        <v>50.342049000000003</v>
      </c>
      <c r="AB100">
        <v>31.630845999999998</v>
      </c>
      <c r="AC100">
        <v>24.502768</v>
      </c>
      <c r="AD100">
        <v>15.59267</v>
      </c>
      <c r="AE100">
        <v>10.692117</v>
      </c>
      <c r="AF100">
        <v>7.3508300000000002</v>
      </c>
    </row>
    <row r="101" spans="1:32" x14ac:dyDescent="0.35">
      <c r="B101">
        <v>4.0213929999999998</v>
      </c>
      <c r="C101">
        <v>16226.21875</v>
      </c>
      <c r="D101">
        <v>13904.634765999999</v>
      </c>
      <c r="E101">
        <v>12052.042969</v>
      </c>
      <c r="F101">
        <v>10343.679688</v>
      </c>
      <c r="G101">
        <v>8881.0029300000006</v>
      </c>
      <c r="H101">
        <v>7610.7958980000003</v>
      </c>
      <c r="I101">
        <v>6487.0556640000004</v>
      </c>
      <c r="J101">
        <v>5439.1601559999999</v>
      </c>
      <c r="K101">
        <v>4489.9868159999996</v>
      </c>
      <c r="L101">
        <v>3651.9685060000002</v>
      </c>
      <c r="M101">
        <v>2941.766846</v>
      </c>
      <c r="N101">
        <v>2342.720703</v>
      </c>
      <c r="O101">
        <v>1808.3287350000001</v>
      </c>
      <c r="P101">
        <v>1378.626831</v>
      </c>
      <c r="Q101">
        <v>1047.149658</v>
      </c>
      <c r="R101">
        <v>796.98754899999994</v>
      </c>
      <c r="S101">
        <v>596.80816700000003</v>
      </c>
      <c r="T101">
        <v>454.32019000000003</v>
      </c>
      <c r="U101">
        <v>351.12213100000002</v>
      </c>
      <c r="V101">
        <v>269.807007</v>
      </c>
      <c r="W101">
        <v>206.64482100000001</v>
      </c>
      <c r="X101">
        <v>155.66746499999999</v>
      </c>
      <c r="Y101">
        <v>110.409508</v>
      </c>
      <c r="Z101">
        <v>82.558464000000001</v>
      </c>
      <c r="AA101">
        <v>60.178153999999999</v>
      </c>
      <c r="AB101">
        <v>41.776569000000002</v>
      </c>
      <c r="AC101">
        <v>32.824447999999997</v>
      </c>
      <c r="AD101">
        <v>23.374987000000001</v>
      </c>
      <c r="AE101">
        <v>16.909565000000001</v>
      </c>
      <c r="AF101">
        <v>11.438822999999999</v>
      </c>
    </row>
    <row r="102" spans="1:32" x14ac:dyDescent="0.35">
      <c r="B102">
        <v>4.5163089999999997</v>
      </c>
      <c r="C102">
        <v>16588.103515999999</v>
      </c>
      <c r="D102">
        <v>14262.532227</v>
      </c>
      <c r="E102">
        <v>12421.648438</v>
      </c>
      <c r="F102">
        <v>10656.711914</v>
      </c>
      <c r="G102">
        <v>9187.5917969999991</v>
      </c>
      <c r="H102">
        <v>7849.7734380000002</v>
      </c>
      <c r="I102">
        <v>6660.3061520000001</v>
      </c>
      <c r="J102">
        <v>5571.5854490000002</v>
      </c>
      <c r="K102">
        <v>4613.7236329999996</v>
      </c>
      <c r="L102">
        <v>3741.772461</v>
      </c>
      <c r="M102">
        <v>2975.6601559999999</v>
      </c>
      <c r="N102">
        <v>2316.7148440000001</v>
      </c>
      <c r="O102">
        <v>1789.071655</v>
      </c>
      <c r="P102">
        <v>1352.8747559999999</v>
      </c>
      <c r="Q102">
        <v>1039.3443600000001</v>
      </c>
      <c r="R102">
        <v>787.14721699999996</v>
      </c>
      <c r="S102">
        <v>596.50482199999999</v>
      </c>
      <c r="T102">
        <v>456.12469499999997</v>
      </c>
      <c r="U102">
        <v>346.079071</v>
      </c>
      <c r="V102">
        <v>259.50396699999999</v>
      </c>
      <c r="W102">
        <v>201.93481399999999</v>
      </c>
      <c r="X102">
        <v>149.67976400000001</v>
      </c>
      <c r="Y102">
        <v>109.602783</v>
      </c>
      <c r="Z102">
        <v>82.146728999999993</v>
      </c>
      <c r="AA102">
        <v>60.447594000000002</v>
      </c>
      <c r="AB102">
        <v>43.398273000000003</v>
      </c>
      <c r="AC102">
        <v>29.227406999999999</v>
      </c>
      <c r="AD102">
        <v>19.927778</v>
      </c>
      <c r="AE102">
        <v>13.063765999999999</v>
      </c>
      <c r="AF102">
        <v>9.0782100000000003</v>
      </c>
    </row>
    <row r="103" spans="1:32" x14ac:dyDescent="0.35">
      <c r="B103">
        <v>4.4794359999999998</v>
      </c>
      <c r="C103">
        <v>16222.131836</v>
      </c>
      <c r="D103">
        <v>13898.178711</v>
      </c>
      <c r="E103">
        <v>12069.823242</v>
      </c>
      <c r="F103">
        <v>10356.214844</v>
      </c>
      <c r="G103">
        <v>8879.2431639999995</v>
      </c>
      <c r="H103">
        <v>7571.4892579999996</v>
      </c>
      <c r="I103">
        <v>6437.6411129999997</v>
      </c>
      <c r="J103">
        <v>5395.5454099999997</v>
      </c>
      <c r="K103">
        <v>4445.6489259999998</v>
      </c>
      <c r="L103">
        <v>3630.3679200000001</v>
      </c>
      <c r="M103">
        <v>2895.453857</v>
      </c>
      <c r="N103">
        <v>2274.8400879999999</v>
      </c>
      <c r="O103">
        <v>1766.5170900000001</v>
      </c>
      <c r="P103">
        <v>1335.8824460000001</v>
      </c>
      <c r="Q103">
        <v>1015.976135</v>
      </c>
      <c r="R103">
        <v>768.84680200000003</v>
      </c>
      <c r="S103">
        <v>586.90423599999997</v>
      </c>
      <c r="T103">
        <v>449.16369600000002</v>
      </c>
      <c r="U103">
        <v>340.66790800000001</v>
      </c>
      <c r="V103">
        <v>255.612549</v>
      </c>
      <c r="W103">
        <v>201.587875</v>
      </c>
      <c r="X103">
        <v>145.10755900000001</v>
      </c>
      <c r="Y103">
        <v>112.06768</v>
      </c>
      <c r="Z103">
        <v>86.841292999999993</v>
      </c>
      <c r="AA103">
        <v>60.945174999999999</v>
      </c>
      <c r="AB103">
        <v>44.201996000000001</v>
      </c>
      <c r="AC103">
        <v>31.700420000000001</v>
      </c>
      <c r="AD103">
        <v>25.003149000000001</v>
      </c>
      <c r="AE103">
        <v>17.412907000000001</v>
      </c>
      <c r="AF103">
        <v>11.385362000000001</v>
      </c>
    </row>
    <row r="104" spans="1:32" x14ac:dyDescent="0.35">
      <c r="B104">
        <v>4.4984299999999999</v>
      </c>
      <c r="C104">
        <v>16911.679688</v>
      </c>
      <c r="D104">
        <v>14414.363281</v>
      </c>
      <c r="E104">
        <v>12463.459961</v>
      </c>
      <c r="F104">
        <v>10630.153319999999</v>
      </c>
      <c r="G104">
        <v>9081.8359380000002</v>
      </c>
      <c r="H104">
        <v>7745.1469729999999</v>
      </c>
      <c r="I104">
        <v>6588.298828</v>
      </c>
      <c r="J104">
        <v>5520.3706050000001</v>
      </c>
      <c r="K104">
        <v>4558.0351559999999</v>
      </c>
      <c r="L104">
        <v>3693.0664059999999</v>
      </c>
      <c r="M104">
        <v>2973.0373540000001</v>
      </c>
      <c r="N104">
        <v>2325.0334469999998</v>
      </c>
      <c r="O104">
        <v>1791.2917480000001</v>
      </c>
      <c r="P104">
        <v>1362.0307620000001</v>
      </c>
      <c r="Q104">
        <v>1024.8020019999999</v>
      </c>
      <c r="R104">
        <v>772.49176</v>
      </c>
      <c r="S104">
        <v>582.425476</v>
      </c>
      <c r="T104">
        <v>442.82119799999998</v>
      </c>
      <c r="U104">
        <v>340.34097300000002</v>
      </c>
      <c r="V104">
        <v>261.42456099999998</v>
      </c>
      <c r="W104">
        <v>196.735321</v>
      </c>
      <c r="X104">
        <v>149.38545199999999</v>
      </c>
      <c r="Y104">
        <v>111.816795</v>
      </c>
      <c r="Z104">
        <v>81.139426999999998</v>
      </c>
      <c r="AA104">
        <v>58.687145000000001</v>
      </c>
      <c r="AB104">
        <v>42.681561000000002</v>
      </c>
      <c r="AC104">
        <v>27.120574999999999</v>
      </c>
      <c r="AD104">
        <v>19.340081999999999</v>
      </c>
      <c r="AE104">
        <v>12.893388</v>
      </c>
      <c r="AF104">
        <v>7.7804929999999999</v>
      </c>
    </row>
    <row r="105" spans="1:32" x14ac:dyDescent="0.35">
      <c r="B105">
        <v>4.509836</v>
      </c>
      <c r="C105">
        <v>16289.948242</v>
      </c>
      <c r="D105">
        <v>13900.726562</v>
      </c>
      <c r="E105">
        <v>12072.722656</v>
      </c>
      <c r="F105">
        <v>10322.991211</v>
      </c>
      <c r="G105">
        <v>8847.1064449999994</v>
      </c>
      <c r="H105">
        <v>7544.6201170000004</v>
      </c>
      <c r="I105">
        <v>6421.7412109999996</v>
      </c>
      <c r="J105">
        <v>5376.4702150000003</v>
      </c>
      <c r="K105">
        <v>4458.6987300000001</v>
      </c>
      <c r="L105">
        <v>3639.6000979999999</v>
      </c>
      <c r="M105">
        <v>2911.6357419999999</v>
      </c>
      <c r="N105">
        <v>2303.1877439999998</v>
      </c>
      <c r="O105">
        <v>1782.548096</v>
      </c>
      <c r="P105">
        <v>1351.490356</v>
      </c>
      <c r="Q105">
        <v>1023.318787</v>
      </c>
      <c r="R105">
        <v>765.21624799999995</v>
      </c>
      <c r="S105">
        <v>572.08288600000003</v>
      </c>
      <c r="T105">
        <v>430.17083700000001</v>
      </c>
      <c r="U105">
        <v>319.52380399999998</v>
      </c>
      <c r="V105">
        <v>244.35476700000001</v>
      </c>
      <c r="W105">
        <v>190.69429</v>
      </c>
      <c r="X105">
        <v>143.907669</v>
      </c>
      <c r="Y105">
        <v>109.760086</v>
      </c>
      <c r="Z105">
        <v>77.386405999999994</v>
      </c>
      <c r="AA105">
        <v>57.208286000000001</v>
      </c>
      <c r="AB105">
        <v>37.695380999999998</v>
      </c>
      <c r="AC105">
        <v>26.386768</v>
      </c>
      <c r="AD105">
        <v>17.739004000000001</v>
      </c>
      <c r="AE105">
        <v>12.63904</v>
      </c>
      <c r="AF105">
        <v>6.8738640000000002</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55" zoomScaleNormal="55" workbookViewId="0">
      <selection activeCell="H38" sqref="H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46136</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3.9893839999999998</v>
      </c>
      <c r="C8" s="30">
        <f t="shared" ref="C8:F8" si="0">H52/$E$4</f>
        <v>4.4712589999999999</v>
      </c>
      <c r="D8" s="30">
        <f t="shared" si="0"/>
        <v>4.4437980000000001</v>
      </c>
      <c r="E8" s="30">
        <f t="shared" si="0"/>
        <v>4.4779450000000001</v>
      </c>
      <c r="F8" s="30">
        <f t="shared" si="0"/>
        <v>4.4778409999999997</v>
      </c>
      <c r="G8" s="31">
        <f>AVERAGE(B$8:F$8)*5</f>
        <v>21.860226999999995</v>
      </c>
      <c r="I8" s="32"/>
      <c r="K8" s="32"/>
      <c r="O8" s="81"/>
      <c r="P8" s="81"/>
      <c r="Q8" s="81"/>
      <c r="R8" s="81"/>
      <c r="S8" s="81"/>
    </row>
    <row r="9" spans="1:49" ht="13.15" x14ac:dyDescent="0.4">
      <c r="A9" s="11" t="s">
        <v>63</v>
      </c>
      <c r="B9" s="30">
        <f t="shared" ref="B9:F9" si="1">G53/$E$4</f>
        <v>17902.011718999998</v>
      </c>
      <c r="C9" s="30">
        <f t="shared" si="1"/>
        <v>18506.421875</v>
      </c>
      <c r="D9" s="30">
        <f t="shared" si="1"/>
        <v>18003.519531000002</v>
      </c>
      <c r="E9" s="30">
        <f t="shared" si="1"/>
        <v>17962.927734000001</v>
      </c>
      <c r="F9" s="30">
        <f t="shared" si="1"/>
        <v>18218.599609000001</v>
      </c>
      <c r="G9" s="33">
        <f t="shared" ref="G9:G38" si="2">AVERAGE(B9:F9)</f>
        <v>18118.6960936</v>
      </c>
      <c r="H9" s="34">
        <f t="shared" ref="H9:H38" si="3">G9*G$8</f>
        <v>396078.80955010914</v>
      </c>
      <c r="I9" s="32">
        <f t="shared" ref="I9:I38" si="4">STDEVP(B9:F9)/AVERAGE(B9:F9)</f>
        <v>1.2212034676072646E-2</v>
      </c>
      <c r="J9" s="32">
        <f t="shared" ref="J9:J38" si="5">IF(H9&gt;$A$43, $C$43, IF(H9&gt;$A$44, $C$44, IF(H9&gt;$A$45,$C$45,IF(H9&gt;$A$46,$C$46, IF(H9&gt;$A$47,$C$47,IF(H9&gt;$A$48,$C$48,$C$49))))))/100</f>
        <v>0.11</v>
      </c>
      <c r="K9" s="32">
        <f t="shared" ref="K9:K38" si="6">(MAX(B9:F9)-MIN(B9:F9))/G9</f>
        <v>3.3358369326228467E-2</v>
      </c>
      <c r="L9" s="16">
        <f>G9/'Clause 6'!$H$11</f>
        <v>18118.6960936</v>
      </c>
      <c r="M9">
        <f t="shared" ref="M9:M38" si="7">COUNTA(B9:F9)</f>
        <v>5</v>
      </c>
      <c r="O9" s="82">
        <f>IF(ISNUMBER(B9), (B9/$G9-1), 0)</f>
        <v>-1.19591593942866E-2</v>
      </c>
      <c r="P9" s="82">
        <f t="shared" ref="P9:S38" si="8">IF(ISNUMBER(C9), (C9/$G9-1), 0)</f>
        <v>2.1399209931941776E-2</v>
      </c>
      <c r="Q9" s="82">
        <f t="shared" si="8"/>
        <v>-6.3567798700857603E-3</v>
      </c>
      <c r="R9" s="82">
        <f t="shared" si="8"/>
        <v>-8.5971064802516928E-3</v>
      </c>
      <c r="S9" s="82">
        <f t="shared" si="8"/>
        <v>5.5138358126824993E-3</v>
      </c>
    </row>
    <row r="10" spans="1:49" ht="13.15" x14ac:dyDescent="0.4">
      <c r="A10" s="11" t="s">
        <v>64</v>
      </c>
      <c r="B10" s="30">
        <f t="shared" ref="B10:F10" si="9">G54/$E$4</f>
        <v>15288.827148</v>
      </c>
      <c r="C10" s="30">
        <f t="shared" si="9"/>
        <v>15770.280273</v>
      </c>
      <c r="D10" s="30">
        <f t="shared" si="9"/>
        <v>15348.358398</v>
      </c>
      <c r="E10" s="30">
        <f t="shared" si="9"/>
        <v>15346.772461</v>
      </c>
      <c r="F10" s="30">
        <f t="shared" si="9"/>
        <v>15553.922852</v>
      </c>
      <c r="G10" s="33">
        <f t="shared" si="2"/>
        <v>15461.632226400001</v>
      </c>
      <c r="H10" s="34">
        <f t="shared" si="3"/>
        <v>337994.79025961936</v>
      </c>
      <c r="I10" s="32">
        <f t="shared" si="4"/>
        <v>1.1557570678144106E-2</v>
      </c>
      <c r="J10" s="32">
        <f t="shared" si="5"/>
        <v>0.11</v>
      </c>
      <c r="K10" s="32">
        <f t="shared" si="6"/>
        <v>3.1138570491797218E-2</v>
      </c>
      <c r="L10" s="16">
        <f>G10/'Clause 6'!$H$11</f>
        <v>15461.632226400001</v>
      </c>
      <c r="M10">
        <f t="shared" si="7"/>
        <v>5</v>
      </c>
      <c r="O10" s="82">
        <f t="shared" ref="O10:O38" si="10">IF(ISNUMBER(B10), (B10/$G10-1), 0)</f>
        <v>-1.1176380078743886E-2</v>
      </c>
      <c r="P10" s="82">
        <f t="shared" si="8"/>
        <v>1.996219041305336E-2</v>
      </c>
      <c r="Q10" s="82">
        <f t="shared" si="8"/>
        <v>-7.3261235774700895E-3</v>
      </c>
      <c r="R10" s="82">
        <f t="shared" si="8"/>
        <v>-7.428695995231549E-3</v>
      </c>
      <c r="S10" s="82">
        <f t="shared" si="8"/>
        <v>5.9690092383919424E-3</v>
      </c>
    </row>
    <row r="11" spans="1:49" ht="13.15" x14ac:dyDescent="0.4">
      <c r="A11" s="11" t="s">
        <v>65</v>
      </c>
      <c r="B11" s="30">
        <f t="shared" ref="B11:F11" si="11">G55/$E$4</f>
        <v>13207.051758</v>
      </c>
      <c r="C11" s="30">
        <f t="shared" si="11"/>
        <v>13587.225586</v>
      </c>
      <c r="D11" s="30">
        <f t="shared" si="11"/>
        <v>13247.903319999999</v>
      </c>
      <c r="E11" s="30">
        <f t="shared" si="11"/>
        <v>13232.856444999999</v>
      </c>
      <c r="F11" s="30">
        <f t="shared" si="11"/>
        <v>13403.780273</v>
      </c>
      <c r="G11" s="33">
        <f t="shared" si="2"/>
        <v>13335.763476399999</v>
      </c>
      <c r="H11" s="34">
        <f t="shared" si="3"/>
        <v>291522.81681241305</v>
      </c>
      <c r="I11" s="32">
        <f t="shared" si="4"/>
        <v>1.0748732943528194E-2</v>
      </c>
      <c r="J11" s="32">
        <f t="shared" si="5"/>
        <v>0.11</v>
      </c>
      <c r="K11" s="32">
        <f t="shared" si="6"/>
        <v>2.8507841240044931E-2</v>
      </c>
      <c r="L11" s="16">
        <f>G11/'Clause 6'!$H$11</f>
        <v>13335.763476399999</v>
      </c>
      <c r="M11">
        <f t="shared" si="7"/>
        <v>5</v>
      </c>
      <c r="O11" s="82">
        <f t="shared" si="10"/>
        <v>-9.6516197687352978E-3</v>
      </c>
      <c r="P11" s="82">
        <f t="shared" si="8"/>
        <v>1.885622147130972E-2</v>
      </c>
      <c r="Q11" s="82">
        <f t="shared" si="8"/>
        <v>-6.5883109396386308E-3</v>
      </c>
      <c r="R11" s="82">
        <f t="shared" si="8"/>
        <v>-7.7166209180383749E-3</v>
      </c>
      <c r="S11" s="82">
        <f t="shared" si="8"/>
        <v>5.1003301551026947E-3</v>
      </c>
    </row>
    <row r="12" spans="1:49" ht="13.15" x14ac:dyDescent="0.4">
      <c r="A12" s="11" t="s">
        <v>66</v>
      </c>
      <c r="B12" s="30">
        <f t="shared" ref="B12:F12" si="12">G56/$E$4</f>
        <v>11296.230469</v>
      </c>
      <c r="C12" s="30">
        <f t="shared" si="12"/>
        <v>11591.143555000001</v>
      </c>
      <c r="D12" s="30">
        <f t="shared" si="12"/>
        <v>11261.314453000001</v>
      </c>
      <c r="E12" s="30">
        <f t="shared" si="12"/>
        <v>11261.639648</v>
      </c>
      <c r="F12" s="30">
        <f t="shared" si="12"/>
        <v>11405.495117</v>
      </c>
      <c r="G12" s="33">
        <f t="shared" si="2"/>
        <v>11363.164648399999</v>
      </c>
      <c r="H12" s="34">
        <f t="shared" si="3"/>
        <v>248401.35865239913</v>
      </c>
      <c r="I12" s="32">
        <f t="shared" si="4"/>
        <v>1.1056791221567181E-2</v>
      </c>
      <c r="J12" s="32">
        <f t="shared" si="5"/>
        <v>0.11</v>
      </c>
      <c r="K12" s="32">
        <f t="shared" si="6"/>
        <v>2.9026165879453447E-2</v>
      </c>
      <c r="L12" s="16">
        <f>G12/'Clause 6'!$H$11</f>
        <v>11363.164648399999</v>
      </c>
      <c r="M12">
        <f t="shared" si="7"/>
        <v>5</v>
      </c>
      <c r="O12" s="82">
        <f t="shared" si="10"/>
        <v>-5.8904523054168489E-3</v>
      </c>
      <c r="P12" s="82">
        <f t="shared" si="8"/>
        <v>2.0062976613834493E-2</v>
      </c>
      <c r="Q12" s="82">
        <f t="shared" si="8"/>
        <v>-8.9631892656188983E-3</v>
      </c>
      <c r="R12" s="82">
        <f t="shared" si="8"/>
        <v>-8.9345709176443799E-3</v>
      </c>
      <c r="S12" s="82">
        <f t="shared" si="8"/>
        <v>3.7252358748458558E-3</v>
      </c>
    </row>
    <row r="13" spans="1:49" ht="13.15" x14ac:dyDescent="0.4">
      <c r="A13" s="11" t="s">
        <v>67</v>
      </c>
      <c r="B13" s="30">
        <f t="shared" ref="B13:F13" si="13">G57/$E$4</f>
        <v>9642.8417969999991</v>
      </c>
      <c r="C13" s="30">
        <f t="shared" si="13"/>
        <v>9906.8300780000009</v>
      </c>
      <c r="D13" s="30">
        <f t="shared" si="13"/>
        <v>9588.4208980000003</v>
      </c>
      <c r="E13" s="30">
        <f t="shared" si="13"/>
        <v>9622.9414059999999</v>
      </c>
      <c r="F13" s="30">
        <f t="shared" si="13"/>
        <v>9713.3857420000004</v>
      </c>
      <c r="G13" s="33">
        <f t="shared" si="2"/>
        <v>9694.8839841999998</v>
      </c>
      <c r="H13" s="34">
        <f t="shared" si="3"/>
        <v>211932.36463327636</v>
      </c>
      <c r="I13" s="32">
        <f t="shared" si="4"/>
        <v>1.1713631148442616E-2</v>
      </c>
      <c r="J13" s="32">
        <f t="shared" si="5"/>
        <v>0.11</v>
      </c>
      <c r="K13" s="32">
        <f t="shared" si="6"/>
        <v>3.2843010862112443E-2</v>
      </c>
      <c r="L13" s="16">
        <f>G13/'Clause 6'!$H$11</f>
        <v>9694.8839841999998</v>
      </c>
      <c r="M13">
        <f t="shared" si="7"/>
        <v>5</v>
      </c>
      <c r="O13" s="82">
        <f t="shared" si="10"/>
        <v>-5.3680051545552665E-3</v>
      </c>
      <c r="P13" s="82">
        <f t="shared" si="8"/>
        <v>2.1861643124911456E-2</v>
      </c>
      <c r="Q13" s="82">
        <f t="shared" si="8"/>
        <v>-1.0981367737200931E-2</v>
      </c>
      <c r="R13" s="82">
        <f t="shared" si="8"/>
        <v>-7.4206744832889804E-3</v>
      </c>
      <c r="S13" s="82">
        <f t="shared" si="8"/>
        <v>1.9084042501338327E-3</v>
      </c>
    </row>
    <row r="14" spans="1:49" ht="13.15" x14ac:dyDescent="0.4">
      <c r="A14" s="11" t="s">
        <v>68</v>
      </c>
      <c r="B14" s="30">
        <f t="shared" ref="B14:F14" si="14">G58/$E$4</f>
        <v>8190.2368159999996</v>
      </c>
      <c r="C14" s="30">
        <f t="shared" si="14"/>
        <v>8424.9208980000003</v>
      </c>
      <c r="D14" s="30">
        <f t="shared" si="14"/>
        <v>8136.9594729999999</v>
      </c>
      <c r="E14" s="30">
        <f t="shared" si="14"/>
        <v>8186.5678710000002</v>
      </c>
      <c r="F14" s="30">
        <f t="shared" si="14"/>
        <v>8267.3759769999997</v>
      </c>
      <c r="G14" s="33">
        <f t="shared" si="2"/>
        <v>8241.2122070000005</v>
      </c>
      <c r="H14" s="34">
        <f t="shared" si="3"/>
        <v>180154.76960019095</v>
      </c>
      <c r="I14" s="32">
        <f t="shared" si="4"/>
        <v>1.224124006868633E-2</v>
      </c>
      <c r="J14" s="32">
        <f t="shared" si="5"/>
        <v>0.11</v>
      </c>
      <c r="K14" s="32">
        <f t="shared" si="6"/>
        <v>3.494163452743141E-2</v>
      </c>
      <c r="L14" s="16">
        <f>G14/'Clause 6'!$H$11</f>
        <v>8241.2122070000005</v>
      </c>
      <c r="M14">
        <f t="shared" si="7"/>
        <v>5</v>
      </c>
      <c r="O14" s="82">
        <f t="shared" si="10"/>
        <v>-6.1854239060490368E-3</v>
      </c>
      <c r="P14" s="82">
        <f t="shared" si="8"/>
        <v>2.2291464700297414E-2</v>
      </c>
      <c r="Q14" s="82">
        <f t="shared" si="8"/>
        <v>-1.2650169827134072E-2</v>
      </c>
      <c r="R14" s="82">
        <f t="shared" si="8"/>
        <v>-6.6306187278597495E-3</v>
      </c>
      <c r="S14" s="82">
        <f t="shared" si="8"/>
        <v>3.1747477607451113E-3</v>
      </c>
    </row>
    <row r="15" spans="1:49" ht="13.15" x14ac:dyDescent="0.4">
      <c r="A15" s="11" t="s">
        <v>69</v>
      </c>
      <c r="B15" s="30">
        <f t="shared" ref="B15:F15" si="15">G59/$E$4</f>
        <v>6941.4228519999997</v>
      </c>
      <c r="C15" s="30">
        <f t="shared" si="15"/>
        <v>7118.5771480000003</v>
      </c>
      <c r="D15" s="30">
        <f t="shared" si="15"/>
        <v>6896.5786129999997</v>
      </c>
      <c r="E15" s="30">
        <f t="shared" si="15"/>
        <v>6921.4785160000001</v>
      </c>
      <c r="F15" s="30">
        <f t="shared" si="15"/>
        <v>7013.6474609999996</v>
      </c>
      <c r="G15" s="33">
        <f t="shared" si="2"/>
        <v>6978.340917999999</v>
      </c>
      <c r="H15" s="34">
        <f t="shared" si="3"/>
        <v>152548.11655086832</v>
      </c>
      <c r="I15" s="32">
        <f t="shared" si="4"/>
        <v>1.1498759225230555E-2</v>
      </c>
      <c r="J15" s="32">
        <f t="shared" si="5"/>
        <v>0.11</v>
      </c>
      <c r="K15" s="32">
        <f t="shared" si="6"/>
        <v>3.1812509249494463E-2</v>
      </c>
      <c r="L15" s="16">
        <f>G15/'Clause 6'!$H$11</f>
        <v>6978.340917999999</v>
      </c>
      <c r="M15">
        <f t="shared" si="7"/>
        <v>5</v>
      </c>
      <c r="O15" s="82">
        <f t="shared" si="10"/>
        <v>-5.2903786779422424E-3</v>
      </c>
      <c r="P15" s="82">
        <f t="shared" si="8"/>
        <v>2.0095927047398154E-2</v>
      </c>
      <c r="Q15" s="82">
        <f t="shared" si="8"/>
        <v>-1.1716582202096371E-2</v>
      </c>
      <c r="R15" s="82">
        <f t="shared" si="8"/>
        <v>-8.1484127342256185E-3</v>
      </c>
      <c r="S15" s="82">
        <f t="shared" si="8"/>
        <v>5.0594465668667432E-3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5832.2290039999998</v>
      </c>
      <c r="C16" s="30">
        <f t="shared" si="16"/>
        <v>5928.3085940000001</v>
      </c>
      <c r="D16" s="30">
        <f t="shared" si="16"/>
        <v>5762.638672</v>
      </c>
      <c r="E16" s="30">
        <f t="shared" si="16"/>
        <v>5752.6391599999997</v>
      </c>
      <c r="F16" s="30">
        <f t="shared" si="16"/>
        <v>5836.7407229999999</v>
      </c>
      <c r="G16" s="33">
        <f t="shared" si="2"/>
        <v>5822.5112305999992</v>
      </c>
      <c r="H16" s="34">
        <f t="shared" si="3"/>
        <v>127281.4172109653</v>
      </c>
      <c r="I16" s="32">
        <f t="shared" si="4"/>
        <v>1.0850515948531257E-2</v>
      </c>
      <c r="J16" s="32">
        <f t="shared" si="5"/>
        <v>0.11</v>
      </c>
      <c r="K16" s="32">
        <f t="shared" si="6"/>
        <v>3.0170733390221034E-2</v>
      </c>
      <c r="L16" s="16">
        <f>G16/'Clause 6'!$H$11</f>
        <v>5822.5112305999992</v>
      </c>
      <c r="M16">
        <f t="shared" si="7"/>
        <v>5</v>
      </c>
      <c r="O16" s="82">
        <f t="shared" si="10"/>
        <v>1.6690003703092593E-3</v>
      </c>
      <c r="P16" s="82">
        <f t="shared" si="8"/>
        <v>1.8170400916358354E-2</v>
      </c>
      <c r="Q16" s="82">
        <f t="shared" si="8"/>
        <v>-1.0282944287911544E-2</v>
      </c>
      <c r="R16" s="82">
        <f t="shared" si="8"/>
        <v>-1.2000332473862674E-2</v>
      </c>
      <c r="S16" s="82">
        <f t="shared" si="8"/>
        <v>2.4438754751074931E-3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4785.2001950000003</v>
      </c>
      <c r="C17" s="30">
        <f t="shared" si="17"/>
        <v>4874.9135740000002</v>
      </c>
      <c r="D17" s="30">
        <f t="shared" si="17"/>
        <v>4743.9155270000001</v>
      </c>
      <c r="E17" s="30">
        <f t="shared" si="17"/>
        <v>4715.779297</v>
      </c>
      <c r="F17" s="30">
        <f t="shared" si="17"/>
        <v>4796.5073240000002</v>
      </c>
      <c r="G17" s="33">
        <f t="shared" si="2"/>
        <v>4783.2631834000003</v>
      </c>
      <c r="H17" s="34">
        <f t="shared" si="3"/>
        <v>104563.21898986661</v>
      </c>
      <c r="I17" s="32">
        <f t="shared" si="4"/>
        <v>1.1328501844230413E-2</v>
      </c>
      <c r="J17" s="32">
        <f t="shared" si="5"/>
        <v>0.11</v>
      </c>
      <c r="K17" s="32">
        <f t="shared" si="6"/>
        <v>3.3268977871061985E-2</v>
      </c>
      <c r="L17" s="16">
        <f>G17/'Clause 6'!$H$11</f>
        <v>4783.2631834000003</v>
      </c>
      <c r="M17">
        <f t="shared" si="7"/>
        <v>5</v>
      </c>
      <c r="O17" s="82">
        <f t="shared" si="10"/>
        <v>4.0495609915880415E-4</v>
      </c>
      <c r="P17" s="82">
        <f t="shared" si="8"/>
        <v>1.9160641404400769E-2</v>
      </c>
      <c r="Q17" s="82">
        <f t="shared" si="8"/>
        <v>-8.2261115249844252E-3</v>
      </c>
      <c r="R17" s="82">
        <f t="shared" si="8"/>
        <v>-1.4108336466661209E-2</v>
      </c>
      <c r="S17" s="82">
        <f t="shared" si="8"/>
        <v>2.7688504880858389E-3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3867.514404</v>
      </c>
      <c r="C18" s="30">
        <f t="shared" si="18"/>
        <v>3959.5114749999998</v>
      </c>
      <c r="D18" s="30">
        <f t="shared" si="18"/>
        <v>3833.883057</v>
      </c>
      <c r="E18" s="30">
        <f t="shared" si="18"/>
        <v>3824.7456050000001</v>
      </c>
      <c r="F18" s="30">
        <f t="shared" si="18"/>
        <v>3869.7216800000001</v>
      </c>
      <c r="G18" s="33">
        <f t="shared" si="2"/>
        <v>3871.0752441999998</v>
      </c>
      <c r="H18" s="34">
        <f t="shared" si="3"/>
        <v>84622.583572292409</v>
      </c>
      <c r="I18" s="32">
        <f t="shared" si="4"/>
        <v>1.2316049004338908E-2</v>
      </c>
      <c r="J18" s="32">
        <f t="shared" si="5"/>
        <v>0.11</v>
      </c>
      <c r="K18" s="32">
        <f t="shared" si="6"/>
        <v>3.4813549595017125E-2</v>
      </c>
      <c r="L18" s="16">
        <f>G18/'Clause 6'!$H$11</f>
        <v>3871.0752441999998</v>
      </c>
      <c r="M18">
        <f t="shared" si="7"/>
        <v>5</v>
      </c>
      <c r="O18" s="82">
        <f t="shared" si="10"/>
        <v>-9.1985817256712288E-4</v>
      </c>
      <c r="P18" s="82">
        <f t="shared" si="8"/>
        <v>2.2845391841066265E-2</v>
      </c>
      <c r="Q18" s="82">
        <f t="shared" si="8"/>
        <v>-9.6077148734643458E-3</v>
      </c>
      <c r="R18" s="82">
        <f t="shared" si="8"/>
        <v>-1.1968157753950992E-2</v>
      </c>
      <c r="S18" s="82">
        <f t="shared" si="8"/>
        <v>-3.4966104108358209E-4</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3071.1508789999998</v>
      </c>
      <c r="C19" s="30">
        <f t="shared" si="19"/>
        <v>3154.8164059999999</v>
      </c>
      <c r="D19" s="30">
        <f t="shared" si="19"/>
        <v>3036.366943</v>
      </c>
      <c r="E19" s="30">
        <f t="shared" si="19"/>
        <v>3041.5739749999998</v>
      </c>
      <c r="F19" s="30">
        <f t="shared" si="19"/>
        <v>3070.899414</v>
      </c>
      <c r="G19" s="33">
        <f t="shared" si="2"/>
        <v>3074.9615233999998</v>
      </c>
      <c r="H19" s="34">
        <f t="shared" si="3"/>
        <v>67219.356917789788</v>
      </c>
      <c r="I19" s="32">
        <f t="shared" si="4"/>
        <v>1.380664535501175E-2</v>
      </c>
      <c r="J19" s="32">
        <f t="shared" si="5"/>
        <v>0.11</v>
      </c>
      <c r="K19" s="32">
        <f t="shared" si="6"/>
        <v>3.8520632566819819E-2</v>
      </c>
      <c r="L19" s="16">
        <f>G19/'Clause 6'!$H$11</f>
        <v>3074.9615233999998</v>
      </c>
      <c r="M19">
        <f t="shared" si="7"/>
        <v>5</v>
      </c>
      <c r="O19" s="82">
        <f t="shared" si="10"/>
        <v>-1.2392494575953483E-3</v>
      </c>
      <c r="P19" s="82">
        <f t="shared" si="8"/>
        <v>2.5969392459813445E-2</v>
      </c>
      <c r="Q19" s="82">
        <f t="shared" si="8"/>
        <v>-1.2551240107006478E-2</v>
      </c>
      <c r="R19" s="82">
        <f t="shared" si="8"/>
        <v>-1.0857875178575616E-2</v>
      </c>
      <c r="S19" s="82">
        <f t="shared" si="8"/>
        <v>-1.3210277166357809E-3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2391.3466800000001</v>
      </c>
      <c r="C20" s="30">
        <f t="shared" si="20"/>
        <v>2468.8798830000001</v>
      </c>
      <c r="D20" s="30">
        <f t="shared" si="20"/>
        <v>2352.9423830000001</v>
      </c>
      <c r="E20" s="30">
        <f t="shared" si="20"/>
        <v>2375.4201659999999</v>
      </c>
      <c r="F20" s="30">
        <f t="shared" si="20"/>
        <v>2389.5441890000002</v>
      </c>
      <c r="G20" s="33">
        <f t="shared" si="2"/>
        <v>2395.6266602000001</v>
      </c>
      <c r="H20" s="34">
        <f t="shared" si="3"/>
        <v>52368.942599223854</v>
      </c>
      <c r="I20" s="32">
        <f t="shared" si="4"/>
        <v>1.6329465466462616E-2</v>
      </c>
      <c r="J20" s="32">
        <f t="shared" si="5"/>
        <v>0.11</v>
      </c>
      <c r="K20" s="32">
        <f t="shared" si="6"/>
        <v>4.8395479114563246E-2</v>
      </c>
      <c r="L20" s="16">
        <f>G20/'Clause 6'!$H$11</f>
        <v>2395.6266602000001</v>
      </c>
      <c r="M20">
        <f t="shared" si="7"/>
        <v>5</v>
      </c>
      <c r="O20" s="82">
        <f t="shared" si="10"/>
        <v>-1.7865806350821911E-3</v>
      </c>
      <c r="P20" s="82">
        <f t="shared" si="8"/>
        <v>3.0577895970603564E-2</v>
      </c>
      <c r="Q20" s="82">
        <f t="shared" si="8"/>
        <v>-1.7817583143959648E-2</v>
      </c>
      <c r="R20" s="82">
        <f t="shared" si="8"/>
        <v>-8.434742581430954E-3</v>
      </c>
      <c r="S20" s="82">
        <f t="shared" si="8"/>
        <v>-2.5389896101306597E-3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1828.101807</v>
      </c>
      <c r="C21" s="30">
        <f t="shared" si="21"/>
        <v>1902.596313</v>
      </c>
      <c r="D21" s="30">
        <f t="shared" si="21"/>
        <v>1796.4364009999999</v>
      </c>
      <c r="E21" s="30">
        <f t="shared" si="21"/>
        <v>1798.5928960000001</v>
      </c>
      <c r="F21" s="30">
        <f t="shared" si="21"/>
        <v>1828.559692</v>
      </c>
      <c r="G21" s="33">
        <f t="shared" si="2"/>
        <v>1830.8574218000001</v>
      </c>
      <c r="H21" s="34">
        <f t="shared" si="3"/>
        <v>40022.958845182744</v>
      </c>
      <c r="I21" s="32">
        <f t="shared" si="4"/>
        <v>2.0991335413225148E-2</v>
      </c>
      <c r="J21" s="32">
        <f t="shared" si="5"/>
        <v>0.11</v>
      </c>
      <c r="K21" s="32">
        <f t="shared" si="6"/>
        <v>5.7983713388030725E-2</v>
      </c>
      <c r="L21" s="16">
        <f>G21/'Clause 6'!$H$11</f>
        <v>1830.8574218000001</v>
      </c>
      <c r="M21">
        <f t="shared" si="7"/>
        <v>5</v>
      </c>
      <c r="O21" s="82">
        <f t="shared" si="10"/>
        <v>-1.5050952450961219E-3</v>
      </c>
      <c r="P21" s="82">
        <f t="shared" si="8"/>
        <v>3.9183221121320333E-2</v>
      </c>
      <c r="Q21" s="82">
        <f t="shared" si="8"/>
        <v>-1.8800492266710322E-2</v>
      </c>
      <c r="R21" s="82">
        <f t="shared" si="8"/>
        <v>-1.7622631569136238E-2</v>
      </c>
      <c r="S21" s="82">
        <f t="shared" si="8"/>
        <v>-1.2550020403778728E-3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1384.674927</v>
      </c>
      <c r="C22" s="30">
        <f t="shared" si="22"/>
        <v>1422.6419679999999</v>
      </c>
      <c r="D22" s="30">
        <f t="shared" si="22"/>
        <v>1362.7983400000001</v>
      </c>
      <c r="E22" s="30">
        <f t="shared" si="22"/>
        <v>1358.658936</v>
      </c>
      <c r="F22" s="30">
        <f t="shared" si="22"/>
        <v>1367.846558</v>
      </c>
      <c r="G22" s="33">
        <f t="shared" si="2"/>
        <v>1379.3241458</v>
      </c>
      <c r="H22" s="34">
        <f t="shared" si="3"/>
        <v>30152.33893376909</v>
      </c>
      <c r="I22" s="32">
        <f t="shared" si="4"/>
        <v>1.6962205065993486E-2</v>
      </c>
      <c r="J22" s="32">
        <f t="shared" si="5"/>
        <v>0.11</v>
      </c>
      <c r="K22" s="32">
        <f t="shared" si="6"/>
        <v>4.6387234063020102E-2</v>
      </c>
      <c r="L22" s="16">
        <f>G22/'Clause 6'!$H$11</f>
        <v>1379.3241458</v>
      </c>
      <c r="M22">
        <f t="shared" si="7"/>
        <v>5</v>
      </c>
      <c r="O22" s="82">
        <f t="shared" si="10"/>
        <v>3.8792775550930969E-3</v>
      </c>
      <c r="P22" s="82">
        <f t="shared" si="8"/>
        <v>3.1405106864765164E-2</v>
      </c>
      <c r="Q22" s="82">
        <f t="shared" si="8"/>
        <v>-1.198108932575459E-2</v>
      </c>
      <c r="R22" s="82">
        <f t="shared" si="8"/>
        <v>-1.498212719825498E-2</v>
      </c>
      <c r="S22" s="82">
        <f t="shared" si="8"/>
        <v>-8.3211678958488022E-3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1042.2662350000001</v>
      </c>
      <c r="C23" s="30">
        <f t="shared" si="23"/>
        <v>1065.919067</v>
      </c>
      <c r="D23" s="30">
        <f t="shared" si="23"/>
        <v>1024.5740969999999</v>
      </c>
      <c r="E23" s="30">
        <f t="shared" si="23"/>
        <v>1010.731506</v>
      </c>
      <c r="F23" s="30">
        <f t="shared" si="23"/>
        <v>1014.997986</v>
      </c>
      <c r="G23" s="33">
        <f t="shared" si="2"/>
        <v>1031.6977781999999</v>
      </c>
      <c r="H23" s="34">
        <f t="shared" si="3"/>
        <v>22553.147626847644</v>
      </c>
      <c r="I23" s="32">
        <f t="shared" si="4"/>
        <v>1.9635932713839819E-2</v>
      </c>
      <c r="J23" s="32">
        <f t="shared" si="5"/>
        <v>0.11</v>
      </c>
      <c r="K23" s="32">
        <f t="shared" si="6"/>
        <v>5.34919839570515E-2</v>
      </c>
      <c r="L23" s="16">
        <f>G23/'Clause 6'!$H$11</f>
        <v>1031.6977781999999</v>
      </c>
      <c r="M23">
        <f t="shared" si="7"/>
        <v>5</v>
      </c>
      <c r="O23" s="82">
        <f t="shared" si="10"/>
        <v>1.0243752602083545E-2</v>
      </c>
      <c r="P23" s="82">
        <f t="shared" si="8"/>
        <v>3.3169877383768309E-2</v>
      </c>
      <c r="Q23" s="82">
        <f t="shared" si="8"/>
        <v>-6.904813939241583E-3</v>
      </c>
      <c r="R23" s="82">
        <f t="shared" si="8"/>
        <v>-2.0322106573283261E-2</v>
      </c>
      <c r="S23" s="82">
        <f t="shared" si="8"/>
        <v>-1.6186709473326566E-2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774.05438200000003</v>
      </c>
      <c r="C24" s="30">
        <f t="shared" si="24"/>
        <v>802.90588400000001</v>
      </c>
      <c r="D24" s="30">
        <f t="shared" si="24"/>
        <v>790.99011199999995</v>
      </c>
      <c r="E24" s="30">
        <f t="shared" si="24"/>
        <v>759.27685499999995</v>
      </c>
      <c r="F24" s="30">
        <f t="shared" si="24"/>
        <v>761.08099400000003</v>
      </c>
      <c r="G24" s="33">
        <f t="shared" si="2"/>
        <v>777.6616454</v>
      </c>
      <c r="H24" s="34">
        <f t="shared" si="3"/>
        <v>16999.860097637502</v>
      </c>
      <c r="I24" s="32">
        <f t="shared" si="4"/>
        <v>2.1828996667961887E-2</v>
      </c>
      <c r="J24" s="32">
        <f t="shared" si="5"/>
        <v>0.11</v>
      </c>
      <c r="K24" s="32">
        <f t="shared" si="6"/>
        <v>5.6102842744107463E-2</v>
      </c>
      <c r="L24" s="16">
        <f>G24/'Clause 6'!$H$11</f>
        <v>777.6616454</v>
      </c>
      <c r="M24">
        <f t="shared" si="7"/>
        <v>5</v>
      </c>
      <c r="O24" s="82">
        <f t="shared" si="10"/>
        <v>-4.638602689662652E-3</v>
      </c>
      <c r="P24" s="82">
        <f t="shared" si="8"/>
        <v>3.2461725159423693E-2</v>
      </c>
      <c r="Q24" s="82">
        <f t="shared" si="8"/>
        <v>1.7139159014514904E-2</v>
      </c>
      <c r="R24" s="82">
        <f t="shared" si="8"/>
        <v>-2.3641117584683791E-2</v>
      </c>
      <c r="S24" s="82">
        <f t="shared" si="8"/>
        <v>-2.1321163899592266E-2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587.058044</v>
      </c>
      <c r="C25" s="30">
        <f t="shared" si="25"/>
        <v>601.17303500000003</v>
      </c>
      <c r="D25" s="30">
        <f t="shared" si="25"/>
        <v>605.56311000000005</v>
      </c>
      <c r="E25" s="30">
        <f t="shared" si="25"/>
        <v>572.13745100000006</v>
      </c>
      <c r="F25" s="30">
        <f t="shared" si="25"/>
        <v>577.73370399999999</v>
      </c>
      <c r="G25" s="33">
        <f t="shared" si="2"/>
        <v>588.73306879999996</v>
      </c>
      <c r="H25" s="34">
        <f t="shared" si="3"/>
        <v>12869.838526374613</v>
      </c>
      <c r="I25" s="32">
        <f t="shared" si="4"/>
        <v>2.197928659053899E-2</v>
      </c>
      <c r="J25" s="32">
        <f t="shared" si="5"/>
        <v>0.11</v>
      </c>
      <c r="K25" s="32">
        <f t="shared" si="6"/>
        <v>5.6775575844806359E-2</v>
      </c>
      <c r="L25" s="16">
        <f>G25/'Clause 6'!$H$11</f>
        <v>588.73306879999996</v>
      </c>
      <c r="M25">
        <f t="shared" si="7"/>
        <v>5</v>
      </c>
      <c r="O25" s="82">
        <f t="shared" si="10"/>
        <v>-2.8451345588826893E-3</v>
      </c>
      <c r="P25" s="82">
        <f t="shared" si="8"/>
        <v>2.1130061923234855E-2</v>
      </c>
      <c r="Q25" s="82">
        <f t="shared" si="8"/>
        <v>2.8586879337870963E-2</v>
      </c>
      <c r="R25" s="82">
        <f t="shared" si="8"/>
        <v>-2.818869650693534E-2</v>
      </c>
      <c r="S25" s="82">
        <f t="shared" si="8"/>
        <v>-1.8683110195287123E-2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442.17352299999999</v>
      </c>
      <c r="C26" s="30"/>
      <c r="D26" s="30">
        <f t="shared" si="26"/>
        <v>450.74060100000003</v>
      </c>
      <c r="E26" s="30">
        <f t="shared" si="26"/>
        <v>433.01113900000001</v>
      </c>
      <c r="F26" s="30">
        <f t="shared" si="26"/>
        <v>435.92431599999998</v>
      </c>
      <c r="G26" s="33">
        <f t="shared" si="2"/>
        <v>440.46239475000004</v>
      </c>
      <c r="H26" s="34">
        <f t="shared" si="3"/>
        <v>9628.607934198606</v>
      </c>
      <c r="I26" s="32">
        <f t="shared" si="4"/>
        <v>1.5426834115048279E-2</v>
      </c>
      <c r="J26" s="32">
        <f t="shared" si="5"/>
        <v>0.113</v>
      </c>
      <c r="K26" s="32">
        <f t="shared" si="6"/>
        <v>4.0251931178058899E-2</v>
      </c>
      <c r="L26" s="16">
        <f>G26/'Clause 6'!$H$11</f>
        <v>440.46239475000004</v>
      </c>
      <c r="M26">
        <f t="shared" si="7"/>
        <v>4</v>
      </c>
      <c r="O26" s="82">
        <f t="shared" si="10"/>
        <v>3.8848452680533274E-3</v>
      </c>
      <c r="P26" s="82">
        <f t="shared" si="8"/>
        <v>0</v>
      </c>
      <c r="Q26" s="82">
        <f t="shared" si="8"/>
        <v>2.3335036935068443E-2</v>
      </c>
      <c r="R26" s="82">
        <f t="shared" si="8"/>
        <v>-1.6916894242990366E-2</v>
      </c>
      <c r="S26" s="82">
        <f t="shared" si="8"/>
        <v>-1.0302987960131849E-2</v>
      </c>
    </row>
    <row r="27" spans="1:49" ht="13.15" x14ac:dyDescent="0.4">
      <c r="A27" s="11" t="s">
        <v>81</v>
      </c>
      <c r="B27" s="30">
        <f t="shared" ref="B27:F27" si="27">G71/$E$4</f>
        <v>342.659424</v>
      </c>
      <c r="C27" s="30"/>
      <c r="D27" s="30">
        <f t="shared" si="27"/>
        <v>340.24951199999998</v>
      </c>
      <c r="E27" s="30">
        <f t="shared" si="27"/>
        <v>328.49890099999999</v>
      </c>
      <c r="F27" s="30">
        <f t="shared" si="27"/>
        <v>338.55599999999998</v>
      </c>
      <c r="G27" s="33">
        <f t="shared" si="2"/>
        <v>337.49095925</v>
      </c>
      <c r="H27" s="34">
        <f t="shared" si="3"/>
        <v>7377.6289796527481</v>
      </c>
      <c r="I27" s="32">
        <f t="shared" si="4"/>
        <v>1.5978057400458014E-2</v>
      </c>
      <c r="J27" s="32">
        <f t="shared" si="5"/>
        <v>0.113</v>
      </c>
      <c r="K27" s="32">
        <f t="shared" si="6"/>
        <v>4.1958229137363218E-2</v>
      </c>
      <c r="L27" s="16">
        <f>G27/'Clause 6'!$H$11</f>
        <v>337.49095925</v>
      </c>
      <c r="M27">
        <f t="shared" si="7"/>
        <v>4</v>
      </c>
      <c r="O27" s="82">
        <f t="shared" si="10"/>
        <v>1.531437986216222E-2</v>
      </c>
      <c r="P27" s="82">
        <f t="shared" si="8"/>
        <v>0</v>
      </c>
      <c r="Q27" s="82">
        <f t="shared" si="8"/>
        <v>8.1737085820914324E-3</v>
      </c>
      <c r="R27" s="82">
        <f t="shared" si="8"/>
        <v>-2.6643849275201026E-2</v>
      </c>
      <c r="S27" s="82">
        <f t="shared" si="8"/>
        <v>3.1557608309473739E-3</v>
      </c>
    </row>
    <row r="28" spans="1:49" ht="13.15" x14ac:dyDescent="0.4">
      <c r="A28" s="11" t="s">
        <v>82</v>
      </c>
      <c r="B28" s="30">
        <f t="shared" ref="B28:F28" si="28">G72/$E$4</f>
        <v>260.69189499999999</v>
      </c>
      <c r="C28" s="30"/>
      <c r="D28" s="30">
        <f t="shared" si="28"/>
        <v>258.33758499999999</v>
      </c>
      <c r="E28" s="30">
        <f t="shared" si="28"/>
        <v>238.27894599999999</v>
      </c>
      <c r="F28" s="30">
        <f t="shared" si="28"/>
        <v>255.70356799999999</v>
      </c>
      <c r="G28" s="33">
        <f t="shared" si="2"/>
        <v>253.25299849999999</v>
      </c>
      <c r="H28" s="34">
        <f t="shared" si="3"/>
        <v>5536.1680356406578</v>
      </c>
      <c r="I28" s="32">
        <f t="shared" si="4"/>
        <v>3.4840716900007777E-2</v>
      </c>
      <c r="J28" s="32">
        <f t="shared" si="5"/>
        <v>0.113</v>
      </c>
      <c r="K28" s="32">
        <f t="shared" si="6"/>
        <v>8.850023151848288E-2</v>
      </c>
      <c r="L28" s="16">
        <f>G28/'Clause 6'!$H$11</f>
        <v>253.25299849999999</v>
      </c>
      <c r="M28">
        <f t="shared" si="7"/>
        <v>4</v>
      </c>
      <c r="O28" s="82">
        <f t="shared" si="10"/>
        <v>2.9373379758818485E-2</v>
      </c>
      <c r="P28" s="82">
        <f t="shared" si="8"/>
        <v>0</v>
      </c>
      <c r="Q28" s="82">
        <f t="shared" si="8"/>
        <v>2.0077102858073292E-2</v>
      </c>
      <c r="R28" s="82">
        <f t="shared" si="8"/>
        <v>-5.9126851759664367E-2</v>
      </c>
      <c r="S28" s="82">
        <f t="shared" si="8"/>
        <v>9.6763691427723675E-3</v>
      </c>
    </row>
    <row r="29" spans="1:49" ht="13.15" x14ac:dyDescent="0.4">
      <c r="A29" s="11" t="s">
        <v>83</v>
      </c>
      <c r="B29" s="30">
        <f t="shared" ref="B29:F29" si="29">G73/$E$4</f>
        <v>194.265579</v>
      </c>
      <c r="C29" s="30"/>
      <c r="D29" s="30">
        <f t="shared" si="29"/>
        <v>198.70391799999999</v>
      </c>
      <c r="E29" s="30">
        <f t="shared" si="29"/>
        <v>178.430069</v>
      </c>
      <c r="F29" s="30">
        <f t="shared" si="29"/>
        <v>192.50346400000001</v>
      </c>
      <c r="G29" s="33">
        <f t="shared" si="2"/>
        <v>190.97575750000001</v>
      </c>
      <c r="H29" s="34">
        <f t="shared" si="3"/>
        <v>4174.7734104469519</v>
      </c>
      <c r="I29" s="32">
        <f t="shared" si="4"/>
        <v>3.9729738165685542E-2</v>
      </c>
      <c r="J29" s="32">
        <f t="shared" si="5"/>
        <v>0.11900000000000001</v>
      </c>
      <c r="K29" s="32">
        <f t="shared" si="6"/>
        <v>0.10615928045212746</v>
      </c>
      <c r="L29" s="16">
        <f>G29/'Clause 6'!$H$11</f>
        <v>190.97575750000001</v>
      </c>
      <c r="M29">
        <f t="shared" si="7"/>
        <v>4</v>
      </c>
      <c r="O29" s="82">
        <f t="shared" si="10"/>
        <v>1.7226382777929317E-2</v>
      </c>
      <c r="P29" s="82">
        <f t="shared" si="8"/>
        <v>0</v>
      </c>
      <c r="Q29" s="82">
        <f t="shared" si="8"/>
        <v>4.0466709498455433E-2</v>
      </c>
      <c r="R29" s="82">
        <f t="shared" si="8"/>
        <v>-6.569257095367198E-2</v>
      </c>
      <c r="S29" s="82">
        <f t="shared" si="8"/>
        <v>7.9994786772870086E-3</v>
      </c>
    </row>
    <row r="30" spans="1:49" ht="13.15" x14ac:dyDescent="0.4">
      <c r="A30" s="11" t="s">
        <v>84</v>
      </c>
      <c r="B30" s="30">
        <f t="shared" ref="B30:F30" si="30">G74/$E$4</f>
        <v>147.14051799999999</v>
      </c>
      <c r="C30" s="30"/>
      <c r="D30" s="30">
        <f t="shared" si="30"/>
        <v>145.596191</v>
      </c>
      <c r="E30" s="30">
        <f t="shared" si="30"/>
        <v>131.756866</v>
      </c>
      <c r="F30" s="30">
        <f t="shared" si="30"/>
        <v>143.595978</v>
      </c>
      <c r="G30" s="33">
        <f t="shared" si="2"/>
        <v>142.02238825000001</v>
      </c>
      <c r="H30" s="34">
        <f t="shared" si="3"/>
        <v>3104.6416462271322</v>
      </c>
      <c r="I30" s="32">
        <f t="shared" si="4"/>
        <v>4.2659168317138278E-2</v>
      </c>
      <c r="J30" s="32">
        <f t="shared" si="5"/>
        <v>0.11900000000000001</v>
      </c>
      <c r="K30" s="32">
        <f t="shared" si="6"/>
        <v>0.1083184995658597</v>
      </c>
      <c r="L30" s="16">
        <f>G30/'Clause 6'!$H$11</f>
        <v>142.02238825000001</v>
      </c>
      <c r="M30">
        <f t="shared" si="7"/>
        <v>4</v>
      </c>
      <c r="O30" s="82">
        <f t="shared" si="10"/>
        <v>3.6037485449059048E-2</v>
      </c>
      <c r="P30" s="82">
        <f t="shared" si="8"/>
        <v>0</v>
      </c>
      <c r="Q30" s="82">
        <f t="shared" si="8"/>
        <v>2.5163657603821443E-2</v>
      </c>
      <c r="R30" s="82">
        <f t="shared" si="8"/>
        <v>-7.2281014116800768E-2</v>
      </c>
      <c r="S30" s="82">
        <f t="shared" si="8"/>
        <v>1.1079871063920166E-2</v>
      </c>
    </row>
    <row r="31" spans="1:49" ht="13.15" x14ac:dyDescent="0.4">
      <c r="A31" s="11" t="s">
        <v>85</v>
      </c>
      <c r="B31" s="30">
        <f t="shared" ref="B31:F31" si="31">G75/$E$4</f>
        <v>110.543381</v>
      </c>
      <c r="C31" s="30">
        <f t="shared" si="31"/>
        <v>118.08755499999999</v>
      </c>
      <c r="D31" s="30">
        <f t="shared" si="31"/>
        <v>108.46579</v>
      </c>
      <c r="E31" s="30"/>
      <c r="F31" s="30">
        <f t="shared" si="31"/>
        <v>106.74786400000001</v>
      </c>
      <c r="G31" s="33">
        <f t="shared" si="2"/>
        <v>110.9611475</v>
      </c>
      <c r="H31" s="34">
        <f t="shared" si="3"/>
        <v>2425.6358725304817</v>
      </c>
      <c r="I31" s="32">
        <f t="shared" si="4"/>
        <v>3.9007882264928642E-2</v>
      </c>
      <c r="J31" s="32">
        <f t="shared" si="5"/>
        <v>0.11900000000000001</v>
      </c>
      <c r="K31" s="32">
        <f t="shared" si="6"/>
        <v>0.10219514898221459</v>
      </c>
      <c r="L31" s="16">
        <f>G31/'Clause 6'!$H$11</f>
        <v>110.9611475</v>
      </c>
      <c r="M31">
        <f t="shared" si="7"/>
        <v>4</v>
      </c>
      <c r="O31" s="82">
        <f t="shared" si="10"/>
        <v>-3.7649799899555081E-3</v>
      </c>
      <c r="P31" s="82">
        <f t="shared" si="8"/>
        <v>6.4224349338132036E-2</v>
      </c>
      <c r="Q31" s="82">
        <f t="shared" si="8"/>
        <v>-2.2488569704093964E-2</v>
      </c>
      <c r="R31" s="82">
        <f t="shared" si="8"/>
        <v>0</v>
      </c>
      <c r="S31" s="82">
        <f t="shared" si="8"/>
        <v>-3.7970799644082565E-2</v>
      </c>
    </row>
    <row r="32" spans="1:49" ht="13.15" x14ac:dyDescent="0.4">
      <c r="A32" s="11" t="s">
        <v>86</v>
      </c>
      <c r="B32" s="30">
        <f t="shared" ref="B32:F32" si="32">G76/$E$4</f>
        <v>82.218208000000004</v>
      </c>
      <c r="C32" s="30">
        <f t="shared" si="32"/>
        <v>86.552811000000005</v>
      </c>
      <c r="D32" s="30">
        <f t="shared" si="32"/>
        <v>75.836037000000005</v>
      </c>
      <c r="E32" s="30"/>
      <c r="F32" s="30">
        <f t="shared" si="32"/>
        <v>77.716019000000003</v>
      </c>
      <c r="G32" s="33">
        <f t="shared" si="2"/>
        <v>80.580768750000004</v>
      </c>
      <c r="H32" s="34">
        <f t="shared" si="3"/>
        <v>1761.5138967095058</v>
      </c>
      <c r="I32" s="32">
        <f t="shared" si="4"/>
        <v>5.1566780285517241E-2</v>
      </c>
      <c r="J32" s="32">
        <f t="shared" si="5"/>
        <v>0.13400000000000001</v>
      </c>
      <c r="K32" s="32">
        <f t="shared" si="6"/>
        <v>0.13299418913771532</v>
      </c>
      <c r="L32" s="16">
        <f>G32/'Clause 6'!$H$11</f>
        <v>80.580768750000004</v>
      </c>
      <c r="M32">
        <f t="shared" si="7"/>
        <v>4</v>
      </c>
      <c r="O32" s="82">
        <f t="shared" si="10"/>
        <v>2.0320471936425832E-2</v>
      </c>
      <c r="P32" s="82">
        <f t="shared" si="8"/>
        <v>7.4112500322851549E-2</v>
      </c>
      <c r="Q32" s="82">
        <f t="shared" si="8"/>
        <v>-5.8881688814863775E-2</v>
      </c>
      <c r="R32" s="82">
        <f t="shared" si="8"/>
        <v>0</v>
      </c>
      <c r="S32" s="82">
        <f t="shared" si="8"/>
        <v>-3.5551283444413717E-2</v>
      </c>
    </row>
    <row r="33" spans="1:19" ht="13.15" x14ac:dyDescent="0.4">
      <c r="A33" s="11" t="s">
        <v>87</v>
      </c>
      <c r="B33" s="30">
        <f t="shared" ref="B33:F33" si="33">G77/$E$4</f>
        <v>55.647689999999997</v>
      </c>
      <c r="C33" s="30"/>
      <c r="D33" s="30">
        <f t="shared" si="33"/>
        <v>52.207599999999999</v>
      </c>
      <c r="E33" s="30">
        <f t="shared" si="33"/>
        <v>49.576312999999999</v>
      </c>
      <c r="F33" s="30">
        <f t="shared" si="33"/>
        <v>54.267220000000002</v>
      </c>
      <c r="G33" s="33">
        <f t="shared" si="2"/>
        <v>52.924705750000001</v>
      </c>
      <c r="H33" s="34">
        <f t="shared" si="3"/>
        <v>1156.9460816032049</v>
      </c>
      <c r="I33" s="32">
        <f t="shared" si="4"/>
        <v>4.3234516720247522E-2</v>
      </c>
      <c r="J33" s="32">
        <f t="shared" si="5"/>
        <v>0.13400000000000001</v>
      </c>
      <c r="K33" s="32">
        <f t="shared" si="6"/>
        <v>0.11471725565521917</v>
      </c>
      <c r="L33" s="16">
        <f>G33/'Clause 6'!$H$11</f>
        <v>52.924705750000001</v>
      </c>
      <c r="M33">
        <f t="shared" si="7"/>
        <v>4</v>
      </c>
      <c r="O33" s="82">
        <f t="shared" si="10"/>
        <v>5.1450153787581554E-2</v>
      </c>
      <c r="P33" s="82">
        <f t="shared" si="8"/>
        <v>0</v>
      </c>
      <c r="Q33" s="82">
        <f t="shared" si="8"/>
        <v>-1.3549546281605984E-2</v>
      </c>
      <c r="R33" s="82">
        <f t="shared" si="8"/>
        <v>-6.3267101867637732E-2</v>
      </c>
      <c r="S33" s="82">
        <f t="shared" si="8"/>
        <v>2.5366494361662051E-2</v>
      </c>
    </row>
    <row r="34" spans="1:19" ht="13.15" x14ac:dyDescent="0.4">
      <c r="A34" s="11" t="s">
        <v>88</v>
      </c>
      <c r="B34" s="30">
        <f t="shared" ref="B34:F34" si="34">G78/$E$4</f>
        <v>40.607773000000002</v>
      </c>
      <c r="C34" s="30">
        <f t="shared" si="34"/>
        <v>42.046326000000001</v>
      </c>
      <c r="D34" s="30">
        <f t="shared" si="34"/>
        <v>37.130405000000003</v>
      </c>
      <c r="E34" s="30">
        <f t="shared" si="34"/>
        <v>36.400627</v>
      </c>
      <c r="F34" s="30">
        <f t="shared" si="34"/>
        <v>37.741397999999997</v>
      </c>
      <c r="G34" s="33">
        <f t="shared" si="2"/>
        <v>38.785305800000003</v>
      </c>
      <c r="H34" s="34">
        <f t="shared" si="3"/>
        <v>847.85558905241646</v>
      </c>
      <c r="I34" s="32">
        <f t="shared" si="4"/>
        <v>5.5861355583041027E-2</v>
      </c>
      <c r="J34" s="32">
        <f t="shared" si="5"/>
        <v>0.156</v>
      </c>
      <c r="K34" s="32">
        <f t="shared" si="6"/>
        <v>0.14556283323154823</v>
      </c>
      <c r="L34" s="16">
        <f>G34/'Clause 6'!$H$11</f>
        <v>38.785305800000003</v>
      </c>
      <c r="M34">
        <f t="shared" si="7"/>
        <v>5</v>
      </c>
      <c r="O34" s="82">
        <f t="shared" si="10"/>
        <v>4.6988599481404547E-2</v>
      </c>
      <c r="P34" s="82">
        <f t="shared" si="8"/>
        <v>8.4078754382284515E-2</v>
      </c>
      <c r="Q34" s="82">
        <f t="shared" si="8"/>
        <v>-4.2668241641142357E-2</v>
      </c>
      <c r="R34" s="82">
        <f t="shared" si="8"/>
        <v>-6.1484078849263657E-2</v>
      </c>
      <c r="S34" s="82">
        <f t="shared" si="8"/>
        <v>-2.6915033373283492E-2</v>
      </c>
    </row>
    <row r="35" spans="1:19" ht="13.15" x14ac:dyDescent="0.4">
      <c r="A35" s="11" t="s">
        <v>89</v>
      </c>
      <c r="B35" s="30">
        <f t="shared" ref="B35:F35" si="35">G79/$E$4</f>
        <v>29.077171</v>
      </c>
      <c r="C35" s="30">
        <f t="shared" si="35"/>
        <v>29.298238999999999</v>
      </c>
      <c r="D35" s="30">
        <f t="shared" si="35"/>
        <v>26.778898000000002</v>
      </c>
      <c r="E35" s="30">
        <f t="shared" si="35"/>
        <v>25.234791000000001</v>
      </c>
      <c r="F35" s="30">
        <f t="shared" si="35"/>
        <v>26.575303999999999</v>
      </c>
      <c r="G35" s="33">
        <f t="shared" si="2"/>
        <v>27.392880600000002</v>
      </c>
      <c r="H35" s="34">
        <f t="shared" si="3"/>
        <v>598.81458809989613</v>
      </c>
      <c r="I35" s="32">
        <f t="shared" si="4"/>
        <v>5.6953740847191785E-2</v>
      </c>
      <c r="J35" s="32">
        <f t="shared" si="5"/>
        <v>0.156</v>
      </c>
      <c r="K35" s="32">
        <f t="shared" si="6"/>
        <v>0.14833956528106057</v>
      </c>
      <c r="L35" s="16">
        <f>G35/'Clause 6'!$H$11</f>
        <v>27.392880600000002</v>
      </c>
      <c r="M35">
        <f t="shared" si="7"/>
        <v>5</v>
      </c>
      <c r="O35" s="82">
        <f t="shared" si="10"/>
        <v>6.1486428703668272E-2</v>
      </c>
      <c r="P35" s="82">
        <f t="shared" si="8"/>
        <v>6.9556700802032356E-2</v>
      </c>
      <c r="Q35" s="82">
        <f t="shared" si="8"/>
        <v>-2.241394795113294E-2</v>
      </c>
      <c r="R35" s="82">
        <f t="shared" si="8"/>
        <v>-7.8782864479028158E-2</v>
      </c>
      <c r="S35" s="82">
        <f t="shared" si="8"/>
        <v>-2.9846317075539752E-2</v>
      </c>
    </row>
    <row r="36" spans="1:19" ht="13.15" x14ac:dyDescent="0.4">
      <c r="A36" s="11" t="s">
        <v>90</v>
      </c>
      <c r="B36" s="30">
        <f t="shared" ref="B36:F36" si="36">G80/$E$4</f>
        <v>21.055883000000001</v>
      </c>
      <c r="C36" s="30"/>
      <c r="D36" s="30">
        <f t="shared" si="36"/>
        <v>17.102488999999998</v>
      </c>
      <c r="E36" s="30">
        <f t="shared" si="36"/>
        <v>17.865338999999999</v>
      </c>
      <c r="F36" s="30">
        <f t="shared" si="36"/>
        <v>18.089072999999999</v>
      </c>
      <c r="G36" s="33">
        <f t="shared" si="2"/>
        <v>18.528196000000001</v>
      </c>
      <c r="H36" s="34">
        <f t="shared" si="3"/>
        <v>405.0305704604919</v>
      </c>
      <c r="I36" s="32">
        <f t="shared" si="4"/>
        <v>8.1200428807720063E-2</v>
      </c>
      <c r="J36" s="32">
        <f t="shared" si="5"/>
        <v>0.193</v>
      </c>
      <c r="K36" s="32">
        <f t="shared" si="6"/>
        <v>0.21337177132625337</v>
      </c>
      <c r="L36" s="16">
        <f>G36/'Clause 6'!$H$11</f>
        <v>18.528196000000001</v>
      </c>
      <c r="M36">
        <f t="shared" si="7"/>
        <v>4</v>
      </c>
      <c r="O36" s="82">
        <f t="shared" si="10"/>
        <v>0.1364238051022344</v>
      </c>
      <c r="P36" s="82">
        <f t="shared" si="8"/>
        <v>0</v>
      </c>
      <c r="Q36" s="82">
        <f t="shared" si="8"/>
        <v>-7.6947966224018893E-2</v>
      </c>
      <c r="R36" s="82">
        <f t="shared" si="8"/>
        <v>-3.5775582253123939E-2</v>
      </c>
      <c r="S36" s="82">
        <f t="shared" si="8"/>
        <v>-2.3700256625091898E-2</v>
      </c>
    </row>
    <row r="37" spans="1:19" ht="13.15" x14ac:dyDescent="0.4">
      <c r="A37" s="11" t="s">
        <v>91</v>
      </c>
      <c r="B37" s="30">
        <f t="shared" ref="B37:E37" si="37">G81/$E$4</f>
        <v>14.28792</v>
      </c>
      <c r="C37" s="30">
        <f t="shared" si="37"/>
        <v>14.984595000000001</v>
      </c>
      <c r="D37" s="30">
        <f t="shared" si="37"/>
        <v>11.251637000000001</v>
      </c>
      <c r="E37" s="30">
        <f t="shared" si="37"/>
        <v>10.049253</v>
      </c>
      <c r="F37" s="30"/>
      <c r="G37" s="33">
        <f t="shared" si="2"/>
        <v>12.64335125</v>
      </c>
      <c r="H37" s="34">
        <f t="shared" si="3"/>
        <v>276.38652836573368</v>
      </c>
      <c r="I37" s="32">
        <f t="shared" si="4"/>
        <v>0.16234415489584927</v>
      </c>
      <c r="J37" s="32">
        <f t="shared" si="5"/>
        <v>0.193</v>
      </c>
      <c r="K37" s="32">
        <f t="shared" si="6"/>
        <v>0.39035077824006514</v>
      </c>
      <c r="L37" s="16">
        <f>G37/'Clause 6'!$H$11</f>
        <v>12.64335125</v>
      </c>
      <c r="M37">
        <f t="shared" si="7"/>
        <v>4</v>
      </c>
      <c r="O37" s="82">
        <f t="shared" si="10"/>
        <v>0.1300738006468023</v>
      </c>
      <c r="P37" s="82">
        <f t="shared" si="8"/>
        <v>0.1851758844396576</v>
      </c>
      <c r="Q37" s="82">
        <f t="shared" si="8"/>
        <v>-0.11007479128605235</v>
      </c>
      <c r="R37" s="82">
        <f t="shared" si="8"/>
        <v>-0.20517489380040754</v>
      </c>
      <c r="S37" s="82">
        <f t="shared" si="8"/>
        <v>0</v>
      </c>
    </row>
    <row r="38" spans="1:19" ht="13.15" x14ac:dyDescent="0.4">
      <c r="A38" s="11" t="s">
        <v>92</v>
      </c>
      <c r="B38" s="30">
        <f t="shared" ref="B38:E38" si="38">G82/$E$4</f>
        <v>10.527941999999999</v>
      </c>
      <c r="C38" s="30">
        <f t="shared" si="38"/>
        <v>10.735232</v>
      </c>
      <c r="D38" s="30">
        <f t="shared" si="38"/>
        <v>7.4260809999999999</v>
      </c>
      <c r="E38" s="30">
        <f t="shared" si="38"/>
        <v>6.6995019999999998</v>
      </c>
      <c r="F38" s="30"/>
      <c r="G38" s="33">
        <f t="shared" si="2"/>
        <v>8.8471892499999996</v>
      </c>
      <c r="H38" s="34">
        <f t="shared" si="3"/>
        <v>193.4015653169597</v>
      </c>
      <c r="I38" s="32">
        <f t="shared" si="4"/>
        <v>0.20393852337539034</v>
      </c>
      <c r="J38" s="32">
        <f t="shared" si="5"/>
        <v>0.27500000000000002</v>
      </c>
      <c r="K38" s="32">
        <f t="shared" si="6"/>
        <v>0.45615956502795507</v>
      </c>
      <c r="L38" s="16">
        <f>G38/'Clause 6'!$H$11</f>
        <v>8.8471892499999996</v>
      </c>
      <c r="M38">
        <f t="shared" si="7"/>
        <v>4</v>
      </c>
      <c r="O38" s="82">
        <f t="shared" si="10"/>
        <v>0.18997590110327978</v>
      </c>
      <c r="P38" s="82">
        <f t="shared" si="8"/>
        <v>0.21340594132763702</v>
      </c>
      <c r="Q38" s="82">
        <f t="shared" si="8"/>
        <v>-0.16062821873059852</v>
      </c>
      <c r="R38" s="82">
        <f t="shared" si="8"/>
        <v>-0.24275362370031817</v>
      </c>
      <c r="S38" s="82">
        <f t="shared" si="8"/>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51">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51">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51">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51">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51">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51">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51">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51">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51">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51">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51">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51">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51">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51">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51">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51">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51">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51">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51">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51">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51">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51">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51">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51">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51">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51">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51">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51">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51">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51">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55" zoomScaleNormal="55"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46136</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4.0045830000000002</v>
      </c>
      <c r="C8" s="30">
        <f t="shared" ref="C8:F8" si="0">M52/$E$4</f>
        <v>4.4827570000000003</v>
      </c>
      <c r="D8" s="30">
        <f t="shared" si="0"/>
        <v>4.4763520000000003</v>
      </c>
      <c r="E8" s="30">
        <f t="shared" si="0"/>
        <v>4.4940040000000003</v>
      </c>
      <c r="F8" s="30">
        <f t="shared" si="0"/>
        <v>4.4892890000000003</v>
      </c>
      <c r="G8" s="31">
        <f>AVERAGE(B$8:F$8)*5</f>
        <v>21.946984999999998</v>
      </c>
      <c r="I8" s="32"/>
      <c r="K8" s="32"/>
      <c r="O8" s="81"/>
      <c r="P8" s="81"/>
      <c r="Q8" s="81"/>
      <c r="R8" s="81"/>
      <c r="S8" s="81"/>
    </row>
    <row r="9" spans="1:49" x14ac:dyDescent="0.35">
      <c r="A9" s="11" t="s">
        <v>63</v>
      </c>
      <c r="B9" s="30">
        <f t="shared" ref="B9:F9" si="1">L53/$E$4</f>
        <v>16683.632812</v>
      </c>
      <c r="C9" s="30">
        <f t="shared" si="1"/>
        <v>17167.5625</v>
      </c>
      <c r="D9" s="30">
        <f t="shared" si="1"/>
        <v>16436.597656000002</v>
      </c>
      <c r="E9" s="30">
        <f t="shared" si="1"/>
        <v>17196.470702999999</v>
      </c>
      <c r="F9" s="30">
        <f t="shared" si="1"/>
        <v>16491.476562</v>
      </c>
      <c r="G9" s="22">
        <f t="shared" ref="G9:G38" si="2">AVERAGE(B9:F9)</f>
        <v>16795.148046599999</v>
      </c>
      <c r="H9" s="34">
        <f t="shared" ref="H9:H38" si="3">G9*G$8</f>
        <v>368602.86225150945</v>
      </c>
      <c r="I9" s="32">
        <f t="shared" ref="I9:I38" si="4">STDEVP(B9:F9)/G9</f>
        <v>1.943925469782733E-2</v>
      </c>
      <c r="J9" s="32">
        <f t="shared" ref="J9:J38" si="5">IF(H9&gt;$A$43, $C$43, IF(H9&gt;$A$44, $C$44, IF(H9&gt;$A$45,$C$45,IF(H9&gt;$A$46,$C$46, IF(H9&gt;$A$47,$C$47,IF(H9&gt;$A$48,$C$48,$C$49))))))/100</f>
        <v>0.11</v>
      </c>
      <c r="K9" s="32">
        <f t="shared" ref="K9:K38" si="6">(MAX(B9:F9)-MIN(B9:F9))/G9</f>
        <v>4.524360517047217E-2</v>
      </c>
      <c r="L9" s="16">
        <f>G9/'Clause 6'!$I$11</f>
        <v>16795.148046599999</v>
      </c>
      <c r="M9">
        <f t="shared" ref="M9:M38" si="7">COUNTA(B9:F9)</f>
        <v>5</v>
      </c>
      <c r="O9" s="82">
        <f>IF(ISNUMBER(B9), (B9/$G9-1), 0)</f>
        <v>-6.6397291819392246E-3</v>
      </c>
      <c r="P9" s="82">
        <f t="shared" ref="P9:S38" si="8">IF(ISNUMBER(C9), (C9/$G9-1), 0)</f>
        <v>2.2173930969033195E-2</v>
      </c>
      <c r="Q9" s="82">
        <f t="shared" si="8"/>
        <v>-2.1348450731435098E-2</v>
      </c>
      <c r="R9" s="82">
        <f t="shared" si="8"/>
        <v>2.3895154439037114E-2</v>
      </c>
      <c r="S9" s="82">
        <f t="shared" si="8"/>
        <v>-1.8080905494695765E-2</v>
      </c>
    </row>
    <row r="10" spans="1:49" x14ac:dyDescent="0.35">
      <c r="A10" s="11" t="s">
        <v>64</v>
      </c>
      <c r="B10" s="30">
        <f t="shared" ref="B10:F10" si="9">L54/$E$4</f>
        <v>14226.948242</v>
      </c>
      <c r="C10" s="30">
        <f t="shared" si="9"/>
        <v>14638.314453000001</v>
      </c>
      <c r="D10" s="30">
        <f t="shared" si="9"/>
        <v>14057.875</v>
      </c>
      <c r="E10" s="30">
        <f t="shared" si="9"/>
        <v>14655.973633</v>
      </c>
      <c r="F10" s="30">
        <f t="shared" si="9"/>
        <v>14056.124023</v>
      </c>
      <c r="G10" s="22">
        <f t="shared" si="2"/>
        <v>14327.047070199998</v>
      </c>
      <c r="H10" s="34">
        <f t="shared" si="3"/>
        <v>314435.4871439733</v>
      </c>
      <c r="I10" s="32">
        <f t="shared" si="4"/>
        <v>1.875354969847343E-2</v>
      </c>
      <c r="J10" s="32">
        <f t="shared" si="5"/>
        <v>0.11</v>
      </c>
      <c r="K10" s="32">
        <f t="shared" si="6"/>
        <v>4.186833525853878E-2</v>
      </c>
      <c r="L10" s="16">
        <f>G10/'Clause 6'!$I$11</f>
        <v>14327.047070199998</v>
      </c>
      <c r="M10">
        <f t="shared" si="7"/>
        <v>5</v>
      </c>
      <c r="O10" s="82">
        <f t="shared" ref="O10:O38" si="10">IF(ISNUMBER(B10), (B10/$G10-1), 0)</f>
        <v>-6.9867033806430001E-3</v>
      </c>
      <c r="P10" s="82">
        <f t="shared" si="8"/>
        <v>2.1725857483042121E-2</v>
      </c>
      <c r="Q10" s="82">
        <f t="shared" si="8"/>
        <v>-1.8787686595926112E-2</v>
      </c>
      <c r="R10" s="82">
        <f t="shared" si="8"/>
        <v>2.2958433876033135E-2</v>
      </c>
      <c r="S10" s="82">
        <f t="shared" si="8"/>
        <v>-1.8909901382505589E-2</v>
      </c>
    </row>
    <row r="11" spans="1:49" x14ac:dyDescent="0.35">
      <c r="A11" s="11" t="s">
        <v>65</v>
      </c>
      <c r="B11" s="30">
        <f t="shared" ref="B11:F11" si="11">L55/$E$4</f>
        <v>12302.903319999999</v>
      </c>
      <c r="C11" s="30">
        <f t="shared" si="11"/>
        <v>12665.420898</v>
      </c>
      <c r="D11" s="30">
        <f t="shared" si="11"/>
        <v>12215.973633</v>
      </c>
      <c r="E11" s="30">
        <f t="shared" si="11"/>
        <v>12692.913086</v>
      </c>
      <c r="F11" s="30">
        <f t="shared" si="11"/>
        <v>12162.951171999999</v>
      </c>
      <c r="G11" s="22">
        <f t="shared" si="2"/>
        <v>12408.032421800001</v>
      </c>
      <c r="H11" s="34">
        <f t="shared" si="3"/>
        <v>272318.90144075826</v>
      </c>
      <c r="I11" s="32">
        <f t="shared" si="4"/>
        <v>1.821505431837335E-2</v>
      </c>
      <c r="J11" s="32">
        <f t="shared" si="5"/>
        <v>0.11</v>
      </c>
      <c r="K11" s="32">
        <f t="shared" si="6"/>
        <v>4.2711196746141412E-2</v>
      </c>
      <c r="L11" s="16">
        <f>G11/'Clause 6'!$I$11</f>
        <v>12408.032421800001</v>
      </c>
      <c r="M11">
        <f t="shared" si="7"/>
        <v>5</v>
      </c>
      <c r="O11" s="82">
        <f t="shared" si="10"/>
        <v>-8.472664982346223E-3</v>
      </c>
      <c r="P11" s="82">
        <f t="shared" si="8"/>
        <v>2.0743697908766512E-2</v>
      </c>
      <c r="Q11" s="82">
        <f t="shared" si="8"/>
        <v>-1.5478585344648854E-2</v>
      </c>
      <c r="R11" s="82">
        <f t="shared" si="8"/>
        <v>2.2959374582184777E-2</v>
      </c>
      <c r="S11" s="82">
        <f t="shared" si="8"/>
        <v>-1.9751822163956656E-2</v>
      </c>
    </row>
    <row r="12" spans="1:49" x14ac:dyDescent="0.35">
      <c r="A12" s="11" t="s">
        <v>66</v>
      </c>
      <c r="B12" s="30">
        <f t="shared" ref="B12:F12" si="12">L56/$E$4</f>
        <v>10538.174805000001</v>
      </c>
      <c r="C12" s="30">
        <f t="shared" si="12"/>
        <v>10815.889648</v>
      </c>
      <c r="D12" s="30">
        <f t="shared" si="12"/>
        <v>10467.898438</v>
      </c>
      <c r="E12" s="30">
        <f t="shared" si="12"/>
        <v>10861.138671999999</v>
      </c>
      <c r="F12" s="30">
        <f t="shared" si="12"/>
        <v>10393.851562</v>
      </c>
      <c r="G12" s="22">
        <f t="shared" si="2"/>
        <v>10615.390625</v>
      </c>
      <c r="H12" s="34">
        <f t="shared" si="3"/>
        <v>232975.81881601561</v>
      </c>
      <c r="I12" s="32">
        <f t="shared" si="4"/>
        <v>1.7743562668758782E-2</v>
      </c>
      <c r="J12" s="32">
        <f t="shared" si="5"/>
        <v>0.11</v>
      </c>
      <c r="K12" s="32">
        <f t="shared" si="6"/>
        <v>4.4019775296775691E-2</v>
      </c>
      <c r="L12" s="16">
        <f>G12/'Clause 6'!$I$11</f>
        <v>10615.390625</v>
      </c>
      <c r="M12">
        <f t="shared" si="7"/>
        <v>5</v>
      </c>
      <c r="O12" s="82">
        <f t="shared" si="10"/>
        <v>-7.2739499400191754E-3</v>
      </c>
      <c r="P12" s="82">
        <f t="shared" si="8"/>
        <v>1.8887578430492269E-2</v>
      </c>
      <c r="Q12" s="82">
        <f t="shared" si="8"/>
        <v>-1.3894183663165971E-2</v>
      </c>
      <c r="R12" s="82">
        <f t="shared" si="8"/>
        <v>2.3150165234734343E-2</v>
      </c>
      <c r="S12" s="82">
        <f t="shared" si="8"/>
        <v>-2.0869610062041466E-2</v>
      </c>
    </row>
    <row r="13" spans="1:49" x14ac:dyDescent="0.35">
      <c r="A13" s="11" t="s">
        <v>67</v>
      </c>
      <c r="B13" s="30">
        <f t="shared" ref="B13:F13" si="13">L57/$E$4</f>
        <v>9047.3828119999998</v>
      </c>
      <c r="C13" s="30">
        <f t="shared" si="13"/>
        <v>9273.3115230000003</v>
      </c>
      <c r="D13" s="30">
        <f t="shared" si="13"/>
        <v>8987.2285159999992</v>
      </c>
      <c r="E13" s="30">
        <f t="shared" si="13"/>
        <v>9313.9667969999991</v>
      </c>
      <c r="F13" s="30">
        <f t="shared" si="13"/>
        <v>8914.9980469999991</v>
      </c>
      <c r="G13" s="22">
        <f t="shared" si="2"/>
        <v>9107.3775389999992</v>
      </c>
      <c r="H13" s="34">
        <f t="shared" si="3"/>
        <v>199879.47823776989</v>
      </c>
      <c r="I13" s="32">
        <f t="shared" si="4"/>
        <v>1.7379000556921015E-2</v>
      </c>
      <c r="J13" s="32">
        <f t="shared" si="5"/>
        <v>0.11</v>
      </c>
      <c r="K13" s="32">
        <f t="shared" si="6"/>
        <v>4.3807204465996834E-2</v>
      </c>
      <c r="L13" s="16">
        <f>G13/'Clause 6'!$I$11</f>
        <v>9107.3775389999992</v>
      </c>
      <c r="M13">
        <f t="shared" si="7"/>
        <v>5</v>
      </c>
      <c r="O13" s="82">
        <f t="shared" si="10"/>
        <v>-6.5874865451758247E-3</v>
      </c>
      <c r="P13" s="82">
        <f t="shared" si="8"/>
        <v>1.8219732660629484E-2</v>
      </c>
      <c r="Q13" s="82">
        <f t="shared" si="8"/>
        <v>-1.3192493940818006E-2</v>
      </c>
      <c r="R13" s="82">
        <f t="shared" si="8"/>
        <v>2.2683726145680705E-2</v>
      </c>
      <c r="S13" s="82">
        <f t="shared" si="8"/>
        <v>-2.1123478320316025E-2</v>
      </c>
    </row>
    <row r="14" spans="1:49" x14ac:dyDescent="0.35">
      <c r="A14" s="11" t="s">
        <v>68</v>
      </c>
      <c r="B14" s="30">
        <f t="shared" ref="B14:F14" si="14">L58/$E$4</f>
        <v>7715.4091799999997</v>
      </c>
      <c r="C14" s="30">
        <f t="shared" si="14"/>
        <v>7895.5883789999998</v>
      </c>
      <c r="D14" s="30">
        <f t="shared" si="14"/>
        <v>7667.1801759999998</v>
      </c>
      <c r="E14" s="30">
        <f t="shared" si="14"/>
        <v>7921.6665039999998</v>
      </c>
      <c r="F14" s="30">
        <f t="shared" si="14"/>
        <v>7611.6733400000003</v>
      </c>
      <c r="G14" s="22">
        <f t="shared" si="2"/>
        <v>7762.3035158000002</v>
      </c>
      <c r="H14" s="34">
        <f t="shared" si="3"/>
        <v>170359.15882670984</v>
      </c>
      <c r="I14" s="32">
        <f t="shared" si="4"/>
        <v>1.5997313162349171E-2</v>
      </c>
      <c r="J14" s="32">
        <f t="shared" si="5"/>
        <v>0.11</v>
      </c>
      <c r="K14" s="32">
        <f t="shared" si="6"/>
        <v>3.9935717969416577E-2</v>
      </c>
      <c r="L14" s="16">
        <f>G14/'Clause 6'!$I$11</f>
        <v>7762.3035158000002</v>
      </c>
      <c r="M14">
        <f t="shared" si="7"/>
        <v>5</v>
      </c>
      <c r="O14" s="82">
        <f t="shared" si="10"/>
        <v>-6.0412911843176209E-3</v>
      </c>
      <c r="P14" s="82">
        <f t="shared" si="8"/>
        <v>1.7170787373709473E-2</v>
      </c>
      <c r="Q14" s="82">
        <f t="shared" si="8"/>
        <v>-1.2254524653201093E-2</v>
      </c>
      <c r="R14" s="82">
        <f t="shared" si="8"/>
        <v>2.0530373216612885E-2</v>
      </c>
      <c r="S14" s="82">
        <f t="shared" si="8"/>
        <v>-1.9405344752803755E-2</v>
      </c>
    </row>
    <row r="15" spans="1:49" x14ac:dyDescent="0.35">
      <c r="A15" s="11" t="s">
        <v>69</v>
      </c>
      <c r="B15" s="30">
        <f t="shared" ref="B15:F15" si="15">L59/$E$4</f>
        <v>6572.71875</v>
      </c>
      <c r="C15" s="30">
        <f t="shared" si="15"/>
        <v>6672.0107420000004</v>
      </c>
      <c r="D15" s="30">
        <f t="shared" si="15"/>
        <v>6492.7866210000002</v>
      </c>
      <c r="E15" s="30">
        <f t="shared" si="15"/>
        <v>6715.169922</v>
      </c>
      <c r="F15" s="30">
        <f t="shared" si="15"/>
        <v>6467.6166990000002</v>
      </c>
      <c r="G15" s="22">
        <f t="shared" si="2"/>
        <v>6584.0605468000012</v>
      </c>
      <c r="H15" s="34">
        <f t="shared" si="3"/>
        <v>144500.27805971142</v>
      </c>
      <c r="I15" s="32">
        <f t="shared" si="4"/>
        <v>1.471667048314668E-2</v>
      </c>
      <c r="J15" s="32">
        <f t="shared" si="5"/>
        <v>0.11</v>
      </c>
      <c r="K15" s="32">
        <f t="shared" si="6"/>
        <v>3.7598867938770125E-2</v>
      </c>
      <c r="L15" s="16">
        <f>G15/'Clause 6'!$I$11</f>
        <v>6584.0605468000012</v>
      </c>
      <c r="M15">
        <f t="shared" si="7"/>
        <v>5</v>
      </c>
      <c r="O15" s="82">
        <f t="shared" si="10"/>
        <v>-1.7226142924086085E-3</v>
      </c>
      <c r="P15" s="82">
        <f t="shared" si="8"/>
        <v>1.3358047754093771E-2</v>
      </c>
      <c r="Q15" s="82">
        <f t="shared" si="8"/>
        <v>-1.3862862461731518E-2</v>
      </c>
      <c r="R15" s="82">
        <f t="shared" si="8"/>
        <v>1.9913148469407727E-2</v>
      </c>
      <c r="S15" s="82">
        <f t="shared" si="8"/>
        <v>-1.7685719469362371E-2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5498.6992190000001</v>
      </c>
      <c r="C16" s="30">
        <f t="shared" si="16"/>
        <v>5575.5869140000004</v>
      </c>
      <c r="D16" s="30">
        <f t="shared" si="16"/>
        <v>5454.8881840000004</v>
      </c>
      <c r="E16" s="30">
        <f t="shared" si="16"/>
        <v>5617.9301759999998</v>
      </c>
      <c r="F16" s="30">
        <f t="shared" si="16"/>
        <v>5407.9833980000003</v>
      </c>
      <c r="G16" s="22">
        <f t="shared" si="2"/>
        <v>5511.0175781999997</v>
      </c>
      <c r="H16" s="34">
        <f t="shared" si="3"/>
        <v>120950.22012349172</v>
      </c>
      <c r="I16" s="32">
        <f t="shared" si="4"/>
        <v>1.394200274611666E-2</v>
      </c>
      <c r="J16" s="32">
        <f t="shared" si="5"/>
        <v>0.11</v>
      </c>
      <c r="K16" s="32">
        <f t="shared" si="6"/>
        <v>3.8095828042808026E-2</v>
      </c>
      <c r="L16" s="16">
        <f>G16/'Clause 6'!$I$11</f>
        <v>5511.0175781999997</v>
      </c>
      <c r="M16">
        <f t="shared" si="7"/>
        <v>5</v>
      </c>
      <c r="O16" s="82">
        <f t="shared" si="10"/>
        <v>-2.235224080708309E-3</v>
      </c>
      <c r="P16" s="82">
        <f t="shared" si="8"/>
        <v>1.1716408972350045E-2</v>
      </c>
      <c r="Q16" s="82">
        <f t="shared" si="8"/>
        <v>-1.0184941964625716E-2</v>
      </c>
      <c r="R16" s="82">
        <f t="shared" si="8"/>
        <v>1.9399792557896367E-2</v>
      </c>
      <c r="S16" s="82">
        <f t="shared" si="8"/>
        <v>-1.8696035484911722E-2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4547.0400390000004</v>
      </c>
      <c r="C17" s="30">
        <f t="shared" si="17"/>
        <v>4594.0483400000003</v>
      </c>
      <c r="D17" s="30">
        <f t="shared" si="17"/>
        <v>4511.4858400000003</v>
      </c>
      <c r="E17" s="30">
        <f t="shared" si="17"/>
        <v>4647.5263670000004</v>
      </c>
      <c r="F17" s="30">
        <f t="shared" si="17"/>
        <v>4461.2856449999999</v>
      </c>
      <c r="G17" s="22">
        <f t="shared" si="2"/>
        <v>4552.2772462000003</v>
      </c>
      <c r="H17" s="34">
        <f t="shared" si="3"/>
        <v>99908.760438192709</v>
      </c>
      <c r="I17" s="32">
        <f t="shared" si="4"/>
        <v>1.4164239228032087E-2</v>
      </c>
      <c r="J17" s="32">
        <f t="shared" si="5"/>
        <v>0.11</v>
      </c>
      <c r="K17" s="32">
        <f t="shared" si="6"/>
        <v>4.091155084094765E-2</v>
      </c>
      <c r="L17" s="16">
        <f>G17/'Clause 6'!$I$11</f>
        <v>4552.2772462000003</v>
      </c>
      <c r="M17">
        <f t="shared" si="7"/>
        <v>5</v>
      </c>
      <c r="O17" s="82">
        <f t="shared" si="10"/>
        <v>-1.1504587521270482E-3</v>
      </c>
      <c r="P17" s="82">
        <f t="shared" si="8"/>
        <v>9.1758677121145382E-3</v>
      </c>
      <c r="Q17" s="82">
        <f t="shared" si="8"/>
        <v>-8.9606594664353167E-3</v>
      </c>
      <c r="R17" s="82">
        <f t="shared" si="8"/>
        <v>2.0923400673697801E-2</v>
      </c>
      <c r="S17" s="82">
        <f t="shared" si="8"/>
        <v>-1.9988150167249863E-2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3714.2441410000001</v>
      </c>
      <c r="C18" s="30">
        <f t="shared" si="18"/>
        <v>3720.032471</v>
      </c>
      <c r="D18" s="30">
        <f t="shared" si="18"/>
        <v>3662.1335450000001</v>
      </c>
      <c r="E18" s="30">
        <f t="shared" si="18"/>
        <v>3784.3759770000001</v>
      </c>
      <c r="F18" s="30">
        <f t="shared" si="18"/>
        <v>3615.9401859999998</v>
      </c>
      <c r="G18" s="22">
        <f t="shared" si="2"/>
        <v>3699.3452640000005</v>
      </c>
      <c r="H18" s="34">
        <f t="shared" si="3"/>
        <v>81189.475018829049</v>
      </c>
      <c r="I18" s="32">
        <f t="shared" si="4"/>
        <v>1.5396878013750052E-2</v>
      </c>
      <c r="J18" s="32">
        <f t="shared" si="5"/>
        <v>0.11</v>
      </c>
      <c r="K18" s="32">
        <f t="shared" si="6"/>
        <v>4.5531243768762296E-2</v>
      </c>
      <c r="L18" s="16">
        <f>G18/'Clause 6'!$I$11</f>
        <v>3699.3452640000005</v>
      </c>
      <c r="M18">
        <f t="shared" si="7"/>
        <v>5</v>
      </c>
      <c r="O18" s="82">
        <f t="shared" si="10"/>
        <v>4.0274361912058243E-3</v>
      </c>
      <c r="P18" s="82">
        <f t="shared" si="8"/>
        <v>5.5921265855654045E-3</v>
      </c>
      <c r="Q18" s="82">
        <f t="shared" si="8"/>
        <v>-1.0059001348731722E-2</v>
      </c>
      <c r="R18" s="82">
        <f t="shared" si="8"/>
        <v>2.2985341170361107E-2</v>
      </c>
      <c r="S18" s="82">
        <f t="shared" si="8"/>
        <v>-2.2545902598401169E-2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2977.0886230000001</v>
      </c>
      <c r="C19" s="30">
        <f t="shared" si="19"/>
        <v>2979.1936040000001</v>
      </c>
      <c r="D19" s="30">
        <f t="shared" si="19"/>
        <v>2894.991211</v>
      </c>
      <c r="E19" s="30">
        <f t="shared" si="19"/>
        <v>3039.6057129999999</v>
      </c>
      <c r="F19" s="30">
        <f t="shared" si="19"/>
        <v>2897.563721</v>
      </c>
      <c r="G19" s="22">
        <f t="shared" si="2"/>
        <v>2957.6885744000001</v>
      </c>
      <c r="H19" s="34">
        <f t="shared" si="3"/>
        <v>64912.346777028179</v>
      </c>
      <c r="I19" s="32">
        <f t="shared" si="4"/>
        <v>1.8577276080768854E-2</v>
      </c>
      <c r="J19" s="32">
        <f t="shared" si="5"/>
        <v>0.11</v>
      </c>
      <c r="K19" s="32">
        <f t="shared" si="6"/>
        <v>4.8894431703086438E-2</v>
      </c>
      <c r="L19" s="16">
        <f>G19/'Clause 6'!$I$11</f>
        <v>2957.6885744000001</v>
      </c>
      <c r="M19">
        <f t="shared" si="7"/>
        <v>5</v>
      </c>
      <c r="O19" s="82">
        <f t="shared" si="10"/>
        <v>6.5591924612737884E-3</v>
      </c>
      <c r="P19" s="82">
        <f t="shared" si="8"/>
        <v>7.2708904467275737E-3</v>
      </c>
      <c r="Q19" s="82">
        <f t="shared" si="8"/>
        <v>-2.1198095006577544E-2</v>
      </c>
      <c r="R19" s="82">
        <f t="shared" si="8"/>
        <v>2.7696336696508839E-2</v>
      </c>
      <c r="S19" s="82">
        <f t="shared" si="8"/>
        <v>-2.0328324597932768E-2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2349.3081050000001</v>
      </c>
      <c r="C20" s="30">
        <f t="shared" si="20"/>
        <v>2329.8164059999999</v>
      </c>
      <c r="D20" s="30">
        <f t="shared" si="20"/>
        <v>2293.3852539999998</v>
      </c>
      <c r="E20" s="30">
        <f t="shared" si="20"/>
        <v>2396.9716800000001</v>
      </c>
      <c r="F20" s="30">
        <f t="shared" si="20"/>
        <v>2296.1320799999999</v>
      </c>
      <c r="G20" s="22">
        <f t="shared" si="2"/>
        <v>2333.1227049999998</v>
      </c>
      <c r="H20" s="34">
        <f t="shared" si="3"/>
        <v>51205.009009794412</v>
      </c>
      <c r="I20" s="32">
        <f t="shared" si="4"/>
        <v>1.6373761209406139E-2</v>
      </c>
      <c r="J20" s="32">
        <f t="shared" si="5"/>
        <v>0.11</v>
      </c>
      <c r="K20" s="32">
        <f t="shared" si="6"/>
        <v>4.43981903643599E-2</v>
      </c>
      <c r="L20" s="16">
        <f>G20/'Clause 6'!$I$11</f>
        <v>2333.1227049999998</v>
      </c>
      <c r="M20">
        <f t="shared" si="7"/>
        <v>5</v>
      </c>
      <c r="O20" s="82">
        <f t="shared" si="10"/>
        <v>6.9372262184557165E-3</v>
      </c>
      <c r="P20" s="82">
        <f t="shared" si="8"/>
        <v>-1.4171132075112558E-3</v>
      </c>
      <c r="Q20" s="82">
        <f t="shared" si="8"/>
        <v>-1.7031873597921243E-2</v>
      </c>
      <c r="R20" s="82">
        <f t="shared" si="8"/>
        <v>2.7366316766438636E-2</v>
      </c>
      <c r="S20" s="82">
        <f t="shared" si="8"/>
        <v>-1.5854556179461632E-2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1806.6798100000001</v>
      </c>
      <c r="C21" s="30">
        <f t="shared" si="21"/>
        <v>1816.293091</v>
      </c>
      <c r="D21" s="30">
        <f t="shared" si="21"/>
        <v>1772.648682</v>
      </c>
      <c r="E21" s="30">
        <f t="shared" si="21"/>
        <v>1849.130615</v>
      </c>
      <c r="F21" s="30">
        <f t="shared" si="21"/>
        <v>1767.7633060000001</v>
      </c>
      <c r="G21" s="22">
        <f t="shared" si="2"/>
        <v>1802.5031008000001</v>
      </c>
      <c r="H21" s="34">
        <f t="shared" si="3"/>
        <v>39559.508515711088</v>
      </c>
      <c r="I21" s="32">
        <f t="shared" si="4"/>
        <v>1.6606260697191625E-2</v>
      </c>
      <c r="J21" s="32">
        <f t="shared" si="5"/>
        <v>0.11</v>
      </c>
      <c r="K21" s="32">
        <f t="shared" si="6"/>
        <v>4.5141286560831405E-2</v>
      </c>
      <c r="L21" s="16">
        <f>G21/'Clause 6'!$I$11</f>
        <v>1802.5031008000001</v>
      </c>
      <c r="M21">
        <f t="shared" si="7"/>
        <v>5</v>
      </c>
      <c r="O21" s="82">
        <f t="shared" si="10"/>
        <v>2.3171717142380643E-3</v>
      </c>
      <c r="P21" s="82">
        <f t="shared" si="8"/>
        <v>7.6504668390748876E-3</v>
      </c>
      <c r="Q21" s="82">
        <f t="shared" si="8"/>
        <v>-1.6562755862527978E-2</v>
      </c>
      <c r="R21" s="82">
        <f t="shared" si="8"/>
        <v>2.586820193502315E-2</v>
      </c>
      <c r="S21" s="82">
        <f t="shared" si="8"/>
        <v>-1.9273084625808123E-2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1384.663452</v>
      </c>
      <c r="C22" s="30">
        <f t="shared" si="22"/>
        <v>1377.5006100000001</v>
      </c>
      <c r="D22" s="30">
        <f t="shared" si="22"/>
        <v>1357.131836</v>
      </c>
      <c r="E22" s="30">
        <f t="shared" si="22"/>
        <v>1412.1038820000001</v>
      </c>
      <c r="F22" s="30">
        <f t="shared" si="22"/>
        <v>1353.443726</v>
      </c>
      <c r="G22" s="22">
        <f t="shared" si="2"/>
        <v>1376.9687012000002</v>
      </c>
      <c r="H22" s="34">
        <f t="shared" si="3"/>
        <v>30220.311430705882</v>
      </c>
      <c r="I22" s="32">
        <f t="shared" si="4"/>
        <v>1.5374536926387431E-2</v>
      </c>
      <c r="J22" s="32">
        <f t="shared" si="5"/>
        <v>0.11</v>
      </c>
      <c r="K22" s="32">
        <f t="shared" si="6"/>
        <v>4.2600936353076879E-2</v>
      </c>
      <c r="L22" s="16">
        <f>G22/'Clause 6'!$I$11</f>
        <v>1376.9687012000002</v>
      </c>
      <c r="M22">
        <f t="shared" si="7"/>
        <v>5</v>
      </c>
      <c r="O22" s="82">
        <f t="shared" si="10"/>
        <v>5.5881813386855494E-3</v>
      </c>
      <c r="P22" s="82">
        <f t="shared" si="8"/>
        <v>3.8628968075760106E-4</v>
      </c>
      <c r="Q22" s="82">
        <f t="shared" si="8"/>
        <v>-1.4406184528895083E-2</v>
      </c>
      <c r="R22" s="82">
        <f t="shared" si="8"/>
        <v>2.5516324931264212E-2</v>
      </c>
      <c r="S22" s="82">
        <f t="shared" si="8"/>
        <v>-1.7084611421812723E-2</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1042.8050539999999</v>
      </c>
      <c r="C23" s="30">
        <f t="shared" si="23"/>
        <v>1036.862061</v>
      </c>
      <c r="D23" s="30">
        <f t="shared" si="23"/>
        <v>1023.824707</v>
      </c>
      <c r="E23" s="30">
        <f t="shared" si="23"/>
        <v>1069.4250489999999</v>
      </c>
      <c r="F23" s="30">
        <f t="shared" si="23"/>
        <v>1023.99292</v>
      </c>
      <c r="G23" s="22">
        <f t="shared" si="2"/>
        <v>1039.3819581999999</v>
      </c>
      <c r="H23" s="34">
        <f t="shared" si="3"/>
        <v>22811.300245886021</v>
      </c>
      <c r="I23" s="32">
        <f t="shared" si="4"/>
        <v>1.6096338730831883E-2</v>
      </c>
      <c r="J23" s="32">
        <f t="shared" si="5"/>
        <v>0.11</v>
      </c>
      <c r="K23" s="32">
        <f t="shared" si="6"/>
        <v>4.3872554877679965E-2</v>
      </c>
      <c r="L23" s="16">
        <f>G23/'Clause 6'!$I$11</f>
        <v>1039.3819581999999</v>
      </c>
      <c r="M23">
        <f t="shared" si="7"/>
        <v>5</v>
      </c>
      <c r="O23" s="82">
        <f t="shared" si="10"/>
        <v>3.2933954385048203E-3</v>
      </c>
      <c r="P23" s="82">
        <f t="shared" si="8"/>
        <v>-2.42441883863731E-3</v>
      </c>
      <c r="Q23" s="82">
        <f t="shared" si="8"/>
        <v>-1.4967790307753526E-2</v>
      </c>
      <c r="R23" s="82">
        <f t="shared" si="8"/>
        <v>2.89047645699263E-2</v>
      </c>
      <c r="S23" s="82">
        <f t="shared" si="8"/>
        <v>-1.480595086203973E-2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787.34783900000002</v>
      </c>
      <c r="C24" s="30">
        <f t="shared" si="24"/>
        <v>794.37725799999998</v>
      </c>
      <c r="D24" s="30">
        <f t="shared" si="24"/>
        <v>764.01495399999999</v>
      </c>
      <c r="E24" s="30">
        <f t="shared" si="24"/>
        <v>807.74298099999999</v>
      </c>
      <c r="F24" s="30">
        <f t="shared" si="24"/>
        <v>782.52929700000004</v>
      </c>
      <c r="G24" s="22">
        <f t="shared" si="2"/>
        <v>787.20246579999991</v>
      </c>
      <c r="H24" s="34">
        <f t="shared" si="3"/>
        <v>17276.720708875611</v>
      </c>
      <c r="I24" s="32">
        <f t="shared" si="4"/>
        <v>1.8258283702502168E-2</v>
      </c>
      <c r="J24" s="32">
        <f t="shared" si="5"/>
        <v>0.11</v>
      </c>
      <c r="K24" s="32">
        <f t="shared" si="6"/>
        <v>5.5548640787806844E-2</v>
      </c>
      <c r="L24" s="16">
        <f>G24/'Clause 6'!$I$11</f>
        <v>787.20246579999991</v>
      </c>
      <c r="M24">
        <f t="shared" si="7"/>
        <v>5</v>
      </c>
      <c r="O24" s="82">
        <f t="shared" si="10"/>
        <v>1.8467066138105892E-4</v>
      </c>
      <c r="P24" s="82">
        <f t="shared" si="8"/>
        <v>9.1142908104442366E-3</v>
      </c>
      <c r="Q24" s="82">
        <f t="shared" si="8"/>
        <v>-2.9455588374504682E-2</v>
      </c>
      <c r="R24" s="82">
        <f t="shared" si="8"/>
        <v>2.6093052413302065E-2</v>
      </c>
      <c r="S24" s="82">
        <f t="shared" si="8"/>
        <v>-5.9364255106222341E-3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593.07043499999997</v>
      </c>
      <c r="C25" s="30">
        <f t="shared" si="25"/>
        <v>595.83874500000002</v>
      </c>
      <c r="D25" s="30">
        <f t="shared" si="25"/>
        <v>587.08514400000001</v>
      </c>
      <c r="E25" s="30">
        <f t="shared" si="25"/>
        <v>613.03912400000002</v>
      </c>
      <c r="F25" s="30">
        <f t="shared" si="25"/>
        <v>583.38861099999997</v>
      </c>
      <c r="G25" s="22">
        <f t="shared" si="2"/>
        <v>594.48441179999998</v>
      </c>
      <c r="H25" s="34">
        <f t="shared" si="3"/>
        <v>13047.140468508422</v>
      </c>
      <c r="I25" s="32">
        <f t="shared" si="4"/>
        <v>1.7252730670740849E-2</v>
      </c>
      <c r="J25" s="32">
        <f t="shared" si="5"/>
        <v>0.11</v>
      </c>
      <c r="K25" s="32">
        <f t="shared" si="6"/>
        <v>4.9876014259521491E-2</v>
      </c>
      <c r="L25" s="16">
        <f>G25/'Clause 6'!$I$11</f>
        <v>594.48441179999998</v>
      </c>
      <c r="M25">
        <f t="shared" si="7"/>
        <v>5</v>
      </c>
      <c r="O25" s="82">
        <f t="shared" si="10"/>
        <v>-2.3784926432616205E-3</v>
      </c>
      <c r="P25" s="82">
        <f t="shared" si="8"/>
        <v>2.2781643607767688E-3</v>
      </c>
      <c r="Q25" s="82">
        <f t="shared" si="8"/>
        <v>-1.2446529552551655E-2</v>
      </c>
      <c r="R25" s="82">
        <f t="shared" si="8"/>
        <v>3.1211436047279051E-2</v>
      </c>
      <c r="S25" s="82">
        <f t="shared" si="8"/>
        <v>-1.8664578212242433E-2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450.733521</v>
      </c>
      <c r="C26" s="30">
        <f t="shared" si="26"/>
        <v>457.08480800000001</v>
      </c>
      <c r="D26" s="30">
        <f t="shared" si="26"/>
        <v>445.00518799999998</v>
      </c>
      <c r="E26" s="30">
        <f t="shared" si="26"/>
        <v>466.39926100000002</v>
      </c>
      <c r="F26" s="30">
        <f t="shared" si="26"/>
        <v>431.02596999999997</v>
      </c>
      <c r="G26" s="22">
        <f t="shared" si="2"/>
        <v>450.04974959999998</v>
      </c>
      <c r="H26" s="34">
        <f t="shared" si="3"/>
        <v>9877.2351037249555</v>
      </c>
      <c r="I26" s="32">
        <f t="shared" si="4"/>
        <v>2.6377359039648378E-2</v>
      </c>
      <c r="J26" s="32">
        <f t="shared" si="5"/>
        <v>0.113</v>
      </c>
      <c r="K26" s="32">
        <f t="shared" si="6"/>
        <v>7.8598623888668978E-2</v>
      </c>
      <c r="L26" s="16">
        <f>G26/'Clause 6'!$I$11</f>
        <v>450.04974959999998</v>
      </c>
      <c r="M26">
        <f t="shared" si="7"/>
        <v>5</v>
      </c>
      <c r="O26" s="82">
        <f t="shared" si="10"/>
        <v>1.5193240316382361E-3</v>
      </c>
      <c r="P26" s="82">
        <f t="shared" si="8"/>
        <v>1.5631734949864473E-2</v>
      </c>
      <c r="Q26" s="82">
        <f t="shared" si="8"/>
        <v>-1.1208897692940756E-2</v>
      </c>
      <c r="R26" s="82">
        <f t="shared" si="8"/>
        <v>3.6328231300053693E-2</v>
      </c>
      <c r="S26" s="82">
        <f t="shared" si="8"/>
        <v>-4.2270392588615313E-2</v>
      </c>
    </row>
    <row r="27" spans="1:49" x14ac:dyDescent="0.35">
      <c r="A27" s="11" t="s">
        <v>81</v>
      </c>
      <c r="B27" s="30">
        <f t="shared" ref="B27:F27" si="27">L71/$E$4</f>
        <v>348.60055499999999</v>
      </c>
      <c r="C27" s="30">
        <f t="shared" si="27"/>
        <v>349.11554000000001</v>
      </c>
      <c r="D27" s="30">
        <f t="shared" si="27"/>
        <v>329.73275799999999</v>
      </c>
      <c r="E27" s="30">
        <f t="shared" si="27"/>
        <v>356.47500600000001</v>
      </c>
      <c r="F27" s="30">
        <f t="shared" si="27"/>
        <v>326.33230600000002</v>
      </c>
      <c r="G27" s="22">
        <f t="shared" si="2"/>
        <v>342.05123300000002</v>
      </c>
      <c r="H27" s="34">
        <f t="shared" si="3"/>
        <v>7506.9932798825048</v>
      </c>
      <c r="I27" s="32">
        <f t="shared" si="4"/>
        <v>3.4583689576221148E-2</v>
      </c>
      <c r="J27" s="32">
        <f t="shared" si="5"/>
        <v>0.113</v>
      </c>
      <c r="K27" s="32">
        <f t="shared" si="6"/>
        <v>8.8123348469262758E-2</v>
      </c>
      <c r="L27" s="16">
        <f>G27/'Clause 6'!$I$11</f>
        <v>342.05123300000002</v>
      </c>
      <c r="M27">
        <f t="shared" si="7"/>
        <v>5</v>
      </c>
      <c r="O27" s="82">
        <f t="shared" si="10"/>
        <v>1.9147195999144273E-2</v>
      </c>
      <c r="P27" s="82">
        <f t="shared" si="8"/>
        <v>2.0652774550881325E-2</v>
      </c>
      <c r="Q27" s="82">
        <f t="shared" si="8"/>
        <v>-3.6013537773155857E-2</v>
      </c>
      <c r="R27" s="82">
        <f t="shared" si="8"/>
        <v>4.2168457846196272E-2</v>
      </c>
      <c r="S27" s="82">
        <f t="shared" si="8"/>
        <v>-4.5954890623066458E-2</v>
      </c>
    </row>
    <row r="28" spans="1:49" x14ac:dyDescent="0.35">
      <c r="A28" s="11" t="s">
        <v>82</v>
      </c>
      <c r="B28" s="30">
        <f t="shared" ref="B28:F28" si="28">L72/$E$4</f>
        <v>265.69555700000001</v>
      </c>
      <c r="C28" s="30">
        <f t="shared" si="28"/>
        <v>256.31549100000001</v>
      </c>
      <c r="D28" s="30">
        <f t="shared" si="28"/>
        <v>248.63995399999999</v>
      </c>
      <c r="E28" s="30">
        <f t="shared" si="28"/>
        <v>268.357574</v>
      </c>
      <c r="F28" s="30">
        <f t="shared" si="28"/>
        <v>250.15098599999999</v>
      </c>
      <c r="G28" s="22">
        <f t="shared" si="2"/>
        <v>257.83191240000008</v>
      </c>
      <c r="H28" s="34">
        <f t="shared" si="3"/>
        <v>5658.6331139641152</v>
      </c>
      <c r="I28" s="32">
        <f t="shared" si="4"/>
        <v>3.0951015129361964E-2</v>
      </c>
      <c r="J28" s="32">
        <f t="shared" si="5"/>
        <v>0.113</v>
      </c>
      <c r="K28" s="32">
        <f t="shared" si="6"/>
        <v>7.6474707170499992E-2</v>
      </c>
      <c r="L28" s="16">
        <f>G28/'Clause 6'!$I$11</f>
        <v>257.83191240000008</v>
      </c>
      <c r="M28">
        <f t="shared" si="7"/>
        <v>5</v>
      </c>
      <c r="O28" s="82">
        <f t="shared" si="10"/>
        <v>3.0499112878627166E-2</v>
      </c>
      <c r="P28" s="82">
        <f t="shared" si="8"/>
        <v>-5.8814340935713361E-3</v>
      </c>
      <c r="Q28" s="82">
        <f t="shared" si="8"/>
        <v>-3.5650972427880401E-2</v>
      </c>
      <c r="R28" s="82">
        <f t="shared" si="8"/>
        <v>4.0823734742619466E-2</v>
      </c>
      <c r="S28" s="82">
        <f t="shared" si="8"/>
        <v>-2.979044109979645E-2</v>
      </c>
    </row>
    <row r="29" spans="1:49" x14ac:dyDescent="0.35">
      <c r="A29" s="11" t="s">
        <v>83</v>
      </c>
      <c r="B29" s="30">
        <f t="shared" ref="B29:F29" si="29">L73/$E$4</f>
        <v>198.772232</v>
      </c>
      <c r="C29" s="30">
        <f t="shared" si="29"/>
        <v>192.738541</v>
      </c>
      <c r="D29" s="30">
        <f t="shared" si="29"/>
        <v>186.53581199999999</v>
      </c>
      <c r="E29" s="30">
        <f t="shared" si="29"/>
        <v>200.26686100000001</v>
      </c>
      <c r="F29" s="30">
        <f t="shared" si="29"/>
        <v>189.785065</v>
      </c>
      <c r="G29" s="22">
        <f t="shared" si="2"/>
        <v>193.61970219999998</v>
      </c>
      <c r="H29" s="34">
        <f t="shared" si="3"/>
        <v>4249.3686998878666</v>
      </c>
      <c r="I29" s="32">
        <f t="shared" si="4"/>
        <v>2.6975266495520147E-2</v>
      </c>
      <c r="J29" s="32">
        <f t="shared" si="5"/>
        <v>0.11900000000000001</v>
      </c>
      <c r="K29" s="32">
        <f t="shared" si="6"/>
        <v>7.091762276246294E-2</v>
      </c>
      <c r="L29" s="16">
        <f>G29/'Clause 6'!$I$11</f>
        <v>193.61970219999998</v>
      </c>
      <c r="M29">
        <f t="shared" si="7"/>
        <v>5</v>
      </c>
      <c r="O29" s="82">
        <f t="shared" si="10"/>
        <v>2.6611598620669863E-2</v>
      </c>
      <c r="P29" s="82">
        <f t="shared" si="8"/>
        <v>-4.5509893362494225E-3</v>
      </c>
      <c r="Q29" s="82">
        <f t="shared" si="8"/>
        <v>-3.6586618611171406E-2</v>
      </c>
      <c r="R29" s="82">
        <f t="shared" si="8"/>
        <v>3.4331004151291422E-2</v>
      </c>
      <c r="S29" s="82">
        <f t="shared" si="8"/>
        <v>-1.9804994824540012E-2</v>
      </c>
    </row>
    <row r="30" spans="1:49" x14ac:dyDescent="0.35">
      <c r="A30" s="11" t="s">
        <v>84</v>
      </c>
      <c r="B30" s="30">
        <f t="shared" ref="B30:F30" si="30">L74/$E$4</f>
        <v>144.834045</v>
      </c>
      <c r="C30" s="30">
        <f t="shared" si="30"/>
        <v>144.553909</v>
      </c>
      <c r="D30" s="30">
        <f t="shared" si="30"/>
        <v>140.292801</v>
      </c>
      <c r="E30" s="30">
        <f t="shared" si="30"/>
        <v>147.752441</v>
      </c>
      <c r="F30" s="30">
        <f t="shared" si="30"/>
        <v>142.11605800000001</v>
      </c>
      <c r="G30" s="22">
        <f t="shared" si="2"/>
        <v>143.90985080000002</v>
      </c>
      <c r="H30" s="34">
        <f t="shared" si="3"/>
        <v>3158.3873368598379</v>
      </c>
      <c r="I30" s="32">
        <f t="shared" si="4"/>
        <v>1.767104222610516E-2</v>
      </c>
      <c r="J30" s="32">
        <f t="shared" si="5"/>
        <v>0.11900000000000001</v>
      </c>
      <c r="K30" s="32">
        <f t="shared" si="6"/>
        <v>5.1835506454433807E-2</v>
      </c>
      <c r="L30" s="16">
        <f>G30/'Clause 6'!$I$11</f>
        <v>143.90985080000002</v>
      </c>
      <c r="M30">
        <f t="shared" si="7"/>
        <v>5</v>
      </c>
      <c r="O30" s="82">
        <f t="shared" si="10"/>
        <v>6.4220357040352116E-3</v>
      </c>
      <c r="P30" s="82">
        <f t="shared" si="8"/>
        <v>4.4754281685350783E-3</v>
      </c>
      <c r="Q30" s="82">
        <f t="shared" si="8"/>
        <v>-2.5134136265812956E-2</v>
      </c>
      <c r="R30" s="82">
        <f t="shared" si="8"/>
        <v>2.6701370188620732E-2</v>
      </c>
      <c r="S30" s="82">
        <f t="shared" si="8"/>
        <v>-1.246469779537851E-2</v>
      </c>
    </row>
    <row r="31" spans="1:49" x14ac:dyDescent="0.35">
      <c r="A31" s="11" t="s">
        <v>85</v>
      </c>
      <c r="B31" s="30">
        <f t="shared" ref="B31:F31" si="31">L75/$E$4</f>
        <v>108.12610599999999</v>
      </c>
      <c r="C31" s="30">
        <f t="shared" si="31"/>
        <v>105.069275</v>
      </c>
      <c r="D31" s="30">
        <f t="shared" si="31"/>
        <v>104.996208</v>
      </c>
      <c r="E31" s="30">
        <f t="shared" si="31"/>
        <v>104.361282</v>
      </c>
      <c r="F31" s="30">
        <f t="shared" si="31"/>
        <v>105.584656</v>
      </c>
      <c r="G31" s="22">
        <f t="shared" si="2"/>
        <v>105.62750540000002</v>
      </c>
      <c r="H31" s="34">
        <f t="shared" si="3"/>
        <v>2318.2052766012193</v>
      </c>
      <c r="I31" s="32">
        <f t="shared" si="4"/>
        <v>1.2386033294707725E-2</v>
      </c>
      <c r="J31" s="32">
        <f t="shared" si="5"/>
        <v>0.11900000000000001</v>
      </c>
      <c r="K31" s="32">
        <f t="shared" si="6"/>
        <v>3.5642458711327187E-2</v>
      </c>
      <c r="L31" s="16">
        <f>G31/'Clause 6'!$I$11</f>
        <v>105.62750540000002</v>
      </c>
      <c r="M31">
        <f t="shared" si="7"/>
        <v>5</v>
      </c>
      <c r="O31" s="82">
        <f t="shared" si="10"/>
        <v>2.3654829208907602E-2</v>
      </c>
      <c r="P31" s="82">
        <f t="shared" si="8"/>
        <v>-5.2848961819751405E-3</v>
      </c>
      <c r="Q31" s="82">
        <f t="shared" si="8"/>
        <v>-5.9766383538962797E-3</v>
      </c>
      <c r="R31" s="82">
        <f t="shared" si="8"/>
        <v>-1.1987629502419495E-2</v>
      </c>
      <c r="S31" s="82">
        <f t="shared" si="8"/>
        <v>-4.0566517061779717E-4</v>
      </c>
    </row>
    <row r="32" spans="1:49" x14ac:dyDescent="0.35">
      <c r="A32" s="11" t="s">
        <v>86</v>
      </c>
      <c r="B32" s="30">
        <f t="shared" ref="B32:F32" si="32">L76/$E$4</f>
        <v>79.658721999999997</v>
      </c>
      <c r="C32" s="30">
        <f t="shared" si="32"/>
        <v>75.623108000000002</v>
      </c>
      <c r="D32" s="30"/>
      <c r="E32" s="30">
        <f t="shared" si="32"/>
        <v>77.213997000000006</v>
      </c>
      <c r="F32" s="30">
        <f t="shared" si="32"/>
        <v>74.622062999999997</v>
      </c>
      <c r="G32" s="22">
        <f t="shared" si="2"/>
        <v>76.779472499999997</v>
      </c>
      <c r="H32" s="34">
        <f t="shared" si="3"/>
        <v>1685.0779312654122</v>
      </c>
      <c r="I32" s="32">
        <f t="shared" si="4"/>
        <v>2.4772304315157687E-2</v>
      </c>
      <c r="J32" s="32">
        <f t="shared" si="5"/>
        <v>0.13400000000000001</v>
      </c>
      <c r="K32" s="32">
        <f t="shared" si="6"/>
        <v>6.5599031043095543E-2</v>
      </c>
      <c r="L32" s="16">
        <f>G32/'Clause 6'!$I$11</f>
        <v>76.779472499999997</v>
      </c>
      <c r="M32">
        <f t="shared" si="7"/>
        <v>4</v>
      </c>
      <c r="O32" s="82">
        <f t="shared" si="10"/>
        <v>3.750025112506461E-2</v>
      </c>
      <c r="P32" s="82">
        <f t="shared" si="8"/>
        <v>-1.5060854970057158E-2</v>
      </c>
      <c r="Q32" s="82">
        <f t="shared" si="8"/>
        <v>0</v>
      </c>
      <c r="R32" s="82">
        <f t="shared" si="8"/>
        <v>5.65938376302344E-3</v>
      </c>
      <c r="S32" s="82">
        <f t="shared" si="8"/>
        <v>-2.8098779918030781E-2</v>
      </c>
    </row>
    <row r="33" spans="1:19" x14ac:dyDescent="0.35">
      <c r="A33" s="11" t="s">
        <v>87</v>
      </c>
      <c r="B33" s="30"/>
      <c r="C33" s="30">
        <f t="shared" ref="C33:F33" si="33">M77/$E$4</f>
        <v>53.538485999999999</v>
      </c>
      <c r="D33" s="30">
        <f t="shared" si="33"/>
        <v>50.710934000000002</v>
      </c>
      <c r="E33" s="30">
        <f t="shared" si="33"/>
        <v>55.184643000000001</v>
      </c>
      <c r="F33" s="30">
        <f t="shared" si="33"/>
        <v>50.342049000000003</v>
      </c>
      <c r="G33" s="22">
        <f t="shared" si="2"/>
        <v>52.444028000000003</v>
      </c>
      <c r="H33" s="34">
        <f t="shared" si="3"/>
        <v>1150.98829585558</v>
      </c>
      <c r="I33" s="32">
        <f t="shared" si="4"/>
        <v>3.8291387333876395E-2</v>
      </c>
      <c r="J33" s="32">
        <f t="shared" si="5"/>
        <v>0.13400000000000001</v>
      </c>
      <c r="K33" s="32">
        <f t="shared" si="6"/>
        <v>9.2338330686574988E-2</v>
      </c>
      <c r="L33" s="16">
        <f>G33/'Clause 6'!$I$11</f>
        <v>52.444028000000003</v>
      </c>
      <c r="M33">
        <f t="shared" si="7"/>
        <v>4</v>
      </c>
      <c r="O33" s="82">
        <f t="shared" si="10"/>
        <v>0</v>
      </c>
      <c r="P33" s="82">
        <f t="shared" si="8"/>
        <v>2.0869068256923251E-2</v>
      </c>
      <c r="Q33" s="82">
        <f t="shared" si="8"/>
        <v>-3.304654631028725E-2</v>
      </c>
      <c r="R33" s="82">
        <f t="shared" si="8"/>
        <v>5.2257904369969355E-2</v>
      </c>
      <c r="S33" s="82">
        <f t="shared" si="8"/>
        <v>-4.0080426316605577E-2</v>
      </c>
    </row>
    <row r="34" spans="1:19" x14ac:dyDescent="0.35">
      <c r="A34" s="11" t="s">
        <v>88</v>
      </c>
      <c r="B34" s="30">
        <f t="shared" ref="B34:E34" si="34">L78/$E$4</f>
        <v>42.451358999999997</v>
      </c>
      <c r="C34" s="30">
        <f t="shared" si="34"/>
        <v>38.146172</v>
      </c>
      <c r="D34" s="30">
        <f t="shared" si="34"/>
        <v>39.094334000000003</v>
      </c>
      <c r="E34" s="30">
        <f t="shared" si="34"/>
        <v>40.275889999999997</v>
      </c>
      <c r="F34" s="30"/>
      <c r="G34" s="22">
        <f t="shared" si="2"/>
        <v>39.991938750000003</v>
      </c>
      <c r="H34" s="34">
        <f t="shared" si="3"/>
        <v>877.70247986716868</v>
      </c>
      <c r="I34" s="32">
        <f t="shared" si="4"/>
        <v>4.020668314295614E-2</v>
      </c>
      <c r="J34" s="32">
        <f t="shared" si="5"/>
        <v>0.156</v>
      </c>
      <c r="K34" s="32">
        <f t="shared" si="6"/>
        <v>0.10765137011518343</v>
      </c>
      <c r="L34" s="16">
        <f>G34/'Clause 6'!$I$11</f>
        <v>39.991938750000003</v>
      </c>
      <c r="M34">
        <f t="shared" si="7"/>
        <v>4</v>
      </c>
      <c r="O34" s="82">
        <f t="shared" si="10"/>
        <v>6.1497899998658845E-2</v>
      </c>
      <c r="P34" s="82">
        <f t="shared" si="8"/>
        <v>-4.6153470116524486E-2</v>
      </c>
      <c r="Q34" s="82">
        <f t="shared" si="8"/>
        <v>-2.2444642046767438E-2</v>
      </c>
      <c r="R34" s="82">
        <f t="shared" si="8"/>
        <v>7.1002121646326355E-3</v>
      </c>
      <c r="S34" s="82">
        <f t="shared" si="8"/>
        <v>0</v>
      </c>
    </row>
    <row r="35" spans="1:19" x14ac:dyDescent="0.35">
      <c r="A35" s="11" t="s">
        <v>89</v>
      </c>
      <c r="B35" s="30">
        <f t="shared" ref="B35:E35" si="35">L79/$E$4</f>
        <v>30.465091999999999</v>
      </c>
      <c r="C35" s="30">
        <f t="shared" si="35"/>
        <v>26.769242999999999</v>
      </c>
      <c r="D35" s="30">
        <f t="shared" si="35"/>
        <v>28.594711</v>
      </c>
      <c r="E35" s="30">
        <f t="shared" si="35"/>
        <v>26.479728999999999</v>
      </c>
      <c r="F35" s="30"/>
      <c r="G35" s="22">
        <f t="shared" si="2"/>
        <v>28.077193749999999</v>
      </c>
      <c r="H35" s="34">
        <f t="shared" si="3"/>
        <v>616.20975007334368</v>
      </c>
      <c r="I35" s="32">
        <f t="shared" si="4"/>
        <v>5.6964909850469321E-2</v>
      </c>
      <c r="J35" s="32">
        <f t="shared" si="5"/>
        <v>0.156</v>
      </c>
      <c r="K35" s="32">
        <f t="shared" si="6"/>
        <v>0.1419430672269375</v>
      </c>
      <c r="L35" s="16">
        <f>G35/'Clause 6'!$I$11</f>
        <v>28.077193749999999</v>
      </c>
      <c r="M35">
        <f t="shared" si="7"/>
        <v>4</v>
      </c>
      <c r="O35" s="82">
        <f t="shared" si="10"/>
        <v>8.5047610927997397E-2</v>
      </c>
      <c r="P35" s="82">
        <f t="shared" si="8"/>
        <v>-4.6584098170423416E-2</v>
      </c>
      <c r="Q35" s="82">
        <f t="shared" si="8"/>
        <v>1.8431943541366236E-2</v>
      </c>
      <c r="R35" s="82">
        <f t="shared" si="8"/>
        <v>-5.6895456298940106E-2</v>
      </c>
      <c r="S35" s="82">
        <f t="shared" si="8"/>
        <v>0</v>
      </c>
    </row>
    <row r="36" spans="1:19" x14ac:dyDescent="0.35">
      <c r="A36" s="11" t="s">
        <v>90</v>
      </c>
      <c r="B36" s="30">
        <f t="shared" ref="B36:E36" si="36">L80/$E$4</f>
        <v>20.476538000000001</v>
      </c>
      <c r="C36" s="30">
        <f t="shared" si="36"/>
        <v>19.630776999999998</v>
      </c>
      <c r="D36" s="30">
        <f t="shared" si="36"/>
        <v>20.775845</v>
      </c>
      <c r="E36" s="30">
        <f t="shared" si="36"/>
        <v>19.359128999999999</v>
      </c>
      <c r="F36" s="30"/>
      <c r="G36" s="22">
        <f t="shared" si="2"/>
        <v>20.06057225</v>
      </c>
      <c r="H36" s="34">
        <f t="shared" si="3"/>
        <v>440.2690782621662</v>
      </c>
      <c r="I36" s="32">
        <f t="shared" si="4"/>
        <v>2.9081569255123778E-2</v>
      </c>
      <c r="J36" s="32">
        <f t="shared" si="5"/>
        <v>0.193</v>
      </c>
      <c r="K36" s="32">
        <f t="shared" si="6"/>
        <v>7.0621913589728275E-2</v>
      </c>
      <c r="L36" s="16">
        <f>G36/'Clause 6'!$I$11</f>
        <v>20.06057225</v>
      </c>
      <c r="M36">
        <f t="shared" si="7"/>
        <v>4</v>
      </c>
      <c r="O36" s="82">
        <f t="shared" si="10"/>
        <v>2.0735487742629122E-2</v>
      </c>
      <c r="P36" s="82">
        <f t="shared" si="8"/>
        <v>-2.1424874856199705E-2</v>
      </c>
      <c r="Q36" s="82">
        <f t="shared" si="8"/>
        <v>3.5655650351649415E-2</v>
      </c>
      <c r="R36" s="82">
        <f t="shared" si="8"/>
        <v>-3.4966263238078943E-2</v>
      </c>
      <c r="S36" s="82">
        <f t="shared" si="8"/>
        <v>0</v>
      </c>
    </row>
    <row r="37" spans="1:19" x14ac:dyDescent="0.35">
      <c r="A37" s="11" t="s">
        <v>91</v>
      </c>
      <c r="B37" s="30">
        <f t="shared" ref="B37:E37" si="37">L81/$E$4</f>
        <v>13.734261999999999</v>
      </c>
      <c r="C37" s="30">
        <f t="shared" si="37"/>
        <v>12.269237</v>
      </c>
      <c r="D37" s="30">
        <f t="shared" si="37"/>
        <v>14.073959</v>
      </c>
      <c r="E37" s="30">
        <f t="shared" si="37"/>
        <v>11.125937</v>
      </c>
      <c r="F37" s="30"/>
      <c r="G37" s="22">
        <f t="shared" si="2"/>
        <v>12.80084875</v>
      </c>
      <c r="H37" s="34">
        <f t="shared" si="3"/>
        <v>280.94003550351874</v>
      </c>
      <c r="I37" s="32">
        <f t="shared" si="4"/>
        <v>9.2267497858057948E-2</v>
      </c>
      <c r="J37" s="32">
        <f t="shared" si="5"/>
        <v>0.193</v>
      </c>
      <c r="K37" s="32">
        <f t="shared" si="6"/>
        <v>0.23029894795061928</v>
      </c>
      <c r="L37" s="16">
        <f>G37/'Clause 6'!$I$11</f>
        <v>12.80084875</v>
      </c>
      <c r="M37">
        <f t="shared" si="7"/>
        <v>4</v>
      </c>
      <c r="O37" s="82">
        <f t="shared" si="10"/>
        <v>7.2918075061233711E-2</v>
      </c>
      <c r="P37" s="82">
        <f t="shared" si="8"/>
        <v>-4.1529414211694315E-2</v>
      </c>
      <c r="Q37" s="82">
        <f t="shared" si="8"/>
        <v>9.9455143550539971E-2</v>
      </c>
      <c r="R37" s="82">
        <f t="shared" si="8"/>
        <v>-0.13084380440007926</v>
      </c>
      <c r="S37" s="82">
        <f t="shared" si="8"/>
        <v>0</v>
      </c>
    </row>
    <row r="38" spans="1:19" x14ac:dyDescent="0.35">
      <c r="A38" s="11" t="s">
        <v>92</v>
      </c>
      <c r="B38" s="30">
        <f t="shared" ref="B38:F38" si="38">L82/$E$4</f>
        <v>10.987411</v>
      </c>
      <c r="C38" s="30">
        <f t="shared" si="38"/>
        <v>7.1384650000000001</v>
      </c>
      <c r="D38" s="30">
        <f t="shared" si="38"/>
        <v>8.7124509999999997</v>
      </c>
      <c r="E38" s="30"/>
      <c r="F38" s="30">
        <f t="shared" si="38"/>
        <v>7.3508300000000002</v>
      </c>
      <c r="G38" s="22">
        <f t="shared" si="2"/>
        <v>8.5472892500000004</v>
      </c>
      <c r="H38" s="34">
        <f t="shared" si="3"/>
        <v>187.58722896041124</v>
      </c>
      <c r="I38" s="32">
        <f t="shared" si="4"/>
        <v>0.17933046716672923</v>
      </c>
      <c r="J38" s="32">
        <f t="shared" si="5"/>
        <v>0.27500000000000002</v>
      </c>
      <c r="K38" s="32">
        <f t="shared" si="6"/>
        <v>0.45031189274424049</v>
      </c>
      <c r="L38" s="16">
        <f>G38/'Clause 6'!$I$11</f>
        <v>8.5472892500000004</v>
      </c>
      <c r="M38">
        <f t="shared" si="7"/>
        <v>4</v>
      </c>
      <c r="O38" s="82">
        <f t="shared" si="10"/>
        <v>0.28548486878456814</v>
      </c>
      <c r="P38" s="82">
        <f t="shared" si="8"/>
        <v>-0.16482702395967241</v>
      </c>
      <c r="Q38" s="82">
        <f t="shared" si="8"/>
        <v>1.9323290129674708E-2</v>
      </c>
      <c r="R38" s="82">
        <f t="shared" si="8"/>
        <v>0</v>
      </c>
      <c r="S38" s="82">
        <f t="shared" si="8"/>
        <v>-0.13998113495457054</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49">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49">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49">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49">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49">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49">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49">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49">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49">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49">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49">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49">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49">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49">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49">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49">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49">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49">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49">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49">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49">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49">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49">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49">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49">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49">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49">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49">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49">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49">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election activeCell="J41" sqref="J41"/>
    </sheetView>
  </sheetViews>
  <sheetFormatPr defaultColWidth="11.53125" defaultRowHeight="12.75" x14ac:dyDescent="0.35"/>
  <cols>
    <col min="11" max="11" width="27.6640625" customWidth="1"/>
    <col min="12" max="12" width="15.3984375" customWidth="1"/>
  </cols>
  <sheetData>
    <row r="1" spans="1:16" ht="37.25" customHeight="1" x14ac:dyDescent="0.7">
      <c r="B1" s="52"/>
      <c r="K1" s="165"/>
      <c r="L1" s="165"/>
      <c r="M1" s="165"/>
      <c r="N1" s="165"/>
      <c r="O1" s="165"/>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8.0410259999999987</v>
      </c>
      <c r="C4" s="83">
        <f>'6 - B2'!$L38</f>
        <v>8.8471892499999996</v>
      </c>
      <c r="D4" s="83">
        <f>'6 - B3'!$L38</f>
        <v>8.5472892500000004</v>
      </c>
      <c r="E4" s="84">
        <f t="shared" ref="E4:E33" si="0">AVERAGE(B4:D4)</f>
        <v>8.4785015000000001</v>
      </c>
      <c r="F4" s="85">
        <f>'Clause 6'!D22</f>
        <v>7999.9999999999909</v>
      </c>
      <c r="G4" s="81">
        <f>'6 - B1'!$M38+'6 - B2'!$M38+'6 - B3'!$M38</f>
        <v>12</v>
      </c>
      <c r="H4" s="22">
        <f>STDEVP('6 - B1'!$B38:F38,'6 - B2'!B38:F38,'6 - B3'!B38:F38)/SQRT(G4)</f>
        <v>0.41680412545536027</v>
      </c>
      <c r="K4" s="63">
        <v>4</v>
      </c>
      <c r="L4" s="64">
        <v>10563.4</v>
      </c>
      <c r="M4" s="79">
        <f>CubicSpline(L4,$E$4:$E$33,$F$4:$F$33)</f>
        <v>81.450291934261188</v>
      </c>
    </row>
    <row r="5" spans="1:16" ht="13.9" x14ac:dyDescent="0.4">
      <c r="A5" s="81">
        <v>29</v>
      </c>
      <c r="B5" s="83">
        <f>'6 - B1'!$L37</f>
        <v>11.874930500000001</v>
      </c>
      <c r="C5" s="83">
        <f>'6 - B2'!$L37</f>
        <v>12.64335125</v>
      </c>
      <c r="D5" s="83">
        <f>'6 - B3'!$L37</f>
        <v>12.80084875</v>
      </c>
      <c r="E5" s="84">
        <f t="shared" si="0"/>
        <v>12.439710166666666</v>
      </c>
      <c r="F5" s="85">
        <f>'Clause 6'!D23</f>
        <v>6691.2615363676259</v>
      </c>
      <c r="G5" s="81">
        <f>'6 - B1'!$M37+'6 - B2'!$M37+'6 - B3'!$M37</f>
        <v>12</v>
      </c>
      <c r="H5" s="22">
        <f>STDEVP('6 - B1'!$B37:F37,'6 - B2'!B37:F37,'6 - B3'!B37:F37)/SQRT(G5)</f>
        <v>0.42395476250479447</v>
      </c>
      <c r="K5" s="63">
        <v>5</v>
      </c>
      <c r="L5" s="64">
        <v>6899.8</v>
      </c>
      <c r="M5" s="79">
        <f t="shared" ref="M5:M9" si="1">CubicSpline(L5,$E$4:$E$33,$F$4:$F$33)</f>
        <v>130.34531177119257</v>
      </c>
    </row>
    <row r="6" spans="1:16" ht="13.9" x14ac:dyDescent="0.4">
      <c r="A6" s="81">
        <v>28</v>
      </c>
      <c r="B6" s="83">
        <f>'6 - B1'!$L36</f>
        <v>17.55886375</v>
      </c>
      <c r="C6" s="83">
        <f>'6 - B2'!$L36</f>
        <v>18.528196000000001</v>
      </c>
      <c r="D6" s="83">
        <f>'6 - B3'!$L36</f>
        <v>20.06057225</v>
      </c>
      <c r="E6" s="84">
        <f t="shared" si="0"/>
        <v>18.715877333333335</v>
      </c>
      <c r="F6" s="85">
        <f>'Clause 6'!D24</f>
        <v>5596.6226185091118</v>
      </c>
      <c r="G6" s="81">
        <f>'6 - B1'!$M36+'6 - B2'!$M36+'6 - B3'!$M36</f>
        <v>12</v>
      </c>
      <c r="H6" s="22">
        <f>STDEVP('6 - B1'!$B36:F36,'6 - B2'!B36:F36,'6 - B3'!B36:F36)/SQRT(G6)</f>
        <v>0.4180736641883247</v>
      </c>
      <c r="K6" s="63">
        <v>6</v>
      </c>
      <c r="L6" s="64">
        <v>4593.5</v>
      </c>
      <c r="M6" s="79">
        <f t="shared" si="1"/>
        <v>191.797887159053</v>
      </c>
    </row>
    <row r="7" spans="1:16" ht="13.9" x14ac:dyDescent="0.4">
      <c r="A7" s="81">
        <v>27</v>
      </c>
      <c r="B7" s="83">
        <f>'6 - B1'!$L35</f>
        <v>25.355160400000003</v>
      </c>
      <c r="C7" s="83">
        <f>'6 - B2'!$L35</f>
        <v>27.392880600000002</v>
      </c>
      <c r="D7" s="83">
        <f>'6 - B3'!$L35</f>
        <v>28.077193749999999</v>
      </c>
      <c r="E7" s="84">
        <f t="shared" si="0"/>
        <v>26.941744916666664</v>
      </c>
      <c r="F7" s="85">
        <f>'Clause 6'!D25</f>
        <v>4681.0582075993907</v>
      </c>
      <c r="G7" s="81">
        <f>'6 - B1'!$M35+'6 - B2'!$M35+'6 - B3'!$M35</f>
        <v>14</v>
      </c>
      <c r="H7" s="22">
        <f>STDEVP('6 - B1'!$B35:F35,'6 - B2'!B35:F35,'6 - B3'!B35:F35)/SQRT(G7)</f>
        <v>0.51186343810146084</v>
      </c>
      <c r="K7" s="63">
        <v>7</v>
      </c>
      <c r="L7" s="64">
        <v>3202.3</v>
      </c>
      <c r="M7" s="79">
        <f t="shared" si="1"/>
        <v>257.65778727833373</v>
      </c>
    </row>
    <row r="8" spans="1:16" ht="13.9" x14ac:dyDescent="0.4">
      <c r="A8" s="81">
        <v>26</v>
      </c>
      <c r="B8" s="83">
        <f>'6 - B1'!$L34</f>
        <v>35.979182250000001</v>
      </c>
      <c r="C8" s="83">
        <f>'6 - B2'!$L34</f>
        <v>38.785305800000003</v>
      </c>
      <c r="D8" s="83">
        <f>'6 - B3'!$L34</f>
        <v>39.991938750000003</v>
      </c>
      <c r="E8" s="84">
        <f t="shared" si="0"/>
        <v>38.252142266666674</v>
      </c>
      <c r="F8" s="85">
        <f>'Clause 6'!D26</f>
        <v>3915.2730917509775</v>
      </c>
      <c r="G8" s="81">
        <f>'6 - B1'!$M34+'6 - B2'!$M34+'6 - B3'!$M34</f>
        <v>13</v>
      </c>
      <c r="H8" s="22">
        <f>STDEVP('6 - B1'!$B34:F34,'6 - B2'!B34:F34,'6 - B3'!B34:F34)/SQRT(G8)</f>
        <v>0.67602953016796707</v>
      </c>
      <c r="K8" s="63">
        <v>8</v>
      </c>
      <c r="L8" s="64">
        <v>2184.8000000000002</v>
      </c>
      <c r="M8" s="79">
        <f t="shared" si="1"/>
        <v>339.9371498073009</v>
      </c>
    </row>
    <row r="9" spans="1:16" ht="13.9" x14ac:dyDescent="0.4">
      <c r="A9" s="81">
        <v>25</v>
      </c>
      <c r="B9" s="83">
        <f>'6 - B1'!$L33</f>
        <v>53.38506675</v>
      </c>
      <c r="C9" s="83">
        <f>'6 - B2'!$L33</f>
        <v>52.924705750000001</v>
      </c>
      <c r="D9" s="83">
        <f>'6 - B3'!$L33</f>
        <v>52.444028000000003</v>
      </c>
      <c r="E9" s="84">
        <f t="shared" si="0"/>
        <v>52.917933500000004</v>
      </c>
      <c r="F9" s="85">
        <f>'Clause 6'!D27</f>
        <v>3274.7645304010625</v>
      </c>
      <c r="G9" s="81">
        <f>'6 - B1'!$M33+'6 - B2'!$M33+'6 - B3'!$M33</f>
        <v>12</v>
      </c>
      <c r="H9" s="22">
        <f>STDEVP('6 - B1'!$B33:F33,'6 - B2'!B33:F33,'6 - B3'!B33:F33)/SQRT(G9)</f>
        <v>0.6505567728426026</v>
      </c>
      <c r="K9" s="63">
        <v>9</v>
      </c>
      <c r="L9" s="64">
        <v>1501.7</v>
      </c>
      <c r="M9" s="79">
        <f t="shared" si="1"/>
        <v>434.73962911819518</v>
      </c>
    </row>
    <row r="10" spans="1:16" ht="13.9" x14ac:dyDescent="0.4">
      <c r="A10" s="81">
        <v>24</v>
      </c>
      <c r="B10" s="83">
        <f>'6 - B1'!$L32</f>
        <v>73.095075499999993</v>
      </c>
      <c r="C10" s="83">
        <f>'6 - B2'!$L32</f>
        <v>80.580768750000004</v>
      </c>
      <c r="D10" s="83">
        <f>'6 - B3'!$L32</f>
        <v>76.779472499999997</v>
      </c>
      <c r="E10" s="84">
        <f t="shared" si="0"/>
        <v>76.818438916666665</v>
      </c>
      <c r="F10" s="85">
        <f>'Clause 6'!D28</f>
        <v>2739.0382428667058</v>
      </c>
      <c r="G10" s="81">
        <f>'6 - B1'!$M32+'6 - B2'!$M32+'6 - B3'!$M32</f>
        <v>12</v>
      </c>
      <c r="H10" s="22">
        <f>STDEVP('6 - B1'!$B32:F32,'6 - B2'!B32:F32,'6 - B3'!B32:F32)/SQRT(G10)</f>
        <v>1.2419026210377799</v>
      </c>
      <c r="K10" s="63">
        <v>10</v>
      </c>
      <c r="L10" s="64">
        <v>1069.5</v>
      </c>
      <c r="M10" s="79">
        <f t="shared" ref="M10:M30" si="2">CubicSpline(L10,$E$4:$E$33,$F$4:$F$33)</f>
        <v>538.16443729214734</v>
      </c>
    </row>
    <row r="11" spans="1:16" ht="13.9" x14ac:dyDescent="0.4">
      <c r="A11" s="81">
        <v>23</v>
      </c>
      <c r="B11" s="83">
        <f>'6 - B1'!$L31</f>
        <v>100.60990175000001</v>
      </c>
      <c r="C11" s="83">
        <f>'6 - B2'!$L31</f>
        <v>110.9611475</v>
      </c>
      <c r="D11" s="83">
        <f>'6 - B3'!$L31</f>
        <v>105.62750540000002</v>
      </c>
      <c r="E11" s="84">
        <f t="shared" si="0"/>
        <v>105.73285155000001</v>
      </c>
      <c r="F11" s="85">
        <f>'Clause 6'!D29</f>
        <v>2290.9526551417471</v>
      </c>
      <c r="G11" s="81">
        <f>'6 - B1'!$M31+'6 - B2'!$M31+'6 - B3'!$M31</f>
        <v>13</v>
      </c>
      <c r="H11" s="22">
        <f>STDEVP('6 - B1'!$B31:F31,'6 - B2'!B31:F31,'6 - B3'!B31:F31)/SQRT(G11)</f>
        <v>1.4860853823872597</v>
      </c>
      <c r="K11" s="63">
        <v>11</v>
      </c>
      <c r="L11" s="64">
        <v>779</v>
      </c>
      <c r="M11" s="79">
        <f t="shared" si="2"/>
        <v>657.299532006851</v>
      </c>
    </row>
    <row r="12" spans="1:16" ht="13.9" x14ac:dyDescent="0.4">
      <c r="A12" s="81">
        <v>22</v>
      </c>
      <c r="B12" s="83">
        <f>'6 - B1'!$L30</f>
        <v>140.64770200000001</v>
      </c>
      <c r="C12" s="83">
        <f>'6 - B2'!$L30</f>
        <v>142.02238825000001</v>
      </c>
      <c r="D12" s="83">
        <f>'6 - B3'!$L30</f>
        <v>143.90985080000002</v>
      </c>
      <c r="E12" s="84">
        <f t="shared" si="0"/>
        <v>142.19331368333334</v>
      </c>
      <c r="F12" s="85">
        <f>'Clause 6'!D30</f>
        <v>1916.1704228736594</v>
      </c>
      <c r="G12" s="81">
        <f>'6 - B1'!$M30+'6 - B2'!$M30+'6 - B3'!$M30</f>
        <v>14</v>
      </c>
      <c r="H12" s="22">
        <f>STDEVP('6 - B1'!$B30:F30,'6 - B2'!B30:F30,'6 - B3'!B30:F30)/SQRT(G12)</f>
        <v>1.2277305334148354</v>
      </c>
      <c r="K12" s="63">
        <v>12</v>
      </c>
      <c r="L12" s="64">
        <v>583.4</v>
      </c>
      <c r="M12" s="79">
        <f t="shared" si="2"/>
        <v>790.73046287897125</v>
      </c>
    </row>
    <row r="13" spans="1:16" ht="13.9" x14ac:dyDescent="0.4">
      <c r="A13" s="81">
        <v>21</v>
      </c>
      <c r="B13" s="83">
        <f>'6 - B1'!$L29</f>
        <v>187.69017639999998</v>
      </c>
      <c r="C13" s="83">
        <f>'6 - B2'!$L29</f>
        <v>190.97575750000001</v>
      </c>
      <c r="D13" s="83">
        <f>'6 - B3'!$L29</f>
        <v>193.61970219999998</v>
      </c>
      <c r="E13" s="84">
        <f t="shared" si="0"/>
        <v>190.76187870000001</v>
      </c>
      <c r="F13" s="85">
        <f>'Clause 6'!D31</f>
        <v>1602.6996809624775</v>
      </c>
      <c r="G13" s="81">
        <f>'6 - B1'!$M29+'6 - B2'!$M29+'6 - B3'!$M29</f>
        <v>14</v>
      </c>
      <c r="H13" s="22">
        <f>STDEVP('6 - B1'!$B29:F29,'6 - B2'!B29:F29,'6 - B3'!B29:F29)/SQRT(G13)</f>
        <v>1.6812925070407454</v>
      </c>
      <c r="K13" s="63">
        <v>13</v>
      </c>
      <c r="L13" s="64">
        <v>453.2</v>
      </c>
      <c r="M13" s="79">
        <f t="shared" si="2"/>
        <v>925.81654802405808</v>
      </c>
    </row>
    <row r="14" spans="1:16" ht="13.9" x14ac:dyDescent="0.4">
      <c r="A14" s="81">
        <v>20</v>
      </c>
      <c r="B14" s="83">
        <f>'6 - B1'!$L28</f>
        <v>251.50938379999997</v>
      </c>
      <c r="C14" s="83">
        <f>'6 - B2'!$L28</f>
        <v>253.25299849999999</v>
      </c>
      <c r="D14" s="83">
        <f>'6 - B3'!$L28</f>
        <v>257.83191240000008</v>
      </c>
      <c r="E14" s="84">
        <f t="shared" si="0"/>
        <v>254.19809823333335</v>
      </c>
      <c r="F14" s="85">
        <f>'Clause 6'!D32</f>
        <v>1340.5103411966129</v>
      </c>
      <c r="G14" s="81">
        <f>'6 - B1'!$M28+'6 - B2'!$M28+'6 - B3'!$M28</f>
        <v>14</v>
      </c>
      <c r="H14" s="22">
        <f>STDEVP('6 - B1'!$B28:F28,'6 - B2'!B28:F28,'6 - B3'!B28:F28)/SQRT(G14)</f>
        <v>2.1062840877390112</v>
      </c>
      <c r="K14" s="63">
        <v>14</v>
      </c>
      <c r="L14" s="64">
        <v>364.1</v>
      </c>
      <c r="M14" s="79">
        <f t="shared" si="2"/>
        <v>1067.8867096146978</v>
      </c>
    </row>
    <row r="15" spans="1:16" ht="13.9" x14ac:dyDescent="0.4">
      <c r="A15" s="81">
        <v>19</v>
      </c>
      <c r="B15" s="83">
        <f>'6 - B1'!$L27</f>
        <v>333.04354860000001</v>
      </c>
      <c r="C15" s="83">
        <f>'6 - B2'!$L27</f>
        <v>337.49095925</v>
      </c>
      <c r="D15" s="83">
        <f>'6 - B3'!$L27</f>
        <v>342.05123300000002</v>
      </c>
      <c r="E15" s="84">
        <f t="shared" si="0"/>
        <v>337.52858028333333</v>
      </c>
      <c r="F15" s="85">
        <f>'Clause 6'!D33</f>
        <v>1121.2131606439937</v>
      </c>
      <c r="G15" s="81">
        <f>'6 - B1'!$M27+'6 - B2'!$M27+'6 - B3'!$M27</f>
        <v>14</v>
      </c>
      <c r="H15" s="22">
        <f>STDEVP('6 - B1'!$B27:F27,'6 - B2'!B27:F27,'6 - B3'!B27:F27)/SQRT(G15)</f>
        <v>2.3884766144569856</v>
      </c>
      <c r="K15" s="63">
        <v>15</v>
      </c>
      <c r="L15" s="64">
        <v>296.89999999999998</v>
      </c>
      <c r="M15" s="79">
        <f t="shared" si="2"/>
        <v>1216.3624862185002</v>
      </c>
    </row>
    <row r="16" spans="1:16" ht="13.9" x14ac:dyDescent="0.4">
      <c r="A16" s="81">
        <v>18</v>
      </c>
      <c r="B16" s="83">
        <f>'6 - B1'!$L26</f>
        <v>441.04351179999992</v>
      </c>
      <c r="C16" s="83">
        <f>'6 - B2'!$L26</f>
        <v>440.46239475000004</v>
      </c>
      <c r="D16" s="83">
        <f>'6 - B3'!$L26</f>
        <v>450.04974959999998</v>
      </c>
      <c r="E16" s="84">
        <f t="shared" si="0"/>
        <v>443.85188538333335</v>
      </c>
      <c r="F16" s="85">
        <f>'Clause 6'!D34</f>
        <v>937.79131198579239</v>
      </c>
      <c r="G16" s="81">
        <f>'6 - B1'!$M26+'6 - B2'!$M26+'6 - B3'!$M26</f>
        <v>14</v>
      </c>
      <c r="H16" s="22">
        <f>STDEVP('6 - B1'!$B26:F26,'6 - B2'!B26:F26,'6 - B3'!B26:F26)/SQRT(G16)</f>
        <v>2.6451750544640107</v>
      </c>
      <c r="K16" s="63">
        <v>16</v>
      </c>
      <c r="L16" s="64">
        <v>246.4</v>
      </c>
      <c r="M16" s="79">
        <f t="shared" si="2"/>
        <v>1366.4759938439845</v>
      </c>
    </row>
    <row r="17" spans="1:13" ht="13.9" x14ac:dyDescent="0.4">
      <c r="A17" s="81">
        <v>17</v>
      </c>
      <c r="B17" s="83">
        <f>'6 - B1'!$L25</f>
        <v>589.98670680000009</v>
      </c>
      <c r="C17" s="83">
        <f>'6 - B2'!$L25</f>
        <v>588.73306879999996</v>
      </c>
      <c r="D17" s="83">
        <f>'6 - B3'!$L25</f>
        <v>594.48441179999998</v>
      </c>
      <c r="E17" s="84">
        <f t="shared" si="0"/>
        <v>591.06806246666667</v>
      </c>
      <c r="F17" s="85">
        <f>'Clause 6'!D35</f>
        <v>784.375866878784</v>
      </c>
      <c r="G17" s="81">
        <f>'6 - B1'!$M25+'6 - B2'!$M25+'6 - B3'!$M25</f>
        <v>15</v>
      </c>
      <c r="H17" s="22">
        <f>STDEVP('6 - B1'!$B25:F25,'6 - B2'!B25:F25,'6 - B3'!B25:F25)/SQRT(G17)</f>
        <v>2.5711458438575234</v>
      </c>
      <c r="K17" s="63">
        <v>17</v>
      </c>
      <c r="L17" s="64">
        <v>208.5</v>
      </c>
      <c r="M17" s="79">
        <f t="shared" si="2"/>
        <v>1517.7673342010464</v>
      </c>
    </row>
    <row r="18" spans="1:13" ht="13.9" x14ac:dyDescent="0.4">
      <c r="A18" s="81">
        <v>16</v>
      </c>
      <c r="B18" s="83">
        <f>'6 - B1'!$L24</f>
        <v>779.29027120000001</v>
      </c>
      <c r="C18" s="83">
        <f>'6 - B2'!$L24</f>
        <v>777.6616454</v>
      </c>
      <c r="D18" s="83">
        <f>'6 - B3'!$L24</f>
        <v>787.20246579999991</v>
      </c>
      <c r="E18" s="84">
        <f t="shared" si="0"/>
        <v>781.38479413333334</v>
      </c>
      <c r="F18" s="85">
        <f>'Clause 6'!D36</f>
        <v>656.05800851262836</v>
      </c>
      <c r="G18" s="81">
        <f>'6 - B1'!$M24+'6 - B2'!$M24+'6 - B3'!$M24</f>
        <v>15</v>
      </c>
      <c r="H18" s="22">
        <f>STDEVP('6 - B1'!$B24:F24,'6 - B2'!B24:F24,'6 - B3'!B24:F24)/SQRT(G18)</f>
        <v>3.7221144206116046</v>
      </c>
      <c r="K18" s="63">
        <v>18</v>
      </c>
      <c r="L18" s="64">
        <v>178.7</v>
      </c>
      <c r="M18" s="79">
        <f t="shared" si="2"/>
        <v>1667.5849090557808</v>
      </c>
    </row>
    <row r="19" spans="1:13" ht="13.9" x14ac:dyDescent="0.4">
      <c r="A19" s="81">
        <v>15</v>
      </c>
      <c r="B19" s="83">
        <f>'6 - B1'!$L23</f>
        <v>1037.4639526000001</v>
      </c>
      <c r="C19" s="83">
        <f>'6 - B2'!$L23</f>
        <v>1031.6977781999999</v>
      </c>
      <c r="D19" s="83">
        <f>'6 - B3'!$L23</f>
        <v>1039.3819581999999</v>
      </c>
      <c r="E19" s="84">
        <f t="shared" si="0"/>
        <v>1036.1812296666667</v>
      </c>
      <c r="F19" s="85">
        <f>'Clause 6'!D37</f>
        <v>548.73196474831241</v>
      </c>
      <c r="G19" s="81">
        <f>'6 - B1'!$M23+'6 - B2'!$M23+'6 - B3'!$M23</f>
        <v>15</v>
      </c>
      <c r="H19" s="22">
        <f>STDEVP('6 - B1'!$B23:F23,'6 - B2'!B23:F23,'6 - B3'!B23:F23)/SQRT(G19)</f>
        <v>4.5407508966013701</v>
      </c>
      <c r="K19" s="63">
        <v>19</v>
      </c>
      <c r="L19" s="64">
        <v>153.30000000000001</v>
      </c>
      <c r="M19" s="79">
        <f t="shared" si="2"/>
        <v>1831.9652506220361</v>
      </c>
    </row>
    <row r="20" spans="1:13" ht="13.9" x14ac:dyDescent="0.4">
      <c r="A20" s="81">
        <v>14</v>
      </c>
      <c r="B20" s="83">
        <f>'6 - B1'!$L22</f>
        <v>1377.7425538</v>
      </c>
      <c r="C20" s="83">
        <f>'6 - B2'!$L22</f>
        <v>1379.3241458</v>
      </c>
      <c r="D20" s="83">
        <f>'6 - B3'!$L22</f>
        <v>1376.9687012000002</v>
      </c>
      <c r="E20" s="84">
        <f t="shared" si="0"/>
        <v>1378.0118002666668</v>
      </c>
      <c r="F20" s="85">
        <f>'Clause 6'!D38</f>
        <v>458.96363618697785</v>
      </c>
      <c r="G20" s="81">
        <f>'6 - B1'!$M22+'6 - B2'!$M22+'6 - B3'!$M22</f>
        <v>15</v>
      </c>
      <c r="H20" s="22">
        <f>STDEVP('6 - B1'!$B22:F22,'6 - B2'!B22:F22,'6 - B3'!B22:F22)/SQRT(G20)</f>
        <v>5.6838189382905915</v>
      </c>
      <c r="K20" s="63">
        <v>20</v>
      </c>
      <c r="L20" s="64">
        <v>130.4</v>
      </c>
      <c r="M20" s="79">
        <f t="shared" si="2"/>
        <v>2019.3423212901196</v>
      </c>
    </row>
    <row r="21" spans="1:13" ht="13.9" x14ac:dyDescent="0.4">
      <c r="A21" s="81">
        <v>13</v>
      </c>
      <c r="B21" s="83">
        <f>'6 - B1'!$L21</f>
        <v>1824.7584225999999</v>
      </c>
      <c r="C21" s="83">
        <f>'6 - B2'!$L21</f>
        <v>1830.8574218000001</v>
      </c>
      <c r="D21" s="83">
        <f>'6 - B3'!$L21</f>
        <v>1802.5031008000001</v>
      </c>
      <c r="E21" s="84">
        <f t="shared" si="0"/>
        <v>1819.3729817333333</v>
      </c>
      <c r="F21" s="85">
        <f>'Clause 6'!D39</f>
        <v>383.88071567616913</v>
      </c>
      <c r="G21" s="81">
        <f>'6 - B1'!$M21+'6 - B2'!$M21+'6 - B3'!$M21</f>
        <v>15</v>
      </c>
      <c r="H21" s="22">
        <f>STDEVP('6 - B1'!$B21:F21,'6 - B2'!B21:F21,'6 - B3'!B21:F21)/SQRT(G21)</f>
        <v>9.2654630260900266</v>
      </c>
      <c r="K21" s="63">
        <v>21</v>
      </c>
      <c r="L21" s="64">
        <v>109.4</v>
      </c>
      <c r="M21" s="79">
        <f t="shared" si="2"/>
        <v>2246.3052316140665</v>
      </c>
    </row>
    <row r="22" spans="1:13" ht="13.9" x14ac:dyDescent="0.4">
      <c r="A22" s="81">
        <v>12</v>
      </c>
      <c r="B22" s="83">
        <f>'6 - B1'!$L20</f>
        <v>2393.6722656000002</v>
      </c>
      <c r="C22" s="83">
        <f>'6 - B2'!$L20</f>
        <v>2395.6266602000001</v>
      </c>
      <c r="D22" s="83">
        <f>'6 - B3'!$L20</f>
        <v>2333.1227049999998</v>
      </c>
      <c r="E22" s="84">
        <f t="shared" si="0"/>
        <v>2374.1405436</v>
      </c>
      <c r="F22" s="85">
        <f>'Clause 6'!D40</f>
        <v>321.08078341965376</v>
      </c>
      <c r="G22" s="81">
        <f>'6 - B1'!$M20+'6 - B2'!$M20+'6 - B3'!$M20</f>
        <v>15</v>
      </c>
      <c r="H22" s="22">
        <f>STDEVP('6 - B1'!$B20:F20,'6 - B2'!B20:F20,'6 - B3'!B20:F20)/SQRT(G22)</f>
        <v>12.099485689908096</v>
      </c>
      <c r="K22" s="63">
        <v>22</v>
      </c>
      <c r="L22" s="64">
        <v>91.3</v>
      </c>
      <c r="M22" s="79">
        <f t="shared" si="2"/>
        <v>2493.05758280397</v>
      </c>
    </row>
    <row r="23" spans="1:13" ht="13.9" x14ac:dyDescent="0.4">
      <c r="A23" s="81">
        <v>11</v>
      </c>
      <c r="B23" s="83">
        <f>'6 - B1'!$L19</f>
        <v>3064.2967285999998</v>
      </c>
      <c r="C23" s="83">
        <f>'6 - B2'!$L19</f>
        <v>3074.9615233999998</v>
      </c>
      <c r="D23" s="83">
        <f>'6 - B3'!$L19</f>
        <v>2957.6885744000001</v>
      </c>
      <c r="E23" s="84">
        <f t="shared" si="0"/>
        <v>3032.3156087999996</v>
      </c>
      <c r="F23" s="85">
        <f>'Clause 6'!D41</f>
        <v>268.55443702033949</v>
      </c>
      <c r="G23" s="81">
        <f>'6 - B1'!$M19+'6 - B2'!$M19+'6 - B3'!$M19</f>
        <v>15</v>
      </c>
      <c r="H23" s="22">
        <f>STDEVP('6 - B1'!$B19:F19,'6 - B2'!B19:F19,'6 - B3'!B19:F19)/SQRT(G23)</f>
        <v>17.995623078742849</v>
      </c>
      <c r="K23" s="63">
        <v>23</v>
      </c>
      <c r="L23" s="64">
        <v>76.099999999999994</v>
      </c>
      <c r="M23" s="79">
        <f t="shared" si="2"/>
        <v>2752.22642484885</v>
      </c>
    </row>
    <row r="24" spans="1:13" ht="13.9" x14ac:dyDescent="0.4">
      <c r="A24" s="81">
        <v>10</v>
      </c>
      <c r="B24" s="83">
        <f>'6 - B1'!$L18</f>
        <v>3851.3103025999999</v>
      </c>
      <c r="C24" s="83">
        <f>'6 - B2'!$L18</f>
        <v>3871.0752441999998</v>
      </c>
      <c r="D24" s="83">
        <f>'6 - B3'!$L18</f>
        <v>3699.3452640000005</v>
      </c>
      <c r="E24" s="84">
        <f t="shared" si="0"/>
        <v>3807.2436035999999</v>
      </c>
      <c r="F24" s="85">
        <f>'Clause 6'!D42</f>
        <v>224.6209968568827</v>
      </c>
      <c r="G24" s="81">
        <f>'6 - B1'!$M18+'6 - B2'!$M18+'6 - B3'!$M18</f>
        <v>15</v>
      </c>
      <c r="H24" s="22">
        <f>STDEVP('6 - B1'!$B18:F18,'6 - B2'!B18:F18,'6 - B3'!B18:F18)/SQRT(G24)</f>
        <v>23.521875955013684</v>
      </c>
      <c r="K24" s="63">
        <v>24</v>
      </c>
      <c r="L24" s="64">
        <v>63.1</v>
      </c>
      <c r="M24" s="79">
        <f t="shared" si="2"/>
        <v>3012.1646397067307</v>
      </c>
    </row>
    <row r="25" spans="1:13" ht="13.9" x14ac:dyDescent="0.4">
      <c r="A25" s="81">
        <v>9</v>
      </c>
      <c r="B25" s="83">
        <f>'6 - B1'!$L17</f>
        <v>4775.3564452000001</v>
      </c>
      <c r="C25" s="83">
        <f>'6 - B2'!$L17</f>
        <v>4783.2631834000003</v>
      </c>
      <c r="D25" s="83">
        <f>'6 - B3'!$L17</f>
        <v>4552.2772462000003</v>
      </c>
      <c r="E25" s="84">
        <f t="shared" si="0"/>
        <v>4703.6322915999999</v>
      </c>
      <c r="F25" s="85">
        <f>'Clause 6'!D43</f>
        <v>187.87472956612677</v>
      </c>
      <c r="G25" s="81">
        <f>'6 - B1'!$M17+'6 - B2'!$M17+'6 - B3'!$M17</f>
        <v>15</v>
      </c>
      <c r="H25" s="22">
        <f>STDEVP('6 - B1'!$B17:F17,'6 - B2'!B17:F17,'6 - B3'!B17:F17)/SQRT(G25)</f>
        <v>31.166803948880183</v>
      </c>
      <c r="K25" s="63">
        <v>25</v>
      </c>
      <c r="L25" s="64">
        <v>52.1</v>
      </c>
      <c r="M25" s="79">
        <f t="shared" si="2"/>
        <v>3299.8359446444024</v>
      </c>
    </row>
    <row r="26" spans="1:13" ht="13.9" x14ac:dyDescent="0.4">
      <c r="A26" s="81">
        <v>8</v>
      </c>
      <c r="B26" s="83">
        <f>'6 - B1'!$L16</f>
        <v>5806.7798827999995</v>
      </c>
      <c r="C26" s="83">
        <f>'6 - B2'!$L16</f>
        <v>5822.5112305999992</v>
      </c>
      <c r="D26" s="83">
        <f>'6 - B3'!$L16</f>
        <v>5511.0175781999997</v>
      </c>
      <c r="E26" s="84">
        <f t="shared" si="0"/>
        <v>5713.4362305333334</v>
      </c>
      <c r="F26" s="85">
        <f>'Clause 6'!D44</f>
        <v>157.13986895016188</v>
      </c>
      <c r="G26" s="81">
        <f>'6 - B1'!$M16+'6 - B2'!$M16+'6 - B3'!$M16</f>
        <v>15</v>
      </c>
      <c r="H26" s="22">
        <f>STDEVP('6 - B1'!$B16:F16,'6 - B2'!B16:F16,'6 - B3'!B16:F16)/SQRT(G26)</f>
        <v>40.85840318580243</v>
      </c>
      <c r="K26" s="63">
        <v>26</v>
      </c>
      <c r="L26" s="64">
        <v>43</v>
      </c>
      <c r="M26" s="79">
        <f t="shared" si="2"/>
        <v>3672.8522122182721</v>
      </c>
    </row>
    <row r="27" spans="1:13" ht="13.9" x14ac:dyDescent="0.4">
      <c r="A27" s="81">
        <v>7</v>
      </c>
      <c r="B27" s="83">
        <f>'6 - B1'!$L15</f>
        <v>6970.9101561999996</v>
      </c>
      <c r="C27" s="83">
        <f>'6 - B2'!$L15</f>
        <v>6978.340917999999</v>
      </c>
      <c r="D27" s="83">
        <f>'6 - B3'!$L15</f>
        <v>6584.0605468000012</v>
      </c>
      <c r="E27" s="84">
        <f t="shared" si="0"/>
        <v>6844.4372069999999</v>
      </c>
      <c r="F27" s="85">
        <f>'Clause 6'!D45</f>
        <v>131.4329951170086</v>
      </c>
      <c r="G27" s="81">
        <f>'6 - B1'!$M15+'6 - B2'!$M15+'6 - B3'!$M15</f>
        <v>15</v>
      </c>
      <c r="H27" s="22">
        <f>STDEVP('6 - B1'!$B15:F15,'6 - B2'!B15:F15,'6 - B3'!B15:F15)/SQRT(G27)</f>
        <v>52.305279238696166</v>
      </c>
      <c r="K27" s="63">
        <v>27</v>
      </c>
      <c r="L27" s="64">
        <v>35.700000000000003</v>
      </c>
      <c r="M27" s="79">
        <f t="shared" si="2"/>
        <v>4058.3592217597188</v>
      </c>
    </row>
    <row r="28" spans="1:13" ht="13.9" x14ac:dyDescent="0.4">
      <c r="A28" s="81">
        <v>6</v>
      </c>
      <c r="B28" s="83">
        <f>'6 - B1'!$L14</f>
        <v>8230.5205077999999</v>
      </c>
      <c r="C28" s="83">
        <f>'6 - B2'!$L14</f>
        <v>8241.2122070000005</v>
      </c>
      <c r="D28" s="83">
        <f>'6 - B3'!$L14</f>
        <v>7762.3035158000002</v>
      </c>
      <c r="E28" s="84">
        <f t="shared" si="0"/>
        <v>8078.0120768666675</v>
      </c>
      <c r="F28" s="85">
        <f>'Clause 6'!D46</f>
        <v>109.93156810450434</v>
      </c>
      <c r="G28" s="81">
        <f>'6 - B1'!$M14+'6 - B2'!$M14+'6 - B3'!$M14</f>
        <v>15</v>
      </c>
      <c r="H28" s="22">
        <f>STDEVP('6 - B1'!$B14:F14,'6 - B2'!B14:F14,'6 - B3'!B14:F14)/SQRT(G28)</f>
        <v>64.093044028562318</v>
      </c>
      <c r="K28" s="63">
        <v>28</v>
      </c>
      <c r="L28" s="64">
        <v>29.8</v>
      </c>
      <c r="M28" s="79">
        <f t="shared" si="2"/>
        <v>4453.3306611279659</v>
      </c>
    </row>
    <row r="29" spans="1:13" ht="13.9" x14ac:dyDescent="0.4">
      <c r="A29" s="81">
        <v>5</v>
      </c>
      <c r="B29" s="83">
        <f>'6 - B1'!$L13</f>
        <v>9689.9285156000005</v>
      </c>
      <c r="C29" s="83">
        <f>'6 - B2'!$L13</f>
        <v>9694.8839841999998</v>
      </c>
      <c r="D29" s="83">
        <f>'6 - B3'!$L13</f>
        <v>9107.3775389999992</v>
      </c>
      <c r="E29" s="84">
        <f t="shared" si="0"/>
        <v>9497.3966796000004</v>
      </c>
      <c r="F29" s="85">
        <f>'Clause 6'!D47</f>
        <v>91.947609161281108</v>
      </c>
      <c r="G29" s="81">
        <f>'6 - B1'!$M13+'6 - B2'!$M13+'6 - B3'!$M13</f>
        <v>15</v>
      </c>
      <c r="H29" s="22">
        <f>STDEVP('6 - B1'!$B13:F13,'6 - B2'!B13:F13,'6 - B3'!B13:F13)/SQRT(G29)</f>
        <v>79.099758795972491</v>
      </c>
      <c r="K29" s="63">
        <v>29</v>
      </c>
      <c r="L29" s="64">
        <v>25.2</v>
      </c>
      <c r="M29" s="79">
        <f t="shared" si="2"/>
        <v>4838.4362414861216</v>
      </c>
    </row>
    <row r="30" spans="1:13" ht="13.9" x14ac:dyDescent="0.4">
      <c r="A30" s="81">
        <v>4</v>
      </c>
      <c r="B30" s="83">
        <f>'6 - B1'!$L12</f>
        <v>11353.553515600001</v>
      </c>
      <c r="C30" s="83">
        <f>'6 - B2'!$L12</f>
        <v>11363.164648399999</v>
      </c>
      <c r="D30" s="83">
        <f>'6 - B3'!$L12</f>
        <v>10615.390625</v>
      </c>
      <c r="E30" s="84">
        <f t="shared" si="0"/>
        <v>11110.702929666666</v>
      </c>
      <c r="F30" s="85">
        <f>'Clause 6'!D48</f>
        <v>76.905687567730567</v>
      </c>
      <c r="G30" s="81">
        <f>'6 - B1'!$M12+'6 - B2'!$M12+'6 - B3'!$M12</f>
        <v>15</v>
      </c>
      <c r="H30" s="22">
        <f>STDEVP('6 - B1'!$B12:F12,'6 - B2'!B12:F12,'6 - B3'!B12:F12)/SQRT(G30)</f>
        <v>99.018294737512292</v>
      </c>
      <c r="K30" s="63">
        <v>30</v>
      </c>
      <c r="L30" s="64">
        <v>21.1</v>
      </c>
      <c r="M30" s="79">
        <f t="shared" si="2"/>
        <v>5288.399527333082</v>
      </c>
    </row>
    <row r="31" spans="1:13" ht="13.9" x14ac:dyDescent="0.4">
      <c r="A31" s="81">
        <v>3</v>
      </c>
      <c r="B31" s="83">
        <f>'6 - B1'!$L11</f>
        <v>13323.680468600001</v>
      </c>
      <c r="C31" s="83">
        <f>'6 - B2'!$L11</f>
        <v>13335.763476399999</v>
      </c>
      <c r="D31" s="83">
        <f>'6 - B3'!$L11</f>
        <v>12408.032421800001</v>
      </c>
      <c r="E31" s="84">
        <f t="shared" si="0"/>
        <v>13022.492122266667</v>
      </c>
      <c r="F31" s="85">
        <f>'Clause 6'!D49</f>
        <v>64.324508643732756</v>
      </c>
      <c r="G31" s="81">
        <f>'6 - B1'!$M11+'6 - B2'!$M11+'6 - B3'!$M11</f>
        <v>15</v>
      </c>
      <c r="H31" s="22">
        <f>STDEVP('6 - B1'!$B11:F11,'6 - B2'!B11:F11,'6 - B3'!B11:F11)/SQRT(G31)</f>
        <v>122.17349498528009</v>
      </c>
    </row>
    <row r="32" spans="1:13" ht="13.9" x14ac:dyDescent="0.4">
      <c r="A32" s="81">
        <v>2</v>
      </c>
      <c r="B32" s="83">
        <f>'6 - B1'!$L10</f>
        <v>15382.946484399999</v>
      </c>
      <c r="C32" s="83">
        <f>'6 - B2'!$L10</f>
        <v>15461.632226400001</v>
      </c>
      <c r="D32" s="83">
        <f>'6 - B3'!$L10</f>
        <v>14327.047070199998</v>
      </c>
      <c r="E32" s="84">
        <f t="shared" si="0"/>
        <v>15057.208593666664</v>
      </c>
      <c r="F32" s="85">
        <f>'Clause 6'!D50</f>
        <v>53.801513816694545</v>
      </c>
      <c r="G32" s="81">
        <f>'6 - B1'!$M10+'6 - B2'!$M10+'6 - B3'!$M10</f>
        <v>15</v>
      </c>
      <c r="H32" s="22">
        <f>STDEVP('6 - B1'!$B10:F10,'6 - B2'!B10:F10,'6 - B3'!B10:F10)/SQRT(G32)</f>
        <v>145.60484122398364</v>
      </c>
      <c r="K32" s="27" t="s">
        <v>121</v>
      </c>
    </row>
    <row r="33" spans="1:40" ht="13.9" x14ac:dyDescent="0.4">
      <c r="A33" s="81">
        <v>1</v>
      </c>
      <c r="B33" s="83">
        <f>'6 - B1'!$L9</f>
        <v>17986.926953399998</v>
      </c>
      <c r="C33" s="83">
        <f>'6 - B2'!$L9</f>
        <v>18118.6960936</v>
      </c>
      <c r="D33" s="83">
        <f>'6 - B3'!$L9</f>
        <v>16795.148046599999</v>
      </c>
      <c r="E33" s="84">
        <f t="shared" si="0"/>
        <v>17633.590364533335</v>
      </c>
      <c r="F33" s="85">
        <f>'Clause 6'!D51</f>
        <v>45</v>
      </c>
      <c r="G33" s="81">
        <f>'6 - B1'!$M9+'6 - B2'!$M9+'6 - B3'!$M9</f>
        <v>15</v>
      </c>
      <c r="H33" s="22">
        <f>STDEVP('6 - B1'!$B9:F9,'6 - B2'!B9:F9,'6 - B3'!B9:F9)/SQRT(G33)</f>
        <v>169.13866482270632</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opLeftCell="A7" zoomScale="70" zoomScaleNormal="70" workbookViewId="0">
      <selection activeCell="C44" sqref="C44"/>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v>2000</v>
      </c>
      <c r="B17" s="70"/>
      <c r="C17" s="70" t="s">
        <v>132</v>
      </c>
      <c r="D17" s="130"/>
      <c r="F17" s="73">
        <v>2000</v>
      </c>
      <c r="G17" s="70"/>
      <c r="H17" s="70" t="s">
        <v>132</v>
      </c>
      <c r="J17" s="45"/>
      <c r="M17" s="73">
        <v>1000</v>
      </c>
      <c r="N17" s="70"/>
      <c r="O17" s="70" t="s">
        <v>132</v>
      </c>
      <c r="Q17" s="45"/>
    </row>
    <row r="18" spans="1:17" x14ac:dyDescent="0.35">
      <c r="A18" s="131">
        <f>A17/A16*1000</f>
        <v>132.55584869456382</v>
      </c>
      <c r="B18" s="70" t="s">
        <v>133</v>
      </c>
      <c r="C18" s="70" t="s">
        <v>134</v>
      </c>
      <c r="D18" s="130"/>
      <c r="F18" s="74">
        <f>F17/F16*1000</f>
        <v>155.29682563199995</v>
      </c>
      <c r="G18" s="70" t="s">
        <v>137</v>
      </c>
      <c r="H18" s="70" t="s">
        <v>134</v>
      </c>
      <c r="J18" s="45"/>
      <c r="M18" s="74">
        <f>M17/M16*1000</f>
        <v>186.16000695600223</v>
      </c>
      <c r="N18" s="70" t="s">
        <v>133</v>
      </c>
      <c r="O18" s="70" t="s">
        <v>134</v>
      </c>
      <c r="Q18" s="45"/>
    </row>
    <row r="19" spans="1:17" ht="13.15" x14ac:dyDescent="0.4">
      <c r="A19" s="149">
        <v>0.1</v>
      </c>
      <c r="B19" s="70" t="s">
        <v>135</v>
      </c>
      <c r="C19" s="70" t="s">
        <v>136</v>
      </c>
      <c r="D19" s="130"/>
      <c r="F19" s="108">
        <v>0.1</v>
      </c>
      <c r="G19" s="70" t="s">
        <v>135</v>
      </c>
      <c r="H19" s="70" t="s">
        <v>136</v>
      </c>
      <c r="J19" s="45"/>
      <c r="M19" s="108">
        <v>0.1</v>
      </c>
      <c r="N19" s="70" t="s">
        <v>135</v>
      </c>
      <c r="O19" s="70" t="s">
        <v>136</v>
      </c>
      <c r="Q19" s="45"/>
    </row>
    <row r="20" spans="1:17" ht="13.9" x14ac:dyDescent="0.4">
      <c r="A20" s="150">
        <f>A19*A18</f>
        <v>13.255584869456383</v>
      </c>
      <c r="B20" s="70" t="s">
        <v>137</v>
      </c>
      <c r="C20" s="70" t="s">
        <v>138</v>
      </c>
      <c r="D20" s="130"/>
      <c r="F20" s="145">
        <f>F19*F18</f>
        <v>15.529682563199996</v>
      </c>
      <c r="G20" s="70" t="s">
        <v>137</v>
      </c>
      <c r="H20" s="70" t="s">
        <v>138</v>
      </c>
      <c r="J20" s="45"/>
      <c r="M20" s="145">
        <f>M19*M18</f>
        <v>18.616000695600224</v>
      </c>
      <c r="N20" s="70" t="s">
        <v>137</v>
      </c>
      <c r="O20" s="70" t="s">
        <v>138</v>
      </c>
      <c r="Q20" s="45"/>
    </row>
    <row r="21" spans="1:17" ht="13.15" x14ac:dyDescent="0.4">
      <c r="A21" s="149">
        <v>28.54</v>
      </c>
      <c r="B21" s="70" t="s">
        <v>137</v>
      </c>
      <c r="C21" s="70" t="s">
        <v>139</v>
      </c>
      <c r="D21" s="130"/>
      <c r="F21" s="108">
        <v>13.2</v>
      </c>
      <c r="G21" s="70" t="s">
        <v>137</v>
      </c>
      <c r="H21" s="70" t="s">
        <v>139</v>
      </c>
      <c r="J21" s="45"/>
      <c r="M21" s="108">
        <v>22.8</v>
      </c>
      <c r="N21" s="70" t="s">
        <v>137</v>
      </c>
      <c r="O21" s="70" t="s">
        <v>139</v>
      </c>
      <c r="Q21" s="45"/>
    </row>
    <row r="22" spans="1:17" ht="13.9" x14ac:dyDescent="0.4">
      <c r="A22" s="151">
        <f>A21/A20*A17</f>
        <v>4306.1095049471678</v>
      </c>
      <c r="B22" s="70" t="s">
        <v>140</v>
      </c>
      <c r="C22" s="70" t="s">
        <v>141</v>
      </c>
      <c r="D22" s="12"/>
      <c r="F22" s="146">
        <f>F21/F20*F17</f>
        <v>1699.9703562878301</v>
      </c>
      <c r="G22" s="70" t="s">
        <v>140</v>
      </c>
      <c r="H22" s="70" t="s">
        <v>141</v>
      </c>
      <c r="J22" s="45"/>
      <c r="M22" s="146">
        <f>M21/M20*M17</f>
        <v>1224.7528549667834</v>
      </c>
      <c r="N22" s="70" t="s">
        <v>140</v>
      </c>
      <c r="O22" s="70" t="s">
        <v>141</v>
      </c>
      <c r="Q22" s="45"/>
    </row>
    <row r="23" spans="1:17" x14ac:dyDescent="0.35">
      <c r="A23" s="132">
        <f>A21*A16</f>
        <v>430610.95049471682</v>
      </c>
      <c r="C23" t="s">
        <v>142</v>
      </c>
      <c r="D23" s="12"/>
      <c r="F23" s="75">
        <f>F21*F16</f>
        <v>169997.03562878302</v>
      </c>
      <c r="H23" t="s">
        <v>142</v>
      </c>
      <c r="J23" s="45"/>
      <c r="M23" s="75">
        <f>M21*M16</f>
        <v>122475.28549667833</v>
      </c>
      <c r="O23" t="s">
        <v>142</v>
      </c>
      <c r="Q23" s="45"/>
    </row>
    <row r="24" spans="1:17" x14ac:dyDescent="0.35">
      <c r="A24" s="132">
        <f>A22/A17*A19*1000</f>
        <v>215.3054752473584</v>
      </c>
      <c r="B24" t="s">
        <v>7</v>
      </c>
      <c r="C24" t="s">
        <v>143</v>
      </c>
      <c r="D24" s="12"/>
      <c r="F24" s="75">
        <f>F22/F17*F19*1000</f>
        <v>84.998517814391505</v>
      </c>
      <c r="G24" t="s">
        <v>7</v>
      </c>
      <c r="H24" t="s">
        <v>143</v>
      </c>
      <c r="J24" s="45"/>
      <c r="M24" s="75">
        <f>M22/M17*M19*1000</f>
        <v>122.47528549667835</v>
      </c>
      <c r="N24" t="s">
        <v>7</v>
      </c>
      <c r="O24" t="s">
        <v>143</v>
      </c>
      <c r="Q24" s="45"/>
    </row>
    <row r="25" spans="1:17" x14ac:dyDescent="0.35">
      <c r="A25" s="132">
        <f>A24-A19*1000</f>
        <v>115.3054752473584</v>
      </c>
      <c r="B25" t="s">
        <v>7</v>
      </c>
      <c r="C25" t="s">
        <v>144</v>
      </c>
      <c r="D25" s="12"/>
      <c r="F25" s="75">
        <f>F24-F19*1000</f>
        <v>-15.001482185608495</v>
      </c>
      <c r="G25" t="s">
        <v>7</v>
      </c>
      <c r="H25" t="s">
        <v>144</v>
      </c>
      <c r="J25" s="45"/>
      <c r="M25" s="75">
        <f>M24-M19*1000</f>
        <v>22.475285496678353</v>
      </c>
      <c r="N25" t="s">
        <v>7</v>
      </c>
      <c r="O25" t="s">
        <v>144</v>
      </c>
      <c r="Q25" s="45"/>
    </row>
    <row r="26" spans="1:17" ht="13.9" x14ac:dyDescent="0.4">
      <c r="A26" s="152">
        <f>A23/(A24)</f>
        <v>2000</v>
      </c>
      <c r="C26" t="s">
        <v>33</v>
      </c>
      <c r="D26" s="12"/>
      <c r="F26" s="147">
        <f>F23/(F24)</f>
        <v>2000.0000000000002</v>
      </c>
      <c r="H26" t="s">
        <v>33</v>
      </c>
      <c r="J26" s="45"/>
      <c r="M26" s="147">
        <f>M23/(M24)</f>
        <v>999.99999999999989</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249.99999999999997</v>
      </c>
      <c r="G32" t="s">
        <v>7</v>
      </c>
      <c r="H32" t="s">
        <v>151</v>
      </c>
      <c r="J32" s="45"/>
      <c r="M32" s="75">
        <f>M31/M26</f>
        <v>500.00000000000006</v>
      </c>
      <c r="N32" t="s">
        <v>7</v>
      </c>
      <c r="O32" t="s">
        <v>151</v>
      </c>
      <c r="Q32" s="45"/>
    </row>
    <row r="33" spans="1:17" x14ac:dyDescent="0.35">
      <c r="A33" s="132">
        <f>A29-A32</f>
        <v>-16.114093110164546</v>
      </c>
      <c r="B33" t="s">
        <v>7</v>
      </c>
      <c r="C33" t="s">
        <v>152</v>
      </c>
      <c r="D33" s="12"/>
      <c r="F33" s="75">
        <f>F29-F32</f>
        <v>-149.99999999999997</v>
      </c>
      <c r="G33" t="s">
        <v>7</v>
      </c>
      <c r="H33" t="s">
        <v>152</v>
      </c>
      <c r="J33" s="45"/>
      <c r="M33" s="75">
        <f>M29-M32</f>
        <v>-400.00000000000006</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46136</v>
      </c>
      <c r="M39" s="162">
        <v>46136</v>
      </c>
    </row>
    <row r="40" spans="1:17" ht="13.15" x14ac:dyDescent="0.4">
      <c r="A40" t="s">
        <v>154</v>
      </c>
      <c r="C40" s="27">
        <f>A12</f>
        <v>49.4</v>
      </c>
      <c r="D40" t="s">
        <v>155</v>
      </c>
      <c r="G40" s="27">
        <f>F12</f>
        <v>39</v>
      </c>
      <c r="H40" t="s">
        <v>155</v>
      </c>
      <c r="N40" s="27">
        <v>70</v>
      </c>
    </row>
    <row r="42" spans="1:17" ht="13.15" x14ac:dyDescent="0.4">
      <c r="A42" t="s">
        <v>156</v>
      </c>
      <c r="B42" s="135">
        <f>0.56*C42</f>
        <v>8820</v>
      </c>
      <c r="C42" s="108">
        <v>15750</v>
      </c>
      <c r="D42" s="135">
        <f>1.56*C42</f>
        <v>24570</v>
      </c>
      <c r="F42" s="135">
        <f>0.56*G42</f>
        <v>5952.8</v>
      </c>
      <c r="G42" s="158">
        <v>10630</v>
      </c>
      <c r="H42" s="135">
        <f>1.56*G42</f>
        <v>16582.8</v>
      </c>
      <c r="M42" s="135">
        <f>0.56*N42</f>
        <v>13963.04</v>
      </c>
      <c r="N42" s="158">
        <v>24934</v>
      </c>
      <c r="O42" s="135">
        <f>1.56*N42</f>
        <v>38897.040000000001</v>
      </c>
    </row>
    <row r="43" spans="1:17" x14ac:dyDescent="0.35">
      <c r="B43" s="46"/>
      <c r="C43" s="47"/>
      <c r="D43" s="48"/>
      <c r="F43" s="46"/>
      <c r="G43" s="47"/>
      <c r="H43" s="48"/>
      <c r="M43" s="46"/>
      <c r="N43" s="47"/>
      <c r="O43" s="48"/>
    </row>
    <row r="44" spans="1:17" ht="13.15" x14ac:dyDescent="0.4">
      <c r="A44" t="s">
        <v>157</v>
      </c>
      <c r="B44" s="108">
        <v>128019</v>
      </c>
      <c r="C44" s="108">
        <v>127229</v>
      </c>
      <c r="D44" s="76"/>
      <c r="F44" s="108">
        <v>183256</v>
      </c>
      <c r="G44" s="108">
        <v>183214</v>
      </c>
      <c r="H44" s="76"/>
      <c r="M44" s="108">
        <v>55954</v>
      </c>
      <c r="N44" s="108">
        <v>56101</v>
      </c>
      <c r="O44" s="76"/>
    </row>
    <row r="46" spans="1:17" ht="13.9" x14ac:dyDescent="0.4">
      <c r="A46" t="s">
        <v>158</v>
      </c>
      <c r="B46" s="134">
        <f>(1-B44/C44)</f>
        <v>-6.2092761870329305E-3</v>
      </c>
      <c r="F46" s="134">
        <f>(1-F44/G44)</f>
        <v>-2.2924012357128376E-4</v>
      </c>
      <c r="M46" s="134">
        <f>(1-M44/N44)</f>
        <v>2.6202741484109282E-3</v>
      </c>
    </row>
    <row r="50" spans="1:10" ht="13.15" x14ac:dyDescent="0.4">
      <c r="A50" s="27" t="s">
        <v>153</v>
      </c>
    </row>
    <row r="52" spans="1:10" ht="13.15" x14ac:dyDescent="0.4">
      <c r="F52" s="27" t="s">
        <v>189</v>
      </c>
    </row>
    <row r="53" spans="1:10" ht="13.15" x14ac:dyDescent="0.4">
      <c r="F53" s="153">
        <v>10</v>
      </c>
      <c r="G53" s="71" t="s">
        <v>125</v>
      </c>
      <c r="H53" s="71" t="s">
        <v>126</v>
      </c>
      <c r="I53" s="39"/>
      <c r="J53" s="40"/>
    </row>
    <row r="54" spans="1:10" x14ac:dyDescent="0.35">
      <c r="F54" s="72">
        <f>(4/3)*(3.1415936)*((F53*0.000001/2)^3)</f>
        <v>5.235989333333331E-16</v>
      </c>
      <c r="G54" s="70" t="s">
        <v>127</v>
      </c>
      <c r="H54" s="70" t="s">
        <v>128</v>
      </c>
      <c r="J54" s="45"/>
    </row>
    <row r="55" spans="1:10" ht="13.15" x14ac:dyDescent="0.4">
      <c r="F55" s="154">
        <v>1.05</v>
      </c>
      <c r="G55" t="s">
        <v>188</v>
      </c>
      <c r="J55" s="45"/>
    </row>
    <row r="56" spans="1:10" x14ac:dyDescent="0.35">
      <c r="F56" s="72">
        <f>F54*F55*1000</f>
        <v>5.497788799999997E-13</v>
      </c>
      <c r="G56" s="70" t="s">
        <v>129</v>
      </c>
      <c r="H56" s="70" t="s">
        <v>130</v>
      </c>
      <c r="J56" s="45"/>
    </row>
    <row r="57" spans="1:10" x14ac:dyDescent="0.35">
      <c r="F57" s="72">
        <f>0.000001/F56</f>
        <v>1818913.0873852421</v>
      </c>
      <c r="G57" s="70" t="s">
        <v>43</v>
      </c>
      <c r="H57" s="70" t="s">
        <v>131</v>
      </c>
      <c r="J57" s="45"/>
    </row>
    <row r="58" spans="1:10" ht="13.15" x14ac:dyDescent="0.4">
      <c r="F58" s="73">
        <v>5000</v>
      </c>
      <c r="G58" s="70"/>
      <c r="H58" s="70" t="s">
        <v>132</v>
      </c>
      <c r="J58" s="45"/>
    </row>
    <row r="59" spans="1:10" x14ac:dyDescent="0.35">
      <c r="F59" s="74">
        <f>F58/F57*1000</f>
        <v>2.7488943999999984</v>
      </c>
      <c r="G59" s="70" t="s">
        <v>137</v>
      </c>
      <c r="H59" s="70" t="s">
        <v>134</v>
      </c>
      <c r="J59" s="45"/>
    </row>
    <row r="60" spans="1:10" ht="13.15" x14ac:dyDescent="0.4">
      <c r="F60" s="154">
        <v>10.53</v>
      </c>
      <c r="G60" s="70" t="s">
        <v>135</v>
      </c>
      <c r="H60" s="70" t="s">
        <v>136</v>
      </c>
      <c r="J60" s="45"/>
    </row>
    <row r="61" spans="1:10" ht="13.9" x14ac:dyDescent="0.4">
      <c r="F61" s="155">
        <f>F60*F59</f>
        <v>28.945858031999983</v>
      </c>
      <c r="G61" s="70" t="s">
        <v>137</v>
      </c>
      <c r="H61" s="70" t="s">
        <v>138</v>
      </c>
      <c r="J61" s="45"/>
    </row>
    <row r="62" spans="1:10" ht="13.15" x14ac:dyDescent="0.4">
      <c r="F62" s="154">
        <v>28.78</v>
      </c>
      <c r="G62" s="70" t="s">
        <v>137</v>
      </c>
      <c r="H62" s="70" t="s">
        <v>139</v>
      </c>
      <c r="J62" s="45"/>
    </row>
    <row r="63" spans="1:10" ht="13.9" x14ac:dyDescent="0.4">
      <c r="F63" s="156">
        <f>F62/F61*F58</f>
        <v>4971.3502996151256</v>
      </c>
      <c r="G63" s="70" t="s">
        <v>140</v>
      </c>
      <c r="H63" s="70" t="s">
        <v>141</v>
      </c>
      <c r="J63" s="45"/>
    </row>
    <row r="64" spans="1:10" x14ac:dyDescent="0.35">
      <c r="F64" s="75">
        <f>F62*F57</f>
        <v>52348318.654947273</v>
      </c>
      <c r="H64" t="s">
        <v>142</v>
      </c>
      <c r="J64" s="45"/>
    </row>
    <row r="65" spans="6:10" x14ac:dyDescent="0.35">
      <c r="F65" s="75">
        <f>F63/F58*F60*1000</f>
        <v>10469.663730989452</v>
      </c>
      <c r="G65" t="s">
        <v>7</v>
      </c>
      <c r="H65" t="s">
        <v>143</v>
      </c>
      <c r="J65" s="45"/>
    </row>
    <row r="66" spans="6:10" x14ac:dyDescent="0.35">
      <c r="F66" s="75">
        <f>F65-F60*1000</f>
        <v>-60.336269010547767</v>
      </c>
      <c r="G66" t="s">
        <v>7</v>
      </c>
      <c r="H66" t="s">
        <v>144</v>
      </c>
      <c r="J66" s="45"/>
    </row>
    <row r="67" spans="6:10" ht="13.9" x14ac:dyDescent="0.4">
      <c r="F67" s="157">
        <f>F64/(F65)</f>
        <v>5000.0000000000009</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99.999999999999986</v>
      </c>
      <c r="G73" t="s">
        <v>7</v>
      </c>
      <c r="H73" t="s">
        <v>151</v>
      </c>
      <c r="J73" s="45"/>
    </row>
    <row r="74" spans="6:10" x14ac:dyDescent="0.35">
      <c r="F74" s="75">
        <f>F70-F73</f>
        <v>0</v>
      </c>
      <c r="G74" t="s">
        <v>7</v>
      </c>
      <c r="H74" t="s">
        <v>152</v>
      </c>
      <c r="J74" s="45"/>
    </row>
    <row r="75" spans="6:10" x14ac:dyDescent="0.35">
      <c r="F75" s="46"/>
      <c r="G75" s="47"/>
      <c r="H75" s="47"/>
      <c r="I75" s="47"/>
      <c r="J75" s="48"/>
    </row>
    <row r="80" spans="6:10" x14ac:dyDescent="0.35">
      <c r="F80" s="29"/>
    </row>
    <row r="81" spans="6:8" ht="13.15" x14ac:dyDescent="0.4">
      <c r="G81" s="27">
        <f>F53</f>
        <v>10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abSelected="1" zoomScale="70" zoomScaleNormal="70" workbookViewId="0">
      <selection sqref="A1:B1"/>
    </sheetView>
  </sheetViews>
  <sheetFormatPr defaultColWidth="11.53125" defaultRowHeight="12.75" x14ac:dyDescent="0.35"/>
  <sheetData>
    <row r="1" spans="1:4" ht="14.25" x14ac:dyDescent="0.45">
      <c r="A1" s="166" t="s">
        <v>159</v>
      </c>
      <c r="B1" s="167"/>
      <c r="C1" s="166" t="s">
        <v>160</v>
      </c>
      <c r="D1" s="167"/>
    </row>
    <row r="2" spans="1:4" ht="92.85" customHeight="1" x14ac:dyDescent="0.45">
      <c r="A2" s="168" t="s">
        <v>161</v>
      </c>
      <c r="B2" s="169"/>
      <c r="C2" s="168" t="s">
        <v>162</v>
      </c>
      <c r="D2" s="169"/>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81.450291934261188</v>
      </c>
      <c r="C5" s="91">
        <v>4</v>
      </c>
      <c r="D5" s="96">
        <f>CubicSpline(C5,$A$5:$A$34,$B$5:$B$34)</f>
        <v>81.450291934261202</v>
      </c>
    </row>
    <row r="6" spans="1:4" x14ac:dyDescent="0.35">
      <c r="A6" s="97">
        <v>5</v>
      </c>
      <c r="B6" s="85">
        <f>'6 - Thresholds'!$M5</f>
        <v>130.34531177119257</v>
      </c>
      <c r="C6" s="81">
        <v>5</v>
      </c>
      <c r="D6" s="98">
        <f t="shared" ref="D6:D30" si="0">CubicSpline(C6,$A$5:$A$34,$B$5:$B$34)</f>
        <v>130.34531177119257</v>
      </c>
    </row>
    <row r="7" spans="1:4" x14ac:dyDescent="0.35">
      <c r="A7" s="97">
        <v>6</v>
      </c>
      <c r="B7" s="85">
        <f>'6 - Thresholds'!$M6</f>
        <v>191.797887159053</v>
      </c>
      <c r="C7" s="92">
        <v>6</v>
      </c>
      <c r="D7" s="98">
        <f t="shared" si="0"/>
        <v>191.79788715905306</v>
      </c>
    </row>
    <row r="8" spans="1:4" x14ac:dyDescent="0.35">
      <c r="A8" s="97">
        <v>7</v>
      </c>
      <c r="B8" s="85">
        <f>'6 - Thresholds'!$M7</f>
        <v>257.65778727833373</v>
      </c>
      <c r="C8" s="81">
        <v>7</v>
      </c>
      <c r="D8" s="98">
        <f t="shared" si="0"/>
        <v>257.6577872783339</v>
      </c>
    </row>
    <row r="9" spans="1:4" x14ac:dyDescent="0.35">
      <c r="A9" s="97">
        <v>8</v>
      </c>
      <c r="B9" s="85">
        <f>'6 - Thresholds'!$M8</f>
        <v>339.9371498073009</v>
      </c>
      <c r="C9" s="81">
        <v>8</v>
      </c>
      <c r="D9" s="98">
        <f t="shared" si="0"/>
        <v>339.93714980730101</v>
      </c>
    </row>
    <row r="10" spans="1:4" x14ac:dyDescent="0.35">
      <c r="A10" s="97">
        <v>9</v>
      </c>
      <c r="B10" s="85">
        <f>'6 - Thresholds'!$M9</f>
        <v>434.73962911819518</v>
      </c>
      <c r="C10" s="81">
        <v>9</v>
      </c>
      <c r="D10" s="98">
        <f t="shared" si="0"/>
        <v>434.7396291181953</v>
      </c>
    </row>
    <row r="11" spans="1:4" x14ac:dyDescent="0.35">
      <c r="A11" s="97">
        <v>10</v>
      </c>
      <c r="B11" s="85">
        <f>'6 - Thresholds'!$M10</f>
        <v>538.16443729214734</v>
      </c>
      <c r="C11" s="81">
        <v>10</v>
      </c>
      <c r="D11" s="98">
        <f t="shared" si="0"/>
        <v>538.16443729214711</v>
      </c>
    </row>
    <row r="12" spans="1:4" x14ac:dyDescent="0.35">
      <c r="A12" s="97">
        <v>11</v>
      </c>
      <c r="B12" s="85">
        <f>'6 - Thresholds'!$M11</f>
        <v>657.299532006851</v>
      </c>
      <c r="C12" s="81">
        <v>11</v>
      </c>
      <c r="D12" s="98">
        <f t="shared" si="0"/>
        <v>657.29953200685111</v>
      </c>
    </row>
    <row r="13" spans="1:4" x14ac:dyDescent="0.35">
      <c r="A13" s="97">
        <v>12</v>
      </c>
      <c r="B13" s="85">
        <f>'6 - Thresholds'!$M12</f>
        <v>790.73046287897125</v>
      </c>
      <c r="C13" s="81">
        <v>12</v>
      </c>
      <c r="D13" s="98">
        <f t="shared" si="0"/>
        <v>790.73046287897159</v>
      </c>
    </row>
    <row r="14" spans="1:4" x14ac:dyDescent="0.35">
      <c r="A14" s="97">
        <v>13</v>
      </c>
      <c r="B14" s="85">
        <f>'6 - Thresholds'!$M13</f>
        <v>925.81654802405808</v>
      </c>
      <c r="C14" s="81">
        <v>13</v>
      </c>
      <c r="D14" s="98">
        <f t="shared" si="0"/>
        <v>925.81654802405808</v>
      </c>
    </row>
    <row r="15" spans="1:4" x14ac:dyDescent="0.35">
      <c r="A15" s="97">
        <v>14</v>
      </c>
      <c r="B15" s="85">
        <f>'6 - Thresholds'!$M14</f>
        <v>1067.8867096146978</v>
      </c>
      <c r="C15" s="92">
        <v>14</v>
      </c>
      <c r="D15" s="98">
        <f t="shared" si="0"/>
        <v>1067.8867096146978</v>
      </c>
    </row>
    <row r="16" spans="1:4" x14ac:dyDescent="0.35">
      <c r="A16" s="97">
        <v>15</v>
      </c>
      <c r="B16" s="85">
        <f>'6 - Thresholds'!$M15</f>
        <v>1216.3624862185002</v>
      </c>
      <c r="C16" s="81">
        <v>15</v>
      </c>
      <c r="D16" s="98">
        <f t="shared" si="0"/>
        <v>1216.3624862185</v>
      </c>
    </row>
    <row r="17" spans="1:36" x14ac:dyDescent="0.35">
      <c r="A17" s="97">
        <v>16</v>
      </c>
      <c r="B17" s="85">
        <f>'6 - Thresholds'!$M16</f>
        <v>1366.4759938439845</v>
      </c>
      <c r="C17" s="81">
        <v>16</v>
      </c>
      <c r="D17" s="98">
        <f t="shared" si="0"/>
        <v>1366.4759938439845</v>
      </c>
    </row>
    <row r="18" spans="1:36" x14ac:dyDescent="0.35">
      <c r="A18" s="97">
        <v>17</v>
      </c>
      <c r="B18" s="85">
        <f>'6 - Thresholds'!$M17</f>
        <v>1517.7673342010464</v>
      </c>
      <c r="C18" s="81">
        <v>17</v>
      </c>
      <c r="D18" s="98">
        <f t="shared" si="0"/>
        <v>1517.7673342010467</v>
      </c>
    </row>
    <row r="19" spans="1:36" x14ac:dyDescent="0.35">
      <c r="A19" s="97">
        <v>18</v>
      </c>
      <c r="B19" s="85">
        <f>'6 - Thresholds'!$M18</f>
        <v>1667.5849090557808</v>
      </c>
      <c r="C19" s="81">
        <v>18</v>
      </c>
      <c r="D19" s="98">
        <f t="shared" si="0"/>
        <v>1667.5849090557806</v>
      </c>
    </row>
    <row r="20" spans="1:36" x14ac:dyDescent="0.35">
      <c r="A20" s="97">
        <v>19</v>
      </c>
      <c r="B20" s="85">
        <f>'6 - Thresholds'!$M19</f>
        <v>1831.9652506220361</v>
      </c>
      <c r="C20" s="81">
        <v>19</v>
      </c>
      <c r="D20" s="98">
        <f t="shared" si="0"/>
        <v>1831.9652506220368</v>
      </c>
      <c r="G20" s="85">
        <f>'6 - Curve'!$D$5</f>
        <v>81.450291934261202</v>
      </c>
      <c r="H20" s="85">
        <f>'6 - Curve'!$D$6</f>
        <v>130.34531177119257</v>
      </c>
      <c r="I20" s="85">
        <f>'6 - Curve'!$D$7</f>
        <v>191.79788715905306</v>
      </c>
      <c r="J20" s="85">
        <f>'6 - Curve'!$D$8</f>
        <v>257.6577872783339</v>
      </c>
      <c r="K20" s="85">
        <f>'6 - Curve'!$D$9</f>
        <v>339.93714980730101</v>
      </c>
      <c r="L20" s="85">
        <f>'6 - Curve'!$D$10</f>
        <v>434.7396291181953</v>
      </c>
      <c r="M20" s="85">
        <f>'6 - Curve'!$D$11</f>
        <v>538.16443729214711</v>
      </c>
      <c r="N20" s="85">
        <f>'6 - Curve'!$D$12</f>
        <v>657.29953200685111</v>
      </c>
      <c r="O20" s="85">
        <f>'6 - Curve'!$D$13</f>
        <v>790.73046287897159</v>
      </c>
      <c r="P20" s="85">
        <f>'6 - Curve'!$D$14</f>
        <v>925.81654802405808</v>
      </c>
      <c r="Q20" s="85">
        <f>'6 - Curve'!$D$15</f>
        <v>1067.8867096146978</v>
      </c>
      <c r="R20" s="85">
        <f>'6 - Curve'!$D$16</f>
        <v>1216.3624862185</v>
      </c>
      <c r="S20" s="85">
        <f>'6 - Curve'!$D$17</f>
        <v>1366.4759938439845</v>
      </c>
      <c r="T20" s="85">
        <f>'6 - Curve'!$D$18</f>
        <v>1517.7673342010467</v>
      </c>
      <c r="U20" s="85">
        <f>'6 - Curve'!$D$19</f>
        <v>1667.5849090557806</v>
      </c>
      <c r="V20" s="85">
        <f>'6 - Curve'!$D$20</f>
        <v>1831.9652506220368</v>
      </c>
      <c r="W20" s="85">
        <f>'6 - Curve'!$D$21</f>
        <v>2019.3423212901234</v>
      </c>
      <c r="X20" s="85">
        <f>'6 - Curve'!$D$22</f>
        <v>2246.3052316140706</v>
      </c>
      <c r="Y20" s="85">
        <f>'6 - Curve'!$D$23</f>
        <v>2493.0575828039664</v>
      </c>
      <c r="Z20" s="85">
        <f>'6 - Curve'!$D$24</f>
        <v>2752.2264248488482</v>
      </c>
      <c r="AA20" s="85">
        <f>'6 - Curve'!$D$25</f>
        <v>3012.1646397067379</v>
      </c>
      <c r="AB20" s="85">
        <f>'6 - Curve'!$D$26</f>
        <v>3299.8359446443983</v>
      </c>
      <c r="AC20" s="85">
        <f>'6 - Curve'!$D$27</f>
        <v>3672.8522122182621</v>
      </c>
      <c r="AD20" s="85">
        <f>'6 - Curve'!$D$28</f>
        <v>4058.3592217597202</v>
      </c>
      <c r="AE20" s="85">
        <f>'6 - Curve'!$D$29</f>
        <v>4453.3306611279622</v>
      </c>
      <c r="AF20" s="85">
        <f>'6 - Curve'!$D$30</f>
        <v>4838.4362414860789</v>
      </c>
      <c r="AG20" s="85">
        <f>'6 - Curve'!$D$31</f>
        <v>5288.3995273330902</v>
      </c>
      <c r="AH20" s="106">
        <f>'6 - Curve'!$D$32</f>
        <v>10072.132962873835</v>
      </c>
      <c r="AI20" s="106">
        <f>'6 - Curve'!$D$33</f>
        <v>16030.175521350355</v>
      </c>
      <c r="AJ20" s="106">
        <f>'6 - Curve'!$D$34</f>
        <v>24934</v>
      </c>
    </row>
    <row r="21" spans="1:36" ht="13.5" thickBot="1" x14ac:dyDescent="0.45">
      <c r="A21" s="97">
        <v>20</v>
      </c>
      <c r="B21" s="85">
        <f>'6 - Thresholds'!$M20</f>
        <v>2019.3423212901196</v>
      </c>
      <c r="C21" s="81">
        <v>20</v>
      </c>
      <c r="D21" s="98">
        <f t="shared" si="0"/>
        <v>2019.3423212901234</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2246.3052316140665</v>
      </c>
      <c r="C22" s="92">
        <v>21</v>
      </c>
      <c r="D22" s="98">
        <f t="shared" si="0"/>
        <v>2246.3052316140706</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2493.05758280397</v>
      </c>
      <c r="C23" s="81">
        <v>22</v>
      </c>
      <c r="D23" s="98">
        <f t="shared" si="0"/>
        <v>2493.0575828039664</v>
      </c>
      <c r="F23" s="11" t="s">
        <v>173</v>
      </c>
      <c r="G23" s="103">
        <f t="shared" ref="G23:AJ23" si="1">INT(G20+0.5)</f>
        <v>81</v>
      </c>
      <c r="H23" s="104">
        <f t="shared" si="1"/>
        <v>130</v>
      </c>
      <c r="I23" s="104">
        <f t="shared" si="1"/>
        <v>192</v>
      </c>
      <c r="J23" s="104">
        <f t="shared" si="1"/>
        <v>258</v>
      </c>
      <c r="K23" s="104">
        <f t="shared" si="1"/>
        <v>340</v>
      </c>
      <c r="L23" s="104">
        <f t="shared" si="1"/>
        <v>435</v>
      </c>
      <c r="M23" s="104">
        <f t="shared" si="1"/>
        <v>538</v>
      </c>
      <c r="N23" s="104">
        <f t="shared" si="1"/>
        <v>657</v>
      </c>
      <c r="O23" s="104">
        <f t="shared" si="1"/>
        <v>791</v>
      </c>
      <c r="P23" s="104">
        <f t="shared" si="1"/>
        <v>926</v>
      </c>
      <c r="Q23" s="104">
        <f t="shared" si="1"/>
        <v>1068</v>
      </c>
      <c r="R23" s="104">
        <f t="shared" si="1"/>
        <v>1216</v>
      </c>
      <c r="S23" s="104">
        <f t="shared" si="1"/>
        <v>1366</v>
      </c>
      <c r="T23" s="104">
        <f t="shared" si="1"/>
        <v>1518</v>
      </c>
      <c r="U23" s="104">
        <f t="shared" si="1"/>
        <v>1668</v>
      </c>
      <c r="V23" s="104">
        <f t="shared" si="1"/>
        <v>1832</v>
      </c>
      <c r="W23" s="104">
        <f t="shared" si="1"/>
        <v>2019</v>
      </c>
      <c r="X23" s="104">
        <f t="shared" si="1"/>
        <v>2246</v>
      </c>
      <c r="Y23" s="104">
        <f t="shared" si="1"/>
        <v>2493</v>
      </c>
      <c r="Z23" s="104">
        <f t="shared" si="1"/>
        <v>2752</v>
      </c>
      <c r="AA23" s="104">
        <f t="shared" si="1"/>
        <v>3012</v>
      </c>
      <c r="AB23" s="104">
        <f t="shared" si="1"/>
        <v>3300</v>
      </c>
      <c r="AC23" s="104">
        <f t="shared" si="1"/>
        <v>3673</v>
      </c>
      <c r="AD23" s="104">
        <f t="shared" si="1"/>
        <v>4058</v>
      </c>
      <c r="AE23" s="104">
        <f t="shared" si="1"/>
        <v>4453</v>
      </c>
      <c r="AF23" s="104">
        <f t="shared" si="1"/>
        <v>4838</v>
      </c>
      <c r="AG23" s="104">
        <f t="shared" si="1"/>
        <v>5288</v>
      </c>
      <c r="AH23" s="104">
        <f t="shared" si="1"/>
        <v>10072</v>
      </c>
      <c r="AI23" s="104">
        <f t="shared" si="1"/>
        <v>16030</v>
      </c>
      <c r="AJ23" s="105">
        <f t="shared" si="1"/>
        <v>24934</v>
      </c>
    </row>
    <row r="24" spans="1:36" ht="13.9" x14ac:dyDescent="0.5">
      <c r="A24" s="97">
        <v>23</v>
      </c>
      <c r="B24" s="85">
        <f>'6 - Thresholds'!$M23</f>
        <v>2752.22642484885</v>
      </c>
      <c r="C24" s="81">
        <v>23</v>
      </c>
      <c r="D24" s="98">
        <f t="shared" si="0"/>
        <v>2752.2264248488482</v>
      </c>
      <c r="G24" s="143" t="s">
        <v>182</v>
      </c>
    </row>
    <row r="25" spans="1:36" x14ac:dyDescent="0.35">
      <c r="A25" s="97">
        <v>24</v>
      </c>
      <c r="B25" s="85">
        <f>'6 - Thresholds'!$M24</f>
        <v>3012.1646397067307</v>
      </c>
      <c r="C25" s="81">
        <v>24</v>
      </c>
      <c r="D25" s="98">
        <f t="shared" si="0"/>
        <v>3012.1646397067379</v>
      </c>
    </row>
    <row r="26" spans="1:36" x14ac:dyDescent="0.35">
      <c r="A26" s="97">
        <v>25</v>
      </c>
      <c r="B26" s="85">
        <f>'6 - Thresholds'!$M25</f>
        <v>3299.8359446444024</v>
      </c>
      <c r="C26" s="92">
        <v>25</v>
      </c>
      <c r="D26" s="98">
        <f t="shared" si="0"/>
        <v>3299.8359446443983</v>
      </c>
      <c r="G26" t="s">
        <v>195</v>
      </c>
    </row>
    <row r="27" spans="1:36" ht="14.25" thickBot="1" x14ac:dyDescent="0.45">
      <c r="A27" s="97">
        <v>26</v>
      </c>
      <c r="B27" s="85">
        <f>'6 - Thresholds'!$M26</f>
        <v>3672.8522122182721</v>
      </c>
      <c r="C27" s="81">
        <v>26</v>
      </c>
      <c r="D27" s="98">
        <f t="shared" si="0"/>
        <v>3672.8522122182621</v>
      </c>
      <c r="F27" s="77"/>
      <c r="G27" s="159">
        <v>81</v>
      </c>
      <c r="H27" s="160">
        <v>131</v>
      </c>
      <c r="I27" s="160">
        <v>192</v>
      </c>
      <c r="J27" s="160">
        <v>257</v>
      </c>
      <c r="K27" s="160">
        <v>339</v>
      </c>
      <c r="L27" s="160">
        <v>432</v>
      </c>
      <c r="M27" s="160">
        <v>533</v>
      </c>
      <c r="N27" s="160">
        <v>647</v>
      </c>
      <c r="O27" s="160">
        <v>776</v>
      </c>
      <c r="P27" s="160">
        <v>907</v>
      </c>
      <c r="Q27" s="160">
        <v>1043</v>
      </c>
      <c r="R27" s="160">
        <v>1192</v>
      </c>
      <c r="S27" s="160">
        <v>1349</v>
      </c>
      <c r="T27" s="160">
        <v>1501</v>
      </c>
      <c r="U27" s="160">
        <v>1649</v>
      </c>
      <c r="V27" s="160">
        <v>1810</v>
      </c>
      <c r="W27" s="160">
        <v>1982</v>
      </c>
      <c r="X27" s="160">
        <v>2176</v>
      </c>
      <c r="Y27" s="160">
        <v>2391</v>
      </c>
      <c r="Z27" s="160">
        <v>2639</v>
      </c>
      <c r="AA27" s="160">
        <v>2910</v>
      </c>
      <c r="AB27" s="160">
        <v>3212</v>
      </c>
      <c r="AC27" s="160">
        <v>3513</v>
      </c>
      <c r="AD27" s="160">
        <v>3816</v>
      </c>
      <c r="AE27" s="160">
        <v>4129</v>
      </c>
      <c r="AF27" s="160">
        <v>4450</v>
      </c>
      <c r="AG27" s="160">
        <v>4815</v>
      </c>
      <c r="AH27" s="160">
        <v>9426</v>
      </c>
      <c r="AI27" s="160">
        <v>15895</v>
      </c>
      <c r="AJ27" s="161">
        <v>25000</v>
      </c>
    </row>
    <row r="28" spans="1:36" x14ac:dyDescent="0.35">
      <c r="A28" s="97">
        <v>27</v>
      </c>
      <c r="B28" s="85">
        <f>'6 - Thresholds'!$M27</f>
        <v>4058.3592217597188</v>
      </c>
      <c r="C28" s="81">
        <v>27</v>
      </c>
      <c r="D28" s="98">
        <f t="shared" si="0"/>
        <v>4058.3592217597202</v>
      </c>
      <c r="F28" s="77"/>
    </row>
    <row r="29" spans="1:36" x14ac:dyDescent="0.35">
      <c r="A29" s="97">
        <v>28</v>
      </c>
      <c r="B29" s="85">
        <f>'6 - Thresholds'!$M28</f>
        <v>4453.3306611279659</v>
      </c>
      <c r="C29" s="81">
        <v>28</v>
      </c>
      <c r="D29" s="98">
        <f t="shared" si="0"/>
        <v>4453.3306611279622</v>
      </c>
      <c r="E29" t="s">
        <v>196</v>
      </c>
      <c r="F29">
        <v>12262</v>
      </c>
    </row>
    <row r="30" spans="1:36" x14ac:dyDescent="0.35">
      <c r="A30" s="97">
        <v>29</v>
      </c>
      <c r="B30" s="85">
        <f>'6 - Thresholds'!$M29</f>
        <v>4838.4362414861216</v>
      </c>
      <c r="C30" s="81">
        <v>29</v>
      </c>
      <c r="D30" s="98">
        <f t="shared" si="0"/>
        <v>4838.4362414860789</v>
      </c>
      <c r="E30" t="s">
        <v>197</v>
      </c>
      <c r="F30">
        <f>3/220000*1000000000/F29*4</f>
        <v>4.448332616657523</v>
      </c>
    </row>
    <row r="31" spans="1:36" x14ac:dyDescent="0.35">
      <c r="A31" s="97">
        <v>30</v>
      </c>
      <c r="B31" s="85">
        <f>'6 - Thresholds'!$M30</f>
        <v>5288.399527333082</v>
      </c>
      <c r="C31" s="81">
        <v>30</v>
      </c>
      <c r="D31" s="98">
        <f>CubicSpline(C31,$A$5:$A$34,$B$5:$B$34)</f>
        <v>5288.3995273330902</v>
      </c>
      <c r="E31" t="s">
        <v>198</v>
      </c>
      <c r="G31" s="16">
        <f>G23/$F$30</f>
        <v>18.209070000000001</v>
      </c>
      <c r="H31" s="16">
        <f t="shared" ref="H31:AJ31" si="2">H23/$F$30</f>
        <v>29.224433333333334</v>
      </c>
      <c r="I31" s="16">
        <f t="shared" si="2"/>
        <v>43.162239999999997</v>
      </c>
      <c r="J31" s="16">
        <f t="shared" si="2"/>
        <v>57.99926</v>
      </c>
      <c r="K31" s="16">
        <f t="shared" si="2"/>
        <v>76.43313333333333</v>
      </c>
      <c r="L31" s="16">
        <f t="shared" si="2"/>
        <v>97.789450000000002</v>
      </c>
      <c r="M31" s="16">
        <f t="shared" si="2"/>
        <v>120.94419333333333</v>
      </c>
      <c r="N31" s="16">
        <f t="shared" si="2"/>
        <v>147.69578999999999</v>
      </c>
      <c r="O31" s="16">
        <f t="shared" si="2"/>
        <v>177.81943666666666</v>
      </c>
      <c r="P31" s="16">
        <f t="shared" si="2"/>
        <v>208.16788666666667</v>
      </c>
      <c r="Q31" s="16">
        <f t="shared" si="2"/>
        <v>240.08995999999999</v>
      </c>
      <c r="R31" s="16">
        <f t="shared" si="2"/>
        <v>273.36085333333335</v>
      </c>
      <c r="S31" s="16">
        <f t="shared" si="2"/>
        <v>307.08135333333331</v>
      </c>
      <c r="T31" s="16">
        <f t="shared" si="2"/>
        <v>341.25146000000001</v>
      </c>
      <c r="U31" s="16">
        <f t="shared" si="2"/>
        <v>374.97195999999997</v>
      </c>
      <c r="V31" s="16">
        <f t="shared" si="2"/>
        <v>411.83970666666664</v>
      </c>
      <c r="W31" s="16">
        <f t="shared" si="2"/>
        <v>453.87792999999999</v>
      </c>
      <c r="X31" s="16">
        <f t="shared" si="2"/>
        <v>504.90828666666664</v>
      </c>
      <c r="Y31" s="16">
        <f t="shared" si="2"/>
        <v>560.43471</v>
      </c>
      <c r="Z31" s="16">
        <f t="shared" si="2"/>
        <v>618.65877333333333</v>
      </c>
      <c r="AA31" s="16">
        <f t="shared" si="2"/>
        <v>677.10763999999995</v>
      </c>
      <c r="AB31" s="16">
        <f t="shared" si="2"/>
        <v>741.851</v>
      </c>
      <c r="AC31" s="16">
        <f t="shared" si="2"/>
        <v>825.7026433333333</v>
      </c>
      <c r="AD31" s="16">
        <f t="shared" si="2"/>
        <v>912.25192666666669</v>
      </c>
      <c r="AE31" s="16">
        <f t="shared" si="2"/>
        <v>1001.0492433333333</v>
      </c>
      <c r="AF31" s="16">
        <f t="shared" si="2"/>
        <v>1087.5985266666667</v>
      </c>
      <c r="AG31" s="16">
        <f t="shared" si="2"/>
        <v>1188.7600266666666</v>
      </c>
      <c r="AH31" s="16">
        <f t="shared" si="2"/>
        <v>2264.2191733333334</v>
      </c>
      <c r="AI31" s="16">
        <f t="shared" si="2"/>
        <v>3603.5974333333334</v>
      </c>
      <c r="AJ31" s="16">
        <f t="shared" si="2"/>
        <v>5605.2463133333331</v>
      </c>
    </row>
    <row r="32" spans="1:36" x14ac:dyDescent="0.35">
      <c r="A32" s="97">
        <f>'6 - Spheres'!$G$40</f>
        <v>39</v>
      </c>
      <c r="B32" s="81">
        <f>'6 - Spheres'!$G$42</f>
        <v>10630</v>
      </c>
      <c r="C32" s="92">
        <v>38</v>
      </c>
      <c r="D32" s="98">
        <f t="shared" ref="D32:D34" si="3">CubicSpline(C32,$A$5:$A$34,$B$5:$B$34)</f>
        <v>10072.132962873835</v>
      </c>
      <c r="E32" t="s">
        <v>199</v>
      </c>
      <c r="F32">
        <v>192</v>
      </c>
    </row>
    <row r="33" spans="1:6" x14ac:dyDescent="0.35">
      <c r="A33" s="97">
        <f>'6 - Spheres'!$C$40</f>
        <v>49.4</v>
      </c>
      <c r="B33" s="81">
        <f>'6 - Spheres'!$C$42</f>
        <v>15750</v>
      </c>
      <c r="C33" s="92">
        <v>50</v>
      </c>
      <c r="D33" s="98">
        <f t="shared" si="3"/>
        <v>16030.175521350355</v>
      </c>
      <c r="E33" t="s">
        <v>200</v>
      </c>
      <c r="F33" s="163">
        <f>CubicSpline(F32,$G$31:$AJ31,$G$22:$AJ$22)</f>
        <v>0</v>
      </c>
    </row>
    <row r="34" spans="1:6" x14ac:dyDescent="0.35">
      <c r="A34" s="99">
        <f>'6 - Spheres'!$N$40</f>
        <v>70</v>
      </c>
      <c r="B34" s="93">
        <f>'6 - Spheres'!$N$42</f>
        <v>24934</v>
      </c>
      <c r="C34" s="94">
        <v>70</v>
      </c>
      <c r="D34" s="100">
        <f t="shared" si="3"/>
        <v>24934</v>
      </c>
    </row>
    <row r="36" spans="1:6" ht="40.15" x14ac:dyDescent="0.35">
      <c r="A36" s="78" t="s">
        <v>166</v>
      </c>
    </row>
    <row r="39" spans="1:6" ht="13.15" x14ac:dyDescent="0.4">
      <c r="A39" t="s">
        <v>167</v>
      </c>
    </row>
    <row r="40" spans="1:6" ht="13.15" x14ac:dyDescent="0.4">
      <c r="A40" t="s">
        <v>168</v>
      </c>
    </row>
    <row r="41" spans="1:6" x14ac:dyDescent="0.35">
      <c r="A41" t="s">
        <v>169</v>
      </c>
    </row>
    <row r="42" spans="1:6" x14ac:dyDescent="0.35">
      <c r="A42" t="s">
        <v>170</v>
      </c>
    </row>
    <row r="44" spans="1:6"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2026-06-09T14:10:52Z</dcterms:modified>
</cp:coreProperties>
</file>