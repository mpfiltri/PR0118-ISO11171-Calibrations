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_rels/sheet3.xml.rels" ContentType="application/vnd.openxmlformats-package.relationships+xml"/>
  <Override PartName="/xl/worksheets/_rels/sheet4.xml.rels" ContentType="application/vnd.openxmlformats-package.relationships+xml"/>
  <Override PartName="/xl/worksheets/_rels/sheet7.xml.rels" ContentType="application/vnd.openxmlformats-package.relationships+xml"/>
  <Override PartName="/xl/worksheets/_rels/sheet12.xml.rels" ContentType="application/vnd.openxmlformats-package.relationships+xml"/>
  <Override PartName="/xl/worksheets/_rels/sheet13.xml.rels" ContentType="application/vnd.openxmlformats-package.relationships+xml"/>
  <Override PartName="/xl/worksheets/_rels/sheet14.xml.rels" ContentType="application/vnd.openxmlformats-package.relationship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_rels/drawing1.xml.rels" ContentType="application/vnd.openxmlformats-package.relationships+xml"/>
  <Override PartName="/xl/drawings/_rels/drawing2.xml.rels" ContentType="application/vnd.openxmlformats-package.relationships+xml"/>
  <Override PartName="/xl/drawings/_rels/drawing4.xml.rels" ContentType="application/vnd.openxmlformats-package.relationships+xml"/>
  <Override PartName="/xl/drawings/_rels/drawing5.xml.rels" ContentType="application/vnd.openxmlformats-package.relationships+xml"/>
  <Override PartName="/xl/drawings/_rels/drawing6.xml.rels" ContentType="application/vnd.openxmlformats-package.relationships+xml"/>
  <Override PartName="/xl/drawings/drawing6.xml" ContentType="application/vnd.openxmlformats-officedocument.drawing+xml"/>
  <Override PartName="/xl/sharedStrings.xml" ContentType="application/vnd.openxmlformats-officedocument.spreadsheetml.sharedStrings+xml"/>
  <Override PartName="/xl/media/image1.png" ContentType="image/png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3"/>
  </bookViews>
  <sheets>
    <sheet name="Instrument" sheetId="1" state="visible" r:id="rId3"/>
    <sheet name="ISO 11171_2020 Summary" sheetId="2" state="visible" r:id="rId4"/>
    <sheet name="Annex A Preliminary Check" sheetId="3" state="visible" r:id="rId5"/>
    <sheet name="Annex B Coincidence Limit" sheetId="4" state="visible" r:id="rId6"/>
    <sheet name="Linearity" sheetId="5" state="visible" r:id="rId7"/>
    <sheet name="Clause 6 Sizing Calibration" sheetId="6" state="visible" r:id="rId8"/>
    <sheet name="6 - B1" sheetId="7" state="visible" r:id="rId9"/>
    <sheet name="6 - B2" sheetId="8" state="visible" r:id="rId10"/>
    <sheet name="6 - B3" sheetId="9" state="visible" r:id="rId11"/>
    <sheet name="6 - Interpolated Thresholds" sheetId="10" state="visible" r:id="rId12"/>
    <sheet name="Clause 6 - Spheres" sheetId="11" state="visible" r:id="rId13"/>
    <sheet name="6 - Calibration Curve" sheetId="12" state="visible" r:id="rId14"/>
    <sheet name="Annex C - Flow Rate" sheetId="13" state="visible" r:id="rId15"/>
    <sheet name="Annex D Resolution" sheetId="14" state="visible" r:id="rId16"/>
    <sheet name="ANNEX E - B1" sheetId="15" state="visible" r:id="rId17"/>
    <sheet name="ANNEX E - B2" sheetId="16" state="visible" r:id="rId18"/>
    <sheet name="ANNEX E - B3" sheetId="17" state="visible" r:id="rId19"/>
    <sheet name="Annex E Verify Counting Accurac" sheetId="18" state="visible" r:id="rId20"/>
  </sheets>
  <definedNames>
    <definedName function="false" hidden="false" localSheetId="1" name="_xlnm.Print_Area" vbProcedure="false">'ISO 11171_2020 Summary'!$A$1:$C$18</definedName>
  </definedNames>
  <calcPr iterateCount="100" refMode="A1" iterate="false" iterateDelta="0.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<sst xmlns="http://schemas.openxmlformats.org/spreadsheetml/2006/main" count="919" uniqueCount="325">
  <si>
    <t xml:space="preserve">ISO 11171:2020</t>
  </si>
  <si>
    <t xml:space="preserve">Requirement</t>
  </si>
  <si>
    <t xml:space="preserve">Material</t>
  </si>
  <si>
    <t xml:space="preserve">Reference</t>
  </si>
  <si>
    <t xml:space="preserve">&gt;1000 particles per bottle at max certified size
Sample Cv per Table C.2</t>
  </si>
  <si>
    <t xml:space="preserve">SRM2806/RM8631x</t>
  </si>
  <si>
    <t xml:space="preserve">Clause 6. Sizing Calibration. 3 separate bottles, 5 sub-samples from each.</t>
  </si>
  <si>
    <r>
      <rPr>
        <sz val="11"/>
        <color rgb="FF333333"/>
        <rFont val="Arial"/>
        <family val="2"/>
      </rPr>
      <t xml:space="preserve">Cv</t>
    </r>
    <r>
      <rPr>
        <vertAlign val="subscript"/>
        <sz val="11"/>
        <color rgb="FF333333"/>
        <rFont val="Arial"/>
        <family val="2"/>
      </rPr>
      <t xml:space="preserve">4um</t>
    </r>
    <r>
      <rPr>
        <sz val="11"/>
        <color rgb="FF333333"/>
        <rFont val="Arial"/>
        <family val="2"/>
      </rPr>
      <t xml:space="preserve"> &lt; 3%</t>
    </r>
  </si>
  <si>
    <t xml:space="preserve">RM8632x</t>
  </si>
  <si>
    <r>
      <rPr>
        <sz val="11"/>
        <color rgb="FF333333"/>
        <rFont val="Arial"/>
        <family val="2"/>
      </rPr>
      <t xml:space="preserve">Annex A – Preliminary Instrument Check
Need traceable measurement of volume "actually measured" during a particle counting run. Test-test Cv</t>
    </r>
    <r>
      <rPr>
        <vertAlign val="subscript"/>
        <sz val="11"/>
        <color rgb="FF333333"/>
        <rFont val="Arial"/>
        <family val="2"/>
      </rPr>
      <t xml:space="preserve">COUNTS</t>
    </r>
    <r>
      <rPr>
        <sz val="11"/>
        <color rgb="FF333333"/>
        <rFont val="Arial"/>
        <family val="2"/>
      </rPr>
      <t xml:space="preserve"> &lt; 3% over 5 sample runs using RM8632 fine dust is required at threshold of 1.5x threshold noise.</t>
    </r>
  </si>
  <si>
    <r>
      <rPr>
        <sz val="11"/>
        <color rgb="FF333333"/>
        <rFont val="Arial"/>
        <family val="2"/>
      </rPr>
      <t xml:space="preserve">Δ</t>
    </r>
    <r>
      <rPr>
        <vertAlign val="subscript"/>
        <sz val="11"/>
        <color rgb="FF333333"/>
        <rFont val="Arial"/>
        <family val="2"/>
      </rPr>
      <t xml:space="preserve">COUNTS_4um</t>
    </r>
    <r>
      <rPr>
        <sz val="11"/>
        <color rgb="FF333333"/>
        <rFont val="Arial"/>
        <family val="2"/>
      </rPr>
      <t xml:space="preserve"> &lt; 5%</t>
    </r>
  </si>
  <si>
    <r>
      <rPr>
        <sz val="11"/>
        <color rgb="FF333333"/>
        <rFont val="Arial"/>
        <family val="2"/>
      </rPr>
      <t xml:space="preserve">Annex B – Coincidence error limit
Analyse </t>
    </r>
    <r>
      <rPr>
        <b val="true"/>
        <sz val="11"/>
        <color rgb="FF333333"/>
        <rFont val="Arial"/>
        <family val="2"/>
      </rPr>
      <t xml:space="preserve">15 different concentrations</t>
    </r>
    <r>
      <rPr>
        <sz val="11"/>
        <color rgb="FF333333"/>
        <rFont val="Arial"/>
        <family val="2"/>
      </rPr>
      <t xml:space="preserve"> 5 times, of 10%...150% of manufacturer recommended coincidence limit. 0-40% regression line of 4um channel used to project results. Error limit when counts cross 95% of this line.</t>
    </r>
  </si>
  <si>
    <r>
      <rPr>
        <sz val="11"/>
        <color rgb="FF333333"/>
        <rFont val="Arial"/>
        <family val="2"/>
      </rPr>
      <t xml:space="preserve">Cv</t>
    </r>
    <r>
      <rPr>
        <vertAlign val="subscript"/>
        <sz val="11"/>
        <color rgb="FF333333"/>
        <rFont val="Arial"/>
        <family val="2"/>
      </rPr>
      <t xml:space="preserve">_4um</t>
    </r>
    <r>
      <rPr>
        <sz val="11"/>
        <color rgb="FF333333"/>
        <rFont val="Arial"/>
        <family val="2"/>
      </rPr>
      <t xml:space="preserve"> &lt; 3%</t>
    </r>
  </si>
  <si>
    <r>
      <rPr>
        <sz val="11"/>
        <color rgb="FF333333"/>
        <rFont val="Arial"/>
        <family val="2"/>
      </rPr>
      <t xml:space="preserve">Annex C – flow rate – </t>
    </r>
    <r>
      <rPr>
        <b val="true"/>
        <sz val="11"/>
        <color rgb="FF333333"/>
        <rFont val="Arial"/>
        <family val="2"/>
      </rPr>
      <t xml:space="preserve">if fixed</t>
    </r>
    <r>
      <rPr>
        <sz val="11"/>
        <color rgb="FF333333"/>
        <rFont val="Arial"/>
        <family val="2"/>
      </rPr>
      <t xml:space="preserve"> then just need traceable flow measurement and pass annex A. </t>
    </r>
    <r>
      <rPr>
        <b val="true"/>
        <sz val="11"/>
        <color rgb="FF333333"/>
        <rFont val="Arial"/>
        <family val="2"/>
      </rPr>
      <t xml:space="preserve">Otherwise 8 flow rates</t>
    </r>
    <r>
      <rPr>
        <sz val="11"/>
        <color rgb="FF333333"/>
        <rFont val="Arial"/>
        <family val="2"/>
      </rPr>
      <t xml:space="preserve"> 20..140% are used and the results at each analysed in order to establish a limit.</t>
    </r>
  </si>
  <si>
    <r>
      <rPr>
        <sz val="11"/>
        <color rgb="FF333333"/>
        <rFont val="Arial"/>
        <family val="2"/>
      </rPr>
      <t xml:space="preserve">Cv</t>
    </r>
    <r>
      <rPr>
        <vertAlign val="subscript"/>
        <sz val="11"/>
        <color rgb="FF333333"/>
        <rFont val="Arial"/>
        <family val="2"/>
      </rPr>
      <t xml:space="preserve">DIAM_10</t>
    </r>
    <r>
      <rPr>
        <sz val="11"/>
        <color rgb="FF333333"/>
        <rFont val="Arial"/>
        <family val="2"/>
      </rPr>
      <t xml:space="preserve"> &lt; +/-15%
</t>
    </r>
    <r>
      <rPr>
        <sz val="10"/>
        <color rgb="FF333333"/>
        <rFont val="Arial"/>
        <family val="2"/>
      </rPr>
      <t xml:space="preserve">→ Cv</t>
    </r>
    <r>
      <rPr>
        <vertAlign val="subscript"/>
        <sz val="10"/>
        <color rgb="FF333333"/>
        <rFont val="Arial"/>
        <family val="2"/>
      </rPr>
      <t xml:space="preserve">SIGNAL_10</t>
    </r>
    <r>
      <rPr>
        <sz val="10"/>
        <color rgb="FF333333"/>
        <rFont val="Arial"/>
        <family val="2"/>
      </rPr>
      <t xml:space="preserve"> &lt; +/-32%
</t>
    </r>
  </si>
  <si>
    <t xml:space="preserve">10um spheres</t>
  </si>
  <si>
    <t xml:space="preserve">Annex D – resolution. Establish threshold corresponding to spheres (equal diff counts for 0.72 and 1.0 relative channel thresholds). Set thresholds corresponding to 0.9, 1.0 and 1.1 times diameter so inferred from cal curve. </t>
  </si>
  <si>
    <t xml:space="preserve">Counts per Table A.1
Cv &lt; Table C.2
6 sizes 5-15um</t>
  </si>
  <si>
    <t xml:space="preserve">RM8632x 1mg/l</t>
  </si>
  <si>
    <t xml:space="preserve">Annex E – particle counting accuracy. Ensure RM8632x counts in permitted range.</t>
  </si>
  <si>
    <t xml:space="preserve">Analysis using Bottle Samples and RM8632a</t>
  </si>
  <si>
    <t xml:space="preserve">APC Model</t>
  </si>
  <si>
    <t xml:space="preserve">LPA3-NAVAIR</t>
  </si>
  <si>
    <t xml:space="preserve">APC S/N</t>
  </si>
  <si>
    <t xml:space="preserve">11171-00009</t>
  </si>
  <si>
    <t xml:space="preserve">Sensor Model</t>
  </si>
  <si>
    <t xml:space="preserve">Sensor S/N</t>
  </si>
  <si>
    <t xml:space="preserve">Date</t>
  </si>
  <si>
    <t xml:space="preserve">Operator</t>
  </si>
  <si>
    <t xml:space="preserve">JMD</t>
  </si>
  <si>
    <t xml:space="preserve">Threshold Noise</t>
  </si>
  <si>
    <t xml:space="preserve">4um(c) Coincidence Limit /ml</t>
  </si>
  <si>
    <t xml:space="preserve">A.1 RM8632 4um count/mg/l</t>
  </si>
  <si>
    <t xml:space="preserve">RM8632x mg/l at 25% coincidence limit</t>
  </si>
  <si>
    <t xml:space="preserve">Concentrate mg/l</t>
  </si>
  <si>
    <t xml:space="preserve">Initial fluid volume ml</t>
  </si>
  <si>
    <t xml:space="preserve">Target quantity of dust in dilution</t>
  </si>
  <si>
    <t xml:space="preserve">Concentrate to add ml</t>
  </si>
  <si>
    <t xml:space="preserve">/ml</t>
  </si>
  <si>
    <t xml:space="preserve">Deviation</t>
  </si>
  <si>
    <t xml:space="preserve">Portion 1</t>
  </si>
  <si>
    <t xml:space="preserve">Portion 2</t>
  </si>
  <si>
    <t xml:space="preserve">Portion 3</t>
  </si>
  <si>
    <t xml:space="preserve">Portion 4</t>
  </si>
  <si>
    <t xml:space="preserve">Portion 5</t>
  </si>
  <si>
    <t xml:space="preserve">Mean</t>
  </si>
  <si>
    <t xml:space="preserve">Sample StdDev</t>
  </si>
  <si>
    <r>
      <rPr>
        <sz val="11"/>
        <color rgb="FF333333"/>
        <rFont val="Calibri"/>
        <family val="2"/>
      </rPr>
      <t xml:space="preserve">CV</t>
    </r>
    <r>
      <rPr>
        <vertAlign val="subscript"/>
        <sz val="11"/>
        <color rgb="FF333333"/>
        <rFont val="Calibri"/>
        <family val="2"/>
      </rPr>
      <t xml:space="preserve">VOL</t>
    </r>
  </si>
  <si>
    <t xml:space="preserve">Manufacturer recommended coincidence limit</t>
  </si>
  <si>
    <t xml:space="preserve">portion</t>
  </si>
  <si>
    <t xml:space="preserve">counts</t>
  </si>
  <si>
    <t xml:space="preserve">Averaged</t>
  </si>
  <si>
    <t xml:space="preserve">Dq % (&lt;11%)</t>
  </si>
  <si>
    <r>
      <rPr>
        <sz val="11"/>
        <color rgb="FF333333"/>
        <rFont val="Arial"/>
        <family val="2"/>
      </rPr>
      <t xml:space="preserve">D</t>
    </r>
    <r>
      <rPr>
        <vertAlign val="subscript"/>
        <sz val="11"/>
        <color rgb="FF333333"/>
        <rFont val="Arial"/>
        <family val="2"/>
      </rPr>
      <t xml:space="preserve">Q</t>
    </r>
  </si>
  <si>
    <t xml:space="preserve">/ml/mg/l</t>
  </si>
  <si>
    <t xml:space="preserve">RM8632a 4μm particles</t>
  </si>
  <si>
    <t xml:space="preserve">l</t>
  </si>
  <si>
    <t xml:space="preserve">Tank fluid volume</t>
  </si>
  <si>
    <t xml:space="preserve">Estimated Coincidence Limit</t>
  </si>
  <si>
    <t xml:space="preserve">10% of coincidence limit</t>
  </si>
  <si>
    <t xml:space="preserve">mg</t>
  </si>
  <si>
    <t xml:space="preserve">Amount of RM8632a to add to tank per 10% estimated coincidence limit</t>
  </si>
  <si>
    <t xml:space="preserve">mg/l</t>
  </si>
  <si>
    <t xml:space="preserve">Required concentration of concentrate if want this per 10ml of concentrate</t>
  </si>
  <si>
    <t xml:space="preserve">ml</t>
  </si>
  <si>
    <t xml:space="preserve">Amount of fluid to use to make up concentrate</t>
  </si>
  <si>
    <t xml:space="preserve">Amount of RM8632a to add to fluid used to make up concentrate.</t>
  </si>
  <si>
    <t xml:space="preserve">added</t>
  </si>
  <si>
    <t xml:space="preserve">Actual concentration</t>
  </si>
  <si>
    <t xml:space="preserve">corrected volume to add to tank</t>
  </si>
  <si>
    <t xml:space="preserve">correction threshold</t>
  </si>
  <si>
    <t xml:space="preserve">correction factor</t>
  </si>
  <si>
    <t xml:space="preserve">Total</t>
  </si>
  <si>
    <t xml:space="preserve">Added</t>
  </si>
  <si>
    <t xml:space="preserve">Tank</t>
  </si>
  <si>
    <t xml:space="preserve">Expected</t>
  </si>
  <si>
    <t xml:space="preserve">4μm</t>
  </si>
  <si>
    <t xml:space="preserve">Ratio</t>
  </si>
  <si>
    <t xml:space="preserve">Regression</t>
  </si>
  <si>
    <t xml:space="preserve">Relative</t>
  </si>
  <si>
    <t xml:space="preserve">corrected</t>
  </si>
  <si>
    <t xml:space="preserve">Percent</t>
  </si>
  <si>
    <t xml:space="preserve">Added ml</t>
  </si>
  <si>
    <t xml:space="preserve">Dust mg</t>
  </si>
  <si>
    <t xml:space="preserve">Conc mg/l</t>
  </si>
  <si>
    <t xml:space="preserve">4μm/100ml</t>
  </si>
  <si>
    <t xml:space="preserve">Actual</t>
  </si>
  <si>
    <t xml:space="preserve">RM8632a</t>
  </si>
  <si>
    <t xml:space="preserve">Line 0-40%</t>
  </si>
  <si>
    <t xml:space="preserve">fraction</t>
  </si>
  <si>
    <t xml:space="preserve">Regression Model</t>
  </si>
  <si>
    <t xml:space="preserve">Linear</t>
  </si>
  <si>
    <t xml:space="preserve">Power</t>
  </si>
  <si>
    <t xml:space="preserve">LINEST raw output</t>
  </si>
  <si>
    <t xml:space="preserve">Regression Statistics</t>
  </si>
  <si>
    <t xml:space="preserve">R^2</t>
  </si>
  <si>
    <t xml:space="preserve">Standard Error</t>
  </si>
  <si>
    <t xml:space="preserve">Count of X variables</t>
  </si>
  <si>
    <t xml:space="preserve">Observations</t>
  </si>
  <si>
    <t xml:space="preserve">Adjusted R^2</t>
  </si>
  <si>
    <t xml:space="preserve">Analysis of Variance (ANOVA)</t>
  </si>
  <si>
    <t xml:space="preserve">df</t>
  </si>
  <si>
    <t xml:space="preserve">SS</t>
  </si>
  <si>
    <t xml:space="preserve">MS</t>
  </si>
  <si>
    <t xml:space="preserve">F</t>
  </si>
  <si>
    <t xml:space="preserve">Significance F</t>
  </si>
  <si>
    <t xml:space="preserve">Residual</t>
  </si>
  <si>
    <t xml:space="preserve">Confidence level</t>
  </si>
  <si>
    <t xml:space="preserve">Coefficients</t>
  </si>
  <si>
    <t xml:space="preserve">t-Statistic</t>
  </si>
  <si>
    <t xml:space="preserve">P-value</t>
  </si>
  <si>
    <t xml:space="preserve">Predicted Y</t>
  </si>
  <si>
    <t xml:space="preserve">Linearity Test – Dilute reference fluid to 10% of calibration value and record deviation in counts</t>
  </si>
  <si>
    <t xml:space="preserve">34D</t>
  </si>
  <si>
    <t xml:space="preserve">Partistan 34D</t>
  </si>
  <si>
    <t xml:space="preserve">Counted</t>
  </si>
  <si>
    <t xml:space="preserve">percentage</t>
  </si>
  <si>
    <t xml:space="preserve">Error</t>
  </si>
  <si>
    <t xml:space="preserve">RM</t>
  </si>
  <si>
    <t xml:space="preserve">Partistan 34D Lot 34D</t>
  </si>
  <si>
    <t xml:space="preserve">Bottle Sampler</t>
  </si>
  <si>
    <t xml:space="preserve">BS110-NAVAIR BS2042</t>
  </si>
  <si>
    <t xml:space="preserve">Lowest threshold J</t>
  </si>
  <si>
    <t xml:space="preserve">Highest threshold H</t>
  </si>
  <si>
    <t xml:space="preserve">Threshold Factor K</t>
  </si>
  <si>
    <t xml:space="preserve">Threshold#</t>
  </si>
  <si>
    <t xml:space="preserve">Initial Value</t>
  </si>
  <si>
    <t xml:space="preserve">INT</t>
  </si>
  <si>
    <t xml:space="preserve">Reversed</t>
  </si>
  <si>
    <t xml:space="preserve">Thresholds</t>
  </si>
  <si>
    <t xml:space="preserve">1.5x noise</t>
  </si>
  <si>
    <t xml:space="preserve">~30um</t>
  </si>
  <si>
    <t xml:space="preserve">Thresholds to Load into Instrument</t>
  </si>
  <si>
    <t xml:space="preserve">Data Preprocessing and Quality Assessment per ISO 11171 Clause 6.6</t>
  </si>
  <si>
    <t xml:space="preserve">CHECK CALIBRATION THRESHOLDS ENTERED ON PARTICLE COUNTER</t>
  </si>
  <si>
    <t xml:space="preserve">Serial #</t>
  </si>
  <si>
    <t xml:space="preserve">Dilution Ratio</t>
  </si>
  <si>
    <t xml:space="preserve">BOTTLE</t>
  </si>
  <si>
    <t xml:space="preserve">X / ml</t>
  </si>
  <si>
    <r>
      <rPr>
        <b val="true"/>
        <sz val="11"/>
        <color rgb="FF333333"/>
        <rFont val="Arial"/>
        <family val="2"/>
      </rPr>
      <t xml:space="preserve">N</t>
    </r>
    <r>
      <rPr>
        <b val="true"/>
        <vertAlign val="subscript"/>
        <sz val="11"/>
        <color rgb="FF333333"/>
        <rFont val="Arial"/>
        <family val="2"/>
      </rPr>
      <t xml:space="preserve">TOTAL</t>
    </r>
  </si>
  <si>
    <t xml:space="preserve">CV</t>
  </si>
  <si>
    <r>
      <rPr>
        <b val="true"/>
        <sz val="11"/>
        <color rgb="FF333333"/>
        <rFont val="Arial"/>
        <family val="2"/>
      </rPr>
      <t xml:space="preserve">D</t>
    </r>
    <r>
      <rPr>
        <b val="true"/>
        <vertAlign val="subscript"/>
        <sz val="11"/>
        <color rgb="FF333333"/>
        <rFont val="Arial"/>
        <family val="2"/>
      </rPr>
      <t xml:space="preserve">QMAX</t>
    </r>
  </si>
  <si>
    <r>
      <rPr>
        <b val="true"/>
        <sz val="11"/>
        <color rgb="FF333333"/>
        <rFont val="Arial"/>
        <family val="2"/>
      </rPr>
      <t xml:space="preserve">D</t>
    </r>
    <r>
      <rPr>
        <b val="true"/>
        <vertAlign val="subscript"/>
        <sz val="11"/>
        <color rgb="FF333333"/>
        <rFont val="Arial"/>
        <family val="2"/>
      </rPr>
      <t xml:space="preserve">Q</t>
    </r>
  </si>
  <si>
    <r>
      <rPr>
        <b val="true"/>
        <sz val="11"/>
        <color rgb="FF333333"/>
        <rFont val="Arial"/>
        <family val="2"/>
      </rPr>
      <t xml:space="preserve">N</t>
    </r>
    <r>
      <rPr>
        <b val="true"/>
        <vertAlign val="subscript"/>
        <sz val="11"/>
        <color rgb="FF333333"/>
        <rFont val="Arial"/>
        <family val="2"/>
      </rPr>
      <t xml:space="preserve">C</t>
    </r>
  </si>
  <si>
    <t xml:space="preserve">Scanned ml</t>
  </si>
  <si>
    <t xml:space="preserve">count_4</t>
  </si>
  <si>
    <t xml:space="preserve">count_5</t>
  </si>
  <si>
    <t xml:space="preserve">count_6</t>
  </si>
  <si>
    <t xml:space="preserve">count_7</t>
  </si>
  <si>
    <t xml:space="preserve">count_8</t>
  </si>
  <si>
    <t xml:space="preserve">count_9</t>
  </si>
  <si>
    <t xml:space="preserve">count_10</t>
  </si>
  <si>
    <t xml:space="preserve">count_11</t>
  </si>
  <si>
    <t xml:space="preserve">count_12</t>
  </si>
  <si>
    <t xml:space="preserve">count_13</t>
  </si>
  <si>
    <t xml:space="preserve">count_14</t>
  </si>
  <si>
    <t xml:space="preserve">count_15</t>
  </si>
  <si>
    <t xml:space="preserve">count_16</t>
  </si>
  <si>
    <t xml:space="preserve">count_17</t>
  </si>
  <si>
    <t xml:space="preserve">count_18</t>
  </si>
  <si>
    <t xml:space="preserve">count_19</t>
  </si>
  <si>
    <t xml:space="preserve">count_20</t>
  </si>
  <si>
    <t xml:space="preserve">count_21</t>
  </si>
  <si>
    <t xml:space="preserve">count_22</t>
  </si>
  <si>
    <t xml:space="preserve">count_23</t>
  </si>
  <si>
    <t xml:space="preserve">count_24</t>
  </si>
  <si>
    <t xml:space="preserve">count_25</t>
  </si>
  <si>
    <t xml:space="preserve">count_26</t>
  </si>
  <si>
    <t xml:space="preserve">count_27</t>
  </si>
  <si>
    <t xml:space="preserve">count_28</t>
  </si>
  <si>
    <t xml:space="preserve">count_29</t>
  </si>
  <si>
    <t xml:space="preserve">count_30</t>
  </si>
  <si>
    <t xml:space="preserve">count_38</t>
  </si>
  <si>
    <t xml:space="preserve">count_50</t>
  </si>
  <si>
    <t xml:space="preserve">count_70</t>
  </si>
  <si>
    <t xml:space="preserve">Table C.2</t>
  </si>
  <si>
    <t xml:space="preserve">Mean counted X</t>
  </si>
  <si>
    <r>
      <rPr>
        <sz val="11"/>
        <color rgb="FF333333"/>
        <rFont val="Arial"/>
        <family val="2"/>
      </rPr>
      <t xml:space="preserve">C</t>
    </r>
    <r>
      <rPr>
        <vertAlign val="subscript"/>
        <sz val="11"/>
        <color rgb="FF333333"/>
        <rFont val="Arial"/>
        <family val="2"/>
      </rPr>
      <t xml:space="preserve">V_MAX</t>
    </r>
  </si>
  <si>
    <t xml:space="preserve">X &gt;=</t>
  </si>
  <si>
    <t xml:space="preserve">X &lt;</t>
  </si>
  <si>
    <r>
      <rPr>
        <sz val="11"/>
        <color rgb="FF333333"/>
        <rFont val="Arial"/>
        <family val="2"/>
      </rPr>
      <t xml:space="preserve">D</t>
    </r>
    <r>
      <rPr>
        <vertAlign val="subscript"/>
        <sz val="11"/>
        <color rgb="FF333333"/>
        <rFont val="Arial"/>
        <family val="2"/>
      </rPr>
      <t xml:space="preserve">QMAX / SAMPLE</t>
    </r>
  </si>
  <si>
    <t xml:space="preserve">N=3</t>
  </si>
  <si>
    <t xml:space="preserve">N=6</t>
  </si>
  <si>
    <t xml:space="preserve">N=10</t>
  </si>
  <si>
    <t xml:space="preserve">N=20</t>
  </si>
  <si>
    <t xml:space="preserve">N=40</t>
  </si>
  <si>
    <t xml:space="preserve">NAME\mL</t>
  </si>
  <si>
    <t xml:space="preserve">BOTTLE 2</t>
  </si>
  <si>
    <t xml:space="preserve">NAME</t>
  </si>
  <si>
    <t xml:space="preserve">BOTTLE 3</t>
  </si>
  <si>
    <t xml:space="preserve">FIXME</t>
  </si>
  <si>
    <r>
      <rPr>
        <sz val="11"/>
        <color rgb="FF333333"/>
        <rFont val="Arial"/>
        <family val="2"/>
      </rPr>
      <t xml:space="preserve">Enter all of the threshold  settings determined in 6.3 in column A </t>
    </r>
    <r>
      <rPr>
        <u val="single"/>
        <sz val="11"/>
        <color rgb="FF000000"/>
        <rFont val="Calibri"/>
        <family val="2"/>
      </rPr>
      <t xml:space="preserve">in order of decreasing value of threshold  setting</t>
    </r>
    <r>
      <rPr>
        <sz val="11"/>
        <color rgb="FF000000"/>
        <rFont val="Calibri"/>
        <family val="2"/>
      </rPr>
      <t xml:space="preserve">. For each calibration suspension sample, enter the  values of X̅</t>
    </r>
    <r>
      <rPr>
        <vertAlign val="subscript"/>
        <sz val="11"/>
        <color rgb="FF000000"/>
        <rFont val="Calibri"/>
        <family val="2"/>
      </rPr>
      <t xml:space="preserve">N</t>
    </r>
    <r>
      <rPr>
        <sz val="11"/>
        <color rgb="FF000000"/>
        <rFont val="Calibri"/>
        <family val="2"/>
      </rPr>
      <t xml:space="preserve"> obtained for each threshold setting actually used for a sample in the a</t>
    </r>
  </si>
  <si>
    <t xml:space="preserve">Enter the  particle size and concentration data from the Particle Size Calibration Summary portion of Table 4  in columns F and G.  Enter in Table 4 the corresponding  interpolated threshold voltage setting displayed in column  H of this worksheet.</t>
  </si>
  <si>
    <r>
      <rPr>
        <sz val="11"/>
        <color rgb="FF333333"/>
        <rFont val="Arial"/>
        <family val="2"/>
      </rPr>
      <t xml:space="preserve">X̅</t>
    </r>
    <r>
      <rPr>
        <vertAlign val="subscript"/>
        <sz val="11"/>
        <color rgb="FF000000"/>
        <rFont val="Calibri"/>
        <family val="2"/>
      </rPr>
      <t xml:space="preserve">N</t>
    </r>
    <r>
      <rPr>
        <sz val="11"/>
        <color rgb="FF000000"/>
        <rFont val="Calibri"/>
        <family val="2"/>
      </rPr>
      <t xml:space="preserve"> for First Sample</t>
    </r>
  </si>
  <si>
    <r>
      <rPr>
        <sz val="11"/>
        <color rgb="FF333333"/>
        <rFont val="Arial"/>
        <family val="2"/>
      </rPr>
      <t xml:space="preserve">X̅</t>
    </r>
    <r>
      <rPr>
        <vertAlign val="subscript"/>
        <sz val="11"/>
        <color rgb="FF000000"/>
        <rFont val="Calibri"/>
        <family val="2"/>
      </rPr>
      <t xml:space="preserve">N</t>
    </r>
    <r>
      <rPr>
        <sz val="11"/>
        <color rgb="FF000000"/>
        <rFont val="Calibri"/>
        <family val="2"/>
      </rPr>
      <t xml:space="preserve"> for Second Sample</t>
    </r>
  </si>
  <si>
    <r>
      <rPr>
        <sz val="11"/>
        <color rgb="FF333333"/>
        <rFont val="Arial"/>
        <family val="2"/>
      </rPr>
      <t xml:space="preserve">X̅</t>
    </r>
    <r>
      <rPr>
        <vertAlign val="subscript"/>
        <sz val="11"/>
        <color rgb="FF000000"/>
        <rFont val="Calibri"/>
        <family val="2"/>
      </rPr>
      <t xml:space="preserve">N</t>
    </r>
    <r>
      <rPr>
        <sz val="11"/>
        <color rgb="FF000000"/>
        <rFont val="Calibri"/>
        <family val="2"/>
      </rPr>
      <t xml:space="preserve"> for Third Sample</t>
    </r>
  </si>
  <si>
    <r>
      <rPr>
        <sz val="11"/>
        <color rgb="FF333333"/>
        <rFont val="Arial"/>
        <family val="2"/>
      </rPr>
      <t xml:space="preserve">Mean X̅</t>
    </r>
    <r>
      <rPr>
        <vertAlign val="subscript"/>
        <sz val="11"/>
        <color rgb="FF000000"/>
        <rFont val="Calibri"/>
        <family val="2"/>
      </rPr>
      <t xml:space="preserve">N</t>
    </r>
    <r>
      <rPr>
        <sz val="11"/>
        <color rgb="FF000000"/>
        <rFont val="Calibri"/>
        <family val="2"/>
      </rPr>
      <t xml:space="preserve"> </t>
    </r>
  </si>
  <si>
    <t xml:space="preserve">Threshold Voltage Setting</t>
  </si>
  <si>
    <t xml:space="preserve">Uncertainty
S</t>
  </si>
  <si>
    <t xml:space="preserve"> Particle Size</t>
  </si>
  <si>
    <t xml:space="preserve">Particle Concentration</t>
  </si>
  <si>
    <t xml:space="preserve">Interpolated Threshold Voltage Setting</t>
  </si>
  <si>
    <t xml:space="preserve">Dilution</t>
  </si>
  <si>
    <t xml:space="preserve">particles per millilitre</t>
  </si>
  <si>
    <t xml:space="preserve">mV</t>
  </si>
  <si>
    <t xml:space="preserve">samples</t>
  </si>
  <si>
    <t xml:space="preserve">µm(c) </t>
  </si>
  <si>
    <t xml:space="preserve">Distribution</t>
  </si>
  <si>
    <t xml:space="preserve">LPA3 Reference Counter</t>
  </si>
  <si>
    <t xml:space="preserve">Reference Counter</t>
  </si>
  <si>
    <t xml:space="preserve">BS-500 #5000860</t>
  </si>
  <si>
    <t xml:space="preserve">Poly Spheres Concentrate Calculator</t>
  </si>
  <si>
    <t xml:space="preserve">microns</t>
  </si>
  <si>
    <t xml:space="preserve">diameter</t>
  </si>
  <si>
    <t xml:space="preserve">m^3</t>
  </si>
  <si>
    <t xml:space="preserve">volume of a sphere</t>
  </si>
  <si>
    <t xml:space="preserve">kg</t>
  </si>
  <si>
    <t xml:space="preserve">mass of a sphere</t>
  </si>
  <si>
    <t xml:space="preserve">Number</t>
  </si>
  <si>
    <t xml:space="preserve">spheres per mg</t>
  </si>
  <si>
    <t xml:space="preserve">Target concentration per ml</t>
  </si>
  <si>
    <t xml:space="preserve">spheres to add per liter</t>
  </si>
  <si>
    <t xml:space="preserve">litres</t>
  </si>
  <si>
    <t xml:space="preserve">Bottle / Rig volume</t>
  </si>
  <si>
    <t xml:space="preserve">Total mass of spheres to add</t>
  </si>
  <si>
    <t xml:space="preserve">Actual mass added</t>
  </si>
  <si>
    <t xml:space="preserve">N/ml</t>
  </si>
  <si>
    <t xml:space="preserve">Concentration expected</t>
  </si>
  <si>
    <t xml:space="preserve">Spheres added</t>
  </si>
  <si>
    <t xml:space="preserve">Adjusted volume required</t>
  </si>
  <si>
    <t xml:space="preserve">Extra volume to add</t>
  </si>
  <si>
    <t xml:space="preserve">Desired fluid quantity</t>
  </si>
  <si>
    <t xml:space="preserve">Desired final sphere concentration</t>
  </si>
  <si>
    <t xml:space="preserve">Desired final sphere concentration for analysis</t>
  </si>
  <si>
    <t xml:space="preserve">/bottle</t>
  </si>
  <si>
    <t xml:space="preserve">Desired sphere quantity total</t>
  </si>
  <si>
    <t xml:space="preserve">Required amount of concentrate</t>
  </si>
  <si>
    <t xml:space="preserve">Required amount of diluent</t>
  </si>
  <si>
    <t xml:space="preserve">Iterative Calculator for sliding window half-count method of PSL sphere threshold measurement</t>
  </si>
  <si>
    <t xml:space="preserve">Calibrated Channel Size</t>
  </si>
  <si>
    <t xml:space="preserve">μm(c)</t>
  </si>
  <si>
    <t xml:space="preserve">Channel Threshold (LPA-View value)</t>
  </si>
  <si>
    <t xml:space="preserve">Cumulative Counts / 100ml</t>
  </si>
  <si>
    <t xml:space="preserve">Differential Counts / 100ml</t>
  </si>
  <si>
    <t xml:space="preserve">D</t>
  </si>
  <si>
    <t xml:space="preserve">Data from Table 4</t>
  </si>
  <si>
    <t xml:space="preserve">Threshold Settings corresponding to Sizes of Interest</t>
  </si>
  <si>
    <r>
      <rPr>
        <sz val="11"/>
        <color rgb="FF333333"/>
        <rFont val="Arial"/>
        <family val="2"/>
      </rPr>
      <t xml:space="preserve">Enter the particle sizes and corresponding threshold settings from Table 4 (also columns F and H of the Clause 6.9 worksheet) </t>
    </r>
    <r>
      <rPr>
        <u val="single"/>
        <sz val="11"/>
        <color rgb="FF000000"/>
        <rFont val="Calibri"/>
        <family val="2"/>
      </rPr>
      <t xml:space="preserve">in order of increasing value of particle size</t>
    </r>
    <r>
      <rPr>
        <sz val="11"/>
        <color rgb="FF000000"/>
        <rFont val="Calibri"/>
        <family val="2"/>
      </rPr>
      <t xml:space="preserve">.</t>
    </r>
  </si>
  <si>
    <r>
      <rPr>
        <sz val="11"/>
        <color rgb="FF333333"/>
        <rFont val="Arial"/>
        <family val="2"/>
      </rPr>
      <t xml:space="preserve">Enter particle sizes of interest (that lie within the range of the data in column A) </t>
    </r>
    <r>
      <rPr>
        <u val="single"/>
        <sz val="11"/>
        <color rgb="FF000000"/>
        <rFont val="Calibri"/>
        <family val="2"/>
      </rPr>
      <t xml:space="preserve">in order of increasing particle size</t>
    </r>
    <r>
      <rPr>
        <sz val="11"/>
        <color rgb="FF000000"/>
        <rFont val="Calibri"/>
        <family val="2"/>
      </rPr>
      <t xml:space="preserve">. The corresponding interpolated threshold voltage settings are displayed in column D.</t>
    </r>
  </si>
  <si>
    <t xml:space="preserve">Particle Size</t>
  </si>
  <si>
    <t xml:space="preserve">Threshold Setting</t>
  </si>
  <si>
    <t xml:space="preserve">ROUNDED</t>
  </si>
  <si>
    <t xml:space="preserve">PRIMARY CALIBRATION</t>
  </si>
  <si>
    <r>
      <rPr>
        <sz val="11"/>
        <color rgb="FF333333"/>
        <rFont val="Arial"/>
        <family val="2"/>
      </rPr>
      <t xml:space="preserve">Need &gt;10000 particles </t>
    </r>
    <r>
      <rPr>
        <b val="true"/>
        <sz val="11"/>
        <color rgb="FF333333"/>
        <rFont val="Arial"/>
        <family val="2"/>
      </rPr>
      <t xml:space="preserve">at the smallest threshold setting</t>
    </r>
    <r>
      <rPr>
        <sz val="11"/>
        <color rgb="FF333333"/>
        <rFont val="Arial"/>
        <family val="2"/>
      </rPr>
      <t xml:space="preserve"> for each sub-sample / test portion. </t>
    </r>
  </si>
  <si>
    <r>
      <rPr>
        <sz val="11"/>
        <color rgb="FF333333"/>
        <rFont val="Arial"/>
        <family val="2"/>
      </rPr>
      <t xml:space="preserve">Need &gt;1000 particles </t>
    </r>
    <r>
      <rPr>
        <b val="true"/>
        <sz val="11"/>
        <color rgb="FF333333"/>
        <rFont val="Arial"/>
        <family val="2"/>
      </rPr>
      <t xml:space="preserve">counted</t>
    </r>
    <r>
      <rPr>
        <sz val="11"/>
        <color rgb="FF333333"/>
        <rFont val="Arial"/>
        <family val="2"/>
      </rPr>
      <t xml:space="preserve"> at each calibrated size, for each of the three calibration tests.</t>
    </r>
  </si>
  <si>
    <t xml:space="preserve">SRM2806D has 14/ml at 30um</t>
  </si>
  <si>
    <t xml:space="preserve">This implies we need at least 1000/14 = 71ml per test.</t>
  </si>
  <si>
    <t xml:space="preserve">At 21um we have 88.64/ml requiring 11.28ml counted volume per test which is more practical. </t>
  </si>
  <si>
    <t xml:space="preserve">Analysis using Bottle Sampler and RM8632a</t>
  </si>
  <si>
    <t xml:space="preserve">BS100</t>
  </si>
  <si>
    <t xml:space="preserve">See Annex A for Sample Preparation Calculations</t>
  </si>
  <si>
    <t xml:space="preserve">&gt;4μm(c)/100ml</t>
  </si>
  <si>
    <t xml:space="preserve">Bottle 1</t>
  </si>
  <si>
    <t xml:space="preserve">Bottle 2</t>
  </si>
  <si>
    <t xml:space="preserve">Bottle 3</t>
  </si>
  <si>
    <t xml:space="preserve">Bottle 4</t>
  </si>
  <si>
    <t xml:space="preserve">Bottle 5</t>
  </si>
  <si>
    <r>
      <rPr>
        <sz val="10"/>
        <color rgb="FF006600"/>
        <rFont val="Arial"/>
        <family val="2"/>
      </rPr>
      <t xml:space="preserve">Cv</t>
    </r>
    <r>
      <rPr>
        <vertAlign val="subscript"/>
        <sz val="10"/>
        <color rgb="FF006600"/>
        <rFont val="Arial"/>
        <family val="2"/>
      </rPr>
      <t xml:space="preserve">DIAM_10</t>
    </r>
    <r>
      <rPr>
        <sz val="10"/>
        <color rgb="FF006600"/>
        <rFont val="Arial"/>
        <family val="2"/>
      </rPr>
      <t xml:space="preserve"> &lt; +/-15%
→ Cv</t>
    </r>
    <r>
      <rPr>
        <vertAlign val="subscript"/>
        <sz val="10"/>
        <color rgb="FF006600"/>
        <rFont val="Arial"/>
        <family val="2"/>
      </rPr>
      <t xml:space="preserve">SIGNAL_10</t>
    </r>
    <r>
      <rPr>
        <sz val="10"/>
        <color rgb="FF006600"/>
        <rFont val="Arial"/>
        <family val="2"/>
      </rPr>
      <t xml:space="preserve"> &lt; +/-32%
</t>
    </r>
  </si>
  <si>
    <t xml:space="preserve">#</t>
  </si>
  <si>
    <t xml:space="preserve">dsp.height</t>
  </si>
  <si>
    <t xml:space="preserve">Average</t>
  </si>
  <si>
    <t xml:space="preserve">Max/2</t>
  </si>
  <si>
    <t xml:space="preserve">Particle Counter</t>
  </si>
  <si>
    <t xml:space="preserve">Firmware</t>
  </si>
  <si>
    <t xml:space="preserve">Concentration / ml</t>
  </si>
  <si>
    <t xml:space="preserve">LC10 spheres batch DC-10-033</t>
  </si>
  <si>
    <t xml:space="preserve">10.2±0.4</t>
  </si>
  <si>
    <t xml:space="preserve">μm certified mean diamater</t>
  </si>
  <si>
    <t xml:space="preserve">NIST TRACEABLE</t>
  </si>
  <si>
    <t xml:space="preserve">Rig volume</t>
  </si>
  <si>
    <t xml:space="preserve">10μm particles</t>
  </si>
  <si>
    <t xml:space="preserve">Total 10um particles Sized and Plotted</t>
  </si>
  <si>
    <t xml:space="preserve">Peak data value</t>
  </si>
  <si>
    <t xml:space="preserve">Peak Position</t>
  </si>
  <si>
    <t xml:space="preserve">half peak value</t>
  </si>
  <si>
    <t xml:space="preserve">LHS FWHM</t>
  </si>
  <si>
    <t xml:space="preserve">X value</t>
  </si>
  <si>
    <t xml:space="preserve">½ FWHM</t>
  </si>
  <si>
    <t xml:space="preserve">FWHM</t>
  </si>
  <si>
    <t xml:space="preserve">Std.Dev.</t>
  </si>
  <si>
    <r>
      <rPr>
        <sz val="10"/>
        <rFont val="Arial"/>
        <family val="2"/>
      </rPr>
      <t xml:space="preserve">CV</t>
    </r>
    <r>
      <rPr>
        <vertAlign val="subscript"/>
        <sz val="10"/>
        <rFont val="Arial"/>
        <family val="2"/>
      </rPr>
      <t xml:space="preserve">SIGNAL</t>
    </r>
    <r>
      <rPr>
        <sz val="10"/>
        <rFont val="Arial"/>
        <family val="2"/>
      </rPr>
      <t xml:space="preserve"> &lt; 30%</t>
    </r>
  </si>
  <si>
    <r>
      <rPr>
        <sz val="10"/>
        <rFont val="Arial"/>
        <family val="2"/>
      </rPr>
      <t xml:space="preserve">CV</t>
    </r>
    <r>
      <rPr>
        <vertAlign val="subscript"/>
        <sz val="10"/>
        <rFont val="Arial"/>
        <family val="2"/>
      </rPr>
      <t xml:space="preserve">DIAMETER</t>
    </r>
    <r>
      <rPr>
        <sz val="10"/>
        <rFont val="Arial"/>
        <family val="2"/>
      </rPr>
      <t xml:space="preserve"> &lt; 15%</t>
    </r>
  </si>
  <si>
    <t xml:space="preserve">Boxcar_n</t>
  </si>
  <si>
    <t xml:space="preserve">Flow</t>
  </si>
  <si>
    <t xml:space="preserve">ml/min</t>
  </si>
  <si>
    <t xml:space="preserve">Detection Threshold</t>
  </si>
  <si>
    <t xml:space="preserve">ADU</t>
  </si>
  <si>
    <t xml:space="preserve">Volume scanned</t>
  </si>
  <si>
    <t xml:space="preserve">Total Sample</t>
  </si>
  <si>
    <t xml:space="preserve">Capture Fraction</t>
  </si>
  <si>
    <t xml:space="preserve">Data Preprocessing and Quality Assessment</t>
  </si>
  <si>
    <t xml:space="preserve">BOTTLE 1</t>
  </si>
  <si>
    <t xml:space="preserve">#00009</t>
  </si>
  <si>
    <t xml:space="preserve">scanned_volume_ml</t>
  </si>
  <si>
    <t xml:space="preserve">RM8632x
1mg/l</t>
  </si>
  <si>
    <t xml:space="preserve">BS110</t>
  </si>
  <si>
    <t xml:space="preserve">NAVAIR</t>
  </si>
  <si>
    <t xml:space="preserve">RM8632a mg/l</t>
  </si>
  <si>
    <t xml:space="preserve">Sample Volume Total</t>
  </si>
  <si>
    <t xml:space="preserve">Portions</t>
  </si>
  <si>
    <t xml:space="preserve">Portion Volume V</t>
  </si>
  <si>
    <t xml:space="preserve">/100ml scanned</t>
  </si>
  <si>
    <t xml:space="preserve">Total scanned</t>
  </si>
  <si>
    <t xml:space="preserve">Portion scanned</t>
  </si>
  <si>
    <t xml:space="preserve">B1 / ml</t>
  </si>
  <si>
    <t xml:space="preserve">B2 / ml</t>
  </si>
  <si>
    <t xml:space="preserve">B3 / ml</t>
  </si>
  <si>
    <t xml:space="preserve">AVERAGE</t>
  </si>
  <si>
    <t xml:space="preserve">Table A.1</t>
  </si>
  <si>
    <t xml:space="preserve">A.1 Lower</t>
  </si>
  <si>
    <t xml:space="preserve">A.1 Upper</t>
  </si>
  <si>
    <t xml:space="preserve">Median</t>
  </si>
  <si>
    <t xml:space="preserve">Minimum</t>
  </si>
  <si>
    <t xml:space="preserve">Maximum</t>
  </si>
  <si>
    <t xml:space="preserve">ANNEX E – VERIFICATION OF PARTICLE COUNTING ACCURACY</t>
  </si>
</sst>
</file>

<file path=xl/styles.xml><?xml version="1.0" encoding="utf-8"?>
<styleSheet xmlns="http://schemas.openxmlformats.org/spreadsheetml/2006/main">
  <numFmts count="13">
    <numFmt numFmtId="164" formatCode="General"/>
    <numFmt numFmtId="165" formatCode="General"/>
    <numFmt numFmtId="166" formatCode="yyyy\-mm\-dd"/>
    <numFmt numFmtId="167" formatCode="0.0"/>
    <numFmt numFmtId="168" formatCode="0.000"/>
    <numFmt numFmtId="169" formatCode="0.00"/>
    <numFmt numFmtId="170" formatCode="0.00%"/>
    <numFmt numFmtId="171" formatCode="0"/>
    <numFmt numFmtId="172" formatCode="0.000E+00"/>
    <numFmt numFmtId="173" formatCode="0.0%"/>
    <numFmt numFmtId="174" formatCode="#,##0"/>
    <numFmt numFmtId="175" formatCode="0.00E+00"/>
    <numFmt numFmtId="176" formatCode="0.00E+000"/>
  </numFmts>
  <fonts count="38">
    <font>
      <sz val="11"/>
      <color rgb="FF333333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333333"/>
      <name val="Arial"/>
      <family val="2"/>
    </font>
    <font>
      <vertAlign val="subscript"/>
      <sz val="11"/>
      <color rgb="FF333333"/>
      <name val="Arial"/>
      <family val="2"/>
    </font>
    <font>
      <sz val="10"/>
      <color rgb="FF333333"/>
      <name val="Arial"/>
      <family val="2"/>
    </font>
    <font>
      <vertAlign val="subscript"/>
      <sz val="10"/>
      <color rgb="FF333333"/>
      <name val="Arial"/>
      <family val="2"/>
    </font>
    <font>
      <sz val="18"/>
      <color rgb="FFC9211E"/>
      <name val="Arial Black"/>
      <family val="2"/>
    </font>
    <font>
      <sz val="11"/>
      <color rgb="FF333333"/>
      <name val="Calibri"/>
      <family val="2"/>
    </font>
    <font>
      <b val="true"/>
      <sz val="12"/>
      <color rgb="FF333333"/>
      <name val="Calibri"/>
      <family val="2"/>
    </font>
    <font>
      <b val="true"/>
      <sz val="11"/>
      <color rgb="FF333333"/>
      <name val="Calibri"/>
      <family val="2"/>
    </font>
    <font>
      <vertAlign val="subscript"/>
      <sz val="11"/>
      <color rgb="FF333333"/>
      <name val="Calibri"/>
      <family val="2"/>
    </font>
    <font>
      <b val="true"/>
      <sz val="11"/>
      <name val="Arial"/>
      <family val="2"/>
    </font>
    <font>
      <sz val="11"/>
      <name val="Arial"/>
      <family val="2"/>
    </font>
    <font>
      <b val="true"/>
      <sz val="11"/>
      <color rgb="FFE0FFFF"/>
      <name val="Arial"/>
      <family val="2"/>
    </font>
    <font>
      <sz val="11"/>
      <color rgb="FFE0FFFF"/>
      <name val="Arial"/>
      <family val="2"/>
    </font>
    <font>
      <sz val="10"/>
      <name val="Arial"/>
      <family val="2"/>
    </font>
    <font>
      <sz val="9"/>
      <name val="Arial"/>
      <family val="2"/>
    </font>
    <font>
      <sz val="13"/>
      <name val="Arial"/>
      <family val="2"/>
    </font>
    <font>
      <b val="true"/>
      <sz val="14"/>
      <name val="Calibri"/>
      <family val="2"/>
    </font>
    <font>
      <sz val="12"/>
      <name val="Calibri"/>
      <family val="2"/>
    </font>
    <font>
      <sz val="32"/>
      <color rgb="FF333333"/>
      <name val="Arial"/>
      <family val="2"/>
    </font>
    <font>
      <b val="true"/>
      <sz val="11"/>
      <color rgb="FFFC5C00"/>
      <name val="Arial"/>
      <family val="2"/>
    </font>
    <font>
      <b val="true"/>
      <vertAlign val="subscript"/>
      <sz val="11"/>
      <color rgb="FF333333"/>
      <name val="Arial"/>
      <family val="2"/>
    </font>
    <font>
      <sz val="12"/>
      <name val="Times New Roman"/>
      <family val="1"/>
    </font>
    <font>
      <i val="true"/>
      <sz val="11"/>
      <color rgb="FF808080"/>
      <name val="Arial"/>
      <family val="2"/>
    </font>
    <font>
      <b val="true"/>
      <i val="true"/>
      <sz val="11"/>
      <color rgb="FF808080"/>
      <name val="Arial"/>
      <family val="2"/>
    </font>
    <font>
      <u val="single"/>
      <sz val="11"/>
      <color rgb="FF000000"/>
      <name val="Calibri"/>
      <family val="2"/>
    </font>
    <font>
      <sz val="11"/>
      <color rgb="FF000000"/>
      <name val="Calibri"/>
      <family val="2"/>
    </font>
    <font>
      <vertAlign val="subscript"/>
      <sz val="11"/>
      <color rgb="FF000000"/>
      <name val="Calibri"/>
      <family val="2"/>
    </font>
    <font>
      <b val="true"/>
      <u val="single"/>
      <sz val="11"/>
      <color rgb="FF333333"/>
      <name val="Arial"/>
      <family val="2"/>
    </font>
    <font>
      <i val="true"/>
      <sz val="11"/>
      <color rgb="FF333333"/>
      <name val="Arial"/>
      <family val="2"/>
    </font>
    <font>
      <b val="true"/>
      <sz val="32"/>
      <color rgb="FFFC5C00"/>
      <name val="Arial"/>
      <family val="2"/>
    </font>
    <font>
      <sz val="10"/>
      <color rgb="FF006600"/>
      <name val="Arial"/>
      <family val="2"/>
    </font>
    <font>
      <vertAlign val="subscript"/>
      <sz val="10"/>
      <color rgb="FF006600"/>
      <name val="Arial"/>
      <family val="2"/>
    </font>
    <font>
      <vertAlign val="subscript"/>
      <sz val="10"/>
      <name val="Arial"/>
      <family val="2"/>
    </font>
    <font>
      <sz val="20"/>
      <color rgb="FFC9211E"/>
      <name val="Arial Black"/>
      <family val="2"/>
    </font>
  </fonts>
  <fills count="9">
    <fill>
      <patternFill patternType="none"/>
    </fill>
    <fill>
      <patternFill patternType="gray125"/>
    </fill>
    <fill>
      <patternFill patternType="solid">
        <fgColor rgb="FFD3D3D3"/>
        <bgColor rgb="FFD9D9D9"/>
      </patternFill>
    </fill>
    <fill>
      <patternFill patternType="solid">
        <fgColor rgb="FFE0FFFF"/>
        <bgColor rgb="FFFFFFFF"/>
      </patternFill>
    </fill>
    <fill>
      <patternFill patternType="solid">
        <fgColor rgb="FFC0C0C0"/>
        <bgColor rgb="FFB3B3B3"/>
      </patternFill>
    </fill>
    <fill>
      <patternFill patternType="solid">
        <fgColor rgb="FFFFFF99"/>
        <bgColor rgb="FFCCFFCC"/>
      </patternFill>
    </fill>
    <fill>
      <patternFill patternType="solid">
        <fgColor rgb="FF99CCFF"/>
        <bgColor rgb="FFC0C0C0"/>
      </patternFill>
    </fill>
    <fill>
      <patternFill patternType="solid">
        <fgColor rgb="FFCCFFCC"/>
        <bgColor rgb="FFE0FFFF"/>
      </patternFill>
    </fill>
    <fill>
      <patternFill patternType="solid">
        <fgColor rgb="FFE7E7E7"/>
        <bgColor rgb="FFDDDDDD"/>
      </patternFill>
    </fill>
  </fills>
  <borders count="16">
    <border diagonalUp="false" diagonalDown="false">
      <left/>
      <right/>
      <top/>
      <bottom/>
      <diagonal/>
    </border>
    <border diagonalUp="false" diagonalDown="false">
      <left/>
      <right/>
      <top style="thin"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/>
      <top style="thin"/>
      <bottom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83">
    <xf numFmtId="164" fontId="0" fillId="0" borderId="0" xfId="0" applyFont="false" applyBorder="false" applyAlignment="false" applyProtection="false"/>
    <xf numFmtId="164" fontId="0" fillId="0" borderId="0" xfId="0" applyFont="false" applyBorder="false" applyAlignment="true" applyProtection="false">
      <alignment horizontal="general" vertical="bottom" textRotation="0" wrapText="true" indent="0" shrinkToFit="false"/>
    </xf>
    <xf numFmtId="164" fontId="4" fillId="0" borderId="0" xfId="0" applyFont="true" applyBorder="false" applyAlignment="true" applyProtection="false">
      <alignment horizontal="general" vertical="top" textRotation="0" wrapText="true" indent="0" shrinkToFit="false"/>
    </xf>
    <xf numFmtId="164" fontId="4" fillId="2" borderId="0" xfId="0" applyFont="true" applyBorder="false" applyAlignment="true" applyProtection="false">
      <alignment horizontal="general" vertical="bottom" textRotation="0" wrapText="true" indent="0" shrinkToFit="false"/>
    </xf>
    <xf numFmtId="164" fontId="4" fillId="2" borderId="0" xfId="0" applyFont="true" applyBorder="false" applyAlignment="false" applyProtection="false"/>
    <xf numFmtId="164" fontId="4" fillId="0" borderId="0" xfId="0" applyFont="true" applyBorder="false" applyAlignment="false" applyProtection="false"/>
    <xf numFmtId="164" fontId="0" fillId="0" borderId="0" xfId="0" applyFont="true" applyBorder="false" applyAlignment="true" applyProtection="false">
      <alignment horizontal="general" vertical="center" textRotation="0" wrapText="true" indent="0" shrinkToFit="false"/>
    </xf>
    <xf numFmtId="164" fontId="0" fillId="0" borderId="0" xfId="0" applyFont="true" applyBorder="false" applyAlignment="true" applyProtection="false">
      <alignment horizontal="general" vertical="center" textRotation="0" wrapText="false" indent="0" shrinkToFit="false"/>
    </xf>
    <xf numFmtId="165" fontId="8" fillId="0" borderId="0" xfId="0" applyFont="true" applyBorder="false" applyAlignment="true" applyProtection="false">
      <alignment horizontal="left" vertical="center" textRotation="0" wrapText="false" indent="0" shrinkToFit="false"/>
    </xf>
    <xf numFmtId="164" fontId="9" fillId="0" borderId="0" xfId="0" applyFont="true" applyBorder="false" applyAlignment="false" applyProtection="false"/>
    <xf numFmtId="164" fontId="10" fillId="0" borderId="0" xfId="0" applyFont="true" applyBorder="false" applyAlignment="false" applyProtection="false"/>
    <xf numFmtId="164" fontId="9" fillId="0" borderId="0" xfId="0" applyFont="true" applyBorder="false" applyAlignment="true" applyProtection="false">
      <alignment horizontal="right" vertical="bottom" textRotation="0" wrapText="false" indent="0" shrinkToFit="false"/>
    </xf>
    <xf numFmtId="166" fontId="11" fillId="0" borderId="0" xfId="0" applyFont="true" applyBorder="false" applyAlignment="false" applyProtection="false"/>
    <xf numFmtId="166" fontId="9" fillId="0" borderId="0" xfId="0" applyFont="true" applyBorder="false" applyAlignment="true" applyProtection="false">
      <alignment horizontal="right" vertical="bottom" textRotation="0" wrapText="false" indent="0" shrinkToFit="false"/>
    </xf>
    <xf numFmtId="164" fontId="11" fillId="0" borderId="0" xfId="0" applyFont="true" applyBorder="false" applyAlignment="true" applyProtection="false">
      <alignment horizontal="right" vertical="bottom" textRotation="0" wrapText="false" indent="0" shrinkToFit="false"/>
    </xf>
    <xf numFmtId="167" fontId="4" fillId="0" borderId="0" xfId="0" applyFont="true" applyBorder="false" applyAlignment="false" applyProtection="false"/>
    <xf numFmtId="168" fontId="9" fillId="0" borderId="0" xfId="0" applyFont="true" applyBorder="false" applyAlignment="false" applyProtection="false"/>
    <xf numFmtId="164" fontId="11" fillId="0" borderId="0" xfId="0" applyFont="true" applyBorder="false" applyAlignment="false" applyProtection="false"/>
    <xf numFmtId="169" fontId="0" fillId="0" borderId="0" xfId="0" applyFont="true" applyBorder="false" applyAlignment="true" applyProtection="false">
      <alignment horizontal="right" vertical="bottom" textRotation="0" wrapText="false" indent="0" shrinkToFit="false"/>
    </xf>
    <xf numFmtId="167" fontId="0" fillId="0" borderId="1" xfId="0" applyFont="false" applyBorder="true" applyAlignment="false" applyProtection="false"/>
    <xf numFmtId="170" fontId="9" fillId="0" borderId="0" xfId="0" applyFont="true" applyBorder="false" applyAlignment="false" applyProtection="false"/>
    <xf numFmtId="169" fontId="9" fillId="0" borderId="0" xfId="0" applyFont="true" applyBorder="false" applyAlignment="true" applyProtection="false">
      <alignment horizontal="right" vertical="bottom" textRotation="0" wrapText="false" indent="0" shrinkToFit="false"/>
    </xf>
    <xf numFmtId="171" fontId="9" fillId="0" borderId="0" xfId="0" applyFont="true" applyBorder="false" applyAlignment="false" applyProtection="false"/>
    <xf numFmtId="164" fontId="11" fillId="0" borderId="2" xfId="0" applyFont="true" applyBorder="true" applyAlignment="false" applyProtection="false"/>
    <xf numFmtId="164" fontId="11" fillId="0" borderId="3" xfId="0" applyFont="true" applyBorder="true" applyAlignment="false" applyProtection="false"/>
    <xf numFmtId="164" fontId="11" fillId="0" borderId="4" xfId="0" applyFont="true" applyBorder="true" applyAlignment="false" applyProtection="false"/>
    <xf numFmtId="164" fontId="0" fillId="0" borderId="0" xfId="0" applyFont="false" applyBorder="false" applyAlignment="false" applyProtection="true">
      <protection locked="false" hidden="false"/>
    </xf>
    <xf numFmtId="172" fontId="0" fillId="0" borderId="0" xfId="0" applyFont="false" applyBorder="false" applyAlignment="false" applyProtection="true">
      <protection locked="false" hidden="false"/>
    </xf>
    <xf numFmtId="165" fontId="9" fillId="0" borderId="0" xfId="0" applyFont="true" applyBorder="false" applyAlignment="false" applyProtection="false"/>
    <xf numFmtId="164" fontId="4" fillId="0" borderId="0" xfId="0" applyFont="true" applyBorder="false" applyAlignment="false" applyProtection="true">
      <protection locked="false" hidden="false"/>
    </xf>
    <xf numFmtId="169" fontId="0" fillId="0" borderId="0" xfId="0" applyFont="false" applyBorder="false" applyAlignment="false" applyProtection="true">
      <protection locked="false" hidden="false"/>
    </xf>
    <xf numFmtId="166" fontId="0" fillId="0" borderId="0" xfId="0" applyFont="false" applyBorder="false" applyAlignment="false" applyProtection="false"/>
    <xf numFmtId="164" fontId="4" fillId="0" borderId="0" xfId="0" applyFont="true" applyBorder="false" applyAlignment="false" applyProtection="true">
      <protection locked="false" hidden="false"/>
    </xf>
    <xf numFmtId="166" fontId="9" fillId="0" borderId="0" xfId="0" applyFont="true" applyBorder="false" applyAlignment="false" applyProtection="false"/>
    <xf numFmtId="171" fontId="4" fillId="0" borderId="0" xfId="0" applyFont="true" applyBorder="false" applyAlignment="false" applyProtection="true">
      <protection locked="false" hidden="false"/>
    </xf>
    <xf numFmtId="164" fontId="0" fillId="3" borderId="0" xfId="0" applyFont="true" applyBorder="false" applyAlignment="true" applyProtection="false">
      <alignment horizontal="general" vertical="center" textRotation="0" wrapText="true" indent="0" shrinkToFit="false"/>
    </xf>
    <xf numFmtId="164" fontId="0" fillId="3" borderId="0" xfId="0" applyFont="true" applyBorder="false" applyAlignment="true" applyProtection="false">
      <alignment horizontal="general" vertical="center" textRotation="0" wrapText="false" indent="0" shrinkToFit="false"/>
    </xf>
    <xf numFmtId="171" fontId="0" fillId="0" borderId="0" xfId="0" applyFont="false" applyBorder="false" applyAlignment="false" applyProtection="false"/>
    <xf numFmtId="167" fontId="0" fillId="0" borderId="0" xfId="0" applyFont="false" applyBorder="false" applyAlignment="false" applyProtection="false"/>
    <xf numFmtId="168" fontId="0" fillId="0" borderId="0" xfId="0" applyFont="false" applyBorder="false" applyAlignment="false" applyProtection="false"/>
    <xf numFmtId="169" fontId="0" fillId="0" borderId="0" xfId="0" applyFont="false" applyBorder="false" applyAlignment="false" applyProtection="false"/>
    <xf numFmtId="164" fontId="4" fillId="3" borderId="5" xfId="0" applyFont="true" applyBorder="true" applyAlignment="true" applyProtection="false">
      <alignment horizontal="right" vertical="bottom" textRotation="0" wrapText="false" indent="0" shrinkToFit="false"/>
    </xf>
    <xf numFmtId="164" fontId="13" fillId="3" borderId="5" xfId="0" applyFont="true" applyBorder="true" applyAlignment="true" applyProtection="false">
      <alignment horizontal="right" vertical="bottom" textRotation="0" wrapText="false" indent="0" shrinkToFit="false"/>
    </xf>
    <xf numFmtId="164" fontId="14" fillId="3" borderId="5" xfId="0" applyFont="true" applyBorder="true" applyAlignment="true" applyProtection="false">
      <alignment horizontal="right" vertical="bottom" textRotation="0" wrapText="false" indent="0" shrinkToFit="false"/>
    </xf>
    <xf numFmtId="164" fontId="15" fillId="3" borderId="5" xfId="0" applyFont="true" applyBorder="true" applyAlignment="true" applyProtection="false">
      <alignment horizontal="right" vertical="bottom" textRotation="0" wrapText="false" indent="0" shrinkToFit="false"/>
    </xf>
    <xf numFmtId="164" fontId="4" fillId="3" borderId="6" xfId="0" applyFont="true" applyBorder="true" applyAlignment="true" applyProtection="false">
      <alignment horizontal="right" vertical="bottom" textRotation="0" wrapText="false" indent="0" shrinkToFit="false"/>
    </xf>
    <xf numFmtId="164" fontId="13" fillId="3" borderId="6" xfId="0" applyFont="true" applyBorder="true" applyAlignment="true" applyProtection="false">
      <alignment horizontal="right" vertical="bottom" textRotation="0" wrapText="false" indent="0" shrinkToFit="false"/>
    </xf>
    <xf numFmtId="164" fontId="14" fillId="3" borderId="6" xfId="0" applyFont="true" applyBorder="true" applyAlignment="true" applyProtection="false">
      <alignment horizontal="right" vertical="bottom" textRotation="0" wrapText="false" indent="0" shrinkToFit="false"/>
    </xf>
    <xf numFmtId="164" fontId="15" fillId="3" borderId="6" xfId="0" applyFont="true" applyBorder="true" applyAlignment="true" applyProtection="false">
      <alignment horizontal="right" vertical="bottom" textRotation="0" wrapText="false" indent="0" shrinkToFit="false"/>
    </xf>
    <xf numFmtId="170" fontId="4" fillId="3" borderId="6" xfId="0" applyFont="true" applyBorder="true" applyAlignment="true" applyProtection="false">
      <alignment horizontal="right" vertical="bottom" textRotation="0" wrapText="false" indent="0" shrinkToFit="false"/>
    </xf>
    <xf numFmtId="164" fontId="0" fillId="3" borderId="0" xfId="0" applyFont="false" applyBorder="false" applyAlignment="false" applyProtection="false"/>
    <xf numFmtId="167" fontId="0" fillId="3" borderId="0" xfId="0" applyFont="false" applyBorder="false" applyAlignment="false" applyProtection="false"/>
    <xf numFmtId="168" fontId="0" fillId="3" borderId="0" xfId="0" applyFont="false" applyBorder="false" applyAlignment="false" applyProtection="false"/>
    <xf numFmtId="164" fontId="14" fillId="3" borderId="0" xfId="0" applyFont="true" applyBorder="false" applyAlignment="false" applyProtection="false"/>
    <xf numFmtId="164" fontId="16" fillId="3" borderId="0" xfId="0" applyFont="true" applyBorder="false" applyAlignment="false" applyProtection="false"/>
    <xf numFmtId="165" fontId="0" fillId="3" borderId="0" xfId="0" applyFont="false" applyBorder="false" applyAlignment="false" applyProtection="false"/>
    <xf numFmtId="165" fontId="0" fillId="3" borderId="0" xfId="0" applyFont="false" applyBorder="false" applyAlignment="true" applyProtection="false">
      <alignment horizontal="left" vertical="bottom" textRotation="0" wrapText="false" indent="2" shrinkToFit="false"/>
    </xf>
    <xf numFmtId="164" fontId="16" fillId="3" borderId="0" xfId="0" applyFont="true" applyBorder="false" applyAlignment="true" applyProtection="false">
      <alignment horizontal="left" vertical="bottom" textRotation="0" wrapText="false" indent="4" shrinkToFit="false"/>
    </xf>
    <xf numFmtId="171" fontId="14" fillId="3" borderId="0" xfId="0" applyFont="true" applyBorder="false" applyAlignment="false" applyProtection="false"/>
    <xf numFmtId="169" fontId="14" fillId="3" borderId="0" xfId="0" applyFont="true" applyBorder="false" applyAlignment="false" applyProtection="false"/>
    <xf numFmtId="171" fontId="0" fillId="3" borderId="0" xfId="0" applyFont="false" applyBorder="false" applyAlignment="false" applyProtection="false"/>
    <xf numFmtId="169" fontId="16" fillId="3" borderId="0" xfId="0" applyFont="true" applyBorder="false" applyAlignment="false" applyProtection="false"/>
    <xf numFmtId="164" fontId="4" fillId="3" borderId="0" xfId="0" applyFont="true" applyBorder="false" applyAlignment="false" applyProtection="false"/>
    <xf numFmtId="167" fontId="4" fillId="3" borderId="0" xfId="0" applyFont="true" applyBorder="false" applyAlignment="false" applyProtection="false"/>
    <xf numFmtId="168" fontId="4" fillId="3" borderId="0" xfId="0" applyFont="true" applyBorder="false" applyAlignment="false" applyProtection="false"/>
    <xf numFmtId="171" fontId="13" fillId="3" borderId="0" xfId="0" applyFont="true" applyBorder="false" applyAlignment="false" applyProtection="false"/>
    <xf numFmtId="169" fontId="13" fillId="3" borderId="0" xfId="0" applyFont="true" applyBorder="false" applyAlignment="false" applyProtection="false"/>
    <xf numFmtId="171" fontId="4" fillId="3" borderId="0" xfId="0" applyFont="true" applyBorder="false" applyAlignment="false" applyProtection="false"/>
    <xf numFmtId="169" fontId="15" fillId="3" borderId="0" xfId="0" applyFont="true" applyBorder="false" applyAlignment="false" applyProtection="false"/>
    <xf numFmtId="171" fontId="4" fillId="0" borderId="0" xfId="0" applyFont="true" applyBorder="false" applyAlignment="false" applyProtection="false"/>
    <xf numFmtId="164" fontId="0" fillId="3" borderId="6" xfId="0" applyFont="false" applyBorder="true" applyAlignment="false" applyProtection="false"/>
    <xf numFmtId="167" fontId="0" fillId="3" borderId="6" xfId="0" applyFont="false" applyBorder="true" applyAlignment="false" applyProtection="false"/>
    <xf numFmtId="168" fontId="0" fillId="3" borderId="6" xfId="0" applyFont="false" applyBorder="true" applyAlignment="false" applyProtection="false"/>
    <xf numFmtId="171" fontId="14" fillId="3" borderId="6" xfId="0" applyFont="true" applyBorder="true" applyAlignment="false" applyProtection="false"/>
    <xf numFmtId="164" fontId="14" fillId="3" borderId="6" xfId="0" applyFont="true" applyBorder="true" applyAlignment="false" applyProtection="false"/>
    <xf numFmtId="169" fontId="14" fillId="3" borderId="6" xfId="0" applyFont="true" applyBorder="true" applyAlignment="false" applyProtection="false"/>
    <xf numFmtId="171" fontId="0" fillId="3" borderId="6" xfId="0" applyFont="false" applyBorder="true" applyAlignment="false" applyProtection="false"/>
    <xf numFmtId="169" fontId="16" fillId="3" borderId="6" xfId="0" applyFont="true" applyBorder="true" applyAlignment="false" applyProtection="false"/>
    <xf numFmtId="165" fontId="0" fillId="3" borderId="6" xfId="0" applyFont="false" applyBorder="true" applyAlignment="true" applyProtection="false">
      <alignment horizontal="left" vertical="bottom" textRotation="0" wrapText="false" indent="2" shrinkToFit="false"/>
    </xf>
    <xf numFmtId="170" fontId="0" fillId="0" borderId="0" xfId="0" applyFont="false" applyBorder="false" applyAlignment="false" applyProtection="false"/>
    <xf numFmtId="164" fontId="0" fillId="0" borderId="0" xfId="0" applyFont="true" applyBorder="false" applyAlignment="true" applyProtection="false">
      <alignment horizontal="right" vertical="bottom" textRotation="0" wrapText="false" indent="0" shrinkToFit="false"/>
    </xf>
    <xf numFmtId="164" fontId="0" fillId="0" borderId="0" xfId="0" applyFont="false" applyBorder="false" applyAlignment="true" applyProtection="false">
      <alignment horizontal="general" vertical="center" textRotation="0" wrapText="true" indent="0" shrinkToFit="false"/>
    </xf>
    <xf numFmtId="166" fontId="11" fillId="0" borderId="0" xfId="0" applyFont="true" applyBorder="false" applyAlignment="true" applyProtection="false">
      <alignment horizontal="left" vertical="bottom" textRotation="0" wrapText="false" indent="0" shrinkToFit="false"/>
    </xf>
    <xf numFmtId="166" fontId="0" fillId="0" borderId="0" xfId="0" applyFont="false" applyBorder="false" applyAlignment="true" applyProtection="false">
      <alignment horizontal="right" vertical="bottom" textRotation="0" wrapText="false" indent="0" shrinkToFit="false"/>
    </xf>
    <xf numFmtId="166" fontId="9" fillId="0" borderId="0" xfId="0" applyFont="true" applyBorder="false" applyAlignment="true" applyProtection="false">
      <alignment horizontal="left" vertical="bottom" textRotation="0" wrapText="false" indent="0" shrinkToFit="false"/>
    </xf>
    <xf numFmtId="164" fontId="4" fillId="0" borderId="0" xfId="0" applyFont="true" applyBorder="false" applyAlignment="true" applyProtection="false">
      <alignment horizontal="right" vertical="bottom" textRotation="0" wrapText="false" indent="0" shrinkToFit="false"/>
    </xf>
    <xf numFmtId="164" fontId="11" fillId="0" borderId="0" xfId="0" applyFont="true" applyBorder="false" applyAlignment="true" applyProtection="false">
      <alignment horizontal="left" vertical="bottom" textRotation="0" wrapText="false" indent="0" shrinkToFit="false"/>
    </xf>
    <xf numFmtId="164" fontId="9" fillId="0" borderId="0" xfId="0" applyFont="true" applyBorder="false" applyAlignment="true" applyProtection="false">
      <alignment horizontal="left" vertical="bottom" textRotation="0" wrapText="false" indent="0" shrinkToFit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</xf>
    <xf numFmtId="168" fontId="0" fillId="0" borderId="0" xfId="0" applyFont="false" applyBorder="false" applyAlignment="true" applyProtection="false">
      <alignment horizontal="left" vertical="bottom" textRotation="0" wrapText="false" indent="0" shrinkToFit="false"/>
    </xf>
    <xf numFmtId="165" fontId="4" fillId="0" borderId="7" xfId="0" applyFont="true" applyBorder="true" applyAlignment="false" applyProtection="false"/>
    <xf numFmtId="165" fontId="4" fillId="0" borderId="1" xfId="0" applyFont="true" applyBorder="true" applyAlignment="false" applyProtection="false"/>
    <xf numFmtId="165" fontId="4" fillId="0" borderId="8" xfId="0" applyFont="true" applyBorder="true" applyAlignment="false" applyProtection="false"/>
    <xf numFmtId="165" fontId="22" fillId="0" borderId="0" xfId="0" applyFont="true" applyBorder="false" applyAlignment="true" applyProtection="false">
      <alignment horizontal="left" vertical="center" textRotation="0" wrapText="false" indent="0" shrinkToFit="false"/>
    </xf>
    <xf numFmtId="164" fontId="23" fillId="0" borderId="0" xfId="0" applyFont="true" applyBorder="false" applyAlignment="false" applyProtection="false"/>
    <xf numFmtId="164" fontId="4" fillId="0" borderId="2" xfId="0" applyFont="true" applyBorder="true" applyAlignment="false" applyProtection="false"/>
    <xf numFmtId="166" fontId="4" fillId="0" borderId="3" xfId="0" applyFont="true" applyBorder="true" applyAlignment="false" applyProtection="false"/>
    <xf numFmtId="164" fontId="22" fillId="0" borderId="0" xfId="0" applyFont="true" applyBorder="false" applyAlignment="false" applyProtection="false"/>
    <xf numFmtId="164" fontId="4" fillId="0" borderId="3" xfId="0" applyFont="true" applyBorder="true" applyAlignment="true" applyProtection="false">
      <alignment horizontal="right" vertical="bottom" textRotation="0" wrapText="false" indent="0" shrinkToFit="false"/>
    </xf>
    <xf numFmtId="165" fontId="4" fillId="0" borderId="4" xfId="0" applyFont="true" applyBorder="true" applyAlignment="true" applyProtection="false">
      <alignment horizontal="right" vertical="bottom" textRotation="0" wrapText="true" indent="0" shrinkToFit="false"/>
    </xf>
    <xf numFmtId="167" fontId="4" fillId="0" borderId="0" xfId="0" applyFont="true" applyBorder="false" applyAlignment="true" applyProtection="false">
      <alignment horizontal="right" vertical="bottom" textRotation="0" wrapText="false" indent="0" shrinkToFit="false"/>
    </xf>
    <xf numFmtId="173" fontId="0" fillId="0" borderId="0" xfId="0" applyFont="false" applyBorder="false" applyAlignment="false" applyProtection="false"/>
    <xf numFmtId="171" fontId="0" fillId="0" borderId="0" xfId="0" applyFont="false" applyBorder="true" applyAlignment="false" applyProtection="false"/>
    <xf numFmtId="171" fontId="0" fillId="0" borderId="0" xfId="0" applyFont="false" applyBorder="false" applyAlignment="true" applyProtection="false">
      <alignment horizontal="right" vertical="bottom" textRotation="0" wrapText="false" indent="0" shrinkToFit="false"/>
    </xf>
    <xf numFmtId="164" fontId="0" fillId="0" borderId="9" xfId="0" applyFont="false" applyBorder="true" applyAlignment="false" applyProtection="false"/>
    <xf numFmtId="164" fontId="0" fillId="0" borderId="5" xfId="0" applyFont="true" applyBorder="true" applyAlignment="true" applyProtection="false">
      <alignment horizontal="right" vertical="bottom" textRotation="0" wrapText="false" indent="0" shrinkToFit="false"/>
    </xf>
    <xf numFmtId="164" fontId="0" fillId="0" borderId="9" xfId="0" applyFont="true" applyBorder="true" applyAlignment="true" applyProtection="false">
      <alignment horizontal="right" vertical="bottom" textRotation="0" wrapText="false" indent="0" shrinkToFit="false"/>
    </xf>
    <xf numFmtId="164" fontId="0" fillId="0" borderId="5" xfId="0" applyFont="false" applyBorder="true" applyAlignment="false" applyProtection="false"/>
    <xf numFmtId="164" fontId="0" fillId="0" borderId="10" xfId="0" applyFont="false" applyBorder="true" applyAlignment="false" applyProtection="false"/>
    <xf numFmtId="164" fontId="0" fillId="0" borderId="11" xfId="0" applyFont="true" applyBorder="true" applyAlignment="true" applyProtection="false">
      <alignment horizontal="right" vertical="bottom" textRotation="0" wrapText="false" indent="0" shrinkToFit="false"/>
    </xf>
    <xf numFmtId="164" fontId="0" fillId="0" borderId="6" xfId="0" applyFont="true" applyBorder="true" applyAlignment="true" applyProtection="false">
      <alignment horizontal="right" vertical="bottom" textRotation="0" wrapText="false" indent="0" shrinkToFit="false"/>
    </xf>
    <xf numFmtId="164" fontId="0" fillId="0" borderId="12" xfId="0" applyFont="true" applyBorder="true" applyAlignment="true" applyProtection="false">
      <alignment horizontal="right" vertical="bottom" textRotation="0" wrapText="false" indent="0" shrinkToFit="false"/>
    </xf>
    <xf numFmtId="164" fontId="0" fillId="0" borderId="13" xfId="0" applyFont="false" applyBorder="true" applyAlignment="false" applyProtection="false"/>
    <xf numFmtId="164" fontId="0" fillId="0" borderId="14" xfId="0" applyFont="false" applyBorder="true" applyAlignment="false" applyProtection="false"/>
    <xf numFmtId="164" fontId="0" fillId="0" borderId="11" xfId="0" applyFont="false" applyBorder="true" applyAlignment="false" applyProtection="false"/>
    <xf numFmtId="164" fontId="0" fillId="0" borderId="6" xfId="0" applyFont="false" applyBorder="true" applyAlignment="false" applyProtection="false"/>
    <xf numFmtId="164" fontId="0" fillId="0" borderId="12" xfId="0" applyFont="false" applyBorder="true" applyAlignment="false" applyProtection="false"/>
    <xf numFmtId="165" fontId="4" fillId="0" borderId="4" xfId="0" applyFont="true" applyBorder="true" applyAlignment="true" applyProtection="false">
      <alignment horizontal="right" vertical="bottom" textRotation="0" wrapText="false" indent="0" shrinkToFit="false"/>
    </xf>
    <xf numFmtId="164" fontId="26" fillId="0" borderId="0" xfId="0" applyFont="true" applyBorder="false" applyAlignment="false" applyProtection="false"/>
    <xf numFmtId="164" fontId="27" fillId="0" borderId="0" xfId="0" applyFont="true" applyBorder="false" applyAlignment="true" applyProtection="false">
      <alignment horizontal="right" vertical="bottom" textRotation="0" wrapText="false" indent="0" shrinkToFit="false"/>
    </xf>
    <xf numFmtId="164" fontId="0" fillId="0" borderId="0" xfId="0" applyFont="true" applyBorder="false" applyAlignment="false" applyProtection="false"/>
    <xf numFmtId="164" fontId="27" fillId="0" borderId="0" xfId="0" applyFont="true" applyBorder="false" applyAlignment="false" applyProtection="false"/>
    <xf numFmtId="165" fontId="26" fillId="0" borderId="0" xfId="0" applyFont="true" applyBorder="false" applyAlignment="false" applyProtection="false"/>
    <xf numFmtId="164" fontId="0" fillId="0" borderId="0" xfId="0" applyFont="true" applyBorder="false" applyAlignment="false" applyProtection="false"/>
    <xf numFmtId="165" fontId="26" fillId="0" borderId="0" xfId="0" applyFont="true" applyBorder="false" applyAlignment="true" applyProtection="false">
      <alignment horizontal="right" vertical="bottom" textRotation="0" wrapText="false" indent="0" shrinkToFit="false"/>
    </xf>
    <xf numFmtId="164" fontId="0" fillId="4" borderId="15" xfId="0" applyFont="true" applyBorder="true" applyAlignment="true" applyProtection="false">
      <alignment horizontal="general" vertical="center" textRotation="0" wrapText="true" indent="0" shrinkToFit="false"/>
    </xf>
    <xf numFmtId="164" fontId="0" fillId="4" borderId="15" xfId="0" applyFont="true" applyBorder="true" applyAlignment="true" applyProtection="false">
      <alignment horizontal="center" vertical="center" textRotation="0" wrapText="true" indent="0" shrinkToFit="false"/>
    </xf>
    <xf numFmtId="164" fontId="0" fillId="4" borderId="15" xfId="0" applyFont="true" applyBorder="true" applyAlignment="true" applyProtection="false">
      <alignment horizontal="center" vertical="bottom" textRotation="0" wrapText="true" indent="0" shrinkToFit="false"/>
    </xf>
    <xf numFmtId="164" fontId="4" fillId="0" borderId="0" xfId="0" applyFont="true" applyBorder="false" applyAlignment="true" applyProtection="false">
      <alignment horizontal="right" vertical="bottom" textRotation="0" wrapText="true" indent="0" shrinkToFit="false"/>
    </xf>
    <xf numFmtId="164" fontId="0" fillId="4" borderId="15" xfId="0" applyFont="true" applyBorder="true" applyAlignment="true" applyProtection="false">
      <alignment horizontal="center" vertical="center" textRotation="0" wrapText="false" indent="0" shrinkToFit="false"/>
    </xf>
    <xf numFmtId="164" fontId="29" fillId="4" borderId="15" xfId="0" applyFont="true" applyBorder="true" applyAlignment="true" applyProtection="false">
      <alignment horizontal="center" vertical="bottom" textRotation="0" wrapText="false" indent="0" shrinkToFit="false"/>
    </xf>
    <xf numFmtId="164" fontId="31" fillId="0" borderId="0" xfId="0" applyFont="true" applyBorder="false" applyAlignment="true" applyProtection="false">
      <alignment horizontal="right" vertical="bottom" textRotation="0" wrapText="false" indent="0" shrinkToFit="false"/>
    </xf>
    <xf numFmtId="170" fontId="31" fillId="0" borderId="0" xfId="0" applyFont="true" applyBorder="false" applyAlignment="true" applyProtection="false">
      <alignment horizontal="right" vertical="bottom" textRotation="0" wrapText="false" indent="0" shrinkToFit="false"/>
    </xf>
    <xf numFmtId="167" fontId="0" fillId="5" borderId="15" xfId="0" applyFont="false" applyBorder="true" applyAlignment="false" applyProtection="false"/>
    <xf numFmtId="164" fontId="0" fillId="6" borderId="15" xfId="0" applyFont="false" applyBorder="true" applyAlignment="false" applyProtection="false"/>
    <xf numFmtId="174" fontId="0" fillId="0" borderId="0" xfId="0" applyFont="false" applyBorder="false" applyAlignment="false" applyProtection="false"/>
    <xf numFmtId="166" fontId="11" fillId="0" borderId="0" xfId="0" applyFont="true" applyBorder="false" applyAlignment="true" applyProtection="false">
      <alignment horizontal="right" vertical="bottom" textRotation="0" wrapText="false" indent="0" shrinkToFit="false"/>
    </xf>
    <xf numFmtId="164" fontId="0" fillId="0" borderId="9" xfId="0" applyFont="false" applyBorder="true" applyAlignment="false" applyProtection="true">
      <protection locked="false" hidden="false"/>
    </xf>
    <xf numFmtId="164" fontId="0" fillId="0" borderId="5" xfId="0" applyFont="true" applyBorder="true" applyAlignment="false" applyProtection="true">
      <protection locked="false" hidden="false"/>
    </xf>
    <xf numFmtId="164" fontId="0" fillId="0" borderId="10" xfId="0" applyFont="false" applyBorder="true" applyAlignment="false" applyProtection="true">
      <protection locked="false" hidden="false"/>
    </xf>
    <xf numFmtId="164" fontId="4" fillId="0" borderId="9" xfId="0" applyFont="true" applyBorder="true" applyAlignment="false" applyProtection="true">
      <protection locked="false" hidden="false"/>
    </xf>
    <xf numFmtId="172" fontId="0" fillId="0" borderId="13" xfId="0" applyFont="false" applyBorder="true" applyAlignment="false" applyProtection="true">
      <protection locked="false" hidden="false"/>
    </xf>
    <xf numFmtId="164" fontId="0" fillId="0" borderId="14" xfId="0" applyFont="false" applyBorder="true" applyAlignment="false" applyProtection="true">
      <protection locked="false" hidden="false"/>
    </xf>
    <xf numFmtId="164" fontId="4" fillId="0" borderId="13" xfId="0" applyFont="true" applyBorder="true" applyAlignment="false" applyProtection="true">
      <protection locked="false" hidden="false"/>
    </xf>
    <xf numFmtId="169" fontId="0" fillId="0" borderId="13" xfId="0" applyFont="false" applyBorder="true" applyAlignment="false" applyProtection="true">
      <protection locked="false" hidden="false"/>
    </xf>
    <xf numFmtId="164" fontId="4" fillId="0" borderId="13" xfId="0" applyFont="true" applyBorder="true" applyAlignment="false" applyProtection="true">
      <protection locked="false" hidden="false"/>
    </xf>
    <xf numFmtId="171" fontId="4" fillId="0" borderId="13" xfId="0" applyFont="true" applyBorder="true" applyAlignment="false" applyProtection="true">
      <protection locked="false" hidden="false"/>
    </xf>
    <xf numFmtId="167" fontId="0" fillId="0" borderId="13" xfId="0" applyFont="false" applyBorder="true" applyAlignment="false" applyProtection="false"/>
    <xf numFmtId="165" fontId="32" fillId="0" borderId="9" xfId="0" applyFont="true" applyBorder="true" applyAlignment="false" applyProtection="false"/>
    <xf numFmtId="164" fontId="31" fillId="0" borderId="5" xfId="0" applyFont="true" applyBorder="true" applyAlignment="false" applyProtection="false"/>
    <xf numFmtId="165" fontId="32" fillId="0" borderId="10" xfId="0" applyFont="true" applyBorder="true" applyAlignment="false" applyProtection="false"/>
    <xf numFmtId="165" fontId="32" fillId="0" borderId="0" xfId="0" applyFont="true" applyBorder="false" applyAlignment="false" applyProtection="false"/>
    <xf numFmtId="170" fontId="31" fillId="0" borderId="0" xfId="0" applyFont="true" applyBorder="false" applyAlignment="false" applyProtection="false"/>
    <xf numFmtId="164" fontId="0" fillId="4" borderId="15" xfId="0" applyFont="true" applyBorder="true" applyAlignment="true" applyProtection="false">
      <alignment horizontal="general" vertical="bottom" textRotation="0" wrapText="true" indent="0" shrinkToFit="false"/>
    </xf>
    <xf numFmtId="164" fontId="29" fillId="4" borderId="15" xfId="0" applyFont="true" applyBorder="true" applyAlignment="true" applyProtection="false">
      <alignment horizontal="center" vertical="center" textRotation="0" wrapText="false" indent="0" shrinkToFit="false"/>
    </xf>
    <xf numFmtId="164" fontId="29" fillId="4" borderId="15" xfId="0" applyFont="true" applyBorder="true" applyAlignment="true" applyProtection="false">
      <alignment horizontal="center" vertical="center" textRotation="0" wrapText="true" indent="0" shrinkToFit="false"/>
    </xf>
    <xf numFmtId="164" fontId="29" fillId="4" borderId="15" xfId="0" applyFont="true" applyBorder="true" applyAlignment="true" applyProtection="false">
      <alignment horizontal="center" vertical="bottom" textRotation="0" wrapText="true" indent="0" shrinkToFit="false"/>
    </xf>
    <xf numFmtId="164" fontId="33" fillId="0" borderId="0" xfId="0" applyFont="true" applyBorder="false" applyAlignment="true" applyProtection="false">
      <alignment horizontal="general" vertical="center" textRotation="0" wrapText="false" indent="0" shrinkToFit="false"/>
    </xf>
    <xf numFmtId="165" fontId="8" fillId="0" borderId="0" xfId="0" applyFont="true" applyBorder="false" applyAlignment="true" applyProtection="false">
      <alignment horizontal="left" vertical="center" textRotation="0" wrapText="true" indent="0" shrinkToFit="false"/>
    </xf>
    <xf numFmtId="164" fontId="34" fillId="7" borderId="0" xfId="0" applyFont="true" applyBorder="false" applyAlignment="true" applyProtection="false">
      <alignment horizontal="general" vertical="center" textRotation="0" wrapText="true" indent="0" shrinkToFit="false"/>
    </xf>
    <xf numFmtId="171" fontId="0" fillId="0" borderId="0" xfId="0" applyFont="false" applyBorder="false" applyAlignment="false" applyProtection="true">
      <protection locked="false" hidden="false"/>
    </xf>
    <xf numFmtId="175" fontId="0" fillId="0" borderId="0" xfId="0" applyFont="false" applyBorder="false" applyAlignment="false" applyProtection="true">
      <protection locked="false" hidden="false"/>
    </xf>
    <xf numFmtId="176" fontId="4" fillId="0" borderId="0" xfId="0" applyFont="true" applyBorder="false" applyAlignment="false" applyProtection="true">
      <protection locked="false" hidden="false"/>
    </xf>
    <xf numFmtId="164" fontId="17" fillId="0" borderId="0" xfId="0" applyFont="true" applyBorder="false" applyAlignment="false" applyProtection="false"/>
    <xf numFmtId="167" fontId="4" fillId="0" borderId="5" xfId="0" applyFont="true" applyBorder="true" applyAlignment="false" applyProtection="false"/>
    <xf numFmtId="171" fontId="0" fillId="0" borderId="5" xfId="0" applyFont="false" applyBorder="true" applyAlignment="true" applyProtection="false">
      <alignment horizontal="right" vertical="bottom" textRotation="0" wrapText="false" indent="0" shrinkToFit="false"/>
    </xf>
    <xf numFmtId="173" fontId="0" fillId="0" borderId="5" xfId="0" applyFont="false" applyBorder="true" applyAlignment="false" applyProtection="false"/>
    <xf numFmtId="167" fontId="4" fillId="0" borderId="6" xfId="0" applyFont="true" applyBorder="true" applyAlignment="false" applyProtection="false"/>
    <xf numFmtId="171" fontId="0" fillId="0" borderId="6" xfId="0" applyFont="false" applyBorder="true" applyAlignment="true" applyProtection="false">
      <alignment horizontal="right" vertical="bottom" textRotation="0" wrapText="false" indent="0" shrinkToFit="false"/>
    </xf>
    <xf numFmtId="173" fontId="0" fillId="0" borderId="6" xfId="0" applyFont="false" applyBorder="true" applyAlignment="false" applyProtection="false"/>
    <xf numFmtId="170" fontId="4" fillId="0" borderId="0" xfId="0" applyFont="true" applyBorder="false" applyAlignment="false" applyProtection="false"/>
    <xf numFmtId="166" fontId="4" fillId="0" borderId="0" xfId="0" applyFont="true" applyBorder="false" applyAlignment="true" applyProtection="false">
      <alignment horizontal="right" vertical="bottom" textRotation="0" wrapText="false" indent="0" shrinkToFit="false"/>
    </xf>
    <xf numFmtId="164" fontId="0" fillId="0" borderId="1" xfId="0" applyFont="true" applyBorder="true" applyAlignment="true" applyProtection="false">
      <alignment horizontal="right" vertical="bottom" textRotation="0" wrapText="false" indent="0" shrinkToFit="false"/>
    </xf>
    <xf numFmtId="164" fontId="0" fillId="0" borderId="13" xfId="0" applyFont="true" applyBorder="true" applyAlignment="true" applyProtection="false">
      <alignment horizontal="right" vertical="bottom" textRotation="0" wrapText="false" indent="0" shrinkToFit="false"/>
    </xf>
    <xf numFmtId="171" fontId="32" fillId="0" borderId="0" xfId="0" applyFont="true" applyBorder="false" applyAlignment="false" applyProtection="false"/>
    <xf numFmtId="164" fontId="32" fillId="0" borderId="0" xfId="0" applyFont="true" applyBorder="false" applyAlignment="true" applyProtection="false">
      <alignment horizontal="right" vertical="bottom" textRotation="0" wrapText="false" indent="0" shrinkToFit="false"/>
    </xf>
    <xf numFmtId="171" fontId="32" fillId="0" borderId="6" xfId="0" applyFont="true" applyBorder="true" applyAlignment="false" applyProtection="false"/>
    <xf numFmtId="171" fontId="0" fillId="0" borderId="6" xfId="0" applyFont="false" applyBorder="true" applyAlignment="false" applyProtection="false"/>
    <xf numFmtId="164" fontId="32" fillId="0" borderId="6" xfId="0" applyFont="true" applyBorder="true" applyAlignment="true" applyProtection="false">
      <alignment horizontal="right" vertical="bottom" textRotation="0" wrapText="false" indent="0" shrinkToFit="false"/>
    </xf>
    <xf numFmtId="167" fontId="32" fillId="0" borderId="0" xfId="0" applyFont="true" applyBorder="false" applyAlignment="false" applyProtection="false"/>
    <xf numFmtId="164" fontId="32" fillId="0" borderId="0" xfId="0" applyFont="true" applyBorder="false" applyAlignment="false" applyProtection="false"/>
    <xf numFmtId="164" fontId="4" fillId="8" borderId="0" xfId="0" applyFont="true" applyBorder="false" applyAlignment="false" applyProtection="false"/>
    <xf numFmtId="164" fontId="37" fillId="0" borderId="0" xfId="0" applyFont="true" applyBorder="false" applyAlignment="false" applyProtection="false"/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5">
    <dxf>
      <font>
        <name val="Arial"/>
        <family val="2"/>
        <b val="0"/>
        <i val="0"/>
        <color rgb="FF006600"/>
        <sz val="10"/>
      </font>
      <fill>
        <patternFill>
          <bgColor rgb="FFCCFFCC"/>
        </patternFill>
      </fill>
      <alignment horizontal="general" vertical="bottom" textRotation="0" wrapText="false" indent="0" shrinkToFit="false"/>
    </dxf>
    <dxf>
      <font>
        <name val="Arial"/>
        <family val="2"/>
        <b val="0"/>
        <i val="0"/>
        <color rgb="FFCC0000"/>
        <sz val="10"/>
      </font>
      <fill>
        <patternFill>
          <bgColor rgb="FFFFCCCC"/>
        </patternFill>
      </fill>
      <alignment horizontal="general" vertical="bottom" textRotation="0" wrapText="false" indent="0" shrinkToFit="false"/>
    </dxf>
    <dxf>
      <fill>
        <patternFill patternType="solid">
          <bgColor rgb="FF000000"/>
        </patternFill>
      </fill>
    </dxf>
    <dxf>
      <fill>
        <patternFill patternType="solid">
          <fgColor rgb="FF333333"/>
          <bgColor rgb="FF000000"/>
        </patternFill>
      </fill>
    </dxf>
    <dxf>
      <fill>
        <patternFill patternType="solid">
          <fgColor rgb="FFFFFF99"/>
          <bgColor rgb="FF000000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800000"/>
      <rgbColor rgb="FF0066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E7E7E7"/>
      <rgbColor rgb="FFE0FFFF"/>
      <rgbColor rgb="FF660066"/>
      <rgbColor rgb="FFFF420E"/>
      <rgbColor rgb="FF0066CC"/>
      <rgbColor rgb="FFD3D3D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DDDDD"/>
      <rgbColor rgb="FFCCFFCC"/>
      <rgbColor rgb="FFFFFF99"/>
      <rgbColor rgb="FF99CCFF"/>
      <rgbColor rgb="FFFF99CC"/>
      <rgbColor rgb="FFD9D9D9"/>
      <rgbColor rgb="FFFFCCCC"/>
      <rgbColor rgb="FF3366FF"/>
      <rgbColor rgb="FF33CCCC"/>
      <rgbColor rgb="FF99CC00"/>
      <rgbColor rgb="FFFFD320"/>
      <rgbColor rgb="FFFF9900"/>
      <rgbColor rgb="FFFC5C00"/>
      <rgbColor rgb="FF666699"/>
      <rgbColor rgb="FFB3B3B3"/>
      <rgbColor rgb="FF004586"/>
      <rgbColor rgb="FF579D1C"/>
      <rgbColor rgb="FF003300"/>
      <rgbColor rgb="FF333300"/>
      <rgbColor rgb="FFC9211E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worksheet" Target="worksheets/sheet11.xml"/><Relationship Id="rId14" Type="http://schemas.openxmlformats.org/officeDocument/2006/relationships/worksheet" Target="worksheets/sheet12.xml"/><Relationship Id="rId15" Type="http://schemas.openxmlformats.org/officeDocument/2006/relationships/worksheet" Target="worksheets/sheet13.xml"/><Relationship Id="rId16" Type="http://schemas.openxmlformats.org/officeDocument/2006/relationships/worksheet" Target="worksheets/sheet14.xml"/><Relationship Id="rId17" Type="http://schemas.openxmlformats.org/officeDocument/2006/relationships/worksheet" Target="worksheets/sheet15.xml"/><Relationship Id="rId18" Type="http://schemas.openxmlformats.org/officeDocument/2006/relationships/worksheet" Target="worksheets/sheet16.xml"/><Relationship Id="rId19" Type="http://schemas.openxmlformats.org/officeDocument/2006/relationships/worksheet" Target="worksheets/sheet17.xml"/><Relationship Id="rId20" Type="http://schemas.openxmlformats.org/officeDocument/2006/relationships/worksheet" Target="worksheets/sheet18.xml"/><Relationship Id="rId21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scatterChart>
        <c:scatterStyle val="lineMarker"/>
        <c:varyColors val="0"/>
        <c:ser>
          <c:idx val="0"/>
          <c:order val="0"/>
          <c:tx>
            <c:strRef>
              <c:f>'Annex A Preliminary Check'!$L$21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579d1c"/>
            </a:solidFill>
            <a:ln w="14400">
              <a:solidFill>
                <a:srgbClr val="579d1c"/>
              </a:solidFill>
              <a:round/>
            </a:ln>
          </c:spPr>
          <c:marker>
            <c:symbol val="triangle"/>
            <c:size val="2"/>
            <c:spPr>
              <a:solidFill>
                <a:srgbClr val="579d1c"/>
              </a:solidFill>
            </c:spPr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'ISO 11171_2020 Summary':'Annex A Preliminary Check'!$E$23:$E$36</c:f>
              <c:numCache>
                <c:formatCode>General</c:formatCode>
                <c:ptCount val="28"/>
              </c:numCache>
            </c:numRef>
          </c:xVal>
          <c:yVal>
            <c:numRef>
              <c:f>'ISO 11171_2020 Summary':'Annex A Preliminary Check'!$L$23:$L$36</c:f>
              <c:numCache>
                <c:formatCode>General</c:formatCode>
                <c:ptCount val="28"/>
              </c:numCache>
            </c:numRef>
          </c:yVal>
          <c:smooth val="0"/>
        </c:ser>
        <c:ser>
          <c:idx val="1"/>
          <c:order val="1"/>
          <c:tx>
            <c:strRef>
              <c:f>'Annex A Preliminary Check'!$K$21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ffd320"/>
            </a:solidFill>
            <a:ln w="14400">
              <a:solidFill>
                <a:srgbClr val="ffd320"/>
              </a:solidFill>
              <a:round/>
            </a:ln>
          </c:spPr>
          <c:marker>
            <c:symbol val="triangle"/>
            <c:size val="2"/>
            <c:spPr>
              <a:solidFill>
                <a:srgbClr val="ffd320"/>
              </a:solidFill>
            </c:spPr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A Preliminary Check'!$E$22:$E$32</c:f>
              <c:numCache>
                <c:formatCode>General</c:formatCode>
                <c:ptCount val="11"/>
              </c:numCache>
            </c:numRef>
          </c:xVal>
          <c:yVal>
            <c:numRef>
              <c:f>'Annex A Preliminary Check'!$K$22:$K$32</c:f>
              <c:numCache>
                <c:formatCode>General</c:formatCode>
                <c:ptCount val="11"/>
              </c:numCache>
            </c:numRef>
          </c:yVal>
          <c:smooth val="0"/>
        </c:ser>
        <c:ser>
          <c:idx val="2"/>
          <c:order val="2"/>
          <c:tx>
            <c:strRef>
              <c:f>'Annex A Preliminary Check'!$I$20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ff420e"/>
            </a:solidFill>
            <a:ln w="14400">
              <a:solidFill>
                <a:srgbClr val="ff420e"/>
              </a:solidFill>
              <a:round/>
            </a:ln>
          </c:spPr>
          <c:marker>
            <c:symbol val="diamond"/>
            <c:size val="2"/>
            <c:spPr>
              <a:solidFill>
                <a:srgbClr val="ff420e"/>
              </a:solidFill>
            </c:spPr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A Preliminary Check'!$E$22:$E$32</c:f>
              <c:numCache>
                <c:formatCode>General</c:formatCode>
                <c:ptCount val="11"/>
              </c:numCache>
            </c:numRef>
          </c:xVal>
          <c:yVal>
            <c:numRef>
              <c:f>'Annex A Preliminary Check'!$I$22:$I$32</c:f>
              <c:numCache>
                <c:formatCode>General</c:formatCode>
                <c:ptCount val="11"/>
              </c:numCache>
            </c:numRef>
          </c:yVal>
          <c:smooth val="0"/>
        </c:ser>
        <c:axId val="4836041"/>
        <c:axId val="38514724"/>
      </c:scatterChart>
      <c:valAx>
        <c:axId val="4836041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RM8632a mg/l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38514724"/>
        <c:crosses val="autoZero"/>
        <c:crossBetween val="midCat"/>
      </c:valAx>
      <c:valAx>
        <c:axId val="38514724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count / 100ml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4836041"/>
        <c:crosses val="autoZero"/>
        <c:crossBetween val="midCat"/>
      </c:valAx>
      <c:spPr>
        <a:noFill/>
        <a:ln w="0">
          <a:solidFill>
            <a:srgbClr val="b3b3b3"/>
          </a:solidFill>
        </a:ln>
      </c:spPr>
    </c:plotArea>
    <c:legend>
      <c:legendPos val="r"/>
      <c:layout>
        <c:manualLayout>
          <c:xMode val="edge"/>
          <c:yMode val="edge"/>
          <c:x val="0.692384769539078"/>
          <c:y val="0.485564304461942"/>
          <c:w val="0.225251555258653"/>
          <c:h val="0.13642627468994"/>
        </c:manualLayout>
      </c:layout>
      <c:overlay val="1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latin typeface="Arial"/>
            </a:defRPr>
          </a:pPr>
        </a:p>
      </c:txPr>
    </c:legend>
    <c:plotVisOnly val="1"/>
    <c:dispBlanksAs val="span"/>
  </c:chart>
  <c:spPr>
    <a:solidFill>
      <a:srgbClr val="ffffff"/>
    </a:solidFill>
    <a:ln w="0">
      <a:noFill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Fraction of Expected Counts
Based on extrapolating 0-40% linear regression fit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scatterChart>
        <c:scatterStyle val="lineMarker"/>
        <c:varyColors val="0"/>
        <c:ser>
          <c:idx val="0"/>
          <c:order val="0"/>
          <c:tx>
            <c:strRef>
              <c:f>'ISO 11171_2020 Summary'!$A$1</c:f>
              <c:strCache>
                <c:ptCount val="1"/>
                <c:pt idx="0">
                  <c:v>ISO 11171:2020</c:v>
                </c:pt>
              </c:strCache>
            </c:strRef>
          </c:tx>
          <c:spPr>
            <a:solidFill>
              <a:srgbClr val="ff420e"/>
            </a:solidFill>
            <a:ln w="14400">
              <a:solidFill>
                <a:srgbClr val="ff420e"/>
              </a:solidFill>
              <a:round/>
            </a:ln>
          </c:spPr>
          <c:marker>
            <c:symbol val="diamond"/>
            <c:size val="2"/>
            <c:spPr>
              <a:solidFill>
                <a:srgbClr val="ff420e"/>
              </a:solidFill>
            </c:spPr>
          </c:marker>
          <c:dPt>
            <c:idx val="10"/>
            <c:marker>
              <c:symbol val="diamond"/>
              <c:size val="2"/>
              <c:spPr>
                <a:solidFill>
                  <a:srgbClr val="ff420e"/>
                </a:solidFill>
              </c:spPr>
            </c:marker>
          </c:dPt>
          <c:dLbls>
            <c:dLbl>
              <c:idx val="10"/>
              <c:txPr>
                <a:bodyPr wrap="none"/>
                <a:lstStyle/>
                <a:p>
                  <a:pPr>
                    <a:defRPr b="0" sz="1000" spc="-1" strike="noStrike">
                      <a:latin typeface="Arial"/>
                    </a:defRPr>
                  </a:pPr>
                </a:p>
              </c:txPr>
              <c:showLegendKey val="0"/>
              <c:showVal val="0"/>
              <c:showCatName val="0"/>
              <c:showSerName val="0"/>
              <c:showPercent val="0"/>
              <c:separator> </c:separator>
            </c:dLbl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'ISO 11171_2020 Summary':'Annex A Preliminary Check'!$I$23:$I$36</c:f>
              <c:numCache>
                <c:formatCode>General</c:formatCode>
                <c:ptCount val="28"/>
              </c:numCache>
            </c:numRef>
          </c:xVal>
          <c:yVal>
            <c:numRef>
              <c:f>'ISO 11171_2020 Summary':'Annex A Preliminary Check'!$M$23:$M$36</c:f>
              <c:numCache>
                <c:formatCode>General</c:formatCode>
                <c:ptCount val="28"/>
              </c:numCache>
            </c:numRef>
          </c:yVal>
          <c:smooth val="0"/>
        </c:ser>
        <c:axId val="68011000"/>
        <c:axId val="72973661"/>
      </c:scatterChart>
      <c:valAx>
        <c:axId val="68011000"/>
        <c:scaling>
          <c:orientation val="minMax"/>
        </c:scaling>
        <c:delete val="0"/>
        <c:axPos val="b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Count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72973661"/>
        <c:crosses val="autoZero"/>
        <c:crossBetween val="between"/>
      </c:valAx>
      <c:valAx>
        <c:axId val="72973661"/>
        <c:scaling>
          <c:orientation val="minMax"/>
          <c:max val="2"/>
          <c:min val="0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Fraction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68011000"/>
        <c:crosses val="autoZero"/>
        <c:crossBetween val="between"/>
        <c:majorUnit val="0.05"/>
      </c:valAx>
      <c:spPr>
        <a:noFill/>
        <a:ln w="0">
          <a:solidFill>
            <a:srgbClr val="b3b3b3"/>
          </a:solidFill>
        </a:ln>
      </c:spPr>
    </c:plotArea>
    <c:legend>
      <c:legendPos val="r"/>
      <c:layout>
        <c:manualLayout>
          <c:xMode val="edge"/>
          <c:yMode val="edge"/>
          <c:x val="0.688092780972038"/>
          <c:y val="0.576612638624582"/>
          <c:w val="0.22582071948103"/>
          <c:h val="0.0714660716629479"/>
        </c:manualLayout>
      </c:layout>
      <c:overlay val="1"/>
      <c:spPr>
        <a:solidFill>
          <a:srgbClr val="d9d9d9">
            <a:alpha val="50000"/>
          </a:srgbClr>
        </a:solidFill>
        <a:ln w="0">
          <a:solidFill>
            <a:srgbClr val="000000"/>
          </a:solidFill>
        </a:ln>
      </c:spPr>
      <c:txPr>
        <a:bodyPr/>
        <a:lstStyle/>
        <a:p>
          <a:pPr>
            <a:defRPr b="0" sz="1000" spc="-1" strike="noStrike">
              <a:latin typeface="Arial"/>
            </a:defRPr>
          </a:pPr>
        </a:p>
      </c:txPr>
    </c:legend>
    <c:plotVisOnly val="1"/>
    <c:dispBlanksAs val="span"/>
  </c:chart>
  <c:spPr>
    <a:solidFill>
      <a:srgbClr val="ffffff"/>
    </a:solidFill>
    <a:ln w="0">
      <a:noFill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scatterChart>
        <c:scatterStyle val="lineMarker"/>
        <c:varyColors val="0"/>
        <c:ser>
          <c:idx val="0"/>
          <c:order val="0"/>
          <c:spPr>
            <a:solidFill>
              <a:srgbClr val="004586"/>
            </a:solidFill>
            <a:ln w="14400">
              <a:solidFill>
                <a:srgbClr val="004586"/>
              </a:solidFill>
              <a:round/>
            </a:ln>
          </c:spPr>
          <c:marker>
            <c:symbol val="square"/>
            <c:size val="3"/>
            <c:spPr>
              <a:solidFill>
                <a:srgbClr val="004586"/>
              </a:solidFill>
            </c:spPr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'6 - Calibration Curve'!$C$5:$C$34</c:f>
              <c:numCache>
                <c:formatCode>General</c:formatCode>
                <c:ptCount val="30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38</c:v>
                </c:pt>
                <c:pt idx="28">
                  <c:v>50</c:v>
                </c:pt>
                <c:pt idx="29">
                  <c:v>70</c:v>
                </c:pt>
              </c:numCache>
            </c:numRef>
          </c:xVal>
          <c:yVal>
            <c:numRef>
              <c:f>'6 - Calibration Curve'!$D$5:$D$34</c:f>
              <c:numCache>
                <c:formatCode>General</c:formatCode>
                <c:ptCount val="30"/>
                <c:pt idx="0">
                  <c:v>458.034113890536</c:v>
                </c:pt>
                <c:pt idx="1">
                  <c:v>666.520651103108</c:v>
                </c:pt>
                <c:pt idx="2">
                  <c:v>1066.70512497996</c:v>
                </c:pt>
                <c:pt idx="3">
                  <c:v>1573.69515778153</c:v>
                </c:pt>
                <c:pt idx="4">
                  <c:v>1951.66341366557</c:v>
                </c:pt>
                <c:pt idx="5">
                  <c:v>2325.58798359556</c:v>
                </c:pt>
                <c:pt idx="6">
                  <c:v>2755.15551003563</c:v>
                </c:pt>
                <c:pt idx="7">
                  <c:v>3219.77796737989</c:v>
                </c:pt>
                <c:pt idx="8">
                  <c:v>3670.52571491568</c:v>
                </c:pt>
                <c:pt idx="9">
                  <c:v>4152.94693846192</c:v>
                </c:pt>
                <c:pt idx="10">
                  <c:v>4403.74937680776</c:v>
                </c:pt>
                <c:pt idx="11">
                  <c:v>4566.00203556548</c:v>
                </c:pt>
                <c:pt idx="12">
                  <c:v>4688.21231206202</c:v>
                </c:pt>
                <c:pt idx="13">
                  <c:v>4782.18460800444</c:v>
                </c:pt>
                <c:pt idx="14">
                  <c:v>4857.40873652978</c:v>
                </c:pt>
                <c:pt idx="15">
                  <c:v>4921.52283991906</c:v>
                </c:pt>
                <c:pt idx="16">
                  <c:v>4978.46171874132</c:v>
                </c:pt>
                <c:pt idx="17">
                  <c:v>5029.38266728154</c:v>
                </c:pt>
                <c:pt idx="18">
                  <c:v>5073.59130896874</c:v>
                </c:pt>
                <c:pt idx="19">
                  <c:v>5111.31910265991</c:v>
                </c:pt>
                <c:pt idx="20">
                  <c:v>5143.02896606905</c:v>
                </c:pt>
                <c:pt idx="21">
                  <c:v>5169.64673462417</c:v>
                </c:pt>
                <c:pt idx="22">
                  <c:v>5190.94094946826</c:v>
                </c:pt>
                <c:pt idx="23">
                  <c:v>5208.53182260034</c:v>
                </c:pt>
                <c:pt idx="24">
                  <c:v>5223.1137305914</c:v>
                </c:pt>
                <c:pt idx="25">
                  <c:v>5235.84396772646</c:v>
                </c:pt>
                <c:pt idx="26">
                  <c:v>5247.64836943351</c:v>
                </c:pt>
                <c:pt idx="27">
                  <c:v>9521.73870771483</c:v>
                </c:pt>
                <c:pt idx="28">
                  <c:v>15586.6995073892</c:v>
                </c:pt>
                <c:pt idx="29">
                  <c:v>25143.3497536946</c:v>
                </c:pt>
              </c:numCache>
            </c:numRef>
          </c:yVal>
          <c:smooth val="1"/>
        </c:ser>
        <c:axId val="68390823"/>
        <c:axId val="61740074"/>
      </c:scatterChart>
      <c:valAx>
        <c:axId val="68390823"/>
        <c:scaling>
          <c:orientation val="minMax"/>
        </c:scaling>
        <c:delete val="0"/>
        <c:axPos val="b"/>
        <c:majorGridlines>
          <c:spPr>
            <a:ln w="0">
              <a:solidFill>
                <a:srgbClr val="b3b3b3"/>
              </a:solidFill>
            </a:ln>
          </c:spPr>
        </c:majorGridlines>
        <c:minorGridlines>
          <c:spPr>
            <a:ln w="0">
              <a:solidFill>
                <a:srgbClr val="dddddd"/>
              </a:solidFill>
            </a:ln>
          </c:spPr>
        </c:minorGridlines>
        <c:title>
          <c:tx>
            <c:rich>
              <a:bodyPr rot="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um(c)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61740074"/>
        <c:crosses val="autoZero"/>
        <c:crossBetween val="between"/>
      </c:valAx>
      <c:valAx>
        <c:axId val="61740074"/>
        <c:scaling>
          <c:logBase val="10"/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minorGridlines>
          <c:spPr>
            <a:ln w="0">
              <a:solidFill>
                <a:srgbClr val="dddddd"/>
              </a:solidFill>
            </a:ln>
          </c:spPr>
        </c:minorGridlines>
        <c:title>
          <c:tx>
            <c:rich>
              <a:bodyPr rot="-540000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Threshold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68390823"/>
        <c:crosses val="autoZero"/>
        <c:crossBetween val="between"/>
      </c:valAx>
      <c:spPr>
        <a:noFill/>
        <a:ln w="0"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 w="0">
      <a:noFill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scatterChart>
        <c:scatterStyle val="lineMarker"/>
        <c:varyColors val="0"/>
        <c:ser>
          <c:idx val="0"/>
          <c:order val="0"/>
          <c:tx>
            <c:strRef>
              <c:f>'Annex D Resolution'!$M$1</c:f>
              <c:strCache>
                <c:ptCount val="1"/>
                <c:pt idx="0">
                  <c:v>dsp.height</c:v>
                </c:pt>
              </c:strCache>
            </c:strRef>
          </c:tx>
          <c:spPr>
            <a:solidFill>
              <a:srgbClr val="004586"/>
            </a:solidFill>
            <a:ln w="28800">
              <a:noFill/>
            </a:ln>
          </c:spPr>
          <c:marker>
            <c:symbol val="square"/>
            <c:size val="2"/>
            <c:spPr>
              <a:solidFill>
                <a:srgbClr val="004586"/>
              </a:solidFill>
            </c:spPr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D Resolution'!$L$2:$L$1002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xVal>
          <c:yVal>
            <c:numRef>
              <c:f>'Annex D Resolution'!$M$2:$M$1002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65</c:v>
                </c:pt>
                <c:pt idx="101">
                  <c:v>53</c:v>
                </c:pt>
                <c:pt idx="102">
                  <c:v>51</c:v>
                </c:pt>
                <c:pt idx="103">
                  <c:v>57</c:v>
                </c:pt>
                <c:pt idx="104">
                  <c:v>66</c:v>
                </c:pt>
                <c:pt idx="105">
                  <c:v>61</c:v>
                </c:pt>
                <c:pt idx="106">
                  <c:v>69</c:v>
                </c:pt>
                <c:pt idx="107">
                  <c:v>61</c:v>
                </c:pt>
                <c:pt idx="108">
                  <c:v>75</c:v>
                </c:pt>
                <c:pt idx="109">
                  <c:v>57</c:v>
                </c:pt>
                <c:pt idx="110">
                  <c:v>68</c:v>
                </c:pt>
                <c:pt idx="111">
                  <c:v>69</c:v>
                </c:pt>
                <c:pt idx="112">
                  <c:v>53</c:v>
                </c:pt>
                <c:pt idx="113">
                  <c:v>56</c:v>
                </c:pt>
                <c:pt idx="114">
                  <c:v>64</c:v>
                </c:pt>
                <c:pt idx="115">
                  <c:v>63</c:v>
                </c:pt>
                <c:pt idx="116">
                  <c:v>54</c:v>
                </c:pt>
                <c:pt idx="117">
                  <c:v>58</c:v>
                </c:pt>
                <c:pt idx="118">
                  <c:v>63</c:v>
                </c:pt>
                <c:pt idx="119">
                  <c:v>76</c:v>
                </c:pt>
                <c:pt idx="120">
                  <c:v>55</c:v>
                </c:pt>
                <c:pt idx="121">
                  <c:v>63</c:v>
                </c:pt>
                <c:pt idx="122">
                  <c:v>55</c:v>
                </c:pt>
                <c:pt idx="123">
                  <c:v>56</c:v>
                </c:pt>
                <c:pt idx="124">
                  <c:v>73</c:v>
                </c:pt>
                <c:pt idx="125">
                  <c:v>74</c:v>
                </c:pt>
                <c:pt idx="126">
                  <c:v>67</c:v>
                </c:pt>
                <c:pt idx="127">
                  <c:v>61</c:v>
                </c:pt>
                <c:pt idx="128">
                  <c:v>53</c:v>
                </c:pt>
                <c:pt idx="129">
                  <c:v>57</c:v>
                </c:pt>
                <c:pt idx="130">
                  <c:v>69</c:v>
                </c:pt>
                <c:pt idx="131">
                  <c:v>45</c:v>
                </c:pt>
                <c:pt idx="132">
                  <c:v>58</c:v>
                </c:pt>
                <c:pt idx="133">
                  <c:v>60</c:v>
                </c:pt>
                <c:pt idx="134">
                  <c:v>55</c:v>
                </c:pt>
                <c:pt idx="135">
                  <c:v>67</c:v>
                </c:pt>
                <c:pt idx="136">
                  <c:v>61</c:v>
                </c:pt>
                <c:pt idx="137">
                  <c:v>72</c:v>
                </c:pt>
                <c:pt idx="138">
                  <c:v>60</c:v>
                </c:pt>
                <c:pt idx="139">
                  <c:v>51</c:v>
                </c:pt>
                <c:pt idx="140">
                  <c:v>72</c:v>
                </c:pt>
                <c:pt idx="141">
                  <c:v>52</c:v>
                </c:pt>
                <c:pt idx="142">
                  <c:v>75</c:v>
                </c:pt>
                <c:pt idx="143">
                  <c:v>67</c:v>
                </c:pt>
                <c:pt idx="144">
                  <c:v>67</c:v>
                </c:pt>
                <c:pt idx="145">
                  <c:v>67</c:v>
                </c:pt>
                <c:pt idx="146">
                  <c:v>77</c:v>
                </c:pt>
                <c:pt idx="147">
                  <c:v>59</c:v>
                </c:pt>
                <c:pt idx="148">
                  <c:v>57</c:v>
                </c:pt>
                <c:pt idx="149">
                  <c:v>71</c:v>
                </c:pt>
                <c:pt idx="150">
                  <c:v>60</c:v>
                </c:pt>
                <c:pt idx="151">
                  <c:v>76</c:v>
                </c:pt>
                <c:pt idx="152">
                  <c:v>76</c:v>
                </c:pt>
                <c:pt idx="153">
                  <c:v>71</c:v>
                </c:pt>
                <c:pt idx="154">
                  <c:v>79</c:v>
                </c:pt>
                <c:pt idx="155">
                  <c:v>90</c:v>
                </c:pt>
                <c:pt idx="156">
                  <c:v>91</c:v>
                </c:pt>
                <c:pt idx="157">
                  <c:v>81</c:v>
                </c:pt>
                <c:pt idx="158">
                  <c:v>83</c:v>
                </c:pt>
                <c:pt idx="159">
                  <c:v>93</c:v>
                </c:pt>
                <c:pt idx="160">
                  <c:v>86</c:v>
                </c:pt>
                <c:pt idx="161">
                  <c:v>106</c:v>
                </c:pt>
                <c:pt idx="162">
                  <c:v>107</c:v>
                </c:pt>
                <c:pt idx="163">
                  <c:v>94</c:v>
                </c:pt>
                <c:pt idx="164">
                  <c:v>114</c:v>
                </c:pt>
                <c:pt idx="165">
                  <c:v>142</c:v>
                </c:pt>
                <c:pt idx="166">
                  <c:v>120</c:v>
                </c:pt>
                <c:pt idx="167">
                  <c:v>125</c:v>
                </c:pt>
                <c:pt idx="168">
                  <c:v>138</c:v>
                </c:pt>
                <c:pt idx="169">
                  <c:v>129</c:v>
                </c:pt>
                <c:pt idx="170">
                  <c:v>154</c:v>
                </c:pt>
                <c:pt idx="171">
                  <c:v>160</c:v>
                </c:pt>
                <c:pt idx="172">
                  <c:v>200</c:v>
                </c:pt>
                <c:pt idx="173">
                  <c:v>181</c:v>
                </c:pt>
                <c:pt idx="174">
                  <c:v>232</c:v>
                </c:pt>
                <c:pt idx="175">
                  <c:v>201</c:v>
                </c:pt>
                <c:pt idx="176">
                  <c:v>254</c:v>
                </c:pt>
                <c:pt idx="177">
                  <c:v>286</c:v>
                </c:pt>
                <c:pt idx="178">
                  <c:v>308</c:v>
                </c:pt>
                <c:pt idx="179">
                  <c:v>298</c:v>
                </c:pt>
                <c:pt idx="180">
                  <c:v>336</c:v>
                </c:pt>
                <c:pt idx="181">
                  <c:v>385</c:v>
                </c:pt>
                <c:pt idx="182">
                  <c:v>387</c:v>
                </c:pt>
                <c:pt idx="183">
                  <c:v>378</c:v>
                </c:pt>
                <c:pt idx="184">
                  <c:v>442</c:v>
                </c:pt>
                <c:pt idx="185">
                  <c:v>447</c:v>
                </c:pt>
                <c:pt idx="186">
                  <c:v>524</c:v>
                </c:pt>
                <c:pt idx="187">
                  <c:v>561</c:v>
                </c:pt>
                <c:pt idx="188">
                  <c:v>584</c:v>
                </c:pt>
                <c:pt idx="189">
                  <c:v>679</c:v>
                </c:pt>
                <c:pt idx="190">
                  <c:v>671</c:v>
                </c:pt>
                <c:pt idx="191">
                  <c:v>758</c:v>
                </c:pt>
                <c:pt idx="192">
                  <c:v>758</c:v>
                </c:pt>
                <c:pt idx="193">
                  <c:v>859</c:v>
                </c:pt>
                <c:pt idx="194">
                  <c:v>896</c:v>
                </c:pt>
                <c:pt idx="195">
                  <c:v>945</c:v>
                </c:pt>
                <c:pt idx="196">
                  <c:v>1006</c:v>
                </c:pt>
                <c:pt idx="197">
                  <c:v>1141</c:v>
                </c:pt>
                <c:pt idx="198">
                  <c:v>1120</c:v>
                </c:pt>
                <c:pt idx="199">
                  <c:v>1227</c:v>
                </c:pt>
                <c:pt idx="200">
                  <c:v>1326</c:v>
                </c:pt>
                <c:pt idx="201">
                  <c:v>1380</c:v>
                </c:pt>
                <c:pt idx="202">
                  <c:v>1440</c:v>
                </c:pt>
                <c:pt idx="203">
                  <c:v>1476</c:v>
                </c:pt>
                <c:pt idx="204">
                  <c:v>1531</c:v>
                </c:pt>
                <c:pt idx="205">
                  <c:v>1556</c:v>
                </c:pt>
                <c:pt idx="206">
                  <c:v>1684</c:v>
                </c:pt>
                <c:pt idx="207">
                  <c:v>1689</c:v>
                </c:pt>
                <c:pt idx="208">
                  <c:v>1752</c:v>
                </c:pt>
                <c:pt idx="209">
                  <c:v>1829</c:v>
                </c:pt>
                <c:pt idx="210">
                  <c:v>1822</c:v>
                </c:pt>
                <c:pt idx="211">
                  <c:v>1859</c:v>
                </c:pt>
                <c:pt idx="212">
                  <c:v>1911</c:v>
                </c:pt>
                <c:pt idx="213">
                  <c:v>1890</c:v>
                </c:pt>
                <c:pt idx="214">
                  <c:v>1830</c:v>
                </c:pt>
                <c:pt idx="215">
                  <c:v>1913</c:v>
                </c:pt>
                <c:pt idx="216">
                  <c:v>1983</c:v>
                </c:pt>
                <c:pt idx="217">
                  <c:v>1903</c:v>
                </c:pt>
                <c:pt idx="218">
                  <c:v>1974</c:v>
                </c:pt>
                <c:pt idx="219">
                  <c:v>1969</c:v>
                </c:pt>
                <c:pt idx="220">
                  <c:v>1829</c:v>
                </c:pt>
                <c:pt idx="221">
                  <c:v>1960</c:v>
                </c:pt>
                <c:pt idx="222">
                  <c:v>1912</c:v>
                </c:pt>
                <c:pt idx="223">
                  <c:v>1902</c:v>
                </c:pt>
                <c:pt idx="224">
                  <c:v>1791</c:v>
                </c:pt>
                <c:pt idx="225">
                  <c:v>1857</c:v>
                </c:pt>
                <c:pt idx="226">
                  <c:v>1847</c:v>
                </c:pt>
                <c:pt idx="227">
                  <c:v>1757</c:v>
                </c:pt>
                <c:pt idx="228">
                  <c:v>1746</c:v>
                </c:pt>
                <c:pt idx="229">
                  <c:v>1666</c:v>
                </c:pt>
                <c:pt idx="230">
                  <c:v>1628</c:v>
                </c:pt>
                <c:pt idx="231">
                  <c:v>1481</c:v>
                </c:pt>
                <c:pt idx="232">
                  <c:v>1501</c:v>
                </c:pt>
                <c:pt idx="233">
                  <c:v>1411</c:v>
                </c:pt>
                <c:pt idx="234">
                  <c:v>1414</c:v>
                </c:pt>
                <c:pt idx="235">
                  <c:v>1309</c:v>
                </c:pt>
                <c:pt idx="236">
                  <c:v>1269</c:v>
                </c:pt>
                <c:pt idx="237">
                  <c:v>1267</c:v>
                </c:pt>
                <c:pt idx="238">
                  <c:v>1183</c:v>
                </c:pt>
                <c:pt idx="239">
                  <c:v>1135</c:v>
                </c:pt>
                <c:pt idx="240">
                  <c:v>1092</c:v>
                </c:pt>
                <c:pt idx="241">
                  <c:v>1057</c:v>
                </c:pt>
                <c:pt idx="242">
                  <c:v>989</c:v>
                </c:pt>
                <c:pt idx="243">
                  <c:v>957</c:v>
                </c:pt>
                <c:pt idx="244">
                  <c:v>891</c:v>
                </c:pt>
                <c:pt idx="245">
                  <c:v>855</c:v>
                </c:pt>
                <c:pt idx="246">
                  <c:v>789</c:v>
                </c:pt>
                <c:pt idx="247">
                  <c:v>704</c:v>
                </c:pt>
                <c:pt idx="248">
                  <c:v>653</c:v>
                </c:pt>
                <c:pt idx="249">
                  <c:v>683</c:v>
                </c:pt>
                <c:pt idx="250">
                  <c:v>639</c:v>
                </c:pt>
                <c:pt idx="251">
                  <c:v>591</c:v>
                </c:pt>
                <c:pt idx="252">
                  <c:v>546</c:v>
                </c:pt>
                <c:pt idx="253">
                  <c:v>527</c:v>
                </c:pt>
                <c:pt idx="254">
                  <c:v>481</c:v>
                </c:pt>
                <c:pt idx="255">
                  <c:v>462</c:v>
                </c:pt>
                <c:pt idx="256">
                  <c:v>417</c:v>
                </c:pt>
                <c:pt idx="257">
                  <c:v>355</c:v>
                </c:pt>
                <c:pt idx="258">
                  <c:v>367</c:v>
                </c:pt>
                <c:pt idx="259">
                  <c:v>349</c:v>
                </c:pt>
                <c:pt idx="260">
                  <c:v>322</c:v>
                </c:pt>
                <c:pt idx="261">
                  <c:v>298</c:v>
                </c:pt>
                <c:pt idx="262">
                  <c:v>276</c:v>
                </c:pt>
                <c:pt idx="263">
                  <c:v>236</c:v>
                </c:pt>
                <c:pt idx="264">
                  <c:v>219</c:v>
                </c:pt>
                <c:pt idx="265">
                  <c:v>205</c:v>
                </c:pt>
                <c:pt idx="266">
                  <c:v>171</c:v>
                </c:pt>
                <c:pt idx="267">
                  <c:v>178</c:v>
                </c:pt>
                <c:pt idx="268">
                  <c:v>170</c:v>
                </c:pt>
                <c:pt idx="269">
                  <c:v>112</c:v>
                </c:pt>
                <c:pt idx="270">
                  <c:v>139</c:v>
                </c:pt>
                <c:pt idx="271">
                  <c:v>141</c:v>
                </c:pt>
                <c:pt idx="272">
                  <c:v>108</c:v>
                </c:pt>
                <c:pt idx="273">
                  <c:v>114</c:v>
                </c:pt>
                <c:pt idx="274">
                  <c:v>104</c:v>
                </c:pt>
                <c:pt idx="275">
                  <c:v>115</c:v>
                </c:pt>
                <c:pt idx="276">
                  <c:v>72</c:v>
                </c:pt>
                <c:pt idx="277">
                  <c:v>59</c:v>
                </c:pt>
                <c:pt idx="278">
                  <c:v>75</c:v>
                </c:pt>
                <c:pt idx="279">
                  <c:v>86</c:v>
                </c:pt>
                <c:pt idx="280">
                  <c:v>68</c:v>
                </c:pt>
                <c:pt idx="281">
                  <c:v>59</c:v>
                </c:pt>
                <c:pt idx="282">
                  <c:v>49</c:v>
                </c:pt>
                <c:pt idx="283">
                  <c:v>55</c:v>
                </c:pt>
                <c:pt idx="284">
                  <c:v>47</c:v>
                </c:pt>
                <c:pt idx="285">
                  <c:v>45</c:v>
                </c:pt>
                <c:pt idx="286">
                  <c:v>42</c:v>
                </c:pt>
                <c:pt idx="287">
                  <c:v>40</c:v>
                </c:pt>
                <c:pt idx="288">
                  <c:v>54</c:v>
                </c:pt>
                <c:pt idx="289">
                  <c:v>44</c:v>
                </c:pt>
                <c:pt idx="290">
                  <c:v>33</c:v>
                </c:pt>
                <c:pt idx="291">
                  <c:v>39</c:v>
                </c:pt>
                <c:pt idx="292">
                  <c:v>34</c:v>
                </c:pt>
                <c:pt idx="293">
                  <c:v>29</c:v>
                </c:pt>
                <c:pt idx="294">
                  <c:v>36</c:v>
                </c:pt>
                <c:pt idx="295">
                  <c:v>41</c:v>
                </c:pt>
                <c:pt idx="296">
                  <c:v>31</c:v>
                </c:pt>
                <c:pt idx="297">
                  <c:v>22</c:v>
                </c:pt>
                <c:pt idx="298">
                  <c:v>25</c:v>
                </c:pt>
                <c:pt idx="299">
                  <c:v>31</c:v>
                </c:pt>
                <c:pt idx="300">
                  <c:v>30</c:v>
                </c:pt>
                <c:pt idx="301">
                  <c:v>18</c:v>
                </c:pt>
                <c:pt idx="302">
                  <c:v>24</c:v>
                </c:pt>
                <c:pt idx="303">
                  <c:v>36</c:v>
                </c:pt>
                <c:pt idx="304">
                  <c:v>29</c:v>
                </c:pt>
                <c:pt idx="305">
                  <c:v>42</c:v>
                </c:pt>
                <c:pt idx="306">
                  <c:v>28</c:v>
                </c:pt>
                <c:pt idx="307">
                  <c:v>32</c:v>
                </c:pt>
                <c:pt idx="308">
                  <c:v>22</c:v>
                </c:pt>
                <c:pt idx="309">
                  <c:v>18</c:v>
                </c:pt>
                <c:pt idx="310">
                  <c:v>21</c:v>
                </c:pt>
                <c:pt idx="311">
                  <c:v>30</c:v>
                </c:pt>
                <c:pt idx="312">
                  <c:v>23</c:v>
                </c:pt>
                <c:pt idx="313">
                  <c:v>24</c:v>
                </c:pt>
                <c:pt idx="314">
                  <c:v>21</c:v>
                </c:pt>
                <c:pt idx="315">
                  <c:v>37</c:v>
                </c:pt>
                <c:pt idx="316">
                  <c:v>24</c:v>
                </c:pt>
                <c:pt idx="317">
                  <c:v>20</c:v>
                </c:pt>
                <c:pt idx="318">
                  <c:v>26</c:v>
                </c:pt>
                <c:pt idx="319">
                  <c:v>21</c:v>
                </c:pt>
                <c:pt idx="320">
                  <c:v>26</c:v>
                </c:pt>
                <c:pt idx="321">
                  <c:v>34</c:v>
                </c:pt>
                <c:pt idx="322">
                  <c:v>19</c:v>
                </c:pt>
                <c:pt idx="323">
                  <c:v>18</c:v>
                </c:pt>
                <c:pt idx="324">
                  <c:v>28</c:v>
                </c:pt>
                <c:pt idx="325">
                  <c:v>27</c:v>
                </c:pt>
                <c:pt idx="326">
                  <c:v>32</c:v>
                </c:pt>
                <c:pt idx="327">
                  <c:v>21</c:v>
                </c:pt>
                <c:pt idx="328">
                  <c:v>30</c:v>
                </c:pt>
                <c:pt idx="329">
                  <c:v>22</c:v>
                </c:pt>
                <c:pt idx="330">
                  <c:v>21</c:v>
                </c:pt>
                <c:pt idx="331">
                  <c:v>19</c:v>
                </c:pt>
                <c:pt idx="332">
                  <c:v>23</c:v>
                </c:pt>
                <c:pt idx="333">
                  <c:v>38</c:v>
                </c:pt>
                <c:pt idx="334">
                  <c:v>32</c:v>
                </c:pt>
                <c:pt idx="335">
                  <c:v>20</c:v>
                </c:pt>
                <c:pt idx="336">
                  <c:v>27</c:v>
                </c:pt>
                <c:pt idx="337">
                  <c:v>26</c:v>
                </c:pt>
                <c:pt idx="338">
                  <c:v>23</c:v>
                </c:pt>
                <c:pt idx="339">
                  <c:v>32</c:v>
                </c:pt>
                <c:pt idx="340">
                  <c:v>21</c:v>
                </c:pt>
                <c:pt idx="341">
                  <c:v>44</c:v>
                </c:pt>
                <c:pt idx="342">
                  <c:v>22</c:v>
                </c:pt>
                <c:pt idx="343">
                  <c:v>37</c:v>
                </c:pt>
                <c:pt idx="344">
                  <c:v>32</c:v>
                </c:pt>
                <c:pt idx="345">
                  <c:v>32</c:v>
                </c:pt>
                <c:pt idx="346">
                  <c:v>36</c:v>
                </c:pt>
                <c:pt idx="347">
                  <c:v>36</c:v>
                </c:pt>
                <c:pt idx="348">
                  <c:v>25</c:v>
                </c:pt>
                <c:pt idx="349">
                  <c:v>49</c:v>
                </c:pt>
                <c:pt idx="350">
                  <c:v>36</c:v>
                </c:pt>
                <c:pt idx="351">
                  <c:v>34</c:v>
                </c:pt>
                <c:pt idx="352">
                  <c:v>41</c:v>
                </c:pt>
                <c:pt idx="353">
                  <c:v>39</c:v>
                </c:pt>
                <c:pt idx="354">
                  <c:v>45</c:v>
                </c:pt>
                <c:pt idx="355">
                  <c:v>38</c:v>
                </c:pt>
                <c:pt idx="356">
                  <c:v>43</c:v>
                </c:pt>
                <c:pt idx="357">
                  <c:v>43</c:v>
                </c:pt>
                <c:pt idx="358">
                  <c:v>42</c:v>
                </c:pt>
                <c:pt idx="359">
                  <c:v>46</c:v>
                </c:pt>
                <c:pt idx="360">
                  <c:v>49</c:v>
                </c:pt>
                <c:pt idx="361">
                  <c:v>47</c:v>
                </c:pt>
                <c:pt idx="362">
                  <c:v>56</c:v>
                </c:pt>
                <c:pt idx="363">
                  <c:v>42</c:v>
                </c:pt>
                <c:pt idx="364">
                  <c:v>33</c:v>
                </c:pt>
                <c:pt idx="365">
                  <c:v>42</c:v>
                </c:pt>
                <c:pt idx="366">
                  <c:v>55</c:v>
                </c:pt>
                <c:pt idx="367">
                  <c:v>55</c:v>
                </c:pt>
                <c:pt idx="368">
                  <c:v>50</c:v>
                </c:pt>
                <c:pt idx="369">
                  <c:v>57</c:v>
                </c:pt>
                <c:pt idx="370">
                  <c:v>48</c:v>
                </c:pt>
                <c:pt idx="371">
                  <c:v>51</c:v>
                </c:pt>
                <c:pt idx="372">
                  <c:v>47</c:v>
                </c:pt>
                <c:pt idx="373">
                  <c:v>60</c:v>
                </c:pt>
                <c:pt idx="374">
                  <c:v>54</c:v>
                </c:pt>
                <c:pt idx="375">
                  <c:v>43</c:v>
                </c:pt>
                <c:pt idx="376">
                  <c:v>52</c:v>
                </c:pt>
                <c:pt idx="377">
                  <c:v>42</c:v>
                </c:pt>
                <c:pt idx="378">
                  <c:v>58</c:v>
                </c:pt>
                <c:pt idx="379">
                  <c:v>51</c:v>
                </c:pt>
                <c:pt idx="380">
                  <c:v>56</c:v>
                </c:pt>
                <c:pt idx="381">
                  <c:v>68</c:v>
                </c:pt>
                <c:pt idx="382">
                  <c:v>63</c:v>
                </c:pt>
                <c:pt idx="383">
                  <c:v>59</c:v>
                </c:pt>
                <c:pt idx="384">
                  <c:v>42</c:v>
                </c:pt>
                <c:pt idx="385">
                  <c:v>59</c:v>
                </c:pt>
                <c:pt idx="386">
                  <c:v>63</c:v>
                </c:pt>
                <c:pt idx="387">
                  <c:v>58</c:v>
                </c:pt>
                <c:pt idx="388">
                  <c:v>52</c:v>
                </c:pt>
                <c:pt idx="389">
                  <c:v>62</c:v>
                </c:pt>
                <c:pt idx="390">
                  <c:v>64</c:v>
                </c:pt>
                <c:pt idx="391">
                  <c:v>49</c:v>
                </c:pt>
                <c:pt idx="392">
                  <c:v>43</c:v>
                </c:pt>
                <c:pt idx="393">
                  <c:v>71</c:v>
                </c:pt>
                <c:pt idx="394">
                  <c:v>64</c:v>
                </c:pt>
                <c:pt idx="395">
                  <c:v>72</c:v>
                </c:pt>
                <c:pt idx="396">
                  <c:v>57</c:v>
                </c:pt>
                <c:pt idx="397">
                  <c:v>56</c:v>
                </c:pt>
                <c:pt idx="398">
                  <c:v>50</c:v>
                </c:pt>
                <c:pt idx="399">
                  <c:v>53</c:v>
                </c:pt>
                <c:pt idx="400">
                  <c:v>45</c:v>
                </c:pt>
                <c:pt idx="401">
                  <c:v>64</c:v>
                </c:pt>
                <c:pt idx="402">
                  <c:v>62</c:v>
                </c:pt>
                <c:pt idx="403">
                  <c:v>57</c:v>
                </c:pt>
                <c:pt idx="404">
                  <c:v>54</c:v>
                </c:pt>
                <c:pt idx="405">
                  <c:v>63</c:v>
                </c:pt>
                <c:pt idx="406">
                  <c:v>60</c:v>
                </c:pt>
                <c:pt idx="407">
                  <c:v>51</c:v>
                </c:pt>
                <c:pt idx="408">
                  <c:v>58</c:v>
                </c:pt>
                <c:pt idx="409">
                  <c:v>54</c:v>
                </c:pt>
                <c:pt idx="410">
                  <c:v>55</c:v>
                </c:pt>
                <c:pt idx="411">
                  <c:v>51</c:v>
                </c:pt>
                <c:pt idx="412">
                  <c:v>52</c:v>
                </c:pt>
                <c:pt idx="413">
                  <c:v>40</c:v>
                </c:pt>
                <c:pt idx="414">
                  <c:v>58</c:v>
                </c:pt>
                <c:pt idx="415">
                  <c:v>54</c:v>
                </c:pt>
                <c:pt idx="416">
                  <c:v>56</c:v>
                </c:pt>
                <c:pt idx="417">
                  <c:v>68</c:v>
                </c:pt>
                <c:pt idx="418">
                  <c:v>62</c:v>
                </c:pt>
                <c:pt idx="419">
                  <c:v>59</c:v>
                </c:pt>
                <c:pt idx="420">
                  <c:v>44</c:v>
                </c:pt>
                <c:pt idx="421">
                  <c:v>52</c:v>
                </c:pt>
                <c:pt idx="422">
                  <c:v>45</c:v>
                </c:pt>
                <c:pt idx="423">
                  <c:v>36</c:v>
                </c:pt>
                <c:pt idx="424">
                  <c:v>53</c:v>
                </c:pt>
                <c:pt idx="425">
                  <c:v>50</c:v>
                </c:pt>
                <c:pt idx="426">
                  <c:v>43</c:v>
                </c:pt>
                <c:pt idx="427">
                  <c:v>38</c:v>
                </c:pt>
                <c:pt idx="428">
                  <c:v>46</c:v>
                </c:pt>
                <c:pt idx="429">
                  <c:v>34</c:v>
                </c:pt>
                <c:pt idx="430">
                  <c:v>42</c:v>
                </c:pt>
                <c:pt idx="431">
                  <c:v>39</c:v>
                </c:pt>
                <c:pt idx="432">
                  <c:v>44</c:v>
                </c:pt>
                <c:pt idx="433">
                  <c:v>45</c:v>
                </c:pt>
                <c:pt idx="434">
                  <c:v>42</c:v>
                </c:pt>
                <c:pt idx="435">
                  <c:v>44</c:v>
                </c:pt>
                <c:pt idx="436">
                  <c:v>64</c:v>
                </c:pt>
                <c:pt idx="437">
                  <c:v>46</c:v>
                </c:pt>
                <c:pt idx="438">
                  <c:v>35</c:v>
                </c:pt>
                <c:pt idx="439">
                  <c:v>35</c:v>
                </c:pt>
                <c:pt idx="440">
                  <c:v>35</c:v>
                </c:pt>
                <c:pt idx="441">
                  <c:v>37</c:v>
                </c:pt>
                <c:pt idx="442">
                  <c:v>34</c:v>
                </c:pt>
                <c:pt idx="443">
                  <c:v>34</c:v>
                </c:pt>
                <c:pt idx="444">
                  <c:v>38</c:v>
                </c:pt>
                <c:pt idx="445">
                  <c:v>32</c:v>
                </c:pt>
                <c:pt idx="446">
                  <c:v>18</c:v>
                </c:pt>
                <c:pt idx="447">
                  <c:v>28</c:v>
                </c:pt>
                <c:pt idx="448">
                  <c:v>27</c:v>
                </c:pt>
                <c:pt idx="449">
                  <c:v>29</c:v>
                </c:pt>
                <c:pt idx="450">
                  <c:v>23</c:v>
                </c:pt>
                <c:pt idx="451">
                  <c:v>29</c:v>
                </c:pt>
                <c:pt idx="452">
                  <c:v>22</c:v>
                </c:pt>
                <c:pt idx="453">
                  <c:v>29</c:v>
                </c:pt>
                <c:pt idx="454">
                  <c:v>20</c:v>
                </c:pt>
                <c:pt idx="455">
                  <c:v>25</c:v>
                </c:pt>
                <c:pt idx="456">
                  <c:v>29</c:v>
                </c:pt>
                <c:pt idx="457">
                  <c:v>29</c:v>
                </c:pt>
                <c:pt idx="458">
                  <c:v>16</c:v>
                </c:pt>
                <c:pt idx="459">
                  <c:v>28</c:v>
                </c:pt>
                <c:pt idx="460">
                  <c:v>22</c:v>
                </c:pt>
                <c:pt idx="461">
                  <c:v>25</c:v>
                </c:pt>
                <c:pt idx="462">
                  <c:v>23</c:v>
                </c:pt>
                <c:pt idx="463">
                  <c:v>16</c:v>
                </c:pt>
                <c:pt idx="464">
                  <c:v>19</c:v>
                </c:pt>
                <c:pt idx="465">
                  <c:v>18</c:v>
                </c:pt>
                <c:pt idx="466">
                  <c:v>20</c:v>
                </c:pt>
                <c:pt idx="467">
                  <c:v>15</c:v>
                </c:pt>
                <c:pt idx="468">
                  <c:v>24</c:v>
                </c:pt>
                <c:pt idx="469">
                  <c:v>18</c:v>
                </c:pt>
                <c:pt idx="470">
                  <c:v>19</c:v>
                </c:pt>
                <c:pt idx="471">
                  <c:v>11</c:v>
                </c:pt>
                <c:pt idx="472">
                  <c:v>18</c:v>
                </c:pt>
                <c:pt idx="473">
                  <c:v>19</c:v>
                </c:pt>
                <c:pt idx="474">
                  <c:v>12</c:v>
                </c:pt>
                <c:pt idx="475">
                  <c:v>14</c:v>
                </c:pt>
                <c:pt idx="476">
                  <c:v>11</c:v>
                </c:pt>
                <c:pt idx="477">
                  <c:v>15</c:v>
                </c:pt>
                <c:pt idx="478">
                  <c:v>10</c:v>
                </c:pt>
                <c:pt idx="479">
                  <c:v>14</c:v>
                </c:pt>
                <c:pt idx="480">
                  <c:v>9</c:v>
                </c:pt>
                <c:pt idx="481">
                  <c:v>13</c:v>
                </c:pt>
                <c:pt idx="482">
                  <c:v>13</c:v>
                </c:pt>
                <c:pt idx="483">
                  <c:v>10</c:v>
                </c:pt>
                <c:pt idx="484">
                  <c:v>7</c:v>
                </c:pt>
                <c:pt idx="485">
                  <c:v>11</c:v>
                </c:pt>
                <c:pt idx="486">
                  <c:v>8</c:v>
                </c:pt>
                <c:pt idx="487">
                  <c:v>15</c:v>
                </c:pt>
                <c:pt idx="488">
                  <c:v>5</c:v>
                </c:pt>
                <c:pt idx="489">
                  <c:v>7</c:v>
                </c:pt>
                <c:pt idx="490">
                  <c:v>8</c:v>
                </c:pt>
                <c:pt idx="491">
                  <c:v>8</c:v>
                </c:pt>
                <c:pt idx="492">
                  <c:v>6</c:v>
                </c:pt>
                <c:pt idx="493">
                  <c:v>8</c:v>
                </c:pt>
                <c:pt idx="494">
                  <c:v>6</c:v>
                </c:pt>
                <c:pt idx="495">
                  <c:v>11</c:v>
                </c:pt>
                <c:pt idx="496">
                  <c:v>10</c:v>
                </c:pt>
                <c:pt idx="497">
                  <c:v>8</c:v>
                </c:pt>
                <c:pt idx="498">
                  <c:v>2</c:v>
                </c:pt>
                <c:pt idx="499">
                  <c:v>5</c:v>
                </c:pt>
                <c:pt idx="500">
                  <c:v>8</c:v>
                </c:pt>
                <c:pt idx="501">
                  <c:v>4</c:v>
                </c:pt>
                <c:pt idx="502">
                  <c:v>5</c:v>
                </c:pt>
                <c:pt idx="503">
                  <c:v>8</c:v>
                </c:pt>
                <c:pt idx="504">
                  <c:v>10</c:v>
                </c:pt>
                <c:pt idx="505">
                  <c:v>3</c:v>
                </c:pt>
                <c:pt idx="506">
                  <c:v>4</c:v>
                </c:pt>
                <c:pt idx="507">
                  <c:v>2</c:v>
                </c:pt>
                <c:pt idx="508">
                  <c:v>4</c:v>
                </c:pt>
                <c:pt idx="509">
                  <c:v>3</c:v>
                </c:pt>
                <c:pt idx="510">
                  <c:v>2</c:v>
                </c:pt>
                <c:pt idx="511">
                  <c:v>3</c:v>
                </c:pt>
                <c:pt idx="512">
                  <c:v>8</c:v>
                </c:pt>
                <c:pt idx="513">
                  <c:v>3</c:v>
                </c:pt>
                <c:pt idx="514">
                  <c:v>4</c:v>
                </c:pt>
                <c:pt idx="515">
                  <c:v>4</c:v>
                </c:pt>
                <c:pt idx="516">
                  <c:v>4</c:v>
                </c:pt>
                <c:pt idx="517">
                  <c:v>4</c:v>
                </c:pt>
                <c:pt idx="518">
                  <c:v>8</c:v>
                </c:pt>
                <c:pt idx="519">
                  <c:v>4</c:v>
                </c:pt>
                <c:pt idx="520">
                  <c:v>2</c:v>
                </c:pt>
                <c:pt idx="521">
                  <c:v>4</c:v>
                </c:pt>
                <c:pt idx="522">
                  <c:v>3</c:v>
                </c:pt>
                <c:pt idx="523">
                  <c:v>8</c:v>
                </c:pt>
                <c:pt idx="524">
                  <c:v>7</c:v>
                </c:pt>
                <c:pt idx="525">
                  <c:v>4</c:v>
                </c:pt>
                <c:pt idx="526">
                  <c:v>4</c:v>
                </c:pt>
                <c:pt idx="527">
                  <c:v>1</c:v>
                </c:pt>
                <c:pt idx="528">
                  <c:v>6</c:v>
                </c:pt>
                <c:pt idx="529">
                  <c:v>4</c:v>
                </c:pt>
                <c:pt idx="530">
                  <c:v>4</c:v>
                </c:pt>
                <c:pt idx="531">
                  <c:v>4</c:v>
                </c:pt>
                <c:pt idx="532">
                  <c:v>1</c:v>
                </c:pt>
                <c:pt idx="533">
                  <c:v>2</c:v>
                </c:pt>
                <c:pt idx="534">
                  <c:v>2</c:v>
                </c:pt>
                <c:pt idx="535">
                  <c:v>4</c:v>
                </c:pt>
                <c:pt idx="536">
                  <c:v>4</c:v>
                </c:pt>
                <c:pt idx="537">
                  <c:v>4</c:v>
                </c:pt>
                <c:pt idx="538">
                  <c:v>6</c:v>
                </c:pt>
                <c:pt idx="539">
                  <c:v>6</c:v>
                </c:pt>
                <c:pt idx="540">
                  <c:v>4</c:v>
                </c:pt>
                <c:pt idx="541">
                  <c:v>3</c:v>
                </c:pt>
                <c:pt idx="542">
                  <c:v>4</c:v>
                </c:pt>
                <c:pt idx="543">
                  <c:v>3</c:v>
                </c:pt>
                <c:pt idx="544">
                  <c:v>1</c:v>
                </c:pt>
                <c:pt idx="545">
                  <c:v>6</c:v>
                </c:pt>
                <c:pt idx="546">
                  <c:v>3</c:v>
                </c:pt>
                <c:pt idx="547">
                  <c:v>1</c:v>
                </c:pt>
                <c:pt idx="548">
                  <c:v>1</c:v>
                </c:pt>
                <c:pt idx="549">
                  <c:v>4</c:v>
                </c:pt>
                <c:pt idx="550">
                  <c:v>2</c:v>
                </c:pt>
                <c:pt idx="551">
                  <c:v>2</c:v>
                </c:pt>
                <c:pt idx="552">
                  <c:v>4</c:v>
                </c:pt>
                <c:pt idx="553">
                  <c:v>4</c:v>
                </c:pt>
                <c:pt idx="554">
                  <c:v>3</c:v>
                </c:pt>
                <c:pt idx="555">
                  <c:v>1</c:v>
                </c:pt>
                <c:pt idx="556">
                  <c:v>2</c:v>
                </c:pt>
                <c:pt idx="557">
                  <c:v>1</c:v>
                </c:pt>
                <c:pt idx="558">
                  <c:v>5</c:v>
                </c:pt>
                <c:pt idx="559">
                  <c:v>3</c:v>
                </c:pt>
                <c:pt idx="560">
                  <c:v>3</c:v>
                </c:pt>
                <c:pt idx="561">
                  <c:v>1</c:v>
                </c:pt>
                <c:pt idx="562">
                  <c:v>0</c:v>
                </c:pt>
                <c:pt idx="563">
                  <c:v>2</c:v>
                </c:pt>
                <c:pt idx="564">
                  <c:v>6</c:v>
                </c:pt>
                <c:pt idx="565">
                  <c:v>2</c:v>
                </c:pt>
                <c:pt idx="566">
                  <c:v>3</c:v>
                </c:pt>
                <c:pt idx="567">
                  <c:v>5</c:v>
                </c:pt>
                <c:pt idx="568">
                  <c:v>5</c:v>
                </c:pt>
                <c:pt idx="569">
                  <c:v>1</c:v>
                </c:pt>
                <c:pt idx="570">
                  <c:v>4</c:v>
                </c:pt>
                <c:pt idx="571">
                  <c:v>5</c:v>
                </c:pt>
                <c:pt idx="572">
                  <c:v>2</c:v>
                </c:pt>
                <c:pt idx="573">
                  <c:v>3</c:v>
                </c:pt>
                <c:pt idx="574">
                  <c:v>3</c:v>
                </c:pt>
                <c:pt idx="575">
                  <c:v>2</c:v>
                </c:pt>
                <c:pt idx="576">
                  <c:v>3</c:v>
                </c:pt>
                <c:pt idx="577">
                  <c:v>1</c:v>
                </c:pt>
                <c:pt idx="578">
                  <c:v>2</c:v>
                </c:pt>
                <c:pt idx="579">
                  <c:v>4</c:v>
                </c:pt>
                <c:pt idx="580">
                  <c:v>3</c:v>
                </c:pt>
                <c:pt idx="581">
                  <c:v>3</c:v>
                </c:pt>
                <c:pt idx="582">
                  <c:v>5</c:v>
                </c:pt>
                <c:pt idx="583">
                  <c:v>5</c:v>
                </c:pt>
                <c:pt idx="584">
                  <c:v>5</c:v>
                </c:pt>
                <c:pt idx="585">
                  <c:v>2</c:v>
                </c:pt>
                <c:pt idx="586">
                  <c:v>8</c:v>
                </c:pt>
                <c:pt idx="587">
                  <c:v>3</c:v>
                </c:pt>
                <c:pt idx="588">
                  <c:v>3</c:v>
                </c:pt>
                <c:pt idx="589">
                  <c:v>5</c:v>
                </c:pt>
                <c:pt idx="590">
                  <c:v>0</c:v>
                </c:pt>
                <c:pt idx="591">
                  <c:v>0</c:v>
                </c:pt>
                <c:pt idx="592">
                  <c:v>7</c:v>
                </c:pt>
                <c:pt idx="593">
                  <c:v>4</c:v>
                </c:pt>
                <c:pt idx="594">
                  <c:v>3</c:v>
                </c:pt>
                <c:pt idx="595">
                  <c:v>5</c:v>
                </c:pt>
                <c:pt idx="596">
                  <c:v>6</c:v>
                </c:pt>
                <c:pt idx="597">
                  <c:v>3</c:v>
                </c:pt>
                <c:pt idx="598">
                  <c:v>3</c:v>
                </c:pt>
                <c:pt idx="599">
                  <c:v>7</c:v>
                </c:pt>
                <c:pt idx="600">
                  <c:v>2</c:v>
                </c:pt>
                <c:pt idx="601">
                  <c:v>6</c:v>
                </c:pt>
                <c:pt idx="602">
                  <c:v>4</c:v>
                </c:pt>
                <c:pt idx="603">
                  <c:v>0</c:v>
                </c:pt>
                <c:pt idx="604">
                  <c:v>3</c:v>
                </c:pt>
                <c:pt idx="605">
                  <c:v>3</c:v>
                </c:pt>
                <c:pt idx="606">
                  <c:v>3</c:v>
                </c:pt>
                <c:pt idx="607">
                  <c:v>5</c:v>
                </c:pt>
                <c:pt idx="608">
                  <c:v>1</c:v>
                </c:pt>
                <c:pt idx="609">
                  <c:v>1</c:v>
                </c:pt>
                <c:pt idx="610">
                  <c:v>3</c:v>
                </c:pt>
                <c:pt idx="611">
                  <c:v>0</c:v>
                </c:pt>
                <c:pt idx="612">
                  <c:v>8</c:v>
                </c:pt>
                <c:pt idx="613">
                  <c:v>3</c:v>
                </c:pt>
                <c:pt idx="614">
                  <c:v>6</c:v>
                </c:pt>
                <c:pt idx="615">
                  <c:v>1</c:v>
                </c:pt>
                <c:pt idx="616">
                  <c:v>2</c:v>
                </c:pt>
                <c:pt idx="617">
                  <c:v>2</c:v>
                </c:pt>
                <c:pt idx="618">
                  <c:v>6</c:v>
                </c:pt>
                <c:pt idx="619">
                  <c:v>1</c:v>
                </c:pt>
                <c:pt idx="620">
                  <c:v>2</c:v>
                </c:pt>
                <c:pt idx="621">
                  <c:v>1</c:v>
                </c:pt>
                <c:pt idx="622">
                  <c:v>2</c:v>
                </c:pt>
                <c:pt idx="623">
                  <c:v>4</c:v>
                </c:pt>
                <c:pt idx="624">
                  <c:v>2</c:v>
                </c:pt>
                <c:pt idx="625">
                  <c:v>5</c:v>
                </c:pt>
                <c:pt idx="626">
                  <c:v>4</c:v>
                </c:pt>
                <c:pt idx="627">
                  <c:v>9</c:v>
                </c:pt>
                <c:pt idx="628">
                  <c:v>3</c:v>
                </c:pt>
                <c:pt idx="629">
                  <c:v>4</c:v>
                </c:pt>
                <c:pt idx="630">
                  <c:v>2</c:v>
                </c:pt>
                <c:pt idx="631">
                  <c:v>4</c:v>
                </c:pt>
                <c:pt idx="632">
                  <c:v>4</c:v>
                </c:pt>
                <c:pt idx="633">
                  <c:v>5</c:v>
                </c:pt>
                <c:pt idx="634">
                  <c:v>3</c:v>
                </c:pt>
                <c:pt idx="635">
                  <c:v>2</c:v>
                </c:pt>
                <c:pt idx="636">
                  <c:v>1</c:v>
                </c:pt>
                <c:pt idx="637">
                  <c:v>7</c:v>
                </c:pt>
                <c:pt idx="638">
                  <c:v>2</c:v>
                </c:pt>
                <c:pt idx="639">
                  <c:v>5</c:v>
                </c:pt>
                <c:pt idx="640">
                  <c:v>2</c:v>
                </c:pt>
                <c:pt idx="641">
                  <c:v>5</c:v>
                </c:pt>
                <c:pt idx="642">
                  <c:v>4</c:v>
                </c:pt>
                <c:pt idx="643">
                  <c:v>2</c:v>
                </c:pt>
                <c:pt idx="644">
                  <c:v>5</c:v>
                </c:pt>
                <c:pt idx="645">
                  <c:v>2</c:v>
                </c:pt>
                <c:pt idx="646">
                  <c:v>2</c:v>
                </c:pt>
                <c:pt idx="647">
                  <c:v>2</c:v>
                </c:pt>
                <c:pt idx="648">
                  <c:v>2</c:v>
                </c:pt>
                <c:pt idx="649">
                  <c:v>4</c:v>
                </c:pt>
                <c:pt idx="650">
                  <c:v>4</c:v>
                </c:pt>
                <c:pt idx="651">
                  <c:v>1</c:v>
                </c:pt>
                <c:pt idx="652">
                  <c:v>6</c:v>
                </c:pt>
                <c:pt idx="653">
                  <c:v>4</c:v>
                </c:pt>
                <c:pt idx="654">
                  <c:v>5</c:v>
                </c:pt>
                <c:pt idx="655">
                  <c:v>5</c:v>
                </c:pt>
                <c:pt idx="656">
                  <c:v>5</c:v>
                </c:pt>
                <c:pt idx="657">
                  <c:v>1</c:v>
                </c:pt>
                <c:pt idx="658">
                  <c:v>2</c:v>
                </c:pt>
                <c:pt idx="659">
                  <c:v>4</c:v>
                </c:pt>
                <c:pt idx="660">
                  <c:v>2</c:v>
                </c:pt>
                <c:pt idx="661">
                  <c:v>6</c:v>
                </c:pt>
                <c:pt idx="662">
                  <c:v>2</c:v>
                </c:pt>
                <c:pt idx="663">
                  <c:v>2</c:v>
                </c:pt>
                <c:pt idx="664">
                  <c:v>4</c:v>
                </c:pt>
                <c:pt idx="665">
                  <c:v>2</c:v>
                </c:pt>
                <c:pt idx="666">
                  <c:v>3</c:v>
                </c:pt>
                <c:pt idx="667">
                  <c:v>1</c:v>
                </c:pt>
                <c:pt idx="668">
                  <c:v>5</c:v>
                </c:pt>
                <c:pt idx="669">
                  <c:v>0</c:v>
                </c:pt>
                <c:pt idx="670">
                  <c:v>3</c:v>
                </c:pt>
                <c:pt idx="671">
                  <c:v>1</c:v>
                </c:pt>
                <c:pt idx="672">
                  <c:v>7</c:v>
                </c:pt>
                <c:pt idx="673">
                  <c:v>1</c:v>
                </c:pt>
                <c:pt idx="674">
                  <c:v>6</c:v>
                </c:pt>
                <c:pt idx="675">
                  <c:v>2</c:v>
                </c:pt>
                <c:pt idx="676">
                  <c:v>1</c:v>
                </c:pt>
                <c:pt idx="677">
                  <c:v>1</c:v>
                </c:pt>
                <c:pt idx="678">
                  <c:v>2</c:v>
                </c:pt>
                <c:pt idx="679">
                  <c:v>6</c:v>
                </c:pt>
                <c:pt idx="680">
                  <c:v>3</c:v>
                </c:pt>
                <c:pt idx="681">
                  <c:v>2</c:v>
                </c:pt>
                <c:pt idx="682">
                  <c:v>0</c:v>
                </c:pt>
                <c:pt idx="683">
                  <c:v>5</c:v>
                </c:pt>
                <c:pt idx="684">
                  <c:v>3</c:v>
                </c:pt>
                <c:pt idx="685">
                  <c:v>1</c:v>
                </c:pt>
                <c:pt idx="686">
                  <c:v>7</c:v>
                </c:pt>
                <c:pt idx="687">
                  <c:v>0</c:v>
                </c:pt>
                <c:pt idx="688">
                  <c:v>2</c:v>
                </c:pt>
                <c:pt idx="689">
                  <c:v>5</c:v>
                </c:pt>
                <c:pt idx="690">
                  <c:v>1</c:v>
                </c:pt>
                <c:pt idx="691">
                  <c:v>3</c:v>
                </c:pt>
                <c:pt idx="692">
                  <c:v>1</c:v>
                </c:pt>
                <c:pt idx="693">
                  <c:v>3</c:v>
                </c:pt>
                <c:pt idx="694">
                  <c:v>1</c:v>
                </c:pt>
                <c:pt idx="695">
                  <c:v>2</c:v>
                </c:pt>
                <c:pt idx="696">
                  <c:v>1</c:v>
                </c:pt>
                <c:pt idx="697">
                  <c:v>3</c:v>
                </c:pt>
                <c:pt idx="698">
                  <c:v>2</c:v>
                </c:pt>
                <c:pt idx="699">
                  <c:v>2</c:v>
                </c:pt>
                <c:pt idx="700">
                  <c:v>3</c:v>
                </c:pt>
                <c:pt idx="701">
                  <c:v>2</c:v>
                </c:pt>
                <c:pt idx="702">
                  <c:v>5</c:v>
                </c:pt>
                <c:pt idx="703">
                  <c:v>2</c:v>
                </c:pt>
                <c:pt idx="704">
                  <c:v>2</c:v>
                </c:pt>
                <c:pt idx="705">
                  <c:v>3</c:v>
                </c:pt>
                <c:pt idx="706">
                  <c:v>2</c:v>
                </c:pt>
                <c:pt idx="707">
                  <c:v>1</c:v>
                </c:pt>
                <c:pt idx="708">
                  <c:v>4</c:v>
                </c:pt>
                <c:pt idx="709">
                  <c:v>5</c:v>
                </c:pt>
                <c:pt idx="710">
                  <c:v>0</c:v>
                </c:pt>
                <c:pt idx="711">
                  <c:v>0</c:v>
                </c:pt>
                <c:pt idx="712">
                  <c:v>3</c:v>
                </c:pt>
                <c:pt idx="713">
                  <c:v>2</c:v>
                </c:pt>
                <c:pt idx="714">
                  <c:v>4</c:v>
                </c:pt>
                <c:pt idx="715">
                  <c:v>0</c:v>
                </c:pt>
                <c:pt idx="716">
                  <c:v>1</c:v>
                </c:pt>
                <c:pt idx="717">
                  <c:v>1</c:v>
                </c:pt>
                <c:pt idx="718">
                  <c:v>4</c:v>
                </c:pt>
                <c:pt idx="719">
                  <c:v>0</c:v>
                </c:pt>
                <c:pt idx="720">
                  <c:v>1</c:v>
                </c:pt>
                <c:pt idx="721">
                  <c:v>3</c:v>
                </c:pt>
                <c:pt idx="722">
                  <c:v>4</c:v>
                </c:pt>
                <c:pt idx="723">
                  <c:v>2</c:v>
                </c:pt>
                <c:pt idx="724">
                  <c:v>4</c:v>
                </c:pt>
                <c:pt idx="725">
                  <c:v>0</c:v>
                </c:pt>
                <c:pt idx="726">
                  <c:v>2</c:v>
                </c:pt>
                <c:pt idx="727">
                  <c:v>3</c:v>
                </c:pt>
                <c:pt idx="728">
                  <c:v>2</c:v>
                </c:pt>
                <c:pt idx="729">
                  <c:v>2</c:v>
                </c:pt>
                <c:pt idx="730">
                  <c:v>2</c:v>
                </c:pt>
                <c:pt idx="731">
                  <c:v>0</c:v>
                </c:pt>
                <c:pt idx="732">
                  <c:v>4</c:v>
                </c:pt>
                <c:pt idx="733">
                  <c:v>2</c:v>
                </c:pt>
                <c:pt idx="734">
                  <c:v>1</c:v>
                </c:pt>
                <c:pt idx="735">
                  <c:v>1</c:v>
                </c:pt>
                <c:pt idx="736">
                  <c:v>0</c:v>
                </c:pt>
                <c:pt idx="737">
                  <c:v>2</c:v>
                </c:pt>
                <c:pt idx="738">
                  <c:v>1</c:v>
                </c:pt>
                <c:pt idx="739">
                  <c:v>0</c:v>
                </c:pt>
                <c:pt idx="740">
                  <c:v>3</c:v>
                </c:pt>
                <c:pt idx="741">
                  <c:v>3</c:v>
                </c:pt>
                <c:pt idx="742">
                  <c:v>1</c:v>
                </c:pt>
                <c:pt idx="743">
                  <c:v>4</c:v>
                </c:pt>
                <c:pt idx="744">
                  <c:v>0</c:v>
                </c:pt>
                <c:pt idx="745">
                  <c:v>1</c:v>
                </c:pt>
                <c:pt idx="746">
                  <c:v>4</c:v>
                </c:pt>
                <c:pt idx="747">
                  <c:v>0</c:v>
                </c:pt>
                <c:pt idx="748">
                  <c:v>1</c:v>
                </c:pt>
                <c:pt idx="749">
                  <c:v>2</c:v>
                </c:pt>
                <c:pt idx="750">
                  <c:v>2</c:v>
                </c:pt>
                <c:pt idx="751">
                  <c:v>1</c:v>
                </c:pt>
                <c:pt idx="752">
                  <c:v>2</c:v>
                </c:pt>
                <c:pt idx="753">
                  <c:v>1</c:v>
                </c:pt>
                <c:pt idx="754">
                  <c:v>3</c:v>
                </c:pt>
                <c:pt idx="755">
                  <c:v>2</c:v>
                </c:pt>
                <c:pt idx="756">
                  <c:v>0</c:v>
                </c:pt>
                <c:pt idx="757">
                  <c:v>1</c:v>
                </c:pt>
                <c:pt idx="758">
                  <c:v>3</c:v>
                </c:pt>
                <c:pt idx="759">
                  <c:v>1</c:v>
                </c:pt>
                <c:pt idx="760">
                  <c:v>2</c:v>
                </c:pt>
                <c:pt idx="761">
                  <c:v>3</c:v>
                </c:pt>
                <c:pt idx="762">
                  <c:v>3</c:v>
                </c:pt>
                <c:pt idx="763">
                  <c:v>1</c:v>
                </c:pt>
                <c:pt idx="764">
                  <c:v>0</c:v>
                </c:pt>
                <c:pt idx="765">
                  <c:v>1</c:v>
                </c:pt>
                <c:pt idx="766">
                  <c:v>2</c:v>
                </c:pt>
                <c:pt idx="767">
                  <c:v>0</c:v>
                </c:pt>
                <c:pt idx="768">
                  <c:v>2</c:v>
                </c:pt>
                <c:pt idx="769">
                  <c:v>3</c:v>
                </c:pt>
                <c:pt idx="770">
                  <c:v>0</c:v>
                </c:pt>
                <c:pt idx="771">
                  <c:v>2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3</c:v>
                </c:pt>
                <c:pt idx="777">
                  <c:v>1</c:v>
                </c:pt>
                <c:pt idx="778">
                  <c:v>1</c:v>
                </c:pt>
                <c:pt idx="779">
                  <c:v>3</c:v>
                </c:pt>
                <c:pt idx="780">
                  <c:v>0</c:v>
                </c:pt>
                <c:pt idx="781">
                  <c:v>3</c:v>
                </c:pt>
                <c:pt idx="782">
                  <c:v>0</c:v>
                </c:pt>
                <c:pt idx="783">
                  <c:v>2</c:v>
                </c:pt>
                <c:pt idx="784">
                  <c:v>1</c:v>
                </c:pt>
                <c:pt idx="785">
                  <c:v>3</c:v>
                </c:pt>
                <c:pt idx="786">
                  <c:v>1</c:v>
                </c:pt>
                <c:pt idx="787">
                  <c:v>3</c:v>
                </c:pt>
                <c:pt idx="788">
                  <c:v>2</c:v>
                </c:pt>
                <c:pt idx="789">
                  <c:v>1</c:v>
                </c:pt>
                <c:pt idx="790">
                  <c:v>0</c:v>
                </c:pt>
                <c:pt idx="791">
                  <c:v>1</c:v>
                </c:pt>
                <c:pt idx="792">
                  <c:v>3</c:v>
                </c:pt>
                <c:pt idx="793">
                  <c:v>1</c:v>
                </c:pt>
                <c:pt idx="794">
                  <c:v>2</c:v>
                </c:pt>
                <c:pt idx="795">
                  <c:v>0</c:v>
                </c:pt>
                <c:pt idx="796">
                  <c:v>2</c:v>
                </c:pt>
                <c:pt idx="797">
                  <c:v>0</c:v>
                </c:pt>
                <c:pt idx="798">
                  <c:v>3</c:v>
                </c:pt>
                <c:pt idx="799">
                  <c:v>1</c:v>
                </c:pt>
                <c:pt idx="800">
                  <c:v>1</c:v>
                </c:pt>
                <c:pt idx="801">
                  <c:v>0</c:v>
                </c:pt>
                <c:pt idx="802">
                  <c:v>0</c:v>
                </c:pt>
                <c:pt idx="803">
                  <c:v>3</c:v>
                </c:pt>
                <c:pt idx="804">
                  <c:v>0</c:v>
                </c:pt>
                <c:pt idx="805">
                  <c:v>3</c:v>
                </c:pt>
                <c:pt idx="806">
                  <c:v>1</c:v>
                </c:pt>
                <c:pt idx="807">
                  <c:v>2</c:v>
                </c:pt>
                <c:pt idx="808">
                  <c:v>4</c:v>
                </c:pt>
                <c:pt idx="809">
                  <c:v>2</c:v>
                </c:pt>
                <c:pt idx="810">
                  <c:v>2</c:v>
                </c:pt>
                <c:pt idx="811">
                  <c:v>0</c:v>
                </c:pt>
                <c:pt idx="812">
                  <c:v>0</c:v>
                </c:pt>
                <c:pt idx="813">
                  <c:v>3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0</c:v>
                </c:pt>
                <c:pt idx="818">
                  <c:v>0</c:v>
                </c:pt>
                <c:pt idx="819">
                  <c:v>1</c:v>
                </c:pt>
                <c:pt idx="820">
                  <c:v>2</c:v>
                </c:pt>
                <c:pt idx="821">
                  <c:v>1</c:v>
                </c:pt>
                <c:pt idx="822">
                  <c:v>0</c:v>
                </c:pt>
                <c:pt idx="823">
                  <c:v>0</c:v>
                </c:pt>
                <c:pt idx="824">
                  <c:v>3</c:v>
                </c:pt>
                <c:pt idx="825">
                  <c:v>0</c:v>
                </c:pt>
                <c:pt idx="826">
                  <c:v>2</c:v>
                </c:pt>
                <c:pt idx="827">
                  <c:v>2</c:v>
                </c:pt>
                <c:pt idx="828">
                  <c:v>1</c:v>
                </c:pt>
                <c:pt idx="829">
                  <c:v>0</c:v>
                </c:pt>
                <c:pt idx="830">
                  <c:v>0</c:v>
                </c:pt>
                <c:pt idx="831">
                  <c:v>4</c:v>
                </c:pt>
                <c:pt idx="832">
                  <c:v>3</c:v>
                </c:pt>
                <c:pt idx="833">
                  <c:v>1</c:v>
                </c:pt>
                <c:pt idx="834">
                  <c:v>2</c:v>
                </c:pt>
                <c:pt idx="835">
                  <c:v>0</c:v>
                </c:pt>
                <c:pt idx="836">
                  <c:v>4</c:v>
                </c:pt>
                <c:pt idx="837">
                  <c:v>1</c:v>
                </c:pt>
                <c:pt idx="838">
                  <c:v>2</c:v>
                </c:pt>
                <c:pt idx="839">
                  <c:v>1</c:v>
                </c:pt>
                <c:pt idx="840">
                  <c:v>0</c:v>
                </c:pt>
                <c:pt idx="841">
                  <c:v>0</c:v>
                </c:pt>
                <c:pt idx="842">
                  <c:v>4</c:v>
                </c:pt>
                <c:pt idx="843">
                  <c:v>1</c:v>
                </c:pt>
                <c:pt idx="844">
                  <c:v>3</c:v>
                </c:pt>
                <c:pt idx="845">
                  <c:v>2</c:v>
                </c:pt>
                <c:pt idx="846">
                  <c:v>2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3</c:v>
                </c:pt>
                <c:pt idx="851">
                  <c:v>3</c:v>
                </c:pt>
                <c:pt idx="852">
                  <c:v>1</c:v>
                </c:pt>
                <c:pt idx="853">
                  <c:v>2</c:v>
                </c:pt>
                <c:pt idx="854">
                  <c:v>2</c:v>
                </c:pt>
                <c:pt idx="855">
                  <c:v>1</c:v>
                </c:pt>
                <c:pt idx="856">
                  <c:v>3</c:v>
                </c:pt>
                <c:pt idx="857">
                  <c:v>1</c:v>
                </c:pt>
                <c:pt idx="858">
                  <c:v>2</c:v>
                </c:pt>
                <c:pt idx="859">
                  <c:v>1</c:v>
                </c:pt>
                <c:pt idx="860">
                  <c:v>1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1</c:v>
                </c:pt>
                <c:pt idx="865">
                  <c:v>3</c:v>
                </c:pt>
                <c:pt idx="866">
                  <c:v>0</c:v>
                </c:pt>
                <c:pt idx="867">
                  <c:v>1</c:v>
                </c:pt>
                <c:pt idx="868">
                  <c:v>0</c:v>
                </c:pt>
                <c:pt idx="869">
                  <c:v>1</c:v>
                </c:pt>
                <c:pt idx="870">
                  <c:v>3</c:v>
                </c:pt>
                <c:pt idx="871">
                  <c:v>0</c:v>
                </c:pt>
                <c:pt idx="872">
                  <c:v>4</c:v>
                </c:pt>
                <c:pt idx="873">
                  <c:v>1</c:v>
                </c:pt>
                <c:pt idx="874">
                  <c:v>0</c:v>
                </c:pt>
                <c:pt idx="875">
                  <c:v>2</c:v>
                </c:pt>
                <c:pt idx="876">
                  <c:v>0</c:v>
                </c:pt>
                <c:pt idx="877">
                  <c:v>0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2</c:v>
                </c:pt>
                <c:pt idx="887">
                  <c:v>3</c:v>
                </c:pt>
                <c:pt idx="888">
                  <c:v>1</c:v>
                </c:pt>
                <c:pt idx="889">
                  <c:v>1</c:v>
                </c:pt>
                <c:pt idx="890">
                  <c:v>0</c:v>
                </c:pt>
                <c:pt idx="891">
                  <c:v>2</c:v>
                </c:pt>
                <c:pt idx="892">
                  <c:v>1</c:v>
                </c:pt>
                <c:pt idx="893">
                  <c:v>1</c:v>
                </c:pt>
                <c:pt idx="894">
                  <c:v>2</c:v>
                </c:pt>
                <c:pt idx="895">
                  <c:v>0</c:v>
                </c:pt>
                <c:pt idx="896">
                  <c:v>4</c:v>
                </c:pt>
                <c:pt idx="897">
                  <c:v>0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2</c:v>
                </c:pt>
                <c:pt idx="903">
                  <c:v>1</c:v>
                </c:pt>
                <c:pt idx="904">
                  <c:v>0</c:v>
                </c:pt>
                <c:pt idx="905">
                  <c:v>3</c:v>
                </c:pt>
                <c:pt idx="906">
                  <c:v>1</c:v>
                </c:pt>
                <c:pt idx="907">
                  <c:v>0</c:v>
                </c:pt>
                <c:pt idx="908">
                  <c:v>1</c:v>
                </c:pt>
                <c:pt idx="909">
                  <c:v>1</c:v>
                </c:pt>
                <c:pt idx="910">
                  <c:v>2</c:v>
                </c:pt>
                <c:pt idx="911">
                  <c:v>2</c:v>
                </c:pt>
                <c:pt idx="912">
                  <c:v>4</c:v>
                </c:pt>
                <c:pt idx="913">
                  <c:v>1</c:v>
                </c:pt>
                <c:pt idx="914">
                  <c:v>1</c:v>
                </c:pt>
                <c:pt idx="915">
                  <c:v>2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3</c:v>
                </c:pt>
                <c:pt idx="920">
                  <c:v>2</c:v>
                </c:pt>
                <c:pt idx="921">
                  <c:v>2</c:v>
                </c:pt>
                <c:pt idx="922">
                  <c:v>1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1</c:v>
                </c:pt>
                <c:pt idx="927">
                  <c:v>1</c:v>
                </c:pt>
                <c:pt idx="928">
                  <c:v>0</c:v>
                </c:pt>
                <c:pt idx="929">
                  <c:v>1</c:v>
                </c:pt>
                <c:pt idx="930">
                  <c:v>3</c:v>
                </c:pt>
                <c:pt idx="931">
                  <c:v>1</c:v>
                </c:pt>
                <c:pt idx="932">
                  <c:v>1</c:v>
                </c:pt>
                <c:pt idx="933">
                  <c:v>3</c:v>
                </c:pt>
                <c:pt idx="934">
                  <c:v>0</c:v>
                </c:pt>
                <c:pt idx="935">
                  <c:v>1</c:v>
                </c:pt>
                <c:pt idx="936">
                  <c:v>3</c:v>
                </c:pt>
                <c:pt idx="937">
                  <c:v>3</c:v>
                </c:pt>
                <c:pt idx="938">
                  <c:v>0</c:v>
                </c:pt>
                <c:pt idx="939">
                  <c:v>0</c:v>
                </c:pt>
                <c:pt idx="940">
                  <c:v>1</c:v>
                </c:pt>
                <c:pt idx="941">
                  <c:v>0</c:v>
                </c:pt>
                <c:pt idx="942">
                  <c:v>1</c:v>
                </c:pt>
                <c:pt idx="943">
                  <c:v>0</c:v>
                </c:pt>
                <c:pt idx="944">
                  <c:v>1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1</c:v>
                </c:pt>
                <c:pt idx="949">
                  <c:v>1</c:v>
                </c:pt>
                <c:pt idx="950">
                  <c:v>0</c:v>
                </c:pt>
                <c:pt idx="951">
                  <c:v>4</c:v>
                </c:pt>
                <c:pt idx="952">
                  <c:v>1</c:v>
                </c:pt>
                <c:pt idx="953">
                  <c:v>5</c:v>
                </c:pt>
                <c:pt idx="954">
                  <c:v>2</c:v>
                </c:pt>
                <c:pt idx="955">
                  <c:v>0</c:v>
                </c:pt>
                <c:pt idx="956">
                  <c:v>0</c:v>
                </c:pt>
                <c:pt idx="957">
                  <c:v>1</c:v>
                </c:pt>
                <c:pt idx="958">
                  <c:v>1</c:v>
                </c:pt>
                <c:pt idx="959">
                  <c:v>3</c:v>
                </c:pt>
                <c:pt idx="960">
                  <c:v>0</c:v>
                </c:pt>
                <c:pt idx="961">
                  <c:v>1</c:v>
                </c:pt>
                <c:pt idx="962">
                  <c:v>4</c:v>
                </c:pt>
                <c:pt idx="963">
                  <c:v>1</c:v>
                </c:pt>
                <c:pt idx="964">
                  <c:v>0</c:v>
                </c:pt>
                <c:pt idx="965">
                  <c:v>0</c:v>
                </c:pt>
                <c:pt idx="966">
                  <c:v>1</c:v>
                </c:pt>
                <c:pt idx="967">
                  <c:v>0</c:v>
                </c:pt>
                <c:pt idx="968">
                  <c:v>1</c:v>
                </c:pt>
                <c:pt idx="969">
                  <c:v>2</c:v>
                </c:pt>
                <c:pt idx="970">
                  <c:v>0</c:v>
                </c:pt>
                <c:pt idx="971">
                  <c:v>2</c:v>
                </c:pt>
                <c:pt idx="972">
                  <c:v>2</c:v>
                </c:pt>
                <c:pt idx="973">
                  <c:v>0</c:v>
                </c:pt>
                <c:pt idx="974">
                  <c:v>1</c:v>
                </c:pt>
                <c:pt idx="975">
                  <c:v>3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0</c:v>
                </c:pt>
                <c:pt idx="980">
                  <c:v>0</c:v>
                </c:pt>
                <c:pt idx="981">
                  <c:v>1</c:v>
                </c:pt>
                <c:pt idx="982">
                  <c:v>2</c:v>
                </c:pt>
                <c:pt idx="983">
                  <c:v>0</c:v>
                </c:pt>
                <c:pt idx="984">
                  <c:v>2</c:v>
                </c:pt>
                <c:pt idx="985">
                  <c:v>1</c:v>
                </c:pt>
                <c:pt idx="986">
                  <c:v>1</c:v>
                </c:pt>
                <c:pt idx="987">
                  <c:v>0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0</c:v>
                </c:pt>
                <c:pt idx="992">
                  <c:v>0</c:v>
                </c:pt>
                <c:pt idx="993">
                  <c:v>3</c:v>
                </c:pt>
                <c:pt idx="994">
                  <c:v>1</c:v>
                </c:pt>
                <c:pt idx="995">
                  <c:v>1</c:v>
                </c:pt>
                <c:pt idx="996">
                  <c:v>2</c:v>
                </c:pt>
                <c:pt idx="997">
                  <c:v>3</c:v>
                </c:pt>
                <c:pt idx="998">
                  <c:v>0</c:v>
                </c:pt>
                <c:pt idx="999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'Annex D Resolution'!$N$1</c:f>
              <c:strCache>
                <c:ptCount val="1"/>
                <c:pt idx="0">
                  <c:v>Average</c:v>
                </c:pt>
              </c:strCache>
            </c:strRef>
          </c:tx>
          <c:spPr>
            <a:solidFill>
              <a:srgbClr val="ff420e"/>
            </a:solidFill>
            <a:ln w="28800">
              <a:noFill/>
            </a:ln>
          </c:spPr>
          <c:marker>
            <c:symbol val="diamond"/>
            <c:size val="2"/>
            <c:spPr>
              <a:solidFill>
                <a:srgbClr val="ff420e"/>
              </a:solidFill>
            </c:spPr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D Resolution'!$L$2:$L$1002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xVal>
          <c:yVal>
            <c:numRef>
              <c:f>'Annex D Resolution'!$N$2:$N$1002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8.125</c:v>
                </c:pt>
                <c:pt idx="97">
                  <c:v>14.75</c:v>
                </c:pt>
                <c:pt idx="98">
                  <c:v>21.125</c:v>
                </c:pt>
                <c:pt idx="99">
                  <c:v>28.25</c:v>
                </c:pt>
                <c:pt idx="100">
                  <c:v>36.5</c:v>
                </c:pt>
                <c:pt idx="101">
                  <c:v>44.125</c:v>
                </c:pt>
                <c:pt idx="102">
                  <c:v>52.75</c:v>
                </c:pt>
                <c:pt idx="103">
                  <c:v>60.375</c:v>
                </c:pt>
                <c:pt idx="104">
                  <c:v>61.625</c:v>
                </c:pt>
                <c:pt idx="105">
                  <c:v>62.125</c:v>
                </c:pt>
                <c:pt idx="106">
                  <c:v>64.25</c:v>
                </c:pt>
                <c:pt idx="107">
                  <c:v>65.75</c:v>
                </c:pt>
                <c:pt idx="108">
                  <c:v>64.125</c:v>
                </c:pt>
                <c:pt idx="109">
                  <c:v>63.5</c:v>
                </c:pt>
                <c:pt idx="110">
                  <c:v>62.875</c:v>
                </c:pt>
                <c:pt idx="111">
                  <c:v>63.125</c:v>
                </c:pt>
                <c:pt idx="112">
                  <c:v>60.5</c:v>
                </c:pt>
                <c:pt idx="113">
                  <c:v>60.625</c:v>
                </c:pt>
                <c:pt idx="114">
                  <c:v>60</c:v>
                </c:pt>
                <c:pt idx="115">
                  <c:v>60.875</c:v>
                </c:pt>
                <c:pt idx="116">
                  <c:v>61.125</c:v>
                </c:pt>
                <c:pt idx="117">
                  <c:v>62</c:v>
                </c:pt>
                <c:pt idx="118">
                  <c:v>60.875</c:v>
                </c:pt>
                <c:pt idx="119">
                  <c:v>60</c:v>
                </c:pt>
                <c:pt idx="120">
                  <c:v>62.375</c:v>
                </c:pt>
                <c:pt idx="121">
                  <c:v>64.375</c:v>
                </c:pt>
                <c:pt idx="122">
                  <c:v>64.875</c:v>
                </c:pt>
                <c:pt idx="123">
                  <c:v>63</c:v>
                </c:pt>
                <c:pt idx="124">
                  <c:v>62.75</c:v>
                </c:pt>
                <c:pt idx="125">
                  <c:v>62</c:v>
                </c:pt>
                <c:pt idx="126">
                  <c:v>63.75</c:v>
                </c:pt>
                <c:pt idx="127">
                  <c:v>62.375</c:v>
                </c:pt>
                <c:pt idx="128">
                  <c:v>60.5</c:v>
                </c:pt>
                <c:pt idx="129">
                  <c:v>58.75</c:v>
                </c:pt>
                <c:pt idx="130">
                  <c:v>57.25</c:v>
                </c:pt>
                <c:pt idx="131">
                  <c:v>58</c:v>
                </c:pt>
                <c:pt idx="132">
                  <c:v>59</c:v>
                </c:pt>
                <c:pt idx="133">
                  <c:v>60.875</c:v>
                </c:pt>
                <c:pt idx="134">
                  <c:v>59.75</c:v>
                </c:pt>
                <c:pt idx="135">
                  <c:v>60.5</c:v>
                </c:pt>
                <c:pt idx="136">
                  <c:v>62.25</c:v>
                </c:pt>
                <c:pt idx="137">
                  <c:v>61.25</c:v>
                </c:pt>
                <c:pt idx="138">
                  <c:v>63.75</c:v>
                </c:pt>
                <c:pt idx="139">
                  <c:v>63.75</c:v>
                </c:pt>
                <c:pt idx="140">
                  <c:v>64.5</c:v>
                </c:pt>
                <c:pt idx="141">
                  <c:v>63.875</c:v>
                </c:pt>
                <c:pt idx="142">
                  <c:v>66</c:v>
                </c:pt>
                <c:pt idx="143">
                  <c:v>67</c:v>
                </c:pt>
                <c:pt idx="144">
                  <c:v>65.125</c:v>
                </c:pt>
                <c:pt idx="145">
                  <c:v>67.5</c:v>
                </c:pt>
                <c:pt idx="146">
                  <c:v>65.625</c:v>
                </c:pt>
                <c:pt idx="147">
                  <c:v>66.75</c:v>
                </c:pt>
                <c:pt idx="148">
                  <c:v>67.875</c:v>
                </c:pt>
                <c:pt idx="149">
                  <c:v>68.375</c:v>
                </c:pt>
                <c:pt idx="150">
                  <c:v>68.625</c:v>
                </c:pt>
                <c:pt idx="151">
                  <c:v>72.5</c:v>
                </c:pt>
                <c:pt idx="152">
                  <c:v>76.75</c:v>
                </c:pt>
                <c:pt idx="153">
                  <c:v>78</c:v>
                </c:pt>
                <c:pt idx="154">
                  <c:v>80.875</c:v>
                </c:pt>
                <c:pt idx="155">
                  <c:v>83</c:v>
                </c:pt>
                <c:pt idx="156">
                  <c:v>84.25</c:v>
                </c:pt>
                <c:pt idx="157">
                  <c:v>88.625</c:v>
                </c:pt>
                <c:pt idx="158">
                  <c:v>92.125</c:v>
                </c:pt>
                <c:pt idx="159">
                  <c:v>92.625</c:v>
                </c:pt>
                <c:pt idx="160">
                  <c:v>95.5</c:v>
                </c:pt>
                <c:pt idx="161">
                  <c:v>103.125</c:v>
                </c:pt>
                <c:pt idx="162">
                  <c:v>107.75</c:v>
                </c:pt>
                <c:pt idx="163">
                  <c:v>111.75</c:v>
                </c:pt>
                <c:pt idx="164">
                  <c:v>118.25</c:v>
                </c:pt>
                <c:pt idx="165">
                  <c:v>121.125</c:v>
                </c:pt>
                <c:pt idx="166">
                  <c:v>127</c:v>
                </c:pt>
                <c:pt idx="167">
                  <c:v>135.25</c:v>
                </c:pt>
                <c:pt idx="168">
                  <c:v>146</c:v>
                </c:pt>
                <c:pt idx="169">
                  <c:v>150.875</c:v>
                </c:pt>
                <c:pt idx="170">
                  <c:v>164.875</c:v>
                </c:pt>
                <c:pt idx="171">
                  <c:v>174.375</c:v>
                </c:pt>
                <c:pt idx="172">
                  <c:v>188.875</c:v>
                </c:pt>
                <c:pt idx="173">
                  <c:v>208.5</c:v>
                </c:pt>
                <c:pt idx="174">
                  <c:v>227.75</c:v>
                </c:pt>
                <c:pt idx="175">
                  <c:v>245</c:v>
                </c:pt>
                <c:pt idx="176">
                  <c:v>262</c:v>
                </c:pt>
                <c:pt idx="177">
                  <c:v>287.5</c:v>
                </c:pt>
                <c:pt idx="178">
                  <c:v>306.875</c:v>
                </c:pt>
                <c:pt idx="179">
                  <c:v>329</c:v>
                </c:pt>
                <c:pt idx="180">
                  <c:v>352.5</c:v>
                </c:pt>
                <c:pt idx="181">
                  <c:v>372.625</c:v>
                </c:pt>
                <c:pt idx="182">
                  <c:v>399.625</c:v>
                </c:pt>
                <c:pt idx="183">
                  <c:v>432.5</c:v>
                </c:pt>
                <c:pt idx="184">
                  <c:v>463.5</c:v>
                </c:pt>
                <c:pt idx="185">
                  <c:v>500.25</c:v>
                </c:pt>
                <c:pt idx="186">
                  <c:v>535.75</c:v>
                </c:pt>
                <c:pt idx="187">
                  <c:v>583.25</c:v>
                </c:pt>
                <c:pt idx="188">
                  <c:v>622.75</c:v>
                </c:pt>
                <c:pt idx="189">
                  <c:v>674.25</c:v>
                </c:pt>
                <c:pt idx="190">
                  <c:v>720.75</c:v>
                </c:pt>
                <c:pt idx="191">
                  <c:v>768.75</c:v>
                </c:pt>
                <c:pt idx="192">
                  <c:v>821.5</c:v>
                </c:pt>
                <c:pt idx="193">
                  <c:v>879.25</c:v>
                </c:pt>
                <c:pt idx="194">
                  <c:v>935.375</c:v>
                </c:pt>
                <c:pt idx="195">
                  <c:v>994</c:v>
                </c:pt>
                <c:pt idx="196">
                  <c:v>1065</c:v>
                </c:pt>
                <c:pt idx="197">
                  <c:v>1130.125</c:v>
                </c:pt>
                <c:pt idx="198">
                  <c:v>1198.125</c:v>
                </c:pt>
                <c:pt idx="199">
                  <c:v>1264.5</c:v>
                </c:pt>
                <c:pt idx="200">
                  <c:v>1330.125</c:v>
                </c:pt>
                <c:pt idx="201">
                  <c:v>1382</c:v>
                </c:pt>
                <c:pt idx="202">
                  <c:v>1452.5</c:v>
                </c:pt>
                <c:pt idx="203">
                  <c:v>1510.25</c:v>
                </c:pt>
                <c:pt idx="204">
                  <c:v>1563.5</c:v>
                </c:pt>
                <c:pt idx="205">
                  <c:v>1619.625</c:v>
                </c:pt>
                <c:pt idx="206">
                  <c:v>1667.375</c:v>
                </c:pt>
                <c:pt idx="207">
                  <c:v>1715.25</c:v>
                </c:pt>
                <c:pt idx="208">
                  <c:v>1762.75</c:v>
                </c:pt>
                <c:pt idx="209">
                  <c:v>1804.5</c:v>
                </c:pt>
                <c:pt idx="210">
                  <c:v>1822.75</c:v>
                </c:pt>
                <c:pt idx="211">
                  <c:v>1850.75</c:v>
                </c:pt>
                <c:pt idx="212">
                  <c:v>1879.625</c:v>
                </c:pt>
                <c:pt idx="213">
                  <c:v>1888.875</c:v>
                </c:pt>
                <c:pt idx="214">
                  <c:v>1907.875</c:v>
                </c:pt>
                <c:pt idx="215">
                  <c:v>1921.625</c:v>
                </c:pt>
                <c:pt idx="216">
                  <c:v>1911.375</c:v>
                </c:pt>
                <c:pt idx="217">
                  <c:v>1920.125</c:v>
                </c:pt>
                <c:pt idx="218">
                  <c:v>1930.375</c:v>
                </c:pt>
                <c:pt idx="219">
                  <c:v>1929</c:v>
                </c:pt>
                <c:pt idx="220">
                  <c:v>1905</c:v>
                </c:pt>
                <c:pt idx="221">
                  <c:v>1899.25</c:v>
                </c:pt>
                <c:pt idx="222">
                  <c:v>1883.375</c:v>
                </c:pt>
                <c:pt idx="223">
                  <c:v>1856.875</c:v>
                </c:pt>
                <c:pt idx="224">
                  <c:v>1846.5</c:v>
                </c:pt>
                <c:pt idx="225">
                  <c:v>1809.75</c:v>
                </c:pt>
                <c:pt idx="226">
                  <c:v>1774.25</c:v>
                </c:pt>
                <c:pt idx="227">
                  <c:v>1721.625</c:v>
                </c:pt>
                <c:pt idx="228">
                  <c:v>1685.375</c:v>
                </c:pt>
                <c:pt idx="229">
                  <c:v>1629.625</c:v>
                </c:pt>
                <c:pt idx="230">
                  <c:v>1575.5</c:v>
                </c:pt>
                <c:pt idx="231">
                  <c:v>1519.5</c:v>
                </c:pt>
                <c:pt idx="232">
                  <c:v>1459.875</c:v>
                </c:pt>
                <c:pt idx="233">
                  <c:v>1410</c:v>
                </c:pt>
                <c:pt idx="234">
                  <c:v>1354.375</c:v>
                </c:pt>
                <c:pt idx="235">
                  <c:v>1311.125</c:v>
                </c:pt>
                <c:pt idx="236">
                  <c:v>1260</c:v>
                </c:pt>
                <c:pt idx="237">
                  <c:v>1215.75</c:v>
                </c:pt>
                <c:pt idx="238">
                  <c:v>1162.625</c:v>
                </c:pt>
                <c:pt idx="239">
                  <c:v>1118.625</c:v>
                </c:pt>
                <c:pt idx="240">
                  <c:v>1071.375</c:v>
                </c:pt>
                <c:pt idx="241">
                  <c:v>1019.875</c:v>
                </c:pt>
                <c:pt idx="242">
                  <c:v>970.625</c:v>
                </c:pt>
                <c:pt idx="243">
                  <c:v>916.75</c:v>
                </c:pt>
                <c:pt idx="244">
                  <c:v>861.875</c:v>
                </c:pt>
                <c:pt idx="245">
                  <c:v>815.125</c:v>
                </c:pt>
                <c:pt idx="246">
                  <c:v>771.375</c:v>
                </c:pt>
                <c:pt idx="247">
                  <c:v>725.625</c:v>
                </c:pt>
                <c:pt idx="248">
                  <c:v>682.5</c:v>
                </c:pt>
                <c:pt idx="249">
                  <c:v>641.5</c:v>
                </c:pt>
                <c:pt idx="250">
                  <c:v>603</c:v>
                </c:pt>
                <c:pt idx="251">
                  <c:v>572.75</c:v>
                </c:pt>
                <c:pt idx="252">
                  <c:v>543.25</c:v>
                </c:pt>
                <c:pt idx="253">
                  <c:v>502.25</c:v>
                </c:pt>
                <c:pt idx="254">
                  <c:v>468.25</c:v>
                </c:pt>
                <c:pt idx="255">
                  <c:v>438</c:v>
                </c:pt>
                <c:pt idx="256">
                  <c:v>410</c:v>
                </c:pt>
                <c:pt idx="257">
                  <c:v>381.375</c:v>
                </c:pt>
                <c:pt idx="258">
                  <c:v>355.75</c:v>
                </c:pt>
                <c:pt idx="259">
                  <c:v>327.5</c:v>
                </c:pt>
                <c:pt idx="260">
                  <c:v>302.75</c:v>
                </c:pt>
                <c:pt idx="261">
                  <c:v>284</c:v>
                </c:pt>
                <c:pt idx="262">
                  <c:v>259.5</c:v>
                </c:pt>
                <c:pt idx="263">
                  <c:v>238.125</c:v>
                </c:pt>
                <c:pt idx="264">
                  <c:v>219.125</c:v>
                </c:pt>
                <c:pt idx="265">
                  <c:v>195.875</c:v>
                </c:pt>
                <c:pt idx="266">
                  <c:v>178.75</c:v>
                </c:pt>
                <c:pt idx="267">
                  <c:v>166.875</c:v>
                </c:pt>
                <c:pt idx="268">
                  <c:v>153</c:v>
                </c:pt>
                <c:pt idx="269">
                  <c:v>141.625</c:v>
                </c:pt>
                <c:pt idx="270">
                  <c:v>133.25</c:v>
                </c:pt>
                <c:pt idx="271">
                  <c:v>125.375</c:v>
                </c:pt>
                <c:pt idx="272">
                  <c:v>113.125</c:v>
                </c:pt>
                <c:pt idx="273">
                  <c:v>106.5</c:v>
                </c:pt>
                <c:pt idx="274">
                  <c:v>98.5</c:v>
                </c:pt>
                <c:pt idx="275">
                  <c:v>91.625</c:v>
                </c:pt>
                <c:pt idx="276">
                  <c:v>86.625</c:v>
                </c:pt>
                <c:pt idx="277">
                  <c:v>79.75</c:v>
                </c:pt>
                <c:pt idx="278">
                  <c:v>72.875</c:v>
                </c:pt>
                <c:pt idx="279">
                  <c:v>65.375</c:v>
                </c:pt>
                <c:pt idx="280">
                  <c:v>62.25</c:v>
                </c:pt>
                <c:pt idx="281">
                  <c:v>60.5</c:v>
                </c:pt>
                <c:pt idx="282">
                  <c:v>56.375</c:v>
                </c:pt>
                <c:pt idx="283">
                  <c:v>50.625</c:v>
                </c:pt>
                <c:pt idx="284">
                  <c:v>48.875</c:v>
                </c:pt>
                <c:pt idx="285">
                  <c:v>47</c:v>
                </c:pt>
                <c:pt idx="286">
                  <c:v>45</c:v>
                </c:pt>
                <c:pt idx="287">
                  <c:v>43</c:v>
                </c:pt>
                <c:pt idx="288">
                  <c:v>41.375</c:v>
                </c:pt>
                <c:pt idx="289">
                  <c:v>39.375</c:v>
                </c:pt>
                <c:pt idx="290">
                  <c:v>38.625</c:v>
                </c:pt>
                <c:pt idx="291">
                  <c:v>38.75</c:v>
                </c:pt>
                <c:pt idx="292">
                  <c:v>35.875</c:v>
                </c:pt>
                <c:pt idx="293">
                  <c:v>33.125</c:v>
                </c:pt>
                <c:pt idx="294">
                  <c:v>32.125</c:v>
                </c:pt>
                <c:pt idx="295">
                  <c:v>31.125</c:v>
                </c:pt>
                <c:pt idx="296">
                  <c:v>30.625</c:v>
                </c:pt>
                <c:pt idx="297">
                  <c:v>29.25</c:v>
                </c:pt>
                <c:pt idx="298">
                  <c:v>27.75</c:v>
                </c:pt>
                <c:pt idx="299">
                  <c:v>27.125</c:v>
                </c:pt>
                <c:pt idx="300">
                  <c:v>26.875</c:v>
                </c:pt>
                <c:pt idx="301">
                  <c:v>29.375</c:v>
                </c:pt>
                <c:pt idx="302">
                  <c:v>29.75</c:v>
                </c:pt>
                <c:pt idx="303">
                  <c:v>29.875</c:v>
                </c:pt>
                <c:pt idx="304">
                  <c:v>28.875</c:v>
                </c:pt>
                <c:pt idx="305">
                  <c:v>28.875</c:v>
                </c:pt>
                <c:pt idx="306">
                  <c:v>28.5</c:v>
                </c:pt>
                <c:pt idx="307">
                  <c:v>27.75</c:v>
                </c:pt>
                <c:pt idx="308">
                  <c:v>27</c:v>
                </c:pt>
                <c:pt idx="309">
                  <c:v>24.75</c:v>
                </c:pt>
                <c:pt idx="310">
                  <c:v>23.875</c:v>
                </c:pt>
                <c:pt idx="311">
                  <c:v>24.5</c:v>
                </c:pt>
                <c:pt idx="312">
                  <c:v>24.75</c:v>
                </c:pt>
                <c:pt idx="313">
                  <c:v>25</c:v>
                </c:pt>
                <c:pt idx="314">
                  <c:v>25.625</c:v>
                </c:pt>
                <c:pt idx="315">
                  <c:v>24.5</c:v>
                </c:pt>
                <c:pt idx="316">
                  <c:v>24.875</c:v>
                </c:pt>
                <c:pt idx="317">
                  <c:v>26.125</c:v>
                </c:pt>
                <c:pt idx="318">
                  <c:v>25.875</c:v>
                </c:pt>
                <c:pt idx="319">
                  <c:v>23.5</c:v>
                </c:pt>
                <c:pt idx="320">
                  <c:v>24</c:v>
                </c:pt>
                <c:pt idx="321">
                  <c:v>24.875</c:v>
                </c:pt>
                <c:pt idx="322">
                  <c:v>25.625</c:v>
                </c:pt>
                <c:pt idx="323">
                  <c:v>25.625</c:v>
                </c:pt>
                <c:pt idx="324">
                  <c:v>26.125</c:v>
                </c:pt>
                <c:pt idx="325">
                  <c:v>24.625</c:v>
                </c:pt>
                <c:pt idx="326">
                  <c:v>24.875</c:v>
                </c:pt>
                <c:pt idx="327">
                  <c:v>25</c:v>
                </c:pt>
                <c:pt idx="328">
                  <c:v>24.375</c:v>
                </c:pt>
                <c:pt idx="329">
                  <c:v>25.75</c:v>
                </c:pt>
                <c:pt idx="330">
                  <c:v>25.75</c:v>
                </c:pt>
                <c:pt idx="331">
                  <c:v>25.625</c:v>
                </c:pt>
                <c:pt idx="332">
                  <c:v>25.25</c:v>
                </c:pt>
                <c:pt idx="333">
                  <c:v>25.75</c:v>
                </c:pt>
                <c:pt idx="334">
                  <c:v>26</c:v>
                </c:pt>
                <c:pt idx="335">
                  <c:v>27.625</c:v>
                </c:pt>
                <c:pt idx="336">
                  <c:v>27.375</c:v>
                </c:pt>
                <c:pt idx="337">
                  <c:v>28.125</c:v>
                </c:pt>
                <c:pt idx="338">
                  <c:v>26.875</c:v>
                </c:pt>
                <c:pt idx="339">
                  <c:v>29</c:v>
                </c:pt>
                <c:pt idx="340">
                  <c:v>29.625</c:v>
                </c:pt>
                <c:pt idx="341">
                  <c:v>30.375</c:v>
                </c:pt>
                <c:pt idx="342">
                  <c:v>32</c:v>
                </c:pt>
                <c:pt idx="343">
                  <c:v>32.5</c:v>
                </c:pt>
                <c:pt idx="344">
                  <c:v>33</c:v>
                </c:pt>
                <c:pt idx="345">
                  <c:v>33.625</c:v>
                </c:pt>
                <c:pt idx="346">
                  <c:v>35.375</c:v>
                </c:pt>
                <c:pt idx="347">
                  <c:v>35</c:v>
                </c:pt>
                <c:pt idx="348">
                  <c:v>36.125</c:v>
                </c:pt>
                <c:pt idx="349">
                  <c:v>37</c:v>
                </c:pt>
                <c:pt idx="350">
                  <c:v>38.125</c:v>
                </c:pt>
                <c:pt idx="351">
                  <c:v>38.375</c:v>
                </c:pt>
                <c:pt idx="352">
                  <c:v>40.625</c:v>
                </c:pt>
                <c:pt idx="353">
                  <c:v>39.875</c:v>
                </c:pt>
                <c:pt idx="354">
                  <c:v>40.625</c:v>
                </c:pt>
                <c:pt idx="355">
                  <c:v>42.125</c:v>
                </c:pt>
                <c:pt idx="356">
                  <c:v>43.125</c:v>
                </c:pt>
                <c:pt idx="357">
                  <c:v>44.125</c:v>
                </c:pt>
                <c:pt idx="358">
                  <c:v>45.5</c:v>
                </c:pt>
                <c:pt idx="359">
                  <c:v>46</c:v>
                </c:pt>
                <c:pt idx="360">
                  <c:v>44.75</c:v>
                </c:pt>
                <c:pt idx="361">
                  <c:v>44.625</c:v>
                </c:pt>
                <c:pt idx="362">
                  <c:v>46.25</c:v>
                </c:pt>
                <c:pt idx="363">
                  <c:v>47.375</c:v>
                </c:pt>
                <c:pt idx="364">
                  <c:v>47.5</c:v>
                </c:pt>
                <c:pt idx="365">
                  <c:v>48.75</c:v>
                </c:pt>
                <c:pt idx="366">
                  <c:v>47.75</c:v>
                </c:pt>
                <c:pt idx="367">
                  <c:v>48.875</c:v>
                </c:pt>
                <c:pt idx="368">
                  <c:v>50.625</c:v>
                </c:pt>
                <c:pt idx="369">
                  <c:v>52.875</c:v>
                </c:pt>
                <c:pt idx="370">
                  <c:v>52.75</c:v>
                </c:pt>
                <c:pt idx="371">
                  <c:v>51.25</c:v>
                </c:pt>
                <c:pt idx="372">
                  <c:v>51.5</c:v>
                </c:pt>
                <c:pt idx="373">
                  <c:v>49.625</c:v>
                </c:pt>
                <c:pt idx="374">
                  <c:v>50.875</c:v>
                </c:pt>
                <c:pt idx="375">
                  <c:v>50.875</c:v>
                </c:pt>
                <c:pt idx="376">
                  <c:v>52</c:v>
                </c:pt>
                <c:pt idx="377">
                  <c:v>53</c:v>
                </c:pt>
                <c:pt idx="378">
                  <c:v>54.125</c:v>
                </c:pt>
                <c:pt idx="379">
                  <c:v>56.125</c:v>
                </c:pt>
                <c:pt idx="380">
                  <c:v>54.875</c:v>
                </c:pt>
                <c:pt idx="381">
                  <c:v>57</c:v>
                </c:pt>
                <c:pt idx="382">
                  <c:v>57.625</c:v>
                </c:pt>
                <c:pt idx="383">
                  <c:v>58.5</c:v>
                </c:pt>
                <c:pt idx="384">
                  <c:v>58</c:v>
                </c:pt>
                <c:pt idx="385">
                  <c:v>57.25</c:v>
                </c:pt>
                <c:pt idx="386">
                  <c:v>57.375</c:v>
                </c:pt>
                <c:pt idx="387">
                  <c:v>56.125</c:v>
                </c:pt>
                <c:pt idx="388">
                  <c:v>56.25</c:v>
                </c:pt>
                <c:pt idx="389">
                  <c:v>57.75</c:v>
                </c:pt>
                <c:pt idx="390">
                  <c:v>57.875</c:v>
                </c:pt>
                <c:pt idx="391">
                  <c:v>59.625</c:v>
                </c:pt>
                <c:pt idx="392">
                  <c:v>60.25</c:v>
                </c:pt>
                <c:pt idx="393">
                  <c:v>59.5</c:v>
                </c:pt>
                <c:pt idx="394">
                  <c:v>57.75</c:v>
                </c:pt>
                <c:pt idx="395">
                  <c:v>58.25</c:v>
                </c:pt>
                <c:pt idx="396">
                  <c:v>58.5</c:v>
                </c:pt>
                <c:pt idx="397">
                  <c:v>57.625</c:v>
                </c:pt>
                <c:pt idx="398">
                  <c:v>57.375</c:v>
                </c:pt>
                <c:pt idx="399">
                  <c:v>55.5</c:v>
                </c:pt>
                <c:pt idx="400">
                  <c:v>55.125</c:v>
                </c:pt>
                <c:pt idx="401">
                  <c:v>56</c:v>
                </c:pt>
                <c:pt idx="402">
                  <c:v>57.25</c:v>
                </c:pt>
                <c:pt idx="403">
                  <c:v>57</c:v>
                </c:pt>
                <c:pt idx="404">
                  <c:v>58.625</c:v>
                </c:pt>
                <c:pt idx="405">
                  <c:v>57.375</c:v>
                </c:pt>
                <c:pt idx="406">
                  <c:v>56.5</c:v>
                </c:pt>
                <c:pt idx="407">
                  <c:v>55.75</c:v>
                </c:pt>
                <c:pt idx="408">
                  <c:v>55.5</c:v>
                </c:pt>
                <c:pt idx="409">
                  <c:v>52.625</c:v>
                </c:pt>
                <c:pt idx="410">
                  <c:v>52.375</c:v>
                </c:pt>
                <c:pt idx="411">
                  <c:v>52.75</c:v>
                </c:pt>
                <c:pt idx="412">
                  <c:v>52.5</c:v>
                </c:pt>
                <c:pt idx="413">
                  <c:v>54.25</c:v>
                </c:pt>
                <c:pt idx="414">
                  <c:v>55.125</c:v>
                </c:pt>
                <c:pt idx="415">
                  <c:v>56.125</c:v>
                </c:pt>
                <c:pt idx="416">
                  <c:v>55.125</c:v>
                </c:pt>
                <c:pt idx="417">
                  <c:v>56.625</c:v>
                </c:pt>
                <c:pt idx="418">
                  <c:v>55</c:v>
                </c:pt>
                <c:pt idx="419">
                  <c:v>52.75</c:v>
                </c:pt>
                <c:pt idx="420">
                  <c:v>52.375</c:v>
                </c:pt>
                <c:pt idx="421">
                  <c:v>50.125</c:v>
                </c:pt>
                <c:pt idx="422">
                  <c:v>47.75</c:v>
                </c:pt>
                <c:pt idx="423">
                  <c:v>45.125</c:v>
                </c:pt>
                <c:pt idx="424">
                  <c:v>45.375</c:v>
                </c:pt>
                <c:pt idx="425">
                  <c:v>43.125</c:v>
                </c:pt>
                <c:pt idx="426">
                  <c:v>42.75</c:v>
                </c:pt>
                <c:pt idx="427">
                  <c:v>43.125</c:v>
                </c:pt>
                <c:pt idx="428">
                  <c:v>42</c:v>
                </c:pt>
                <c:pt idx="429">
                  <c:v>41.375</c:v>
                </c:pt>
                <c:pt idx="430">
                  <c:v>41.25</c:v>
                </c:pt>
                <c:pt idx="431">
                  <c:v>42</c:v>
                </c:pt>
                <c:pt idx="432">
                  <c:v>44.25</c:v>
                </c:pt>
                <c:pt idx="433">
                  <c:v>45.75</c:v>
                </c:pt>
                <c:pt idx="434">
                  <c:v>44.875</c:v>
                </c:pt>
                <c:pt idx="435">
                  <c:v>44.375</c:v>
                </c:pt>
                <c:pt idx="436">
                  <c:v>43.25</c:v>
                </c:pt>
                <c:pt idx="437">
                  <c:v>42.25</c:v>
                </c:pt>
                <c:pt idx="438">
                  <c:v>41.25</c:v>
                </c:pt>
                <c:pt idx="439">
                  <c:v>40</c:v>
                </c:pt>
                <c:pt idx="440">
                  <c:v>36.75</c:v>
                </c:pt>
                <c:pt idx="441">
                  <c:v>35</c:v>
                </c:pt>
                <c:pt idx="442">
                  <c:v>32.875</c:v>
                </c:pt>
                <c:pt idx="443">
                  <c:v>32</c:v>
                </c:pt>
                <c:pt idx="444">
                  <c:v>31</c:v>
                </c:pt>
                <c:pt idx="445">
                  <c:v>30</c:v>
                </c:pt>
                <c:pt idx="446">
                  <c:v>28.625</c:v>
                </c:pt>
                <c:pt idx="447">
                  <c:v>28</c:v>
                </c:pt>
                <c:pt idx="448">
                  <c:v>26</c:v>
                </c:pt>
                <c:pt idx="449">
                  <c:v>25.625</c:v>
                </c:pt>
                <c:pt idx="450">
                  <c:v>25.875</c:v>
                </c:pt>
                <c:pt idx="451">
                  <c:v>25.5</c:v>
                </c:pt>
                <c:pt idx="452">
                  <c:v>25.75</c:v>
                </c:pt>
                <c:pt idx="453">
                  <c:v>25.75</c:v>
                </c:pt>
                <c:pt idx="454">
                  <c:v>24.875</c:v>
                </c:pt>
                <c:pt idx="455">
                  <c:v>24.75</c:v>
                </c:pt>
                <c:pt idx="456">
                  <c:v>24.75</c:v>
                </c:pt>
                <c:pt idx="457">
                  <c:v>24.25</c:v>
                </c:pt>
                <c:pt idx="458">
                  <c:v>24.625</c:v>
                </c:pt>
                <c:pt idx="459">
                  <c:v>23.5</c:v>
                </c:pt>
                <c:pt idx="460">
                  <c:v>22.25</c:v>
                </c:pt>
                <c:pt idx="461">
                  <c:v>20.875</c:v>
                </c:pt>
                <c:pt idx="462">
                  <c:v>21.375</c:v>
                </c:pt>
                <c:pt idx="463">
                  <c:v>19.75</c:v>
                </c:pt>
                <c:pt idx="464">
                  <c:v>20</c:v>
                </c:pt>
                <c:pt idx="465">
                  <c:v>19.125</c:v>
                </c:pt>
                <c:pt idx="466">
                  <c:v>18.625</c:v>
                </c:pt>
                <c:pt idx="467">
                  <c:v>18</c:v>
                </c:pt>
                <c:pt idx="468">
                  <c:v>17.875</c:v>
                </c:pt>
                <c:pt idx="469">
                  <c:v>18</c:v>
                </c:pt>
                <c:pt idx="470">
                  <c:v>17</c:v>
                </c:pt>
                <c:pt idx="471">
                  <c:v>16.875</c:v>
                </c:pt>
                <c:pt idx="472">
                  <c:v>15.25</c:v>
                </c:pt>
                <c:pt idx="473">
                  <c:v>14.875</c:v>
                </c:pt>
                <c:pt idx="474">
                  <c:v>13.75</c:v>
                </c:pt>
                <c:pt idx="475">
                  <c:v>14.125</c:v>
                </c:pt>
                <c:pt idx="476">
                  <c:v>13</c:v>
                </c:pt>
                <c:pt idx="477">
                  <c:v>12.25</c:v>
                </c:pt>
                <c:pt idx="478">
                  <c:v>12.375</c:v>
                </c:pt>
                <c:pt idx="479">
                  <c:v>11.875</c:v>
                </c:pt>
                <c:pt idx="480">
                  <c:v>11.375</c:v>
                </c:pt>
                <c:pt idx="481">
                  <c:v>10.875</c:v>
                </c:pt>
                <c:pt idx="482">
                  <c:v>10.625</c:v>
                </c:pt>
                <c:pt idx="483">
                  <c:v>10.75</c:v>
                </c:pt>
                <c:pt idx="484">
                  <c:v>10.25</c:v>
                </c:pt>
                <c:pt idx="485">
                  <c:v>9.5</c:v>
                </c:pt>
                <c:pt idx="486">
                  <c:v>8.875</c:v>
                </c:pt>
                <c:pt idx="487">
                  <c:v>8.625</c:v>
                </c:pt>
                <c:pt idx="488">
                  <c:v>8.5</c:v>
                </c:pt>
                <c:pt idx="489">
                  <c:v>8.125</c:v>
                </c:pt>
                <c:pt idx="490">
                  <c:v>7.875</c:v>
                </c:pt>
                <c:pt idx="491">
                  <c:v>7.375</c:v>
                </c:pt>
                <c:pt idx="492">
                  <c:v>8</c:v>
                </c:pt>
                <c:pt idx="493">
                  <c:v>8.125</c:v>
                </c:pt>
                <c:pt idx="494">
                  <c:v>7.375</c:v>
                </c:pt>
                <c:pt idx="495">
                  <c:v>7</c:v>
                </c:pt>
                <c:pt idx="496">
                  <c:v>7.25</c:v>
                </c:pt>
                <c:pt idx="497">
                  <c:v>6.75</c:v>
                </c:pt>
                <c:pt idx="498">
                  <c:v>6.625</c:v>
                </c:pt>
                <c:pt idx="499">
                  <c:v>6.25</c:v>
                </c:pt>
                <c:pt idx="500">
                  <c:v>6.25</c:v>
                </c:pt>
                <c:pt idx="501">
                  <c:v>5.625</c:v>
                </c:pt>
                <c:pt idx="502">
                  <c:v>5.875</c:v>
                </c:pt>
                <c:pt idx="503">
                  <c:v>5.5</c:v>
                </c:pt>
                <c:pt idx="504">
                  <c:v>5</c:v>
                </c:pt>
                <c:pt idx="505">
                  <c:v>4.875</c:v>
                </c:pt>
                <c:pt idx="506">
                  <c:v>4.5</c:v>
                </c:pt>
                <c:pt idx="507">
                  <c:v>3.875</c:v>
                </c:pt>
                <c:pt idx="508">
                  <c:v>3.625</c:v>
                </c:pt>
                <c:pt idx="509">
                  <c:v>3.625</c:v>
                </c:pt>
                <c:pt idx="510">
                  <c:v>3.625</c:v>
                </c:pt>
                <c:pt idx="511">
                  <c:v>3.875</c:v>
                </c:pt>
                <c:pt idx="512">
                  <c:v>3.875</c:v>
                </c:pt>
                <c:pt idx="513">
                  <c:v>4</c:v>
                </c:pt>
                <c:pt idx="514">
                  <c:v>4.75</c:v>
                </c:pt>
                <c:pt idx="515">
                  <c:v>4.875</c:v>
                </c:pt>
                <c:pt idx="516">
                  <c:v>4.125</c:v>
                </c:pt>
                <c:pt idx="517">
                  <c:v>4.25</c:v>
                </c:pt>
                <c:pt idx="518">
                  <c:v>4.125</c:v>
                </c:pt>
                <c:pt idx="519">
                  <c:v>4.625</c:v>
                </c:pt>
                <c:pt idx="520">
                  <c:v>5</c:v>
                </c:pt>
                <c:pt idx="521">
                  <c:v>5</c:v>
                </c:pt>
                <c:pt idx="522">
                  <c:v>4.5</c:v>
                </c:pt>
                <c:pt idx="523">
                  <c:v>4.125</c:v>
                </c:pt>
                <c:pt idx="524">
                  <c:v>4.625</c:v>
                </c:pt>
                <c:pt idx="525">
                  <c:v>4.625</c:v>
                </c:pt>
                <c:pt idx="526">
                  <c:v>4.75</c:v>
                </c:pt>
                <c:pt idx="527">
                  <c:v>4.25</c:v>
                </c:pt>
                <c:pt idx="528">
                  <c:v>3.5</c:v>
                </c:pt>
                <c:pt idx="529">
                  <c:v>3.25</c:v>
                </c:pt>
                <c:pt idx="530">
                  <c:v>3</c:v>
                </c:pt>
                <c:pt idx="531">
                  <c:v>3.375</c:v>
                </c:pt>
                <c:pt idx="532">
                  <c:v>3.125</c:v>
                </c:pt>
                <c:pt idx="533">
                  <c:v>3.125</c:v>
                </c:pt>
                <c:pt idx="534">
                  <c:v>3.375</c:v>
                </c:pt>
                <c:pt idx="535">
                  <c:v>3.625</c:v>
                </c:pt>
                <c:pt idx="536">
                  <c:v>4</c:v>
                </c:pt>
                <c:pt idx="537">
                  <c:v>4.125</c:v>
                </c:pt>
                <c:pt idx="538">
                  <c:v>4.375</c:v>
                </c:pt>
                <c:pt idx="539">
                  <c:v>4.25</c:v>
                </c:pt>
                <c:pt idx="540">
                  <c:v>3.875</c:v>
                </c:pt>
                <c:pt idx="541">
                  <c:v>4.125</c:v>
                </c:pt>
                <c:pt idx="542">
                  <c:v>3.75</c:v>
                </c:pt>
                <c:pt idx="543">
                  <c:v>3.125</c:v>
                </c:pt>
                <c:pt idx="544">
                  <c:v>2.75</c:v>
                </c:pt>
                <c:pt idx="545">
                  <c:v>2.875</c:v>
                </c:pt>
                <c:pt idx="546">
                  <c:v>2.625</c:v>
                </c:pt>
                <c:pt idx="547">
                  <c:v>2.5</c:v>
                </c:pt>
                <c:pt idx="548">
                  <c:v>2.875</c:v>
                </c:pt>
                <c:pt idx="549">
                  <c:v>2.625</c:v>
                </c:pt>
                <c:pt idx="550">
                  <c:v>2.625</c:v>
                </c:pt>
                <c:pt idx="551">
                  <c:v>2.625</c:v>
                </c:pt>
                <c:pt idx="552">
                  <c:v>2.75</c:v>
                </c:pt>
                <c:pt idx="553">
                  <c:v>2.375</c:v>
                </c:pt>
                <c:pt idx="554">
                  <c:v>2.75</c:v>
                </c:pt>
                <c:pt idx="555">
                  <c:v>2.875</c:v>
                </c:pt>
                <c:pt idx="556">
                  <c:v>2.75</c:v>
                </c:pt>
                <c:pt idx="557">
                  <c:v>2.375</c:v>
                </c:pt>
                <c:pt idx="558">
                  <c:v>2</c:v>
                </c:pt>
                <c:pt idx="559">
                  <c:v>2.125</c:v>
                </c:pt>
                <c:pt idx="560">
                  <c:v>2.625</c:v>
                </c:pt>
                <c:pt idx="561">
                  <c:v>2.75</c:v>
                </c:pt>
                <c:pt idx="562">
                  <c:v>2.5</c:v>
                </c:pt>
                <c:pt idx="563">
                  <c:v>2.75</c:v>
                </c:pt>
                <c:pt idx="564">
                  <c:v>3</c:v>
                </c:pt>
                <c:pt idx="565">
                  <c:v>3</c:v>
                </c:pt>
                <c:pt idx="566">
                  <c:v>3.5</c:v>
                </c:pt>
                <c:pt idx="567">
                  <c:v>3.875</c:v>
                </c:pt>
                <c:pt idx="568">
                  <c:v>3.375</c:v>
                </c:pt>
                <c:pt idx="569">
                  <c:v>3.5</c:v>
                </c:pt>
                <c:pt idx="570">
                  <c:v>3.5</c:v>
                </c:pt>
                <c:pt idx="571">
                  <c:v>3.125</c:v>
                </c:pt>
                <c:pt idx="572">
                  <c:v>2.875</c:v>
                </c:pt>
                <c:pt idx="573">
                  <c:v>2.875</c:v>
                </c:pt>
                <c:pt idx="574">
                  <c:v>2.625</c:v>
                </c:pt>
                <c:pt idx="575">
                  <c:v>2.5</c:v>
                </c:pt>
                <c:pt idx="576">
                  <c:v>2.625</c:v>
                </c:pt>
                <c:pt idx="577">
                  <c:v>2.625</c:v>
                </c:pt>
                <c:pt idx="578">
                  <c:v>2.875</c:v>
                </c:pt>
                <c:pt idx="579">
                  <c:v>3.25</c:v>
                </c:pt>
                <c:pt idx="580">
                  <c:v>3.5</c:v>
                </c:pt>
                <c:pt idx="581">
                  <c:v>3.625</c:v>
                </c:pt>
                <c:pt idx="582">
                  <c:v>4.375</c:v>
                </c:pt>
                <c:pt idx="583">
                  <c:v>4.25</c:v>
                </c:pt>
                <c:pt idx="584">
                  <c:v>4.25</c:v>
                </c:pt>
                <c:pt idx="585">
                  <c:v>4.5</c:v>
                </c:pt>
                <c:pt idx="586">
                  <c:v>3.875</c:v>
                </c:pt>
                <c:pt idx="587">
                  <c:v>3.25</c:v>
                </c:pt>
                <c:pt idx="588">
                  <c:v>3.5</c:v>
                </c:pt>
                <c:pt idx="589">
                  <c:v>3.75</c:v>
                </c:pt>
                <c:pt idx="590">
                  <c:v>3.125</c:v>
                </c:pt>
                <c:pt idx="591">
                  <c:v>3.375</c:v>
                </c:pt>
                <c:pt idx="592">
                  <c:v>3.75</c:v>
                </c:pt>
                <c:pt idx="593">
                  <c:v>3.5</c:v>
                </c:pt>
                <c:pt idx="594">
                  <c:v>3.875</c:v>
                </c:pt>
                <c:pt idx="595">
                  <c:v>4.75</c:v>
                </c:pt>
                <c:pt idx="596">
                  <c:v>4.125</c:v>
                </c:pt>
                <c:pt idx="597">
                  <c:v>4.375</c:v>
                </c:pt>
                <c:pt idx="598">
                  <c:v>4.5</c:v>
                </c:pt>
                <c:pt idx="599">
                  <c:v>3.875</c:v>
                </c:pt>
                <c:pt idx="600">
                  <c:v>3.5</c:v>
                </c:pt>
                <c:pt idx="601">
                  <c:v>3.5</c:v>
                </c:pt>
                <c:pt idx="602">
                  <c:v>3.5</c:v>
                </c:pt>
                <c:pt idx="603">
                  <c:v>3.25</c:v>
                </c:pt>
                <c:pt idx="604">
                  <c:v>3.125</c:v>
                </c:pt>
                <c:pt idx="605">
                  <c:v>2.5</c:v>
                </c:pt>
                <c:pt idx="606">
                  <c:v>2.375</c:v>
                </c:pt>
                <c:pt idx="607">
                  <c:v>2.375</c:v>
                </c:pt>
                <c:pt idx="608">
                  <c:v>3</c:v>
                </c:pt>
                <c:pt idx="609">
                  <c:v>3</c:v>
                </c:pt>
                <c:pt idx="610">
                  <c:v>3.375</c:v>
                </c:pt>
                <c:pt idx="611">
                  <c:v>2.875</c:v>
                </c:pt>
                <c:pt idx="612">
                  <c:v>3</c:v>
                </c:pt>
                <c:pt idx="613">
                  <c:v>3.125</c:v>
                </c:pt>
                <c:pt idx="614">
                  <c:v>3.5</c:v>
                </c:pt>
                <c:pt idx="615">
                  <c:v>3.625</c:v>
                </c:pt>
                <c:pt idx="616">
                  <c:v>2.875</c:v>
                </c:pt>
                <c:pt idx="617">
                  <c:v>2.625</c:v>
                </c:pt>
                <c:pt idx="618">
                  <c:v>2.125</c:v>
                </c:pt>
                <c:pt idx="619">
                  <c:v>2.5</c:v>
                </c:pt>
                <c:pt idx="620">
                  <c:v>2.5</c:v>
                </c:pt>
                <c:pt idx="621">
                  <c:v>2.875</c:v>
                </c:pt>
                <c:pt idx="622">
                  <c:v>2.625</c:v>
                </c:pt>
                <c:pt idx="623">
                  <c:v>3.625</c:v>
                </c:pt>
                <c:pt idx="624">
                  <c:v>3.75</c:v>
                </c:pt>
                <c:pt idx="625">
                  <c:v>4.125</c:v>
                </c:pt>
                <c:pt idx="626">
                  <c:v>4.125</c:v>
                </c:pt>
                <c:pt idx="627">
                  <c:v>4.125</c:v>
                </c:pt>
                <c:pt idx="628">
                  <c:v>4.375</c:v>
                </c:pt>
                <c:pt idx="629">
                  <c:v>4.375</c:v>
                </c:pt>
                <c:pt idx="630">
                  <c:v>4.25</c:v>
                </c:pt>
                <c:pt idx="631">
                  <c:v>3.375</c:v>
                </c:pt>
                <c:pt idx="632">
                  <c:v>3.125</c:v>
                </c:pt>
                <c:pt idx="633">
                  <c:v>3.5</c:v>
                </c:pt>
                <c:pt idx="634">
                  <c:v>3.5</c:v>
                </c:pt>
                <c:pt idx="635">
                  <c:v>3.625</c:v>
                </c:pt>
                <c:pt idx="636">
                  <c:v>3.375</c:v>
                </c:pt>
                <c:pt idx="637">
                  <c:v>3.375</c:v>
                </c:pt>
                <c:pt idx="638">
                  <c:v>3.5</c:v>
                </c:pt>
                <c:pt idx="639">
                  <c:v>3.5</c:v>
                </c:pt>
                <c:pt idx="640">
                  <c:v>4</c:v>
                </c:pt>
                <c:pt idx="641">
                  <c:v>3.375</c:v>
                </c:pt>
                <c:pt idx="642">
                  <c:v>3.375</c:v>
                </c:pt>
                <c:pt idx="643">
                  <c:v>3</c:v>
                </c:pt>
                <c:pt idx="644">
                  <c:v>3</c:v>
                </c:pt>
                <c:pt idx="645">
                  <c:v>2.875</c:v>
                </c:pt>
                <c:pt idx="646">
                  <c:v>2.875</c:v>
                </c:pt>
                <c:pt idx="647">
                  <c:v>2.75</c:v>
                </c:pt>
                <c:pt idx="648">
                  <c:v>2.875</c:v>
                </c:pt>
                <c:pt idx="649">
                  <c:v>3.125</c:v>
                </c:pt>
                <c:pt idx="650">
                  <c:v>3.5</c:v>
                </c:pt>
                <c:pt idx="651">
                  <c:v>3.875</c:v>
                </c:pt>
                <c:pt idx="652">
                  <c:v>4.25</c:v>
                </c:pt>
                <c:pt idx="653">
                  <c:v>3.875</c:v>
                </c:pt>
                <c:pt idx="654">
                  <c:v>3.625</c:v>
                </c:pt>
                <c:pt idx="655">
                  <c:v>4</c:v>
                </c:pt>
                <c:pt idx="656">
                  <c:v>3.5</c:v>
                </c:pt>
                <c:pt idx="657">
                  <c:v>3.75</c:v>
                </c:pt>
                <c:pt idx="658">
                  <c:v>3.375</c:v>
                </c:pt>
                <c:pt idx="659">
                  <c:v>3</c:v>
                </c:pt>
                <c:pt idx="660">
                  <c:v>2.875</c:v>
                </c:pt>
                <c:pt idx="661">
                  <c:v>3</c:v>
                </c:pt>
                <c:pt idx="662">
                  <c:v>3.125</c:v>
                </c:pt>
                <c:pt idx="663">
                  <c:v>2.75</c:v>
                </c:pt>
                <c:pt idx="664">
                  <c:v>3.125</c:v>
                </c:pt>
                <c:pt idx="665">
                  <c:v>2.375</c:v>
                </c:pt>
                <c:pt idx="666">
                  <c:v>2.5</c:v>
                </c:pt>
                <c:pt idx="667">
                  <c:v>2.375</c:v>
                </c:pt>
                <c:pt idx="668">
                  <c:v>2.75</c:v>
                </c:pt>
                <c:pt idx="669">
                  <c:v>2.625</c:v>
                </c:pt>
                <c:pt idx="670">
                  <c:v>3</c:v>
                </c:pt>
                <c:pt idx="671">
                  <c:v>3.125</c:v>
                </c:pt>
                <c:pt idx="672">
                  <c:v>2.625</c:v>
                </c:pt>
                <c:pt idx="673">
                  <c:v>2.75</c:v>
                </c:pt>
                <c:pt idx="674">
                  <c:v>2.625</c:v>
                </c:pt>
                <c:pt idx="675">
                  <c:v>3.25</c:v>
                </c:pt>
                <c:pt idx="676">
                  <c:v>2.75</c:v>
                </c:pt>
                <c:pt idx="677">
                  <c:v>2.875</c:v>
                </c:pt>
                <c:pt idx="678">
                  <c:v>2.125</c:v>
                </c:pt>
                <c:pt idx="679">
                  <c:v>2.5</c:v>
                </c:pt>
                <c:pt idx="680">
                  <c:v>2.75</c:v>
                </c:pt>
                <c:pt idx="681">
                  <c:v>2.75</c:v>
                </c:pt>
                <c:pt idx="682">
                  <c:v>3.375</c:v>
                </c:pt>
                <c:pt idx="683">
                  <c:v>2.625</c:v>
                </c:pt>
              </c:numCache>
            </c:numRef>
          </c:yVal>
          <c:smooth val="0"/>
        </c:ser>
        <c:axId val="829862"/>
        <c:axId val="28867992"/>
      </c:scatterChart>
      <c:valAx>
        <c:axId val="829862"/>
        <c:scaling>
          <c:orientation val="minMax"/>
          <c:max val="100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28867992"/>
        <c:crosses val="autoZero"/>
        <c:crossBetween val="between"/>
        <c:majorUnit val="100"/>
      </c:valAx>
      <c:valAx>
        <c:axId val="28867992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829862"/>
        <c:crosses val="autoZero"/>
        <c:crossBetween val="between"/>
      </c:valAx>
      <c:spPr>
        <a:noFill/>
        <a:ln w="0">
          <a:solidFill>
            <a:srgbClr val="b3b3b3"/>
          </a:solidFill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latin typeface="Arial"/>
            </a:defRPr>
          </a:pPr>
        </a:p>
      </c:txPr>
    </c:legend>
    <c:plotVisOnly val="1"/>
    <c:dispBlanksAs val="span"/>
  </c:chart>
  <c:spPr>
    <a:solidFill>
      <a:srgbClr val="ffffff"/>
    </a:solidFill>
    <a:ln w="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
</Relationships>
</file>

<file path=xl/drawings/_rels/drawing4.xml.rels><?xml version="1.0" encoding="UTF-8"?>
<Relationships xmlns="http://schemas.openxmlformats.org/package/2006/relationships"><Relationship Id="rId1" Type="http://schemas.openxmlformats.org/officeDocument/2006/relationships/chart" Target="../charts/chart3.xml"/>
</Relationships>
</file>

<file path=xl/drawings/_rels/drawing5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_rels/drawing6.xml.rels><?xml version="1.0" encoding="UTF-8"?>
<Relationships xmlns="http://schemas.openxmlformats.org/package/2006/relationships"><Relationship Id="rId1" Type="http://schemas.openxmlformats.org/officeDocument/2006/relationships/chart" Target="../charts/chart4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0</xdr:colOff>
      <xdr:row>31</xdr:row>
      <xdr:rowOff>97200</xdr:rowOff>
    </xdr:from>
    <xdr:to>
      <xdr:col>3</xdr:col>
      <xdr:colOff>785520</xdr:colOff>
      <xdr:row>34</xdr:row>
      <xdr:rowOff>94320</xdr:rowOff>
    </xdr:to>
    <xdr:pic>
      <xdr:nvPicPr>
        <xdr:cNvPr id="0" name="Image 3" descr=""/>
        <xdr:cNvPicPr/>
      </xdr:nvPicPr>
      <xdr:blipFill>
        <a:blip r:embed="rId1"/>
        <a:stretch/>
      </xdr:blipFill>
      <xdr:spPr>
        <a:xfrm>
          <a:off x="1882800" y="6413040"/>
          <a:ext cx="1598400" cy="59904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15840</xdr:colOff>
      <xdr:row>38</xdr:row>
      <xdr:rowOff>46440</xdr:rowOff>
    </xdr:from>
    <xdr:to>
      <xdr:col>10</xdr:col>
      <xdr:colOff>510120</xdr:colOff>
      <xdr:row>65</xdr:row>
      <xdr:rowOff>114480</xdr:rowOff>
    </xdr:to>
    <xdr:graphicFrame>
      <xdr:nvGraphicFramePr>
        <xdr:cNvPr id="1" name=""/>
        <xdr:cNvGraphicFramePr/>
      </xdr:nvGraphicFramePr>
      <xdr:xfrm>
        <a:off x="15840" y="8143200"/>
        <a:ext cx="8622360" cy="54860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799200</xdr:colOff>
      <xdr:row>30</xdr:row>
      <xdr:rowOff>29160</xdr:rowOff>
    </xdr:from>
    <xdr:to>
      <xdr:col>20</xdr:col>
      <xdr:colOff>12600</xdr:colOff>
      <xdr:row>57</xdr:row>
      <xdr:rowOff>96840</xdr:rowOff>
    </xdr:to>
    <xdr:graphicFrame>
      <xdr:nvGraphicFramePr>
        <xdr:cNvPr id="2" name=""/>
        <xdr:cNvGraphicFramePr/>
      </xdr:nvGraphicFramePr>
      <xdr:xfrm>
        <a:off x="8927280" y="6520680"/>
        <a:ext cx="7325280" cy="54856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14</xdr:col>
      <xdr:colOff>11520</xdr:colOff>
      <xdr:row>1</xdr:row>
      <xdr:rowOff>11880</xdr:rowOff>
    </xdr:from>
    <xdr:to>
      <xdr:col>18</xdr:col>
      <xdr:colOff>792720</xdr:colOff>
      <xdr:row>29</xdr:row>
      <xdr:rowOff>98640</xdr:rowOff>
    </xdr:to>
    <xdr:sp>
      <xdr:nvSpPr>
        <xdr:cNvPr id="3" name="Text Frame 3"/>
        <xdr:cNvSpPr txBox="1"/>
      </xdr:nvSpPr>
      <xdr:spPr>
        <a:xfrm>
          <a:off x="11374920" y="684360"/>
          <a:ext cx="4032360" cy="5705280"/>
        </a:xfrm>
        <a:prstGeom prst="rect">
          <a:avLst/>
        </a:prstGeom>
        <a:noFill/>
        <a:ln w="0">
          <a:noFill/>
        </a:ln>
      </xdr:spPr>
      <xdr:txBody>
        <a:bodyPr lIns="0" rIns="0" tIns="0" bIns="0" anchor="t">
          <a:noAutofit/>
        </a:bodyPr>
        <a:p>
          <a:r>
            <a:rPr b="1" lang="en-GB" sz="1400" spc="-1" strike="noStrike">
              <a:latin typeface="Calibri"/>
            </a:rPr>
            <a:t>Procedure – Using Calibration Rig</a:t>
          </a:r>
          <a:endParaRPr b="0" lang="en-GB" sz="1400" spc="-1" strike="noStrike">
            <a:latin typeface="Times New Roman"/>
          </a:endParaRPr>
        </a:p>
        <a:p>
          <a:endParaRPr b="0" lang="en-GB" sz="1200" spc="-1" strike="noStrike">
            <a:latin typeface="Times New Roman"/>
          </a:endParaRPr>
        </a:p>
        <a:p>
          <a:r>
            <a:rPr b="0" lang="en-GB" sz="1200" spc="-1" strike="noStrike">
              <a:latin typeface="Calibri"/>
            </a:rPr>
            <a:t>Make up concentrated suspension of RM8632a such that about 10ml of concentrate increases the tank contamination level by 10% of the estimated coincidence limit. Use the calculator in this worksheet to establish and record mass of dust and fluid volumes.</a:t>
          </a:r>
          <a:endParaRPr b="0" lang="en-GB" sz="1200" spc="-1" strike="noStrike">
            <a:latin typeface="Times New Roman"/>
          </a:endParaRPr>
        </a:p>
        <a:p>
          <a:endParaRPr b="0" lang="en-GB" sz="1200" spc="-1" strike="noStrike">
            <a:latin typeface="Times New Roman"/>
          </a:endParaRPr>
        </a:p>
        <a:p>
          <a:r>
            <a:rPr b="0" lang="en-GB" sz="1200" spc="-1" strike="noStrike">
              <a:latin typeface="Calibri"/>
            </a:rPr>
            <a:t>Add successive doses of concentrate, performing flushing and 5-portion tests after each one.</a:t>
          </a:r>
          <a:endParaRPr b="0" lang="en-GB" sz="1200" spc="-1" strike="noStrike">
            <a:latin typeface="Times New Roman"/>
          </a:endParaRPr>
        </a:p>
        <a:p>
          <a:endParaRPr b="0" lang="en-GB" sz="1200" spc="-1" strike="noStrike">
            <a:latin typeface="Times New Roman"/>
          </a:endParaRPr>
        </a:p>
        <a:p>
          <a:r>
            <a:rPr b="0" lang="en-GB" sz="1200" spc="-1" strike="noStrike">
              <a:latin typeface="Calibri"/>
            </a:rPr>
            <a:t>When the results have stabilized after each addition, record the most recent tests. We are only interested in the 4μm  channel counts for this process.</a:t>
          </a:r>
          <a:endParaRPr b="0" lang="en-GB" sz="1200" spc="-1" strike="noStrike">
            <a:latin typeface="Times New Roman"/>
          </a:endParaRPr>
        </a:p>
        <a:p>
          <a:endParaRPr b="0" lang="en-GB" sz="1200" spc="-1" strike="noStrike">
            <a:latin typeface="Times New Roman"/>
          </a:endParaRPr>
        </a:p>
        <a:p>
          <a:r>
            <a:rPr b="0" lang="en-GB" sz="1200" spc="-1" strike="noStrike">
              <a:latin typeface="Calibri"/>
            </a:rPr>
            <a:t>The optimum flush / stabilization time can be judged by continuously testing and observing the counts. This was about 2 minutes flushing after dosing then perform two 5-portion tests.</a:t>
          </a:r>
          <a:endParaRPr b="0" lang="en-GB" sz="1200" spc="-1" strike="noStrike">
            <a:latin typeface="Times New Roman"/>
          </a:endParaRPr>
        </a:p>
        <a:p>
          <a:endParaRPr b="0" lang="en-GB" sz="1200" spc="-1" strike="noStrike">
            <a:latin typeface="Times New Roman"/>
          </a:endParaRPr>
        </a:p>
        <a:p>
          <a:r>
            <a:rPr b="0" lang="en-GB" sz="1200" spc="-1" strike="noStrike">
              <a:latin typeface="Calibri"/>
            </a:rPr>
            <a:t>The results are then imported into this spreadsheet and the portions averaged for each dose level.</a:t>
          </a:r>
          <a:endParaRPr b="0" lang="en-GB" sz="1200" spc="-1" strike="noStrike">
            <a:latin typeface="Times New Roman"/>
          </a:endParaRPr>
        </a:p>
        <a:p>
          <a:endParaRPr b="0" lang="en-GB" sz="1200" spc="-1" strike="noStrike">
            <a:latin typeface="Times New Roman"/>
          </a:endParaRPr>
        </a:p>
        <a:p>
          <a:r>
            <a:rPr b="0" lang="en-GB" sz="1200" spc="-1" strike="noStrike">
              <a:latin typeface="Calibri"/>
            </a:rPr>
            <a:t>The averages are entered into the table as well as the added ml of concentrate for each dose.</a:t>
          </a:r>
          <a:endParaRPr b="0" lang="en-GB" sz="1200" spc="-1" strike="noStrike">
            <a:latin typeface="Times New Roman"/>
          </a:endParaRPr>
        </a:p>
        <a:p>
          <a:endParaRPr b="0" lang="en-GB" sz="1200" spc="-1" strike="noStrike">
            <a:latin typeface="Times New Roman"/>
          </a:endParaRPr>
        </a:p>
        <a:p>
          <a:r>
            <a:rPr b="0" lang="en-GB" sz="1200" spc="-1" strike="noStrike">
              <a:latin typeface="Calibri"/>
            </a:rPr>
            <a:t>The counts are plotted in the figure and the first 4 results (10,20,30,40% nominal coincidence limit) used to generate a linear regression line.</a:t>
          </a:r>
          <a:endParaRPr b="0" lang="en-GB" sz="1200" spc="-1" strike="noStrike">
            <a:latin typeface="Times New Roman"/>
          </a:endParaRPr>
        </a:p>
        <a:p>
          <a:endParaRPr b="0" lang="en-GB" sz="1200" spc="-1" strike="noStrike">
            <a:latin typeface="Times New Roman"/>
          </a:endParaRPr>
        </a:p>
        <a:p>
          <a:endParaRPr b="0" lang="en-GB" sz="1200" spc="-1" strike="noStrike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0</xdr:col>
      <xdr:colOff>520560</xdr:colOff>
      <xdr:row>82</xdr:row>
      <xdr:rowOff>189720</xdr:rowOff>
    </xdr:from>
    <xdr:to>
      <xdr:col>10</xdr:col>
      <xdr:colOff>507600</xdr:colOff>
      <xdr:row>89</xdr:row>
      <xdr:rowOff>133200</xdr:rowOff>
    </xdr:to>
    <xdr:sp>
      <xdr:nvSpPr>
        <xdr:cNvPr id="4" name="Text Frame 1"/>
        <xdr:cNvSpPr txBox="1"/>
      </xdr:nvSpPr>
      <xdr:spPr>
        <a:xfrm>
          <a:off x="520560" y="16987320"/>
          <a:ext cx="8115120" cy="1348200"/>
        </a:xfrm>
        <a:prstGeom prst="rect">
          <a:avLst/>
        </a:prstGeom>
        <a:noFill/>
        <a:ln w="0">
          <a:noFill/>
        </a:ln>
      </xdr:spPr>
      <xdr:txBody>
        <a:bodyPr lIns="0" rIns="0" tIns="0" bIns="0" anchor="t">
          <a:noAutofit/>
        </a:bodyPr>
        <a:p>
          <a:r>
            <a:rPr b="0" lang="en-GB" sz="1200" spc="-1" strike="noStrike">
              <a:latin typeface="Times New Roman"/>
            </a:rPr>
            <a:t>Export into temportary CSV file 15 results from LPA-View, consisting of 3x bottles 5 portion samples. Exclude the portion 0 averages.</a:t>
          </a:r>
          <a:endParaRPr b="0" lang="en-GB" sz="1200" spc="-1" strike="noStrike">
            <a:latin typeface="Times New Roman"/>
          </a:endParaRPr>
        </a:p>
        <a:p>
          <a:endParaRPr b="0" lang="en-GB" sz="1200" spc="-1" strike="noStrike">
            <a:latin typeface="Times New Roman"/>
          </a:endParaRPr>
        </a:p>
        <a:p>
          <a:r>
            <a:rPr b="0" lang="en-GB" sz="1200" spc="-1" strike="noStrike">
              <a:latin typeface="Times New Roman"/>
            </a:rPr>
            <a:t>Autofilter, sort by ascending date.</a:t>
          </a:r>
          <a:endParaRPr b="0" lang="en-GB" sz="1200" spc="-1" strike="noStrike">
            <a:latin typeface="Times New Roman"/>
          </a:endParaRPr>
        </a:p>
        <a:p>
          <a:r>
            <a:rPr b="0" lang="en-GB" sz="1200" spc="-1" strike="noStrike">
              <a:latin typeface="Times New Roman"/>
            </a:rPr>
            <a:t>Copy / special paste the data block into this page below, ensuring appears in correct slots</a:t>
          </a:r>
          <a:endParaRPr b="0" lang="en-GB" sz="1200" spc="-1" strike="noStrike">
            <a:latin typeface="Times New Roman"/>
          </a:endParaRPr>
        </a:p>
        <a:p>
          <a:r>
            <a:rPr b="0" lang="en-GB" sz="1200" spc="-1" strike="noStrike">
              <a:latin typeface="Times New Roman"/>
            </a:rPr>
            <a:t>Bottle 2 and 3 pages should be linked to correct regions of pasted data block.</a:t>
          </a:r>
          <a:endParaRPr b="0" lang="en-GB" sz="1200" spc="-1" strike="noStrike">
            <a:latin typeface="Times New Roman"/>
          </a:endParaRPr>
        </a:p>
        <a:p>
          <a:r>
            <a:rPr b="0" lang="en-GB" sz="1200" spc="-1" strike="noStrike">
              <a:latin typeface="Times New Roman"/>
            </a:rPr>
            <a:t>Data quality evalution tables should pick up correct regions of pasted data block</a:t>
          </a:r>
          <a:endParaRPr b="0" lang="en-GB" sz="1200" spc="-1" strike="noStrike">
            <a:latin typeface="Times New Roman"/>
          </a:endParaRPr>
        </a:p>
        <a:p>
          <a:r>
            <a:rPr b="0" lang="en-GB" sz="1200" spc="-1" strike="noStrike">
              <a:latin typeface="Times New Roman"/>
            </a:rPr>
            <a:t>If needed, on each bottle page can delete one indivual portion result per size line in order tp meet data quality requirements</a:t>
          </a:r>
          <a:endParaRPr b="0" lang="en-GB" sz="1200" spc="-1" strike="noStrike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5</xdr:col>
      <xdr:colOff>117360</xdr:colOff>
      <xdr:row>2</xdr:row>
      <xdr:rowOff>34200</xdr:rowOff>
    </xdr:from>
    <xdr:to>
      <xdr:col>14</xdr:col>
      <xdr:colOff>107280</xdr:colOff>
      <xdr:row>20</xdr:row>
      <xdr:rowOff>130680</xdr:rowOff>
    </xdr:to>
    <xdr:graphicFrame>
      <xdr:nvGraphicFramePr>
        <xdr:cNvPr id="5" name=""/>
        <xdr:cNvGraphicFramePr/>
      </xdr:nvGraphicFramePr>
      <xdr:xfrm>
        <a:off x="4181400" y="1389960"/>
        <a:ext cx="7305120" cy="41090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0</xdr:colOff>
      <xdr:row>27</xdr:row>
      <xdr:rowOff>97200</xdr:rowOff>
    </xdr:from>
    <xdr:to>
      <xdr:col>2</xdr:col>
      <xdr:colOff>528480</xdr:colOff>
      <xdr:row>30</xdr:row>
      <xdr:rowOff>94320</xdr:rowOff>
    </xdr:to>
    <xdr:pic>
      <xdr:nvPicPr>
        <xdr:cNvPr id="6" name="Image 1" descr=""/>
        <xdr:cNvPicPr/>
      </xdr:nvPicPr>
      <xdr:blipFill>
        <a:blip r:embed="rId1"/>
        <a:stretch/>
      </xdr:blipFill>
      <xdr:spPr>
        <a:xfrm>
          <a:off x="812880" y="5698440"/>
          <a:ext cx="1598400" cy="59904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118080</xdr:colOff>
      <xdr:row>20</xdr:row>
      <xdr:rowOff>154080</xdr:rowOff>
    </xdr:from>
    <xdr:to>
      <xdr:col>10</xdr:col>
      <xdr:colOff>514080</xdr:colOff>
      <xdr:row>40</xdr:row>
      <xdr:rowOff>20880</xdr:rowOff>
    </xdr:to>
    <xdr:graphicFrame>
      <xdr:nvGraphicFramePr>
        <xdr:cNvPr id="7" name=""/>
        <xdr:cNvGraphicFramePr/>
      </xdr:nvGraphicFramePr>
      <xdr:xfrm>
        <a:off x="2853000" y="4534920"/>
        <a:ext cx="6898320" cy="38800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12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13.xml.rels><?xml version="1.0" encoding="UTF-8"?>
<Relationships xmlns="http://schemas.openxmlformats.org/package/2006/relationships"><Relationship Id="rId1" Type="http://schemas.openxmlformats.org/officeDocument/2006/relationships/drawing" Target="../drawings/drawing5.xml"/>
</Relationships>
</file>

<file path=xl/worksheets/_rels/sheet14.xml.rels><?xml version="1.0" encoding="UTF-8"?>
<Relationships xmlns="http://schemas.openxmlformats.org/package/2006/relationships"><Relationship Id="rId1" Type="http://schemas.openxmlformats.org/officeDocument/2006/relationships/drawing" Target="../drawings/drawing6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A1" activeCellId="0" sqref="A1"/>
    </sheetView>
  </sheetViews>
  <sheetFormatPr defaultColWidth="10.4921875" defaultRowHeight="12.8" zeroHeight="false" outlineLevelRow="0" outlineLevelCol="0"/>
  <sheetData>
    <row r="1" customFormat="false" ht="15.8" hidden="false" customHeight="false" outlineLevel="0" collapsed="false"/>
  </sheetData>
  <printOptions headings="false" gridLines="false" gridLinesSet="true" horizontalCentered="false" verticalCentered="false"/>
  <pageMargins left="0.7875" right="0.7875" top="1.05277777777778" bottom="1.74166666666667" header="0.7875" footer="0.7875"/>
  <pageSetup paperSize="9" scale="110" fitToWidth="1" fitToHeight="1" pageOrder="downThenOver" orientation="landscape" blackAndWhite="false" draft="false" cellComments="none" horizontalDpi="300" verticalDpi="300" copies="1"/>
  <headerFooter differentFirst="false" differentOddEven="false">
    <oddHeader>&amp;C&amp;"Times New Roman,Regular"&amp;12&amp;Kffffff&amp;A</oddHeader>
    <oddFooter>&amp;C&amp;"Times New Roman,Regular"&amp;12&amp;KffffffPage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MJ18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C10" activeCellId="0" sqref="C10"/>
    </sheetView>
  </sheetViews>
  <sheetFormatPr defaultColWidth="10.4921875" defaultRowHeight="12.8" zeroHeight="false" outlineLevelRow="0" outlineLevelCol="0"/>
  <cols>
    <col collapsed="false" customWidth="true" hidden="false" outlineLevel="0" max="1" min="1" style="1" width="19.29"/>
    <col collapsed="false" customWidth="true" hidden="false" outlineLevel="0" max="2" min="2" style="0" width="16.5"/>
    <col collapsed="false" customWidth="true" hidden="false" outlineLevel="0" max="3" min="3" style="1" width="70.47"/>
  </cols>
  <sheetData>
    <row r="1" customFormat="false" ht="22.35" hidden="false" customHeight="true" outlineLevel="0" collapsed="false">
      <c r="A1" s="2" t="s">
        <v>0</v>
      </c>
      <c r="C1" s="0"/>
    </row>
    <row r="2" customFormat="false" ht="15.8" hidden="false" customHeight="false" outlineLevel="0" collapsed="false">
      <c r="A2" s="3" t="s">
        <v>1</v>
      </c>
      <c r="B2" s="4" t="s">
        <v>2</v>
      </c>
      <c r="C2" s="3" t="s">
        <v>3</v>
      </c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  <c r="AAA2" s="5"/>
      <c r="AAB2" s="5"/>
      <c r="AAC2" s="5"/>
      <c r="AAD2" s="5"/>
      <c r="AAE2" s="5"/>
      <c r="AAF2" s="5"/>
      <c r="AAG2" s="5"/>
      <c r="AAH2" s="5"/>
      <c r="AAI2" s="5"/>
      <c r="AAJ2" s="5"/>
      <c r="AAK2" s="5"/>
      <c r="AAL2" s="5"/>
      <c r="AAM2" s="5"/>
      <c r="AAN2" s="5"/>
      <c r="AAO2" s="5"/>
      <c r="AAP2" s="5"/>
      <c r="AAQ2" s="5"/>
      <c r="AAR2" s="5"/>
      <c r="AAS2" s="5"/>
      <c r="AAT2" s="5"/>
      <c r="AAU2" s="5"/>
      <c r="AAV2" s="5"/>
      <c r="AAW2" s="5"/>
      <c r="AAX2" s="5"/>
      <c r="AAY2" s="5"/>
      <c r="AAZ2" s="5"/>
      <c r="ABA2" s="5"/>
      <c r="ABB2" s="5"/>
      <c r="ABC2" s="5"/>
      <c r="ABD2" s="5"/>
      <c r="ABE2" s="5"/>
      <c r="ABF2" s="5"/>
      <c r="ABG2" s="5"/>
      <c r="ABH2" s="5"/>
      <c r="ABI2" s="5"/>
      <c r="ABJ2" s="5"/>
      <c r="ABK2" s="5"/>
      <c r="ABL2" s="5"/>
      <c r="ABM2" s="5"/>
      <c r="ABN2" s="5"/>
      <c r="ABO2" s="5"/>
      <c r="ABP2" s="5"/>
      <c r="ABQ2" s="5"/>
      <c r="ABR2" s="5"/>
      <c r="ABS2" s="5"/>
      <c r="ABT2" s="5"/>
      <c r="ABU2" s="5"/>
      <c r="ABV2" s="5"/>
      <c r="ABW2" s="5"/>
      <c r="ABX2" s="5"/>
      <c r="ABY2" s="5"/>
      <c r="ABZ2" s="5"/>
      <c r="ACA2" s="5"/>
      <c r="ACB2" s="5"/>
      <c r="ACC2" s="5"/>
      <c r="ACD2" s="5"/>
      <c r="ACE2" s="5"/>
      <c r="ACF2" s="5"/>
      <c r="ACG2" s="5"/>
      <c r="ACH2" s="5"/>
      <c r="ACI2" s="5"/>
      <c r="ACJ2" s="5"/>
      <c r="ACK2" s="5"/>
      <c r="ACL2" s="5"/>
      <c r="ACM2" s="5"/>
      <c r="ACN2" s="5"/>
      <c r="ACO2" s="5"/>
      <c r="ACP2" s="5"/>
      <c r="ACQ2" s="5"/>
      <c r="ACR2" s="5"/>
      <c r="ACS2" s="5"/>
      <c r="ACT2" s="5"/>
      <c r="ACU2" s="5"/>
      <c r="ACV2" s="5"/>
      <c r="ACW2" s="5"/>
      <c r="ACX2" s="5"/>
      <c r="ACY2" s="5"/>
      <c r="ACZ2" s="5"/>
      <c r="ADA2" s="5"/>
      <c r="ADB2" s="5"/>
      <c r="ADC2" s="5"/>
      <c r="ADD2" s="5"/>
      <c r="ADE2" s="5"/>
      <c r="ADF2" s="5"/>
      <c r="ADG2" s="5"/>
      <c r="ADH2" s="5"/>
      <c r="ADI2" s="5"/>
      <c r="ADJ2" s="5"/>
      <c r="ADK2" s="5"/>
      <c r="ADL2" s="5"/>
      <c r="ADM2" s="5"/>
      <c r="ADN2" s="5"/>
      <c r="ADO2" s="5"/>
      <c r="ADP2" s="5"/>
      <c r="ADQ2" s="5"/>
      <c r="ADR2" s="5"/>
      <c r="ADS2" s="5"/>
      <c r="ADT2" s="5"/>
      <c r="ADU2" s="5"/>
      <c r="ADV2" s="5"/>
      <c r="ADW2" s="5"/>
      <c r="ADX2" s="5"/>
      <c r="ADY2" s="5"/>
      <c r="ADZ2" s="5"/>
      <c r="AEA2" s="5"/>
      <c r="AEB2" s="5"/>
      <c r="AEC2" s="5"/>
      <c r="AED2" s="5"/>
      <c r="AEE2" s="5"/>
      <c r="AEF2" s="5"/>
      <c r="AEG2" s="5"/>
      <c r="AEH2" s="5"/>
      <c r="AEI2" s="5"/>
      <c r="AEJ2" s="5"/>
      <c r="AEK2" s="5"/>
      <c r="AEL2" s="5"/>
      <c r="AEM2" s="5"/>
      <c r="AEN2" s="5"/>
      <c r="AEO2" s="5"/>
      <c r="AEP2" s="5"/>
      <c r="AEQ2" s="5"/>
      <c r="AER2" s="5"/>
      <c r="AES2" s="5"/>
      <c r="AET2" s="5"/>
      <c r="AEU2" s="5"/>
      <c r="AEV2" s="5"/>
      <c r="AEW2" s="5"/>
      <c r="AEX2" s="5"/>
      <c r="AEY2" s="5"/>
      <c r="AEZ2" s="5"/>
      <c r="AFA2" s="5"/>
      <c r="AFB2" s="5"/>
      <c r="AFC2" s="5"/>
      <c r="AFD2" s="5"/>
      <c r="AFE2" s="5"/>
      <c r="AFF2" s="5"/>
      <c r="AFG2" s="5"/>
      <c r="AFH2" s="5"/>
      <c r="AFI2" s="5"/>
      <c r="AFJ2" s="5"/>
      <c r="AFK2" s="5"/>
      <c r="AFL2" s="5"/>
      <c r="AFM2" s="5"/>
      <c r="AFN2" s="5"/>
      <c r="AFO2" s="5"/>
      <c r="AFP2" s="5"/>
      <c r="AFQ2" s="5"/>
      <c r="AFR2" s="5"/>
      <c r="AFS2" s="5"/>
      <c r="AFT2" s="5"/>
      <c r="AFU2" s="5"/>
      <c r="AFV2" s="5"/>
      <c r="AFW2" s="5"/>
      <c r="AFX2" s="5"/>
      <c r="AFY2" s="5"/>
      <c r="AFZ2" s="5"/>
      <c r="AGA2" s="5"/>
      <c r="AGB2" s="5"/>
      <c r="AGC2" s="5"/>
      <c r="AGD2" s="5"/>
      <c r="AGE2" s="5"/>
      <c r="AGF2" s="5"/>
      <c r="AGG2" s="5"/>
      <c r="AGH2" s="5"/>
      <c r="AGI2" s="5"/>
      <c r="AGJ2" s="5"/>
      <c r="AGK2" s="5"/>
      <c r="AGL2" s="5"/>
      <c r="AGM2" s="5"/>
      <c r="AGN2" s="5"/>
      <c r="AGO2" s="5"/>
      <c r="AGP2" s="5"/>
      <c r="AGQ2" s="5"/>
      <c r="AGR2" s="5"/>
      <c r="AGS2" s="5"/>
      <c r="AGT2" s="5"/>
      <c r="AGU2" s="5"/>
      <c r="AGV2" s="5"/>
      <c r="AGW2" s="5"/>
      <c r="AGX2" s="5"/>
      <c r="AGY2" s="5"/>
      <c r="AGZ2" s="5"/>
      <c r="AHA2" s="5"/>
      <c r="AHB2" s="5"/>
      <c r="AHC2" s="5"/>
      <c r="AHD2" s="5"/>
      <c r="AHE2" s="5"/>
      <c r="AHF2" s="5"/>
      <c r="AHG2" s="5"/>
      <c r="AHH2" s="5"/>
      <c r="AHI2" s="5"/>
      <c r="AHJ2" s="5"/>
      <c r="AHK2" s="5"/>
      <c r="AHL2" s="5"/>
      <c r="AHM2" s="5"/>
      <c r="AHN2" s="5"/>
      <c r="AHO2" s="5"/>
      <c r="AHP2" s="5"/>
      <c r="AHQ2" s="5"/>
      <c r="AHR2" s="5"/>
      <c r="AHS2" s="5"/>
      <c r="AHT2" s="5"/>
      <c r="AHU2" s="5"/>
      <c r="AHV2" s="5"/>
      <c r="AHW2" s="5"/>
      <c r="AHX2" s="5"/>
      <c r="AHY2" s="5"/>
      <c r="AHZ2" s="5"/>
      <c r="AIA2" s="5"/>
      <c r="AIB2" s="5"/>
      <c r="AIC2" s="5"/>
      <c r="AID2" s="5"/>
      <c r="AIE2" s="5"/>
      <c r="AIF2" s="5"/>
      <c r="AIG2" s="5"/>
      <c r="AIH2" s="5"/>
      <c r="AII2" s="5"/>
      <c r="AIJ2" s="5"/>
      <c r="AIK2" s="5"/>
      <c r="AIL2" s="5"/>
      <c r="AIM2" s="5"/>
      <c r="AIN2" s="5"/>
      <c r="AIO2" s="5"/>
      <c r="AIP2" s="5"/>
      <c r="AIQ2" s="5"/>
      <c r="AIR2" s="5"/>
      <c r="AIS2" s="5"/>
      <c r="AIT2" s="5"/>
      <c r="AIU2" s="5"/>
      <c r="AIV2" s="5"/>
      <c r="AIW2" s="5"/>
      <c r="AIX2" s="5"/>
      <c r="AIY2" s="5"/>
      <c r="AIZ2" s="5"/>
      <c r="AJA2" s="5"/>
      <c r="AJB2" s="5"/>
      <c r="AJC2" s="5"/>
      <c r="AJD2" s="5"/>
      <c r="AJE2" s="5"/>
      <c r="AJF2" s="5"/>
      <c r="AJG2" s="5"/>
      <c r="AJH2" s="5"/>
      <c r="AJI2" s="5"/>
      <c r="AJJ2" s="5"/>
      <c r="AJK2" s="5"/>
      <c r="AJL2" s="5"/>
      <c r="AJM2" s="5"/>
      <c r="AJN2" s="5"/>
      <c r="AJO2" s="5"/>
      <c r="AJP2" s="5"/>
      <c r="AJQ2" s="5"/>
      <c r="AJR2" s="5"/>
      <c r="AJS2" s="5"/>
      <c r="AJT2" s="5"/>
      <c r="AJU2" s="5"/>
      <c r="AJV2" s="5"/>
      <c r="AJW2" s="5"/>
      <c r="AJX2" s="5"/>
      <c r="AJY2" s="5"/>
      <c r="AJZ2" s="5"/>
      <c r="AKA2" s="5"/>
      <c r="AKB2" s="5"/>
      <c r="AKC2" s="5"/>
      <c r="AKD2" s="5"/>
      <c r="AKE2" s="5"/>
      <c r="AKF2" s="5"/>
      <c r="AKG2" s="5"/>
      <c r="AKH2" s="5"/>
      <c r="AKI2" s="5"/>
      <c r="AKJ2" s="5"/>
      <c r="AKK2" s="5"/>
      <c r="AKL2" s="5"/>
      <c r="AKM2" s="5"/>
      <c r="AKN2" s="5"/>
      <c r="AKO2" s="5"/>
      <c r="AKP2" s="5"/>
      <c r="AKQ2" s="5"/>
      <c r="AKR2" s="5"/>
      <c r="AKS2" s="5"/>
      <c r="AKT2" s="5"/>
      <c r="AKU2" s="5"/>
      <c r="AKV2" s="5"/>
      <c r="AKW2" s="5"/>
      <c r="AKX2" s="5"/>
      <c r="AKY2" s="5"/>
      <c r="AKZ2" s="5"/>
      <c r="ALA2" s="5"/>
      <c r="ALB2" s="5"/>
      <c r="ALC2" s="5"/>
      <c r="ALD2" s="5"/>
      <c r="ALE2" s="5"/>
      <c r="ALF2" s="5"/>
      <c r="ALG2" s="5"/>
      <c r="ALH2" s="5"/>
      <c r="ALI2" s="5"/>
      <c r="ALJ2" s="5"/>
      <c r="ALK2" s="5"/>
      <c r="ALL2" s="5"/>
      <c r="ALM2" s="5"/>
      <c r="ALN2" s="5"/>
      <c r="ALO2" s="5"/>
      <c r="ALP2" s="5"/>
      <c r="ALQ2" s="5"/>
      <c r="ALR2" s="5"/>
      <c r="ALS2" s="5"/>
      <c r="ALT2" s="5"/>
      <c r="ALU2" s="5"/>
      <c r="ALV2" s="5"/>
      <c r="ALW2" s="5"/>
      <c r="ALX2" s="5"/>
      <c r="ALY2" s="5"/>
      <c r="ALZ2" s="5"/>
      <c r="AMA2" s="5"/>
      <c r="AMB2" s="5"/>
      <c r="AMC2" s="5"/>
      <c r="AMD2" s="5"/>
      <c r="AME2" s="5"/>
      <c r="AMF2" s="5"/>
      <c r="AMG2" s="5"/>
      <c r="AMH2" s="5"/>
      <c r="AMI2" s="5"/>
      <c r="AMJ2" s="5"/>
    </row>
    <row r="3" customFormat="false" ht="67.15" hidden="false" customHeight="true" outlineLevel="0" collapsed="false">
      <c r="A3" s="6" t="s">
        <v>4</v>
      </c>
      <c r="B3" s="7" t="s">
        <v>5</v>
      </c>
      <c r="C3" s="6" t="s">
        <v>6</v>
      </c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7"/>
      <c r="IZ3" s="7"/>
      <c r="JA3" s="7"/>
      <c r="JB3" s="7"/>
      <c r="JC3" s="7"/>
      <c r="JD3" s="7"/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7"/>
      <c r="JT3" s="7"/>
      <c r="JU3" s="7"/>
      <c r="JV3" s="7"/>
      <c r="JW3" s="7"/>
      <c r="JX3" s="7"/>
      <c r="JY3" s="7"/>
      <c r="JZ3" s="7"/>
      <c r="KA3" s="7"/>
      <c r="KB3" s="7"/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7"/>
      <c r="LA3" s="7"/>
      <c r="LB3" s="7"/>
      <c r="LC3" s="7"/>
      <c r="LD3" s="7"/>
      <c r="LE3" s="7"/>
      <c r="LF3" s="7"/>
      <c r="LG3" s="7"/>
      <c r="LH3" s="7"/>
      <c r="LI3" s="7"/>
      <c r="LJ3" s="7"/>
      <c r="LK3" s="7"/>
      <c r="LL3" s="7"/>
      <c r="LM3" s="7"/>
      <c r="LN3" s="7"/>
      <c r="LO3" s="7"/>
      <c r="LP3" s="7"/>
      <c r="LQ3" s="7"/>
      <c r="LR3" s="7"/>
      <c r="LS3" s="7"/>
      <c r="LT3" s="7"/>
      <c r="LU3" s="7"/>
      <c r="LV3" s="7"/>
      <c r="LW3" s="7"/>
      <c r="LX3" s="7"/>
      <c r="LY3" s="7"/>
      <c r="LZ3" s="7"/>
      <c r="MA3" s="7"/>
      <c r="MB3" s="7"/>
      <c r="MC3" s="7"/>
      <c r="MD3" s="7"/>
      <c r="ME3" s="7"/>
      <c r="MF3" s="7"/>
      <c r="MG3" s="7"/>
      <c r="MH3" s="7"/>
      <c r="MI3" s="7"/>
      <c r="MJ3" s="7"/>
      <c r="MK3" s="7"/>
      <c r="ML3" s="7"/>
      <c r="MM3" s="7"/>
      <c r="MN3" s="7"/>
      <c r="MO3" s="7"/>
      <c r="MP3" s="7"/>
      <c r="MQ3" s="7"/>
      <c r="MR3" s="7"/>
      <c r="MS3" s="7"/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7"/>
      <c r="NQ3" s="7"/>
      <c r="NR3" s="7"/>
      <c r="NS3" s="7"/>
      <c r="NT3" s="7"/>
      <c r="NU3" s="7"/>
      <c r="NV3" s="7"/>
      <c r="NW3" s="7"/>
      <c r="NX3" s="7"/>
      <c r="NY3" s="7"/>
      <c r="NZ3" s="7"/>
      <c r="OA3" s="7"/>
      <c r="OB3" s="7"/>
      <c r="OC3" s="7"/>
      <c r="OD3" s="7"/>
      <c r="OE3" s="7"/>
      <c r="OF3" s="7"/>
      <c r="OG3" s="7"/>
      <c r="OH3" s="7"/>
      <c r="OI3" s="7"/>
      <c r="OJ3" s="7"/>
      <c r="OK3" s="7"/>
      <c r="OL3" s="7"/>
      <c r="OM3" s="7"/>
      <c r="ON3" s="7"/>
      <c r="OO3" s="7"/>
      <c r="OP3" s="7"/>
      <c r="OQ3" s="7"/>
      <c r="OR3" s="7"/>
      <c r="OS3" s="7"/>
      <c r="OT3" s="7"/>
      <c r="OU3" s="7"/>
      <c r="OV3" s="7"/>
      <c r="OW3" s="7"/>
      <c r="OX3" s="7"/>
      <c r="OY3" s="7"/>
      <c r="OZ3" s="7"/>
      <c r="PA3" s="7"/>
      <c r="PB3" s="7"/>
      <c r="PC3" s="7"/>
      <c r="PD3" s="7"/>
      <c r="PE3" s="7"/>
      <c r="PF3" s="7"/>
      <c r="PG3" s="7"/>
      <c r="PH3" s="7"/>
      <c r="PI3" s="7"/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7"/>
      <c r="QG3" s="7"/>
      <c r="QH3" s="7"/>
      <c r="QI3" s="7"/>
      <c r="QJ3" s="7"/>
      <c r="QK3" s="7"/>
      <c r="QL3" s="7"/>
      <c r="QM3" s="7"/>
      <c r="QN3" s="7"/>
      <c r="QO3" s="7"/>
      <c r="QP3" s="7"/>
      <c r="QQ3" s="7"/>
      <c r="QR3" s="7"/>
      <c r="QS3" s="7"/>
      <c r="QT3" s="7"/>
      <c r="QU3" s="7"/>
      <c r="QV3" s="7"/>
      <c r="QW3" s="7"/>
      <c r="QX3" s="7"/>
      <c r="QY3" s="7"/>
      <c r="QZ3" s="7"/>
      <c r="RA3" s="7"/>
      <c r="RB3" s="7"/>
      <c r="RC3" s="7"/>
      <c r="RD3" s="7"/>
      <c r="RE3" s="7"/>
      <c r="RF3" s="7"/>
      <c r="RG3" s="7"/>
      <c r="RH3" s="7"/>
      <c r="RI3" s="7"/>
      <c r="RJ3" s="7"/>
      <c r="RK3" s="7"/>
      <c r="RL3" s="7"/>
      <c r="RM3" s="7"/>
      <c r="RN3" s="7"/>
      <c r="RO3" s="7"/>
      <c r="RP3" s="7"/>
      <c r="RQ3" s="7"/>
      <c r="RR3" s="7"/>
      <c r="RS3" s="7"/>
      <c r="RT3" s="7"/>
      <c r="RU3" s="7"/>
      <c r="RV3" s="7"/>
      <c r="RW3" s="7"/>
      <c r="RX3" s="7"/>
      <c r="RY3" s="7"/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7"/>
      <c r="SW3" s="7"/>
      <c r="SX3" s="7"/>
      <c r="SY3" s="7"/>
      <c r="SZ3" s="7"/>
      <c r="TA3" s="7"/>
      <c r="TB3" s="7"/>
      <c r="TC3" s="7"/>
      <c r="TD3" s="7"/>
      <c r="TE3" s="7"/>
      <c r="TF3" s="7"/>
      <c r="TG3" s="7"/>
      <c r="TH3" s="7"/>
      <c r="TI3" s="7"/>
      <c r="TJ3" s="7"/>
      <c r="TK3" s="7"/>
      <c r="TL3" s="7"/>
      <c r="TM3" s="7"/>
      <c r="TN3" s="7"/>
      <c r="TO3" s="7"/>
      <c r="TP3" s="7"/>
      <c r="TQ3" s="7"/>
      <c r="TR3" s="7"/>
      <c r="TS3" s="7"/>
      <c r="TT3" s="7"/>
      <c r="TU3" s="7"/>
      <c r="TV3" s="7"/>
      <c r="TW3" s="7"/>
      <c r="TX3" s="7"/>
      <c r="TY3" s="7"/>
      <c r="TZ3" s="7"/>
      <c r="UA3" s="7"/>
      <c r="UB3" s="7"/>
      <c r="UC3" s="7"/>
      <c r="UD3" s="7"/>
      <c r="UE3" s="7"/>
      <c r="UF3" s="7"/>
      <c r="UG3" s="7"/>
      <c r="UH3" s="7"/>
      <c r="UI3" s="7"/>
      <c r="UJ3" s="7"/>
      <c r="UK3" s="7"/>
      <c r="UL3" s="7"/>
      <c r="UM3" s="7"/>
      <c r="UN3" s="7"/>
      <c r="UO3" s="7"/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7"/>
      <c r="VM3" s="7"/>
      <c r="VN3" s="7"/>
      <c r="VO3" s="7"/>
      <c r="VP3" s="7"/>
      <c r="VQ3" s="7"/>
      <c r="VR3" s="7"/>
      <c r="VS3" s="7"/>
      <c r="VT3" s="7"/>
      <c r="VU3" s="7"/>
      <c r="VV3" s="7"/>
      <c r="VW3" s="7"/>
      <c r="VX3" s="7"/>
      <c r="VY3" s="7"/>
      <c r="VZ3" s="7"/>
      <c r="WA3" s="7"/>
      <c r="WB3" s="7"/>
      <c r="WC3" s="7"/>
      <c r="WD3" s="7"/>
      <c r="WE3" s="7"/>
      <c r="WF3" s="7"/>
      <c r="WG3" s="7"/>
      <c r="WH3" s="7"/>
      <c r="WI3" s="7"/>
      <c r="WJ3" s="7"/>
      <c r="WK3" s="7"/>
      <c r="WL3" s="7"/>
      <c r="WM3" s="7"/>
      <c r="WN3" s="7"/>
      <c r="WO3" s="7"/>
      <c r="WP3" s="7"/>
      <c r="WQ3" s="7"/>
      <c r="WR3" s="7"/>
      <c r="WS3" s="7"/>
      <c r="WT3" s="7"/>
      <c r="WU3" s="7"/>
      <c r="WV3" s="7"/>
      <c r="WW3" s="7"/>
      <c r="WX3" s="7"/>
      <c r="WY3" s="7"/>
      <c r="WZ3" s="7"/>
      <c r="XA3" s="7"/>
      <c r="XB3" s="7"/>
      <c r="XC3" s="7"/>
      <c r="XD3" s="7"/>
      <c r="XE3" s="7"/>
      <c r="XF3" s="7"/>
      <c r="XG3" s="7"/>
      <c r="XH3" s="7"/>
      <c r="XI3" s="7"/>
      <c r="XJ3" s="7"/>
      <c r="XK3" s="7"/>
      <c r="XL3" s="7"/>
      <c r="XM3" s="7"/>
      <c r="XN3" s="7"/>
      <c r="XO3" s="7"/>
      <c r="XP3" s="7"/>
      <c r="XQ3" s="7"/>
      <c r="XR3" s="7"/>
      <c r="XS3" s="7"/>
      <c r="XT3" s="7"/>
      <c r="XU3" s="7"/>
      <c r="XV3" s="7"/>
      <c r="XW3" s="7"/>
      <c r="XX3" s="7"/>
      <c r="XY3" s="7"/>
      <c r="XZ3" s="7"/>
      <c r="YA3" s="7"/>
      <c r="YB3" s="7"/>
      <c r="YC3" s="7"/>
      <c r="YD3" s="7"/>
      <c r="YE3" s="7"/>
      <c r="YF3" s="7"/>
      <c r="YG3" s="7"/>
      <c r="YH3" s="7"/>
      <c r="YI3" s="7"/>
      <c r="YJ3" s="7"/>
      <c r="YK3" s="7"/>
      <c r="YL3" s="7"/>
      <c r="YM3" s="7"/>
      <c r="YN3" s="7"/>
      <c r="YO3" s="7"/>
      <c r="YP3" s="7"/>
      <c r="YQ3" s="7"/>
      <c r="YR3" s="7"/>
      <c r="YS3" s="7"/>
      <c r="YT3" s="7"/>
      <c r="YU3" s="7"/>
      <c r="YV3" s="7"/>
      <c r="YW3" s="7"/>
      <c r="YX3" s="7"/>
      <c r="YY3" s="7"/>
      <c r="YZ3" s="7"/>
      <c r="ZA3" s="7"/>
      <c r="ZB3" s="7"/>
      <c r="ZC3" s="7"/>
      <c r="ZD3" s="7"/>
      <c r="ZE3" s="7"/>
      <c r="ZF3" s="7"/>
      <c r="ZG3" s="7"/>
      <c r="ZH3" s="7"/>
      <c r="ZI3" s="7"/>
      <c r="ZJ3" s="7"/>
      <c r="ZK3" s="7"/>
      <c r="ZL3" s="7"/>
      <c r="ZM3" s="7"/>
      <c r="ZN3" s="7"/>
      <c r="ZO3" s="7"/>
      <c r="ZP3" s="7"/>
      <c r="ZQ3" s="7"/>
      <c r="ZR3" s="7"/>
      <c r="ZS3" s="7"/>
      <c r="ZT3" s="7"/>
      <c r="ZU3" s="7"/>
      <c r="ZV3" s="7"/>
      <c r="ZW3" s="7"/>
      <c r="ZX3" s="7"/>
      <c r="ZY3" s="7"/>
      <c r="ZZ3" s="7"/>
      <c r="AAA3" s="7"/>
      <c r="AAB3" s="7"/>
      <c r="AAC3" s="7"/>
      <c r="AAD3" s="7"/>
      <c r="AAE3" s="7"/>
      <c r="AAF3" s="7"/>
      <c r="AAG3" s="7"/>
      <c r="AAH3" s="7"/>
      <c r="AAI3" s="7"/>
      <c r="AAJ3" s="7"/>
      <c r="AAK3" s="7"/>
      <c r="AAL3" s="7"/>
      <c r="AAM3" s="7"/>
      <c r="AAN3" s="7"/>
      <c r="AAO3" s="7"/>
      <c r="AAP3" s="7"/>
      <c r="AAQ3" s="7"/>
      <c r="AAR3" s="7"/>
      <c r="AAS3" s="7"/>
      <c r="AAT3" s="7"/>
      <c r="AAU3" s="7"/>
      <c r="AAV3" s="7"/>
      <c r="AAW3" s="7"/>
      <c r="AAX3" s="7"/>
      <c r="AAY3" s="7"/>
      <c r="AAZ3" s="7"/>
      <c r="ABA3" s="7"/>
      <c r="ABB3" s="7"/>
      <c r="ABC3" s="7"/>
      <c r="ABD3" s="7"/>
      <c r="ABE3" s="7"/>
      <c r="ABF3" s="7"/>
      <c r="ABG3" s="7"/>
      <c r="ABH3" s="7"/>
      <c r="ABI3" s="7"/>
      <c r="ABJ3" s="7"/>
      <c r="ABK3" s="7"/>
      <c r="ABL3" s="7"/>
      <c r="ABM3" s="7"/>
      <c r="ABN3" s="7"/>
      <c r="ABO3" s="7"/>
      <c r="ABP3" s="7"/>
      <c r="ABQ3" s="7"/>
      <c r="ABR3" s="7"/>
      <c r="ABS3" s="7"/>
      <c r="ABT3" s="7"/>
      <c r="ABU3" s="7"/>
      <c r="ABV3" s="7"/>
      <c r="ABW3" s="7"/>
      <c r="ABX3" s="7"/>
      <c r="ABY3" s="7"/>
      <c r="ABZ3" s="7"/>
      <c r="ACA3" s="7"/>
      <c r="ACB3" s="7"/>
      <c r="ACC3" s="7"/>
      <c r="ACD3" s="7"/>
      <c r="ACE3" s="7"/>
      <c r="ACF3" s="7"/>
      <c r="ACG3" s="7"/>
      <c r="ACH3" s="7"/>
      <c r="ACI3" s="7"/>
      <c r="ACJ3" s="7"/>
      <c r="ACK3" s="7"/>
      <c r="ACL3" s="7"/>
      <c r="ACM3" s="7"/>
      <c r="ACN3" s="7"/>
      <c r="ACO3" s="7"/>
      <c r="ACP3" s="7"/>
      <c r="ACQ3" s="7"/>
      <c r="ACR3" s="7"/>
      <c r="ACS3" s="7"/>
      <c r="ACT3" s="7"/>
      <c r="ACU3" s="7"/>
      <c r="ACV3" s="7"/>
      <c r="ACW3" s="7"/>
      <c r="ACX3" s="7"/>
      <c r="ACY3" s="7"/>
      <c r="ACZ3" s="7"/>
      <c r="ADA3" s="7"/>
      <c r="ADB3" s="7"/>
      <c r="ADC3" s="7"/>
      <c r="ADD3" s="7"/>
      <c r="ADE3" s="7"/>
      <c r="ADF3" s="7"/>
      <c r="ADG3" s="7"/>
      <c r="ADH3" s="7"/>
      <c r="ADI3" s="7"/>
      <c r="ADJ3" s="7"/>
      <c r="ADK3" s="7"/>
      <c r="ADL3" s="7"/>
      <c r="ADM3" s="7"/>
      <c r="ADN3" s="7"/>
      <c r="ADO3" s="7"/>
      <c r="ADP3" s="7"/>
      <c r="ADQ3" s="7"/>
      <c r="ADR3" s="7"/>
      <c r="ADS3" s="7"/>
      <c r="ADT3" s="7"/>
      <c r="ADU3" s="7"/>
      <c r="ADV3" s="7"/>
      <c r="ADW3" s="7"/>
      <c r="ADX3" s="7"/>
      <c r="ADY3" s="7"/>
      <c r="ADZ3" s="7"/>
      <c r="AEA3" s="7"/>
      <c r="AEB3" s="7"/>
      <c r="AEC3" s="7"/>
      <c r="AED3" s="7"/>
      <c r="AEE3" s="7"/>
      <c r="AEF3" s="7"/>
      <c r="AEG3" s="7"/>
      <c r="AEH3" s="7"/>
      <c r="AEI3" s="7"/>
      <c r="AEJ3" s="7"/>
      <c r="AEK3" s="7"/>
      <c r="AEL3" s="7"/>
      <c r="AEM3" s="7"/>
      <c r="AEN3" s="7"/>
      <c r="AEO3" s="7"/>
      <c r="AEP3" s="7"/>
      <c r="AEQ3" s="7"/>
      <c r="AER3" s="7"/>
      <c r="AES3" s="7"/>
      <c r="AET3" s="7"/>
      <c r="AEU3" s="7"/>
      <c r="AEV3" s="7"/>
      <c r="AEW3" s="7"/>
      <c r="AEX3" s="7"/>
      <c r="AEY3" s="7"/>
      <c r="AEZ3" s="7"/>
      <c r="AFA3" s="7"/>
      <c r="AFB3" s="7"/>
      <c r="AFC3" s="7"/>
      <c r="AFD3" s="7"/>
      <c r="AFE3" s="7"/>
      <c r="AFF3" s="7"/>
      <c r="AFG3" s="7"/>
      <c r="AFH3" s="7"/>
      <c r="AFI3" s="7"/>
      <c r="AFJ3" s="7"/>
      <c r="AFK3" s="7"/>
      <c r="AFL3" s="7"/>
      <c r="AFM3" s="7"/>
      <c r="AFN3" s="7"/>
      <c r="AFO3" s="7"/>
      <c r="AFP3" s="7"/>
      <c r="AFQ3" s="7"/>
      <c r="AFR3" s="7"/>
      <c r="AFS3" s="7"/>
      <c r="AFT3" s="7"/>
      <c r="AFU3" s="7"/>
      <c r="AFV3" s="7"/>
      <c r="AFW3" s="7"/>
      <c r="AFX3" s="7"/>
      <c r="AFY3" s="7"/>
      <c r="AFZ3" s="7"/>
      <c r="AGA3" s="7"/>
      <c r="AGB3" s="7"/>
      <c r="AGC3" s="7"/>
      <c r="AGD3" s="7"/>
      <c r="AGE3" s="7"/>
      <c r="AGF3" s="7"/>
      <c r="AGG3" s="7"/>
      <c r="AGH3" s="7"/>
      <c r="AGI3" s="7"/>
      <c r="AGJ3" s="7"/>
      <c r="AGK3" s="7"/>
      <c r="AGL3" s="7"/>
      <c r="AGM3" s="7"/>
      <c r="AGN3" s="7"/>
      <c r="AGO3" s="7"/>
      <c r="AGP3" s="7"/>
      <c r="AGQ3" s="7"/>
      <c r="AGR3" s="7"/>
      <c r="AGS3" s="7"/>
      <c r="AGT3" s="7"/>
      <c r="AGU3" s="7"/>
      <c r="AGV3" s="7"/>
      <c r="AGW3" s="7"/>
      <c r="AGX3" s="7"/>
      <c r="AGY3" s="7"/>
      <c r="AGZ3" s="7"/>
      <c r="AHA3" s="7"/>
      <c r="AHB3" s="7"/>
      <c r="AHC3" s="7"/>
      <c r="AHD3" s="7"/>
      <c r="AHE3" s="7"/>
      <c r="AHF3" s="7"/>
      <c r="AHG3" s="7"/>
      <c r="AHH3" s="7"/>
      <c r="AHI3" s="7"/>
      <c r="AHJ3" s="7"/>
      <c r="AHK3" s="7"/>
      <c r="AHL3" s="7"/>
      <c r="AHM3" s="7"/>
      <c r="AHN3" s="7"/>
      <c r="AHO3" s="7"/>
      <c r="AHP3" s="7"/>
      <c r="AHQ3" s="7"/>
      <c r="AHR3" s="7"/>
      <c r="AHS3" s="7"/>
      <c r="AHT3" s="7"/>
      <c r="AHU3" s="7"/>
      <c r="AHV3" s="7"/>
      <c r="AHW3" s="7"/>
      <c r="AHX3" s="7"/>
      <c r="AHY3" s="7"/>
      <c r="AHZ3" s="7"/>
      <c r="AIA3" s="7"/>
      <c r="AIB3" s="7"/>
      <c r="AIC3" s="7"/>
      <c r="AID3" s="7"/>
      <c r="AIE3" s="7"/>
      <c r="AIF3" s="7"/>
      <c r="AIG3" s="7"/>
      <c r="AIH3" s="7"/>
      <c r="AII3" s="7"/>
      <c r="AIJ3" s="7"/>
      <c r="AIK3" s="7"/>
      <c r="AIL3" s="7"/>
      <c r="AIM3" s="7"/>
      <c r="AIN3" s="7"/>
      <c r="AIO3" s="7"/>
      <c r="AIP3" s="7"/>
      <c r="AIQ3" s="7"/>
      <c r="AIR3" s="7"/>
      <c r="AIS3" s="7"/>
      <c r="AIT3" s="7"/>
      <c r="AIU3" s="7"/>
      <c r="AIV3" s="7"/>
      <c r="AIW3" s="7"/>
      <c r="AIX3" s="7"/>
      <c r="AIY3" s="7"/>
      <c r="AIZ3" s="7"/>
      <c r="AJA3" s="7"/>
      <c r="AJB3" s="7"/>
      <c r="AJC3" s="7"/>
      <c r="AJD3" s="7"/>
      <c r="AJE3" s="7"/>
      <c r="AJF3" s="7"/>
      <c r="AJG3" s="7"/>
      <c r="AJH3" s="7"/>
      <c r="AJI3" s="7"/>
      <c r="AJJ3" s="7"/>
      <c r="AJK3" s="7"/>
      <c r="AJL3" s="7"/>
      <c r="AJM3" s="7"/>
      <c r="AJN3" s="7"/>
      <c r="AJO3" s="7"/>
      <c r="AJP3" s="7"/>
      <c r="AJQ3" s="7"/>
      <c r="AJR3" s="7"/>
      <c r="AJS3" s="7"/>
      <c r="AJT3" s="7"/>
      <c r="AJU3" s="7"/>
      <c r="AJV3" s="7"/>
      <c r="AJW3" s="7"/>
      <c r="AJX3" s="7"/>
      <c r="AJY3" s="7"/>
      <c r="AJZ3" s="7"/>
      <c r="AKA3" s="7"/>
      <c r="AKB3" s="7"/>
      <c r="AKC3" s="7"/>
      <c r="AKD3" s="7"/>
      <c r="AKE3" s="7"/>
      <c r="AKF3" s="7"/>
      <c r="AKG3" s="7"/>
      <c r="AKH3" s="7"/>
      <c r="AKI3" s="7"/>
      <c r="AKJ3" s="7"/>
      <c r="AKK3" s="7"/>
      <c r="AKL3" s="7"/>
      <c r="AKM3" s="7"/>
      <c r="AKN3" s="7"/>
      <c r="AKO3" s="7"/>
      <c r="AKP3" s="7"/>
      <c r="AKQ3" s="7"/>
      <c r="AKR3" s="7"/>
      <c r="AKS3" s="7"/>
      <c r="AKT3" s="7"/>
      <c r="AKU3" s="7"/>
      <c r="AKV3" s="7"/>
      <c r="AKW3" s="7"/>
      <c r="AKX3" s="7"/>
      <c r="AKY3" s="7"/>
      <c r="AKZ3" s="7"/>
      <c r="ALA3" s="7"/>
      <c r="ALB3" s="7"/>
      <c r="ALC3" s="7"/>
      <c r="ALD3" s="7"/>
      <c r="ALE3" s="7"/>
      <c r="ALF3" s="7"/>
      <c r="ALG3" s="7"/>
      <c r="ALH3" s="7"/>
      <c r="ALI3" s="7"/>
      <c r="ALJ3" s="7"/>
      <c r="ALK3" s="7"/>
      <c r="ALL3" s="7"/>
      <c r="ALM3" s="7"/>
      <c r="ALN3" s="7"/>
      <c r="ALO3" s="7"/>
      <c r="ALP3" s="7"/>
      <c r="ALQ3" s="7"/>
      <c r="ALR3" s="7"/>
      <c r="ALS3" s="7"/>
      <c r="ALT3" s="7"/>
      <c r="ALU3" s="7"/>
      <c r="ALV3" s="7"/>
      <c r="ALW3" s="7"/>
      <c r="ALX3" s="7"/>
      <c r="ALY3" s="7"/>
      <c r="ALZ3" s="7"/>
      <c r="AMA3" s="7"/>
      <c r="AMB3" s="7"/>
      <c r="AMC3" s="7"/>
      <c r="AMD3" s="7"/>
      <c r="AME3" s="7"/>
      <c r="AMF3" s="7"/>
      <c r="AMG3" s="7"/>
      <c r="AMH3" s="7"/>
      <c r="AMI3" s="7"/>
      <c r="AMJ3" s="7"/>
    </row>
    <row r="4" customFormat="false" ht="67.15" hidden="false" customHeight="true" outlineLevel="0" collapsed="false">
      <c r="A4" s="6" t="s">
        <v>7</v>
      </c>
      <c r="B4" s="7" t="s">
        <v>8</v>
      </c>
      <c r="C4" s="6" t="s">
        <v>9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/>
      <c r="KM4" s="7"/>
      <c r="KN4" s="7"/>
      <c r="KO4" s="7"/>
      <c r="KP4" s="7"/>
      <c r="KQ4" s="7"/>
      <c r="KR4" s="7"/>
      <c r="KS4" s="7"/>
      <c r="KT4" s="7"/>
      <c r="KU4" s="7"/>
      <c r="KV4" s="7"/>
      <c r="KW4" s="7"/>
      <c r="KX4" s="7"/>
      <c r="KY4" s="7"/>
      <c r="KZ4" s="7"/>
      <c r="LA4" s="7"/>
      <c r="LB4" s="7"/>
      <c r="LC4" s="7"/>
      <c r="LD4" s="7"/>
      <c r="LE4" s="7"/>
      <c r="LF4" s="7"/>
      <c r="LG4" s="7"/>
      <c r="LH4" s="7"/>
      <c r="LI4" s="7"/>
      <c r="LJ4" s="7"/>
      <c r="LK4" s="7"/>
      <c r="LL4" s="7"/>
      <c r="LM4" s="7"/>
      <c r="LN4" s="7"/>
      <c r="LO4" s="7"/>
      <c r="LP4" s="7"/>
      <c r="LQ4" s="7"/>
      <c r="LR4" s="7"/>
      <c r="LS4" s="7"/>
      <c r="LT4" s="7"/>
      <c r="LU4" s="7"/>
      <c r="LV4" s="7"/>
      <c r="LW4" s="7"/>
      <c r="LX4" s="7"/>
      <c r="LY4" s="7"/>
      <c r="LZ4" s="7"/>
      <c r="MA4" s="7"/>
      <c r="MB4" s="7"/>
      <c r="MC4" s="7"/>
      <c r="MD4" s="7"/>
      <c r="ME4" s="7"/>
      <c r="MF4" s="7"/>
      <c r="MG4" s="7"/>
      <c r="MH4" s="7"/>
      <c r="MI4" s="7"/>
      <c r="MJ4" s="7"/>
      <c r="MK4" s="7"/>
      <c r="ML4" s="7"/>
      <c r="MM4" s="7"/>
      <c r="MN4" s="7"/>
      <c r="MO4" s="7"/>
      <c r="MP4" s="7"/>
      <c r="MQ4" s="7"/>
      <c r="MR4" s="7"/>
      <c r="MS4" s="7"/>
      <c r="MT4" s="7"/>
      <c r="MU4" s="7"/>
      <c r="MV4" s="7"/>
      <c r="MW4" s="7"/>
      <c r="MX4" s="7"/>
      <c r="MY4" s="7"/>
      <c r="MZ4" s="7"/>
      <c r="NA4" s="7"/>
      <c r="NB4" s="7"/>
      <c r="NC4" s="7"/>
      <c r="ND4" s="7"/>
      <c r="NE4" s="7"/>
      <c r="NF4" s="7"/>
      <c r="NG4" s="7"/>
      <c r="NH4" s="7"/>
      <c r="NI4" s="7"/>
      <c r="NJ4" s="7"/>
      <c r="NK4" s="7"/>
      <c r="NL4" s="7"/>
      <c r="NM4" s="7"/>
      <c r="NN4" s="7"/>
      <c r="NO4" s="7"/>
      <c r="NP4" s="7"/>
      <c r="NQ4" s="7"/>
      <c r="NR4" s="7"/>
      <c r="NS4" s="7"/>
      <c r="NT4" s="7"/>
      <c r="NU4" s="7"/>
      <c r="NV4" s="7"/>
      <c r="NW4" s="7"/>
      <c r="NX4" s="7"/>
      <c r="NY4" s="7"/>
      <c r="NZ4" s="7"/>
      <c r="OA4" s="7"/>
      <c r="OB4" s="7"/>
      <c r="OC4" s="7"/>
      <c r="OD4" s="7"/>
      <c r="OE4" s="7"/>
      <c r="OF4" s="7"/>
      <c r="OG4" s="7"/>
      <c r="OH4" s="7"/>
      <c r="OI4" s="7"/>
      <c r="OJ4" s="7"/>
      <c r="OK4" s="7"/>
      <c r="OL4" s="7"/>
      <c r="OM4" s="7"/>
      <c r="ON4" s="7"/>
      <c r="OO4" s="7"/>
      <c r="OP4" s="7"/>
      <c r="OQ4" s="7"/>
      <c r="OR4" s="7"/>
      <c r="OS4" s="7"/>
      <c r="OT4" s="7"/>
      <c r="OU4" s="7"/>
      <c r="OV4" s="7"/>
      <c r="OW4" s="7"/>
      <c r="OX4" s="7"/>
      <c r="OY4" s="7"/>
      <c r="OZ4" s="7"/>
      <c r="PA4" s="7"/>
      <c r="PB4" s="7"/>
      <c r="PC4" s="7"/>
      <c r="PD4" s="7"/>
      <c r="PE4" s="7"/>
      <c r="PF4" s="7"/>
      <c r="PG4" s="7"/>
      <c r="PH4" s="7"/>
      <c r="PI4" s="7"/>
      <c r="PJ4" s="7"/>
      <c r="PK4" s="7"/>
      <c r="PL4" s="7"/>
      <c r="PM4" s="7"/>
      <c r="PN4" s="7"/>
      <c r="PO4" s="7"/>
      <c r="PP4" s="7"/>
      <c r="PQ4" s="7"/>
      <c r="PR4" s="7"/>
      <c r="PS4" s="7"/>
      <c r="PT4" s="7"/>
      <c r="PU4" s="7"/>
      <c r="PV4" s="7"/>
      <c r="PW4" s="7"/>
      <c r="PX4" s="7"/>
      <c r="PY4" s="7"/>
      <c r="PZ4" s="7"/>
      <c r="QA4" s="7"/>
      <c r="QB4" s="7"/>
      <c r="QC4" s="7"/>
      <c r="QD4" s="7"/>
      <c r="QE4" s="7"/>
      <c r="QF4" s="7"/>
      <c r="QG4" s="7"/>
      <c r="QH4" s="7"/>
      <c r="QI4" s="7"/>
      <c r="QJ4" s="7"/>
      <c r="QK4" s="7"/>
      <c r="QL4" s="7"/>
      <c r="QM4" s="7"/>
      <c r="QN4" s="7"/>
      <c r="QO4" s="7"/>
      <c r="QP4" s="7"/>
      <c r="QQ4" s="7"/>
      <c r="QR4" s="7"/>
      <c r="QS4" s="7"/>
      <c r="QT4" s="7"/>
      <c r="QU4" s="7"/>
      <c r="QV4" s="7"/>
      <c r="QW4" s="7"/>
      <c r="QX4" s="7"/>
      <c r="QY4" s="7"/>
      <c r="QZ4" s="7"/>
      <c r="RA4" s="7"/>
      <c r="RB4" s="7"/>
      <c r="RC4" s="7"/>
      <c r="RD4" s="7"/>
      <c r="RE4" s="7"/>
      <c r="RF4" s="7"/>
      <c r="RG4" s="7"/>
      <c r="RH4" s="7"/>
      <c r="RI4" s="7"/>
      <c r="RJ4" s="7"/>
      <c r="RK4" s="7"/>
      <c r="RL4" s="7"/>
      <c r="RM4" s="7"/>
      <c r="RN4" s="7"/>
      <c r="RO4" s="7"/>
      <c r="RP4" s="7"/>
      <c r="RQ4" s="7"/>
      <c r="RR4" s="7"/>
      <c r="RS4" s="7"/>
      <c r="RT4" s="7"/>
      <c r="RU4" s="7"/>
      <c r="RV4" s="7"/>
      <c r="RW4" s="7"/>
      <c r="RX4" s="7"/>
      <c r="RY4" s="7"/>
      <c r="RZ4" s="7"/>
      <c r="SA4" s="7"/>
      <c r="SB4" s="7"/>
      <c r="SC4" s="7"/>
      <c r="SD4" s="7"/>
      <c r="SE4" s="7"/>
      <c r="SF4" s="7"/>
      <c r="SG4" s="7"/>
      <c r="SH4" s="7"/>
      <c r="SI4" s="7"/>
      <c r="SJ4" s="7"/>
      <c r="SK4" s="7"/>
      <c r="SL4" s="7"/>
      <c r="SM4" s="7"/>
      <c r="SN4" s="7"/>
      <c r="SO4" s="7"/>
      <c r="SP4" s="7"/>
      <c r="SQ4" s="7"/>
      <c r="SR4" s="7"/>
      <c r="SS4" s="7"/>
      <c r="ST4" s="7"/>
      <c r="SU4" s="7"/>
      <c r="SV4" s="7"/>
      <c r="SW4" s="7"/>
      <c r="SX4" s="7"/>
      <c r="SY4" s="7"/>
      <c r="SZ4" s="7"/>
      <c r="TA4" s="7"/>
      <c r="TB4" s="7"/>
      <c r="TC4" s="7"/>
      <c r="TD4" s="7"/>
      <c r="TE4" s="7"/>
      <c r="TF4" s="7"/>
      <c r="TG4" s="7"/>
      <c r="TH4" s="7"/>
      <c r="TI4" s="7"/>
      <c r="TJ4" s="7"/>
      <c r="TK4" s="7"/>
      <c r="TL4" s="7"/>
      <c r="TM4" s="7"/>
      <c r="TN4" s="7"/>
      <c r="TO4" s="7"/>
      <c r="TP4" s="7"/>
      <c r="TQ4" s="7"/>
      <c r="TR4" s="7"/>
      <c r="TS4" s="7"/>
      <c r="TT4" s="7"/>
      <c r="TU4" s="7"/>
      <c r="TV4" s="7"/>
      <c r="TW4" s="7"/>
      <c r="TX4" s="7"/>
      <c r="TY4" s="7"/>
      <c r="TZ4" s="7"/>
      <c r="UA4" s="7"/>
      <c r="UB4" s="7"/>
      <c r="UC4" s="7"/>
      <c r="UD4" s="7"/>
      <c r="UE4" s="7"/>
      <c r="UF4" s="7"/>
      <c r="UG4" s="7"/>
      <c r="UH4" s="7"/>
      <c r="UI4" s="7"/>
      <c r="UJ4" s="7"/>
      <c r="UK4" s="7"/>
      <c r="UL4" s="7"/>
      <c r="UM4" s="7"/>
      <c r="UN4" s="7"/>
      <c r="UO4" s="7"/>
      <c r="UP4" s="7"/>
      <c r="UQ4" s="7"/>
      <c r="UR4" s="7"/>
      <c r="US4" s="7"/>
      <c r="UT4" s="7"/>
      <c r="UU4" s="7"/>
      <c r="UV4" s="7"/>
      <c r="UW4" s="7"/>
      <c r="UX4" s="7"/>
      <c r="UY4" s="7"/>
      <c r="UZ4" s="7"/>
      <c r="VA4" s="7"/>
      <c r="VB4" s="7"/>
      <c r="VC4" s="7"/>
      <c r="VD4" s="7"/>
      <c r="VE4" s="7"/>
      <c r="VF4" s="7"/>
      <c r="VG4" s="7"/>
      <c r="VH4" s="7"/>
      <c r="VI4" s="7"/>
      <c r="VJ4" s="7"/>
      <c r="VK4" s="7"/>
      <c r="VL4" s="7"/>
      <c r="VM4" s="7"/>
      <c r="VN4" s="7"/>
      <c r="VO4" s="7"/>
      <c r="VP4" s="7"/>
      <c r="VQ4" s="7"/>
      <c r="VR4" s="7"/>
      <c r="VS4" s="7"/>
      <c r="VT4" s="7"/>
      <c r="VU4" s="7"/>
      <c r="VV4" s="7"/>
      <c r="VW4" s="7"/>
      <c r="VX4" s="7"/>
      <c r="VY4" s="7"/>
      <c r="VZ4" s="7"/>
      <c r="WA4" s="7"/>
      <c r="WB4" s="7"/>
      <c r="WC4" s="7"/>
      <c r="WD4" s="7"/>
      <c r="WE4" s="7"/>
      <c r="WF4" s="7"/>
      <c r="WG4" s="7"/>
      <c r="WH4" s="7"/>
      <c r="WI4" s="7"/>
      <c r="WJ4" s="7"/>
      <c r="WK4" s="7"/>
      <c r="WL4" s="7"/>
      <c r="WM4" s="7"/>
      <c r="WN4" s="7"/>
      <c r="WO4" s="7"/>
      <c r="WP4" s="7"/>
      <c r="WQ4" s="7"/>
      <c r="WR4" s="7"/>
      <c r="WS4" s="7"/>
      <c r="WT4" s="7"/>
      <c r="WU4" s="7"/>
      <c r="WV4" s="7"/>
      <c r="WW4" s="7"/>
      <c r="WX4" s="7"/>
      <c r="WY4" s="7"/>
      <c r="WZ4" s="7"/>
      <c r="XA4" s="7"/>
      <c r="XB4" s="7"/>
      <c r="XC4" s="7"/>
      <c r="XD4" s="7"/>
      <c r="XE4" s="7"/>
      <c r="XF4" s="7"/>
      <c r="XG4" s="7"/>
      <c r="XH4" s="7"/>
      <c r="XI4" s="7"/>
      <c r="XJ4" s="7"/>
      <c r="XK4" s="7"/>
      <c r="XL4" s="7"/>
      <c r="XM4" s="7"/>
      <c r="XN4" s="7"/>
      <c r="XO4" s="7"/>
      <c r="XP4" s="7"/>
      <c r="XQ4" s="7"/>
      <c r="XR4" s="7"/>
      <c r="XS4" s="7"/>
      <c r="XT4" s="7"/>
      <c r="XU4" s="7"/>
      <c r="XV4" s="7"/>
      <c r="XW4" s="7"/>
      <c r="XX4" s="7"/>
      <c r="XY4" s="7"/>
      <c r="XZ4" s="7"/>
      <c r="YA4" s="7"/>
      <c r="YB4" s="7"/>
      <c r="YC4" s="7"/>
      <c r="YD4" s="7"/>
      <c r="YE4" s="7"/>
      <c r="YF4" s="7"/>
      <c r="YG4" s="7"/>
      <c r="YH4" s="7"/>
      <c r="YI4" s="7"/>
      <c r="YJ4" s="7"/>
      <c r="YK4" s="7"/>
      <c r="YL4" s="7"/>
      <c r="YM4" s="7"/>
      <c r="YN4" s="7"/>
      <c r="YO4" s="7"/>
      <c r="YP4" s="7"/>
      <c r="YQ4" s="7"/>
      <c r="YR4" s="7"/>
      <c r="YS4" s="7"/>
      <c r="YT4" s="7"/>
      <c r="YU4" s="7"/>
      <c r="YV4" s="7"/>
      <c r="YW4" s="7"/>
      <c r="YX4" s="7"/>
      <c r="YY4" s="7"/>
      <c r="YZ4" s="7"/>
      <c r="ZA4" s="7"/>
      <c r="ZB4" s="7"/>
      <c r="ZC4" s="7"/>
      <c r="ZD4" s="7"/>
      <c r="ZE4" s="7"/>
      <c r="ZF4" s="7"/>
      <c r="ZG4" s="7"/>
      <c r="ZH4" s="7"/>
      <c r="ZI4" s="7"/>
      <c r="ZJ4" s="7"/>
      <c r="ZK4" s="7"/>
      <c r="ZL4" s="7"/>
      <c r="ZM4" s="7"/>
      <c r="ZN4" s="7"/>
      <c r="ZO4" s="7"/>
      <c r="ZP4" s="7"/>
      <c r="ZQ4" s="7"/>
      <c r="ZR4" s="7"/>
      <c r="ZS4" s="7"/>
      <c r="ZT4" s="7"/>
      <c r="ZU4" s="7"/>
      <c r="ZV4" s="7"/>
      <c r="ZW4" s="7"/>
      <c r="ZX4" s="7"/>
      <c r="ZY4" s="7"/>
      <c r="ZZ4" s="7"/>
      <c r="AAA4" s="7"/>
      <c r="AAB4" s="7"/>
      <c r="AAC4" s="7"/>
      <c r="AAD4" s="7"/>
      <c r="AAE4" s="7"/>
      <c r="AAF4" s="7"/>
      <c r="AAG4" s="7"/>
      <c r="AAH4" s="7"/>
      <c r="AAI4" s="7"/>
      <c r="AAJ4" s="7"/>
      <c r="AAK4" s="7"/>
      <c r="AAL4" s="7"/>
      <c r="AAM4" s="7"/>
      <c r="AAN4" s="7"/>
      <c r="AAO4" s="7"/>
      <c r="AAP4" s="7"/>
      <c r="AAQ4" s="7"/>
      <c r="AAR4" s="7"/>
      <c r="AAS4" s="7"/>
      <c r="AAT4" s="7"/>
      <c r="AAU4" s="7"/>
      <c r="AAV4" s="7"/>
      <c r="AAW4" s="7"/>
      <c r="AAX4" s="7"/>
      <c r="AAY4" s="7"/>
      <c r="AAZ4" s="7"/>
      <c r="ABA4" s="7"/>
      <c r="ABB4" s="7"/>
      <c r="ABC4" s="7"/>
      <c r="ABD4" s="7"/>
      <c r="ABE4" s="7"/>
      <c r="ABF4" s="7"/>
      <c r="ABG4" s="7"/>
      <c r="ABH4" s="7"/>
      <c r="ABI4" s="7"/>
      <c r="ABJ4" s="7"/>
      <c r="ABK4" s="7"/>
      <c r="ABL4" s="7"/>
      <c r="ABM4" s="7"/>
      <c r="ABN4" s="7"/>
      <c r="ABO4" s="7"/>
      <c r="ABP4" s="7"/>
      <c r="ABQ4" s="7"/>
      <c r="ABR4" s="7"/>
      <c r="ABS4" s="7"/>
      <c r="ABT4" s="7"/>
      <c r="ABU4" s="7"/>
      <c r="ABV4" s="7"/>
      <c r="ABW4" s="7"/>
      <c r="ABX4" s="7"/>
      <c r="ABY4" s="7"/>
      <c r="ABZ4" s="7"/>
      <c r="ACA4" s="7"/>
      <c r="ACB4" s="7"/>
      <c r="ACC4" s="7"/>
      <c r="ACD4" s="7"/>
      <c r="ACE4" s="7"/>
      <c r="ACF4" s="7"/>
      <c r="ACG4" s="7"/>
      <c r="ACH4" s="7"/>
      <c r="ACI4" s="7"/>
      <c r="ACJ4" s="7"/>
      <c r="ACK4" s="7"/>
      <c r="ACL4" s="7"/>
      <c r="ACM4" s="7"/>
      <c r="ACN4" s="7"/>
      <c r="ACO4" s="7"/>
      <c r="ACP4" s="7"/>
      <c r="ACQ4" s="7"/>
      <c r="ACR4" s="7"/>
      <c r="ACS4" s="7"/>
      <c r="ACT4" s="7"/>
      <c r="ACU4" s="7"/>
      <c r="ACV4" s="7"/>
      <c r="ACW4" s="7"/>
      <c r="ACX4" s="7"/>
      <c r="ACY4" s="7"/>
      <c r="ACZ4" s="7"/>
      <c r="ADA4" s="7"/>
      <c r="ADB4" s="7"/>
      <c r="ADC4" s="7"/>
      <c r="ADD4" s="7"/>
      <c r="ADE4" s="7"/>
      <c r="ADF4" s="7"/>
      <c r="ADG4" s="7"/>
      <c r="ADH4" s="7"/>
      <c r="ADI4" s="7"/>
      <c r="ADJ4" s="7"/>
      <c r="ADK4" s="7"/>
      <c r="ADL4" s="7"/>
      <c r="ADM4" s="7"/>
      <c r="ADN4" s="7"/>
      <c r="ADO4" s="7"/>
      <c r="ADP4" s="7"/>
      <c r="ADQ4" s="7"/>
      <c r="ADR4" s="7"/>
      <c r="ADS4" s="7"/>
      <c r="ADT4" s="7"/>
      <c r="ADU4" s="7"/>
      <c r="ADV4" s="7"/>
      <c r="ADW4" s="7"/>
      <c r="ADX4" s="7"/>
      <c r="ADY4" s="7"/>
      <c r="ADZ4" s="7"/>
      <c r="AEA4" s="7"/>
      <c r="AEB4" s="7"/>
      <c r="AEC4" s="7"/>
      <c r="AED4" s="7"/>
      <c r="AEE4" s="7"/>
      <c r="AEF4" s="7"/>
      <c r="AEG4" s="7"/>
      <c r="AEH4" s="7"/>
      <c r="AEI4" s="7"/>
      <c r="AEJ4" s="7"/>
      <c r="AEK4" s="7"/>
      <c r="AEL4" s="7"/>
      <c r="AEM4" s="7"/>
      <c r="AEN4" s="7"/>
      <c r="AEO4" s="7"/>
      <c r="AEP4" s="7"/>
      <c r="AEQ4" s="7"/>
      <c r="AER4" s="7"/>
      <c r="AES4" s="7"/>
      <c r="AET4" s="7"/>
      <c r="AEU4" s="7"/>
      <c r="AEV4" s="7"/>
      <c r="AEW4" s="7"/>
      <c r="AEX4" s="7"/>
      <c r="AEY4" s="7"/>
      <c r="AEZ4" s="7"/>
      <c r="AFA4" s="7"/>
      <c r="AFB4" s="7"/>
      <c r="AFC4" s="7"/>
      <c r="AFD4" s="7"/>
      <c r="AFE4" s="7"/>
      <c r="AFF4" s="7"/>
      <c r="AFG4" s="7"/>
      <c r="AFH4" s="7"/>
      <c r="AFI4" s="7"/>
      <c r="AFJ4" s="7"/>
      <c r="AFK4" s="7"/>
      <c r="AFL4" s="7"/>
      <c r="AFM4" s="7"/>
      <c r="AFN4" s="7"/>
      <c r="AFO4" s="7"/>
      <c r="AFP4" s="7"/>
      <c r="AFQ4" s="7"/>
      <c r="AFR4" s="7"/>
      <c r="AFS4" s="7"/>
      <c r="AFT4" s="7"/>
      <c r="AFU4" s="7"/>
      <c r="AFV4" s="7"/>
      <c r="AFW4" s="7"/>
      <c r="AFX4" s="7"/>
      <c r="AFY4" s="7"/>
      <c r="AFZ4" s="7"/>
      <c r="AGA4" s="7"/>
      <c r="AGB4" s="7"/>
      <c r="AGC4" s="7"/>
      <c r="AGD4" s="7"/>
      <c r="AGE4" s="7"/>
      <c r="AGF4" s="7"/>
      <c r="AGG4" s="7"/>
      <c r="AGH4" s="7"/>
      <c r="AGI4" s="7"/>
      <c r="AGJ4" s="7"/>
      <c r="AGK4" s="7"/>
      <c r="AGL4" s="7"/>
      <c r="AGM4" s="7"/>
      <c r="AGN4" s="7"/>
      <c r="AGO4" s="7"/>
      <c r="AGP4" s="7"/>
      <c r="AGQ4" s="7"/>
      <c r="AGR4" s="7"/>
      <c r="AGS4" s="7"/>
      <c r="AGT4" s="7"/>
      <c r="AGU4" s="7"/>
      <c r="AGV4" s="7"/>
      <c r="AGW4" s="7"/>
      <c r="AGX4" s="7"/>
      <c r="AGY4" s="7"/>
      <c r="AGZ4" s="7"/>
      <c r="AHA4" s="7"/>
      <c r="AHB4" s="7"/>
      <c r="AHC4" s="7"/>
      <c r="AHD4" s="7"/>
      <c r="AHE4" s="7"/>
      <c r="AHF4" s="7"/>
      <c r="AHG4" s="7"/>
      <c r="AHH4" s="7"/>
      <c r="AHI4" s="7"/>
      <c r="AHJ4" s="7"/>
      <c r="AHK4" s="7"/>
      <c r="AHL4" s="7"/>
      <c r="AHM4" s="7"/>
      <c r="AHN4" s="7"/>
      <c r="AHO4" s="7"/>
      <c r="AHP4" s="7"/>
      <c r="AHQ4" s="7"/>
      <c r="AHR4" s="7"/>
      <c r="AHS4" s="7"/>
      <c r="AHT4" s="7"/>
      <c r="AHU4" s="7"/>
      <c r="AHV4" s="7"/>
      <c r="AHW4" s="7"/>
      <c r="AHX4" s="7"/>
      <c r="AHY4" s="7"/>
      <c r="AHZ4" s="7"/>
      <c r="AIA4" s="7"/>
      <c r="AIB4" s="7"/>
      <c r="AIC4" s="7"/>
      <c r="AID4" s="7"/>
      <c r="AIE4" s="7"/>
      <c r="AIF4" s="7"/>
      <c r="AIG4" s="7"/>
      <c r="AIH4" s="7"/>
      <c r="AII4" s="7"/>
      <c r="AIJ4" s="7"/>
      <c r="AIK4" s="7"/>
      <c r="AIL4" s="7"/>
      <c r="AIM4" s="7"/>
      <c r="AIN4" s="7"/>
      <c r="AIO4" s="7"/>
      <c r="AIP4" s="7"/>
      <c r="AIQ4" s="7"/>
      <c r="AIR4" s="7"/>
      <c r="AIS4" s="7"/>
      <c r="AIT4" s="7"/>
      <c r="AIU4" s="7"/>
      <c r="AIV4" s="7"/>
      <c r="AIW4" s="7"/>
      <c r="AIX4" s="7"/>
      <c r="AIY4" s="7"/>
      <c r="AIZ4" s="7"/>
      <c r="AJA4" s="7"/>
      <c r="AJB4" s="7"/>
      <c r="AJC4" s="7"/>
      <c r="AJD4" s="7"/>
      <c r="AJE4" s="7"/>
      <c r="AJF4" s="7"/>
      <c r="AJG4" s="7"/>
      <c r="AJH4" s="7"/>
      <c r="AJI4" s="7"/>
      <c r="AJJ4" s="7"/>
      <c r="AJK4" s="7"/>
      <c r="AJL4" s="7"/>
      <c r="AJM4" s="7"/>
      <c r="AJN4" s="7"/>
      <c r="AJO4" s="7"/>
      <c r="AJP4" s="7"/>
      <c r="AJQ4" s="7"/>
      <c r="AJR4" s="7"/>
      <c r="AJS4" s="7"/>
      <c r="AJT4" s="7"/>
      <c r="AJU4" s="7"/>
      <c r="AJV4" s="7"/>
      <c r="AJW4" s="7"/>
      <c r="AJX4" s="7"/>
      <c r="AJY4" s="7"/>
      <c r="AJZ4" s="7"/>
      <c r="AKA4" s="7"/>
      <c r="AKB4" s="7"/>
      <c r="AKC4" s="7"/>
      <c r="AKD4" s="7"/>
      <c r="AKE4" s="7"/>
      <c r="AKF4" s="7"/>
      <c r="AKG4" s="7"/>
      <c r="AKH4" s="7"/>
      <c r="AKI4" s="7"/>
      <c r="AKJ4" s="7"/>
      <c r="AKK4" s="7"/>
      <c r="AKL4" s="7"/>
      <c r="AKM4" s="7"/>
      <c r="AKN4" s="7"/>
      <c r="AKO4" s="7"/>
      <c r="AKP4" s="7"/>
      <c r="AKQ4" s="7"/>
      <c r="AKR4" s="7"/>
      <c r="AKS4" s="7"/>
      <c r="AKT4" s="7"/>
      <c r="AKU4" s="7"/>
      <c r="AKV4" s="7"/>
      <c r="AKW4" s="7"/>
      <c r="AKX4" s="7"/>
      <c r="AKY4" s="7"/>
      <c r="AKZ4" s="7"/>
      <c r="ALA4" s="7"/>
      <c r="ALB4" s="7"/>
      <c r="ALC4" s="7"/>
      <c r="ALD4" s="7"/>
      <c r="ALE4" s="7"/>
      <c r="ALF4" s="7"/>
      <c r="ALG4" s="7"/>
      <c r="ALH4" s="7"/>
      <c r="ALI4" s="7"/>
      <c r="ALJ4" s="7"/>
      <c r="ALK4" s="7"/>
      <c r="ALL4" s="7"/>
      <c r="ALM4" s="7"/>
      <c r="ALN4" s="7"/>
      <c r="ALO4" s="7"/>
      <c r="ALP4" s="7"/>
      <c r="ALQ4" s="7"/>
      <c r="ALR4" s="7"/>
      <c r="ALS4" s="7"/>
      <c r="ALT4" s="7"/>
      <c r="ALU4" s="7"/>
      <c r="ALV4" s="7"/>
      <c r="ALW4" s="7"/>
      <c r="ALX4" s="7"/>
      <c r="ALY4" s="7"/>
      <c r="ALZ4" s="7"/>
      <c r="AMA4" s="7"/>
      <c r="AMB4" s="7"/>
      <c r="AMC4" s="7"/>
      <c r="AMD4" s="7"/>
      <c r="AME4" s="7"/>
      <c r="AMF4" s="7"/>
      <c r="AMG4" s="7"/>
      <c r="AMH4" s="7"/>
      <c r="AMI4" s="7"/>
      <c r="AMJ4" s="7"/>
    </row>
    <row r="5" customFormat="false" ht="67.15" hidden="false" customHeight="true" outlineLevel="0" collapsed="false">
      <c r="A5" s="6" t="s">
        <v>10</v>
      </c>
      <c r="B5" s="7" t="s">
        <v>8</v>
      </c>
      <c r="C5" s="6" t="s">
        <v>11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7"/>
      <c r="KO5" s="7"/>
      <c r="KP5" s="7"/>
      <c r="KQ5" s="7"/>
      <c r="KR5" s="7"/>
      <c r="KS5" s="7"/>
      <c r="KT5" s="7"/>
      <c r="KU5" s="7"/>
      <c r="KV5" s="7"/>
      <c r="KW5" s="7"/>
      <c r="KX5" s="7"/>
      <c r="KY5" s="7"/>
      <c r="KZ5" s="7"/>
      <c r="LA5" s="7"/>
      <c r="LB5" s="7"/>
      <c r="LC5" s="7"/>
      <c r="LD5" s="7"/>
      <c r="LE5" s="7"/>
      <c r="LF5" s="7"/>
      <c r="LG5" s="7"/>
      <c r="LH5" s="7"/>
      <c r="LI5" s="7"/>
      <c r="LJ5" s="7"/>
      <c r="LK5" s="7"/>
      <c r="LL5" s="7"/>
      <c r="LM5" s="7"/>
      <c r="LN5" s="7"/>
      <c r="LO5" s="7"/>
      <c r="LP5" s="7"/>
      <c r="LQ5" s="7"/>
      <c r="LR5" s="7"/>
      <c r="LS5" s="7"/>
      <c r="LT5" s="7"/>
      <c r="LU5" s="7"/>
      <c r="LV5" s="7"/>
      <c r="LW5" s="7"/>
      <c r="LX5" s="7"/>
      <c r="LY5" s="7"/>
      <c r="LZ5" s="7"/>
      <c r="MA5" s="7"/>
      <c r="MB5" s="7"/>
      <c r="MC5" s="7"/>
      <c r="MD5" s="7"/>
      <c r="ME5" s="7"/>
      <c r="MF5" s="7"/>
      <c r="MG5" s="7"/>
      <c r="MH5" s="7"/>
      <c r="MI5" s="7"/>
      <c r="MJ5" s="7"/>
      <c r="MK5" s="7"/>
      <c r="ML5" s="7"/>
      <c r="MM5" s="7"/>
      <c r="MN5" s="7"/>
      <c r="MO5" s="7"/>
      <c r="MP5" s="7"/>
      <c r="MQ5" s="7"/>
      <c r="MR5" s="7"/>
      <c r="MS5" s="7"/>
      <c r="MT5" s="7"/>
      <c r="MU5" s="7"/>
      <c r="MV5" s="7"/>
      <c r="MW5" s="7"/>
      <c r="MX5" s="7"/>
      <c r="MY5" s="7"/>
      <c r="MZ5" s="7"/>
      <c r="NA5" s="7"/>
      <c r="NB5" s="7"/>
      <c r="NC5" s="7"/>
      <c r="ND5" s="7"/>
      <c r="NE5" s="7"/>
      <c r="NF5" s="7"/>
      <c r="NG5" s="7"/>
      <c r="NH5" s="7"/>
      <c r="NI5" s="7"/>
      <c r="NJ5" s="7"/>
      <c r="NK5" s="7"/>
      <c r="NL5" s="7"/>
      <c r="NM5" s="7"/>
      <c r="NN5" s="7"/>
      <c r="NO5" s="7"/>
      <c r="NP5" s="7"/>
      <c r="NQ5" s="7"/>
      <c r="NR5" s="7"/>
      <c r="NS5" s="7"/>
      <c r="NT5" s="7"/>
      <c r="NU5" s="7"/>
      <c r="NV5" s="7"/>
      <c r="NW5" s="7"/>
      <c r="NX5" s="7"/>
      <c r="NY5" s="7"/>
      <c r="NZ5" s="7"/>
      <c r="OA5" s="7"/>
      <c r="OB5" s="7"/>
      <c r="OC5" s="7"/>
      <c r="OD5" s="7"/>
      <c r="OE5" s="7"/>
      <c r="OF5" s="7"/>
      <c r="OG5" s="7"/>
      <c r="OH5" s="7"/>
      <c r="OI5" s="7"/>
      <c r="OJ5" s="7"/>
      <c r="OK5" s="7"/>
      <c r="OL5" s="7"/>
      <c r="OM5" s="7"/>
      <c r="ON5" s="7"/>
      <c r="OO5" s="7"/>
      <c r="OP5" s="7"/>
      <c r="OQ5" s="7"/>
      <c r="OR5" s="7"/>
      <c r="OS5" s="7"/>
      <c r="OT5" s="7"/>
      <c r="OU5" s="7"/>
      <c r="OV5" s="7"/>
      <c r="OW5" s="7"/>
      <c r="OX5" s="7"/>
      <c r="OY5" s="7"/>
      <c r="OZ5" s="7"/>
      <c r="PA5" s="7"/>
      <c r="PB5" s="7"/>
      <c r="PC5" s="7"/>
      <c r="PD5" s="7"/>
      <c r="PE5" s="7"/>
      <c r="PF5" s="7"/>
      <c r="PG5" s="7"/>
      <c r="PH5" s="7"/>
      <c r="PI5" s="7"/>
      <c r="PJ5" s="7"/>
      <c r="PK5" s="7"/>
      <c r="PL5" s="7"/>
      <c r="PM5" s="7"/>
      <c r="PN5" s="7"/>
      <c r="PO5" s="7"/>
      <c r="PP5" s="7"/>
      <c r="PQ5" s="7"/>
      <c r="PR5" s="7"/>
      <c r="PS5" s="7"/>
      <c r="PT5" s="7"/>
      <c r="PU5" s="7"/>
      <c r="PV5" s="7"/>
      <c r="PW5" s="7"/>
      <c r="PX5" s="7"/>
      <c r="PY5" s="7"/>
      <c r="PZ5" s="7"/>
      <c r="QA5" s="7"/>
      <c r="QB5" s="7"/>
      <c r="QC5" s="7"/>
      <c r="QD5" s="7"/>
      <c r="QE5" s="7"/>
      <c r="QF5" s="7"/>
      <c r="QG5" s="7"/>
      <c r="QH5" s="7"/>
      <c r="QI5" s="7"/>
      <c r="QJ5" s="7"/>
      <c r="QK5" s="7"/>
      <c r="QL5" s="7"/>
      <c r="QM5" s="7"/>
      <c r="QN5" s="7"/>
      <c r="QO5" s="7"/>
      <c r="QP5" s="7"/>
      <c r="QQ5" s="7"/>
      <c r="QR5" s="7"/>
      <c r="QS5" s="7"/>
      <c r="QT5" s="7"/>
      <c r="QU5" s="7"/>
      <c r="QV5" s="7"/>
      <c r="QW5" s="7"/>
      <c r="QX5" s="7"/>
      <c r="QY5" s="7"/>
      <c r="QZ5" s="7"/>
      <c r="RA5" s="7"/>
      <c r="RB5" s="7"/>
      <c r="RC5" s="7"/>
      <c r="RD5" s="7"/>
      <c r="RE5" s="7"/>
      <c r="RF5" s="7"/>
      <c r="RG5" s="7"/>
      <c r="RH5" s="7"/>
      <c r="RI5" s="7"/>
      <c r="RJ5" s="7"/>
      <c r="RK5" s="7"/>
      <c r="RL5" s="7"/>
      <c r="RM5" s="7"/>
      <c r="RN5" s="7"/>
      <c r="RO5" s="7"/>
      <c r="RP5" s="7"/>
      <c r="RQ5" s="7"/>
      <c r="RR5" s="7"/>
      <c r="RS5" s="7"/>
      <c r="RT5" s="7"/>
      <c r="RU5" s="7"/>
      <c r="RV5" s="7"/>
      <c r="RW5" s="7"/>
      <c r="RX5" s="7"/>
      <c r="RY5" s="7"/>
      <c r="RZ5" s="7"/>
      <c r="SA5" s="7"/>
      <c r="SB5" s="7"/>
      <c r="SC5" s="7"/>
      <c r="SD5" s="7"/>
      <c r="SE5" s="7"/>
      <c r="SF5" s="7"/>
      <c r="SG5" s="7"/>
      <c r="SH5" s="7"/>
      <c r="SI5" s="7"/>
      <c r="SJ5" s="7"/>
      <c r="SK5" s="7"/>
      <c r="SL5" s="7"/>
      <c r="SM5" s="7"/>
      <c r="SN5" s="7"/>
      <c r="SO5" s="7"/>
      <c r="SP5" s="7"/>
      <c r="SQ5" s="7"/>
      <c r="SR5" s="7"/>
      <c r="SS5" s="7"/>
      <c r="ST5" s="7"/>
      <c r="SU5" s="7"/>
      <c r="SV5" s="7"/>
      <c r="SW5" s="7"/>
      <c r="SX5" s="7"/>
      <c r="SY5" s="7"/>
      <c r="SZ5" s="7"/>
      <c r="TA5" s="7"/>
      <c r="TB5" s="7"/>
      <c r="TC5" s="7"/>
      <c r="TD5" s="7"/>
      <c r="TE5" s="7"/>
      <c r="TF5" s="7"/>
      <c r="TG5" s="7"/>
      <c r="TH5" s="7"/>
      <c r="TI5" s="7"/>
      <c r="TJ5" s="7"/>
      <c r="TK5" s="7"/>
      <c r="TL5" s="7"/>
      <c r="TM5" s="7"/>
      <c r="TN5" s="7"/>
      <c r="TO5" s="7"/>
      <c r="TP5" s="7"/>
      <c r="TQ5" s="7"/>
      <c r="TR5" s="7"/>
      <c r="TS5" s="7"/>
      <c r="TT5" s="7"/>
      <c r="TU5" s="7"/>
      <c r="TV5" s="7"/>
      <c r="TW5" s="7"/>
      <c r="TX5" s="7"/>
      <c r="TY5" s="7"/>
      <c r="TZ5" s="7"/>
      <c r="UA5" s="7"/>
      <c r="UB5" s="7"/>
      <c r="UC5" s="7"/>
      <c r="UD5" s="7"/>
      <c r="UE5" s="7"/>
      <c r="UF5" s="7"/>
      <c r="UG5" s="7"/>
      <c r="UH5" s="7"/>
      <c r="UI5" s="7"/>
      <c r="UJ5" s="7"/>
      <c r="UK5" s="7"/>
      <c r="UL5" s="7"/>
      <c r="UM5" s="7"/>
      <c r="UN5" s="7"/>
      <c r="UO5" s="7"/>
      <c r="UP5" s="7"/>
      <c r="UQ5" s="7"/>
      <c r="UR5" s="7"/>
      <c r="US5" s="7"/>
      <c r="UT5" s="7"/>
      <c r="UU5" s="7"/>
      <c r="UV5" s="7"/>
      <c r="UW5" s="7"/>
      <c r="UX5" s="7"/>
      <c r="UY5" s="7"/>
      <c r="UZ5" s="7"/>
      <c r="VA5" s="7"/>
      <c r="VB5" s="7"/>
      <c r="VC5" s="7"/>
      <c r="VD5" s="7"/>
      <c r="VE5" s="7"/>
      <c r="VF5" s="7"/>
      <c r="VG5" s="7"/>
      <c r="VH5" s="7"/>
      <c r="VI5" s="7"/>
      <c r="VJ5" s="7"/>
      <c r="VK5" s="7"/>
      <c r="VL5" s="7"/>
      <c r="VM5" s="7"/>
      <c r="VN5" s="7"/>
      <c r="VO5" s="7"/>
      <c r="VP5" s="7"/>
      <c r="VQ5" s="7"/>
      <c r="VR5" s="7"/>
      <c r="VS5" s="7"/>
      <c r="VT5" s="7"/>
      <c r="VU5" s="7"/>
      <c r="VV5" s="7"/>
      <c r="VW5" s="7"/>
      <c r="VX5" s="7"/>
      <c r="VY5" s="7"/>
      <c r="VZ5" s="7"/>
      <c r="WA5" s="7"/>
      <c r="WB5" s="7"/>
      <c r="WC5" s="7"/>
      <c r="WD5" s="7"/>
      <c r="WE5" s="7"/>
      <c r="WF5" s="7"/>
      <c r="WG5" s="7"/>
      <c r="WH5" s="7"/>
      <c r="WI5" s="7"/>
      <c r="WJ5" s="7"/>
      <c r="WK5" s="7"/>
      <c r="WL5" s="7"/>
      <c r="WM5" s="7"/>
      <c r="WN5" s="7"/>
      <c r="WO5" s="7"/>
      <c r="WP5" s="7"/>
      <c r="WQ5" s="7"/>
      <c r="WR5" s="7"/>
      <c r="WS5" s="7"/>
      <c r="WT5" s="7"/>
      <c r="WU5" s="7"/>
      <c r="WV5" s="7"/>
      <c r="WW5" s="7"/>
      <c r="WX5" s="7"/>
      <c r="WY5" s="7"/>
      <c r="WZ5" s="7"/>
      <c r="XA5" s="7"/>
      <c r="XB5" s="7"/>
      <c r="XC5" s="7"/>
      <c r="XD5" s="7"/>
      <c r="XE5" s="7"/>
      <c r="XF5" s="7"/>
      <c r="XG5" s="7"/>
      <c r="XH5" s="7"/>
      <c r="XI5" s="7"/>
      <c r="XJ5" s="7"/>
      <c r="XK5" s="7"/>
      <c r="XL5" s="7"/>
      <c r="XM5" s="7"/>
      <c r="XN5" s="7"/>
      <c r="XO5" s="7"/>
      <c r="XP5" s="7"/>
      <c r="XQ5" s="7"/>
      <c r="XR5" s="7"/>
      <c r="XS5" s="7"/>
      <c r="XT5" s="7"/>
      <c r="XU5" s="7"/>
      <c r="XV5" s="7"/>
      <c r="XW5" s="7"/>
      <c r="XX5" s="7"/>
      <c r="XY5" s="7"/>
      <c r="XZ5" s="7"/>
      <c r="YA5" s="7"/>
      <c r="YB5" s="7"/>
      <c r="YC5" s="7"/>
      <c r="YD5" s="7"/>
      <c r="YE5" s="7"/>
      <c r="YF5" s="7"/>
      <c r="YG5" s="7"/>
      <c r="YH5" s="7"/>
      <c r="YI5" s="7"/>
      <c r="YJ5" s="7"/>
      <c r="YK5" s="7"/>
      <c r="YL5" s="7"/>
      <c r="YM5" s="7"/>
      <c r="YN5" s="7"/>
      <c r="YO5" s="7"/>
      <c r="YP5" s="7"/>
      <c r="YQ5" s="7"/>
      <c r="YR5" s="7"/>
      <c r="YS5" s="7"/>
      <c r="YT5" s="7"/>
      <c r="YU5" s="7"/>
      <c r="YV5" s="7"/>
      <c r="YW5" s="7"/>
      <c r="YX5" s="7"/>
      <c r="YY5" s="7"/>
      <c r="YZ5" s="7"/>
      <c r="ZA5" s="7"/>
      <c r="ZB5" s="7"/>
      <c r="ZC5" s="7"/>
      <c r="ZD5" s="7"/>
      <c r="ZE5" s="7"/>
      <c r="ZF5" s="7"/>
      <c r="ZG5" s="7"/>
      <c r="ZH5" s="7"/>
      <c r="ZI5" s="7"/>
      <c r="ZJ5" s="7"/>
      <c r="ZK5" s="7"/>
      <c r="ZL5" s="7"/>
      <c r="ZM5" s="7"/>
      <c r="ZN5" s="7"/>
      <c r="ZO5" s="7"/>
      <c r="ZP5" s="7"/>
      <c r="ZQ5" s="7"/>
      <c r="ZR5" s="7"/>
      <c r="ZS5" s="7"/>
      <c r="ZT5" s="7"/>
      <c r="ZU5" s="7"/>
      <c r="ZV5" s="7"/>
      <c r="ZW5" s="7"/>
      <c r="ZX5" s="7"/>
      <c r="ZY5" s="7"/>
      <c r="ZZ5" s="7"/>
      <c r="AAA5" s="7"/>
      <c r="AAB5" s="7"/>
      <c r="AAC5" s="7"/>
      <c r="AAD5" s="7"/>
      <c r="AAE5" s="7"/>
      <c r="AAF5" s="7"/>
      <c r="AAG5" s="7"/>
      <c r="AAH5" s="7"/>
      <c r="AAI5" s="7"/>
      <c r="AAJ5" s="7"/>
      <c r="AAK5" s="7"/>
      <c r="AAL5" s="7"/>
      <c r="AAM5" s="7"/>
      <c r="AAN5" s="7"/>
      <c r="AAO5" s="7"/>
      <c r="AAP5" s="7"/>
      <c r="AAQ5" s="7"/>
      <c r="AAR5" s="7"/>
      <c r="AAS5" s="7"/>
      <c r="AAT5" s="7"/>
      <c r="AAU5" s="7"/>
      <c r="AAV5" s="7"/>
      <c r="AAW5" s="7"/>
      <c r="AAX5" s="7"/>
      <c r="AAY5" s="7"/>
      <c r="AAZ5" s="7"/>
      <c r="ABA5" s="7"/>
      <c r="ABB5" s="7"/>
      <c r="ABC5" s="7"/>
      <c r="ABD5" s="7"/>
      <c r="ABE5" s="7"/>
      <c r="ABF5" s="7"/>
      <c r="ABG5" s="7"/>
      <c r="ABH5" s="7"/>
      <c r="ABI5" s="7"/>
      <c r="ABJ5" s="7"/>
      <c r="ABK5" s="7"/>
      <c r="ABL5" s="7"/>
      <c r="ABM5" s="7"/>
      <c r="ABN5" s="7"/>
      <c r="ABO5" s="7"/>
      <c r="ABP5" s="7"/>
      <c r="ABQ5" s="7"/>
      <c r="ABR5" s="7"/>
      <c r="ABS5" s="7"/>
      <c r="ABT5" s="7"/>
      <c r="ABU5" s="7"/>
      <c r="ABV5" s="7"/>
      <c r="ABW5" s="7"/>
      <c r="ABX5" s="7"/>
      <c r="ABY5" s="7"/>
      <c r="ABZ5" s="7"/>
      <c r="ACA5" s="7"/>
      <c r="ACB5" s="7"/>
      <c r="ACC5" s="7"/>
      <c r="ACD5" s="7"/>
      <c r="ACE5" s="7"/>
      <c r="ACF5" s="7"/>
      <c r="ACG5" s="7"/>
      <c r="ACH5" s="7"/>
      <c r="ACI5" s="7"/>
      <c r="ACJ5" s="7"/>
      <c r="ACK5" s="7"/>
      <c r="ACL5" s="7"/>
      <c r="ACM5" s="7"/>
      <c r="ACN5" s="7"/>
      <c r="ACO5" s="7"/>
      <c r="ACP5" s="7"/>
      <c r="ACQ5" s="7"/>
      <c r="ACR5" s="7"/>
      <c r="ACS5" s="7"/>
      <c r="ACT5" s="7"/>
      <c r="ACU5" s="7"/>
      <c r="ACV5" s="7"/>
      <c r="ACW5" s="7"/>
      <c r="ACX5" s="7"/>
      <c r="ACY5" s="7"/>
      <c r="ACZ5" s="7"/>
      <c r="ADA5" s="7"/>
      <c r="ADB5" s="7"/>
      <c r="ADC5" s="7"/>
      <c r="ADD5" s="7"/>
      <c r="ADE5" s="7"/>
      <c r="ADF5" s="7"/>
      <c r="ADG5" s="7"/>
      <c r="ADH5" s="7"/>
      <c r="ADI5" s="7"/>
      <c r="ADJ5" s="7"/>
      <c r="ADK5" s="7"/>
      <c r="ADL5" s="7"/>
      <c r="ADM5" s="7"/>
      <c r="ADN5" s="7"/>
      <c r="ADO5" s="7"/>
      <c r="ADP5" s="7"/>
      <c r="ADQ5" s="7"/>
      <c r="ADR5" s="7"/>
      <c r="ADS5" s="7"/>
      <c r="ADT5" s="7"/>
      <c r="ADU5" s="7"/>
      <c r="ADV5" s="7"/>
      <c r="ADW5" s="7"/>
      <c r="ADX5" s="7"/>
      <c r="ADY5" s="7"/>
      <c r="ADZ5" s="7"/>
      <c r="AEA5" s="7"/>
      <c r="AEB5" s="7"/>
      <c r="AEC5" s="7"/>
      <c r="AED5" s="7"/>
      <c r="AEE5" s="7"/>
      <c r="AEF5" s="7"/>
      <c r="AEG5" s="7"/>
      <c r="AEH5" s="7"/>
      <c r="AEI5" s="7"/>
      <c r="AEJ5" s="7"/>
      <c r="AEK5" s="7"/>
      <c r="AEL5" s="7"/>
      <c r="AEM5" s="7"/>
      <c r="AEN5" s="7"/>
      <c r="AEO5" s="7"/>
      <c r="AEP5" s="7"/>
      <c r="AEQ5" s="7"/>
      <c r="AER5" s="7"/>
      <c r="AES5" s="7"/>
      <c r="AET5" s="7"/>
      <c r="AEU5" s="7"/>
      <c r="AEV5" s="7"/>
      <c r="AEW5" s="7"/>
      <c r="AEX5" s="7"/>
      <c r="AEY5" s="7"/>
      <c r="AEZ5" s="7"/>
      <c r="AFA5" s="7"/>
      <c r="AFB5" s="7"/>
      <c r="AFC5" s="7"/>
      <c r="AFD5" s="7"/>
      <c r="AFE5" s="7"/>
      <c r="AFF5" s="7"/>
      <c r="AFG5" s="7"/>
      <c r="AFH5" s="7"/>
      <c r="AFI5" s="7"/>
      <c r="AFJ5" s="7"/>
      <c r="AFK5" s="7"/>
      <c r="AFL5" s="7"/>
      <c r="AFM5" s="7"/>
      <c r="AFN5" s="7"/>
      <c r="AFO5" s="7"/>
      <c r="AFP5" s="7"/>
      <c r="AFQ5" s="7"/>
      <c r="AFR5" s="7"/>
      <c r="AFS5" s="7"/>
      <c r="AFT5" s="7"/>
      <c r="AFU5" s="7"/>
      <c r="AFV5" s="7"/>
      <c r="AFW5" s="7"/>
      <c r="AFX5" s="7"/>
      <c r="AFY5" s="7"/>
      <c r="AFZ5" s="7"/>
      <c r="AGA5" s="7"/>
      <c r="AGB5" s="7"/>
      <c r="AGC5" s="7"/>
      <c r="AGD5" s="7"/>
      <c r="AGE5" s="7"/>
      <c r="AGF5" s="7"/>
      <c r="AGG5" s="7"/>
      <c r="AGH5" s="7"/>
      <c r="AGI5" s="7"/>
      <c r="AGJ5" s="7"/>
      <c r="AGK5" s="7"/>
      <c r="AGL5" s="7"/>
      <c r="AGM5" s="7"/>
      <c r="AGN5" s="7"/>
      <c r="AGO5" s="7"/>
      <c r="AGP5" s="7"/>
      <c r="AGQ5" s="7"/>
      <c r="AGR5" s="7"/>
      <c r="AGS5" s="7"/>
      <c r="AGT5" s="7"/>
      <c r="AGU5" s="7"/>
      <c r="AGV5" s="7"/>
      <c r="AGW5" s="7"/>
      <c r="AGX5" s="7"/>
      <c r="AGY5" s="7"/>
      <c r="AGZ5" s="7"/>
      <c r="AHA5" s="7"/>
      <c r="AHB5" s="7"/>
      <c r="AHC5" s="7"/>
      <c r="AHD5" s="7"/>
      <c r="AHE5" s="7"/>
      <c r="AHF5" s="7"/>
      <c r="AHG5" s="7"/>
      <c r="AHH5" s="7"/>
      <c r="AHI5" s="7"/>
      <c r="AHJ5" s="7"/>
      <c r="AHK5" s="7"/>
      <c r="AHL5" s="7"/>
      <c r="AHM5" s="7"/>
      <c r="AHN5" s="7"/>
      <c r="AHO5" s="7"/>
      <c r="AHP5" s="7"/>
      <c r="AHQ5" s="7"/>
      <c r="AHR5" s="7"/>
      <c r="AHS5" s="7"/>
      <c r="AHT5" s="7"/>
      <c r="AHU5" s="7"/>
      <c r="AHV5" s="7"/>
      <c r="AHW5" s="7"/>
      <c r="AHX5" s="7"/>
      <c r="AHY5" s="7"/>
      <c r="AHZ5" s="7"/>
      <c r="AIA5" s="7"/>
      <c r="AIB5" s="7"/>
      <c r="AIC5" s="7"/>
      <c r="AID5" s="7"/>
      <c r="AIE5" s="7"/>
      <c r="AIF5" s="7"/>
      <c r="AIG5" s="7"/>
      <c r="AIH5" s="7"/>
      <c r="AII5" s="7"/>
      <c r="AIJ5" s="7"/>
      <c r="AIK5" s="7"/>
      <c r="AIL5" s="7"/>
      <c r="AIM5" s="7"/>
      <c r="AIN5" s="7"/>
      <c r="AIO5" s="7"/>
      <c r="AIP5" s="7"/>
      <c r="AIQ5" s="7"/>
      <c r="AIR5" s="7"/>
      <c r="AIS5" s="7"/>
      <c r="AIT5" s="7"/>
      <c r="AIU5" s="7"/>
      <c r="AIV5" s="7"/>
      <c r="AIW5" s="7"/>
      <c r="AIX5" s="7"/>
      <c r="AIY5" s="7"/>
      <c r="AIZ5" s="7"/>
      <c r="AJA5" s="7"/>
      <c r="AJB5" s="7"/>
      <c r="AJC5" s="7"/>
      <c r="AJD5" s="7"/>
      <c r="AJE5" s="7"/>
      <c r="AJF5" s="7"/>
      <c r="AJG5" s="7"/>
      <c r="AJH5" s="7"/>
      <c r="AJI5" s="7"/>
      <c r="AJJ5" s="7"/>
      <c r="AJK5" s="7"/>
      <c r="AJL5" s="7"/>
      <c r="AJM5" s="7"/>
      <c r="AJN5" s="7"/>
      <c r="AJO5" s="7"/>
      <c r="AJP5" s="7"/>
      <c r="AJQ5" s="7"/>
      <c r="AJR5" s="7"/>
      <c r="AJS5" s="7"/>
      <c r="AJT5" s="7"/>
      <c r="AJU5" s="7"/>
      <c r="AJV5" s="7"/>
      <c r="AJW5" s="7"/>
      <c r="AJX5" s="7"/>
      <c r="AJY5" s="7"/>
      <c r="AJZ5" s="7"/>
      <c r="AKA5" s="7"/>
      <c r="AKB5" s="7"/>
      <c r="AKC5" s="7"/>
      <c r="AKD5" s="7"/>
      <c r="AKE5" s="7"/>
      <c r="AKF5" s="7"/>
      <c r="AKG5" s="7"/>
      <c r="AKH5" s="7"/>
      <c r="AKI5" s="7"/>
      <c r="AKJ5" s="7"/>
      <c r="AKK5" s="7"/>
      <c r="AKL5" s="7"/>
      <c r="AKM5" s="7"/>
      <c r="AKN5" s="7"/>
      <c r="AKO5" s="7"/>
      <c r="AKP5" s="7"/>
      <c r="AKQ5" s="7"/>
      <c r="AKR5" s="7"/>
      <c r="AKS5" s="7"/>
      <c r="AKT5" s="7"/>
      <c r="AKU5" s="7"/>
      <c r="AKV5" s="7"/>
      <c r="AKW5" s="7"/>
      <c r="AKX5" s="7"/>
      <c r="AKY5" s="7"/>
      <c r="AKZ5" s="7"/>
      <c r="ALA5" s="7"/>
      <c r="ALB5" s="7"/>
      <c r="ALC5" s="7"/>
      <c r="ALD5" s="7"/>
      <c r="ALE5" s="7"/>
      <c r="ALF5" s="7"/>
      <c r="ALG5" s="7"/>
      <c r="ALH5" s="7"/>
      <c r="ALI5" s="7"/>
      <c r="ALJ5" s="7"/>
      <c r="ALK5" s="7"/>
      <c r="ALL5" s="7"/>
      <c r="ALM5" s="7"/>
      <c r="ALN5" s="7"/>
      <c r="ALO5" s="7"/>
      <c r="ALP5" s="7"/>
      <c r="ALQ5" s="7"/>
      <c r="ALR5" s="7"/>
      <c r="ALS5" s="7"/>
      <c r="ALT5" s="7"/>
      <c r="ALU5" s="7"/>
      <c r="ALV5" s="7"/>
      <c r="ALW5" s="7"/>
      <c r="ALX5" s="7"/>
      <c r="ALY5" s="7"/>
      <c r="ALZ5" s="7"/>
      <c r="AMA5" s="7"/>
      <c r="AMB5" s="7"/>
      <c r="AMC5" s="7"/>
      <c r="AMD5" s="7"/>
      <c r="AME5" s="7"/>
      <c r="AMF5" s="7"/>
      <c r="AMG5" s="7"/>
      <c r="AMH5" s="7"/>
      <c r="AMI5" s="7"/>
      <c r="AMJ5" s="7"/>
    </row>
    <row r="6" customFormat="false" ht="67.15" hidden="false" customHeight="true" outlineLevel="0" collapsed="false">
      <c r="A6" s="6" t="s">
        <v>12</v>
      </c>
      <c r="B6" s="7" t="s">
        <v>8</v>
      </c>
      <c r="C6" s="6" t="s">
        <v>13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7"/>
      <c r="LK6" s="7"/>
      <c r="LL6" s="7"/>
      <c r="LM6" s="7"/>
      <c r="LN6" s="7"/>
      <c r="LO6" s="7"/>
      <c r="LP6" s="7"/>
      <c r="LQ6" s="7"/>
      <c r="LR6" s="7"/>
      <c r="LS6" s="7"/>
      <c r="LT6" s="7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7"/>
      <c r="MH6" s="7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7"/>
      <c r="MW6" s="7"/>
      <c r="MX6" s="7"/>
      <c r="MY6" s="7"/>
      <c r="MZ6" s="7"/>
      <c r="NA6" s="7"/>
      <c r="NB6" s="7"/>
      <c r="NC6" s="7"/>
      <c r="ND6" s="7"/>
      <c r="NE6" s="7"/>
      <c r="NF6" s="7"/>
      <c r="NG6" s="7"/>
      <c r="NH6" s="7"/>
      <c r="NI6" s="7"/>
      <c r="NJ6" s="7"/>
      <c r="NK6" s="7"/>
      <c r="NL6" s="7"/>
      <c r="NM6" s="7"/>
      <c r="NN6" s="7"/>
      <c r="NO6" s="7"/>
      <c r="NP6" s="7"/>
      <c r="NQ6" s="7"/>
      <c r="NR6" s="7"/>
      <c r="NS6" s="7"/>
      <c r="NT6" s="7"/>
      <c r="NU6" s="7"/>
      <c r="NV6" s="7"/>
      <c r="NW6" s="7"/>
      <c r="NX6" s="7"/>
      <c r="NY6" s="7"/>
      <c r="NZ6" s="7"/>
      <c r="OA6" s="7"/>
      <c r="OB6" s="7"/>
      <c r="OC6" s="7"/>
      <c r="OD6" s="7"/>
      <c r="OE6" s="7"/>
      <c r="OF6" s="7"/>
      <c r="OG6" s="7"/>
      <c r="OH6" s="7"/>
      <c r="OI6" s="7"/>
      <c r="OJ6" s="7"/>
      <c r="OK6" s="7"/>
      <c r="OL6" s="7"/>
      <c r="OM6" s="7"/>
      <c r="ON6" s="7"/>
      <c r="OO6" s="7"/>
      <c r="OP6" s="7"/>
      <c r="OQ6" s="7"/>
      <c r="OR6" s="7"/>
      <c r="OS6" s="7"/>
      <c r="OT6" s="7"/>
      <c r="OU6" s="7"/>
      <c r="OV6" s="7"/>
      <c r="OW6" s="7"/>
      <c r="OX6" s="7"/>
      <c r="OY6" s="7"/>
      <c r="OZ6" s="7"/>
      <c r="PA6" s="7"/>
      <c r="PB6" s="7"/>
      <c r="PC6" s="7"/>
      <c r="PD6" s="7"/>
      <c r="PE6" s="7"/>
      <c r="PF6" s="7"/>
      <c r="PG6" s="7"/>
      <c r="PH6" s="7"/>
      <c r="PI6" s="7"/>
      <c r="PJ6" s="7"/>
      <c r="PK6" s="7"/>
      <c r="PL6" s="7"/>
      <c r="PM6" s="7"/>
      <c r="PN6" s="7"/>
      <c r="PO6" s="7"/>
      <c r="PP6" s="7"/>
      <c r="PQ6" s="7"/>
      <c r="PR6" s="7"/>
      <c r="PS6" s="7"/>
      <c r="PT6" s="7"/>
      <c r="PU6" s="7"/>
      <c r="PV6" s="7"/>
      <c r="PW6" s="7"/>
      <c r="PX6" s="7"/>
      <c r="PY6" s="7"/>
      <c r="PZ6" s="7"/>
      <c r="QA6" s="7"/>
      <c r="QB6" s="7"/>
      <c r="QC6" s="7"/>
      <c r="QD6" s="7"/>
      <c r="QE6" s="7"/>
      <c r="QF6" s="7"/>
      <c r="QG6" s="7"/>
      <c r="QH6" s="7"/>
      <c r="QI6" s="7"/>
      <c r="QJ6" s="7"/>
      <c r="QK6" s="7"/>
      <c r="QL6" s="7"/>
      <c r="QM6" s="7"/>
      <c r="QN6" s="7"/>
      <c r="QO6" s="7"/>
      <c r="QP6" s="7"/>
      <c r="QQ6" s="7"/>
      <c r="QR6" s="7"/>
      <c r="QS6" s="7"/>
      <c r="QT6" s="7"/>
      <c r="QU6" s="7"/>
      <c r="QV6" s="7"/>
      <c r="QW6" s="7"/>
      <c r="QX6" s="7"/>
      <c r="QY6" s="7"/>
      <c r="QZ6" s="7"/>
      <c r="RA6" s="7"/>
      <c r="RB6" s="7"/>
      <c r="RC6" s="7"/>
      <c r="RD6" s="7"/>
      <c r="RE6" s="7"/>
      <c r="RF6" s="7"/>
      <c r="RG6" s="7"/>
      <c r="RH6" s="7"/>
      <c r="RI6" s="7"/>
      <c r="RJ6" s="7"/>
      <c r="RK6" s="7"/>
      <c r="RL6" s="7"/>
      <c r="RM6" s="7"/>
      <c r="RN6" s="7"/>
      <c r="RO6" s="7"/>
      <c r="RP6" s="7"/>
      <c r="RQ6" s="7"/>
      <c r="RR6" s="7"/>
      <c r="RS6" s="7"/>
      <c r="RT6" s="7"/>
      <c r="RU6" s="7"/>
      <c r="RV6" s="7"/>
      <c r="RW6" s="7"/>
      <c r="RX6" s="7"/>
      <c r="RY6" s="7"/>
      <c r="RZ6" s="7"/>
      <c r="SA6" s="7"/>
      <c r="SB6" s="7"/>
      <c r="SC6" s="7"/>
      <c r="SD6" s="7"/>
      <c r="SE6" s="7"/>
      <c r="SF6" s="7"/>
      <c r="SG6" s="7"/>
      <c r="SH6" s="7"/>
      <c r="SI6" s="7"/>
      <c r="SJ6" s="7"/>
      <c r="SK6" s="7"/>
      <c r="SL6" s="7"/>
      <c r="SM6" s="7"/>
      <c r="SN6" s="7"/>
      <c r="SO6" s="7"/>
      <c r="SP6" s="7"/>
      <c r="SQ6" s="7"/>
      <c r="SR6" s="7"/>
      <c r="SS6" s="7"/>
      <c r="ST6" s="7"/>
      <c r="SU6" s="7"/>
      <c r="SV6" s="7"/>
      <c r="SW6" s="7"/>
      <c r="SX6" s="7"/>
      <c r="SY6" s="7"/>
      <c r="SZ6" s="7"/>
      <c r="TA6" s="7"/>
      <c r="TB6" s="7"/>
      <c r="TC6" s="7"/>
      <c r="TD6" s="7"/>
      <c r="TE6" s="7"/>
      <c r="TF6" s="7"/>
      <c r="TG6" s="7"/>
      <c r="TH6" s="7"/>
      <c r="TI6" s="7"/>
      <c r="TJ6" s="7"/>
      <c r="TK6" s="7"/>
      <c r="TL6" s="7"/>
      <c r="TM6" s="7"/>
      <c r="TN6" s="7"/>
      <c r="TO6" s="7"/>
      <c r="TP6" s="7"/>
      <c r="TQ6" s="7"/>
      <c r="TR6" s="7"/>
      <c r="TS6" s="7"/>
      <c r="TT6" s="7"/>
      <c r="TU6" s="7"/>
      <c r="TV6" s="7"/>
      <c r="TW6" s="7"/>
      <c r="TX6" s="7"/>
      <c r="TY6" s="7"/>
      <c r="TZ6" s="7"/>
      <c r="UA6" s="7"/>
      <c r="UB6" s="7"/>
      <c r="UC6" s="7"/>
      <c r="UD6" s="7"/>
      <c r="UE6" s="7"/>
      <c r="UF6" s="7"/>
      <c r="UG6" s="7"/>
      <c r="UH6" s="7"/>
      <c r="UI6" s="7"/>
      <c r="UJ6" s="7"/>
      <c r="UK6" s="7"/>
      <c r="UL6" s="7"/>
      <c r="UM6" s="7"/>
      <c r="UN6" s="7"/>
      <c r="UO6" s="7"/>
      <c r="UP6" s="7"/>
      <c r="UQ6" s="7"/>
      <c r="UR6" s="7"/>
      <c r="US6" s="7"/>
      <c r="UT6" s="7"/>
      <c r="UU6" s="7"/>
      <c r="UV6" s="7"/>
      <c r="UW6" s="7"/>
      <c r="UX6" s="7"/>
      <c r="UY6" s="7"/>
      <c r="UZ6" s="7"/>
      <c r="VA6" s="7"/>
      <c r="VB6" s="7"/>
      <c r="VC6" s="7"/>
      <c r="VD6" s="7"/>
      <c r="VE6" s="7"/>
      <c r="VF6" s="7"/>
      <c r="VG6" s="7"/>
      <c r="VH6" s="7"/>
      <c r="VI6" s="7"/>
      <c r="VJ6" s="7"/>
      <c r="VK6" s="7"/>
      <c r="VL6" s="7"/>
      <c r="VM6" s="7"/>
      <c r="VN6" s="7"/>
      <c r="VO6" s="7"/>
      <c r="VP6" s="7"/>
      <c r="VQ6" s="7"/>
      <c r="VR6" s="7"/>
      <c r="VS6" s="7"/>
      <c r="VT6" s="7"/>
      <c r="VU6" s="7"/>
      <c r="VV6" s="7"/>
      <c r="VW6" s="7"/>
      <c r="VX6" s="7"/>
      <c r="VY6" s="7"/>
      <c r="VZ6" s="7"/>
      <c r="WA6" s="7"/>
      <c r="WB6" s="7"/>
      <c r="WC6" s="7"/>
      <c r="WD6" s="7"/>
      <c r="WE6" s="7"/>
      <c r="WF6" s="7"/>
      <c r="WG6" s="7"/>
      <c r="WH6" s="7"/>
      <c r="WI6" s="7"/>
      <c r="WJ6" s="7"/>
      <c r="WK6" s="7"/>
      <c r="WL6" s="7"/>
      <c r="WM6" s="7"/>
      <c r="WN6" s="7"/>
      <c r="WO6" s="7"/>
      <c r="WP6" s="7"/>
      <c r="WQ6" s="7"/>
      <c r="WR6" s="7"/>
      <c r="WS6" s="7"/>
      <c r="WT6" s="7"/>
      <c r="WU6" s="7"/>
      <c r="WV6" s="7"/>
      <c r="WW6" s="7"/>
      <c r="WX6" s="7"/>
      <c r="WY6" s="7"/>
      <c r="WZ6" s="7"/>
      <c r="XA6" s="7"/>
      <c r="XB6" s="7"/>
      <c r="XC6" s="7"/>
      <c r="XD6" s="7"/>
      <c r="XE6" s="7"/>
      <c r="XF6" s="7"/>
      <c r="XG6" s="7"/>
      <c r="XH6" s="7"/>
      <c r="XI6" s="7"/>
      <c r="XJ6" s="7"/>
      <c r="XK6" s="7"/>
      <c r="XL6" s="7"/>
      <c r="XM6" s="7"/>
      <c r="XN6" s="7"/>
      <c r="XO6" s="7"/>
      <c r="XP6" s="7"/>
      <c r="XQ6" s="7"/>
      <c r="XR6" s="7"/>
      <c r="XS6" s="7"/>
      <c r="XT6" s="7"/>
      <c r="XU6" s="7"/>
      <c r="XV6" s="7"/>
      <c r="XW6" s="7"/>
      <c r="XX6" s="7"/>
      <c r="XY6" s="7"/>
      <c r="XZ6" s="7"/>
      <c r="YA6" s="7"/>
      <c r="YB6" s="7"/>
      <c r="YC6" s="7"/>
      <c r="YD6" s="7"/>
      <c r="YE6" s="7"/>
      <c r="YF6" s="7"/>
      <c r="YG6" s="7"/>
      <c r="YH6" s="7"/>
      <c r="YI6" s="7"/>
      <c r="YJ6" s="7"/>
      <c r="YK6" s="7"/>
      <c r="YL6" s="7"/>
      <c r="YM6" s="7"/>
      <c r="YN6" s="7"/>
      <c r="YO6" s="7"/>
      <c r="YP6" s="7"/>
      <c r="YQ6" s="7"/>
      <c r="YR6" s="7"/>
      <c r="YS6" s="7"/>
      <c r="YT6" s="7"/>
      <c r="YU6" s="7"/>
      <c r="YV6" s="7"/>
      <c r="YW6" s="7"/>
      <c r="YX6" s="7"/>
      <c r="YY6" s="7"/>
      <c r="YZ6" s="7"/>
      <c r="ZA6" s="7"/>
      <c r="ZB6" s="7"/>
      <c r="ZC6" s="7"/>
      <c r="ZD6" s="7"/>
      <c r="ZE6" s="7"/>
      <c r="ZF6" s="7"/>
      <c r="ZG6" s="7"/>
      <c r="ZH6" s="7"/>
      <c r="ZI6" s="7"/>
      <c r="ZJ6" s="7"/>
      <c r="ZK6" s="7"/>
      <c r="ZL6" s="7"/>
      <c r="ZM6" s="7"/>
      <c r="ZN6" s="7"/>
      <c r="ZO6" s="7"/>
      <c r="ZP6" s="7"/>
      <c r="ZQ6" s="7"/>
      <c r="ZR6" s="7"/>
      <c r="ZS6" s="7"/>
      <c r="ZT6" s="7"/>
      <c r="ZU6" s="7"/>
      <c r="ZV6" s="7"/>
      <c r="ZW6" s="7"/>
      <c r="ZX6" s="7"/>
      <c r="ZY6" s="7"/>
      <c r="ZZ6" s="7"/>
      <c r="AAA6" s="7"/>
      <c r="AAB6" s="7"/>
      <c r="AAC6" s="7"/>
      <c r="AAD6" s="7"/>
      <c r="AAE6" s="7"/>
      <c r="AAF6" s="7"/>
      <c r="AAG6" s="7"/>
      <c r="AAH6" s="7"/>
      <c r="AAI6" s="7"/>
      <c r="AAJ6" s="7"/>
      <c r="AAK6" s="7"/>
      <c r="AAL6" s="7"/>
      <c r="AAM6" s="7"/>
      <c r="AAN6" s="7"/>
      <c r="AAO6" s="7"/>
      <c r="AAP6" s="7"/>
      <c r="AAQ6" s="7"/>
      <c r="AAR6" s="7"/>
      <c r="AAS6" s="7"/>
      <c r="AAT6" s="7"/>
      <c r="AAU6" s="7"/>
      <c r="AAV6" s="7"/>
      <c r="AAW6" s="7"/>
      <c r="AAX6" s="7"/>
      <c r="AAY6" s="7"/>
      <c r="AAZ6" s="7"/>
      <c r="ABA6" s="7"/>
      <c r="ABB6" s="7"/>
      <c r="ABC6" s="7"/>
      <c r="ABD6" s="7"/>
      <c r="ABE6" s="7"/>
      <c r="ABF6" s="7"/>
      <c r="ABG6" s="7"/>
      <c r="ABH6" s="7"/>
      <c r="ABI6" s="7"/>
      <c r="ABJ6" s="7"/>
      <c r="ABK6" s="7"/>
      <c r="ABL6" s="7"/>
      <c r="ABM6" s="7"/>
      <c r="ABN6" s="7"/>
      <c r="ABO6" s="7"/>
      <c r="ABP6" s="7"/>
      <c r="ABQ6" s="7"/>
      <c r="ABR6" s="7"/>
      <c r="ABS6" s="7"/>
      <c r="ABT6" s="7"/>
      <c r="ABU6" s="7"/>
      <c r="ABV6" s="7"/>
      <c r="ABW6" s="7"/>
      <c r="ABX6" s="7"/>
      <c r="ABY6" s="7"/>
      <c r="ABZ6" s="7"/>
      <c r="ACA6" s="7"/>
      <c r="ACB6" s="7"/>
      <c r="ACC6" s="7"/>
      <c r="ACD6" s="7"/>
      <c r="ACE6" s="7"/>
      <c r="ACF6" s="7"/>
      <c r="ACG6" s="7"/>
      <c r="ACH6" s="7"/>
      <c r="ACI6" s="7"/>
      <c r="ACJ6" s="7"/>
      <c r="ACK6" s="7"/>
      <c r="ACL6" s="7"/>
      <c r="ACM6" s="7"/>
      <c r="ACN6" s="7"/>
      <c r="ACO6" s="7"/>
      <c r="ACP6" s="7"/>
      <c r="ACQ6" s="7"/>
      <c r="ACR6" s="7"/>
      <c r="ACS6" s="7"/>
      <c r="ACT6" s="7"/>
      <c r="ACU6" s="7"/>
      <c r="ACV6" s="7"/>
      <c r="ACW6" s="7"/>
      <c r="ACX6" s="7"/>
      <c r="ACY6" s="7"/>
      <c r="ACZ6" s="7"/>
      <c r="ADA6" s="7"/>
      <c r="ADB6" s="7"/>
      <c r="ADC6" s="7"/>
      <c r="ADD6" s="7"/>
      <c r="ADE6" s="7"/>
      <c r="ADF6" s="7"/>
      <c r="ADG6" s="7"/>
      <c r="ADH6" s="7"/>
      <c r="ADI6" s="7"/>
      <c r="ADJ6" s="7"/>
      <c r="ADK6" s="7"/>
      <c r="ADL6" s="7"/>
      <c r="ADM6" s="7"/>
      <c r="ADN6" s="7"/>
      <c r="ADO6" s="7"/>
      <c r="ADP6" s="7"/>
      <c r="ADQ6" s="7"/>
      <c r="ADR6" s="7"/>
      <c r="ADS6" s="7"/>
      <c r="ADT6" s="7"/>
      <c r="ADU6" s="7"/>
      <c r="ADV6" s="7"/>
      <c r="ADW6" s="7"/>
      <c r="ADX6" s="7"/>
      <c r="ADY6" s="7"/>
      <c r="ADZ6" s="7"/>
      <c r="AEA6" s="7"/>
      <c r="AEB6" s="7"/>
      <c r="AEC6" s="7"/>
      <c r="AED6" s="7"/>
      <c r="AEE6" s="7"/>
      <c r="AEF6" s="7"/>
      <c r="AEG6" s="7"/>
      <c r="AEH6" s="7"/>
      <c r="AEI6" s="7"/>
      <c r="AEJ6" s="7"/>
      <c r="AEK6" s="7"/>
      <c r="AEL6" s="7"/>
      <c r="AEM6" s="7"/>
      <c r="AEN6" s="7"/>
      <c r="AEO6" s="7"/>
      <c r="AEP6" s="7"/>
      <c r="AEQ6" s="7"/>
      <c r="AER6" s="7"/>
      <c r="AES6" s="7"/>
      <c r="AET6" s="7"/>
      <c r="AEU6" s="7"/>
      <c r="AEV6" s="7"/>
      <c r="AEW6" s="7"/>
      <c r="AEX6" s="7"/>
      <c r="AEY6" s="7"/>
      <c r="AEZ6" s="7"/>
      <c r="AFA6" s="7"/>
      <c r="AFB6" s="7"/>
      <c r="AFC6" s="7"/>
      <c r="AFD6" s="7"/>
      <c r="AFE6" s="7"/>
      <c r="AFF6" s="7"/>
      <c r="AFG6" s="7"/>
      <c r="AFH6" s="7"/>
      <c r="AFI6" s="7"/>
      <c r="AFJ6" s="7"/>
      <c r="AFK6" s="7"/>
      <c r="AFL6" s="7"/>
      <c r="AFM6" s="7"/>
      <c r="AFN6" s="7"/>
      <c r="AFO6" s="7"/>
      <c r="AFP6" s="7"/>
      <c r="AFQ6" s="7"/>
      <c r="AFR6" s="7"/>
      <c r="AFS6" s="7"/>
      <c r="AFT6" s="7"/>
      <c r="AFU6" s="7"/>
      <c r="AFV6" s="7"/>
      <c r="AFW6" s="7"/>
      <c r="AFX6" s="7"/>
      <c r="AFY6" s="7"/>
      <c r="AFZ6" s="7"/>
      <c r="AGA6" s="7"/>
      <c r="AGB6" s="7"/>
      <c r="AGC6" s="7"/>
      <c r="AGD6" s="7"/>
      <c r="AGE6" s="7"/>
      <c r="AGF6" s="7"/>
      <c r="AGG6" s="7"/>
      <c r="AGH6" s="7"/>
      <c r="AGI6" s="7"/>
      <c r="AGJ6" s="7"/>
      <c r="AGK6" s="7"/>
      <c r="AGL6" s="7"/>
      <c r="AGM6" s="7"/>
      <c r="AGN6" s="7"/>
      <c r="AGO6" s="7"/>
      <c r="AGP6" s="7"/>
      <c r="AGQ6" s="7"/>
      <c r="AGR6" s="7"/>
      <c r="AGS6" s="7"/>
      <c r="AGT6" s="7"/>
      <c r="AGU6" s="7"/>
      <c r="AGV6" s="7"/>
      <c r="AGW6" s="7"/>
      <c r="AGX6" s="7"/>
      <c r="AGY6" s="7"/>
      <c r="AGZ6" s="7"/>
      <c r="AHA6" s="7"/>
      <c r="AHB6" s="7"/>
      <c r="AHC6" s="7"/>
      <c r="AHD6" s="7"/>
      <c r="AHE6" s="7"/>
      <c r="AHF6" s="7"/>
      <c r="AHG6" s="7"/>
      <c r="AHH6" s="7"/>
      <c r="AHI6" s="7"/>
      <c r="AHJ6" s="7"/>
      <c r="AHK6" s="7"/>
      <c r="AHL6" s="7"/>
      <c r="AHM6" s="7"/>
      <c r="AHN6" s="7"/>
      <c r="AHO6" s="7"/>
      <c r="AHP6" s="7"/>
      <c r="AHQ6" s="7"/>
      <c r="AHR6" s="7"/>
      <c r="AHS6" s="7"/>
      <c r="AHT6" s="7"/>
      <c r="AHU6" s="7"/>
      <c r="AHV6" s="7"/>
      <c r="AHW6" s="7"/>
      <c r="AHX6" s="7"/>
      <c r="AHY6" s="7"/>
      <c r="AHZ6" s="7"/>
      <c r="AIA6" s="7"/>
      <c r="AIB6" s="7"/>
      <c r="AIC6" s="7"/>
      <c r="AID6" s="7"/>
      <c r="AIE6" s="7"/>
      <c r="AIF6" s="7"/>
      <c r="AIG6" s="7"/>
      <c r="AIH6" s="7"/>
      <c r="AII6" s="7"/>
      <c r="AIJ6" s="7"/>
      <c r="AIK6" s="7"/>
      <c r="AIL6" s="7"/>
      <c r="AIM6" s="7"/>
      <c r="AIN6" s="7"/>
      <c r="AIO6" s="7"/>
      <c r="AIP6" s="7"/>
      <c r="AIQ6" s="7"/>
      <c r="AIR6" s="7"/>
      <c r="AIS6" s="7"/>
      <c r="AIT6" s="7"/>
      <c r="AIU6" s="7"/>
      <c r="AIV6" s="7"/>
      <c r="AIW6" s="7"/>
      <c r="AIX6" s="7"/>
      <c r="AIY6" s="7"/>
      <c r="AIZ6" s="7"/>
      <c r="AJA6" s="7"/>
      <c r="AJB6" s="7"/>
      <c r="AJC6" s="7"/>
      <c r="AJD6" s="7"/>
      <c r="AJE6" s="7"/>
      <c r="AJF6" s="7"/>
      <c r="AJG6" s="7"/>
      <c r="AJH6" s="7"/>
      <c r="AJI6" s="7"/>
      <c r="AJJ6" s="7"/>
      <c r="AJK6" s="7"/>
      <c r="AJL6" s="7"/>
      <c r="AJM6" s="7"/>
      <c r="AJN6" s="7"/>
      <c r="AJO6" s="7"/>
      <c r="AJP6" s="7"/>
      <c r="AJQ6" s="7"/>
      <c r="AJR6" s="7"/>
      <c r="AJS6" s="7"/>
      <c r="AJT6" s="7"/>
      <c r="AJU6" s="7"/>
      <c r="AJV6" s="7"/>
      <c r="AJW6" s="7"/>
      <c r="AJX6" s="7"/>
      <c r="AJY6" s="7"/>
      <c r="AJZ6" s="7"/>
      <c r="AKA6" s="7"/>
      <c r="AKB6" s="7"/>
      <c r="AKC6" s="7"/>
      <c r="AKD6" s="7"/>
      <c r="AKE6" s="7"/>
      <c r="AKF6" s="7"/>
      <c r="AKG6" s="7"/>
      <c r="AKH6" s="7"/>
      <c r="AKI6" s="7"/>
      <c r="AKJ6" s="7"/>
      <c r="AKK6" s="7"/>
      <c r="AKL6" s="7"/>
      <c r="AKM6" s="7"/>
      <c r="AKN6" s="7"/>
      <c r="AKO6" s="7"/>
      <c r="AKP6" s="7"/>
      <c r="AKQ6" s="7"/>
      <c r="AKR6" s="7"/>
      <c r="AKS6" s="7"/>
      <c r="AKT6" s="7"/>
      <c r="AKU6" s="7"/>
      <c r="AKV6" s="7"/>
      <c r="AKW6" s="7"/>
      <c r="AKX6" s="7"/>
      <c r="AKY6" s="7"/>
      <c r="AKZ6" s="7"/>
      <c r="ALA6" s="7"/>
      <c r="ALB6" s="7"/>
      <c r="ALC6" s="7"/>
      <c r="ALD6" s="7"/>
      <c r="ALE6" s="7"/>
      <c r="ALF6" s="7"/>
      <c r="ALG6" s="7"/>
      <c r="ALH6" s="7"/>
      <c r="ALI6" s="7"/>
      <c r="ALJ6" s="7"/>
      <c r="ALK6" s="7"/>
      <c r="ALL6" s="7"/>
      <c r="ALM6" s="7"/>
      <c r="ALN6" s="7"/>
      <c r="ALO6" s="7"/>
      <c r="ALP6" s="7"/>
      <c r="ALQ6" s="7"/>
      <c r="ALR6" s="7"/>
      <c r="ALS6" s="7"/>
      <c r="ALT6" s="7"/>
      <c r="ALU6" s="7"/>
      <c r="ALV6" s="7"/>
      <c r="ALW6" s="7"/>
      <c r="ALX6" s="7"/>
      <c r="ALY6" s="7"/>
      <c r="ALZ6" s="7"/>
      <c r="AMA6" s="7"/>
      <c r="AMB6" s="7"/>
      <c r="AMC6" s="7"/>
      <c r="AMD6" s="7"/>
      <c r="AME6" s="7"/>
      <c r="AMF6" s="7"/>
      <c r="AMG6" s="7"/>
      <c r="AMH6" s="7"/>
      <c r="AMI6" s="7"/>
      <c r="AMJ6" s="7"/>
    </row>
    <row r="7" customFormat="false" ht="67.15" hidden="false" customHeight="true" outlineLevel="0" collapsed="false">
      <c r="A7" s="6" t="s">
        <v>14</v>
      </c>
      <c r="B7" s="7" t="s">
        <v>15</v>
      </c>
      <c r="C7" s="6" t="s">
        <v>16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 s="7"/>
      <c r="GL7" s="7"/>
      <c r="GM7" s="7"/>
      <c r="GN7" s="7"/>
      <c r="GO7" s="7"/>
      <c r="GP7" s="7"/>
      <c r="GQ7" s="7"/>
      <c r="GR7" s="7"/>
      <c r="GS7" s="7"/>
      <c r="GT7" s="7"/>
      <c r="GU7" s="7"/>
      <c r="GV7" s="7"/>
      <c r="GW7" s="7"/>
      <c r="GX7" s="7"/>
      <c r="GY7" s="7"/>
      <c r="GZ7" s="7"/>
      <c r="HA7" s="7"/>
      <c r="HB7" s="7"/>
      <c r="HC7" s="7"/>
      <c r="HD7" s="7"/>
      <c r="HE7" s="7"/>
      <c r="HF7" s="7"/>
      <c r="HG7" s="7"/>
      <c r="HH7" s="7"/>
      <c r="HI7" s="7"/>
      <c r="HJ7" s="7"/>
      <c r="HK7" s="7"/>
      <c r="HL7" s="7"/>
      <c r="HM7" s="7"/>
      <c r="HN7" s="7"/>
      <c r="HO7" s="7"/>
      <c r="HP7" s="7"/>
      <c r="HQ7" s="7"/>
      <c r="HR7" s="7"/>
      <c r="HS7" s="7"/>
      <c r="HT7" s="7"/>
      <c r="HU7" s="7"/>
      <c r="HV7" s="7"/>
      <c r="HW7" s="7"/>
      <c r="HX7" s="7"/>
      <c r="HY7" s="7"/>
      <c r="HZ7" s="7"/>
      <c r="IA7" s="7"/>
      <c r="IB7" s="7"/>
      <c r="IC7" s="7"/>
      <c r="ID7" s="7"/>
      <c r="IE7" s="7"/>
      <c r="IF7" s="7"/>
      <c r="IG7" s="7"/>
      <c r="IH7" s="7"/>
      <c r="II7" s="7"/>
      <c r="IJ7" s="7"/>
      <c r="IK7" s="7"/>
      <c r="IL7" s="7"/>
      <c r="IM7" s="7"/>
      <c r="IN7" s="7"/>
      <c r="IO7" s="7"/>
      <c r="IP7" s="7"/>
      <c r="IQ7" s="7"/>
      <c r="IR7" s="7"/>
      <c r="IS7" s="7"/>
      <c r="IT7" s="7"/>
      <c r="IU7" s="7"/>
      <c r="IV7" s="7"/>
      <c r="IW7" s="7"/>
      <c r="IX7" s="7"/>
      <c r="IY7" s="7"/>
      <c r="IZ7" s="7"/>
      <c r="JA7" s="7"/>
      <c r="JB7" s="7"/>
      <c r="JC7" s="7"/>
      <c r="JD7" s="7"/>
      <c r="JE7" s="7"/>
      <c r="JF7" s="7"/>
      <c r="JG7" s="7"/>
      <c r="JH7" s="7"/>
      <c r="JI7" s="7"/>
      <c r="JJ7" s="7"/>
      <c r="JK7" s="7"/>
      <c r="JL7" s="7"/>
      <c r="JM7" s="7"/>
      <c r="JN7" s="7"/>
      <c r="JO7" s="7"/>
      <c r="JP7" s="7"/>
      <c r="JQ7" s="7"/>
      <c r="JR7" s="7"/>
      <c r="JS7" s="7"/>
      <c r="JT7" s="7"/>
      <c r="JU7" s="7"/>
      <c r="JV7" s="7"/>
      <c r="JW7" s="7"/>
      <c r="JX7" s="7"/>
      <c r="JY7" s="7"/>
      <c r="JZ7" s="7"/>
      <c r="KA7" s="7"/>
      <c r="KB7" s="7"/>
      <c r="KC7" s="7"/>
      <c r="KD7" s="7"/>
      <c r="KE7" s="7"/>
      <c r="KF7" s="7"/>
      <c r="KG7" s="7"/>
      <c r="KH7" s="7"/>
      <c r="KI7" s="7"/>
      <c r="KJ7" s="7"/>
      <c r="KK7" s="7"/>
      <c r="KL7" s="7"/>
      <c r="KM7" s="7"/>
      <c r="KN7" s="7"/>
      <c r="KO7" s="7"/>
      <c r="KP7" s="7"/>
      <c r="KQ7" s="7"/>
      <c r="KR7" s="7"/>
      <c r="KS7" s="7"/>
      <c r="KT7" s="7"/>
      <c r="KU7" s="7"/>
      <c r="KV7" s="7"/>
      <c r="KW7" s="7"/>
      <c r="KX7" s="7"/>
      <c r="KY7" s="7"/>
      <c r="KZ7" s="7"/>
      <c r="LA7" s="7"/>
      <c r="LB7" s="7"/>
      <c r="LC7" s="7"/>
      <c r="LD7" s="7"/>
      <c r="LE7" s="7"/>
      <c r="LF7" s="7"/>
      <c r="LG7" s="7"/>
      <c r="LH7" s="7"/>
      <c r="LI7" s="7"/>
      <c r="LJ7" s="7"/>
      <c r="LK7" s="7"/>
      <c r="LL7" s="7"/>
      <c r="LM7" s="7"/>
      <c r="LN7" s="7"/>
      <c r="LO7" s="7"/>
      <c r="LP7" s="7"/>
      <c r="LQ7" s="7"/>
      <c r="LR7" s="7"/>
      <c r="LS7" s="7"/>
      <c r="LT7" s="7"/>
      <c r="LU7" s="7"/>
      <c r="LV7" s="7"/>
      <c r="LW7" s="7"/>
      <c r="LX7" s="7"/>
      <c r="LY7" s="7"/>
      <c r="LZ7" s="7"/>
      <c r="MA7" s="7"/>
      <c r="MB7" s="7"/>
      <c r="MC7" s="7"/>
      <c r="MD7" s="7"/>
      <c r="ME7" s="7"/>
      <c r="MF7" s="7"/>
      <c r="MG7" s="7"/>
      <c r="MH7" s="7"/>
      <c r="MI7" s="7"/>
      <c r="MJ7" s="7"/>
      <c r="MK7" s="7"/>
      <c r="ML7" s="7"/>
      <c r="MM7" s="7"/>
      <c r="MN7" s="7"/>
      <c r="MO7" s="7"/>
      <c r="MP7" s="7"/>
      <c r="MQ7" s="7"/>
      <c r="MR7" s="7"/>
      <c r="MS7" s="7"/>
      <c r="MT7" s="7"/>
      <c r="MU7" s="7"/>
      <c r="MV7" s="7"/>
      <c r="MW7" s="7"/>
      <c r="MX7" s="7"/>
      <c r="MY7" s="7"/>
      <c r="MZ7" s="7"/>
      <c r="NA7" s="7"/>
      <c r="NB7" s="7"/>
      <c r="NC7" s="7"/>
      <c r="ND7" s="7"/>
      <c r="NE7" s="7"/>
      <c r="NF7" s="7"/>
      <c r="NG7" s="7"/>
      <c r="NH7" s="7"/>
      <c r="NI7" s="7"/>
      <c r="NJ7" s="7"/>
      <c r="NK7" s="7"/>
      <c r="NL7" s="7"/>
      <c r="NM7" s="7"/>
      <c r="NN7" s="7"/>
      <c r="NO7" s="7"/>
      <c r="NP7" s="7"/>
      <c r="NQ7" s="7"/>
      <c r="NR7" s="7"/>
      <c r="NS7" s="7"/>
      <c r="NT7" s="7"/>
      <c r="NU7" s="7"/>
      <c r="NV7" s="7"/>
      <c r="NW7" s="7"/>
      <c r="NX7" s="7"/>
      <c r="NY7" s="7"/>
      <c r="NZ7" s="7"/>
      <c r="OA7" s="7"/>
      <c r="OB7" s="7"/>
      <c r="OC7" s="7"/>
      <c r="OD7" s="7"/>
      <c r="OE7" s="7"/>
      <c r="OF7" s="7"/>
      <c r="OG7" s="7"/>
      <c r="OH7" s="7"/>
      <c r="OI7" s="7"/>
      <c r="OJ7" s="7"/>
      <c r="OK7" s="7"/>
      <c r="OL7" s="7"/>
      <c r="OM7" s="7"/>
      <c r="ON7" s="7"/>
      <c r="OO7" s="7"/>
      <c r="OP7" s="7"/>
      <c r="OQ7" s="7"/>
      <c r="OR7" s="7"/>
      <c r="OS7" s="7"/>
      <c r="OT7" s="7"/>
      <c r="OU7" s="7"/>
      <c r="OV7" s="7"/>
      <c r="OW7" s="7"/>
      <c r="OX7" s="7"/>
      <c r="OY7" s="7"/>
      <c r="OZ7" s="7"/>
      <c r="PA7" s="7"/>
      <c r="PB7" s="7"/>
      <c r="PC7" s="7"/>
      <c r="PD7" s="7"/>
      <c r="PE7" s="7"/>
      <c r="PF7" s="7"/>
      <c r="PG7" s="7"/>
      <c r="PH7" s="7"/>
      <c r="PI7" s="7"/>
      <c r="PJ7" s="7"/>
      <c r="PK7" s="7"/>
      <c r="PL7" s="7"/>
      <c r="PM7" s="7"/>
      <c r="PN7" s="7"/>
      <c r="PO7" s="7"/>
      <c r="PP7" s="7"/>
      <c r="PQ7" s="7"/>
      <c r="PR7" s="7"/>
      <c r="PS7" s="7"/>
      <c r="PT7" s="7"/>
      <c r="PU7" s="7"/>
      <c r="PV7" s="7"/>
      <c r="PW7" s="7"/>
      <c r="PX7" s="7"/>
      <c r="PY7" s="7"/>
      <c r="PZ7" s="7"/>
      <c r="QA7" s="7"/>
      <c r="QB7" s="7"/>
      <c r="QC7" s="7"/>
      <c r="QD7" s="7"/>
      <c r="QE7" s="7"/>
      <c r="QF7" s="7"/>
      <c r="QG7" s="7"/>
      <c r="QH7" s="7"/>
      <c r="QI7" s="7"/>
      <c r="QJ7" s="7"/>
      <c r="QK7" s="7"/>
      <c r="QL7" s="7"/>
      <c r="QM7" s="7"/>
      <c r="QN7" s="7"/>
      <c r="QO7" s="7"/>
      <c r="QP7" s="7"/>
      <c r="QQ7" s="7"/>
      <c r="QR7" s="7"/>
      <c r="QS7" s="7"/>
      <c r="QT7" s="7"/>
      <c r="QU7" s="7"/>
      <c r="QV7" s="7"/>
      <c r="QW7" s="7"/>
      <c r="QX7" s="7"/>
      <c r="QY7" s="7"/>
      <c r="QZ7" s="7"/>
      <c r="RA7" s="7"/>
      <c r="RB7" s="7"/>
      <c r="RC7" s="7"/>
      <c r="RD7" s="7"/>
      <c r="RE7" s="7"/>
      <c r="RF7" s="7"/>
      <c r="RG7" s="7"/>
      <c r="RH7" s="7"/>
      <c r="RI7" s="7"/>
      <c r="RJ7" s="7"/>
      <c r="RK7" s="7"/>
      <c r="RL7" s="7"/>
      <c r="RM7" s="7"/>
      <c r="RN7" s="7"/>
      <c r="RO7" s="7"/>
      <c r="RP7" s="7"/>
      <c r="RQ7" s="7"/>
      <c r="RR7" s="7"/>
      <c r="RS7" s="7"/>
      <c r="RT7" s="7"/>
      <c r="RU7" s="7"/>
      <c r="RV7" s="7"/>
      <c r="RW7" s="7"/>
      <c r="RX7" s="7"/>
      <c r="RY7" s="7"/>
      <c r="RZ7" s="7"/>
      <c r="SA7" s="7"/>
      <c r="SB7" s="7"/>
      <c r="SC7" s="7"/>
      <c r="SD7" s="7"/>
      <c r="SE7" s="7"/>
      <c r="SF7" s="7"/>
      <c r="SG7" s="7"/>
      <c r="SH7" s="7"/>
      <c r="SI7" s="7"/>
      <c r="SJ7" s="7"/>
      <c r="SK7" s="7"/>
      <c r="SL7" s="7"/>
      <c r="SM7" s="7"/>
      <c r="SN7" s="7"/>
      <c r="SO7" s="7"/>
      <c r="SP7" s="7"/>
      <c r="SQ7" s="7"/>
      <c r="SR7" s="7"/>
      <c r="SS7" s="7"/>
      <c r="ST7" s="7"/>
      <c r="SU7" s="7"/>
      <c r="SV7" s="7"/>
      <c r="SW7" s="7"/>
      <c r="SX7" s="7"/>
      <c r="SY7" s="7"/>
      <c r="SZ7" s="7"/>
      <c r="TA7" s="7"/>
      <c r="TB7" s="7"/>
      <c r="TC7" s="7"/>
      <c r="TD7" s="7"/>
      <c r="TE7" s="7"/>
      <c r="TF7" s="7"/>
      <c r="TG7" s="7"/>
      <c r="TH7" s="7"/>
      <c r="TI7" s="7"/>
      <c r="TJ7" s="7"/>
      <c r="TK7" s="7"/>
      <c r="TL7" s="7"/>
      <c r="TM7" s="7"/>
      <c r="TN7" s="7"/>
      <c r="TO7" s="7"/>
      <c r="TP7" s="7"/>
      <c r="TQ7" s="7"/>
      <c r="TR7" s="7"/>
      <c r="TS7" s="7"/>
      <c r="TT7" s="7"/>
      <c r="TU7" s="7"/>
      <c r="TV7" s="7"/>
      <c r="TW7" s="7"/>
      <c r="TX7" s="7"/>
      <c r="TY7" s="7"/>
      <c r="TZ7" s="7"/>
      <c r="UA7" s="7"/>
      <c r="UB7" s="7"/>
      <c r="UC7" s="7"/>
      <c r="UD7" s="7"/>
      <c r="UE7" s="7"/>
      <c r="UF7" s="7"/>
      <c r="UG7" s="7"/>
      <c r="UH7" s="7"/>
      <c r="UI7" s="7"/>
      <c r="UJ7" s="7"/>
      <c r="UK7" s="7"/>
      <c r="UL7" s="7"/>
      <c r="UM7" s="7"/>
      <c r="UN7" s="7"/>
      <c r="UO7" s="7"/>
      <c r="UP7" s="7"/>
      <c r="UQ7" s="7"/>
      <c r="UR7" s="7"/>
      <c r="US7" s="7"/>
      <c r="UT7" s="7"/>
      <c r="UU7" s="7"/>
      <c r="UV7" s="7"/>
      <c r="UW7" s="7"/>
      <c r="UX7" s="7"/>
      <c r="UY7" s="7"/>
      <c r="UZ7" s="7"/>
      <c r="VA7" s="7"/>
      <c r="VB7" s="7"/>
      <c r="VC7" s="7"/>
      <c r="VD7" s="7"/>
      <c r="VE7" s="7"/>
      <c r="VF7" s="7"/>
      <c r="VG7" s="7"/>
      <c r="VH7" s="7"/>
      <c r="VI7" s="7"/>
      <c r="VJ7" s="7"/>
      <c r="VK7" s="7"/>
      <c r="VL7" s="7"/>
      <c r="VM7" s="7"/>
      <c r="VN7" s="7"/>
      <c r="VO7" s="7"/>
      <c r="VP7" s="7"/>
      <c r="VQ7" s="7"/>
      <c r="VR7" s="7"/>
      <c r="VS7" s="7"/>
      <c r="VT7" s="7"/>
      <c r="VU7" s="7"/>
      <c r="VV7" s="7"/>
      <c r="VW7" s="7"/>
      <c r="VX7" s="7"/>
      <c r="VY7" s="7"/>
      <c r="VZ7" s="7"/>
      <c r="WA7" s="7"/>
      <c r="WB7" s="7"/>
      <c r="WC7" s="7"/>
      <c r="WD7" s="7"/>
      <c r="WE7" s="7"/>
      <c r="WF7" s="7"/>
      <c r="WG7" s="7"/>
      <c r="WH7" s="7"/>
      <c r="WI7" s="7"/>
      <c r="WJ7" s="7"/>
      <c r="WK7" s="7"/>
      <c r="WL7" s="7"/>
      <c r="WM7" s="7"/>
      <c r="WN7" s="7"/>
      <c r="WO7" s="7"/>
      <c r="WP7" s="7"/>
      <c r="WQ7" s="7"/>
      <c r="WR7" s="7"/>
      <c r="WS7" s="7"/>
      <c r="WT7" s="7"/>
      <c r="WU7" s="7"/>
      <c r="WV7" s="7"/>
      <c r="WW7" s="7"/>
      <c r="WX7" s="7"/>
      <c r="WY7" s="7"/>
      <c r="WZ7" s="7"/>
      <c r="XA7" s="7"/>
      <c r="XB7" s="7"/>
      <c r="XC7" s="7"/>
      <c r="XD7" s="7"/>
      <c r="XE7" s="7"/>
      <c r="XF7" s="7"/>
      <c r="XG7" s="7"/>
      <c r="XH7" s="7"/>
      <c r="XI7" s="7"/>
      <c r="XJ7" s="7"/>
      <c r="XK7" s="7"/>
      <c r="XL7" s="7"/>
      <c r="XM7" s="7"/>
      <c r="XN7" s="7"/>
      <c r="XO7" s="7"/>
      <c r="XP7" s="7"/>
      <c r="XQ7" s="7"/>
      <c r="XR7" s="7"/>
      <c r="XS7" s="7"/>
      <c r="XT7" s="7"/>
      <c r="XU7" s="7"/>
      <c r="XV7" s="7"/>
      <c r="XW7" s="7"/>
      <c r="XX7" s="7"/>
      <c r="XY7" s="7"/>
      <c r="XZ7" s="7"/>
      <c r="YA7" s="7"/>
      <c r="YB7" s="7"/>
      <c r="YC7" s="7"/>
      <c r="YD7" s="7"/>
      <c r="YE7" s="7"/>
      <c r="YF7" s="7"/>
      <c r="YG7" s="7"/>
      <c r="YH7" s="7"/>
      <c r="YI7" s="7"/>
      <c r="YJ7" s="7"/>
      <c r="YK7" s="7"/>
      <c r="YL7" s="7"/>
      <c r="YM7" s="7"/>
      <c r="YN7" s="7"/>
      <c r="YO7" s="7"/>
      <c r="YP7" s="7"/>
      <c r="YQ7" s="7"/>
      <c r="YR7" s="7"/>
      <c r="YS7" s="7"/>
      <c r="YT7" s="7"/>
      <c r="YU7" s="7"/>
      <c r="YV7" s="7"/>
      <c r="YW7" s="7"/>
      <c r="YX7" s="7"/>
      <c r="YY7" s="7"/>
      <c r="YZ7" s="7"/>
      <c r="ZA7" s="7"/>
      <c r="ZB7" s="7"/>
      <c r="ZC7" s="7"/>
      <c r="ZD7" s="7"/>
      <c r="ZE7" s="7"/>
      <c r="ZF7" s="7"/>
      <c r="ZG7" s="7"/>
      <c r="ZH7" s="7"/>
      <c r="ZI7" s="7"/>
      <c r="ZJ7" s="7"/>
      <c r="ZK7" s="7"/>
      <c r="ZL7" s="7"/>
      <c r="ZM7" s="7"/>
      <c r="ZN7" s="7"/>
      <c r="ZO7" s="7"/>
      <c r="ZP7" s="7"/>
      <c r="ZQ7" s="7"/>
      <c r="ZR7" s="7"/>
      <c r="ZS7" s="7"/>
      <c r="ZT7" s="7"/>
      <c r="ZU7" s="7"/>
      <c r="ZV7" s="7"/>
      <c r="ZW7" s="7"/>
      <c r="ZX7" s="7"/>
      <c r="ZY7" s="7"/>
      <c r="ZZ7" s="7"/>
      <c r="AAA7" s="7"/>
      <c r="AAB7" s="7"/>
      <c r="AAC7" s="7"/>
      <c r="AAD7" s="7"/>
      <c r="AAE7" s="7"/>
      <c r="AAF7" s="7"/>
      <c r="AAG7" s="7"/>
      <c r="AAH7" s="7"/>
      <c r="AAI7" s="7"/>
      <c r="AAJ7" s="7"/>
      <c r="AAK7" s="7"/>
      <c r="AAL7" s="7"/>
      <c r="AAM7" s="7"/>
      <c r="AAN7" s="7"/>
      <c r="AAO7" s="7"/>
      <c r="AAP7" s="7"/>
      <c r="AAQ7" s="7"/>
      <c r="AAR7" s="7"/>
      <c r="AAS7" s="7"/>
      <c r="AAT7" s="7"/>
      <c r="AAU7" s="7"/>
      <c r="AAV7" s="7"/>
      <c r="AAW7" s="7"/>
      <c r="AAX7" s="7"/>
      <c r="AAY7" s="7"/>
      <c r="AAZ7" s="7"/>
      <c r="ABA7" s="7"/>
      <c r="ABB7" s="7"/>
      <c r="ABC7" s="7"/>
      <c r="ABD7" s="7"/>
      <c r="ABE7" s="7"/>
      <c r="ABF7" s="7"/>
      <c r="ABG7" s="7"/>
      <c r="ABH7" s="7"/>
      <c r="ABI7" s="7"/>
      <c r="ABJ7" s="7"/>
      <c r="ABK7" s="7"/>
      <c r="ABL7" s="7"/>
      <c r="ABM7" s="7"/>
      <c r="ABN7" s="7"/>
      <c r="ABO7" s="7"/>
      <c r="ABP7" s="7"/>
      <c r="ABQ7" s="7"/>
      <c r="ABR7" s="7"/>
      <c r="ABS7" s="7"/>
      <c r="ABT7" s="7"/>
      <c r="ABU7" s="7"/>
      <c r="ABV7" s="7"/>
      <c r="ABW7" s="7"/>
      <c r="ABX7" s="7"/>
      <c r="ABY7" s="7"/>
      <c r="ABZ7" s="7"/>
      <c r="ACA7" s="7"/>
      <c r="ACB7" s="7"/>
      <c r="ACC7" s="7"/>
      <c r="ACD7" s="7"/>
      <c r="ACE7" s="7"/>
      <c r="ACF7" s="7"/>
      <c r="ACG7" s="7"/>
      <c r="ACH7" s="7"/>
      <c r="ACI7" s="7"/>
      <c r="ACJ7" s="7"/>
      <c r="ACK7" s="7"/>
      <c r="ACL7" s="7"/>
      <c r="ACM7" s="7"/>
      <c r="ACN7" s="7"/>
      <c r="ACO7" s="7"/>
      <c r="ACP7" s="7"/>
      <c r="ACQ7" s="7"/>
      <c r="ACR7" s="7"/>
      <c r="ACS7" s="7"/>
      <c r="ACT7" s="7"/>
      <c r="ACU7" s="7"/>
      <c r="ACV7" s="7"/>
      <c r="ACW7" s="7"/>
      <c r="ACX7" s="7"/>
      <c r="ACY7" s="7"/>
      <c r="ACZ7" s="7"/>
      <c r="ADA7" s="7"/>
      <c r="ADB7" s="7"/>
      <c r="ADC7" s="7"/>
      <c r="ADD7" s="7"/>
      <c r="ADE7" s="7"/>
      <c r="ADF7" s="7"/>
      <c r="ADG7" s="7"/>
      <c r="ADH7" s="7"/>
      <c r="ADI7" s="7"/>
      <c r="ADJ7" s="7"/>
      <c r="ADK7" s="7"/>
      <c r="ADL7" s="7"/>
      <c r="ADM7" s="7"/>
      <c r="ADN7" s="7"/>
      <c r="ADO7" s="7"/>
      <c r="ADP7" s="7"/>
      <c r="ADQ7" s="7"/>
      <c r="ADR7" s="7"/>
      <c r="ADS7" s="7"/>
      <c r="ADT7" s="7"/>
      <c r="ADU7" s="7"/>
      <c r="ADV7" s="7"/>
      <c r="ADW7" s="7"/>
      <c r="ADX7" s="7"/>
      <c r="ADY7" s="7"/>
      <c r="ADZ7" s="7"/>
      <c r="AEA7" s="7"/>
      <c r="AEB7" s="7"/>
      <c r="AEC7" s="7"/>
      <c r="AED7" s="7"/>
      <c r="AEE7" s="7"/>
      <c r="AEF7" s="7"/>
      <c r="AEG7" s="7"/>
      <c r="AEH7" s="7"/>
      <c r="AEI7" s="7"/>
      <c r="AEJ7" s="7"/>
      <c r="AEK7" s="7"/>
      <c r="AEL7" s="7"/>
      <c r="AEM7" s="7"/>
      <c r="AEN7" s="7"/>
      <c r="AEO7" s="7"/>
      <c r="AEP7" s="7"/>
      <c r="AEQ7" s="7"/>
      <c r="AER7" s="7"/>
      <c r="AES7" s="7"/>
      <c r="AET7" s="7"/>
      <c r="AEU7" s="7"/>
      <c r="AEV7" s="7"/>
      <c r="AEW7" s="7"/>
      <c r="AEX7" s="7"/>
      <c r="AEY7" s="7"/>
      <c r="AEZ7" s="7"/>
      <c r="AFA7" s="7"/>
      <c r="AFB7" s="7"/>
      <c r="AFC7" s="7"/>
      <c r="AFD7" s="7"/>
      <c r="AFE7" s="7"/>
      <c r="AFF7" s="7"/>
      <c r="AFG7" s="7"/>
      <c r="AFH7" s="7"/>
      <c r="AFI7" s="7"/>
      <c r="AFJ7" s="7"/>
      <c r="AFK7" s="7"/>
      <c r="AFL7" s="7"/>
      <c r="AFM7" s="7"/>
      <c r="AFN7" s="7"/>
      <c r="AFO7" s="7"/>
      <c r="AFP7" s="7"/>
      <c r="AFQ7" s="7"/>
      <c r="AFR7" s="7"/>
      <c r="AFS7" s="7"/>
      <c r="AFT7" s="7"/>
      <c r="AFU7" s="7"/>
      <c r="AFV7" s="7"/>
      <c r="AFW7" s="7"/>
      <c r="AFX7" s="7"/>
      <c r="AFY7" s="7"/>
      <c r="AFZ7" s="7"/>
      <c r="AGA7" s="7"/>
      <c r="AGB7" s="7"/>
      <c r="AGC7" s="7"/>
      <c r="AGD7" s="7"/>
      <c r="AGE7" s="7"/>
      <c r="AGF7" s="7"/>
      <c r="AGG7" s="7"/>
      <c r="AGH7" s="7"/>
      <c r="AGI7" s="7"/>
      <c r="AGJ7" s="7"/>
      <c r="AGK7" s="7"/>
      <c r="AGL7" s="7"/>
      <c r="AGM7" s="7"/>
      <c r="AGN7" s="7"/>
      <c r="AGO7" s="7"/>
      <c r="AGP7" s="7"/>
      <c r="AGQ7" s="7"/>
      <c r="AGR7" s="7"/>
      <c r="AGS7" s="7"/>
      <c r="AGT7" s="7"/>
      <c r="AGU7" s="7"/>
      <c r="AGV7" s="7"/>
      <c r="AGW7" s="7"/>
      <c r="AGX7" s="7"/>
      <c r="AGY7" s="7"/>
      <c r="AGZ7" s="7"/>
      <c r="AHA7" s="7"/>
      <c r="AHB7" s="7"/>
      <c r="AHC7" s="7"/>
      <c r="AHD7" s="7"/>
      <c r="AHE7" s="7"/>
      <c r="AHF7" s="7"/>
      <c r="AHG7" s="7"/>
      <c r="AHH7" s="7"/>
      <c r="AHI7" s="7"/>
      <c r="AHJ7" s="7"/>
      <c r="AHK7" s="7"/>
      <c r="AHL7" s="7"/>
      <c r="AHM7" s="7"/>
      <c r="AHN7" s="7"/>
      <c r="AHO7" s="7"/>
      <c r="AHP7" s="7"/>
      <c r="AHQ7" s="7"/>
      <c r="AHR7" s="7"/>
      <c r="AHS7" s="7"/>
      <c r="AHT7" s="7"/>
      <c r="AHU7" s="7"/>
      <c r="AHV7" s="7"/>
      <c r="AHW7" s="7"/>
      <c r="AHX7" s="7"/>
      <c r="AHY7" s="7"/>
      <c r="AHZ7" s="7"/>
      <c r="AIA7" s="7"/>
      <c r="AIB7" s="7"/>
      <c r="AIC7" s="7"/>
      <c r="AID7" s="7"/>
      <c r="AIE7" s="7"/>
      <c r="AIF7" s="7"/>
      <c r="AIG7" s="7"/>
      <c r="AIH7" s="7"/>
      <c r="AII7" s="7"/>
      <c r="AIJ7" s="7"/>
      <c r="AIK7" s="7"/>
      <c r="AIL7" s="7"/>
      <c r="AIM7" s="7"/>
      <c r="AIN7" s="7"/>
      <c r="AIO7" s="7"/>
      <c r="AIP7" s="7"/>
      <c r="AIQ7" s="7"/>
      <c r="AIR7" s="7"/>
      <c r="AIS7" s="7"/>
      <c r="AIT7" s="7"/>
      <c r="AIU7" s="7"/>
      <c r="AIV7" s="7"/>
      <c r="AIW7" s="7"/>
      <c r="AIX7" s="7"/>
      <c r="AIY7" s="7"/>
      <c r="AIZ7" s="7"/>
      <c r="AJA7" s="7"/>
      <c r="AJB7" s="7"/>
      <c r="AJC7" s="7"/>
      <c r="AJD7" s="7"/>
      <c r="AJE7" s="7"/>
      <c r="AJF7" s="7"/>
      <c r="AJG7" s="7"/>
      <c r="AJH7" s="7"/>
      <c r="AJI7" s="7"/>
      <c r="AJJ7" s="7"/>
      <c r="AJK7" s="7"/>
      <c r="AJL7" s="7"/>
      <c r="AJM7" s="7"/>
      <c r="AJN7" s="7"/>
      <c r="AJO7" s="7"/>
      <c r="AJP7" s="7"/>
      <c r="AJQ7" s="7"/>
      <c r="AJR7" s="7"/>
      <c r="AJS7" s="7"/>
      <c r="AJT7" s="7"/>
      <c r="AJU7" s="7"/>
      <c r="AJV7" s="7"/>
      <c r="AJW7" s="7"/>
      <c r="AJX7" s="7"/>
      <c r="AJY7" s="7"/>
      <c r="AJZ7" s="7"/>
      <c r="AKA7" s="7"/>
      <c r="AKB7" s="7"/>
      <c r="AKC7" s="7"/>
      <c r="AKD7" s="7"/>
      <c r="AKE7" s="7"/>
      <c r="AKF7" s="7"/>
      <c r="AKG7" s="7"/>
      <c r="AKH7" s="7"/>
      <c r="AKI7" s="7"/>
      <c r="AKJ7" s="7"/>
      <c r="AKK7" s="7"/>
      <c r="AKL7" s="7"/>
      <c r="AKM7" s="7"/>
      <c r="AKN7" s="7"/>
      <c r="AKO7" s="7"/>
      <c r="AKP7" s="7"/>
      <c r="AKQ7" s="7"/>
      <c r="AKR7" s="7"/>
      <c r="AKS7" s="7"/>
      <c r="AKT7" s="7"/>
      <c r="AKU7" s="7"/>
      <c r="AKV7" s="7"/>
      <c r="AKW7" s="7"/>
      <c r="AKX7" s="7"/>
      <c r="AKY7" s="7"/>
      <c r="AKZ7" s="7"/>
      <c r="ALA7" s="7"/>
      <c r="ALB7" s="7"/>
      <c r="ALC7" s="7"/>
      <c r="ALD7" s="7"/>
      <c r="ALE7" s="7"/>
      <c r="ALF7" s="7"/>
      <c r="ALG7" s="7"/>
      <c r="ALH7" s="7"/>
      <c r="ALI7" s="7"/>
      <c r="ALJ7" s="7"/>
      <c r="ALK7" s="7"/>
      <c r="ALL7" s="7"/>
      <c r="ALM7" s="7"/>
      <c r="ALN7" s="7"/>
      <c r="ALO7" s="7"/>
      <c r="ALP7" s="7"/>
      <c r="ALQ7" s="7"/>
      <c r="ALR7" s="7"/>
      <c r="ALS7" s="7"/>
      <c r="ALT7" s="7"/>
      <c r="ALU7" s="7"/>
      <c r="ALV7" s="7"/>
      <c r="ALW7" s="7"/>
      <c r="ALX7" s="7"/>
      <c r="ALY7" s="7"/>
      <c r="ALZ7" s="7"/>
      <c r="AMA7" s="7"/>
      <c r="AMB7" s="7"/>
      <c r="AMC7" s="7"/>
      <c r="AMD7" s="7"/>
      <c r="AME7" s="7"/>
      <c r="AMF7" s="7"/>
      <c r="AMG7" s="7"/>
      <c r="AMH7" s="7"/>
      <c r="AMI7" s="7"/>
      <c r="AMJ7" s="7"/>
    </row>
    <row r="8" customFormat="false" ht="67.15" hidden="false" customHeight="true" outlineLevel="0" collapsed="false">
      <c r="A8" s="6" t="s">
        <v>17</v>
      </c>
      <c r="B8" s="7" t="s">
        <v>18</v>
      </c>
      <c r="C8" s="6" t="s">
        <v>19</v>
      </c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  <c r="GK8" s="7"/>
      <c r="GL8" s="7"/>
      <c r="GM8" s="7"/>
      <c r="GN8" s="7"/>
      <c r="GO8" s="7"/>
      <c r="GP8" s="7"/>
      <c r="GQ8" s="7"/>
      <c r="GR8" s="7"/>
      <c r="GS8" s="7"/>
      <c r="GT8" s="7"/>
      <c r="GU8" s="7"/>
      <c r="GV8" s="7"/>
      <c r="GW8" s="7"/>
      <c r="GX8" s="7"/>
      <c r="GY8" s="7"/>
      <c r="GZ8" s="7"/>
      <c r="HA8" s="7"/>
      <c r="HB8" s="7"/>
      <c r="HC8" s="7"/>
      <c r="HD8" s="7"/>
      <c r="HE8" s="7"/>
      <c r="HF8" s="7"/>
      <c r="HG8" s="7"/>
      <c r="HH8" s="7"/>
      <c r="HI8" s="7"/>
      <c r="HJ8" s="7"/>
      <c r="HK8" s="7"/>
      <c r="HL8" s="7"/>
      <c r="HM8" s="7"/>
      <c r="HN8" s="7"/>
      <c r="HO8" s="7"/>
      <c r="HP8" s="7"/>
      <c r="HQ8" s="7"/>
      <c r="HR8" s="7"/>
      <c r="HS8" s="7"/>
      <c r="HT8" s="7"/>
      <c r="HU8" s="7"/>
      <c r="HV8" s="7"/>
      <c r="HW8" s="7"/>
      <c r="HX8" s="7"/>
      <c r="HY8" s="7"/>
      <c r="HZ8" s="7"/>
      <c r="IA8" s="7"/>
      <c r="IB8" s="7"/>
      <c r="IC8" s="7"/>
      <c r="ID8" s="7"/>
      <c r="IE8" s="7"/>
      <c r="IF8" s="7"/>
      <c r="IG8" s="7"/>
      <c r="IH8" s="7"/>
      <c r="II8" s="7"/>
      <c r="IJ8" s="7"/>
      <c r="IK8" s="7"/>
      <c r="IL8" s="7"/>
      <c r="IM8" s="7"/>
      <c r="IN8" s="7"/>
      <c r="IO8" s="7"/>
      <c r="IP8" s="7"/>
      <c r="IQ8" s="7"/>
      <c r="IR8" s="7"/>
      <c r="IS8" s="7"/>
      <c r="IT8" s="7"/>
      <c r="IU8" s="7"/>
      <c r="IV8" s="7"/>
      <c r="IW8" s="7"/>
      <c r="IX8" s="7"/>
      <c r="IY8" s="7"/>
      <c r="IZ8" s="7"/>
      <c r="JA8" s="7"/>
      <c r="JB8" s="7"/>
      <c r="JC8" s="7"/>
      <c r="JD8" s="7"/>
      <c r="JE8" s="7"/>
      <c r="JF8" s="7"/>
      <c r="JG8" s="7"/>
      <c r="JH8" s="7"/>
      <c r="JI8" s="7"/>
      <c r="JJ8" s="7"/>
      <c r="JK8" s="7"/>
      <c r="JL8" s="7"/>
      <c r="JM8" s="7"/>
      <c r="JN8" s="7"/>
      <c r="JO8" s="7"/>
      <c r="JP8" s="7"/>
      <c r="JQ8" s="7"/>
      <c r="JR8" s="7"/>
      <c r="JS8" s="7"/>
      <c r="JT8" s="7"/>
      <c r="JU8" s="7"/>
      <c r="JV8" s="7"/>
      <c r="JW8" s="7"/>
      <c r="JX8" s="7"/>
      <c r="JY8" s="7"/>
      <c r="JZ8" s="7"/>
      <c r="KA8" s="7"/>
      <c r="KB8" s="7"/>
      <c r="KC8" s="7"/>
      <c r="KD8" s="7"/>
      <c r="KE8" s="7"/>
      <c r="KF8" s="7"/>
      <c r="KG8" s="7"/>
      <c r="KH8" s="7"/>
      <c r="KI8" s="7"/>
      <c r="KJ8" s="7"/>
      <c r="KK8" s="7"/>
      <c r="KL8" s="7"/>
      <c r="KM8" s="7"/>
      <c r="KN8" s="7"/>
      <c r="KO8" s="7"/>
      <c r="KP8" s="7"/>
      <c r="KQ8" s="7"/>
      <c r="KR8" s="7"/>
      <c r="KS8" s="7"/>
      <c r="KT8" s="7"/>
      <c r="KU8" s="7"/>
      <c r="KV8" s="7"/>
      <c r="KW8" s="7"/>
      <c r="KX8" s="7"/>
      <c r="KY8" s="7"/>
      <c r="KZ8" s="7"/>
      <c r="LA8" s="7"/>
      <c r="LB8" s="7"/>
      <c r="LC8" s="7"/>
      <c r="LD8" s="7"/>
      <c r="LE8" s="7"/>
      <c r="LF8" s="7"/>
      <c r="LG8" s="7"/>
      <c r="LH8" s="7"/>
      <c r="LI8" s="7"/>
      <c r="LJ8" s="7"/>
      <c r="LK8" s="7"/>
      <c r="LL8" s="7"/>
      <c r="LM8" s="7"/>
      <c r="LN8" s="7"/>
      <c r="LO8" s="7"/>
      <c r="LP8" s="7"/>
      <c r="LQ8" s="7"/>
      <c r="LR8" s="7"/>
      <c r="LS8" s="7"/>
      <c r="LT8" s="7"/>
      <c r="LU8" s="7"/>
      <c r="LV8" s="7"/>
      <c r="LW8" s="7"/>
      <c r="LX8" s="7"/>
      <c r="LY8" s="7"/>
      <c r="LZ8" s="7"/>
      <c r="MA8" s="7"/>
      <c r="MB8" s="7"/>
      <c r="MC8" s="7"/>
      <c r="MD8" s="7"/>
      <c r="ME8" s="7"/>
      <c r="MF8" s="7"/>
      <c r="MG8" s="7"/>
      <c r="MH8" s="7"/>
      <c r="MI8" s="7"/>
      <c r="MJ8" s="7"/>
      <c r="MK8" s="7"/>
      <c r="ML8" s="7"/>
      <c r="MM8" s="7"/>
      <c r="MN8" s="7"/>
      <c r="MO8" s="7"/>
      <c r="MP8" s="7"/>
      <c r="MQ8" s="7"/>
      <c r="MR8" s="7"/>
      <c r="MS8" s="7"/>
      <c r="MT8" s="7"/>
      <c r="MU8" s="7"/>
      <c r="MV8" s="7"/>
      <c r="MW8" s="7"/>
      <c r="MX8" s="7"/>
      <c r="MY8" s="7"/>
      <c r="MZ8" s="7"/>
      <c r="NA8" s="7"/>
      <c r="NB8" s="7"/>
      <c r="NC8" s="7"/>
      <c r="ND8" s="7"/>
      <c r="NE8" s="7"/>
      <c r="NF8" s="7"/>
      <c r="NG8" s="7"/>
      <c r="NH8" s="7"/>
      <c r="NI8" s="7"/>
      <c r="NJ8" s="7"/>
      <c r="NK8" s="7"/>
      <c r="NL8" s="7"/>
      <c r="NM8" s="7"/>
      <c r="NN8" s="7"/>
      <c r="NO8" s="7"/>
      <c r="NP8" s="7"/>
      <c r="NQ8" s="7"/>
      <c r="NR8" s="7"/>
      <c r="NS8" s="7"/>
      <c r="NT8" s="7"/>
      <c r="NU8" s="7"/>
      <c r="NV8" s="7"/>
      <c r="NW8" s="7"/>
      <c r="NX8" s="7"/>
      <c r="NY8" s="7"/>
      <c r="NZ8" s="7"/>
      <c r="OA8" s="7"/>
      <c r="OB8" s="7"/>
      <c r="OC8" s="7"/>
      <c r="OD8" s="7"/>
      <c r="OE8" s="7"/>
      <c r="OF8" s="7"/>
      <c r="OG8" s="7"/>
      <c r="OH8" s="7"/>
      <c r="OI8" s="7"/>
      <c r="OJ8" s="7"/>
      <c r="OK8" s="7"/>
      <c r="OL8" s="7"/>
      <c r="OM8" s="7"/>
      <c r="ON8" s="7"/>
      <c r="OO8" s="7"/>
      <c r="OP8" s="7"/>
      <c r="OQ8" s="7"/>
      <c r="OR8" s="7"/>
      <c r="OS8" s="7"/>
      <c r="OT8" s="7"/>
      <c r="OU8" s="7"/>
      <c r="OV8" s="7"/>
      <c r="OW8" s="7"/>
      <c r="OX8" s="7"/>
      <c r="OY8" s="7"/>
      <c r="OZ8" s="7"/>
      <c r="PA8" s="7"/>
      <c r="PB8" s="7"/>
      <c r="PC8" s="7"/>
      <c r="PD8" s="7"/>
      <c r="PE8" s="7"/>
      <c r="PF8" s="7"/>
      <c r="PG8" s="7"/>
      <c r="PH8" s="7"/>
      <c r="PI8" s="7"/>
      <c r="PJ8" s="7"/>
      <c r="PK8" s="7"/>
      <c r="PL8" s="7"/>
      <c r="PM8" s="7"/>
      <c r="PN8" s="7"/>
      <c r="PO8" s="7"/>
      <c r="PP8" s="7"/>
      <c r="PQ8" s="7"/>
      <c r="PR8" s="7"/>
      <c r="PS8" s="7"/>
      <c r="PT8" s="7"/>
      <c r="PU8" s="7"/>
      <c r="PV8" s="7"/>
      <c r="PW8" s="7"/>
      <c r="PX8" s="7"/>
      <c r="PY8" s="7"/>
      <c r="PZ8" s="7"/>
      <c r="QA8" s="7"/>
      <c r="QB8" s="7"/>
      <c r="QC8" s="7"/>
      <c r="QD8" s="7"/>
      <c r="QE8" s="7"/>
      <c r="QF8" s="7"/>
      <c r="QG8" s="7"/>
      <c r="QH8" s="7"/>
      <c r="QI8" s="7"/>
      <c r="QJ8" s="7"/>
      <c r="QK8" s="7"/>
      <c r="QL8" s="7"/>
      <c r="QM8" s="7"/>
      <c r="QN8" s="7"/>
      <c r="QO8" s="7"/>
      <c r="QP8" s="7"/>
      <c r="QQ8" s="7"/>
      <c r="QR8" s="7"/>
      <c r="QS8" s="7"/>
      <c r="QT8" s="7"/>
      <c r="QU8" s="7"/>
      <c r="QV8" s="7"/>
      <c r="QW8" s="7"/>
      <c r="QX8" s="7"/>
      <c r="QY8" s="7"/>
      <c r="QZ8" s="7"/>
      <c r="RA8" s="7"/>
      <c r="RB8" s="7"/>
      <c r="RC8" s="7"/>
      <c r="RD8" s="7"/>
      <c r="RE8" s="7"/>
      <c r="RF8" s="7"/>
      <c r="RG8" s="7"/>
      <c r="RH8" s="7"/>
      <c r="RI8" s="7"/>
      <c r="RJ8" s="7"/>
      <c r="RK8" s="7"/>
      <c r="RL8" s="7"/>
      <c r="RM8" s="7"/>
      <c r="RN8" s="7"/>
      <c r="RO8" s="7"/>
      <c r="RP8" s="7"/>
      <c r="RQ8" s="7"/>
      <c r="RR8" s="7"/>
      <c r="RS8" s="7"/>
      <c r="RT8" s="7"/>
      <c r="RU8" s="7"/>
      <c r="RV8" s="7"/>
      <c r="RW8" s="7"/>
      <c r="RX8" s="7"/>
      <c r="RY8" s="7"/>
      <c r="RZ8" s="7"/>
      <c r="SA8" s="7"/>
      <c r="SB8" s="7"/>
      <c r="SC8" s="7"/>
      <c r="SD8" s="7"/>
      <c r="SE8" s="7"/>
      <c r="SF8" s="7"/>
      <c r="SG8" s="7"/>
      <c r="SH8" s="7"/>
      <c r="SI8" s="7"/>
      <c r="SJ8" s="7"/>
      <c r="SK8" s="7"/>
      <c r="SL8" s="7"/>
      <c r="SM8" s="7"/>
      <c r="SN8" s="7"/>
      <c r="SO8" s="7"/>
      <c r="SP8" s="7"/>
      <c r="SQ8" s="7"/>
      <c r="SR8" s="7"/>
      <c r="SS8" s="7"/>
      <c r="ST8" s="7"/>
      <c r="SU8" s="7"/>
      <c r="SV8" s="7"/>
      <c r="SW8" s="7"/>
      <c r="SX8" s="7"/>
      <c r="SY8" s="7"/>
      <c r="SZ8" s="7"/>
      <c r="TA8" s="7"/>
      <c r="TB8" s="7"/>
      <c r="TC8" s="7"/>
      <c r="TD8" s="7"/>
      <c r="TE8" s="7"/>
      <c r="TF8" s="7"/>
      <c r="TG8" s="7"/>
      <c r="TH8" s="7"/>
      <c r="TI8" s="7"/>
      <c r="TJ8" s="7"/>
      <c r="TK8" s="7"/>
      <c r="TL8" s="7"/>
      <c r="TM8" s="7"/>
      <c r="TN8" s="7"/>
      <c r="TO8" s="7"/>
      <c r="TP8" s="7"/>
      <c r="TQ8" s="7"/>
      <c r="TR8" s="7"/>
      <c r="TS8" s="7"/>
      <c r="TT8" s="7"/>
      <c r="TU8" s="7"/>
      <c r="TV8" s="7"/>
      <c r="TW8" s="7"/>
      <c r="TX8" s="7"/>
      <c r="TY8" s="7"/>
      <c r="TZ8" s="7"/>
      <c r="UA8" s="7"/>
      <c r="UB8" s="7"/>
      <c r="UC8" s="7"/>
      <c r="UD8" s="7"/>
      <c r="UE8" s="7"/>
      <c r="UF8" s="7"/>
      <c r="UG8" s="7"/>
      <c r="UH8" s="7"/>
      <c r="UI8" s="7"/>
      <c r="UJ8" s="7"/>
      <c r="UK8" s="7"/>
      <c r="UL8" s="7"/>
      <c r="UM8" s="7"/>
      <c r="UN8" s="7"/>
      <c r="UO8" s="7"/>
      <c r="UP8" s="7"/>
      <c r="UQ8" s="7"/>
      <c r="UR8" s="7"/>
      <c r="US8" s="7"/>
      <c r="UT8" s="7"/>
      <c r="UU8" s="7"/>
      <c r="UV8" s="7"/>
      <c r="UW8" s="7"/>
      <c r="UX8" s="7"/>
      <c r="UY8" s="7"/>
      <c r="UZ8" s="7"/>
      <c r="VA8" s="7"/>
      <c r="VB8" s="7"/>
      <c r="VC8" s="7"/>
      <c r="VD8" s="7"/>
      <c r="VE8" s="7"/>
      <c r="VF8" s="7"/>
      <c r="VG8" s="7"/>
      <c r="VH8" s="7"/>
      <c r="VI8" s="7"/>
      <c r="VJ8" s="7"/>
      <c r="VK8" s="7"/>
      <c r="VL8" s="7"/>
      <c r="VM8" s="7"/>
      <c r="VN8" s="7"/>
      <c r="VO8" s="7"/>
      <c r="VP8" s="7"/>
      <c r="VQ8" s="7"/>
      <c r="VR8" s="7"/>
      <c r="VS8" s="7"/>
      <c r="VT8" s="7"/>
      <c r="VU8" s="7"/>
      <c r="VV8" s="7"/>
      <c r="VW8" s="7"/>
      <c r="VX8" s="7"/>
      <c r="VY8" s="7"/>
      <c r="VZ8" s="7"/>
      <c r="WA8" s="7"/>
      <c r="WB8" s="7"/>
      <c r="WC8" s="7"/>
      <c r="WD8" s="7"/>
      <c r="WE8" s="7"/>
      <c r="WF8" s="7"/>
      <c r="WG8" s="7"/>
      <c r="WH8" s="7"/>
      <c r="WI8" s="7"/>
      <c r="WJ8" s="7"/>
      <c r="WK8" s="7"/>
      <c r="WL8" s="7"/>
      <c r="WM8" s="7"/>
      <c r="WN8" s="7"/>
      <c r="WO8" s="7"/>
      <c r="WP8" s="7"/>
      <c r="WQ8" s="7"/>
      <c r="WR8" s="7"/>
      <c r="WS8" s="7"/>
      <c r="WT8" s="7"/>
      <c r="WU8" s="7"/>
      <c r="WV8" s="7"/>
      <c r="WW8" s="7"/>
      <c r="WX8" s="7"/>
      <c r="WY8" s="7"/>
      <c r="WZ8" s="7"/>
      <c r="XA8" s="7"/>
      <c r="XB8" s="7"/>
      <c r="XC8" s="7"/>
      <c r="XD8" s="7"/>
      <c r="XE8" s="7"/>
      <c r="XF8" s="7"/>
      <c r="XG8" s="7"/>
      <c r="XH8" s="7"/>
      <c r="XI8" s="7"/>
      <c r="XJ8" s="7"/>
      <c r="XK8" s="7"/>
      <c r="XL8" s="7"/>
      <c r="XM8" s="7"/>
      <c r="XN8" s="7"/>
      <c r="XO8" s="7"/>
      <c r="XP8" s="7"/>
      <c r="XQ8" s="7"/>
      <c r="XR8" s="7"/>
      <c r="XS8" s="7"/>
      <c r="XT8" s="7"/>
      <c r="XU8" s="7"/>
      <c r="XV8" s="7"/>
      <c r="XW8" s="7"/>
      <c r="XX8" s="7"/>
      <c r="XY8" s="7"/>
      <c r="XZ8" s="7"/>
      <c r="YA8" s="7"/>
      <c r="YB8" s="7"/>
      <c r="YC8" s="7"/>
      <c r="YD8" s="7"/>
      <c r="YE8" s="7"/>
      <c r="YF8" s="7"/>
      <c r="YG8" s="7"/>
      <c r="YH8" s="7"/>
      <c r="YI8" s="7"/>
      <c r="YJ8" s="7"/>
      <c r="YK8" s="7"/>
      <c r="YL8" s="7"/>
      <c r="YM8" s="7"/>
      <c r="YN8" s="7"/>
      <c r="YO8" s="7"/>
      <c r="YP8" s="7"/>
      <c r="YQ8" s="7"/>
      <c r="YR8" s="7"/>
      <c r="YS8" s="7"/>
      <c r="YT8" s="7"/>
      <c r="YU8" s="7"/>
      <c r="YV8" s="7"/>
      <c r="YW8" s="7"/>
      <c r="YX8" s="7"/>
      <c r="YY8" s="7"/>
      <c r="YZ8" s="7"/>
      <c r="ZA8" s="7"/>
      <c r="ZB8" s="7"/>
      <c r="ZC8" s="7"/>
      <c r="ZD8" s="7"/>
      <c r="ZE8" s="7"/>
      <c r="ZF8" s="7"/>
      <c r="ZG8" s="7"/>
      <c r="ZH8" s="7"/>
      <c r="ZI8" s="7"/>
      <c r="ZJ8" s="7"/>
      <c r="ZK8" s="7"/>
      <c r="ZL8" s="7"/>
      <c r="ZM8" s="7"/>
      <c r="ZN8" s="7"/>
      <c r="ZO8" s="7"/>
      <c r="ZP8" s="7"/>
      <c r="ZQ8" s="7"/>
      <c r="ZR8" s="7"/>
      <c r="ZS8" s="7"/>
      <c r="ZT8" s="7"/>
      <c r="ZU8" s="7"/>
      <c r="ZV8" s="7"/>
      <c r="ZW8" s="7"/>
      <c r="ZX8" s="7"/>
      <c r="ZY8" s="7"/>
      <c r="ZZ8" s="7"/>
      <c r="AAA8" s="7"/>
      <c r="AAB8" s="7"/>
      <c r="AAC8" s="7"/>
      <c r="AAD8" s="7"/>
      <c r="AAE8" s="7"/>
      <c r="AAF8" s="7"/>
      <c r="AAG8" s="7"/>
      <c r="AAH8" s="7"/>
      <c r="AAI8" s="7"/>
      <c r="AAJ8" s="7"/>
      <c r="AAK8" s="7"/>
      <c r="AAL8" s="7"/>
      <c r="AAM8" s="7"/>
      <c r="AAN8" s="7"/>
      <c r="AAO8" s="7"/>
      <c r="AAP8" s="7"/>
      <c r="AAQ8" s="7"/>
      <c r="AAR8" s="7"/>
      <c r="AAS8" s="7"/>
      <c r="AAT8" s="7"/>
      <c r="AAU8" s="7"/>
      <c r="AAV8" s="7"/>
      <c r="AAW8" s="7"/>
      <c r="AAX8" s="7"/>
      <c r="AAY8" s="7"/>
      <c r="AAZ8" s="7"/>
      <c r="ABA8" s="7"/>
      <c r="ABB8" s="7"/>
      <c r="ABC8" s="7"/>
      <c r="ABD8" s="7"/>
      <c r="ABE8" s="7"/>
      <c r="ABF8" s="7"/>
      <c r="ABG8" s="7"/>
      <c r="ABH8" s="7"/>
      <c r="ABI8" s="7"/>
      <c r="ABJ8" s="7"/>
      <c r="ABK8" s="7"/>
      <c r="ABL8" s="7"/>
      <c r="ABM8" s="7"/>
      <c r="ABN8" s="7"/>
      <c r="ABO8" s="7"/>
      <c r="ABP8" s="7"/>
      <c r="ABQ8" s="7"/>
      <c r="ABR8" s="7"/>
      <c r="ABS8" s="7"/>
      <c r="ABT8" s="7"/>
      <c r="ABU8" s="7"/>
      <c r="ABV8" s="7"/>
      <c r="ABW8" s="7"/>
      <c r="ABX8" s="7"/>
      <c r="ABY8" s="7"/>
      <c r="ABZ8" s="7"/>
      <c r="ACA8" s="7"/>
      <c r="ACB8" s="7"/>
      <c r="ACC8" s="7"/>
      <c r="ACD8" s="7"/>
      <c r="ACE8" s="7"/>
      <c r="ACF8" s="7"/>
      <c r="ACG8" s="7"/>
      <c r="ACH8" s="7"/>
      <c r="ACI8" s="7"/>
      <c r="ACJ8" s="7"/>
      <c r="ACK8" s="7"/>
      <c r="ACL8" s="7"/>
      <c r="ACM8" s="7"/>
      <c r="ACN8" s="7"/>
      <c r="ACO8" s="7"/>
      <c r="ACP8" s="7"/>
      <c r="ACQ8" s="7"/>
      <c r="ACR8" s="7"/>
      <c r="ACS8" s="7"/>
      <c r="ACT8" s="7"/>
      <c r="ACU8" s="7"/>
      <c r="ACV8" s="7"/>
      <c r="ACW8" s="7"/>
      <c r="ACX8" s="7"/>
      <c r="ACY8" s="7"/>
      <c r="ACZ8" s="7"/>
      <c r="ADA8" s="7"/>
      <c r="ADB8" s="7"/>
      <c r="ADC8" s="7"/>
      <c r="ADD8" s="7"/>
      <c r="ADE8" s="7"/>
      <c r="ADF8" s="7"/>
      <c r="ADG8" s="7"/>
      <c r="ADH8" s="7"/>
      <c r="ADI8" s="7"/>
      <c r="ADJ8" s="7"/>
      <c r="ADK8" s="7"/>
      <c r="ADL8" s="7"/>
      <c r="ADM8" s="7"/>
      <c r="ADN8" s="7"/>
      <c r="ADO8" s="7"/>
      <c r="ADP8" s="7"/>
      <c r="ADQ8" s="7"/>
      <c r="ADR8" s="7"/>
      <c r="ADS8" s="7"/>
      <c r="ADT8" s="7"/>
      <c r="ADU8" s="7"/>
      <c r="ADV8" s="7"/>
      <c r="ADW8" s="7"/>
      <c r="ADX8" s="7"/>
      <c r="ADY8" s="7"/>
      <c r="ADZ8" s="7"/>
      <c r="AEA8" s="7"/>
      <c r="AEB8" s="7"/>
      <c r="AEC8" s="7"/>
      <c r="AED8" s="7"/>
      <c r="AEE8" s="7"/>
      <c r="AEF8" s="7"/>
      <c r="AEG8" s="7"/>
      <c r="AEH8" s="7"/>
      <c r="AEI8" s="7"/>
      <c r="AEJ8" s="7"/>
      <c r="AEK8" s="7"/>
      <c r="AEL8" s="7"/>
      <c r="AEM8" s="7"/>
      <c r="AEN8" s="7"/>
      <c r="AEO8" s="7"/>
      <c r="AEP8" s="7"/>
      <c r="AEQ8" s="7"/>
      <c r="AER8" s="7"/>
      <c r="AES8" s="7"/>
      <c r="AET8" s="7"/>
      <c r="AEU8" s="7"/>
      <c r="AEV8" s="7"/>
      <c r="AEW8" s="7"/>
      <c r="AEX8" s="7"/>
      <c r="AEY8" s="7"/>
      <c r="AEZ8" s="7"/>
      <c r="AFA8" s="7"/>
      <c r="AFB8" s="7"/>
      <c r="AFC8" s="7"/>
      <c r="AFD8" s="7"/>
      <c r="AFE8" s="7"/>
      <c r="AFF8" s="7"/>
      <c r="AFG8" s="7"/>
      <c r="AFH8" s="7"/>
      <c r="AFI8" s="7"/>
      <c r="AFJ8" s="7"/>
      <c r="AFK8" s="7"/>
      <c r="AFL8" s="7"/>
      <c r="AFM8" s="7"/>
      <c r="AFN8" s="7"/>
      <c r="AFO8" s="7"/>
      <c r="AFP8" s="7"/>
      <c r="AFQ8" s="7"/>
      <c r="AFR8" s="7"/>
      <c r="AFS8" s="7"/>
      <c r="AFT8" s="7"/>
      <c r="AFU8" s="7"/>
      <c r="AFV8" s="7"/>
      <c r="AFW8" s="7"/>
      <c r="AFX8" s="7"/>
      <c r="AFY8" s="7"/>
      <c r="AFZ8" s="7"/>
      <c r="AGA8" s="7"/>
      <c r="AGB8" s="7"/>
      <c r="AGC8" s="7"/>
      <c r="AGD8" s="7"/>
      <c r="AGE8" s="7"/>
      <c r="AGF8" s="7"/>
      <c r="AGG8" s="7"/>
      <c r="AGH8" s="7"/>
      <c r="AGI8" s="7"/>
      <c r="AGJ8" s="7"/>
      <c r="AGK8" s="7"/>
      <c r="AGL8" s="7"/>
      <c r="AGM8" s="7"/>
      <c r="AGN8" s="7"/>
      <c r="AGO8" s="7"/>
      <c r="AGP8" s="7"/>
      <c r="AGQ8" s="7"/>
      <c r="AGR8" s="7"/>
      <c r="AGS8" s="7"/>
      <c r="AGT8" s="7"/>
      <c r="AGU8" s="7"/>
      <c r="AGV8" s="7"/>
      <c r="AGW8" s="7"/>
      <c r="AGX8" s="7"/>
      <c r="AGY8" s="7"/>
      <c r="AGZ8" s="7"/>
      <c r="AHA8" s="7"/>
      <c r="AHB8" s="7"/>
      <c r="AHC8" s="7"/>
      <c r="AHD8" s="7"/>
      <c r="AHE8" s="7"/>
      <c r="AHF8" s="7"/>
      <c r="AHG8" s="7"/>
      <c r="AHH8" s="7"/>
      <c r="AHI8" s="7"/>
      <c r="AHJ8" s="7"/>
      <c r="AHK8" s="7"/>
      <c r="AHL8" s="7"/>
      <c r="AHM8" s="7"/>
      <c r="AHN8" s="7"/>
      <c r="AHO8" s="7"/>
      <c r="AHP8" s="7"/>
      <c r="AHQ8" s="7"/>
      <c r="AHR8" s="7"/>
      <c r="AHS8" s="7"/>
      <c r="AHT8" s="7"/>
      <c r="AHU8" s="7"/>
      <c r="AHV8" s="7"/>
      <c r="AHW8" s="7"/>
      <c r="AHX8" s="7"/>
      <c r="AHY8" s="7"/>
      <c r="AHZ8" s="7"/>
      <c r="AIA8" s="7"/>
      <c r="AIB8" s="7"/>
      <c r="AIC8" s="7"/>
      <c r="AID8" s="7"/>
      <c r="AIE8" s="7"/>
      <c r="AIF8" s="7"/>
      <c r="AIG8" s="7"/>
      <c r="AIH8" s="7"/>
      <c r="AII8" s="7"/>
      <c r="AIJ8" s="7"/>
      <c r="AIK8" s="7"/>
      <c r="AIL8" s="7"/>
      <c r="AIM8" s="7"/>
      <c r="AIN8" s="7"/>
      <c r="AIO8" s="7"/>
      <c r="AIP8" s="7"/>
      <c r="AIQ8" s="7"/>
      <c r="AIR8" s="7"/>
      <c r="AIS8" s="7"/>
      <c r="AIT8" s="7"/>
      <c r="AIU8" s="7"/>
      <c r="AIV8" s="7"/>
      <c r="AIW8" s="7"/>
      <c r="AIX8" s="7"/>
      <c r="AIY8" s="7"/>
      <c r="AIZ8" s="7"/>
      <c r="AJA8" s="7"/>
      <c r="AJB8" s="7"/>
      <c r="AJC8" s="7"/>
      <c r="AJD8" s="7"/>
      <c r="AJE8" s="7"/>
      <c r="AJF8" s="7"/>
      <c r="AJG8" s="7"/>
      <c r="AJH8" s="7"/>
      <c r="AJI8" s="7"/>
      <c r="AJJ8" s="7"/>
      <c r="AJK8" s="7"/>
      <c r="AJL8" s="7"/>
      <c r="AJM8" s="7"/>
      <c r="AJN8" s="7"/>
      <c r="AJO8" s="7"/>
      <c r="AJP8" s="7"/>
      <c r="AJQ8" s="7"/>
      <c r="AJR8" s="7"/>
      <c r="AJS8" s="7"/>
      <c r="AJT8" s="7"/>
      <c r="AJU8" s="7"/>
      <c r="AJV8" s="7"/>
      <c r="AJW8" s="7"/>
      <c r="AJX8" s="7"/>
      <c r="AJY8" s="7"/>
      <c r="AJZ8" s="7"/>
      <c r="AKA8" s="7"/>
      <c r="AKB8" s="7"/>
      <c r="AKC8" s="7"/>
      <c r="AKD8" s="7"/>
      <c r="AKE8" s="7"/>
      <c r="AKF8" s="7"/>
      <c r="AKG8" s="7"/>
      <c r="AKH8" s="7"/>
      <c r="AKI8" s="7"/>
      <c r="AKJ8" s="7"/>
      <c r="AKK8" s="7"/>
      <c r="AKL8" s="7"/>
      <c r="AKM8" s="7"/>
      <c r="AKN8" s="7"/>
      <c r="AKO8" s="7"/>
      <c r="AKP8" s="7"/>
      <c r="AKQ8" s="7"/>
      <c r="AKR8" s="7"/>
      <c r="AKS8" s="7"/>
      <c r="AKT8" s="7"/>
      <c r="AKU8" s="7"/>
      <c r="AKV8" s="7"/>
      <c r="AKW8" s="7"/>
      <c r="AKX8" s="7"/>
      <c r="AKY8" s="7"/>
      <c r="AKZ8" s="7"/>
      <c r="ALA8" s="7"/>
      <c r="ALB8" s="7"/>
      <c r="ALC8" s="7"/>
      <c r="ALD8" s="7"/>
      <c r="ALE8" s="7"/>
      <c r="ALF8" s="7"/>
      <c r="ALG8" s="7"/>
      <c r="ALH8" s="7"/>
      <c r="ALI8" s="7"/>
      <c r="ALJ8" s="7"/>
      <c r="ALK8" s="7"/>
      <c r="ALL8" s="7"/>
      <c r="ALM8" s="7"/>
      <c r="ALN8" s="7"/>
      <c r="ALO8" s="7"/>
      <c r="ALP8" s="7"/>
      <c r="ALQ8" s="7"/>
      <c r="ALR8" s="7"/>
      <c r="ALS8" s="7"/>
      <c r="ALT8" s="7"/>
      <c r="ALU8" s="7"/>
      <c r="ALV8" s="7"/>
      <c r="ALW8" s="7"/>
      <c r="ALX8" s="7"/>
      <c r="ALY8" s="7"/>
      <c r="ALZ8" s="7"/>
      <c r="AMA8" s="7"/>
      <c r="AMB8" s="7"/>
      <c r="AMC8" s="7"/>
      <c r="AMD8" s="7"/>
      <c r="AME8" s="7"/>
      <c r="AMF8" s="7"/>
      <c r="AMG8" s="7"/>
      <c r="AMH8" s="7"/>
      <c r="AMI8" s="7"/>
      <c r="AMJ8" s="7"/>
    </row>
    <row r="9" customFormat="false" ht="15.8" hidden="false" customHeight="false" outlineLevel="0" collapsed="false">
      <c r="A9" s="6"/>
      <c r="B9" s="7"/>
      <c r="C9" s="6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  <c r="GK9" s="7"/>
      <c r="GL9" s="7"/>
      <c r="GM9" s="7"/>
      <c r="GN9" s="7"/>
      <c r="GO9" s="7"/>
      <c r="GP9" s="7"/>
      <c r="GQ9" s="7"/>
      <c r="GR9" s="7"/>
      <c r="GS9" s="7"/>
      <c r="GT9" s="7"/>
      <c r="GU9" s="7"/>
      <c r="GV9" s="7"/>
      <c r="GW9" s="7"/>
      <c r="GX9" s="7"/>
      <c r="GY9" s="7"/>
      <c r="GZ9" s="7"/>
      <c r="HA9" s="7"/>
      <c r="HB9" s="7"/>
      <c r="HC9" s="7"/>
      <c r="HD9" s="7"/>
      <c r="HE9" s="7"/>
      <c r="HF9" s="7"/>
      <c r="HG9" s="7"/>
      <c r="HH9" s="7"/>
      <c r="HI9" s="7"/>
      <c r="HJ9" s="7"/>
      <c r="HK9" s="7"/>
      <c r="HL9" s="7"/>
      <c r="HM9" s="7"/>
      <c r="HN9" s="7"/>
      <c r="HO9" s="7"/>
      <c r="HP9" s="7"/>
      <c r="HQ9" s="7"/>
      <c r="HR9" s="7"/>
      <c r="HS9" s="7"/>
      <c r="HT9" s="7"/>
      <c r="HU9" s="7"/>
      <c r="HV9" s="7"/>
      <c r="HW9" s="7"/>
      <c r="HX9" s="7"/>
      <c r="HY9" s="7"/>
      <c r="HZ9" s="7"/>
      <c r="IA9" s="7"/>
      <c r="IB9" s="7"/>
      <c r="IC9" s="7"/>
      <c r="ID9" s="7"/>
      <c r="IE9" s="7"/>
      <c r="IF9" s="7"/>
      <c r="IG9" s="7"/>
      <c r="IH9" s="7"/>
      <c r="II9" s="7"/>
      <c r="IJ9" s="7"/>
      <c r="IK9" s="7"/>
      <c r="IL9" s="7"/>
      <c r="IM9" s="7"/>
      <c r="IN9" s="7"/>
      <c r="IO9" s="7"/>
      <c r="IP9" s="7"/>
      <c r="IQ9" s="7"/>
      <c r="IR9" s="7"/>
      <c r="IS9" s="7"/>
      <c r="IT9" s="7"/>
      <c r="IU9" s="7"/>
      <c r="IV9" s="7"/>
      <c r="IW9" s="7"/>
      <c r="IX9" s="7"/>
      <c r="IY9" s="7"/>
      <c r="IZ9" s="7"/>
      <c r="JA9" s="7"/>
      <c r="JB9" s="7"/>
      <c r="JC9" s="7"/>
      <c r="JD9" s="7"/>
      <c r="JE9" s="7"/>
      <c r="JF9" s="7"/>
      <c r="JG9" s="7"/>
      <c r="JH9" s="7"/>
      <c r="JI9" s="7"/>
      <c r="JJ9" s="7"/>
      <c r="JK9" s="7"/>
      <c r="JL9" s="7"/>
      <c r="JM9" s="7"/>
      <c r="JN9" s="7"/>
      <c r="JO9" s="7"/>
      <c r="JP9" s="7"/>
      <c r="JQ9" s="7"/>
      <c r="JR9" s="7"/>
      <c r="JS9" s="7"/>
      <c r="JT9" s="7"/>
      <c r="JU9" s="7"/>
      <c r="JV9" s="7"/>
      <c r="JW9" s="7"/>
      <c r="JX9" s="7"/>
      <c r="JY9" s="7"/>
      <c r="JZ9" s="7"/>
      <c r="KA9" s="7"/>
      <c r="KB9" s="7"/>
      <c r="KC9" s="7"/>
      <c r="KD9" s="7"/>
      <c r="KE9" s="7"/>
      <c r="KF9" s="7"/>
      <c r="KG9" s="7"/>
      <c r="KH9" s="7"/>
      <c r="KI9" s="7"/>
      <c r="KJ9" s="7"/>
      <c r="KK9" s="7"/>
      <c r="KL9" s="7"/>
      <c r="KM9" s="7"/>
      <c r="KN9" s="7"/>
      <c r="KO9" s="7"/>
      <c r="KP9" s="7"/>
      <c r="KQ9" s="7"/>
      <c r="KR9" s="7"/>
      <c r="KS9" s="7"/>
      <c r="KT9" s="7"/>
      <c r="KU9" s="7"/>
      <c r="KV9" s="7"/>
      <c r="KW9" s="7"/>
      <c r="KX9" s="7"/>
      <c r="KY9" s="7"/>
      <c r="KZ9" s="7"/>
      <c r="LA9" s="7"/>
      <c r="LB9" s="7"/>
      <c r="LC9" s="7"/>
      <c r="LD9" s="7"/>
      <c r="LE9" s="7"/>
      <c r="LF9" s="7"/>
      <c r="LG9" s="7"/>
      <c r="LH9" s="7"/>
      <c r="LI9" s="7"/>
      <c r="LJ9" s="7"/>
      <c r="LK9" s="7"/>
      <c r="LL9" s="7"/>
      <c r="LM9" s="7"/>
      <c r="LN9" s="7"/>
      <c r="LO9" s="7"/>
      <c r="LP9" s="7"/>
      <c r="LQ9" s="7"/>
      <c r="LR9" s="7"/>
      <c r="LS9" s="7"/>
      <c r="LT9" s="7"/>
      <c r="LU9" s="7"/>
      <c r="LV9" s="7"/>
      <c r="LW9" s="7"/>
      <c r="LX9" s="7"/>
      <c r="LY9" s="7"/>
      <c r="LZ9" s="7"/>
      <c r="MA9" s="7"/>
      <c r="MB9" s="7"/>
      <c r="MC9" s="7"/>
      <c r="MD9" s="7"/>
      <c r="ME9" s="7"/>
      <c r="MF9" s="7"/>
      <c r="MG9" s="7"/>
      <c r="MH9" s="7"/>
      <c r="MI9" s="7"/>
      <c r="MJ9" s="7"/>
      <c r="MK9" s="7"/>
      <c r="ML9" s="7"/>
      <c r="MM9" s="7"/>
      <c r="MN9" s="7"/>
      <c r="MO9" s="7"/>
      <c r="MP9" s="7"/>
      <c r="MQ9" s="7"/>
      <c r="MR9" s="7"/>
      <c r="MS9" s="7"/>
      <c r="MT9" s="7"/>
      <c r="MU9" s="7"/>
      <c r="MV9" s="7"/>
      <c r="MW9" s="7"/>
      <c r="MX9" s="7"/>
      <c r="MY9" s="7"/>
      <c r="MZ9" s="7"/>
      <c r="NA9" s="7"/>
      <c r="NB9" s="7"/>
      <c r="NC9" s="7"/>
      <c r="ND9" s="7"/>
      <c r="NE9" s="7"/>
      <c r="NF9" s="7"/>
      <c r="NG9" s="7"/>
      <c r="NH9" s="7"/>
      <c r="NI9" s="7"/>
      <c r="NJ9" s="7"/>
      <c r="NK9" s="7"/>
      <c r="NL9" s="7"/>
      <c r="NM9" s="7"/>
      <c r="NN9" s="7"/>
      <c r="NO9" s="7"/>
      <c r="NP9" s="7"/>
      <c r="NQ9" s="7"/>
      <c r="NR9" s="7"/>
      <c r="NS9" s="7"/>
      <c r="NT9" s="7"/>
      <c r="NU9" s="7"/>
      <c r="NV9" s="7"/>
      <c r="NW9" s="7"/>
      <c r="NX9" s="7"/>
      <c r="NY9" s="7"/>
      <c r="NZ9" s="7"/>
      <c r="OA9" s="7"/>
      <c r="OB9" s="7"/>
      <c r="OC9" s="7"/>
      <c r="OD9" s="7"/>
      <c r="OE9" s="7"/>
      <c r="OF9" s="7"/>
      <c r="OG9" s="7"/>
      <c r="OH9" s="7"/>
      <c r="OI9" s="7"/>
      <c r="OJ9" s="7"/>
      <c r="OK9" s="7"/>
      <c r="OL9" s="7"/>
      <c r="OM9" s="7"/>
      <c r="ON9" s="7"/>
      <c r="OO9" s="7"/>
      <c r="OP9" s="7"/>
      <c r="OQ9" s="7"/>
      <c r="OR9" s="7"/>
      <c r="OS9" s="7"/>
      <c r="OT9" s="7"/>
      <c r="OU9" s="7"/>
      <c r="OV9" s="7"/>
      <c r="OW9" s="7"/>
      <c r="OX9" s="7"/>
      <c r="OY9" s="7"/>
      <c r="OZ9" s="7"/>
      <c r="PA9" s="7"/>
      <c r="PB9" s="7"/>
      <c r="PC9" s="7"/>
      <c r="PD9" s="7"/>
      <c r="PE9" s="7"/>
      <c r="PF9" s="7"/>
      <c r="PG9" s="7"/>
      <c r="PH9" s="7"/>
      <c r="PI9" s="7"/>
      <c r="PJ9" s="7"/>
      <c r="PK9" s="7"/>
      <c r="PL9" s="7"/>
      <c r="PM9" s="7"/>
      <c r="PN9" s="7"/>
      <c r="PO9" s="7"/>
      <c r="PP9" s="7"/>
      <c r="PQ9" s="7"/>
      <c r="PR9" s="7"/>
      <c r="PS9" s="7"/>
      <c r="PT9" s="7"/>
      <c r="PU9" s="7"/>
      <c r="PV9" s="7"/>
      <c r="PW9" s="7"/>
      <c r="PX9" s="7"/>
      <c r="PY9" s="7"/>
      <c r="PZ9" s="7"/>
      <c r="QA9" s="7"/>
      <c r="QB9" s="7"/>
      <c r="QC9" s="7"/>
      <c r="QD9" s="7"/>
      <c r="QE9" s="7"/>
      <c r="QF9" s="7"/>
      <c r="QG9" s="7"/>
      <c r="QH9" s="7"/>
      <c r="QI9" s="7"/>
      <c r="QJ9" s="7"/>
      <c r="QK9" s="7"/>
      <c r="QL9" s="7"/>
      <c r="QM9" s="7"/>
      <c r="QN9" s="7"/>
      <c r="QO9" s="7"/>
      <c r="QP9" s="7"/>
      <c r="QQ9" s="7"/>
      <c r="QR9" s="7"/>
      <c r="QS9" s="7"/>
      <c r="QT9" s="7"/>
      <c r="QU9" s="7"/>
      <c r="QV9" s="7"/>
      <c r="QW9" s="7"/>
      <c r="QX9" s="7"/>
      <c r="QY9" s="7"/>
      <c r="QZ9" s="7"/>
      <c r="RA9" s="7"/>
      <c r="RB9" s="7"/>
      <c r="RC9" s="7"/>
      <c r="RD9" s="7"/>
      <c r="RE9" s="7"/>
      <c r="RF9" s="7"/>
      <c r="RG9" s="7"/>
      <c r="RH9" s="7"/>
      <c r="RI9" s="7"/>
      <c r="RJ9" s="7"/>
      <c r="RK9" s="7"/>
      <c r="RL9" s="7"/>
      <c r="RM9" s="7"/>
      <c r="RN9" s="7"/>
      <c r="RO9" s="7"/>
      <c r="RP9" s="7"/>
      <c r="RQ9" s="7"/>
      <c r="RR9" s="7"/>
      <c r="RS9" s="7"/>
      <c r="RT9" s="7"/>
      <c r="RU9" s="7"/>
      <c r="RV9" s="7"/>
      <c r="RW9" s="7"/>
      <c r="RX9" s="7"/>
      <c r="RY9" s="7"/>
      <c r="RZ9" s="7"/>
      <c r="SA9" s="7"/>
      <c r="SB9" s="7"/>
      <c r="SC9" s="7"/>
      <c r="SD9" s="7"/>
      <c r="SE9" s="7"/>
      <c r="SF9" s="7"/>
      <c r="SG9" s="7"/>
      <c r="SH9" s="7"/>
      <c r="SI9" s="7"/>
      <c r="SJ9" s="7"/>
      <c r="SK9" s="7"/>
      <c r="SL9" s="7"/>
      <c r="SM9" s="7"/>
      <c r="SN9" s="7"/>
      <c r="SO9" s="7"/>
      <c r="SP9" s="7"/>
      <c r="SQ9" s="7"/>
      <c r="SR9" s="7"/>
      <c r="SS9" s="7"/>
      <c r="ST9" s="7"/>
      <c r="SU9" s="7"/>
      <c r="SV9" s="7"/>
      <c r="SW9" s="7"/>
      <c r="SX9" s="7"/>
      <c r="SY9" s="7"/>
      <c r="SZ9" s="7"/>
      <c r="TA9" s="7"/>
      <c r="TB9" s="7"/>
      <c r="TC9" s="7"/>
      <c r="TD9" s="7"/>
      <c r="TE9" s="7"/>
      <c r="TF9" s="7"/>
      <c r="TG9" s="7"/>
      <c r="TH9" s="7"/>
      <c r="TI9" s="7"/>
      <c r="TJ9" s="7"/>
      <c r="TK9" s="7"/>
      <c r="TL9" s="7"/>
      <c r="TM9" s="7"/>
      <c r="TN9" s="7"/>
      <c r="TO9" s="7"/>
      <c r="TP9" s="7"/>
      <c r="TQ9" s="7"/>
      <c r="TR9" s="7"/>
      <c r="TS9" s="7"/>
      <c r="TT9" s="7"/>
      <c r="TU9" s="7"/>
      <c r="TV9" s="7"/>
      <c r="TW9" s="7"/>
      <c r="TX9" s="7"/>
      <c r="TY9" s="7"/>
      <c r="TZ9" s="7"/>
      <c r="UA9" s="7"/>
      <c r="UB9" s="7"/>
      <c r="UC9" s="7"/>
      <c r="UD9" s="7"/>
      <c r="UE9" s="7"/>
      <c r="UF9" s="7"/>
      <c r="UG9" s="7"/>
      <c r="UH9" s="7"/>
      <c r="UI9" s="7"/>
      <c r="UJ9" s="7"/>
      <c r="UK9" s="7"/>
      <c r="UL9" s="7"/>
      <c r="UM9" s="7"/>
      <c r="UN9" s="7"/>
      <c r="UO9" s="7"/>
      <c r="UP9" s="7"/>
      <c r="UQ9" s="7"/>
      <c r="UR9" s="7"/>
      <c r="US9" s="7"/>
      <c r="UT9" s="7"/>
      <c r="UU9" s="7"/>
      <c r="UV9" s="7"/>
      <c r="UW9" s="7"/>
      <c r="UX9" s="7"/>
      <c r="UY9" s="7"/>
      <c r="UZ9" s="7"/>
      <c r="VA9" s="7"/>
      <c r="VB9" s="7"/>
      <c r="VC9" s="7"/>
      <c r="VD9" s="7"/>
      <c r="VE9" s="7"/>
      <c r="VF9" s="7"/>
      <c r="VG9" s="7"/>
      <c r="VH9" s="7"/>
      <c r="VI9" s="7"/>
      <c r="VJ9" s="7"/>
      <c r="VK9" s="7"/>
      <c r="VL9" s="7"/>
      <c r="VM9" s="7"/>
      <c r="VN9" s="7"/>
      <c r="VO9" s="7"/>
      <c r="VP9" s="7"/>
      <c r="VQ9" s="7"/>
      <c r="VR9" s="7"/>
      <c r="VS9" s="7"/>
      <c r="VT9" s="7"/>
      <c r="VU9" s="7"/>
      <c r="VV9" s="7"/>
      <c r="VW9" s="7"/>
      <c r="VX9" s="7"/>
      <c r="VY9" s="7"/>
      <c r="VZ9" s="7"/>
      <c r="WA9" s="7"/>
      <c r="WB9" s="7"/>
      <c r="WC9" s="7"/>
      <c r="WD9" s="7"/>
      <c r="WE9" s="7"/>
      <c r="WF9" s="7"/>
      <c r="WG9" s="7"/>
      <c r="WH9" s="7"/>
      <c r="WI9" s="7"/>
      <c r="WJ9" s="7"/>
      <c r="WK9" s="7"/>
      <c r="WL9" s="7"/>
      <c r="WM9" s="7"/>
      <c r="WN9" s="7"/>
      <c r="WO9" s="7"/>
      <c r="WP9" s="7"/>
      <c r="WQ9" s="7"/>
      <c r="WR9" s="7"/>
      <c r="WS9" s="7"/>
      <c r="WT9" s="7"/>
      <c r="WU9" s="7"/>
      <c r="WV9" s="7"/>
      <c r="WW9" s="7"/>
      <c r="WX9" s="7"/>
      <c r="WY9" s="7"/>
      <c r="WZ9" s="7"/>
      <c r="XA9" s="7"/>
      <c r="XB9" s="7"/>
      <c r="XC9" s="7"/>
      <c r="XD9" s="7"/>
      <c r="XE9" s="7"/>
      <c r="XF9" s="7"/>
      <c r="XG9" s="7"/>
      <c r="XH9" s="7"/>
      <c r="XI9" s="7"/>
      <c r="XJ9" s="7"/>
      <c r="XK9" s="7"/>
      <c r="XL9" s="7"/>
      <c r="XM9" s="7"/>
      <c r="XN9" s="7"/>
      <c r="XO9" s="7"/>
      <c r="XP9" s="7"/>
      <c r="XQ9" s="7"/>
      <c r="XR9" s="7"/>
      <c r="XS9" s="7"/>
      <c r="XT9" s="7"/>
      <c r="XU9" s="7"/>
      <c r="XV9" s="7"/>
      <c r="XW9" s="7"/>
      <c r="XX9" s="7"/>
      <c r="XY9" s="7"/>
      <c r="XZ9" s="7"/>
      <c r="YA9" s="7"/>
      <c r="YB9" s="7"/>
      <c r="YC9" s="7"/>
      <c r="YD9" s="7"/>
      <c r="YE9" s="7"/>
      <c r="YF9" s="7"/>
      <c r="YG9" s="7"/>
      <c r="YH9" s="7"/>
      <c r="YI9" s="7"/>
      <c r="YJ9" s="7"/>
      <c r="YK9" s="7"/>
      <c r="YL9" s="7"/>
      <c r="YM9" s="7"/>
      <c r="YN9" s="7"/>
      <c r="YO9" s="7"/>
      <c r="YP9" s="7"/>
      <c r="YQ9" s="7"/>
      <c r="YR9" s="7"/>
      <c r="YS9" s="7"/>
      <c r="YT9" s="7"/>
      <c r="YU9" s="7"/>
      <c r="YV9" s="7"/>
      <c r="YW9" s="7"/>
      <c r="YX9" s="7"/>
      <c r="YY9" s="7"/>
      <c r="YZ9" s="7"/>
      <c r="ZA9" s="7"/>
      <c r="ZB9" s="7"/>
      <c r="ZC9" s="7"/>
      <c r="ZD9" s="7"/>
      <c r="ZE9" s="7"/>
      <c r="ZF9" s="7"/>
      <c r="ZG9" s="7"/>
      <c r="ZH9" s="7"/>
      <c r="ZI9" s="7"/>
      <c r="ZJ9" s="7"/>
      <c r="ZK9" s="7"/>
      <c r="ZL9" s="7"/>
      <c r="ZM9" s="7"/>
      <c r="ZN9" s="7"/>
      <c r="ZO9" s="7"/>
      <c r="ZP9" s="7"/>
      <c r="ZQ9" s="7"/>
      <c r="ZR9" s="7"/>
      <c r="ZS9" s="7"/>
      <c r="ZT9" s="7"/>
      <c r="ZU9" s="7"/>
      <c r="ZV9" s="7"/>
      <c r="ZW9" s="7"/>
      <c r="ZX9" s="7"/>
      <c r="ZY9" s="7"/>
      <c r="ZZ9" s="7"/>
      <c r="AAA9" s="7"/>
      <c r="AAB9" s="7"/>
      <c r="AAC9" s="7"/>
      <c r="AAD9" s="7"/>
      <c r="AAE9" s="7"/>
      <c r="AAF9" s="7"/>
      <c r="AAG9" s="7"/>
      <c r="AAH9" s="7"/>
      <c r="AAI9" s="7"/>
      <c r="AAJ9" s="7"/>
      <c r="AAK9" s="7"/>
      <c r="AAL9" s="7"/>
      <c r="AAM9" s="7"/>
      <c r="AAN9" s="7"/>
      <c r="AAO9" s="7"/>
      <c r="AAP9" s="7"/>
      <c r="AAQ9" s="7"/>
      <c r="AAR9" s="7"/>
      <c r="AAS9" s="7"/>
      <c r="AAT9" s="7"/>
      <c r="AAU9" s="7"/>
      <c r="AAV9" s="7"/>
      <c r="AAW9" s="7"/>
      <c r="AAX9" s="7"/>
      <c r="AAY9" s="7"/>
      <c r="AAZ9" s="7"/>
      <c r="ABA9" s="7"/>
      <c r="ABB9" s="7"/>
      <c r="ABC9" s="7"/>
      <c r="ABD9" s="7"/>
      <c r="ABE9" s="7"/>
      <c r="ABF9" s="7"/>
      <c r="ABG9" s="7"/>
      <c r="ABH9" s="7"/>
      <c r="ABI9" s="7"/>
      <c r="ABJ9" s="7"/>
      <c r="ABK9" s="7"/>
      <c r="ABL9" s="7"/>
      <c r="ABM9" s="7"/>
      <c r="ABN9" s="7"/>
      <c r="ABO9" s="7"/>
      <c r="ABP9" s="7"/>
      <c r="ABQ9" s="7"/>
      <c r="ABR9" s="7"/>
      <c r="ABS9" s="7"/>
      <c r="ABT9" s="7"/>
      <c r="ABU9" s="7"/>
      <c r="ABV9" s="7"/>
      <c r="ABW9" s="7"/>
      <c r="ABX9" s="7"/>
      <c r="ABY9" s="7"/>
      <c r="ABZ9" s="7"/>
      <c r="ACA9" s="7"/>
      <c r="ACB9" s="7"/>
      <c r="ACC9" s="7"/>
      <c r="ACD9" s="7"/>
      <c r="ACE9" s="7"/>
      <c r="ACF9" s="7"/>
      <c r="ACG9" s="7"/>
      <c r="ACH9" s="7"/>
      <c r="ACI9" s="7"/>
      <c r="ACJ9" s="7"/>
      <c r="ACK9" s="7"/>
      <c r="ACL9" s="7"/>
      <c r="ACM9" s="7"/>
      <c r="ACN9" s="7"/>
      <c r="ACO9" s="7"/>
      <c r="ACP9" s="7"/>
      <c r="ACQ9" s="7"/>
      <c r="ACR9" s="7"/>
      <c r="ACS9" s="7"/>
      <c r="ACT9" s="7"/>
      <c r="ACU9" s="7"/>
      <c r="ACV9" s="7"/>
      <c r="ACW9" s="7"/>
      <c r="ACX9" s="7"/>
      <c r="ACY9" s="7"/>
      <c r="ACZ9" s="7"/>
      <c r="ADA9" s="7"/>
      <c r="ADB9" s="7"/>
      <c r="ADC9" s="7"/>
      <c r="ADD9" s="7"/>
      <c r="ADE9" s="7"/>
      <c r="ADF9" s="7"/>
      <c r="ADG9" s="7"/>
      <c r="ADH9" s="7"/>
      <c r="ADI9" s="7"/>
      <c r="ADJ9" s="7"/>
      <c r="ADK9" s="7"/>
      <c r="ADL9" s="7"/>
      <c r="ADM9" s="7"/>
      <c r="ADN9" s="7"/>
      <c r="ADO9" s="7"/>
      <c r="ADP9" s="7"/>
      <c r="ADQ9" s="7"/>
      <c r="ADR9" s="7"/>
      <c r="ADS9" s="7"/>
      <c r="ADT9" s="7"/>
      <c r="ADU9" s="7"/>
      <c r="ADV9" s="7"/>
      <c r="ADW9" s="7"/>
      <c r="ADX9" s="7"/>
      <c r="ADY9" s="7"/>
      <c r="ADZ9" s="7"/>
      <c r="AEA9" s="7"/>
      <c r="AEB9" s="7"/>
      <c r="AEC9" s="7"/>
      <c r="AED9" s="7"/>
      <c r="AEE9" s="7"/>
      <c r="AEF9" s="7"/>
      <c r="AEG9" s="7"/>
      <c r="AEH9" s="7"/>
      <c r="AEI9" s="7"/>
      <c r="AEJ9" s="7"/>
      <c r="AEK9" s="7"/>
      <c r="AEL9" s="7"/>
      <c r="AEM9" s="7"/>
      <c r="AEN9" s="7"/>
      <c r="AEO9" s="7"/>
      <c r="AEP9" s="7"/>
      <c r="AEQ9" s="7"/>
      <c r="AER9" s="7"/>
      <c r="AES9" s="7"/>
      <c r="AET9" s="7"/>
      <c r="AEU9" s="7"/>
      <c r="AEV9" s="7"/>
      <c r="AEW9" s="7"/>
      <c r="AEX9" s="7"/>
      <c r="AEY9" s="7"/>
      <c r="AEZ9" s="7"/>
      <c r="AFA9" s="7"/>
      <c r="AFB9" s="7"/>
      <c r="AFC9" s="7"/>
      <c r="AFD9" s="7"/>
      <c r="AFE9" s="7"/>
      <c r="AFF9" s="7"/>
      <c r="AFG9" s="7"/>
      <c r="AFH9" s="7"/>
      <c r="AFI9" s="7"/>
      <c r="AFJ9" s="7"/>
      <c r="AFK9" s="7"/>
      <c r="AFL9" s="7"/>
      <c r="AFM9" s="7"/>
      <c r="AFN9" s="7"/>
      <c r="AFO9" s="7"/>
      <c r="AFP9" s="7"/>
      <c r="AFQ9" s="7"/>
      <c r="AFR9" s="7"/>
      <c r="AFS9" s="7"/>
      <c r="AFT9" s="7"/>
      <c r="AFU9" s="7"/>
      <c r="AFV9" s="7"/>
      <c r="AFW9" s="7"/>
      <c r="AFX9" s="7"/>
      <c r="AFY9" s="7"/>
      <c r="AFZ9" s="7"/>
      <c r="AGA9" s="7"/>
      <c r="AGB9" s="7"/>
      <c r="AGC9" s="7"/>
      <c r="AGD9" s="7"/>
      <c r="AGE9" s="7"/>
      <c r="AGF9" s="7"/>
      <c r="AGG9" s="7"/>
      <c r="AGH9" s="7"/>
      <c r="AGI9" s="7"/>
      <c r="AGJ9" s="7"/>
      <c r="AGK9" s="7"/>
      <c r="AGL9" s="7"/>
      <c r="AGM9" s="7"/>
      <c r="AGN9" s="7"/>
      <c r="AGO9" s="7"/>
      <c r="AGP9" s="7"/>
      <c r="AGQ9" s="7"/>
      <c r="AGR9" s="7"/>
      <c r="AGS9" s="7"/>
      <c r="AGT9" s="7"/>
      <c r="AGU9" s="7"/>
      <c r="AGV9" s="7"/>
      <c r="AGW9" s="7"/>
      <c r="AGX9" s="7"/>
      <c r="AGY9" s="7"/>
      <c r="AGZ9" s="7"/>
      <c r="AHA9" s="7"/>
      <c r="AHB9" s="7"/>
      <c r="AHC9" s="7"/>
      <c r="AHD9" s="7"/>
      <c r="AHE9" s="7"/>
      <c r="AHF9" s="7"/>
      <c r="AHG9" s="7"/>
      <c r="AHH9" s="7"/>
      <c r="AHI9" s="7"/>
      <c r="AHJ9" s="7"/>
      <c r="AHK9" s="7"/>
      <c r="AHL9" s="7"/>
      <c r="AHM9" s="7"/>
      <c r="AHN9" s="7"/>
      <c r="AHO9" s="7"/>
      <c r="AHP9" s="7"/>
      <c r="AHQ9" s="7"/>
      <c r="AHR9" s="7"/>
      <c r="AHS9" s="7"/>
      <c r="AHT9" s="7"/>
      <c r="AHU9" s="7"/>
      <c r="AHV9" s="7"/>
      <c r="AHW9" s="7"/>
      <c r="AHX9" s="7"/>
      <c r="AHY9" s="7"/>
      <c r="AHZ9" s="7"/>
      <c r="AIA9" s="7"/>
      <c r="AIB9" s="7"/>
      <c r="AIC9" s="7"/>
      <c r="AID9" s="7"/>
      <c r="AIE9" s="7"/>
      <c r="AIF9" s="7"/>
      <c r="AIG9" s="7"/>
      <c r="AIH9" s="7"/>
      <c r="AII9" s="7"/>
      <c r="AIJ9" s="7"/>
      <c r="AIK9" s="7"/>
      <c r="AIL9" s="7"/>
      <c r="AIM9" s="7"/>
      <c r="AIN9" s="7"/>
      <c r="AIO9" s="7"/>
      <c r="AIP9" s="7"/>
      <c r="AIQ9" s="7"/>
      <c r="AIR9" s="7"/>
      <c r="AIS9" s="7"/>
      <c r="AIT9" s="7"/>
      <c r="AIU9" s="7"/>
      <c r="AIV9" s="7"/>
      <c r="AIW9" s="7"/>
      <c r="AIX9" s="7"/>
      <c r="AIY9" s="7"/>
      <c r="AIZ9" s="7"/>
      <c r="AJA9" s="7"/>
      <c r="AJB9" s="7"/>
      <c r="AJC9" s="7"/>
      <c r="AJD9" s="7"/>
      <c r="AJE9" s="7"/>
      <c r="AJF9" s="7"/>
      <c r="AJG9" s="7"/>
      <c r="AJH9" s="7"/>
      <c r="AJI9" s="7"/>
      <c r="AJJ9" s="7"/>
      <c r="AJK9" s="7"/>
      <c r="AJL9" s="7"/>
      <c r="AJM9" s="7"/>
      <c r="AJN9" s="7"/>
      <c r="AJO9" s="7"/>
      <c r="AJP9" s="7"/>
      <c r="AJQ9" s="7"/>
      <c r="AJR9" s="7"/>
      <c r="AJS9" s="7"/>
      <c r="AJT9" s="7"/>
      <c r="AJU9" s="7"/>
      <c r="AJV9" s="7"/>
      <c r="AJW9" s="7"/>
      <c r="AJX9" s="7"/>
      <c r="AJY9" s="7"/>
      <c r="AJZ9" s="7"/>
      <c r="AKA9" s="7"/>
      <c r="AKB9" s="7"/>
      <c r="AKC9" s="7"/>
      <c r="AKD9" s="7"/>
      <c r="AKE9" s="7"/>
      <c r="AKF9" s="7"/>
      <c r="AKG9" s="7"/>
      <c r="AKH9" s="7"/>
      <c r="AKI9" s="7"/>
      <c r="AKJ9" s="7"/>
      <c r="AKK9" s="7"/>
      <c r="AKL9" s="7"/>
      <c r="AKM9" s="7"/>
      <c r="AKN9" s="7"/>
      <c r="AKO9" s="7"/>
      <c r="AKP9" s="7"/>
      <c r="AKQ9" s="7"/>
      <c r="AKR9" s="7"/>
      <c r="AKS9" s="7"/>
      <c r="AKT9" s="7"/>
      <c r="AKU9" s="7"/>
      <c r="AKV9" s="7"/>
      <c r="AKW9" s="7"/>
      <c r="AKX9" s="7"/>
      <c r="AKY9" s="7"/>
      <c r="AKZ9" s="7"/>
      <c r="ALA9" s="7"/>
      <c r="ALB9" s="7"/>
      <c r="ALC9" s="7"/>
      <c r="ALD9" s="7"/>
      <c r="ALE9" s="7"/>
      <c r="ALF9" s="7"/>
      <c r="ALG9" s="7"/>
      <c r="ALH9" s="7"/>
      <c r="ALI9" s="7"/>
      <c r="ALJ9" s="7"/>
      <c r="ALK9" s="7"/>
      <c r="ALL9" s="7"/>
      <c r="ALM9" s="7"/>
      <c r="ALN9" s="7"/>
      <c r="ALO9" s="7"/>
      <c r="ALP9" s="7"/>
      <c r="ALQ9" s="7"/>
      <c r="ALR9" s="7"/>
      <c r="ALS9" s="7"/>
      <c r="ALT9" s="7"/>
      <c r="ALU9" s="7"/>
      <c r="ALV9" s="7"/>
      <c r="ALW9" s="7"/>
      <c r="ALX9" s="7"/>
      <c r="ALY9" s="7"/>
      <c r="ALZ9" s="7"/>
      <c r="AMA9" s="7"/>
      <c r="AMB9" s="7"/>
      <c r="AMC9" s="7"/>
      <c r="AMD9" s="7"/>
      <c r="AME9" s="7"/>
      <c r="AMF9" s="7"/>
      <c r="AMG9" s="7"/>
      <c r="AMH9" s="7"/>
      <c r="AMI9" s="7"/>
      <c r="AMJ9" s="7"/>
    </row>
    <row r="10" customFormat="false" ht="15.8" hidden="false" customHeight="false" outlineLevel="0" collapsed="false">
      <c r="A10" s="6"/>
      <c r="C10" s="0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J10" s="7"/>
      <c r="GK10" s="7"/>
      <c r="GL10" s="7"/>
      <c r="GM10" s="7"/>
      <c r="GN10" s="7"/>
      <c r="GO10" s="7"/>
      <c r="GP10" s="7"/>
      <c r="GQ10" s="7"/>
      <c r="GR10" s="7"/>
      <c r="GS10" s="7"/>
      <c r="GT10" s="7"/>
      <c r="GU10" s="7"/>
      <c r="GV10" s="7"/>
      <c r="GW10" s="7"/>
      <c r="GX10" s="7"/>
      <c r="GY10" s="7"/>
      <c r="GZ10" s="7"/>
      <c r="HA10" s="7"/>
      <c r="HB10" s="7"/>
      <c r="HC10" s="7"/>
      <c r="HD10" s="7"/>
      <c r="HE10" s="7"/>
      <c r="HF10" s="7"/>
      <c r="HG10" s="7"/>
      <c r="HH10" s="7"/>
      <c r="HI10" s="7"/>
      <c r="HJ10" s="7"/>
      <c r="HK10" s="7"/>
      <c r="HL10" s="7"/>
      <c r="HM10" s="7"/>
      <c r="HN10" s="7"/>
      <c r="HO10" s="7"/>
      <c r="HP10" s="7"/>
      <c r="HQ10" s="7"/>
      <c r="HR10" s="7"/>
      <c r="HS10" s="7"/>
      <c r="HT10" s="7"/>
      <c r="HU10" s="7"/>
      <c r="HV10" s="7"/>
      <c r="HW10" s="7"/>
      <c r="HX10" s="7"/>
      <c r="HY10" s="7"/>
      <c r="HZ10" s="7"/>
      <c r="IA10" s="7"/>
      <c r="IB10" s="7"/>
      <c r="IC10" s="7"/>
      <c r="ID10" s="7"/>
      <c r="IE10" s="7"/>
      <c r="IF10" s="7"/>
      <c r="IG10" s="7"/>
      <c r="IH10" s="7"/>
      <c r="II10" s="7"/>
      <c r="IJ10" s="7"/>
      <c r="IK10" s="7"/>
      <c r="IL10" s="7"/>
      <c r="IM10" s="7"/>
      <c r="IN10" s="7"/>
      <c r="IO10" s="7"/>
      <c r="IP10" s="7"/>
      <c r="IQ10" s="7"/>
      <c r="IR10" s="7"/>
      <c r="IS10" s="7"/>
      <c r="IT10" s="7"/>
      <c r="IU10" s="7"/>
      <c r="IV10" s="7"/>
      <c r="IW10" s="7"/>
      <c r="IX10" s="7"/>
      <c r="IY10" s="7"/>
      <c r="IZ10" s="7"/>
      <c r="JA10" s="7"/>
      <c r="JB10" s="7"/>
      <c r="JC10" s="7"/>
      <c r="JD10" s="7"/>
      <c r="JE10" s="7"/>
      <c r="JF10" s="7"/>
      <c r="JG10" s="7"/>
      <c r="JH10" s="7"/>
      <c r="JI10" s="7"/>
      <c r="JJ10" s="7"/>
      <c r="JK10" s="7"/>
      <c r="JL10" s="7"/>
      <c r="JM10" s="7"/>
      <c r="JN10" s="7"/>
      <c r="JO10" s="7"/>
      <c r="JP10" s="7"/>
      <c r="JQ10" s="7"/>
      <c r="JR10" s="7"/>
      <c r="JS10" s="7"/>
      <c r="JT10" s="7"/>
      <c r="JU10" s="7"/>
      <c r="JV10" s="7"/>
      <c r="JW10" s="7"/>
      <c r="JX10" s="7"/>
      <c r="JY10" s="7"/>
      <c r="JZ10" s="7"/>
      <c r="KA10" s="7"/>
      <c r="KB10" s="7"/>
      <c r="KC10" s="7"/>
      <c r="KD10" s="7"/>
      <c r="KE10" s="7"/>
      <c r="KF10" s="7"/>
      <c r="KG10" s="7"/>
      <c r="KH10" s="7"/>
      <c r="KI10" s="7"/>
      <c r="KJ10" s="7"/>
      <c r="KK10" s="7"/>
      <c r="KL10" s="7"/>
      <c r="KM10" s="7"/>
      <c r="KN10" s="7"/>
      <c r="KO10" s="7"/>
      <c r="KP10" s="7"/>
      <c r="KQ10" s="7"/>
      <c r="KR10" s="7"/>
      <c r="KS10" s="7"/>
      <c r="KT10" s="7"/>
      <c r="KU10" s="7"/>
      <c r="KV10" s="7"/>
      <c r="KW10" s="7"/>
      <c r="KX10" s="7"/>
      <c r="KY10" s="7"/>
      <c r="KZ10" s="7"/>
      <c r="LA10" s="7"/>
      <c r="LB10" s="7"/>
      <c r="LC10" s="7"/>
      <c r="LD10" s="7"/>
      <c r="LE10" s="7"/>
      <c r="LF10" s="7"/>
      <c r="LG10" s="7"/>
      <c r="LH10" s="7"/>
      <c r="LI10" s="7"/>
      <c r="LJ10" s="7"/>
      <c r="LK10" s="7"/>
      <c r="LL10" s="7"/>
      <c r="LM10" s="7"/>
      <c r="LN10" s="7"/>
      <c r="LO10" s="7"/>
      <c r="LP10" s="7"/>
      <c r="LQ10" s="7"/>
      <c r="LR10" s="7"/>
      <c r="LS10" s="7"/>
      <c r="LT10" s="7"/>
      <c r="LU10" s="7"/>
      <c r="LV10" s="7"/>
      <c r="LW10" s="7"/>
      <c r="LX10" s="7"/>
      <c r="LY10" s="7"/>
      <c r="LZ10" s="7"/>
      <c r="MA10" s="7"/>
      <c r="MB10" s="7"/>
      <c r="MC10" s="7"/>
      <c r="MD10" s="7"/>
      <c r="ME10" s="7"/>
      <c r="MF10" s="7"/>
      <c r="MG10" s="7"/>
      <c r="MH10" s="7"/>
      <c r="MI10" s="7"/>
      <c r="MJ10" s="7"/>
      <c r="MK10" s="7"/>
      <c r="ML10" s="7"/>
      <c r="MM10" s="7"/>
      <c r="MN10" s="7"/>
      <c r="MO10" s="7"/>
      <c r="MP10" s="7"/>
      <c r="MQ10" s="7"/>
      <c r="MR10" s="7"/>
      <c r="MS10" s="7"/>
      <c r="MT10" s="7"/>
      <c r="MU10" s="7"/>
      <c r="MV10" s="7"/>
      <c r="MW10" s="7"/>
      <c r="MX10" s="7"/>
      <c r="MY10" s="7"/>
      <c r="MZ10" s="7"/>
      <c r="NA10" s="7"/>
      <c r="NB10" s="7"/>
      <c r="NC10" s="7"/>
      <c r="ND10" s="7"/>
      <c r="NE10" s="7"/>
      <c r="NF10" s="7"/>
      <c r="NG10" s="7"/>
      <c r="NH10" s="7"/>
      <c r="NI10" s="7"/>
      <c r="NJ10" s="7"/>
      <c r="NK10" s="7"/>
      <c r="NL10" s="7"/>
      <c r="NM10" s="7"/>
      <c r="NN10" s="7"/>
      <c r="NO10" s="7"/>
      <c r="NP10" s="7"/>
      <c r="NQ10" s="7"/>
      <c r="NR10" s="7"/>
      <c r="NS10" s="7"/>
      <c r="NT10" s="7"/>
      <c r="NU10" s="7"/>
      <c r="NV10" s="7"/>
      <c r="NW10" s="7"/>
      <c r="NX10" s="7"/>
      <c r="NY10" s="7"/>
      <c r="NZ10" s="7"/>
      <c r="OA10" s="7"/>
      <c r="OB10" s="7"/>
      <c r="OC10" s="7"/>
      <c r="OD10" s="7"/>
      <c r="OE10" s="7"/>
      <c r="OF10" s="7"/>
      <c r="OG10" s="7"/>
      <c r="OH10" s="7"/>
      <c r="OI10" s="7"/>
      <c r="OJ10" s="7"/>
      <c r="OK10" s="7"/>
      <c r="OL10" s="7"/>
      <c r="OM10" s="7"/>
      <c r="ON10" s="7"/>
      <c r="OO10" s="7"/>
      <c r="OP10" s="7"/>
      <c r="OQ10" s="7"/>
      <c r="OR10" s="7"/>
      <c r="OS10" s="7"/>
      <c r="OT10" s="7"/>
      <c r="OU10" s="7"/>
      <c r="OV10" s="7"/>
      <c r="OW10" s="7"/>
      <c r="OX10" s="7"/>
      <c r="OY10" s="7"/>
      <c r="OZ10" s="7"/>
      <c r="PA10" s="7"/>
      <c r="PB10" s="7"/>
      <c r="PC10" s="7"/>
      <c r="PD10" s="7"/>
      <c r="PE10" s="7"/>
      <c r="PF10" s="7"/>
      <c r="PG10" s="7"/>
      <c r="PH10" s="7"/>
      <c r="PI10" s="7"/>
      <c r="PJ10" s="7"/>
      <c r="PK10" s="7"/>
      <c r="PL10" s="7"/>
      <c r="PM10" s="7"/>
      <c r="PN10" s="7"/>
      <c r="PO10" s="7"/>
      <c r="PP10" s="7"/>
      <c r="PQ10" s="7"/>
      <c r="PR10" s="7"/>
      <c r="PS10" s="7"/>
      <c r="PT10" s="7"/>
      <c r="PU10" s="7"/>
      <c r="PV10" s="7"/>
      <c r="PW10" s="7"/>
      <c r="PX10" s="7"/>
      <c r="PY10" s="7"/>
      <c r="PZ10" s="7"/>
      <c r="QA10" s="7"/>
      <c r="QB10" s="7"/>
      <c r="QC10" s="7"/>
      <c r="QD10" s="7"/>
      <c r="QE10" s="7"/>
      <c r="QF10" s="7"/>
      <c r="QG10" s="7"/>
      <c r="QH10" s="7"/>
      <c r="QI10" s="7"/>
      <c r="QJ10" s="7"/>
      <c r="QK10" s="7"/>
      <c r="QL10" s="7"/>
      <c r="QM10" s="7"/>
      <c r="QN10" s="7"/>
      <c r="QO10" s="7"/>
      <c r="QP10" s="7"/>
      <c r="QQ10" s="7"/>
      <c r="QR10" s="7"/>
      <c r="QS10" s="7"/>
      <c r="QT10" s="7"/>
      <c r="QU10" s="7"/>
      <c r="QV10" s="7"/>
      <c r="QW10" s="7"/>
      <c r="QX10" s="7"/>
      <c r="QY10" s="7"/>
      <c r="QZ10" s="7"/>
      <c r="RA10" s="7"/>
      <c r="RB10" s="7"/>
      <c r="RC10" s="7"/>
      <c r="RD10" s="7"/>
      <c r="RE10" s="7"/>
      <c r="RF10" s="7"/>
      <c r="RG10" s="7"/>
      <c r="RH10" s="7"/>
      <c r="RI10" s="7"/>
      <c r="RJ10" s="7"/>
      <c r="RK10" s="7"/>
      <c r="RL10" s="7"/>
      <c r="RM10" s="7"/>
      <c r="RN10" s="7"/>
      <c r="RO10" s="7"/>
      <c r="RP10" s="7"/>
      <c r="RQ10" s="7"/>
      <c r="RR10" s="7"/>
      <c r="RS10" s="7"/>
      <c r="RT10" s="7"/>
      <c r="RU10" s="7"/>
      <c r="RV10" s="7"/>
      <c r="RW10" s="7"/>
      <c r="RX10" s="7"/>
      <c r="RY10" s="7"/>
      <c r="RZ10" s="7"/>
      <c r="SA10" s="7"/>
      <c r="SB10" s="7"/>
      <c r="SC10" s="7"/>
      <c r="SD10" s="7"/>
      <c r="SE10" s="7"/>
      <c r="SF10" s="7"/>
      <c r="SG10" s="7"/>
      <c r="SH10" s="7"/>
      <c r="SI10" s="7"/>
      <c r="SJ10" s="7"/>
      <c r="SK10" s="7"/>
      <c r="SL10" s="7"/>
      <c r="SM10" s="7"/>
      <c r="SN10" s="7"/>
      <c r="SO10" s="7"/>
      <c r="SP10" s="7"/>
      <c r="SQ10" s="7"/>
      <c r="SR10" s="7"/>
      <c r="SS10" s="7"/>
      <c r="ST10" s="7"/>
      <c r="SU10" s="7"/>
      <c r="SV10" s="7"/>
      <c r="SW10" s="7"/>
      <c r="SX10" s="7"/>
      <c r="SY10" s="7"/>
      <c r="SZ10" s="7"/>
      <c r="TA10" s="7"/>
      <c r="TB10" s="7"/>
      <c r="TC10" s="7"/>
      <c r="TD10" s="7"/>
      <c r="TE10" s="7"/>
      <c r="TF10" s="7"/>
      <c r="TG10" s="7"/>
      <c r="TH10" s="7"/>
      <c r="TI10" s="7"/>
      <c r="TJ10" s="7"/>
      <c r="TK10" s="7"/>
      <c r="TL10" s="7"/>
      <c r="TM10" s="7"/>
      <c r="TN10" s="7"/>
      <c r="TO10" s="7"/>
      <c r="TP10" s="7"/>
      <c r="TQ10" s="7"/>
      <c r="TR10" s="7"/>
      <c r="TS10" s="7"/>
      <c r="TT10" s="7"/>
      <c r="TU10" s="7"/>
      <c r="TV10" s="7"/>
      <c r="TW10" s="7"/>
      <c r="TX10" s="7"/>
      <c r="TY10" s="7"/>
      <c r="TZ10" s="7"/>
      <c r="UA10" s="7"/>
      <c r="UB10" s="7"/>
      <c r="UC10" s="7"/>
      <c r="UD10" s="7"/>
      <c r="UE10" s="7"/>
      <c r="UF10" s="7"/>
      <c r="UG10" s="7"/>
      <c r="UH10" s="7"/>
      <c r="UI10" s="7"/>
      <c r="UJ10" s="7"/>
      <c r="UK10" s="7"/>
      <c r="UL10" s="7"/>
      <c r="UM10" s="7"/>
      <c r="UN10" s="7"/>
      <c r="UO10" s="7"/>
      <c r="UP10" s="7"/>
      <c r="UQ10" s="7"/>
      <c r="UR10" s="7"/>
      <c r="US10" s="7"/>
      <c r="UT10" s="7"/>
      <c r="UU10" s="7"/>
      <c r="UV10" s="7"/>
      <c r="UW10" s="7"/>
      <c r="UX10" s="7"/>
      <c r="UY10" s="7"/>
      <c r="UZ10" s="7"/>
      <c r="VA10" s="7"/>
      <c r="VB10" s="7"/>
      <c r="VC10" s="7"/>
      <c r="VD10" s="7"/>
      <c r="VE10" s="7"/>
      <c r="VF10" s="7"/>
      <c r="VG10" s="7"/>
      <c r="VH10" s="7"/>
      <c r="VI10" s="7"/>
      <c r="VJ10" s="7"/>
      <c r="VK10" s="7"/>
      <c r="VL10" s="7"/>
      <c r="VM10" s="7"/>
      <c r="VN10" s="7"/>
      <c r="VO10" s="7"/>
      <c r="VP10" s="7"/>
      <c r="VQ10" s="7"/>
      <c r="VR10" s="7"/>
      <c r="VS10" s="7"/>
      <c r="VT10" s="7"/>
      <c r="VU10" s="7"/>
      <c r="VV10" s="7"/>
      <c r="VW10" s="7"/>
      <c r="VX10" s="7"/>
      <c r="VY10" s="7"/>
      <c r="VZ10" s="7"/>
      <c r="WA10" s="7"/>
      <c r="WB10" s="7"/>
      <c r="WC10" s="7"/>
      <c r="WD10" s="7"/>
      <c r="WE10" s="7"/>
      <c r="WF10" s="7"/>
      <c r="WG10" s="7"/>
      <c r="WH10" s="7"/>
      <c r="WI10" s="7"/>
      <c r="WJ10" s="7"/>
      <c r="WK10" s="7"/>
      <c r="WL10" s="7"/>
      <c r="WM10" s="7"/>
      <c r="WN10" s="7"/>
      <c r="WO10" s="7"/>
      <c r="WP10" s="7"/>
      <c r="WQ10" s="7"/>
      <c r="WR10" s="7"/>
      <c r="WS10" s="7"/>
      <c r="WT10" s="7"/>
      <c r="WU10" s="7"/>
      <c r="WV10" s="7"/>
      <c r="WW10" s="7"/>
      <c r="WX10" s="7"/>
      <c r="WY10" s="7"/>
      <c r="WZ10" s="7"/>
      <c r="XA10" s="7"/>
      <c r="XB10" s="7"/>
      <c r="XC10" s="7"/>
      <c r="XD10" s="7"/>
      <c r="XE10" s="7"/>
      <c r="XF10" s="7"/>
      <c r="XG10" s="7"/>
      <c r="XH10" s="7"/>
      <c r="XI10" s="7"/>
      <c r="XJ10" s="7"/>
      <c r="XK10" s="7"/>
      <c r="XL10" s="7"/>
      <c r="XM10" s="7"/>
      <c r="XN10" s="7"/>
      <c r="XO10" s="7"/>
      <c r="XP10" s="7"/>
      <c r="XQ10" s="7"/>
      <c r="XR10" s="7"/>
      <c r="XS10" s="7"/>
      <c r="XT10" s="7"/>
      <c r="XU10" s="7"/>
      <c r="XV10" s="7"/>
      <c r="XW10" s="7"/>
      <c r="XX10" s="7"/>
      <c r="XY10" s="7"/>
      <c r="XZ10" s="7"/>
      <c r="YA10" s="7"/>
      <c r="YB10" s="7"/>
      <c r="YC10" s="7"/>
      <c r="YD10" s="7"/>
      <c r="YE10" s="7"/>
      <c r="YF10" s="7"/>
      <c r="YG10" s="7"/>
      <c r="YH10" s="7"/>
      <c r="YI10" s="7"/>
      <c r="YJ10" s="7"/>
      <c r="YK10" s="7"/>
      <c r="YL10" s="7"/>
      <c r="YM10" s="7"/>
      <c r="YN10" s="7"/>
      <c r="YO10" s="7"/>
      <c r="YP10" s="7"/>
      <c r="YQ10" s="7"/>
      <c r="YR10" s="7"/>
      <c r="YS10" s="7"/>
      <c r="YT10" s="7"/>
      <c r="YU10" s="7"/>
      <c r="YV10" s="7"/>
      <c r="YW10" s="7"/>
      <c r="YX10" s="7"/>
      <c r="YY10" s="7"/>
      <c r="YZ10" s="7"/>
      <c r="ZA10" s="7"/>
      <c r="ZB10" s="7"/>
      <c r="ZC10" s="7"/>
      <c r="ZD10" s="7"/>
      <c r="ZE10" s="7"/>
      <c r="ZF10" s="7"/>
      <c r="ZG10" s="7"/>
      <c r="ZH10" s="7"/>
      <c r="ZI10" s="7"/>
      <c r="ZJ10" s="7"/>
      <c r="ZK10" s="7"/>
      <c r="ZL10" s="7"/>
      <c r="ZM10" s="7"/>
      <c r="ZN10" s="7"/>
      <c r="ZO10" s="7"/>
      <c r="ZP10" s="7"/>
      <c r="ZQ10" s="7"/>
      <c r="ZR10" s="7"/>
      <c r="ZS10" s="7"/>
      <c r="ZT10" s="7"/>
      <c r="ZU10" s="7"/>
      <c r="ZV10" s="7"/>
      <c r="ZW10" s="7"/>
      <c r="ZX10" s="7"/>
      <c r="ZY10" s="7"/>
      <c r="ZZ10" s="7"/>
      <c r="AAA10" s="7"/>
      <c r="AAB10" s="7"/>
      <c r="AAC10" s="7"/>
      <c r="AAD10" s="7"/>
      <c r="AAE10" s="7"/>
      <c r="AAF10" s="7"/>
      <c r="AAG10" s="7"/>
      <c r="AAH10" s="7"/>
      <c r="AAI10" s="7"/>
      <c r="AAJ10" s="7"/>
      <c r="AAK10" s="7"/>
      <c r="AAL10" s="7"/>
      <c r="AAM10" s="7"/>
      <c r="AAN10" s="7"/>
      <c r="AAO10" s="7"/>
      <c r="AAP10" s="7"/>
      <c r="AAQ10" s="7"/>
      <c r="AAR10" s="7"/>
      <c r="AAS10" s="7"/>
      <c r="AAT10" s="7"/>
      <c r="AAU10" s="7"/>
      <c r="AAV10" s="7"/>
      <c r="AAW10" s="7"/>
      <c r="AAX10" s="7"/>
      <c r="AAY10" s="7"/>
      <c r="AAZ10" s="7"/>
      <c r="ABA10" s="7"/>
      <c r="ABB10" s="7"/>
      <c r="ABC10" s="7"/>
      <c r="ABD10" s="7"/>
      <c r="ABE10" s="7"/>
      <c r="ABF10" s="7"/>
      <c r="ABG10" s="7"/>
      <c r="ABH10" s="7"/>
      <c r="ABI10" s="7"/>
      <c r="ABJ10" s="7"/>
      <c r="ABK10" s="7"/>
      <c r="ABL10" s="7"/>
      <c r="ABM10" s="7"/>
      <c r="ABN10" s="7"/>
      <c r="ABO10" s="7"/>
      <c r="ABP10" s="7"/>
      <c r="ABQ10" s="7"/>
      <c r="ABR10" s="7"/>
      <c r="ABS10" s="7"/>
      <c r="ABT10" s="7"/>
      <c r="ABU10" s="7"/>
      <c r="ABV10" s="7"/>
      <c r="ABW10" s="7"/>
      <c r="ABX10" s="7"/>
      <c r="ABY10" s="7"/>
      <c r="ABZ10" s="7"/>
      <c r="ACA10" s="7"/>
      <c r="ACB10" s="7"/>
      <c r="ACC10" s="7"/>
      <c r="ACD10" s="7"/>
      <c r="ACE10" s="7"/>
      <c r="ACF10" s="7"/>
      <c r="ACG10" s="7"/>
      <c r="ACH10" s="7"/>
      <c r="ACI10" s="7"/>
      <c r="ACJ10" s="7"/>
      <c r="ACK10" s="7"/>
      <c r="ACL10" s="7"/>
      <c r="ACM10" s="7"/>
      <c r="ACN10" s="7"/>
      <c r="ACO10" s="7"/>
      <c r="ACP10" s="7"/>
      <c r="ACQ10" s="7"/>
      <c r="ACR10" s="7"/>
      <c r="ACS10" s="7"/>
      <c r="ACT10" s="7"/>
      <c r="ACU10" s="7"/>
      <c r="ACV10" s="7"/>
      <c r="ACW10" s="7"/>
      <c r="ACX10" s="7"/>
      <c r="ACY10" s="7"/>
      <c r="ACZ10" s="7"/>
      <c r="ADA10" s="7"/>
      <c r="ADB10" s="7"/>
      <c r="ADC10" s="7"/>
      <c r="ADD10" s="7"/>
      <c r="ADE10" s="7"/>
      <c r="ADF10" s="7"/>
      <c r="ADG10" s="7"/>
      <c r="ADH10" s="7"/>
      <c r="ADI10" s="7"/>
      <c r="ADJ10" s="7"/>
      <c r="ADK10" s="7"/>
      <c r="ADL10" s="7"/>
      <c r="ADM10" s="7"/>
      <c r="ADN10" s="7"/>
      <c r="ADO10" s="7"/>
      <c r="ADP10" s="7"/>
      <c r="ADQ10" s="7"/>
      <c r="ADR10" s="7"/>
      <c r="ADS10" s="7"/>
      <c r="ADT10" s="7"/>
      <c r="ADU10" s="7"/>
      <c r="ADV10" s="7"/>
      <c r="ADW10" s="7"/>
      <c r="ADX10" s="7"/>
      <c r="ADY10" s="7"/>
      <c r="ADZ10" s="7"/>
      <c r="AEA10" s="7"/>
      <c r="AEB10" s="7"/>
      <c r="AEC10" s="7"/>
      <c r="AED10" s="7"/>
      <c r="AEE10" s="7"/>
      <c r="AEF10" s="7"/>
      <c r="AEG10" s="7"/>
      <c r="AEH10" s="7"/>
      <c r="AEI10" s="7"/>
      <c r="AEJ10" s="7"/>
      <c r="AEK10" s="7"/>
      <c r="AEL10" s="7"/>
      <c r="AEM10" s="7"/>
      <c r="AEN10" s="7"/>
      <c r="AEO10" s="7"/>
      <c r="AEP10" s="7"/>
      <c r="AEQ10" s="7"/>
      <c r="AER10" s="7"/>
      <c r="AES10" s="7"/>
      <c r="AET10" s="7"/>
      <c r="AEU10" s="7"/>
      <c r="AEV10" s="7"/>
      <c r="AEW10" s="7"/>
      <c r="AEX10" s="7"/>
      <c r="AEY10" s="7"/>
      <c r="AEZ10" s="7"/>
      <c r="AFA10" s="7"/>
      <c r="AFB10" s="7"/>
      <c r="AFC10" s="7"/>
      <c r="AFD10" s="7"/>
      <c r="AFE10" s="7"/>
      <c r="AFF10" s="7"/>
      <c r="AFG10" s="7"/>
      <c r="AFH10" s="7"/>
      <c r="AFI10" s="7"/>
      <c r="AFJ10" s="7"/>
      <c r="AFK10" s="7"/>
      <c r="AFL10" s="7"/>
      <c r="AFM10" s="7"/>
      <c r="AFN10" s="7"/>
      <c r="AFO10" s="7"/>
      <c r="AFP10" s="7"/>
      <c r="AFQ10" s="7"/>
      <c r="AFR10" s="7"/>
      <c r="AFS10" s="7"/>
      <c r="AFT10" s="7"/>
      <c r="AFU10" s="7"/>
      <c r="AFV10" s="7"/>
      <c r="AFW10" s="7"/>
      <c r="AFX10" s="7"/>
      <c r="AFY10" s="7"/>
      <c r="AFZ10" s="7"/>
      <c r="AGA10" s="7"/>
      <c r="AGB10" s="7"/>
      <c r="AGC10" s="7"/>
      <c r="AGD10" s="7"/>
      <c r="AGE10" s="7"/>
      <c r="AGF10" s="7"/>
      <c r="AGG10" s="7"/>
      <c r="AGH10" s="7"/>
      <c r="AGI10" s="7"/>
      <c r="AGJ10" s="7"/>
      <c r="AGK10" s="7"/>
      <c r="AGL10" s="7"/>
      <c r="AGM10" s="7"/>
      <c r="AGN10" s="7"/>
      <c r="AGO10" s="7"/>
      <c r="AGP10" s="7"/>
      <c r="AGQ10" s="7"/>
      <c r="AGR10" s="7"/>
      <c r="AGS10" s="7"/>
      <c r="AGT10" s="7"/>
      <c r="AGU10" s="7"/>
      <c r="AGV10" s="7"/>
      <c r="AGW10" s="7"/>
      <c r="AGX10" s="7"/>
      <c r="AGY10" s="7"/>
      <c r="AGZ10" s="7"/>
      <c r="AHA10" s="7"/>
      <c r="AHB10" s="7"/>
      <c r="AHC10" s="7"/>
      <c r="AHD10" s="7"/>
      <c r="AHE10" s="7"/>
      <c r="AHF10" s="7"/>
      <c r="AHG10" s="7"/>
      <c r="AHH10" s="7"/>
      <c r="AHI10" s="7"/>
      <c r="AHJ10" s="7"/>
      <c r="AHK10" s="7"/>
      <c r="AHL10" s="7"/>
      <c r="AHM10" s="7"/>
      <c r="AHN10" s="7"/>
      <c r="AHO10" s="7"/>
      <c r="AHP10" s="7"/>
      <c r="AHQ10" s="7"/>
      <c r="AHR10" s="7"/>
      <c r="AHS10" s="7"/>
      <c r="AHT10" s="7"/>
      <c r="AHU10" s="7"/>
      <c r="AHV10" s="7"/>
      <c r="AHW10" s="7"/>
      <c r="AHX10" s="7"/>
      <c r="AHY10" s="7"/>
      <c r="AHZ10" s="7"/>
      <c r="AIA10" s="7"/>
      <c r="AIB10" s="7"/>
      <c r="AIC10" s="7"/>
      <c r="AID10" s="7"/>
      <c r="AIE10" s="7"/>
      <c r="AIF10" s="7"/>
      <c r="AIG10" s="7"/>
      <c r="AIH10" s="7"/>
      <c r="AII10" s="7"/>
      <c r="AIJ10" s="7"/>
      <c r="AIK10" s="7"/>
      <c r="AIL10" s="7"/>
      <c r="AIM10" s="7"/>
      <c r="AIN10" s="7"/>
      <c r="AIO10" s="7"/>
      <c r="AIP10" s="7"/>
      <c r="AIQ10" s="7"/>
      <c r="AIR10" s="7"/>
      <c r="AIS10" s="7"/>
      <c r="AIT10" s="7"/>
      <c r="AIU10" s="7"/>
      <c r="AIV10" s="7"/>
      <c r="AIW10" s="7"/>
      <c r="AIX10" s="7"/>
      <c r="AIY10" s="7"/>
      <c r="AIZ10" s="7"/>
      <c r="AJA10" s="7"/>
      <c r="AJB10" s="7"/>
      <c r="AJC10" s="7"/>
      <c r="AJD10" s="7"/>
      <c r="AJE10" s="7"/>
      <c r="AJF10" s="7"/>
      <c r="AJG10" s="7"/>
      <c r="AJH10" s="7"/>
      <c r="AJI10" s="7"/>
      <c r="AJJ10" s="7"/>
      <c r="AJK10" s="7"/>
      <c r="AJL10" s="7"/>
      <c r="AJM10" s="7"/>
      <c r="AJN10" s="7"/>
      <c r="AJO10" s="7"/>
      <c r="AJP10" s="7"/>
      <c r="AJQ10" s="7"/>
      <c r="AJR10" s="7"/>
      <c r="AJS10" s="7"/>
      <c r="AJT10" s="7"/>
      <c r="AJU10" s="7"/>
      <c r="AJV10" s="7"/>
      <c r="AJW10" s="7"/>
      <c r="AJX10" s="7"/>
      <c r="AJY10" s="7"/>
      <c r="AJZ10" s="7"/>
      <c r="AKA10" s="7"/>
      <c r="AKB10" s="7"/>
      <c r="AKC10" s="7"/>
      <c r="AKD10" s="7"/>
      <c r="AKE10" s="7"/>
      <c r="AKF10" s="7"/>
      <c r="AKG10" s="7"/>
      <c r="AKH10" s="7"/>
      <c r="AKI10" s="7"/>
      <c r="AKJ10" s="7"/>
      <c r="AKK10" s="7"/>
      <c r="AKL10" s="7"/>
      <c r="AKM10" s="7"/>
      <c r="AKN10" s="7"/>
      <c r="AKO10" s="7"/>
      <c r="AKP10" s="7"/>
      <c r="AKQ10" s="7"/>
      <c r="AKR10" s="7"/>
      <c r="AKS10" s="7"/>
      <c r="AKT10" s="7"/>
      <c r="AKU10" s="7"/>
      <c r="AKV10" s="7"/>
      <c r="AKW10" s="7"/>
      <c r="AKX10" s="7"/>
      <c r="AKY10" s="7"/>
      <c r="AKZ10" s="7"/>
      <c r="ALA10" s="7"/>
      <c r="ALB10" s="7"/>
      <c r="ALC10" s="7"/>
      <c r="ALD10" s="7"/>
      <c r="ALE10" s="7"/>
      <c r="ALF10" s="7"/>
      <c r="ALG10" s="7"/>
      <c r="ALH10" s="7"/>
      <c r="ALI10" s="7"/>
      <c r="ALJ10" s="7"/>
      <c r="ALK10" s="7"/>
      <c r="ALL10" s="7"/>
      <c r="ALM10" s="7"/>
      <c r="ALN10" s="7"/>
      <c r="ALO10" s="7"/>
      <c r="ALP10" s="7"/>
      <c r="ALQ10" s="7"/>
      <c r="ALR10" s="7"/>
      <c r="ALS10" s="7"/>
      <c r="ALT10" s="7"/>
      <c r="ALU10" s="7"/>
      <c r="ALV10" s="7"/>
      <c r="ALW10" s="7"/>
      <c r="ALX10" s="7"/>
      <c r="ALY10" s="7"/>
      <c r="ALZ10" s="7"/>
      <c r="AMA10" s="7"/>
      <c r="AMB10" s="7"/>
      <c r="AMC10" s="7"/>
      <c r="AMD10" s="7"/>
      <c r="AME10" s="7"/>
      <c r="AMF10" s="7"/>
      <c r="AMG10" s="7"/>
      <c r="AMH10" s="7"/>
      <c r="AMI10" s="7"/>
      <c r="AMJ10" s="7"/>
    </row>
    <row r="11" customFormat="false" ht="15.8" hidden="false" customHeight="false" outlineLevel="0" collapsed="false">
      <c r="A11" s="6"/>
      <c r="B11" s="7"/>
      <c r="C11" s="6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  <c r="EP11" s="7"/>
      <c r="EQ11" s="7"/>
      <c r="ER11" s="7"/>
      <c r="ES11" s="7"/>
      <c r="ET11" s="7"/>
      <c r="EU11" s="7"/>
      <c r="EV11" s="7"/>
      <c r="EW11" s="7"/>
      <c r="EX11" s="7"/>
      <c r="EY11" s="7"/>
      <c r="EZ11" s="7"/>
      <c r="FA11" s="7"/>
      <c r="FB11" s="7"/>
      <c r="FC11" s="7"/>
      <c r="FD11" s="7"/>
      <c r="FE11" s="7"/>
      <c r="FF11" s="7"/>
      <c r="FG11" s="7"/>
      <c r="FH11" s="7"/>
      <c r="FI11" s="7"/>
      <c r="FJ11" s="7"/>
      <c r="FK11" s="7"/>
      <c r="FL11" s="7"/>
      <c r="FM11" s="7"/>
      <c r="FN11" s="7"/>
      <c r="FO11" s="7"/>
      <c r="FP11" s="7"/>
      <c r="FQ11" s="7"/>
      <c r="FR11" s="7"/>
      <c r="FS11" s="7"/>
      <c r="FT11" s="7"/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J11" s="7"/>
      <c r="GK11" s="7"/>
      <c r="GL11" s="7"/>
      <c r="GM11" s="7"/>
      <c r="GN11" s="7"/>
      <c r="GO11" s="7"/>
      <c r="GP11" s="7"/>
      <c r="GQ11" s="7"/>
      <c r="GR11" s="7"/>
      <c r="GS11" s="7"/>
      <c r="GT11" s="7"/>
      <c r="GU11" s="7"/>
      <c r="GV11" s="7"/>
      <c r="GW11" s="7"/>
      <c r="GX11" s="7"/>
      <c r="GY11" s="7"/>
      <c r="GZ11" s="7"/>
      <c r="HA11" s="7"/>
      <c r="HB11" s="7"/>
      <c r="HC11" s="7"/>
      <c r="HD11" s="7"/>
      <c r="HE11" s="7"/>
      <c r="HF11" s="7"/>
      <c r="HG11" s="7"/>
      <c r="HH11" s="7"/>
      <c r="HI11" s="7"/>
      <c r="HJ11" s="7"/>
      <c r="HK11" s="7"/>
      <c r="HL11" s="7"/>
      <c r="HM11" s="7"/>
      <c r="HN11" s="7"/>
      <c r="HO11" s="7"/>
      <c r="HP11" s="7"/>
      <c r="HQ11" s="7"/>
      <c r="HR11" s="7"/>
      <c r="HS11" s="7"/>
      <c r="HT11" s="7"/>
      <c r="HU11" s="7"/>
      <c r="HV11" s="7"/>
      <c r="HW11" s="7"/>
      <c r="HX11" s="7"/>
      <c r="HY11" s="7"/>
      <c r="HZ11" s="7"/>
      <c r="IA11" s="7"/>
      <c r="IB11" s="7"/>
      <c r="IC11" s="7"/>
      <c r="ID11" s="7"/>
      <c r="IE11" s="7"/>
      <c r="IF11" s="7"/>
      <c r="IG11" s="7"/>
      <c r="IH11" s="7"/>
      <c r="II11" s="7"/>
      <c r="IJ11" s="7"/>
      <c r="IK11" s="7"/>
      <c r="IL11" s="7"/>
      <c r="IM11" s="7"/>
      <c r="IN11" s="7"/>
      <c r="IO11" s="7"/>
      <c r="IP11" s="7"/>
      <c r="IQ11" s="7"/>
      <c r="IR11" s="7"/>
      <c r="IS11" s="7"/>
      <c r="IT11" s="7"/>
      <c r="IU11" s="7"/>
      <c r="IV11" s="7"/>
      <c r="IW11" s="7"/>
      <c r="IX11" s="7"/>
      <c r="IY11" s="7"/>
      <c r="IZ11" s="7"/>
      <c r="JA11" s="7"/>
      <c r="JB11" s="7"/>
      <c r="JC11" s="7"/>
      <c r="JD11" s="7"/>
      <c r="JE11" s="7"/>
      <c r="JF11" s="7"/>
      <c r="JG11" s="7"/>
      <c r="JH11" s="7"/>
      <c r="JI11" s="7"/>
      <c r="JJ11" s="7"/>
      <c r="JK11" s="7"/>
      <c r="JL11" s="7"/>
      <c r="JM11" s="7"/>
      <c r="JN11" s="7"/>
      <c r="JO11" s="7"/>
      <c r="JP11" s="7"/>
      <c r="JQ11" s="7"/>
      <c r="JR11" s="7"/>
      <c r="JS11" s="7"/>
      <c r="JT11" s="7"/>
      <c r="JU11" s="7"/>
      <c r="JV11" s="7"/>
      <c r="JW11" s="7"/>
      <c r="JX11" s="7"/>
      <c r="JY11" s="7"/>
      <c r="JZ11" s="7"/>
      <c r="KA11" s="7"/>
      <c r="KB11" s="7"/>
      <c r="KC11" s="7"/>
      <c r="KD11" s="7"/>
      <c r="KE11" s="7"/>
      <c r="KF11" s="7"/>
      <c r="KG11" s="7"/>
      <c r="KH11" s="7"/>
      <c r="KI11" s="7"/>
      <c r="KJ11" s="7"/>
      <c r="KK11" s="7"/>
      <c r="KL11" s="7"/>
      <c r="KM11" s="7"/>
      <c r="KN11" s="7"/>
      <c r="KO11" s="7"/>
      <c r="KP11" s="7"/>
      <c r="KQ11" s="7"/>
      <c r="KR11" s="7"/>
      <c r="KS11" s="7"/>
      <c r="KT11" s="7"/>
      <c r="KU11" s="7"/>
      <c r="KV11" s="7"/>
      <c r="KW11" s="7"/>
      <c r="KX11" s="7"/>
      <c r="KY11" s="7"/>
      <c r="KZ11" s="7"/>
      <c r="LA11" s="7"/>
      <c r="LB11" s="7"/>
      <c r="LC11" s="7"/>
      <c r="LD11" s="7"/>
      <c r="LE11" s="7"/>
      <c r="LF11" s="7"/>
      <c r="LG11" s="7"/>
      <c r="LH11" s="7"/>
      <c r="LI11" s="7"/>
      <c r="LJ11" s="7"/>
      <c r="LK11" s="7"/>
      <c r="LL11" s="7"/>
      <c r="LM11" s="7"/>
      <c r="LN11" s="7"/>
      <c r="LO11" s="7"/>
      <c r="LP11" s="7"/>
      <c r="LQ11" s="7"/>
      <c r="LR11" s="7"/>
      <c r="LS11" s="7"/>
      <c r="LT11" s="7"/>
      <c r="LU11" s="7"/>
      <c r="LV11" s="7"/>
      <c r="LW11" s="7"/>
      <c r="LX11" s="7"/>
      <c r="LY11" s="7"/>
      <c r="LZ11" s="7"/>
      <c r="MA11" s="7"/>
      <c r="MB11" s="7"/>
      <c r="MC11" s="7"/>
      <c r="MD11" s="7"/>
      <c r="ME11" s="7"/>
      <c r="MF11" s="7"/>
      <c r="MG11" s="7"/>
      <c r="MH11" s="7"/>
      <c r="MI11" s="7"/>
      <c r="MJ11" s="7"/>
      <c r="MK11" s="7"/>
      <c r="ML11" s="7"/>
      <c r="MM11" s="7"/>
      <c r="MN11" s="7"/>
      <c r="MO11" s="7"/>
      <c r="MP11" s="7"/>
      <c r="MQ11" s="7"/>
      <c r="MR11" s="7"/>
      <c r="MS11" s="7"/>
      <c r="MT11" s="7"/>
      <c r="MU11" s="7"/>
      <c r="MV11" s="7"/>
      <c r="MW11" s="7"/>
      <c r="MX11" s="7"/>
      <c r="MY11" s="7"/>
      <c r="MZ11" s="7"/>
      <c r="NA11" s="7"/>
      <c r="NB11" s="7"/>
      <c r="NC11" s="7"/>
      <c r="ND11" s="7"/>
      <c r="NE11" s="7"/>
      <c r="NF11" s="7"/>
      <c r="NG11" s="7"/>
      <c r="NH11" s="7"/>
      <c r="NI11" s="7"/>
      <c r="NJ11" s="7"/>
      <c r="NK11" s="7"/>
      <c r="NL11" s="7"/>
      <c r="NM11" s="7"/>
      <c r="NN11" s="7"/>
      <c r="NO11" s="7"/>
      <c r="NP11" s="7"/>
      <c r="NQ11" s="7"/>
      <c r="NR11" s="7"/>
      <c r="NS11" s="7"/>
      <c r="NT11" s="7"/>
      <c r="NU11" s="7"/>
      <c r="NV11" s="7"/>
      <c r="NW11" s="7"/>
      <c r="NX11" s="7"/>
      <c r="NY11" s="7"/>
      <c r="NZ11" s="7"/>
      <c r="OA11" s="7"/>
      <c r="OB11" s="7"/>
      <c r="OC11" s="7"/>
      <c r="OD11" s="7"/>
      <c r="OE11" s="7"/>
      <c r="OF11" s="7"/>
      <c r="OG11" s="7"/>
      <c r="OH11" s="7"/>
      <c r="OI11" s="7"/>
      <c r="OJ11" s="7"/>
      <c r="OK11" s="7"/>
      <c r="OL11" s="7"/>
      <c r="OM11" s="7"/>
      <c r="ON11" s="7"/>
      <c r="OO11" s="7"/>
      <c r="OP11" s="7"/>
      <c r="OQ11" s="7"/>
      <c r="OR11" s="7"/>
      <c r="OS11" s="7"/>
      <c r="OT11" s="7"/>
      <c r="OU11" s="7"/>
      <c r="OV11" s="7"/>
      <c r="OW11" s="7"/>
      <c r="OX11" s="7"/>
      <c r="OY11" s="7"/>
      <c r="OZ11" s="7"/>
      <c r="PA11" s="7"/>
      <c r="PB11" s="7"/>
      <c r="PC11" s="7"/>
      <c r="PD11" s="7"/>
      <c r="PE11" s="7"/>
      <c r="PF11" s="7"/>
      <c r="PG11" s="7"/>
      <c r="PH11" s="7"/>
      <c r="PI11" s="7"/>
      <c r="PJ11" s="7"/>
      <c r="PK11" s="7"/>
      <c r="PL11" s="7"/>
      <c r="PM11" s="7"/>
      <c r="PN11" s="7"/>
      <c r="PO11" s="7"/>
      <c r="PP11" s="7"/>
      <c r="PQ11" s="7"/>
      <c r="PR11" s="7"/>
      <c r="PS11" s="7"/>
      <c r="PT11" s="7"/>
      <c r="PU11" s="7"/>
      <c r="PV11" s="7"/>
      <c r="PW11" s="7"/>
      <c r="PX11" s="7"/>
      <c r="PY11" s="7"/>
      <c r="PZ11" s="7"/>
      <c r="QA11" s="7"/>
      <c r="QB11" s="7"/>
      <c r="QC11" s="7"/>
      <c r="QD11" s="7"/>
      <c r="QE11" s="7"/>
      <c r="QF11" s="7"/>
      <c r="QG11" s="7"/>
      <c r="QH11" s="7"/>
      <c r="QI11" s="7"/>
      <c r="QJ11" s="7"/>
      <c r="QK11" s="7"/>
      <c r="QL11" s="7"/>
      <c r="QM11" s="7"/>
      <c r="QN11" s="7"/>
      <c r="QO11" s="7"/>
      <c r="QP11" s="7"/>
      <c r="QQ11" s="7"/>
      <c r="QR11" s="7"/>
      <c r="QS11" s="7"/>
      <c r="QT11" s="7"/>
      <c r="QU11" s="7"/>
      <c r="QV11" s="7"/>
      <c r="QW11" s="7"/>
      <c r="QX11" s="7"/>
      <c r="QY11" s="7"/>
      <c r="QZ11" s="7"/>
      <c r="RA11" s="7"/>
      <c r="RB11" s="7"/>
      <c r="RC11" s="7"/>
      <c r="RD11" s="7"/>
      <c r="RE11" s="7"/>
      <c r="RF11" s="7"/>
      <c r="RG11" s="7"/>
      <c r="RH11" s="7"/>
      <c r="RI11" s="7"/>
      <c r="RJ11" s="7"/>
      <c r="RK11" s="7"/>
      <c r="RL11" s="7"/>
      <c r="RM11" s="7"/>
      <c r="RN11" s="7"/>
      <c r="RO11" s="7"/>
      <c r="RP11" s="7"/>
      <c r="RQ11" s="7"/>
      <c r="RR11" s="7"/>
      <c r="RS11" s="7"/>
      <c r="RT11" s="7"/>
      <c r="RU11" s="7"/>
      <c r="RV11" s="7"/>
      <c r="RW11" s="7"/>
      <c r="RX11" s="7"/>
      <c r="RY11" s="7"/>
      <c r="RZ11" s="7"/>
      <c r="SA11" s="7"/>
      <c r="SB11" s="7"/>
      <c r="SC11" s="7"/>
      <c r="SD11" s="7"/>
      <c r="SE11" s="7"/>
      <c r="SF11" s="7"/>
      <c r="SG11" s="7"/>
      <c r="SH11" s="7"/>
      <c r="SI11" s="7"/>
      <c r="SJ11" s="7"/>
      <c r="SK11" s="7"/>
      <c r="SL11" s="7"/>
      <c r="SM11" s="7"/>
      <c r="SN11" s="7"/>
      <c r="SO11" s="7"/>
      <c r="SP11" s="7"/>
      <c r="SQ11" s="7"/>
      <c r="SR11" s="7"/>
      <c r="SS11" s="7"/>
      <c r="ST11" s="7"/>
      <c r="SU11" s="7"/>
      <c r="SV11" s="7"/>
      <c r="SW11" s="7"/>
      <c r="SX11" s="7"/>
      <c r="SY11" s="7"/>
      <c r="SZ11" s="7"/>
      <c r="TA11" s="7"/>
      <c r="TB11" s="7"/>
      <c r="TC11" s="7"/>
      <c r="TD11" s="7"/>
      <c r="TE11" s="7"/>
      <c r="TF11" s="7"/>
      <c r="TG11" s="7"/>
      <c r="TH11" s="7"/>
      <c r="TI11" s="7"/>
      <c r="TJ11" s="7"/>
      <c r="TK11" s="7"/>
      <c r="TL11" s="7"/>
      <c r="TM11" s="7"/>
      <c r="TN11" s="7"/>
      <c r="TO11" s="7"/>
      <c r="TP11" s="7"/>
      <c r="TQ11" s="7"/>
      <c r="TR11" s="7"/>
      <c r="TS11" s="7"/>
      <c r="TT11" s="7"/>
      <c r="TU11" s="7"/>
      <c r="TV11" s="7"/>
      <c r="TW11" s="7"/>
      <c r="TX11" s="7"/>
      <c r="TY11" s="7"/>
      <c r="TZ11" s="7"/>
      <c r="UA11" s="7"/>
      <c r="UB11" s="7"/>
      <c r="UC11" s="7"/>
      <c r="UD11" s="7"/>
      <c r="UE11" s="7"/>
      <c r="UF11" s="7"/>
      <c r="UG11" s="7"/>
      <c r="UH11" s="7"/>
      <c r="UI11" s="7"/>
      <c r="UJ11" s="7"/>
      <c r="UK11" s="7"/>
      <c r="UL11" s="7"/>
      <c r="UM11" s="7"/>
      <c r="UN11" s="7"/>
      <c r="UO11" s="7"/>
      <c r="UP11" s="7"/>
      <c r="UQ11" s="7"/>
      <c r="UR11" s="7"/>
      <c r="US11" s="7"/>
      <c r="UT11" s="7"/>
      <c r="UU11" s="7"/>
      <c r="UV11" s="7"/>
      <c r="UW11" s="7"/>
      <c r="UX11" s="7"/>
      <c r="UY11" s="7"/>
      <c r="UZ11" s="7"/>
      <c r="VA11" s="7"/>
      <c r="VB11" s="7"/>
      <c r="VC11" s="7"/>
      <c r="VD11" s="7"/>
      <c r="VE11" s="7"/>
      <c r="VF11" s="7"/>
      <c r="VG11" s="7"/>
      <c r="VH11" s="7"/>
      <c r="VI11" s="7"/>
      <c r="VJ11" s="7"/>
      <c r="VK11" s="7"/>
      <c r="VL11" s="7"/>
      <c r="VM11" s="7"/>
      <c r="VN11" s="7"/>
      <c r="VO11" s="7"/>
      <c r="VP11" s="7"/>
      <c r="VQ11" s="7"/>
      <c r="VR11" s="7"/>
      <c r="VS11" s="7"/>
      <c r="VT11" s="7"/>
      <c r="VU11" s="7"/>
      <c r="VV11" s="7"/>
      <c r="VW11" s="7"/>
      <c r="VX11" s="7"/>
      <c r="VY11" s="7"/>
      <c r="VZ11" s="7"/>
      <c r="WA11" s="7"/>
      <c r="WB11" s="7"/>
      <c r="WC11" s="7"/>
      <c r="WD11" s="7"/>
      <c r="WE11" s="7"/>
      <c r="WF11" s="7"/>
      <c r="WG11" s="7"/>
      <c r="WH11" s="7"/>
      <c r="WI11" s="7"/>
      <c r="WJ11" s="7"/>
      <c r="WK11" s="7"/>
      <c r="WL11" s="7"/>
      <c r="WM11" s="7"/>
      <c r="WN11" s="7"/>
      <c r="WO11" s="7"/>
      <c r="WP11" s="7"/>
      <c r="WQ11" s="7"/>
      <c r="WR11" s="7"/>
      <c r="WS11" s="7"/>
      <c r="WT11" s="7"/>
      <c r="WU11" s="7"/>
      <c r="WV11" s="7"/>
      <c r="WW11" s="7"/>
      <c r="WX11" s="7"/>
      <c r="WY11" s="7"/>
      <c r="WZ11" s="7"/>
      <c r="XA11" s="7"/>
      <c r="XB11" s="7"/>
      <c r="XC11" s="7"/>
      <c r="XD11" s="7"/>
      <c r="XE11" s="7"/>
      <c r="XF11" s="7"/>
      <c r="XG11" s="7"/>
      <c r="XH11" s="7"/>
      <c r="XI11" s="7"/>
      <c r="XJ11" s="7"/>
      <c r="XK11" s="7"/>
      <c r="XL11" s="7"/>
      <c r="XM11" s="7"/>
      <c r="XN11" s="7"/>
      <c r="XO11" s="7"/>
      <c r="XP11" s="7"/>
      <c r="XQ11" s="7"/>
      <c r="XR11" s="7"/>
      <c r="XS11" s="7"/>
      <c r="XT11" s="7"/>
      <c r="XU11" s="7"/>
      <c r="XV11" s="7"/>
      <c r="XW11" s="7"/>
      <c r="XX11" s="7"/>
      <c r="XY11" s="7"/>
      <c r="XZ11" s="7"/>
      <c r="YA11" s="7"/>
      <c r="YB11" s="7"/>
      <c r="YC11" s="7"/>
      <c r="YD11" s="7"/>
      <c r="YE11" s="7"/>
      <c r="YF11" s="7"/>
      <c r="YG11" s="7"/>
      <c r="YH11" s="7"/>
      <c r="YI11" s="7"/>
      <c r="YJ11" s="7"/>
      <c r="YK11" s="7"/>
      <c r="YL11" s="7"/>
      <c r="YM11" s="7"/>
      <c r="YN11" s="7"/>
      <c r="YO11" s="7"/>
      <c r="YP11" s="7"/>
      <c r="YQ11" s="7"/>
      <c r="YR11" s="7"/>
      <c r="YS11" s="7"/>
      <c r="YT11" s="7"/>
      <c r="YU11" s="7"/>
      <c r="YV11" s="7"/>
      <c r="YW11" s="7"/>
      <c r="YX11" s="7"/>
      <c r="YY11" s="7"/>
      <c r="YZ11" s="7"/>
      <c r="ZA11" s="7"/>
      <c r="ZB11" s="7"/>
      <c r="ZC11" s="7"/>
      <c r="ZD11" s="7"/>
      <c r="ZE11" s="7"/>
      <c r="ZF11" s="7"/>
      <c r="ZG11" s="7"/>
      <c r="ZH11" s="7"/>
      <c r="ZI11" s="7"/>
      <c r="ZJ11" s="7"/>
      <c r="ZK11" s="7"/>
      <c r="ZL11" s="7"/>
      <c r="ZM11" s="7"/>
      <c r="ZN11" s="7"/>
      <c r="ZO11" s="7"/>
      <c r="ZP11" s="7"/>
      <c r="ZQ11" s="7"/>
      <c r="ZR11" s="7"/>
      <c r="ZS11" s="7"/>
      <c r="ZT11" s="7"/>
      <c r="ZU11" s="7"/>
      <c r="ZV11" s="7"/>
      <c r="ZW11" s="7"/>
      <c r="ZX11" s="7"/>
      <c r="ZY11" s="7"/>
      <c r="ZZ11" s="7"/>
      <c r="AAA11" s="7"/>
      <c r="AAB11" s="7"/>
      <c r="AAC11" s="7"/>
      <c r="AAD11" s="7"/>
      <c r="AAE11" s="7"/>
      <c r="AAF11" s="7"/>
      <c r="AAG11" s="7"/>
      <c r="AAH11" s="7"/>
      <c r="AAI11" s="7"/>
      <c r="AAJ11" s="7"/>
      <c r="AAK11" s="7"/>
      <c r="AAL11" s="7"/>
      <c r="AAM11" s="7"/>
      <c r="AAN11" s="7"/>
      <c r="AAO11" s="7"/>
      <c r="AAP11" s="7"/>
      <c r="AAQ11" s="7"/>
      <c r="AAR11" s="7"/>
      <c r="AAS11" s="7"/>
      <c r="AAT11" s="7"/>
      <c r="AAU11" s="7"/>
      <c r="AAV11" s="7"/>
      <c r="AAW11" s="7"/>
      <c r="AAX11" s="7"/>
      <c r="AAY11" s="7"/>
      <c r="AAZ11" s="7"/>
      <c r="ABA11" s="7"/>
      <c r="ABB11" s="7"/>
      <c r="ABC11" s="7"/>
      <c r="ABD11" s="7"/>
      <c r="ABE11" s="7"/>
      <c r="ABF11" s="7"/>
      <c r="ABG11" s="7"/>
      <c r="ABH11" s="7"/>
      <c r="ABI11" s="7"/>
      <c r="ABJ11" s="7"/>
      <c r="ABK11" s="7"/>
      <c r="ABL11" s="7"/>
      <c r="ABM11" s="7"/>
      <c r="ABN11" s="7"/>
      <c r="ABO11" s="7"/>
      <c r="ABP11" s="7"/>
      <c r="ABQ11" s="7"/>
      <c r="ABR11" s="7"/>
      <c r="ABS11" s="7"/>
      <c r="ABT11" s="7"/>
      <c r="ABU11" s="7"/>
      <c r="ABV11" s="7"/>
      <c r="ABW11" s="7"/>
      <c r="ABX11" s="7"/>
      <c r="ABY11" s="7"/>
      <c r="ABZ11" s="7"/>
      <c r="ACA11" s="7"/>
      <c r="ACB11" s="7"/>
      <c r="ACC11" s="7"/>
      <c r="ACD11" s="7"/>
      <c r="ACE11" s="7"/>
      <c r="ACF11" s="7"/>
      <c r="ACG11" s="7"/>
      <c r="ACH11" s="7"/>
      <c r="ACI11" s="7"/>
      <c r="ACJ11" s="7"/>
      <c r="ACK11" s="7"/>
      <c r="ACL11" s="7"/>
      <c r="ACM11" s="7"/>
      <c r="ACN11" s="7"/>
      <c r="ACO11" s="7"/>
      <c r="ACP11" s="7"/>
      <c r="ACQ11" s="7"/>
      <c r="ACR11" s="7"/>
      <c r="ACS11" s="7"/>
      <c r="ACT11" s="7"/>
      <c r="ACU11" s="7"/>
      <c r="ACV11" s="7"/>
      <c r="ACW11" s="7"/>
      <c r="ACX11" s="7"/>
      <c r="ACY11" s="7"/>
      <c r="ACZ11" s="7"/>
      <c r="ADA11" s="7"/>
      <c r="ADB11" s="7"/>
      <c r="ADC11" s="7"/>
      <c r="ADD11" s="7"/>
      <c r="ADE11" s="7"/>
      <c r="ADF11" s="7"/>
      <c r="ADG11" s="7"/>
      <c r="ADH11" s="7"/>
      <c r="ADI11" s="7"/>
      <c r="ADJ11" s="7"/>
      <c r="ADK11" s="7"/>
      <c r="ADL11" s="7"/>
      <c r="ADM11" s="7"/>
      <c r="ADN11" s="7"/>
      <c r="ADO11" s="7"/>
      <c r="ADP11" s="7"/>
      <c r="ADQ11" s="7"/>
      <c r="ADR11" s="7"/>
      <c r="ADS11" s="7"/>
      <c r="ADT11" s="7"/>
      <c r="ADU11" s="7"/>
      <c r="ADV11" s="7"/>
      <c r="ADW11" s="7"/>
      <c r="ADX11" s="7"/>
      <c r="ADY11" s="7"/>
      <c r="ADZ11" s="7"/>
      <c r="AEA11" s="7"/>
      <c r="AEB11" s="7"/>
      <c r="AEC11" s="7"/>
      <c r="AED11" s="7"/>
      <c r="AEE11" s="7"/>
      <c r="AEF11" s="7"/>
      <c r="AEG11" s="7"/>
      <c r="AEH11" s="7"/>
      <c r="AEI11" s="7"/>
      <c r="AEJ11" s="7"/>
      <c r="AEK11" s="7"/>
      <c r="AEL11" s="7"/>
      <c r="AEM11" s="7"/>
      <c r="AEN11" s="7"/>
      <c r="AEO11" s="7"/>
      <c r="AEP11" s="7"/>
      <c r="AEQ11" s="7"/>
      <c r="AER11" s="7"/>
      <c r="AES11" s="7"/>
      <c r="AET11" s="7"/>
      <c r="AEU11" s="7"/>
      <c r="AEV11" s="7"/>
      <c r="AEW11" s="7"/>
      <c r="AEX11" s="7"/>
      <c r="AEY11" s="7"/>
      <c r="AEZ11" s="7"/>
      <c r="AFA11" s="7"/>
      <c r="AFB11" s="7"/>
      <c r="AFC11" s="7"/>
      <c r="AFD11" s="7"/>
      <c r="AFE11" s="7"/>
      <c r="AFF11" s="7"/>
      <c r="AFG11" s="7"/>
      <c r="AFH11" s="7"/>
      <c r="AFI11" s="7"/>
      <c r="AFJ11" s="7"/>
      <c r="AFK11" s="7"/>
      <c r="AFL11" s="7"/>
      <c r="AFM11" s="7"/>
      <c r="AFN11" s="7"/>
      <c r="AFO11" s="7"/>
      <c r="AFP11" s="7"/>
      <c r="AFQ11" s="7"/>
      <c r="AFR11" s="7"/>
      <c r="AFS11" s="7"/>
      <c r="AFT11" s="7"/>
      <c r="AFU11" s="7"/>
      <c r="AFV11" s="7"/>
      <c r="AFW11" s="7"/>
      <c r="AFX11" s="7"/>
      <c r="AFY11" s="7"/>
      <c r="AFZ11" s="7"/>
      <c r="AGA11" s="7"/>
      <c r="AGB11" s="7"/>
      <c r="AGC11" s="7"/>
      <c r="AGD11" s="7"/>
      <c r="AGE11" s="7"/>
      <c r="AGF11" s="7"/>
      <c r="AGG11" s="7"/>
      <c r="AGH11" s="7"/>
      <c r="AGI11" s="7"/>
      <c r="AGJ11" s="7"/>
      <c r="AGK11" s="7"/>
      <c r="AGL11" s="7"/>
      <c r="AGM11" s="7"/>
      <c r="AGN11" s="7"/>
      <c r="AGO11" s="7"/>
      <c r="AGP11" s="7"/>
      <c r="AGQ11" s="7"/>
      <c r="AGR11" s="7"/>
      <c r="AGS11" s="7"/>
      <c r="AGT11" s="7"/>
      <c r="AGU11" s="7"/>
      <c r="AGV11" s="7"/>
      <c r="AGW11" s="7"/>
      <c r="AGX11" s="7"/>
      <c r="AGY11" s="7"/>
      <c r="AGZ11" s="7"/>
      <c r="AHA11" s="7"/>
      <c r="AHB11" s="7"/>
      <c r="AHC11" s="7"/>
      <c r="AHD11" s="7"/>
      <c r="AHE11" s="7"/>
      <c r="AHF11" s="7"/>
      <c r="AHG11" s="7"/>
      <c r="AHH11" s="7"/>
      <c r="AHI11" s="7"/>
      <c r="AHJ11" s="7"/>
      <c r="AHK11" s="7"/>
      <c r="AHL11" s="7"/>
      <c r="AHM11" s="7"/>
      <c r="AHN11" s="7"/>
      <c r="AHO11" s="7"/>
      <c r="AHP11" s="7"/>
      <c r="AHQ11" s="7"/>
      <c r="AHR11" s="7"/>
      <c r="AHS11" s="7"/>
      <c r="AHT11" s="7"/>
      <c r="AHU11" s="7"/>
      <c r="AHV11" s="7"/>
      <c r="AHW11" s="7"/>
      <c r="AHX11" s="7"/>
      <c r="AHY11" s="7"/>
      <c r="AHZ11" s="7"/>
      <c r="AIA11" s="7"/>
      <c r="AIB11" s="7"/>
      <c r="AIC11" s="7"/>
      <c r="AID11" s="7"/>
      <c r="AIE11" s="7"/>
      <c r="AIF11" s="7"/>
      <c r="AIG11" s="7"/>
      <c r="AIH11" s="7"/>
      <c r="AII11" s="7"/>
      <c r="AIJ11" s="7"/>
      <c r="AIK11" s="7"/>
      <c r="AIL11" s="7"/>
      <c r="AIM11" s="7"/>
      <c r="AIN11" s="7"/>
      <c r="AIO11" s="7"/>
      <c r="AIP11" s="7"/>
      <c r="AIQ11" s="7"/>
      <c r="AIR11" s="7"/>
      <c r="AIS11" s="7"/>
      <c r="AIT11" s="7"/>
      <c r="AIU11" s="7"/>
      <c r="AIV11" s="7"/>
      <c r="AIW11" s="7"/>
      <c r="AIX11" s="7"/>
      <c r="AIY11" s="7"/>
      <c r="AIZ11" s="7"/>
      <c r="AJA11" s="7"/>
      <c r="AJB11" s="7"/>
      <c r="AJC11" s="7"/>
      <c r="AJD11" s="7"/>
      <c r="AJE11" s="7"/>
      <c r="AJF11" s="7"/>
      <c r="AJG11" s="7"/>
      <c r="AJH11" s="7"/>
      <c r="AJI11" s="7"/>
      <c r="AJJ11" s="7"/>
      <c r="AJK11" s="7"/>
      <c r="AJL11" s="7"/>
      <c r="AJM11" s="7"/>
      <c r="AJN11" s="7"/>
      <c r="AJO11" s="7"/>
      <c r="AJP11" s="7"/>
      <c r="AJQ11" s="7"/>
      <c r="AJR11" s="7"/>
      <c r="AJS11" s="7"/>
      <c r="AJT11" s="7"/>
      <c r="AJU11" s="7"/>
      <c r="AJV11" s="7"/>
      <c r="AJW11" s="7"/>
      <c r="AJX11" s="7"/>
      <c r="AJY11" s="7"/>
      <c r="AJZ11" s="7"/>
      <c r="AKA11" s="7"/>
      <c r="AKB11" s="7"/>
      <c r="AKC11" s="7"/>
      <c r="AKD11" s="7"/>
      <c r="AKE11" s="7"/>
      <c r="AKF11" s="7"/>
      <c r="AKG11" s="7"/>
      <c r="AKH11" s="7"/>
      <c r="AKI11" s="7"/>
      <c r="AKJ11" s="7"/>
      <c r="AKK11" s="7"/>
      <c r="AKL11" s="7"/>
      <c r="AKM11" s="7"/>
      <c r="AKN11" s="7"/>
      <c r="AKO11" s="7"/>
      <c r="AKP11" s="7"/>
      <c r="AKQ11" s="7"/>
      <c r="AKR11" s="7"/>
      <c r="AKS11" s="7"/>
      <c r="AKT11" s="7"/>
      <c r="AKU11" s="7"/>
      <c r="AKV11" s="7"/>
      <c r="AKW11" s="7"/>
      <c r="AKX11" s="7"/>
      <c r="AKY11" s="7"/>
      <c r="AKZ11" s="7"/>
      <c r="ALA11" s="7"/>
      <c r="ALB11" s="7"/>
      <c r="ALC11" s="7"/>
      <c r="ALD11" s="7"/>
      <c r="ALE11" s="7"/>
      <c r="ALF11" s="7"/>
      <c r="ALG11" s="7"/>
      <c r="ALH11" s="7"/>
      <c r="ALI11" s="7"/>
      <c r="ALJ11" s="7"/>
      <c r="ALK11" s="7"/>
      <c r="ALL11" s="7"/>
      <c r="ALM11" s="7"/>
      <c r="ALN11" s="7"/>
      <c r="ALO11" s="7"/>
      <c r="ALP11" s="7"/>
      <c r="ALQ11" s="7"/>
      <c r="ALR11" s="7"/>
      <c r="ALS11" s="7"/>
      <c r="ALT11" s="7"/>
      <c r="ALU11" s="7"/>
      <c r="ALV11" s="7"/>
      <c r="ALW11" s="7"/>
      <c r="ALX11" s="7"/>
      <c r="ALY11" s="7"/>
      <c r="ALZ11" s="7"/>
      <c r="AMA11" s="7"/>
      <c r="AMB11" s="7"/>
      <c r="AMC11" s="7"/>
      <c r="AMD11" s="7"/>
      <c r="AME11" s="7"/>
      <c r="AMF11" s="7"/>
      <c r="AMG11" s="7"/>
      <c r="AMH11" s="7"/>
      <c r="AMI11" s="7"/>
      <c r="AMJ11" s="7"/>
    </row>
    <row r="12" customFormat="false" ht="15.8" hidden="false" customHeight="false" outlineLevel="0" collapsed="false">
      <c r="A12" s="6"/>
      <c r="B12" s="7"/>
      <c r="C12" s="6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  <c r="FB12" s="7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  <c r="LU12" s="7"/>
      <c r="LV12" s="7"/>
      <c r="LW12" s="7"/>
      <c r="LX12" s="7"/>
      <c r="LY12" s="7"/>
      <c r="LZ12" s="7"/>
      <c r="MA12" s="7"/>
      <c r="MB12" s="7"/>
      <c r="MC12" s="7"/>
      <c r="MD12" s="7"/>
      <c r="ME12" s="7"/>
      <c r="MF12" s="7"/>
      <c r="MG12" s="7"/>
      <c r="MH12" s="7"/>
      <c r="MI12" s="7"/>
      <c r="MJ12" s="7"/>
      <c r="MK12" s="7"/>
      <c r="ML12" s="7"/>
      <c r="MM12" s="7"/>
      <c r="MN12" s="7"/>
      <c r="MO12" s="7"/>
      <c r="MP12" s="7"/>
      <c r="MQ12" s="7"/>
      <c r="MR12" s="7"/>
      <c r="MS12" s="7"/>
      <c r="MT12" s="7"/>
      <c r="MU12" s="7"/>
      <c r="MV12" s="7"/>
      <c r="MW12" s="7"/>
      <c r="MX12" s="7"/>
      <c r="MY12" s="7"/>
      <c r="MZ12" s="7"/>
      <c r="NA12" s="7"/>
      <c r="NB12" s="7"/>
      <c r="NC12" s="7"/>
      <c r="ND12" s="7"/>
      <c r="NE12" s="7"/>
      <c r="NF12" s="7"/>
      <c r="NG12" s="7"/>
      <c r="NH12" s="7"/>
      <c r="NI12" s="7"/>
      <c r="NJ12" s="7"/>
      <c r="NK12" s="7"/>
      <c r="NL12" s="7"/>
      <c r="NM12" s="7"/>
      <c r="NN12" s="7"/>
      <c r="NO12" s="7"/>
      <c r="NP12" s="7"/>
      <c r="NQ12" s="7"/>
      <c r="NR12" s="7"/>
      <c r="NS12" s="7"/>
      <c r="NT12" s="7"/>
      <c r="NU12" s="7"/>
      <c r="NV12" s="7"/>
      <c r="NW12" s="7"/>
      <c r="NX12" s="7"/>
      <c r="NY12" s="7"/>
      <c r="NZ12" s="7"/>
      <c r="OA12" s="7"/>
      <c r="OB12" s="7"/>
      <c r="OC12" s="7"/>
      <c r="OD12" s="7"/>
      <c r="OE12" s="7"/>
      <c r="OF12" s="7"/>
      <c r="OG12" s="7"/>
      <c r="OH12" s="7"/>
      <c r="OI12" s="7"/>
      <c r="OJ12" s="7"/>
      <c r="OK12" s="7"/>
      <c r="OL12" s="7"/>
      <c r="OM12" s="7"/>
      <c r="ON12" s="7"/>
      <c r="OO12" s="7"/>
      <c r="OP12" s="7"/>
      <c r="OQ12" s="7"/>
      <c r="OR12" s="7"/>
      <c r="OS12" s="7"/>
      <c r="OT12" s="7"/>
      <c r="OU12" s="7"/>
      <c r="OV12" s="7"/>
      <c r="OW12" s="7"/>
      <c r="OX12" s="7"/>
      <c r="OY12" s="7"/>
      <c r="OZ12" s="7"/>
      <c r="PA12" s="7"/>
      <c r="PB12" s="7"/>
      <c r="PC12" s="7"/>
      <c r="PD12" s="7"/>
      <c r="PE12" s="7"/>
      <c r="PF12" s="7"/>
      <c r="PG12" s="7"/>
      <c r="PH12" s="7"/>
      <c r="PI12" s="7"/>
      <c r="PJ12" s="7"/>
      <c r="PK12" s="7"/>
      <c r="PL12" s="7"/>
      <c r="PM12" s="7"/>
      <c r="PN12" s="7"/>
      <c r="PO12" s="7"/>
      <c r="PP12" s="7"/>
      <c r="PQ12" s="7"/>
      <c r="PR12" s="7"/>
      <c r="PS12" s="7"/>
      <c r="PT12" s="7"/>
      <c r="PU12" s="7"/>
      <c r="PV12" s="7"/>
      <c r="PW12" s="7"/>
      <c r="PX12" s="7"/>
      <c r="PY12" s="7"/>
      <c r="PZ12" s="7"/>
      <c r="QA12" s="7"/>
      <c r="QB12" s="7"/>
      <c r="QC12" s="7"/>
      <c r="QD12" s="7"/>
      <c r="QE12" s="7"/>
      <c r="QF12" s="7"/>
      <c r="QG12" s="7"/>
      <c r="QH12" s="7"/>
      <c r="QI12" s="7"/>
      <c r="QJ12" s="7"/>
      <c r="QK12" s="7"/>
      <c r="QL12" s="7"/>
      <c r="QM12" s="7"/>
      <c r="QN12" s="7"/>
      <c r="QO12" s="7"/>
      <c r="QP12" s="7"/>
      <c r="QQ12" s="7"/>
      <c r="QR12" s="7"/>
      <c r="QS12" s="7"/>
      <c r="QT12" s="7"/>
      <c r="QU12" s="7"/>
      <c r="QV12" s="7"/>
      <c r="QW12" s="7"/>
      <c r="QX12" s="7"/>
      <c r="QY12" s="7"/>
      <c r="QZ12" s="7"/>
      <c r="RA12" s="7"/>
      <c r="RB12" s="7"/>
      <c r="RC12" s="7"/>
      <c r="RD12" s="7"/>
      <c r="RE12" s="7"/>
      <c r="RF12" s="7"/>
      <c r="RG12" s="7"/>
      <c r="RH12" s="7"/>
      <c r="RI12" s="7"/>
      <c r="RJ12" s="7"/>
      <c r="RK12" s="7"/>
      <c r="RL12" s="7"/>
      <c r="RM12" s="7"/>
      <c r="RN12" s="7"/>
      <c r="RO12" s="7"/>
      <c r="RP12" s="7"/>
      <c r="RQ12" s="7"/>
      <c r="RR12" s="7"/>
      <c r="RS12" s="7"/>
      <c r="RT12" s="7"/>
      <c r="RU12" s="7"/>
      <c r="RV12" s="7"/>
      <c r="RW12" s="7"/>
      <c r="RX12" s="7"/>
      <c r="RY12" s="7"/>
      <c r="RZ12" s="7"/>
      <c r="SA12" s="7"/>
      <c r="SB12" s="7"/>
      <c r="SC12" s="7"/>
      <c r="SD12" s="7"/>
      <c r="SE12" s="7"/>
      <c r="SF12" s="7"/>
      <c r="SG12" s="7"/>
      <c r="SH12" s="7"/>
      <c r="SI12" s="7"/>
      <c r="SJ12" s="7"/>
      <c r="SK12" s="7"/>
      <c r="SL12" s="7"/>
      <c r="SM12" s="7"/>
      <c r="SN12" s="7"/>
      <c r="SO12" s="7"/>
      <c r="SP12" s="7"/>
      <c r="SQ12" s="7"/>
      <c r="SR12" s="7"/>
      <c r="SS12" s="7"/>
      <c r="ST12" s="7"/>
      <c r="SU12" s="7"/>
      <c r="SV12" s="7"/>
      <c r="SW12" s="7"/>
      <c r="SX12" s="7"/>
      <c r="SY12" s="7"/>
      <c r="SZ12" s="7"/>
      <c r="TA12" s="7"/>
      <c r="TB12" s="7"/>
      <c r="TC12" s="7"/>
      <c r="TD12" s="7"/>
      <c r="TE12" s="7"/>
      <c r="TF12" s="7"/>
      <c r="TG12" s="7"/>
      <c r="TH12" s="7"/>
      <c r="TI12" s="7"/>
      <c r="TJ12" s="7"/>
      <c r="TK12" s="7"/>
      <c r="TL12" s="7"/>
      <c r="TM12" s="7"/>
      <c r="TN12" s="7"/>
      <c r="TO12" s="7"/>
      <c r="TP12" s="7"/>
      <c r="TQ12" s="7"/>
      <c r="TR12" s="7"/>
      <c r="TS12" s="7"/>
      <c r="TT12" s="7"/>
      <c r="TU12" s="7"/>
      <c r="TV12" s="7"/>
      <c r="TW12" s="7"/>
      <c r="TX12" s="7"/>
      <c r="TY12" s="7"/>
      <c r="TZ12" s="7"/>
      <c r="UA12" s="7"/>
      <c r="UB12" s="7"/>
      <c r="UC12" s="7"/>
      <c r="UD12" s="7"/>
      <c r="UE12" s="7"/>
      <c r="UF12" s="7"/>
      <c r="UG12" s="7"/>
      <c r="UH12" s="7"/>
      <c r="UI12" s="7"/>
      <c r="UJ12" s="7"/>
      <c r="UK12" s="7"/>
      <c r="UL12" s="7"/>
      <c r="UM12" s="7"/>
      <c r="UN12" s="7"/>
      <c r="UO12" s="7"/>
      <c r="UP12" s="7"/>
      <c r="UQ12" s="7"/>
      <c r="UR12" s="7"/>
      <c r="US12" s="7"/>
      <c r="UT12" s="7"/>
      <c r="UU12" s="7"/>
      <c r="UV12" s="7"/>
      <c r="UW12" s="7"/>
      <c r="UX12" s="7"/>
      <c r="UY12" s="7"/>
      <c r="UZ12" s="7"/>
      <c r="VA12" s="7"/>
      <c r="VB12" s="7"/>
      <c r="VC12" s="7"/>
      <c r="VD12" s="7"/>
      <c r="VE12" s="7"/>
      <c r="VF12" s="7"/>
      <c r="VG12" s="7"/>
      <c r="VH12" s="7"/>
      <c r="VI12" s="7"/>
      <c r="VJ12" s="7"/>
      <c r="VK12" s="7"/>
      <c r="VL12" s="7"/>
      <c r="VM12" s="7"/>
      <c r="VN12" s="7"/>
      <c r="VO12" s="7"/>
      <c r="VP12" s="7"/>
      <c r="VQ12" s="7"/>
      <c r="VR12" s="7"/>
      <c r="VS12" s="7"/>
      <c r="VT12" s="7"/>
      <c r="VU12" s="7"/>
      <c r="VV12" s="7"/>
      <c r="VW12" s="7"/>
      <c r="VX12" s="7"/>
      <c r="VY12" s="7"/>
      <c r="VZ12" s="7"/>
      <c r="WA12" s="7"/>
      <c r="WB12" s="7"/>
      <c r="WC12" s="7"/>
      <c r="WD12" s="7"/>
      <c r="WE12" s="7"/>
      <c r="WF12" s="7"/>
      <c r="WG12" s="7"/>
      <c r="WH12" s="7"/>
      <c r="WI12" s="7"/>
      <c r="WJ12" s="7"/>
      <c r="WK12" s="7"/>
      <c r="WL12" s="7"/>
      <c r="WM12" s="7"/>
      <c r="WN12" s="7"/>
      <c r="WO12" s="7"/>
      <c r="WP12" s="7"/>
      <c r="WQ12" s="7"/>
      <c r="WR12" s="7"/>
      <c r="WS12" s="7"/>
      <c r="WT12" s="7"/>
      <c r="WU12" s="7"/>
      <c r="WV12" s="7"/>
      <c r="WW12" s="7"/>
      <c r="WX12" s="7"/>
      <c r="WY12" s="7"/>
      <c r="WZ12" s="7"/>
      <c r="XA12" s="7"/>
      <c r="XB12" s="7"/>
      <c r="XC12" s="7"/>
      <c r="XD12" s="7"/>
      <c r="XE12" s="7"/>
      <c r="XF12" s="7"/>
      <c r="XG12" s="7"/>
      <c r="XH12" s="7"/>
      <c r="XI12" s="7"/>
      <c r="XJ12" s="7"/>
      <c r="XK12" s="7"/>
      <c r="XL12" s="7"/>
      <c r="XM12" s="7"/>
      <c r="XN12" s="7"/>
      <c r="XO12" s="7"/>
      <c r="XP12" s="7"/>
      <c r="XQ12" s="7"/>
      <c r="XR12" s="7"/>
      <c r="XS12" s="7"/>
      <c r="XT12" s="7"/>
      <c r="XU12" s="7"/>
      <c r="XV12" s="7"/>
      <c r="XW12" s="7"/>
      <c r="XX12" s="7"/>
      <c r="XY12" s="7"/>
      <c r="XZ12" s="7"/>
      <c r="YA12" s="7"/>
      <c r="YB12" s="7"/>
      <c r="YC12" s="7"/>
      <c r="YD12" s="7"/>
      <c r="YE12" s="7"/>
      <c r="YF12" s="7"/>
      <c r="YG12" s="7"/>
      <c r="YH12" s="7"/>
      <c r="YI12" s="7"/>
      <c r="YJ12" s="7"/>
      <c r="YK12" s="7"/>
      <c r="YL12" s="7"/>
      <c r="YM12" s="7"/>
      <c r="YN12" s="7"/>
      <c r="YO12" s="7"/>
      <c r="YP12" s="7"/>
      <c r="YQ12" s="7"/>
      <c r="YR12" s="7"/>
      <c r="YS12" s="7"/>
      <c r="YT12" s="7"/>
      <c r="YU12" s="7"/>
      <c r="YV12" s="7"/>
      <c r="YW12" s="7"/>
      <c r="YX12" s="7"/>
      <c r="YY12" s="7"/>
      <c r="YZ12" s="7"/>
      <c r="ZA12" s="7"/>
      <c r="ZB12" s="7"/>
      <c r="ZC12" s="7"/>
      <c r="ZD12" s="7"/>
      <c r="ZE12" s="7"/>
      <c r="ZF12" s="7"/>
      <c r="ZG12" s="7"/>
      <c r="ZH12" s="7"/>
      <c r="ZI12" s="7"/>
      <c r="ZJ12" s="7"/>
      <c r="ZK12" s="7"/>
      <c r="ZL12" s="7"/>
      <c r="ZM12" s="7"/>
      <c r="ZN12" s="7"/>
      <c r="ZO12" s="7"/>
      <c r="ZP12" s="7"/>
      <c r="ZQ12" s="7"/>
      <c r="ZR12" s="7"/>
      <c r="ZS12" s="7"/>
      <c r="ZT12" s="7"/>
      <c r="ZU12" s="7"/>
      <c r="ZV12" s="7"/>
      <c r="ZW12" s="7"/>
      <c r="ZX12" s="7"/>
      <c r="ZY12" s="7"/>
      <c r="ZZ12" s="7"/>
      <c r="AAA12" s="7"/>
      <c r="AAB12" s="7"/>
      <c r="AAC12" s="7"/>
      <c r="AAD12" s="7"/>
      <c r="AAE12" s="7"/>
      <c r="AAF12" s="7"/>
      <c r="AAG12" s="7"/>
      <c r="AAH12" s="7"/>
      <c r="AAI12" s="7"/>
      <c r="AAJ12" s="7"/>
      <c r="AAK12" s="7"/>
      <c r="AAL12" s="7"/>
      <c r="AAM12" s="7"/>
      <c r="AAN12" s="7"/>
      <c r="AAO12" s="7"/>
      <c r="AAP12" s="7"/>
      <c r="AAQ12" s="7"/>
      <c r="AAR12" s="7"/>
      <c r="AAS12" s="7"/>
      <c r="AAT12" s="7"/>
      <c r="AAU12" s="7"/>
      <c r="AAV12" s="7"/>
      <c r="AAW12" s="7"/>
      <c r="AAX12" s="7"/>
      <c r="AAY12" s="7"/>
      <c r="AAZ12" s="7"/>
      <c r="ABA12" s="7"/>
      <c r="ABB12" s="7"/>
      <c r="ABC12" s="7"/>
      <c r="ABD12" s="7"/>
      <c r="ABE12" s="7"/>
      <c r="ABF12" s="7"/>
      <c r="ABG12" s="7"/>
      <c r="ABH12" s="7"/>
      <c r="ABI12" s="7"/>
      <c r="ABJ12" s="7"/>
      <c r="ABK12" s="7"/>
      <c r="ABL12" s="7"/>
      <c r="ABM12" s="7"/>
      <c r="ABN12" s="7"/>
      <c r="ABO12" s="7"/>
      <c r="ABP12" s="7"/>
      <c r="ABQ12" s="7"/>
      <c r="ABR12" s="7"/>
      <c r="ABS12" s="7"/>
      <c r="ABT12" s="7"/>
      <c r="ABU12" s="7"/>
      <c r="ABV12" s="7"/>
      <c r="ABW12" s="7"/>
      <c r="ABX12" s="7"/>
      <c r="ABY12" s="7"/>
      <c r="ABZ12" s="7"/>
      <c r="ACA12" s="7"/>
      <c r="ACB12" s="7"/>
      <c r="ACC12" s="7"/>
      <c r="ACD12" s="7"/>
      <c r="ACE12" s="7"/>
      <c r="ACF12" s="7"/>
      <c r="ACG12" s="7"/>
      <c r="ACH12" s="7"/>
      <c r="ACI12" s="7"/>
      <c r="ACJ12" s="7"/>
      <c r="ACK12" s="7"/>
      <c r="ACL12" s="7"/>
      <c r="ACM12" s="7"/>
      <c r="ACN12" s="7"/>
      <c r="ACO12" s="7"/>
      <c r="ACP12" s="7"/>
      <c r="ACQ12" s="7"/>
      <c r="ACR12" s="7"/>
      <c r="ACS12" s="7"/>
      <c r="ACT12" s="7"/>
      <c r="ACU12" s="7"/>
      <c r="ACV12" s="7"/>
      <c r="ACW12" s="7"/>
      <c r="ACX12" s="7"/>
      <c r="ACY12" s="7"/>
      <c r="ACZ12" s="7"/>
      <c r="ADA12" s="7"/>
      <c r="ADB12" s="7"/>
      <c r="ADC12" s="7"/>
      <c r="ADD12" s="7"/>
      <c r="ADE12" s="7"/>
      <c r="ADF12" s="7"/>
      <c r="ADG12" s="7"/>
      <c r="ADH12" s="7"/>
      <c r="ADI12" s="7"/>
      <c r="ADJ12" s="7"/>
      <c r="ADK12" s="7"/>
      <c r="ADL12" s="7"/>
      <c r="ADM12" s="7"/>
      <c r="ADN12" s="7"/>
      <c r="ADO12" s="7"/>
      <c r="ADP12" s="7"/>
      <c r="ADQ12" s="7"/>
      <c r="ADR12" s="7"/>
      <c r="ADS12" s="7"/>
      <c r="ADT12" s="7"/>
      <c r="ADU12" s="7"/>
      <c r="ADV12" s="7"/>
      <c r="ADW12" s="7"/>
      <c r="ADX12" s="7"/>
      <c r="ADY12" s="7"/>
      <c r="ADZ12" s="7"/>
      <c r="AEA12" s="7"/>
      <c r="AEB12" s="7"/>
      <c r="AEC12" s="7"/>
      <c r="AED12" s="7"/>
      <c r="AEE12" s="7"/>
      <c r="AEF12" s="7"/>
      <c r="AEG12" s="7"/>
      <c r="AEH12" s="7"/>
      <c r="AEI12" s="7"/>
      <c r="AEJ12" s="7"/>
      <c r="AEK12" s="7"/>
      <c r="AEL12" s="7"/>
      <c r="AEM12" s="7"/>
      <c r="AEN12" s="7"/>
      <c r="AEO12" s="7"/>
      <c r="AEP12" s="7"/>
      <c r="AEQ12" s="7"/>
      <c r="AER12" s="7"/>
      <c r="AES12" s="7"/>
      <c r="AET12" s="7"/>
      <c r="AEU12" s="7"/>
      <c r="AEV12" s="7"/>
      <c r="AEW12" s="7"/>
      <c r="AEX12" s="7"/>
      <c r="AEY12" s="7"/>
      <c r="AEZ12" s="7"/>
      <c r="AFA12" s="7"/>
      <c r="AFB12" s="7"/>
      <c r="AFC12" s="7"/>
      <c r="AFD12" s="7"/>
      <c r="AFE12" s="7"/>
      <c r="AFF12" s="7"/>
      <c r="AFG12" s="7"/>
      <c r="AFH12" s="7"/>
      <c r="AFI12" s="7"/>
      <c r="AFJ12" s="7"/>
      <c r="AFK12" s="7"/>
      <c r="AFL12" s="7"/>
      <c r="AFM12" s="7"/>
      <c r="AFN12" s="7"/>
      <c r="AFO12" s="7"/>
      <c r="AFP12" s="7"/>
      <c r="AFQ12" s="7"/>
      <c r="AFR12" s="7"/>
      <c r="AFS12" s="7"/>
      <c r="AFT12" s="7"/>
      <c r="AFU12" s="7"/>
      <c r="AFV12" s="7"/>
      <c r="AFW12" s="7"/>
      <c r="AFX12" s="7"/>
      <c r="AFY12" s="7"/>
      <c r="AFZ12" s="7"/>
      <c r="AGA12" s="7"/>
      <c r="AGB12" s="7"/>
      <c r="AGC12" s="7"/>
      <c r="AGD12" s="7"/>
      <c r="AGE12" s="7"/>
      <c r="AGF12" s="7"/>
      <c r="AGG12" s="7"/>
      <c r="AGH12" s="7"/>
      <c r="AGI12" s="7"/>
      <c r="AGJ12" s="7"/>
      <c r="AGK12" s="7"/>
      <c r="AGL12" s="7"/>
      <c r="AGM12" s="7"/>
      <c r="AGN12" s="7"/>
      <c r="AGO12" s="7"/>
      <c r="AGP12" s="7"/>
      <c r="AGQ12" s="7"/>
      <c r="AGR12" s="7"/>
      <c r="AGS12" s="7"/>
      <c r="AGT12" s="7"/>
      <c r="AGU12" s="7"/>
      <c r="AGV12" s="7"/>
      <c r="AGW12" s="7"/>
      <c r="AGX12" s="7"/>
      <c r="AGY12" s="7"/>
      <c r="AGZ12" s="7"/>
      <c r="AHA12" s="7"/>
      <c r="AHB12" s="7"/>
      <c r="AHC12" s="7"/>
      <c r="AHD12" s="7"/>
      <c r="AHE12" s="7"/>
      <c r="AHF12" s="7"/>
      <c r="AHG12" s="7"/>
      <c r="AHH12" s="7"/>
      <c r="AHI12" s="7"/>
      <c r="AHJ12" s="7"/>
      <c r="AHK12" s="7"/>
      <c r="AHL12" s="7"/>
      <c r="AHM12" s="7"/>
      <c r="AHN12" s="7"/>
      <c r="AHO12" s="7"/>
      <c r="AHP12" s="7"/>
      <c r="AHQ12" s="7"/>
      <c r="AHR12" s="7"/>
      <c r="AHS12" s="7"/>
      <c r="AHT12" s="7"/>
      <c r="AHU12" s="7"/>
      <c r="AHV12" s="7"/>
      <c r="AHW12" s="7"/>
      <c r="AHX12" s="7"/>
      <c r="AHY12" s="7"/>
      <c r="AHZ12" s="7"/>
      <c r="AIA12" s="7"/>
      <c r="AIB12" s="7"/>
      <c r="AIC12" s="7"/>
      <c r="AID12" s="7"/>
      <c r="AIE12" s="7"/>
      <c r="AIF12" s="7"/>
      <c r="AIG12" s="7"/>
      <c r="AIH12" s="7"/>
      <c r="AII12" s="7"/>
      <c r="AIJ12" s="7"/>
      <c r="AIK12" s="7"/>
      <c r="AIL12" s="7"/>
      <c r="AIM12" s="7"/>
      <c r="AIN12" s="7"/>
      <c r="AIO12" s="7"/>
      <c r="AIP12" s="7"/>
      <c r="AIQ12" s="7"/>
      <c r="AIR12" s="7"/>
      <c r="AIS12" s="7"/>
      <c r="AIT12" s="7"/>
      <c r="AIU12" s="7"/>
      <c r="AIV12" s="7"/>
      <c r="AIW12" s="7"/>
      <c r="AIX12" s="7"/>
      <c r="AIY12" s="7"/>
      <c r="AIZ12" s="7"/>
      <c r="AJA12" s="7"/>
      <c r="AJB12" s="7"/>
      <c r="AJC12" s="7"/>
      <c r="AJD12" s="7"/>
      <c r="AJE12" s="7"/>
      <c r="AJF12" s="7"/>
      <c r="AJG12" s="7"/>
      <c r="AJH12" s="7"/>
      <c r="AJI12" s="7"/>
      <c r="AJJ12" s="7"/>
      <c r="AJK12" s="7"/>
      <c r="AJL12" s="7"/>
      <c r="AJM12" s="7"/>
      <c r="AJN12" s="7"/>
      <c r="AJO12" s="7"/>
      <c r="AJP12" s="7"/>
      <c r="AJQ12" s="7"/>
      <c r="AJR12" s="7"/>
      <c r="AJS12" s="7"/>
      <c r="AJT12" s="7"/>
      <c r="AJU12" s="7"/>
      <c r="AJV12" s="7"/>
      <c r="AJW12" s="7"/>
      <c r="AJX12" s="7"/>
      <c r="AJY12" s="7"/>
      <c r="AJZ12" s="7"/>
      <c r="AKA12" s="7"/>
      <c r="AKB12" s="7"/>
      <c r="AKC12" s="7"/>
      <c r="AKD12" s="7"/>
      <c r="AKE12" s="7"/>
      <c r="AKF12" s="7"/>
      <c r="AKG12" s="7"/>
      <c r="AKH12" s="7"/>
      <c r="AKI12" s="7"/>
      <c r="AKJ12" s="7"/>
      <c r="AKK12" s="7"/>
      <c r="AKL12" s="7"/>
      <c r="AKM12" s="7"/>
      <c r="AKN12" s="7"/>
      <c r="AKO12" s="7"/>
      <c r="AKP12" s="7"/>
      <c r="AKQ12" s="7"/>
      <c r="AKR12" s="7"/>
      <c r="AKS12" s="7"/>
      <c r="AKT12" s="7"/>
      <c r="AKU12" s="7"/>
      <c r="AKV12" s="7"/>
      <c r="AKW12" s="7"/>
      <c r="AKX12" s="7"/>
      <c r="AKY12" s="7"/>
      <c r="AKZ12" s="7"/>
      <c r="ALA12" s="7"/>
      <c r="ALB12" s="7"/>
      <c r="ALC12" s="7"/>
      <c r="ALD12" s="7"/>
      <c r="ALE12" s="7"/>
      <c r="ALF12" s="7"/>
      <c r="ALG12" s="7"/>
      <c r="ALH12" s="7"/>
      <c r="ALI12" s="7"/>
      <c r="ALJ12" s="7"/>
      <c r="ALK12" s="7"/>
      <c r="ALL12" s="7"/>
      <c r="ALM12" s="7"/>
      <c r="ALN12" s="7"/>
      <c r="ALO12" s="7"/>
      <c r="ALP12" s="7"/>
      <c r="ALQ12" s="7"/>
      <c r="ALR12" s="7"/>
      <c r="ALS12" s="7"/>
      <c r="ALT12" s="7"/>
      <c r="ALU12" s="7"/>
      <c r="ALV12" s="7"/>
      <c r="ALW12" s="7"/>
      <c r="ALX12" s="7"/>
      <c r="ALY12" s="7"/>
      <c r="ALZ12" s="7"/>
      <c r="AMA12" s="7"/>
      <c r="AMB12" s="7"/>
      <c r="AMC12" s="7"/>
      <c r="AMD12" s="7"/>
      <c r="AME12" s="7"/>
      <c r="AMF12" s="7"/>
      <c r="AMG12" s="7"/>
      <c r="AMH12" s="7"/>
      <c r="AMI12" s="7"/>
      <c r="AMJ12" s="7"/>
    </row>
    <row r="13" customFormat="false" ht="15.8" hidden="false" customHeight="false" outlineLevel="0" collapsed="false">
      <c r="A13" s="6"/>
      <c r="B13" s="7"/>
      <c r="C13" s="6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  <c r="EK13" s="7"/>
      <c r="EL13" s="7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  <c r="FH13" s="7"/>
      <c r="FI13" s="7"/>
      <c r="FJ13" s="7"/>
      <c r="FK13" s="7"/>
      <c r="FL13" s="7"/>
      <c r="FM13" s="7"/>
      <c r="FN13" s="7"/>
      <c r="FO13" s="7"/>
      <c r="FP13" s="7"/>
      <c r="FQ13" s="7"/>
      <c r="FR13" s="7"/>
      <c r="FS13" s="7"/>
      <c r="FT13" s="7"/>
      <c r="FU13" s="7"/>
      <c r="FV13" s="7"/>
      <c r="FW13" s="7"/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J13" s="7"/>
      <c r="GK13" s="7"/>
      <c r="GL13" s="7"/>
      <c r="GM13" s="7"/>
      <c r="GN13" s="7"/>
      <c r="GO13" s="7"/>
      <c r="GP13" s="7"/>
      <c r="GQ13" s="7"/>
      <c r="GR13" s="7"/>
      <c r="GS13" s="7"/>
      <c r="GT13" s="7"/>
      <c r="GU13" s="7"/>
      <c r="GV13" s="7"/>
      <c r="GW13" s="7"/>
      <c r="GX13" s="7"/>
      <c r="GY13" s="7"/>
      <c r="GZ13" s="7"/>
      <c r="HA13" s="7"/>
      <c r="HB13" s="7"/>
      <c r="HC13" s="7"/>
      <c r="HD13" s="7"/>
      <c r="HE13" s="7"/>
      <c r="HF13" s="7"/>
      <c r="HG13" s="7"/>
      <c r="HH13" s="7"/>
      <c r="HI13" s="7"/>
      <c r="HJ13" s="7"/>
      <c r="HK13" s="7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  <c r="IG13" s="7"/>
      <c r="IH13" s="7"/>
      <c r="II13" s="7"/>
      <c r="IJ13" s="7"/>
      <c r="IK13" s="7"/>
      <c r="IL13" s="7"/>
      <c r="IM13" s="7"/>
      <c r="IN13" s="7"/>
      <c r="IO13" s="7"/>
      <c r="IP13" s="7"/>
      <c r="IQ13" s="7"/>
      <c r="IR13" s="7"/>
      <c r="IS13" s="7"/>
      <c r="IT13" s="7"/>
      <c r="IU13" s="7"/>
      <c r="IV13" s="7"/>
      <c r="IW13" s="7"/>
      <c r="IX13" s="7"/>
      <c r="IY13" s="7"/>
      <c r="IZ13" s="7"/>
      <c r="JA13" s="7"/>
      <c r="JB13" s="7"/>
      <c r="JC13" s="7"/>
      <c r="JD13" s="7"/>
      <c r="JE13" s="7"/>
      <c r="JF13" s="7"/>
      <c r="JG13" s="7"/>
      <c r="JH13" s="7"/>
      <c r="JI13" s="7"/>
      <c r="JJ13" s="7"/>
      <c r="JK13" s="7"/>
      <c r="JL13" s="7"/>
      <c r="JM13" s="7"/>
      <c r="JN13" s="7"/>
      <c r="JO13" s="7"/>
      <c r="JP13" s="7"/>
      <c r="JQ13" s="7"/>
      <c r="JR13" s="7"/>
      <c r="JS13" s="7"/>
      <c r="JT13" s="7"/>
      <c r="JU13" s="7"/>
      <c r="JV13" s="7"/>
      <c r="JW13" s="7"/>
      <c r="JX13" s="7"/>
      <c r="JY13" s="7"/>
      <c r="JZ13" s="7"/>
      <c r="KA13" s="7"/>
      <c r="KB13" s="7"/>
      <c r="KC13" s="7"/>
      <c r="KD13" s="7"/>
      <c r="KE13" s="7"/>
      <c r="KF13" s="7"/>
      <c r="KG13" s="7"/>
      <c r="KH13" s="7"/>
      <c r="KI13" s="7"/>
      <c r="KJ13" s="7"/>
      <c r="KK13" s="7"/>
      <c r="KL13" s="7"/>
      <c r="KM13" s="7"/>
      <c r="KN13" s="7"/>
      <c r="KO13" s="7"/>
      <c r="KP13" s="7"/>
      <c r="KQ13" s="7"/>
      <c r="KR13" s="7"/>
      <c r="KS13" s="7"/>
      <c r="KT13" s="7"/>
      <c r="KU13" s="7"/>
      <c r="KV13" s="7"/>
      <c r="KW13" s="7"/>
      <c r="KX13" s="7"/>
      <c r="KY13" s="7"/>
      <c r="KZ13" s="7"/>
      <c r="LA13" s="7"/>
      <c r="LB13" s="7"/>
      <c r="LC13" s="7"/>
      <c r="LD13" s="7"/>
      <c r="LE13" s="7"/>
      <c r="LF13" s="7"/>
      <c r="LG13" s="7"/>
      <c r="LH13" s="7"/>
      <c r="LI13" s="7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  <c r="LU13" s="7"/>
      <c r="LV13" s="7"/>
      <c r="LW13" s="7"/>
      <c r="LX13" s="7"/>
      <c r="LY13" s="7"/>
      <c r="LZ13" s="7"/>
      <c r="MA13" s="7"/>
      <c r="MB13" s="7"/>
      <c r="MC13" s="7"/>
      <c r="MD13" s="7"/>
      <c r="ME13" s="7"/>
      <c r="MF13" s="7"/>
      <c r="MG13" s="7"/>
      <c r="MH13" s="7"/>
      <c r="MI13" s="7"/>
      <c r="MJ13" s="7"/>
      <c r="MK13" s="7"/>
      <c r="ML13" s="7"/>
      <c r="MM13" s="7"/>
      <c r="MN13" s="7"/>
      <c r="MO13" s="7"/>
      <c r="MP13" s="7"/>
      <c r="MQ13" s="7"/>
      <c r="MR13" s="7"/>
      <c r="MS13" s="7"/>
      <c r="MT13" s="7"/>
      <c r="MU13" s="7"/>
      <c r="MV13" s="7"/>
      <c r="MW13" s="7"/>
      <c r="MX13" s="7"/>
      <c r="MY13" s="7"/>
      <c r="MZ13" s="7"/>
      <c r="NA13" s="7"/>
      <c r="NB13" s="7"/>
      <c r="NC13" s="7"/>
      <c r="ND13" s="7"/>
      <c r="NE13" s="7"/>
      <c r="NF13" s="7"/>
      <c r="NG13" s="7"/>
      <c r="NH13" s="7"/>
      <c r="NI13" s="7"/>
      <c r="NJ13" s="7"/>
      <c r="NK13" s="7"/>
      <c r="NL13" s="7"/>
      <c r="NM13" s="7"/>
      <c r="NN13" s="7"/>
      <c r="NO13" s="7"/>
      <c r="NP13" s="7"/>
      <c r="NQ13" s="7"/>
      <c r="NR13" s="7"/>
      <c r="NS13" s="7"/>
      <c r="NT13" s="7"/>
      <c r="NU13" s="7"/>
      <c r="NV13" s="7"/>
      <c r="NW13" s="7"/>
      <c r="NX13" s="7"/>
      <c r="NY13" s="7"/>
      <c r="NZ13" s="7"/>
      <c r="OA13" s="7"/>
      <c r="OB13" s="7"/>
      <c r="OC13" s="7"/>
      <c r="OD13" s="7"/>
      <c r="OE13" s="7"/>
      <c r="OF13" s="7"/>
      <c r="OG13" s="7"/>
      <c r="OH13" s="7"/>
      <c r="OI13" s="7"/>
      <c r="OJ13" s="7"/>
      <c r="OK13" s="7"/>
      <c r="OL13" s="7"/>
      <c r="OM13" s="7"/>
      <c r="ON13" s="7"/>
      <c r="OO13" s="7"/>
      <c r="OP13" s="7"/>
      <c r="OQ13" s="7"/>
      <c r="OR13" s="7"/>
      <c r="OS13" s="7"/>
      <c r="OT13" s="7"/>
      <c r="OU13" s="7"/>
      <c r="OV13" s="7"/>
      <c r="OW13" s="7"/>
      <c r="OX13" s="7"/>
      <c r="OY13" s="7"/>
      <c r="OZ13" s="7"/>
      <c r="PA13" s="7"/>
      <c r="PB13" s="7"/>
      <c r="PC13" s="7"/>
      <c r="PD13" s="7"/>
      <c r="PE13" s="7"/>
      <c r="PF13" s="7"/>
      <c r="PG13" s="7"/>
      <c r="PH13" s="7"/>
      <c r="PI13" s="7"/>
      <c r="PJ13" s="7"/>
      <c r="PK13" s="7"/>
      <c r="PL13" s="7"/>
      <c r="PM13" s="7"/>
      <c r="PN13" s="7"/>
      <c r="PO13" s="7"/>
      <c r="PP13" s="7"/>
      <c r="PQ13" s="7"/>
      <c r="PR13" s="7"/>
      <c r="PS13" s="7"/>
      <c r="PT13" s="7"/>
      <c r="PU13" s="7"/>
      <c r="PV13" s="7"/>
      <c r="PW13" s="7"/>
      <c r="PX13" s="7"/>
      <c r="PY13" s="7"/>
      <c r="PZ13" s="7"/>
      <c r="QA13" s="7"/>
      <c r="QB13" s="7"/>
      <c r="QC13" s="7"/>
      <c r="QD13" s="7"/>
      <c r="QE13" s="7"/>
      <c r="QF13" s="7"/>
      <c r="QG13" s="7"/>
      <c r="QH13" s="7"/>
      <c r="QI13" s="7"/>
      <c r="QJ13" s="7"/>
      <c r="QK13" s="7"/>
      <c r="QL13" s="7"/>
      <c r="QM13" s="7"/>
      <c r="QN13" s="7"/>
      <c r="QO13" s="7"/>
      <c r="QP13" s="7"/>
      <c r="QQ13" s="7"/>
      <c r="QR13" s="7"/>
      <c r="QS13" s="7"/>
      <c r="QT13" s="7"/>
      <c r="QU13" s="7"/>
      <c r="QV13" s="7"/>
      <c r="QW13" s="7"/>
      <c r="QX13" s="7"/>
      <c r="QY13" s="7"/>
      <c r="QZ13" s="7"/>
      <c r="RA13" s="7"/>
      <c r="RB13" s="7"/>
      <c r="RC13" s="7"/>
      <c r="RD13" s="7"/>
      <c r="RE13" s="7"/>
      <c r="RF13" s="7"/>
      <c r="RG13" s="7"/>
      <c r="RH13" s="7"/>
      <c r="RI13" s="7"/>
      <c r="RJ13" s="7"/>
      <c r="RK13" s="7"/>
      <c r="RL13" s="7"/>
      <c r="RM13" s="7"/>
      <c r="RN13" s="7"/>
      <c r="RO13" s="7"/>
      <c r="RP13" s="7"/>
      <c r="RQ13" s="7"/>
      <c r="RR13" s="7"/>
      <c r="RS13" s="7"/>
      <c r="RT13" s="7"/>
      <c r="RU13" s="7"/>
      <c r="RV13" s="7"/>
      <c r="RW13" s="7"/>
      <c r="RX13" s="7"/>
      <c r="RY13" s="7"/>
      <c r="RZ13" s="7"/>
      <c r="SA13" s="7"/>
      <c r="SB13" s="7"/>
      <c r="SC13" s="7"/>
      <c r="SD13" s="7"/>
      <c r="SE13" s="7"/>
      <c r="SF13" s="7"/>
      <c r="SG13" s="7"/>
      <c r="SH13" s="7"/>
      <c r="SI13" s="7"/>
      <c r="SJ13" s="7"/>
      <c r="SK13" s="7"/>
      <c r="SL13" s="7"/>
      <c r="SM13" s="7"/>
      <c r="SN13" s="7"/>
      <c r="SO13" s="7"/>
      <c r="SP13" s="7"/>
      <c r="SQ13" s="7"/>
      <c r="SR13" s="7"/>
      <c r="SS13" s="7"/>
      <c r="ST13" s="7"/>
      <c r="SU13" s="7"/>
      <c r="SV13" s="7"/>
      <c r="SW13" s="7"/>
      <c r="SX13" s="7"/>
      <c r="SY13" s="7"/>
      <c r="SZ13" s="7"/>
      <c r="TA13" s="7"/>
      <c r="TB13" s="7"/>
      <c r="TC13" s="7"/>
      <c r="TD13" s="7"/>
      <c r="TE13" s="7"/>
      <c r="TF13" s="7"/>
      <c r="TG13" s="7"/>
      <c r="TH13" s="7"/>
      <c r="TI13" s="7"/>
      <c r="TJ13" s="7"/>
      <c r="TK13" s="7"/>
      <c r="TL13" s="7"/>
      <c r="TM13" s="7"/>
      <c r="TN13" s="7"/>
      <c r="TO13" s="7"/>
      <c r="TP13" s="7"/>
      <c r="TQ13" s="7"/>
      <c r="TR13" s="7"/>
      <c r="TS13" s="7"/>
      <c r="TT13" s="7"/>
      <c r="TU13" s="7"/>
      <c r="TV13" s="7"/>
      <c r="TW13" s="7"/>
      <c r="TX13" s="7"/>
      <c r="TY13" s="7"/>
      <c r="TZ13" s="7"/>
      <c r="UA13" s="7"/>
      <c r="UB13" s="7"/>
      <c r="UC13" s="7"/>
      <c r="UD13" s="7"/>
      <c r="UE13" s="7"/>
      <c r="UF13" s="7"/>
      <c r="UG13" s="7"/>
      <c r="UH13" s="7"/>
      <c r="UI13" s="7"/>
      <c r="UJ13" s="7"/>
      <c r="UK13" s="7"/>
      <c r="UL13" s="7"/>
      <c r="UM13" s="7"/>
      <c r="UN13" s="7"/>
      <c r="UO13" s="7"/>
      <c r="UP13" s="7"/>
      <c r="UQ13" s="7"/>
      <c r="UR13" s="7"/>
      <c r="US13" s="7"/>
      <c r="UT13" s="7"/>
      <c r="UU13" s="7"/>
      <c r="UV13" s="7"/>
      <c r="UW13" s="7"/>
      <c r="UX13" s="7"/>
      <c r="UY13" s="7"/>
      <c r="UZ13" s="7"/>
      <c r="VA13" s="7"/>
      <c r="VB13" s="7"/>
      <c r="VC13" s="7"/>
      <c r="VD13" s="7"/>
      <c r="VE13" s="7"/>
      <c r="VF13" s="7"/>
      <c r="VG13" s="7"/>
      <c r="VH13" s="7"/>
      <c r="VI13" s="7"/>
      <c r="VJ13" s="7"/>
      <c r="VK13" s="7"/>
      <c r="VL13" s="7"/>
      <c r="VM13" s="7"/>
      <c r="VN13" s="7"/>
      <c r="VO13" s="7"/>
      <c r="VP13" s="7"/>
      <c r="VQ13" s="7"/>
      <c r="VR13" s="7"/>
      <c r="VS13" s="7"/>
      <c r="VT13" s="7"/>
      <c r="VU13" s="7"/>
      <c r="VV13" s="7"/>
      <c r="VW13" s="7"/>
      <c r="VX13" s="7"/>
      <c r="VY13" s="7"/>
      <c r="VZ13" s="7"/>
      <c r="WA13" s="7"/>
      <c r="WB13" s="7"/>
      <c r="WC13" s="7"/>
      <c r="WD13" s="7"/>
      <c r="WE13" s="7"/>
      <c r="WF13" s="7"/>
      <c r="WG13" s="7"/>
      <c r="WH13" s="7"/>
      <c r="WI13" s="7"/>
      <c r="WJ13" s="7"/>
      <c r="WK13" s="7"/>
      <c r="WL13" s="7"/>
      <c r="WM13" s="7"/>
      <c r="WN13" s="7"/>
      <c r="WO13" s="7"/>
      <c r="WP13" s="7"/>
      <c r="WQ13" s="7"/>
      <c r="WR13" s="7"/>
      <c r="WS13" s="7"/>
      <c r="WT13" s="7"/>
      <c r="WU13" s="7"/>
      <c r="WV13" s="7"/>
      <c r="WW13" s="7"/>
      <c r="WX13" s="7"/>
      <c r="WY13" s="7"/>
      <c r="WZ13" s="7"/>
      <c r="XA13" s="7"/>
      <c r="XB13" s="7"/>
      <c r="XC13" s="7"/>
      <c r="XD13" s="7"/>
      <c r="XE13" s="7"/>
      <c r="XF13" s="7"/>
      <c r="XG13" s="7"/>
      <c r="XH13" s="7"/>
      <c r="XI13" s="7"/>
      <c r="XJ13" s="7"/>
      <c r="XK13" s="7"/>
      <c r="XL13" s="7"/>
      <c r="XM13" s="7"/>
      <c r="XN13" s="7"/>
      <c r="XO13" s="7"/>
      <c r="XP13" s="7"/>
      <c r="XQ13" s="7"/>
      <c r="XR13" s="7"/>
      <c r="XS13" s="7"/>
      <c r="XT13" s="7"/>
      <c r="XU13" s="7"/>
      <c r="XV13" s="7"/>
      <c r="XW13" s="7"/>
      <c r="XX13" s="7"/>
      <c r="XY13" s="7"/>
      <c r="XZ13" s="7"/>
      <c r="YA13" s="7"/>
      <c r="YB13" s="7"/>
      <c r="YC13" s="7"/>
      <c r="YD13" s="7"/>
      <c r="YE13" s="7"/>
      <c r="YF13" s="7"/>
      <c r="YG13" s="7"/>
      <c r="YH13" s="7"/>
      <c r="YI13" s="7"/>
      <c r="YJ13" s="7"/>
      <c r="YK13" s="7"/>
      <c r="YL13" s="7"/>
      <c r="YM13" s="7"/>
      <c r="YN13" s="7"/>
      <c r="YO13" s="7"/>
      <c r="YP13" s="7"/>
      <c r="YQ13" s="7"/>
      <c r="YR13" s="7"/>
      <c r="YS13" s="7"/>
      <c r="YT13" s="7"/>
      <c r="YU13" s="7"/>
      <c r="YV13" s="7"/>
      <c r="YW13" s="7"/>
      <c r="YX13" s="7"/>
      <c r="YY13" s="7"/>
      <c r="YZ13" s="7"/>
      <c r="ZA13" s="7"/>
      <c r="ZB13" s="7"/>
      <c r="ZC13" s="7"/>
      <c r="ZD13" s="7"/>
      <c r="ZE13" s="7"/>
      <c r="ZF13" s="7"/>
      <c r="ZG13" s="7"/>
      <c r="ZH13" s="7"/>
      <c r="ZI13" s="7"/>
      <c r="ZJ13" s="7"/>
      <c r="ZK13" s="7"/>
      <c r="ZL13" s="7"/>
      <c r="ZM13" s="7"/>
      <c r="ZN13" s="7"/>
      <c r="ZO13" s="7"/>
      <c r="ZP13" s="7"/>
      <c r="ZQ13" s="7"/>
      <c r="ZR13" s="7"/>
      <c r="ZS13" s="7"/>
      <c r="ZT13" s="7"/>
      <c r="ZU13" s="7"/>
      <c r="ZV13" s="7"/>
      <c r="ZW13" s="7"/>
      <c r="ZX13" s="7"/>
      <c r="ZY13" s="7"/>
      <c r="ZZ13" s="7"/>
      <c r="AAA13" s="7"/>
      <c r="AAB13" s="7"/>
      <c r="AAC13" s="7"/>
      <c r="AAD13" s="7"/>
      <c r="AAE13" s="7"/>
      <c r="AAF13" s="7"/>
      <c r="AAG13" s="7"/>
      <c r="AAH13" s="7"/>
      <c r="AAI13" s="7"/>
      <c r="AAJ13" s="7"/>
      <c r="AAK13" s="7"/>
      <c r="AAL13" s="7"/>
      <c r="AAM13" s="7"/>
      <c r="AAN13" s="7"/>
      <c r="AAO13" s="7"/>
      <c r="AAP13" s="7"/>
      <c r="AAQ13" s="7"/>
      <c r="AAR13" s="7"/>
      <c r="AAS13" s="7"/>
      <c r="AAT13" s="7"/>
      <c r="AAU13" s="7"/>
      <c r="AAV13" s="7"/>
      <c r="AAW13" s="7"/>
      <c r="AAX13" s="7"/>
      <c r="AAY13" s="7"/>
      <c r="AAZ13" s="7"/>
      <c r="ABA13" s="7"/>
      <c r="ABB13" s="7"/>
      <c r="ABC13" s="7"/>
      <c r="ABD13" s="7"/>
      <c r="ABE13" s="7"/>
      <c r="ABF13" s="7"/>
      <c r="ABG13" s="7"/>
      <c r="ABH13" s="7"/>
      <c r="ABI13" s="7"/>
      <c r="ABJ13" s="7"/>
      <c r="ABK13" s="7"/>
      <c r="ABL13" s="7"/>
      <c r="ABM13" s="7"/>
      <c r="ABN13" s="7"/>
      <c r="ABO13" s="7"/>
      <c r="ABP13" s="7"/>
      <c r="ABQ13" s="7"/>
      <c r="ABR13" s="7"/>
      <c r="ABS13" s="7"/>
      <c r="ABT13" s="7"/>
      <c r="ABU13" s="7"/>
      <c r="ABV13" s="7"/>
      <c r="ABW13" s="7"/>
      <c r="ABX13" s="7"/>
      <c r="ABY13" s="7"/>
      <c r="ABZ13" s="7"/>
      <c r="ACA13" s="7"/>
      <c r="ACB13" s="7"/>
      <c r="ACC13" s="7"/>
      <c r="ACD13" s="7"/>
      <c r="ACE13" s="7"/>
      <c r="ACF13" s="7"/>
      <c r="ACG13" s="7"/>
      <c r="ACH13" s="7"/>
      <c r="ACI13" s="7"/>
      <c r="ACJ13" s="7"/>
      <c r="ACK13" s="7"/>
      <c r="ACL13" s="7"/>
      <c r="ACM13" s="7"/>
      <c r="ACN13" s="7"/>
      <c r="ACO13" s="7"/>
      <c r="ACP13" s="7"/>
      <c r="ACQ13" s="7"/>
      <c r="ACR13" s="7"/>
      <c r="ACS13" s="7"/>
      <c r="ACT13" s="7"/>
      <c r="ACU13" s="7"/>
      <c r="ACV13" s="7"/>
      <c r="ACW13" s="7"/>
      <c r="ACX13" s="7"/>
      <c r="ACY13" s="7"/>
      <c r="ACZ13" s="7"/>
      <c r="ADA13" s="7"/>
      <c r="ADB13" s="7"/>
      <c r="ADC13" s="7"/>
      <c r="ADD13" s="7"/>
      <c r="ADE13" s="7"/>
      <c r="ADF13" s="7"/>
      <c r="ADG13" s="7"/>
      <c r="ADH13" s="7"/>
      <c r="ADI13" s="7"/>
      <c r="ADJ13" s="7"/>
      <c r="ADK13" s="7"/>
      <c r="ADL13" s="7"/>
      <c r="ADM13" s="7"/>
      <c r="ADN13" s="7"/>
      <c r="ADO13" s="7"/>
      <c r="ADP13" s="7"/>
      <c r="ADQ13" s="7"/>
      <c r="ADR13" s="7"/>
      <c r="ADS13" s="7"/>
      <c r="ADT13" s="7"/>
      <c r="ADU13" s="7"/>
      <c r="ADV13" s="7"/>
      <c r="ADW13" s="7"/>
      <c r="ADX13" s="7"/>
      <c r="ADY13" s="7"/>
      <c r="ADZ13" s="7"/>
      <c r="AEA13" s="7"/>
      <c r="AEB13" s="7"/>
      <c r="AEC13" s="7"/>
      <c r="AED13" s="7"/>
      <c r="AEE13" s="7"/>
      <c r="AEF13" s="7"/>
      <c r="AEG13" s="7"/>
      <c r="AEH13" s="7"/>
      <c r="AEI13" s="7"/>
      <c r="AEJ13" s="7"/>
      <c r="AEK13" s="7"/>
      <c r="AEL13" s="7"/>
      <c r="AEM13" s="7"/>
      <c r="AEN13" s="7"/>
      <c r="AEO13" s="7"/>
      <c r="AEP13" s="7"/>
      <c r="AEQ13" s="7"/>
      <c r="AER13" s="7"/>
      <c r="AES13" s="7"/>
      <c r="AET13" s="7"/>
      <c r="AEU13" s="7"/>
      <c r="AEV13" s="7"/>
      <c r="AEW13" s="7"/>
      <c r="AEX13" s="7"/>
      <c r="AEY13" s="7"/>
      <c r="AEZ13" s="7"/>
      <c r="AFA13" s="7"/>
      <c r="AFB13" s="7"/>
      <c r="AFC13" s="7"/>
      <c r="AFD13" s="7"/>
      <c r="AFE13" s="7"/>
      <c r="AFF13" s="7"/>
      <c r="AFG13" s="7"/>
      <c r="AFH13" s="7"/>
      <c r="AFI13" s="7"/>
      <c r="AFJ13" s="7"/>
      <c r="AFK13" s="7"/>
      <c r="AFL13" s="7"/>
      <c r="AFM13" s="7"/>
      <c r="AFN13" s="7"/>
      <c r="AFO13" s="7"/>
      <c r="AFP13" s="7"/>
      <c r="AFQ13" s="7"/>
      <c r="AFR13" s="7"/>
      <c r="AFS13" s="7"/>
      <c r="AFT13" s="7"/>
      <c r="AFU13" s="7"/>
      <c r="AFV13" s="7"/>
      <c r="AFW13" s="7"/>
      <c r="AFX13" s="7"/>
      <c r="AFY13" s="7"/>
      <c r="AFZ13" s="7"/>
      <c r="AGA13" s="7"/>
      <c r="AGB13" s="7"/>
      <c r="AGC13" s="7"/>
      <c r="AGD13" s="7"/>
      <c r="AGE13" s="7"/>
      <c r="AGF13" s="7"/>
      <c r="AGG13" s="7"/>
      <c r="AGH13" s="7"/>
      <c r="AGI13" s="7"/>
      <c r="AGJ13" s="7"/>
      <c r="AGK13" s="7"/>
      <c r="AGL13" s="7"/>
      <c r="AGM13" s="7"/>
      <c r="AGN13" s="7"/>
      <c r="AGO13" s="7"/>
      <c r="AGP13" s="7"/>
      <c r="AGQ13" s="7"/>
      <c r="AGR13" s="7"/>
      <c r="AGS13" s="7"/>
      <c r="AGT13" s="7"/>
      <c r="AGU13" s="7"/>
      <c r="AGV13" s="7"/>
      <c r="AGW13" s="7"/>
      <c r="AGX13" s="7"/>
      <c r="AGY13" s="7"/>
      <c r="AGZ13" s="7"/>
      <c r="AHA13" s="7"/>
      <c r="AHB13" s="7"/>
      <c r="AHC13" s="7"/>
      <c r="AHD13" s="7"/>
      <c r="AHE13" s="7"/>
      <c r="AHF13" s="7"/>
      <c r="AHG13" s="7"/>
      <c r="AHH13" s="7"/>
      <c r="AHI13" s="7"/>
      <c r="AHJ13" s="7"/>
      <c r="AHK13" s="7"/>
      <c r="AHL13" s="7"/>
      <c r="AHM13" s="7"/>
      <c r="AHN13" s="7"/>
      <c r="AHO13" s="7"/>
      <c r="AHP13" s="7"/>
      <c r="AHQ13" s="7"/>
      <c r="AHR13" s="7"/>
      <c r="AHS13" s="7"/>
      <c r="AHT13" s="7"/>
      <c r="AHU13" s="7"/>
      <c r="AHV13" s="7"/>
      <c r="AHW13" s="7"/>
      <c r="AHX13" s="7"/>
      <c r="AHY13" s="7"/>
      <c r="AHZ13" s="7"/>
      <c r="AIA13" s="7"/>
      <c r="AIB13" s="7"/>
      <c r="AIC13" s="7"/>
      <c r="AID13" s="7"/>
      <c r="AIE13" s="7"/>
      <c r="AIF13" s="7"/>
      <c r="AIG13" s="7"/>
      <c r="AIH13" s="7"/>
      <c r="AII13" s="7"/>
      <c r="AIJ13" s="7"/>
      <c r="AIK13" s="7"/>
      <c r="AIL13" s="7"/>
      <c r="AIM13" s="7"/>
      <c r="AIN13" s="7"/>
      <c r="AIO13" s="7"/>
      <c r="AIP13" s="7"/>
      <c r="AIQ13" s="7"/>
      <c r="AIR13" s="7"/>
      <c r="AIS13" s="7"/>
      <c r="AIT13" s="7"/>
      <c r="AIU13" s="7"/>
      <c r="AIV13" s="7"/>
      <c r="AIW13" s="7"/>
      <c r="AIX13" s="7"/>
      <c r="AIY13" s="7"/>
      <c r="AIZ13" s="7"/>
      <c r="AJA13" s="7"/>
      <c r="AJB13" s="7"/>
      <c r="AJC13" s="7"/>
      <c r="AJD13" s="7"/>
      <c r="AJE13" s="7"/>
      <c r="AJF13" s="7"/>
      <c r="AJG13" s="7"/>
      <c r="AJH13" s="7"/>
      <c r="AJI13" s="7"/>
      <c r="AJJ13" s="7"/>
      <c r="AJK13" s="7"/>
      <c r="AJL13" s="7"/>
      <c r="AJM13" s="7"/>
      <c r="AJN13" s="7"/>
      <c r="AJO13" s="7"/>
      <c r="AJP13" s="7"/>
      <c r="AJQ13" s="7"/>
      <c r="AJR13" s="7"/>
      <c r="AJS13" s="7"/>
      <c r="AJT13" s="7"/>
      <c r="AJU13" s="7"/>
      <c r="AJV13" s="7"/>
      <c r="AJW13" s="7"/>
      <c r="AJX13" s="7"/>
      <c r="AJY13" s="7"/>
      <c r="AJZ13" s="7"/>
      <c r="AKA13" s="7"/>
      <c r="AKB13" s="7"/>
      <c r="AKC13" s="7"/>
      <c r="AKD13" s="7"/>
      <c r="AKE13" s="7"/>
      <c r="AKF13" s="7"/>
      <c r="AKG13" s="7"/>
      <c r="AKH13" s="7"/>
      <c r="AKI13" s="7"/>
      <c r="AKJ13" s="7"/>
      <c r="AKK13" s="7"/>
      <c r="AKL13" s="7"/>
      <c r="AKM13" s="7"/>
      <c r="AKN13" s="7"/>
      <c r="AKO13" s="7"/>
      <c r="AKP13" s="7"/>
      <c r="AKQ13" s="7"/>
      <c r="AKR13" s="7"/>
      <c r="AKS13" s="7"/>
      <c r="AKT13" s="7"/>
      <c r="AKU13" s="7"/>
      <c r="AKV13" s="7"/>
      <c r="AKW13" s="7"/>
      <c r="AKX13" s="7"/>
      <c r="AKY13" s="7"/>
      <c r="AKZ13" s="7"/>
      <c r="ALA13" s="7"/>
      <c r="ALB13" s="7"/>
      <c r="ALC13" s="7"/>
      <c r="ALD13" s="7"/>
      <c r="ALE13" s="7"/>
      <c r="ALF13" s="7"/>
      <c r="ALG13" s="7"/>
      <c r="ALH13" s="7"/>
      <c r="ALI13" s="7"/>
      <c r="ALJ13" s="7"/>
      <c r="ALK13" s="7"/>
      <c r="ALL13" s="7"/>
      <c r="ALM13" s="7"/>
      <c r="ALN13" s="7"/>
      <c r="ALO13" s="7"/>
      <c r="ALP13" s="7"/>
      <c r="ALQ13" s="7"/>
      <c r="ALR13" s="7"/>
      <c r="ALS13" s="7"/>
      <c r="ALT13" s="7"/>
      <c r="ALU13" s="7"/>
      <c r="ALV13" s="7"/>
      <c r="ALW13" s="7"/>
      <c r="ALX13" s="7"/>
      <c r="ALY13" s="7"/>
      <c r="ALZ13" s="7"/>
      <c r="AMA13" s="7"/>
      <c r="AMB13" s="7"/>
      <c r="AMC13" s="7"/>
      <c r="AMD13" s="7"/>
      <c r="AME13" s="7"/>
      <c r="AMF13" s="7"/>
      <c r="AMG13" s="7"/>
      <c r="AMH13" s="7"/>
      <c r="AMI13" s="7"/>
      <c r="AMJ13" s="7"/>
    </row>
    <row r="14" customFormat="false" ht="15.8" hidden="false" customHeight="false" outlineLevel="0" collapsed="false">
      <c r="A14" s="6"/>
      <c r="B14" s="7"/>
      <c r="C14" s="6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  <c r="EI14" s="7"/>
      <c r="EJ14" s="7"/>
      <c r="EK14" s="7"/>
      <c r="EL14" s="7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  <c r="FH14" s="7"/>
      <c r="FI14" s="7"/>
      <c r="FJ14" s="7"/>
      <c r="FK14" s="7"/>
      <c r="FL14" s="7"/>
      <c r="FM14" s="7"/>
      <c r="FN14" s="7"/>
      <c r="FO14" s="7"/>
      <c r="FP14" s="7"/>
      <c r="FQ14" s="7"/>
      <c r="FR14" s="7"/>
      <c r="FS14" s="7"/>
      <c r="FT14" s="7"/>
      <c r="FU14" s="7"/>
      <c r="FV14" s="7"/>
      <c r="FW14" s="7"/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J14" s="7"/>
      <c r="GK14" s="7"/>
      <c r="GL14" s="7"/>
      <c r="GM14" s="7"/>
      <c r="GN14" s="7"/>
      <c r="GO14" s="7"/>
      <c r="GP14" s="7"/>
      <c r="GQ14" s="7"/>
      <c r="GR14" s="7"/>
      <c r="GS14" s="7"/>
      <c r="GT14" s="7"/>
      <c r="GU14" s="7"/>
      <c r="GV14" s="7"/>
      <c r="GW14" s="7"/>
      <c r="GX14" s="7"/>
      <c r="GY14" s="7"/>
      <c r="GZ14" s="7"/>
      <c r="HA14" s="7"/>
      <c r="HB14" s="7"/>
      <c r="HC14" s="7"/>
      <c r="HD14" s="7"/>
      <c r="HE14" s="7"/>
      <c r="HF14" s="7"/>
      <c r="HG14" s="7"/>
      <c r="HH14" s="7"/>
      <c r="HI14" s="7"/>
      <c r="HJ14" s="7"/>
      <c r="HK14" s="7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  <c r="IG14" s="7"/>
      <c r="IH14" s="7"/>
      <c r="II14" s="7"/>
      <c r="IJ14" s="7"/>
      <c r="IK14" s="7"/>
      <c r="IL14" s="7"/>
      <c r="IM14" s="7"/>
      <c r="IN14" s="7"/>
      <c r="IO14" s="7"/>
      <c r="IP14" s="7"/>
      <c r="IQ14" s="7"/>
      <c r="IR14" s="7"/>
      <c r="IS14" s="7"/>
      <c r="IT14" s="7"/>
      <c r="IU14" s="7"/>
      <c r="IV14" s="7"/>
      <c r="IW14" s="7"/>
      <c r="IX14" s="7"/>
      <c r="IY14" s="7"/>
      <c r="IZ14" s="7"/>
      <c r="JA14" s="7"/>
      <c r="JB14" s="7"/>
      <c r="JC14" s="7"/>
      <c r="JD14" s="7"/>
      <c r="JE14" s="7"/>
      <c r="JF14" s="7"/>
      <c r="JG14" s="7"/>
      <c r="JH14" s="7"/>
      <c r="JI14" s="7"/>
      <c r="JJ14" s="7"/>
      <c r="JK14" s="7"/>
      <c r="JL14" s="7"/>
      <c r="JM14" s="7"/>
      <c r="JN14" s="7"/>
      <c r="JO14" s="7"/>
      <c r="JP14" s="7"/>
      <c r="JQ14" s="7"/>
      <c r="JR14" s="7"/>
      <c r="JS14" s="7"/>
      <c r="JT14" s="7"/>
      <c r="JU14" s="7"/>
      <c r="JV14" s="7"/>
      <c r="JW14" s="7"/>
      <c r="JX14" s="7"/>
      <c r="JY14" s="7"/>
      <c r="JZ14" s="7"/>
      <c r="KA14" s="7"/>
      <c r="KB14" s="7"/>
      <c r="KC14" s="7"/>
      <c r="KD14" s="7"/>
      <c r="KE14" s="7"/>
      <c r="KF14" s="7"/>
      <c r="KG14" s="7"/>
      <c r="KH14" s="7"/>
      <c r="KI14" s="7"/>
      <c r="KJ14" s="7"/>
      <c r="KK14" s="7"/>
      <c r="KL14" s="7"/>
      <c r="KM14" s="7"/>
      <c r="KN14" s="7"/>
      <c r="KO14" s="7"/>
      <c r="KP14" s="7"/>
      <c r="KQ14" s="7"/>
      <c r="KR14" s="7"/>
      <c r="KS14" s="7"/>
      <c r="KT14" s="7"/>
      <c r="KU14" s="7"/>
      <c r="KV14" s="7"/>
      <c r="KW14" s="7"/>
      <c r="KX14" s="7"/>
      <c r="KY14" s="7"/>
      <c r="KZ14" s="7"/>
      <c r="LA14" s="7"/>
      <c r="LB14" s="7"/>
      <c r="LC14" s="7"/>
      <c r="LD14" s="7"/>
      <c r="LE14" s="7"/>
      <c r="LF14" s="7"/>
      <c r="LG14" s="7"/>
      <c r="LH14" s="7"/>
      <c r="LI14" s="7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  <c r="LU14" s="7"/>
      <c r="LV14" s="7"/>
      <c r="LW14" s="7"/>
      <c r="LX14" s="7"/>
      <c r="LY14" s="7"/>
      <c r="LZ14" s="7"/>
      <c r="MA14" s="7"/>
      <c r="MB14" s="7"/>
      <c r="MC14" s="7"/>
      <c r="MD14" s="7"/>
      <c r="ME14" s="7"/>
      <c r="MF14" s="7"/>
      <c r="MG14" s="7"/>
      <c r="MH14" s="7"/>
      <c r="MI14" s="7"/>
      <c r="MJ14" s="7"/>
      <c r="MK14" s="7"/>
      <c r="ML14" s="7"/>
      <c r="MM14" s="7"/>
      <c r="MN14" s="7"/>
      <c r="MO14" s="7"/>
      <c r="MP14" s="7"/>
      <c r="MQ14" s="7"/>
      <c r="MR14" s="7"/>
      <c r="MS14" s="7"/>
      <c r="MT14" s="7"/>
      <c r="MU14" s="7"/>
      <c r="MV14" s="7"/>
      <c r="MW14" s="7"/>
      <c r="MX14" s="7"/>
      <c r="MY14" s="7"/>
      <c r="MZ14" s="7"/>
      <c r="NA14" s="7"/>
      <c r="NB14" s="7"/>
      <c r="NC14" s="7"/>
      <c r="ND14" s="7"/>
      <c r="NE14" s="7"/>
      <c r="NF14" s="7"/>
      <c r="NG14" s="7"/>
      <c r="NH14" s="7"/>
      <c r="NI14" s="7"/>
      <c r="NJ14" s="7"/>
      <c r="NK14" s="7"/>
      <c r="NL14" s="7"/>
      <c r="NM14" s="7"/>
      <c r="NN14" s="7"/>
      <c r="NO14" s="7"/>
      <c r="NP14" s="7"/>
      <c r="NQ14" s="7"/>
      <c r="NR14" s="7"/>
      <c r="NS14" s="7"/>
      <c r="NT14" s="7"/>
      <c r="NU14" s="7"/>
      <c r="NV14" s="7"/>
      <c r="NW14" s="7"/>
      <c r="NX14" s="7"/>
      <c r="NY14" s="7"/>
      <c r="NZ14" s="7"/>
      <c r="OA14" s="7"/>
      <c r="OB14" s="7"/>
      <c r="OC14" s="7"/>
      <c r="OD14" s="7"/>
      <c r="OE14" s="7"/>
      <c r="OF14" s="7"/>
      <c r="OG14" s="7"/>
      <c r="OH14" s="7"/>
      <c r="OI14" s="7"/>
      <c r="OJ14" s="7"/>
      <c r="OK14" s="7"/>
      <c r="OL14" s="7"/>
      <c r="OM14" s="7"/>
      <c r="ON14" s="7"/>
      <c r="OO14" s="7"/>
      <c r="OP14" s="7"/>
      <c r="OQ14" s="7"/>
      <c r="OR14" s="7"/>
      <c r="OS14" s="7"/>
      <c r="OT14" s="7"/>
      <c r="OU14" s="7"/>
      <c r="OV14" s="7"/>
      <c r="OW14" s="7"/>
      <c r="OX14" s="7"/>
      <c r="OY14" s="7"/>
      <c r="OZ14" s="7"/>
      <c r="PA14" s="7"/>
      <c r="PB14" s="7"/>
      <c r="PC14" s="7"/>
      <c r="PD14" s="7"/>
      <c r="PE14" s="7"/>
      <c r="PF14" s="7"/>
      <c r="PG14" s="7"/>
      <c r="PH14" s="7"/>
      <c r="PI14" s="7"/>
      <c r="PJ14" s="7"/>
      <c r="PK14" s="7"/>
      <c r="PL14" s="7"/>
      <c r="PM14" s="7"/>
      <c r="PN14" s="7"/>
      <c r="PO14" s="7"/>
      <c r="PP14" s="7"/>
      <c r="PQ14" s="7"/>
      <c r="PR14" s="7"/>
      <c r="PS14" s="7"/>
      <c r="PT14" s="7"/>
      <c r="PU14" s="7"/>
      <c r="PV14" s="7"/>
      <c r="PW14" s="7"/>
      <c r="PX14" s="7"/>
      <c r="PY14" s="7"/>
      <c r="PZ14" s="7"/>
      <c r="QA14" s="7"/>
      <c r="QB14" s="7"/>
      <c r="QC14" s="7"/>
      <c r="QD14" s="7"/>
      <c r="QE14" s="7"/>
      <c r="QF14" s="7"/>
      <c r="QG14" s="7"/>
      <c r="QH14" s="7"/>
      <c r="QI14" s="7"/>
      <c r="QJ14" s="7"/>
      <c r="QK14" s="7"/>
      <c r="QL14" s="7"/>
      <c r="QM14" s="7"/>
      <c r="QN14" s="7"/>
      <c r="QO14" s="7"/>
      <c r="QP14" s="7"/>
      <c r="QQ14" s="7"/>
      <c r="QR14" s="7"/>
      <c r="QS14" s="7"/>
      <c r="QT14" s="7"/>
      <c r="QU14" s="7"/>
      <c r="QV14" s="7"/>
      <c r="QW14" s="7"/>
      <c r="QX14" s="7"/>
      <c r="QY14" s="7"/>
      <c r="QZ14" s="7"/>
      <c r="RA14" s="7"/>
      <c r="RB14" s="7"/>
      <c r="RC14" s="7"/>
      <c r="RD14" s="7"/>
      <c r="RE14" s="7"/>
      <c r="RF14" s="7"/>
      <c r="RG14" s="7"/>
      <c r="RH14" s="7"/>
      <c r="RI14" s="7"/>
      <c r="RJ14" s="7"/>
      <c r="RK14" s="7"/>
      <c r="RL14" s="7"/>
      <c r="RM14" s="7"/>
      <c r="RN14" s="7"/>
      <c r="RO14" s="7"/>
      <c r="RP14" s="7"/>
      <c r="RQ14" s="7"/>
      <c r="RR14" s="7"/>
      <c r="RS14" s="7"/>
      <c r="RT14" s="7"/>
      <c r="RU14" s="7"/>
      <c r="RV14" s="7"/>
      <c r="RW14" s="7"/>
      <c r="RX14" s="7"/>
      <c r="RY14" s="7"/>
      <c r="RZ14" s="7"/>
      <c r="SA14" s="7"/>
      <c r="SB14" s="7"/>
      <c r="SC14" s="7"/>
      <c r="SD14" s="7"/>
      <c r="SE14" s="7"/>
      <c r="SF14" s="7"/>
      <c r="SG14" s="7"/>
      <c r="SH14" s="7"/>
      <c r="SI14" s="7"/>
      <c r="SJ14" s="7"/>
      <c r="SK14" s="7"/>
      <c r="SL14" s="7"/>
      <c r="SM14" s="7"/>
      <c r="SN14" s="7"/>
      <c r="SO14" s="7"/>
      <c r="SP14" s="7"/>
      <c r="SQ14" s="7"/>
      <c r="SR14" s="7"/>
      <c r="SS14" s="7"/>
      <c r="ST14" s="7"/>
      <c r="SU14" s="7"/>
      <c r="SV14" s="7"/>
      <c r="SW14" s="7"/>
      <c r="SX14" s="7"/>
      <c r="SY14" s="7"/>
      <c r="SZ14" s="7"/>
      <c r="TA14" s="7"/>
      <c r="TB14" s="7"/>
      <c r="TC14" s="7"/>
      <c r="TD14" s="7"/>
      <c r="TE14" s="7"/>
      <c r="TF14" s="7"/>
      <c r="TG14" s="7"/>
      <c r="TH14" s="7"/>
      <c r="TI14" s="7"/>
      <c r="TJ14" s="7"/>
      <c r="TK14" s="7"/>
      <c r="TL14" s="7"/>
      <c r="TM14" s="7"/>
      <c r="TN14" s="7"/>
      <c r="TO14" s="7"/>
      <c r="TP14" s="7"/>
      <c r="TQ14" s="7"/>
      <c r="TR14" s="7"/>
      <c r="TS14" s="7"/>
      <c r="TT14" s="7"/>
      <c r="TU14" s="7"/>
      <c r="TV14" s="7"/>
      <c r="TW14" s="7"/>
      <c r="TX14" s="7"/>
      <c r="TY14" s="7"/>
      <c r="TZ14" s="7"/>
      <c r="UA14" s="7"/>
      <c r="UB14" s="7"/>
      <c r="UC14" s="7"/>
      <c r="UD14" s="7"/>
      <c r="UE14" s="7"/>
      <c r="UF14" s="7"/>
      <c r="UG14" s="7"/>
      <c r="UH14" s="7"/>
      <c r="UI14" s="7"/>
      <c r="UJ14" s="7"/>
      <c r="UK14" s="7"/>
      <c r="UL14" s="7"/>
      <c r="UM14" s="7"/>
      <c r="UN14" s="7"/>
      <c r="UO14" s="7"/>
      <c r="UP14" s="7"/>
      <c r="UQ14" s="7"/>
      <c r="UR14" s="7"/>
      <c r="US14" s="7"/>
      <c r="UT14" s="7"/>
      <c r="UU14" s="7"/>
      <c r="UV14" s="7"/>
      <c r="UW14" s="7"/>
      <c r="UX14" s="7"/>
      <c r="UY14" s="7"/>
      <c r="UZ14" s="7"/>
      <c r="VA14" s="7"/>
      <c r="VB14" s="7"/>
      <c r="VC14" s="7"/>
      <c r="VD14" s="7"/>
      <c r="VE14" s="7"/>
      <c r="VF14" s="7"/>
      <c r="VG14" s="7"/>
      <c r="VH14" s="7"/>
      <c r="VI14" s="7"/>
      <c r="VJ14" s="7"/>
      <c r="VK14" s="7"/>
      <c r="VL14" s="7"/>
      <c r="VM14" s="7"/>
      <c r="VN14" s="7"/>
      <c r="VO14" s="7"/>
      <c r="VP14" s="7"/>
      <c r="VQ14" s="7"/>
      <c r="VR14" s="7"/>
      <c r="VS14" s="7"/>
      <c r="VT14" s="7"/>
      <c r="VU14" s="7"/>
      <c r="VV14" s="7"/>
      <c r="VW14" s="7"/>
      <c r="VX14" s="7"/>
      <c r="VY14" s="7"/>
      <c r="VZ14" s="7"/>
      <c r="WA14" s="7"/>
      <c r="WB14" s="7"/>
      <c r="WC14" s="7"/>
      <c r="WD14" s="7"/>
      <c r="WE14" s="7"/>
      <c r="WF14" s="7"/>
      <c r="WG14" s="7"/>
      <c r="WH14" s="7"/>
      <c r="WI14" s="7"/>
      <c r="WJ14" s="7"/>
      <c r="WK14" s="7"/>
      <c r="WL14" s="7"/>
      <c r="WM14" s="7"/>
      <c r="WN14" s="7"/>
      <c r="WO14" s="7"/>
      <c r="WP14" s="7"/>
      <c r="WQ14" s="7"/>
      <c r="WR14" s="7"/>
      <c r="WS14" s="7"/>
      <c r="WT14" s="7"/>
      <c r="WU14" s="7"/>
      <c r="WV14" s="7"/>
      <c r="WW14" s="7"/>
      <c r="WX14" s="7"/>
      <c r="WY14" s="7"/>
      <c r="WZ14" s="7"/>
      <c r="XA14" s="7"/>
      <c r="XB14" s="7"/>
      <c r="XC14" s="7"/>
      <c r="XD14" s="7"/>
      <c r="XE14" s="7"/>
      <c r="XF14" s="7"/>
      <c r="XG14" s="7"/>
      <c r="XH14" s="7"/>
      <c r="XI14" s="7"/>
      <c r="XJ14" s="7"/>
      <c r="XK14" s="7"/>
      <c r="XL14" s="7"/>
      <c r="XM14" s="7"/>
      <c r="XN14" s="7"/>
      <c r="XO14" s="7"/>
      <c r="XP14" s="7"/>
      <c r="XQ14" s="7"/>
      <c r="XR14" s="7"/>
      <c r="XS14" s="7"/>
      <c r="XT14" s="7"/>
      <c r="XU14" s="7"/>
      <c r="XV14" s="7"/>
      <c r="XW14" s="7"/>
      <c r="XX14" s="7"/>
      <c r="XY14" s="7"/>
      <c r="XZ14" s="7"/>
      <c r="YA14" s="7"/>
      <c r="YB14" s="7"/>
      <c r="YC14" s="7"/>
      <c r="YD14" s="7"/>
      <c r="YE14" s="7"/>
      <c r="YF14" s="7"/>
      <c r="YG14" s="7"/>
      <c r="YH14" s="7"/>
      <c r="YI14" s="7"/>
      <c r="YJ14" s="7"/>
      <c r="YK14" s="7"/>
      <c r="YL14" s="7"/>
      <c r="YM14" s="7"/>
      <c r="YN14" s="7"/>
      <c r="YO14" s="7"/>
      <c r="YP14" s="7"/>
      <c r="YQ14" s="7"/>
      <c r="YR14" s="7"/>
      <c r="YS14" s="7"/>
      <c r="YT14" s="7"/>
      <c r="YU14" s="7"/>
      <c r="YV14" s="7"/>
      <c r="YW14" s="7"/>
      <c r="YX14" s="7"/>
      <c r="YY14" s="7"/>
      <c r="YZ14" s="7"/>
      <c r="ZA14" s="7"/>
      <c r="ZB14" s="7"/>
      <c r="ZC14" s="7"/>
      <c r="ZD14" s="7"/>
      <c r="ZE14" s="7"/>
      <c r="ZF14" s="7"/>
      <c r="ZG14" s="7"/>
      <c r="ZH14" s="7"/>
      <c r="ZI14" s="7"/>
      <c r="ZJ14" s="7"/>
      <c r="ZK14" s="7"/>
      <c r="ZL14" s="7"/>
      <c r="ZM14" s="7"/>
      <c r="ZN14" s="7"/>
      <c r="ZO14" s="7"/>
      <c r="ZP14" s="7"/>
      <c r="ZQ14" s="7"/>
      <c r="ZR14" s="7"/>
      <c r="ZS14" s="7"/>
      <c r="ZT14" s="7"/>
      <c r="ZU14" s="7"/>
      <c r="ZV14" s="7"/>
      <c r="ZW14" s="7"/>
      <c r="ZX14" s="7"/>
      <c r="ZY14" s="7"/>
      <c r="ZZ14" s="7"/>
      <c r="AAA14" s="7"/>
      <c r="AAB14" s="7"/>
      <c r="AAC14" s="7"/>
      <c r="AAD14" s="7"/>
      <c r="AAE14" s="7"/>
      <c r="AAF14" s="7"/>
      <c r="AAG14" s="7"/>
      <c r="AAH14" s="7"/>
      <c r="AAI14" s="7"/>
      <c r="AAJ14" s="7"/>
      <c r="AAK14" s="7"/>
      <c r="AAL14" s="7"/>
      <c r="AAM14" s="7"/>
      <c r="AAN14" s="7"/>
      <c r="AAO14" s="7"/>
      <c r="AAP14" s="7"/>
      <c r="AAQ14" s="7"/>
      <c r="AAR14" s="7"/>
      <c r="AAS14" s="7"/>
      <c r="AAT14" s="7"/>
      <c r="AAU14" s="7"/>
      <c r="AAV14" s="7"/>
      <c r="AAW14" s="7"/>
      <c r="AAX14" s="7"/>
      <c r="AAY14" s="7"/>
      <c r="AAZ14" s="7"/>
      <c r="ABA14" s="7"/>
      <c r="ABB14" s="7"/>
      <c r="ABC14" s="7"/>
      <c r="ABD14" s="7"/>
      <c r="ABE14" s="7"/>
      <c r="ABF14" s="7"/>
      <c r="ABG14" s="7"/>
      <c r="ABH14" s="7"/>
      <c r="ABI14" s="7"/>
      <c r="ABJ14" s="7"/>
      <c r="ABK14" s="7"/>
      <c r="ABL14" s="7"/>
      <c r="ABM14" s="7"/>
      <c r="ABN14" s="7"/>
      <c r="ABO14" s="7"/>
      <c r="ABP14" s="7"/>
      <c r="ABQ14" s="7"/>
      <c r="ABR14" s="7"/>
      <c r="ABS14" s="7"/>
      <c r="ABT14" s="7"/>
      <c r="ABU14" s="7"/>
      <c r="ABV14" s="7"/>
      <c r="ABW14" s="7"/>
      <c r="ABX14" s="7"/>
      <c r="ABY14" s="7"/>
      <c r="ABZ14" s="7"/>
      <c r="ACA14" s="7"/>
      <c r="ACB14" s="7"/>
      <c r="ACC14" s="7"/>
      <c r="ACD14" s="7"/>
      <c r="ACE14" s="7"/>
      <c r="ACF14" s="7"/>
      <c r="ACG14" s="7"/>
      <c r="ACH14" s="7"/>
      <c r="ACI14" s="7"/>
      <c r="ACJ14" s="7"/>
      <c r="ACK14" s="7"/>
      <c r="ACL14" s="7"/>
      <c r="ACM14" s="7"/>
      <c r="ACN14" s="7"/>
      <c r="ACO14" s="7"/>
      <c r="ACP14" s="7"/>
      <c r="ACQ14" s="7"/>
      <c r="ACR14" s="7"/>
      <c r="ACS14" s="7"/>
      <c r="ACT14" s="7"/>
      <c r="ACU14" s="7"/>
      <c r="ACV14" s="7"/>
      <c r="ACW14" s="7"/>
      <c r="ACX14" s="7"/>
      <c r="ACY14" s="7"/>
      <c r="ACZ14" s="7"/>
      <c r="ADA14" s="7"/>
      <c r="ADB14" s="7"/>
      <c r="ADC14" s="7"/>
      <c r="ADD14" s="7"/>
      <c r="ADE14" s="7"/>
      <c r="ADF14" s="7"/>
      <c r="ADG14" s="7"/>
      <c r="ADH14" s="7"/>
      <c r="ADI14" s="7"/>
      <c r="ADJ14" s="7"/>
      <c r="ADK14" s="7"/>
      <c r="ADL14" s="7"/>
      <c r="ADM14" s="7"/>
      <c r="ADN14" s="7"/>
      <c r="ADO14" s="7"/>
      <c r="ADP14" s="7"/>
      <c r="ADQ14" s="7"/>
      <c r="ADR14" s="7"/>
      <c r="ADS14" s="7"/>
      <c r="ADT14" s="7"/>
      <c r="ADU14" s="7"/>
      <c r="ADV14" s="7"/>
      <c r="ADW14" s="7"/>
      <c r="ADX14" s="7"/>
      <c r="ADY14" s="7"/>
      <c r="ADZ14" s="7"/>
      <c r="AEA14" s="7"/>
      <c r="AEB14" s="7"/>
      <c r="AEC14" s="7"/>
      <c r="AED14" s="7"/>
      <c r="AEE14" s="7"/>
      <c r="AEF14" s="7"/>
      <c r="AEG14" s="7"/>
      <c r="AEH14" s="7"/>
      <c r="AEI14" s="7"/>
      <c r="AEJ14" s="7"/>
      <c r="AEK14" s="7"/>
      <c r="AEL14" s="7"/>
      <c r="AEM14" s="7"/>
      <c r="AEN14" s="7"/>
      <c r="AEO14" s="7"/>
      <c r="AEP14" s="7"/>
      <c r="AEQ14" s="7"/>
      <c r="AER14" s="7"/>
      <c r="AES14" s="7"/>
      <c r="AET14" s="7"/>
      <c r="AEU14" s="7"/>
      <c r="AEV14" s="7"/>
      <c r="AEW14" s="7"/>
      <c r="AEX14" s="7"/>
      <c r="AEY14" s="7"/>
      <c r="AEZ14" s="7"/>
      <c r="AFA14" s="7"/>
      <c r="AFB14" s="7"/>
      <c r="AFC14" s="7"/>
      <c r="AFD14" s="7"/>
      <c r="AFE14" s="7"/>
      <c r="AFF14" s="7"/>
      <c r="AFG14" s="7"/>
      <c r="AFH14" s="7"/>
      <c r="AFI14" s="7"/>
      <c r="AFJ14" s="7"/>
      <c r="AFK14" s="7"/>
      <c r="AFL14" s="7"/>
      <c r="AFM14" s="7"/>
      <c r="AFN14" s="7"/>
      <c r="AFO14" s="7"/>
      <c r="AFP14" s="7"/>
      <c r="AFQ14" s="7"/>
      <c r="AFR14" s="7"/>
      <c r="AFS14" s="7"/>
      <c r="AFT14" s="7"/>
      <c r="AFU14" s="7"/>
      <c r="AFV14" s="7"/>
      <c r="AFW14" s="7"/>
      <c r="AFX14" s="7"/>
      <c r="AFY14" s="7"/>
      <c r="AFZ14" s="7"/>
      <c r="AGA14" s="7"/>
      <c r="AGB14" s="7"/>
      <c r="AGC14" s="7"/>
      <c r="AGD14" s="7"/>
      <c r="AGE14" s="7"/>
      <c r="AGF14" s="7"/>
      <c r="AGG14" s="7"/>
      <c r="AGH14" s="7"/>
      <c r="AGI14" s="7"/>
      <c r="AGJ14" s="7"/>
      <c r="AGK14" s="7"/>
      <c r="AGL14" s="7"/>
      <c r="AGM14" s="7"/>
      <c r="AGN14" s="7"/>
      <c r="AGO14" s="7"/>
      <c r="AGP14" s="7"/>
      <c r="AGQ14" s="7"/>
      <c r="AGR14" s="7"/>
      <c r="AGS14" s="7"/>
      <c r="AGT14" s="7"/>
      <c r="AGU14" s="7"/>
      <c r="AGV14" s="7"/>
      <c r="AGW14" s="7"/>
      <c r="AGX14" s="7"/>
      <c r="AGY14" s="7"/>
      <c r="AGZ14" s="7"/>
      <c r="AHA14" s="7"/>
      <c r="AHB14" s="7"/>
      <c r="AHC14" s="7"/>
      <c r="AHD14" s="7"/>
      <c r="AHE14" s="7"/>
      <c r="AHF14" s="7"/>
      <c r="AHG14" s="7"/>
      <c r="AHH14" s="7"/>
      <c r="AHI14" s="7"/>
      <c r="AHJ14" s="7"/>
      <c r="AHK14" s="7"/>
      <c r="AHL14" s="7"/>
      <c r="AHM14" s="7"/>
      <c r="AHN14" s="7"/>
      <c r="AHO14" s="7"/>
      <c r="AHP14" s="7"/>
      <c r="AHQ14" s="7"/>
      <c r="AHR14" s="7"/>
      <c r="AHS14" s="7"/>
      <c r="AHT14" s="7"/>
      <c r="AHU14" s="7"/>
      <c r="AHV14" s="7"/>
      <c r="AHW14" s="7"/>
      <c r="AHX14" s="7"/>
      <c r="AHY14" s="7"/>
      <c r="AHZ14" s="7"/>
      <c r="AIA14" s="7"/>
      <c r="AIB14" s="7"/>
      <c r="AIC14" s="7"/>
      <c r="AID14" s="7"/>
      <c r="AIE14" s="7"/>
      <c r="AIF14" s="7"/>
      <c r="AIG14" s="7"/>
      <c r="AIH14" s="7"/>
      <c r="AII14" s="7"/>
      <c r="AIJ14" s="7"/>
      <c r="AIK14" s="7"/>
      <c r="AIL14" s="7"/>
      <c r="AIM14" s="7"/>
      <c r="AIN14" s="7"/>
      <c r="AIO14" s="7"/>
      <c r="AIP14" s="7"/>
      <c r="AIQ14" s="7"/>
      <c r="AIR14" s="7"/>
      <c r="AIS14" s="7"/>
      <c r="AIT14" s="7"/>
      <c r="AIU14" s="7"/>
      <c r="AIV14" s="7"/>
      <c r="AIW14" s="7"/>
      <c r="AIX14" s="7"/>
      <c r="AIY14" s="7"/>
      <c r="AIZ14" s="7"/>
      <c r="AJA14" s="7"/>
      <c r="AJB14" s="7"/>
      <c r="AJC14" s="7"/>
      <c r="AJD14" s="7"/>
      <c r="AJE14" s="7"/>
      <c r="AJF14" s="7"/>
      <c r="AJG14" s="7"/>
      <c r="AJH14" s="7"/>
      <c r="AJI14" s="7"/>
      <c r="AJJ14" s="7"/>
      <c r="AJK14" s="7"/>
      <c r="AJL14" s="7"/>
      <c r="AJM14" s="7"/>
      <c r="AJN14" s="7"/>
      <c r="AJO14" s="7"/>
      <c r="AJP14" s="7"/>
      <c r="AJQ14" s="7"/>
      <c r="AJR14" s="7"/>
      <c r="AJS14" s="7"/>
      <c r="AJT14" s="7"/>
      <c r="AJU14" s="7"/>
      <c r="AJV14" s="7"/>
      <c r="AJW14" s="7"/>
      <c r="AJX14" s="7"/>
      <c r="AJY14" s="7"/>
      <c r="AJZ14" s="7"/>
      <c r="AKA14" s="7"/>
      <c r="AKB14" s="7"/>
      <c r="AKC14" s="7"/>
      <c r="AKD14" s="7"/>
      <c r="AKE14" s="7"/>
      <c r="AKF14" s="7"/>
      <c r="AKG14" s="7"/>
      <c r="AKH14" s="7"/>
      <c r="AKI14" s="7"/>
      <c r="AKJ14" s="7"/>
      <c r="AKK14" s="7"/>
      <c r="AKL14" s="7"/>
      <c r="AKM14" s="7"/>
      <c r="AKN14" s="7"/>
      <c r="AKO14" s="7"/>
      <c r="AKP14" s="7"/>
      <c r="AKQ14" s="7"/>
      <c r="AKR14" s="7"/>
      <c r="AKS14" s="7"/>
      <c r="AKT14" s="7"/>
      <c r="AKU14" s="7"/>
      <c r="AKV14" s="7"/>
      <c r="AKW14" s="7"/>
      <c r="AKX14" s="7"/>
      <c r="AKY14" s="7"/>
      <c r="AKZ14" s="7"/>
      <c r="ALA14" s="7"/>
      <c r="ALB14" s="7"/>
      <c r="ALC14" s="7"/>
      <c r="ALD14" s="7"/>
      <c r="ALE14" s="7"/>
      <c r="ALF14" s="7"/>
      <c r="ALG14" s="7"/>
      <c r="ALH14" s="7"/>
      <c r="ALI14" s="7"/>
      <c r="ALJ14" s="7"/>
      <c r="ALK14" s="7"/>
      <c r="ALL14" s="7"/>
      <c r="ALM14" s="7"/>
      <c r="ALN14" s="7"/>
      <c r="ALO14" s="7"/>
      <c r="ALP14" s="7"/>
      <c r="ALQ14" s="7"/>
      <c r="ALR14" s="7"/>
      <c r="ALS14" s="7"/>
      <c r="ALT14" s="7"/>
      <c r="ALU14" s="7"/>
      <c r="ALV14" s="7"/>
      <c r="ALW14" s="7"/>
      <c r="ALX14" s="7"/>
      <c r="ALY14" s="7"/>
      <c r="ALZ14" s="7"/>
      <c r="AMA14" s="7"/>
      <c r="AMB14" s="7"/>
      <c r="AMC14" s="7"/>
      <c r="AMD14" s="7"/>
      <c r="AME14" s="7"/>
      <c r="AMF14" s="7"/>
      <c r="AMG14" s="7"/>
      <c r="AMH14" s="7"/>
      <c r="AMI14" s="7"/>
      <c r="AMJ14" s="7"/>
    </row>
    <row r="15" customFormat="false" ht="15.8" hidden="false" customHeight="false" outlineLevel="0" collapsed="false">
      <c r="A15" s="6"/>
      <c r="B15" s="7"/>
      <c r="C15" s="6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7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7"/>
      <c r="GK15" s="7"/>
      <c r="GL15" s="7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7"/>
      <c r="HA15" s="7"/>
      <c r="HB15" s="7"/>
      <c r="HC15" s="7"/>
      <c r="HD15" s="7"/>
      <c r="HE15" s="7"/>
      <c r="HF15" s="7"/>
      <c r="HG15" s="7"/>
      <c r="HH15" s="7"/>
      <c r="HI15" s="7"/>
      <c r="HJ15" s="7"/>
      <c r="HK15" s="7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  <c r="IG15" s="7"/>
      <c r="IH15" s="7"/>
      <c r="II15" s="7"/>
      <c r="IJ15" s="7"/>
      <c r="IK15" s="7"/>
      <c r="IL15" s="7"/>
      <c r="IM15" s="7"/>
      <c r="IN15" s="7"/>
      <c r="IO15" s="7"/>
      <c r="IP15" s="7"/>
      <c r="IQ15" s="7"/>
      <c r="IR15" s="7"/>
      <c r="IS15" s="7"/>
      <c r="IT15" s="7"/>
      <c r="IU15" s="7"/>
      <c r="IV15" s="7"/>
      <c r="IW15" s="7"/>
      <c r="IX15" s="7"/>
      <c r="IY15" s="7"/>
      <c r="IZ15" s="7"/>
      <c r="JA15" s="7"/>
      <c r="JB15" s="7"/>
      <c r="JC15" s="7"/>
      <c r="JD15" s="7"/>
      <c r="JE15" s="7"/>
      <c r="JF15" s="7"/>
      <c r="JG15" s="7"/>
      <c r="JH15" s="7"/>
      <c r="JI15" s="7"/>
      <c r="JJ15" s="7"/>
      <c r="JK15" s="7"/>
      <c r="JL15" s="7"/>
      <c r="JM15" s="7"/>
      <c r="JN15" s="7"/>
      <c r="JO15" s="7"/>
      <c r="JP15" s="7"/>
      <c r="JQ15" s="7"/>
      <c r="JR15" s="7"/>
      <c r="JS15" s="7"/>
      <c r="JT15" s="7"/>
      <c r="JU15" s="7"/>
      <c r="JV15" s="7"/>
      <c r="JW15" s="7"/>
      <c r="JX15" s="7"/>
      <c r="JY15" s="7"/>
      <c r="JZ15" s="7"/>
      <c r="KA15" s="7"/>
      <c r="KB15" s="7"/>
      <c r="KC15" s="7"/>
      <c r="KD15" s="7"/>
      <c r="KE15" s="7"/>
      <c r="KF15" s="7"/>
      <c r="KG15" s="7"/>
      <c r="KH15" s="7"/>
      <c r="KI15" s="7"/>
      <c r="KJ15" s="7"/>
      <c r="KK15" s="7"/>
      <c r="KL15" s="7"/>
      <c r="KM15" s="7"/>
      <c r="KN15" s="7"/>
      <c r="KO15" s="7"/>
      <c r="KP15" s="7"/>
      <c r="KQ15" s="7"/>
      <c r="KR15" s="7"/>
      <c r="KS15" s="7"/>
      <c r="KT15" s="7"/>
      <c r="KU15" s="7"/>
      <c r="KV15" s="7"/>
      <c r="KW15" s="7"/>
      <c r="KX15" s="7"/>
      <c r="KY15" s="7"/>
      <c r="KZ15" s="7"/>
      <c r="LA15" s="7"/>
      <c r="LB15" s="7"/>
      <c r="LC15" s="7"/>
      <c r="LD15" s="7"/>
      <c r="LE15" s="7"/>
      <c r="LF15" s="7"/>
      <c r="LG15" s="7"/>
      <c r="LH15" s="7"/>
      <c r="LI15" s="7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  <c r="LU15" s="7"/>
      <c r="LV15" s="7"/>
      <c r="LW15" s="7"/>
      <c r="LX15" s="7"/>
      <c r="LY15" s="7"/>
      <c r="LZ15" s="7"/>
      <c r="MA15" s="7"/>
      <c r="MB15" s="7"/>
      <c r="MC15" s="7"/>
      <c r="MD15" s="7"/>
      <c r="ME15" s="7"/>
      <c r="MF15" s="7"/>
      <c r="MG15" s="7"/>
      <c r="MH15" s="7"/>
      <c r="MI15" s="7"/>
      <c r="MJ15" s="7"/>
      <c r="MK15" s="7"/>
      <c r="ML15" s="7"/>
      <c r="MM15" s="7"/>
      <c r="MN15" s="7"/>
      <c r="MO15" s="7"/>
      <c r="MP15" s="7"/>
      <c r="MQ15" s="7"/>
      <c r="MR15" s="7"/>
      <c r="MS15" s="7"/>
      <c r="MT15" s="7"/>
      <c r="MU15" s="7"/>
      <c r="MV15" s="7"/>
      <c r="MW15" s="7"/>
      <c r="MX15" s="7"/>
      <c r="MY15" s="7"/>
      <c r="MZ15" s="7"/>
      <c r="NA15" s="7"/>
      <c r="NB15" s="7"/>
      <c r="NC15" s="7"/>
      <c r="ND15" s="7"/>
      <c r="NE15" s="7"/>
      <c r="NF15" s="7"/>
      <c r="NG15" s="7"/>
      <c r="NH15" s="7"/>
      <c r="NI15" s="7"/>
      <c r="NJ15" s="7"/>
      <c r="NK15" s="7"/>
      <c r="NL15" s="7"/>
      <c r="NM15" s="7"/>
      <c r="NN15" s="7"/>
      <c r="NO15" s="7"/>
      <c r="NP15" s="7"/>
      <c r="NQ15" s="7"/>
      <c r="NR15" s="7"/>
      <c r="NS15" s="7"/>
      <c r="NT15" s="7"/>
      <c r="NU15" s="7"/>
      <c r="NV15" s="7"/>
      <c r="NW15" s="7"/>
      <c r="NX15" s="7"/>
      <c r="NY15" s="7"/>
      <c r="NZ15" s="7"/>
      <c r="OA15" s="7"/>
      <c r="OB15" s="7"/>
      <c r="OC15" s="7"/>
      <c r="OD15" s="7"/>
      <c r="OE15" s="7"/>
      <c r="OF15" s="7"/>
      <c r="OG15" s="7"/>
      <c r="OH15" s="7"/>
      <c r="OI15" s="7"/>
      <c r="OJ15" s="7"/>
      <c r="OK15" s="7"/>
      <c r="OL15" s="7"/>
      <c r="OM15" s="7"/>
      <c r="ON15" s="7"/>
      <c r="OO15" s="7"/>
      <c r="OP15" s="7"/>
      <c r="OQ15" s="7"/>
      <c r="OR15" s="7"/>
      <c r="OS15" s="7"/>
      <c r="OT15" s="7"/>
      <c r="OU15" s="7"/>
      <c r="OV15" s="7"/>
      <c r="OW15" s="7"/>
      <c r="OX15" s="7"/>
      <c r="OY15" s="7"/>
      <c r="OZ15" s="7"/>
      <c r="PA15" s="7"/>
      <c r="PB15" s="7"/>
      <c r="PC15" s="7"/>
      <c r="PD15" s="7"/>
      <c r="PE15" s="7"/>
      <c r="PF15" s="7"/>
      <c r="PG15" s="7"/>
      <c r="PH15" s="7"/>
      <c r="PI15" s="7"/>
      <c r="PJ15" s="7"/>
      <c r="PK15" s="7"/>
      <c r="PL15" s="7"/>
      <c r="PM15" s="7"/>
      <c r="PN15" s="7"/>
      <c r="PO15" s="7"/>
      <c r="PP15" s="7"/>
      <c r="PQ15" s="7"/>
      <c r="PR15" s="7"/>
      <c r="PS15" s="7"/>
      <c r="PT15" s="7"/>
      <c r="PU15" s="7"/>
      <c r="PV15" s="7"/>
      <c r="PW15" s="7"/>
      <c r="PX15" s="7"/>
      <c r="PY15" s="7"/>
      <c r="PZ15" s="7"/>
      <c r="QA15" s="7"/>
      <c r="QB15" s="7"/>
      <c r="QC15" s="7"/>
      <c r="QD15" s="7"/>
      <c r="QE15" s="7"/>
      <c r="QF15" s="7"/>
      <c r="QG15" s="7"/>
      <c r="QH15" s="7"/>
      <c r="QI15" s="7"/>
      <c r="QJ15" s="7"/>
      <c r="QK15" s="7"/>
      <c r="QL15" s="7"/>
      <c r="QM15" s="7"/>
      <c r="QN15" s="7"/>
      <c r="QO15" s="7"/>
      <c r="QP15" s="7"/>
      <c r="QQ15" s="7"/>
      <c r="QR15" s="7"/>
      <c r="QS15" s="7"/>
      <c r="QT15" s="7"/>
      <c r="QU15" s="7"/>
      <c r="QV15" s="7"/>
      <c r="QW15" s="7"/>
      <c r="QX15" s="7"/>
      <c r="QY15" s="7"/>
      <c r="QZ15" s="7"/>
      <c r="RA15" s="7"/>
      <c r="RB15" s="7"/>
      <c r="RC15" s="7"/>
      <c r="RD15" s="7"/>
      <c r="RE15" s="7"/>
      <c r="RF15" s="7"/>
      <c r="RG15" s="7"/>
      <c r="RH15" s="7"/>
      <c r="RI15" s="7"/>
      <c r="RJ15" s="7"/>
      <c r="RK15" s="7"/>
      <c r="RL15" s="7"/>
      <c r="RM15" s="7"/>
      <c r="RN15" s="7"/>
      <c r="RO15" s="7"/>
      <c r="RP15" s="7"/>
      <c r="RQ15" s="7"/>
      <c r="RR15" s="7"/>
      <c r="RS15" s="7"/>
      <c r="RT15" s="7"/>
      <c r="RU15" s="7"/>
      <c r="RV15" s="7"/>
      <c r="RW15" s="7"/>
      <c r="RX15" s="7"/>
      <c r="RY15" s="7"/>
      <c r="RZ15" s="7"/>
      <c r="SA15" s="7"/>
      <c r="SB15" s="7"/>
      <c r="SC15" s="7"/>
      <c r="SD15" s="7"/>
      <c r="SE15" s="7"/>
      <c r="SF15" s="7"/>
      <c r="SG15" s="7"/>
      <c r="SH15" s="7"/>
      <c r="SI15" s="7"/>
      <c r="SJ15" s="7"/>
      <c r="SK15" s="7"/>
      <c r="SL15" s="7"/>
      <c r="SM15" s="7"/>
      <c r="SN15" s="7"/>
      <c r="SO15" s="7"/>
      <c r="SP15" s="7"/>
      <c r="SQ15" s="7"/>
      <c r="SR15" s="7"/>
      <c r="SS15" s="7"/>
      <c r="ST15" s="7"/>
      <c r="SU15" s="7"/>
      <c r="SV15" s="7"/>
      <c r="SW15" s="7"/>
      <c r="SX15" s="7"/>
      <c r="SY15" s="7"/>
      <c r="SZ15" s="7"/>
      <c r="TA15" s="7"/>
      <c r="TB15" s="7"/>
      <c r="TC15" s="7"/>
      <c r="TD15" s="7"/>
      <c r="TE15" s="7"/>
      <c r="TF15" s="7"/>
      <c r="TG15" s="7"/>
      <c r="TH15" s="7"/>
      <c r="TI15" s="7"/>
      <c r="TJ15" s="7"/>
      <c r="TK15" s="7"/>
      <c r="TL15" s="7"/>
      <c r="TM15" s="7"/>
      <c r="TN15" s="7"/>
      <c r="TO15" s="7"/>
      <c r="TP15" s="7"/>
      <c r="TQ15" s="7"/>
      <c r="TR15" s="7"/>
      <c r="TS15" s="7"/>
      <c r="TT15" s="7"/>
      <c r="TU15" s="7"/>
      <c r="TV15" s="7"/>
      <c r="TW15" s="7"/>
      <c r="TX15" s="7"/>
      <c r="TY15" s="7"/>
      <c r="TZ15" s="7"/>
      <c r="UA15" s="7"/>
      <c r="UB15" s="7"/>
      <c r="UC15" s="7"/>
      <c r="UD15" s="7"/>
      <c r="UE15" s="7"/>
      <c r="UF15" s="7"/>
      <c r="UG15" s="7"/>
      <c r="UH15" s="7"/>
      <c r="UI15" s="7"/>
      <c r="UJ15" s="7"/>
      <c r="UK15" s="7"/>
      <c r="UL15" s="7"/>
      <c r="UM15" s="7"/>
      <c r="UN15" s="7"/>
      <c r="UO15" s="7"/>
      <c r="UP15" s="7"/>
      <c r="UQ15" s="7"/>
      <c r="UR15" s="7"/>
      <c r="US15" s="7"/>
      <c r="UT15" s="7"/>
      <c r="UU15" s="7"/>
      <c r="UV15" s="7"/>
      <c r="UW15" s="7"/>
      <c r="UX15" s="7"/>
      <c r="UY15" s="7"/>
      <c r="UZ15" s="7"/>
      <c r="VA15" s="7"/>
      <c r="VB15" s="7"/>
      <c r="VC15" s="7"/>
      <c r="VD15" s="7"/>
      <c r="VE15" s="7"/>
      <c r="VF15" s="7"/>
      <c r="VG15" s="7"/>
      <c r="VH15" s="7"/>
      <c r="VI15" s="7"/>
      <c r="VJ15" s="7"/>
      <c r="VK15" s="7"/>
      <c r="VL15" s="7"/>
      <c r="VM15" s="7"/>
      <c r="VN15" s="7"/>
      <c r="VO15" s="7"/>
      <c r="VP15" s="7"/>
      <c r="VQ15" s="7"/>
      <c r="VR15" s="7"/>
      <c r="VS15" s="7"/>
      <c r="VT15" s="7"/>
      <c r="VU15" s="7"/>
      <c r="VV15" s="7"/>
      <c r="VW15" s="7"/>
      <c r="VX15" s="7"/>
      <c r="VY15" s="7"/>
      <c r="VZ15" s="7"/>
      <c r="WA15" s="7"/>
      <c r="WB15" s="7"/>
      <c r="WC15" s="7"/>
      <c r="WD15" s="7"/>
      <c r="WE15" s="7"/>
      <c r="WF15" s="7"/>
      <c r="WG15" s="7"/>
      <c r="WH15" s="7"/>
      <c r="WI15" s="7"/>
      <c r="WJ15" s="7"/>
      <c r="WK15" s="7"/>
      <c r="WL15" s="7"/>
      <c r="WM15" s="7"/>
      <c r="WN15" s="7"/>
      <c r="WO15" s="7"/>
      <c r="WP15" s="7"/>
      <c r="WQ15" s="7"/>
      <c r="WR15" s="7"/>
      <c r="WS15" s="7"/>
      <c r="WT15" s="7"/>
      <c r="WU15" s="7"/>
      <c r="WV15" s="7"/>
      <c r="WW15" s="7"/>
      <c r="WX15" s="7"/>
      <c r="WY15" s="7"/>
      <c r="WZ15" s="7"/>
      <c r="XA15" s="7"/>
      <c r="XB15" s="7"/>
      <c r="XC15" s="7"/>
      <c r="XD15" s="7"/>
      <c r="XE15" s="7"/>
      <c r="XF15" s="7"/>
      <c r="XG15" s="7"/>
      <c r="XH15" s="7"/>
      <c r="XI15" s="7"/>
      <c r="XJ15" s="7"/>
      <c r="XK15" s="7"/>
      <c r="XL15" s="7"/>
      <c r="XM15" s="7"/>
      <c r="XN15" s="7"/>
      <c r="XO15" s="7"/>
      <c r="XP15" s="7"/>
      <c r="XQ15" s="7"/>
      <c r="XR15" s="7"/>
      <c r="XS15" s="7"/>
      <c r="XT15" s="7"/>
      <c r="XU15" s="7"/>
      <c r="XV15" s="7"/>
      <c r="XW15" s="7"/>
      <c r="XX15" s="7"/>
      <c r="XY15" s="7"/>
      <c r="XZ15" s="7"/>
      <c r="YA15" s="7"/>
      <c r="YB15" s="7"/>
      <c r="YC15" s="7"/>
      <c r="YD15" s="7"/>
      <c r="YE15" s="7"/>
      <c r="YF15" s="7"/>
      <c r="YG15" s="7"/>
      <c r="YH15" s="7"/>
      <c r="YI15" s="7"/>
      <c r="YJ15" s="7"/>
      <c r="YK15" s="7"/>
      <c r="YL15" s="7"/>
      <c r="YM15" s="7"/>
      <c r="YN15" s="7"/>
      <c r="YO15" s="7"/>
      <c r="YP15" s="7"/>
      <c r="YQ15" s="7"/>
      <c r="YR15" s="7"/>
      <c r="YS15" s="7"/>
      <c r="YT15" s="7"/>
      <c r="YU15" s="7"/>
      <c r="YV15" s="7"/>
      <c r="YW15" s="7"/>
      <c r="YX15" s="7"/>
      <c r="YY15" s="7"/>
      <c r="YZ15" s="7"/>
      <c r="ZA15" s="7"/>
      <c r="ZB15" s="7"/>
      <c r="ZC15" s="7"/>
      <c r="ZD15" s="7"/>
      <c r="ZE15" s="7"/>
      <c r="ZF15" s="7"/>
      <c r="ZG15" s="7"/>
      <c r="ZH15" s="7"/>
      <c r="ZI15" s="7"/>
      <c r="ZJ15" s="7"/>
      <c r="ZK15" s="7"/>
      <c r="ZL15" s="7"/>
      <c r="ZM15" s="7"/>
      <c r="ZN15" s="7"/>
      <c r="ZO15" s="7"/>
      <c r="ZP15" s="7"/>
      <c r="ZQ15" s="7"/>
      <c r="ZR15" s="7"/>
      <c r="ZS15" s="7"/>
      <c r="ZT15" s="7"/>
      <c r="ZU15" s="7"/>
      <c r="ZV15" s="7"/>
      <c r="ZW15" s="7"/>
      <c r="ZX15" s="7"/>
      <c r="ZY15" s="7"/>
      <c r="ZZ15" s="7"/>
      <c r="AAA15" s="7"/>
      <c r="AAB15" s="7"/>
      <c r="AAC15" s="7"/>
      <c r="AAD15" s="7"/>
      <c r="AAE15" s="7"/>
      <c r="AAF15" s="7"/>
      <c r="AAG15" s="7"/>
      <c r="AAH15" s="7"/>
      <c r="AAI15" s="7"/>
      <c r="AAJ15" s="7"/>
      <c r="AAK15" s="7"/>
      <c r="AAL15" s="7"/>
      <c r="AAM15" s="7"/>
      <c r="AAN15" s="7"/>
      <c r="AAO15" s="7"/>
      <c r="AAP15" s="7"/>
      <c r="AAQ15" s="7"/>
      <c r="AAR15" s="7"/>
      <c r="AAS15" s="7"/>
      <c r="AAT15" s="7"/>
      <c r="AAU15" s="7"/>
      <c r="AAV15" s="7"/>
      <c r="AAW15" s="7"/>
      <c r="AAX15" s="7"/>
      <c r="AAY15" s="7"/>
      <c r="AAZ15" s="7"/>
      <c r="ABA15" s="7"/>
      <c r="ABB15" s="7"/>
      <c r="ABC15" s="7"/>
      <c r="ABD15" s="7"/>
      <c r="ABE15" s="7"/>
      <c r="ABF15" s="7"/>
      <c r="ABG15" s="7"/>
      <c r="ABH15" s="7"/>
      <c r="ABI15" s="7"/>
      <c r="ABJ15" s="7"/>
      <c r="ABK15" s="7"/>
      <c r="ABL15" s="7"/>
      <c r="ABM15" s="7"/>
      <c r="ABN15" s="7"/>
      <c r="ABO15" s="7"/>
      <c r="ABP15" s="7"/>
      <c r="ABQ15" s="7"/>
      <c r="ABR15" s="7"/>
      <c r="ABS15" s="7"/>
      <c r="ABT15" s="7"/>
      <c r="ABU15" s="7"/>
      <c r="ABV15" s="7"/>
      <c r="ABW15" s="7"/>
      <c r="ABX15" s="7"/>
      <c r="ABY15" s="7"/>
      <c r="ABZ15" s="7"/>
      <c r="ACA15" s="7"/>
      <c r="ACB15" s="7"/>
      <c r="ACC15" s="7"/>
      <c r="ACD15" s="7"/>
      <c r="ACE15" s="7"/>
      <c r="ACF15" s="7"/>
      <c r="ACG15" s="7"/>
      <c r="ACH15" s="7"/>
      <c r="ACI15" s="7"/>
      <c r="ACJ15" s="7"/>
      <c r="ACK15" s="7"/>
      <c r="ACL15" s="7"/>
      <c r="ACM15" s="7"/>
      <c r="ACN15" s="7"/>
      <c r="ACO15" s="7"/>
      <c r="ACP15" s="7"/>
      <c r="ACQ15" s="7"/>
      <c r="ACR15" s="7"/>
      <c r="ACS15" s="7"/>
      <c r="ACT15" s="7"/>
      <c r="ACU15" s="7"/>
      <c r="ACV15" s="7"/>
      <c r="ACW15" s="7"/>
      <c r="ACX15" s="7"/>
      <c r="ACY15" s="7"/>
      <c r="ACZ15" s="7"/>
      <c r="ADA15" s="7"/>
      <c r="ADB15" s="7"/>
      <c r="ADC15" s="7"/>
      <c r="ADD15" s="7"/>
      <c r="ADE15" s="7"/>
      <c r="ADF15" s="7"/>
      <c r="ADG15" s="7"/>
      <c r="ADH15" s="7"/>
      <c r="ADI15" s="7"/>
      <c r="ADJ15" s="7"/>
      <c r="ADK15" s="7"/>
      <c r="ADL15" s="7"/>
      <c r="ADM15" s="7"/>
      <c r="ADN15" s="7"/>
      <c r="ADO15" s="7"/>
      <c r="ADP15" s="7"/>
      <c r="ADQ15" s="7"/>
      <c r="ADR15" s="7"/>
      <c r="ADS15" s="7"/>
      <c r="ADT15" s="7"/>
      <c r="ADU15" s="7"/>
      <c r="ADV15" s="7"/>
      <c r="ADW15" s="7"/>
      <c r="ADX15" s="7"/>
      <c r="ADY15" s="7"/>
      <c r="ADZ15" s="7"/>
      <c r="AEA15" s="7"/>
      <c r="AEB15" s="7"/>
      <c r="AEC15" s="7"/>
      <c r="AED15" s="7"/>
      <c r="AEE15" s="7"/>
      <c r="AEF15" s="7"/>
      <c r="AEG15" s="7"/>
      <c r="AEH15" s="7"/>
      <c r="AEI15" s="7"/>
      <c r="AEJ15" s="7"/>
      <c r="AEK15" s="7"/>
      <c r="AEL15" s="7"/>
      <c r="AEM15" s="7"/>
      <c r="AEN15" s="7"/>
      <c r="AEO15" s="7"/>
      <c r="AEP15" s="7"/>
      <c r="AEQ15" s="7"/>
      <c r="AER15" s="7"/>
      <c r="AES15" s="7"/>
      <c r="AET15" s="7"/>
      <c r="AEU15" s="7"/>
      <c r="AEV15" s="7"/>
      <c r="AEW15" s="7"/>
      <c r="AEX15" s="7"/>
      <c r="AEY15" s="7"/>
      <c r="AEZ15" s="7"/>
      <c r="AFA15" s="7"/>
      <c r="AFB15" s="7"/>
      <c r="AFC15" s="7"/>
      <c r="AFD15" s="7"/>
      <c r="AFE15" s="7"/>
      <c r="AFF15" s="7"/>
      <c r="AFG15" s="7"/>
      <c r="AFH15" s="7"/>
      <c r="AFI15" s="7"/>
      <c r="AFJ15" s="7"/>
      <c r="AFK15" s="7"/>
      <c r="AFL15" s="7"/>
      <c r="AFM15" s="7"/>
      <c r="AFN15" s="7"/>
      <c r="AFO15" s="7"/>
      <c r="AFP15" s="7"/>
      <c r="AFQ15" s="7"/>
      <c r="AFR15" s="7"/>
      <c r="AFS15" s="7"/>
      <c r="AFT15" s="7"/>
      <c r="AFU15" s="7"/>
      <c r="AFV15" s="7"/>
      <c r="AFW15" s="7"/>
      <c r="AFX15" s="7"/>
      <c r="AFY15" s="7"/>
      <c r="AFZ15" s="7"/>
      <c r="AGA15" s="7"/>
      <c r="AGB15" s="7"/>
      <c r="AGC15" s="7"/>
      <c r="AGD15" s="7"/>
      <c r="AGE15" s="7"/>
      <c r="AGF15" s="7"/>
      <c r="AGG15" s="7"/>
      <c r="AGH15" s="7"/>
      <c r="AGI15" s="7"/>
      <c r="AGJ15" s="7"/>
      <c r="AGK15" s="7"/>
      <c r="AGL15" s="7"/>
      <c r="AGM15" s="7"/>
      <c r="AGN15" s="7"/>
      <c r="AGO15" s="7"/>
      <c r="AGP15" s="7"/>
      <c r="AGQ15" s="7"/>
      <c r="AGR15" s="7"/>
      <c r="AGS15" s="7"/>
      <c r="AGT15" s="7"/>
      <c r="AGU15" s="7"/>
      <c r="AGV15" s="7"/>
      <c r="AGW15" s="7"/>
      <c r="AGX15" s="7"/>
      <c r="AGY15" s="7"/>
      <c r="AGZ15" s="7"/>
      <c r="AHA15" s="7"/>
      <c r="AHB15" s="7"/>
      <c r="AHC15" s="7"/>
      <c r="AHD15" s="7"/>
      <c r="AHE15" s="7"/>
      <c r="AHF15" s="7"/>
      <c r="AHG15" s="7"/>
      <c r="AHH15" s="7"/>
      <c r="AHI15" s="7"/>
      <c r="AHJ15" s="7"/>
      <c r="AHK15" s="7"/>
      <c r="AHL15" s="7"/>
      <c r="AHM15" s="7"/>
      <c r="AHN15" s="7"/>
      <c r="AHO15" s="7"/>
      <c r="AHP15" s="7"/>
      <c r="AHQ15" s="7"/>
      <c r="AHR15" s="7"/>
      <c r="AHS15" s="7"/>
      <c r="AHT15" s="7"/>
      <c r="AHU15" s="7"/>
      <c r="AHV15" s="7"/>
      <c r="AHW15" s="7"/>
      <c r="AHX15" s="7"/>
      <c r="AHY15" s="7"/>
      <c r="AHZ15" s="7"/>
      <c r="AIA15" s="7"/>
      <c r="AIB15" s="7"/>
      <c r="AIC15" s="7"/>
      <c r="AID15" s="7"/>
      <c r="AIE15" s="7"/>
      <c r="AIF15" s="7"/>
      <c r="AIG15" s="7"/>
      <c r="AIH15" s="7"/>
      <c r="AII15" s="7"/>
      <c r="AIJ15" s="7"/>
      <c r="AIK15" s="7"/>
      <c r="AIL15" s="7"/>
      <c r="AIM15" s="7"/>
      <c r="AIN15" s="7"/>
      <c r="AIO15" s="7"/>
      <c r="AIP15" s="7"/>
      <c r="AIQ15" s="7"/>
      <c r="AIR15" s="7"/>
      <c r="AIS15" s="7"/>
      <c r="AIT15" s="7"/>
      <c r="AIU15" s="7"/>
      <c r="AIV15" s="7"/>
      <c r="AIW15" s="7"/>
      <c r="AIX15" s="7"/>
      <c r="AIY15" s="7"/>
      <c r="AIZ15" s="7"/>
      <c r="AJA15" s="7"/>
      <c r="AJB15" s="7"/>
      <c r="AJC15" s="7"/>
      <c r="AJD15" s="7"/>
      <c r="AJE15" s="7"/>
      <c r="AJF15" s="7"/>
      <c r="AJG15" s="7"/>
      <c r="AJH15" s="7"/>
      <c r="AJI15" s="7"/>
      <c r="AJJ15" s="7"/>
      <c r="AJK15" s="7"/>
      <c r="AJL15" s="7"/>
      <c r="AJM15" s="7"/>
      <c r="AJN15" s="7"/>
      <c r="AJO15" s="7"/>
      <c r="AJP15" s="7"/>
      <c r="AJQ15" s="7"/>
      <c r="AJR15" s="7"/>
      <c r="AJS15" s="7"/>
      <c r="AJT15" s="7"/>
      <c r="AJU15" s="7"/>
      <c r="AJV15" s="7"/>
      <c r="AJW15" s="7"/>
      <c r="AJX15" s="7"/>
      <c r="AJY15" s="7"/>
      <c r="AJZ15" s="7"/>
      <c r="AKA15" s="7"/>
      <c r="AKB15" s="7"/>
      <c r="AKC15" s="7"/>
      <c r="AKD15" s="7"/>
      <c r="AKE15" s="7"/>
      <c r="AKF15" s="7"/>
      <c r="AKG15" s="7"/>
      <c r="AKH15" s="7"/>
      <c r="AKI15" s="7"/>
      <c r="AKJ15" s="7"/>
      <c r="AKK15" s="7"/>
      <c r="AKL15" s="7"/>
      <c r="AKM15" s="7"/>
      <c r="AKN15" s="7"/>
      <c r="AKO15" s="7"/>
      <c r="AKP15" s="7"/>
      <c r="AKQ15" s="7"/>
      <c r="AKR15" s="7"/>
      <c r="AKS15" s="7"/>
      <c r="AKT15" s="7"/>
      <c r="AKU15" s="7"/>
      <c r="AKV15" s="7"/>
      <c r="AKW15" s="7"/>
      <c r="AKX15" s="7"/>
      <c r="AKY15" s="7"/>
      <c r="AKZ15" s="7"/>
      <c r="ALA15" s="7"/>
      <c r="ALB15" s="7"/>
      <c r="ALC15" s="7"/>
      <c r="ALD15" s="7"/>
      <c r="ALE15" s="7"/>
      <c r="ALF15" s="7"/>
      <c r="ALG15" s="7"/>
      <c r="ALH15" s="7"/>
      <c r="ALI15" s="7"/>
      <c r="ALJ15" s="7"/>
      <c r="ALK15" s="7"/>
      <c r="ALL15" s="7"/>
      <c r="ALM15" s="7"/>
      <c r="ALN15" s="7"/>
      <c r="ALO15" s="7"/>
      <c r="ALP15" s="7"/>
      <c r="ALQ15" s="7"/>
      <c r="ALR15" s="7"/>
      <c r="ALS15" s="7"/>
      <c r="ALT15" s="7"/>
      <c r="ALU15" s="7"/>
      <c r="ALV15" s="7"/>
      <c r="ALW15" s="7"/>
      <c r="ALX15" s="7"/>
      <c r="ALY15" s="7"/>
      <c r="ALZ15" s="7"/>
      <c r="AMA15" s="7"/>
      <c r="AMB15" s="7"/>
      <c r="AMC15" s="7"/>
      <c r="AMD15" s="7"/>
      <c r="AME15" s="7"/>
      <c r="AMF15" s="7"/>
      <c r="AMG15" s="7"/>
      <c r="AMH15" s="7"/>
      <c r="AMI15" s="7"/>
      <c r="AMJ15" s="7"/>
    </row>
    <row r="16" customFormat="false" ht="15.8" hidden="false" customHeight="false" outlineLevel="0" collapsed="false">
      <c r="A16" s="6"/>
      <c r="B16" s="7"/>
      <c r="C16" s="6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  <c r="GM16" s="7"/>
      <c r="GN16" s="7"/>
      <c r="GO16" s="7"/>
      <c r="GP16" s="7"/>
      <c r="GQ16" s="7"/>
      <c r="GR16" s="7"/>
      <c r="GS16" s="7"/>
      <c r="GT16" s="7"/>
      <c r="GU16" s="7"/>
      <c r="GV16" s="7"/>
      <c r="GW16" s="7"/>
      <c r="GX16" s="7"/>
      <c r="GY16" s="7"/>
      <c r="GZ16" s="7"/>
      <c r="HA16" s="7"/>
      <c r="HB16" s="7"/>
      <c r="HC16" s="7"/>
      <c r="HD16" s="7"/>
      <c r="HE16" s="7"/>
      <c r="HF16" s="7"/>
      <c r="HG16" s="7"/>
      <c r="HH16" s="7"/>
      <c r="HI16" s="7"/>
      <c r="HJ16" s="7"/>
      <c r="HK16" s="7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  <c r="IG16" s="7"/>
      <c r="IH16" s="7"/>
      <c r="II16" s="7"/>
      <c r="IJ16" s="7"/>
      <c r="IK16" s="7"/>
      <c r="IL16" s="7"/>
      <c r="IM16" s="7"/>
      <c r="IN16" s="7"/>
      <c r="IO16" s="7"/>
      <c r="IP16" s="7"/>
      <c r="IQ16" s="7"/>
      <c r="IR16" s="7"/>
      <c r="IS16" s="7"/>
      <c r="IT16" s="7"/>
      <c r="IU16" s="7"/>
      <c r="IV16" s="7"/>
      <c r="IW16" s="7"/>
      <c r="IX16" s="7"/>
      <c r="IY16" s="7"/>
      <c r="IZ16" s="7"/>
      <c r="JA16" s="7"/>
      <c r="JB16" s="7"/>
      <c r="JC16" s="7"/>
      <c r="JD16" s="7"/>
      <c r="JE16" s="7"/>
      <c r="JF16" s="7"/>
      <c r="JG16" s="7"/>
      <c r="JH16" s="7"/>
      <c r="JI16" s="7"/>
      <c r="JJ16" s="7"/>
      <c r="JK16" s="7"/>
      <c r="JL16" s="7"/>
      <c r="JM16" s="7"/>
      <c r="JN16" s="7"/>
      <c r="JO16" s="7"/>
      <c r="JP16" s="7"/>
      <c r="JQ16" s="7"/>
      <c r="JR16" s="7"/>
      <c r="JS16" s="7"/>
      <c r="JT16" s="7"/>
      <c r="JU16" s="7"/>
      <c r="JV16" s="7"/>
      <c r="JW16" s="7"/>
      <c r="JX16" s="7"/>
      <c r="JY16" s="7"/>
      <c r="JZ16" s="7"/>
      <c r="KA16" s="7"/>
      <c r="KB16" s="7"/>
      <c r="KC16" s="7"/>
      <c r="KD16" s="7"/>
      <c r="KE16" s="7"/>
      <c r="KF16" s="7"/>
      <c r="KG16" s="7"/>
      <c r="KH16" s="7"/>
      <c r="KI16" s="7"/>
      <c r="KJ16" s="7"/>
      <c r="KK16" s="7"/>
      <c r="KL16" s="7"/>
      <c r="KM16" s="7"/>
      <c r="KN16" s="7"/>
      <c r="KO16" s="7"/>
      <c r="KP16" s="7"/>
      <c r="KQ16" s="7"/>
      <c r="KR16" s="7"/>
      <c r="KS16" s="7"/>
      <c r="KT16" s="7"/>
      <c r="KU16" s="7"/>
      <c r="KV16" s="7"/>
      <c r="KW16" s="7"/>
      <c r="KX16" s="7"/>
      <c r="KY16" s="7"/>
      <c r="KZ16" s="7"/>
      <c r="LA16" s="7"/>
      <c r="LB16" s="7"/>
      <c r="LC16" s="7"/>
      <c r="LD16" s="7"/>
      <c r="LE16" s="7"/>
      <c r="LF16" s="7"/>
      <c r="LG16" s="7"/>
      <c r="LH16" s="7"/>
      <c r="LI16" s="7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  <c r="LU16" s="7"/>
      <c r="LV16" s="7"/>
      <c r="LW16" s="7"/>
      <c r="LX16" s="7"/>
      <c r="LY16" s="7"/>
      <c r="LZ16" s="7"/>
      <c r="MA16" s="7"/>
      <c r="MB16" s="7"/>
      <c r="MC16" s="7"/>
      <c r="MD16" s="7"/>
      <c r="ME16" s="7"/>
      <c r="MF16" s="7"/>
      <c r="MG16" s="7"/>
      <c r="MH16" s="7"/>
      <c r="MI16" s="7"/>
      <c r="MJ16" s="7"/>
      <c r="MK16" s="7"/>
      <c r="ML16" s="7"/>
      <c r="MM16" s="7"/>
      <c r="MN16" s="7"/>
      <c r="MO16" s="7"/>
      <c r="MP16" s="7"/>
      <c r="MQ16" s="7"/>
      <c r="MR16" s="7"/>
      <c r="MS16" s="7"/>
      <c r="MT16" s="7"/>
      <c r="MU16" s="7"/>
      <c r="MV16" s="7"/>
      <c r="MW16" s="7"/>
      <c r="MX16" s="7"/>
      <c r="MY16" s="7"/>
      <c r="MZ16" s="7"/>
      <c r="NA16" s="7"/>
      <c r="NB16" s="7"/>
      <c r="NC16" s="7"/>
      <c r="ND16" s="7"/>
      <c r="NE16" s="7"/>
      <c r="NF16" s="7"/>
      <c r="NG16" s="7"/>
      <c r="NH16" s="7"/>
      <c r="NI16" s="7"/>
      <c r="NJ16" s="7"/>
      <c r="NK16" s="7"/>
      <c r="NL16" s="7"/>
      <c r="NM16" s="7"/>
      <c r="NN16" s="7"/>
      <c r="NO16" s="7"/>
      <c r="NP16" s="7"/>
      <c r="NQ16" s="7"/>
      <c r="NR16" s="7"/>
      <c r="NS16" s="7"/>
      <c r="NT16" s="7"/>
      <c r="NU16" s="7"/>
      <c r="NV16" s="7"/>
      <c r="NW16" s="7"/>
      <c r="NX16" s="7"/>
      <c r="NY16" s="7"/>
      <c r="NZ16" s="7"/>
      <c r="OA16" s="7"/>
      <c r="OB16" s="7"/>
      <c r="OC16" s="7"/>
      <c r="OD16" s="7"/>
      <c r="OE16" s="7"/>
      <c r="OF16" s="7"/>
      <c r="OG16" s="7"/>
      <c r="OH16" s="7"/>
      <c r="OI16" s="7"/>
      <c r="OJ16" s="7"/>
      <c r="OK16" s="7"/>
      <c r="OL16" s="7"/>
      <c r="OM16" s="7"/>
      <c r="ON16" s="7"/>
      <c r="OO16" s="7"/>
      <c r="OP16" s="7"/>
      <c r="OQ16" s="7"/>
      <c r="OR16" s="7"/>
      <c r="OS16" s="7"/>
      <c r="OT16" s="7"/>
      <c r="OU16" s="7"/>
      <c r="OV16" s="7"/>
      <c r="OW16" s="7"/>
      <c r="OX16" s="7"/>
      <c r="OY16" s="7"/>
      <c r="OZ16" s="7"/>
      <c r="PA16" s="7"/>
      <c r="PB16" s="7"/>
      <c r="PC16" s="7"/>
      <c r="PD16" s="7"/>
      <c r="PE16" s="7"/>
      <c r="PF16" s="7"/>
      <c r="PG16" s="7"/>
      <c r="PH16" s="7"/>
      <c r="PI16" s="7"/>
      <c r="PJ16" s="7"/>
      <c r="PK16" s="7"/>
      <c r="PL16" s="7"/>
      <c r="PM16" s="7"/>
      <c r="PN16" s="7"/>
      <c r="PO16" s="7"/>
      <c r="PP16" s="7"/>
      <c r="PQ16" s="7"/>
      <c r="PR16" s="7"/>
      <c r="PS16" s="7"/>
      <c r="PT16" s="7"/>
      <c r="PU16" s="7"/>
      <c r="PV16" s="7"/>
      <c r="PW16" s="7"/>
      <c r="PX16" s="7"/>
      <c r="PY16" s="7"/>
      <c r="PZ16" s="7"/>
      <c r="QA16" s="7"/>
      <c r="QB16" s="7"/>
      <c r="QC16" s="7"/>
      <c r="QD16" s="7"/>
      <c r="QE16" s="7"/>
      <c r="QF16" s="7"/>
      <c r="QG16" s="7"/>
      <c r="QH16" s="7"/>
      <c r="QI16" s="7"/>
      <c r="QJ16" s="7"/>
      <c r="QK16" s="7"/>
      <c r="QL16" s="7"/>
      <c r="QM16" s="7"/>
      <c r="QN16" s="7"/>
      <c r="QO16" s="7"/>
      <c r="QP16" s="7"/>
      <c r="QQ16" s="7"/>
      <c r="QR16" s="7"/>
      <c r="QS16" s="7"/>
      <c r="QT16" s="7"/>
      <c r="QU16" s="7"/>
      <c r="QV16" s="7"/>
      <c r="QW16" s="7"/>
      <c r="QX16" s="7"/>
      <c r="QY16" s="7"/>
      <c r="QZ16" s="7"/>
      <c r="RA16" s="7"/>
      <c r="RB16" s="7"/>
      <c r="RC16" s="7"/>
      <c r="RD16" s="7"/>
      <c r="RE16" s="7"/>
      <c r="RF16" s="7"/>
      <c r="RG16" s="7"/>
      <c r="RH16" s="7"/>
      <c r="RI16" s="7"/>
      <c r="RJ16" s="7"/>
      <c r="RK16" s="7"/>
      <c r="RL16" s="7"/>
      <c r="RM16" s="7"/>
      <c r="RN16" s="7"/>
      <c r="RO16" s="7"/>
      <c r="RP16" s="7"/>
      <c r="RQ16" s="7"/>
      <c r="RR16" s="7"/>
      <c r="RS16" s="7"/>
      <c r="RT16" s="7"/>
      <c r="RU16" s="7"/>
      <c r="RV16" s="7"/>
      <c r="RW16" s="7"/>
      <c r="RX16" s="7"/>
      <c r="RY16" s="7"/>
      <c r="RZ16" s="7"/>
      <c r="SA16" s="7"/>
      <c r="SB16" s="7"/>
      <c r="SC16" s="7"/>
      <c r="SD16" s="7"/>
      <c r="SE16" s="7"/>
      <c r="SF16" s="7"/>
      <c r="SG16" s="7"/>
      <c r="SH16" s="7"/>
      <c r="SI16" s="7"/>
      <c r="SJ16" s="7"/>
      <c r="SK16" s="7"/>
      <c r="SL16" s="7"/>
      <c r="SM16" s="7"/>
      <c r="SN16" s="7"/>
      <c r="SO16" s="7"/>
      <c r="SP16" s="7"/>
      <c r="SQ16" s="7"/>
      <c r="SR16" s="7"/>
      <c r="SS16" s="7"/>
      <c r="ST16" s="7"/>
      <c r="SU16" s="7"/>
      <c r="SV16" s="7"/>
      <c r="SW16" s="7"/>
      <c r="SX16" s="7"/>
      <c r="SY16" s="7"/>
      <c r="SZ16" s="7"/>
      <c r="TA16" s="7"/>
      <c r="TB16" s="7"/>
      <c r="TC16" s="7"/>
      <c r="TD16" s="7"/>
      <c r="TE16" s="7"/>
      <c r="TF16" s="7"/>
      <c r="TG16" s="7"/>
      <c r="TH16" s="7"/>
      <c r="TI16" s="7"/>
      <c r="TJ16" s="7"/>
      <c r="TK16" s="7"/>
      <c r="TL16" s="7"/>
      <c r="TM16" s="7"/>
      <c r="TN16" s="7"/>
      <c r="TO16" s="7"/>
      <c r="TP16" s="7"/>
      <c r="TQ16" s="7"/>
      <c r="TR16" s="7"/>
      <c r="TS16" s="7"/>
      <c r="TT16" s="7"/>
      <c r="TU16" s="7"/>
      <c r="TV16" s="7"/>
      <c r="TW16" s="7"/>
      <c r="TX16" s="7"/>
      <c r="TY16" s="7"/>
      <c r="TZ16" s="7"/>
      <c r="UA16" s="7"/>
      <c r="UB16" s="7"/>
      <c r="UC16" s="7"/>
      <c r="UD16" s="7"/>
      <c r="UE16" s="7"/>
      <c r="UF16" s="7"/>
      <c r="UG16" s="7"/>
      <c r="UH16" s="7"/>
      <c r="UI16" s="7"/>
      <c r="UJ16" s="7"/>
      <c r="UK16" s="7"/>
      <c r="UL16" s="7"/>
      <c r="UM16" s="7"/>
      <c r="UN16" s="7"/>
      <c r="UO16" s="7"/>
      <c r="UP16" s="7"/>
      <c r="UQ16" s="7"/>
      <c r="UR16" s="7"/>
      <c r="US16" s="7"/>
      <c r="UT16" s="7"/>
      <c r="UU16" s="7"/>
      <c r="UV16" s="7"/>
      <c r="UW16" s="7"/>
      <c r="UX16" s="7"/>
      <c r="UY16" s="7"/>
      <c r="UZ16" s="7"/>
      <c r="VA16" s="7"/>
      <c r="VB16" s="7"/>
      <c r="VC16" s="7"/>
      <c r="VD16" s="7"/>
      <c r="VE16" s="7"/>
      <c r="VF16" s="7"/>
      <c r="VG16" s="7"/>
      <c r="VH16" s="7"/>
      <c r="VI16" s="7"/>
      <c r="VJ16" s="7"/>
      <c r="VK16" s="7"/>
      <c r="VL16" s="7"/>
      <c r="VM16" s="7"/>
      <c r="VN16" s="7"/>
      <c r="VO16" s="7"/>
      <c r="VP16" s="7"/>
      <c r="VQ16" s="7"/>
      <c r="VR16" s="7"/>
      <c r="VS16" s="7"/>
      <c r="VT16" s="7"/>
      <c r="VU16" s="7"/>
      <c r="VV16" s="7"/>
      <c r="VW16" s="7"/>
      <c r="VX16" s="7"/>
      <c r="VY16" s="7"/>
      <c r="VZ16" s="7"/>
      <c r="WA16" s="7"/>
      <c r="WB16" s="7"/>
      <c r="WC16" s="7"/>
      <c r="WD16" s="7"/>
      <c r="WE16" s="7"/>
      <c r="WF16" s="7"/>
      <c r="WG16" s="7"/>
      <c r="WH16" s="7"/>
      <c r="WI16" s="7"/>
      <c r="WJ16" s="7"/>
      <c r="WK16" s="7"/>
      <c r="WL16" s="7"/>
      <c r="WM16" s="7"/>
      <c r="WN16" s="7"/>
      <c r="WO16" s="7"/>
      <c r="WP16" s="7"/>
      <c r="WQ16" s="7"/>
      <c r="WR16" s="7"/>
      <c r="WS16" s="7"/>
      <c r="WT16" s="7"/>
      <c r="WU16" s="7"/>
      <c r="WV16" s="7"/>
      <c r="WW16" s="7"/>
      <c r="WX16" s="7"/>
      <c r="WY16" s="7"/>
      <c r="WZ16" s="7"/>
      <c r="XA16" s="7"/>
      <c r="XB16" s="7"/>
      <c r="XC16" s="7"/>
      <c r="XD16" s="7"/>
      <c r="XE16" s="7"/>
      <c r="XF16" s="7"/>
      <c r="XG16" s="7"/>
      <c r="XH16" s="7"/>
      <c r="XI16" s="7"/>
      <c r="XJ16" s="7"/>
      <c r="XK16" s="7"/>
      <c r="XL16" s="7"/>
      <c r="XM16" s="7"/>
      <c r="XN16" s="7"/>
      <c r="XO16" s="7"/>
      <c r="XP16" s="7"/>
      <c r="XQ16" s="7"/>
      <c r="XR16" s="7"/>
      <c r="XS16" s="7"/>
      <c r="XT16" s="7"/>
      <c r="XU16" s="7"/>
      <c r="XV16" s="7"/>
      <c r="XW16" s="7"/>
      <c r="XX16" s="7"/>
      <c r="XY16" s="7"/>
      <c r="XZ16" s="7"/>
      <c r="YA16" s="7"/>
      <c r="YB16" s="7"/>
      <c r="YC16" s="7"/>
      <c r="YD16" s="7"/>
      <c r="YE16" s="7"/>
      <c r="YF16" s="7"/>
      <c r="YG16" s="7"/>
      <c r="YH16" s="7"/>
      <c r="YI16" s="7"/>
      <c r="YJ16" s="7"/>
      <c r="YK16" s="7"/>
      <c r="YL16" s="7"/>
      <c r="YM16" s="7"/>
      <c r="YN16" s="7"/>
      <c r="YO16" s="7"/>
      <c r="YP16" s="7"/>
      <c r="YQ16" s="7"/>
      <c r="YR16" s="7"/>
      <c r="YS16" s="7"/>
      <c r="YT16" s="7"/>
      <c r="YU16" s="7"/>
      <c r="YV16" s="7"/>
      <c r="YW16" s="7"/>
      <c r="YX16" s="7"/>
      <c r="YY16" s="7"/>
      <c r="YZ16" s="7"/>
      <c r="ZA16" s="7"/>
      <c r="ZB16" s="7"/>
      <c r="ZC16" s="7"/>
      <c r="ZD16" s="7"/>
      <c r="ZE16" s="7"/>
      <c r="ZF16" s="7"/>
      <c r="ZG16" s="7"/>
      <c r="ZH16" s="7"/>
      <c r="ZI16" s="7"/>
      <c r="ZJ16" s="7"/>
      <c r="ZK16" s="7"/>
      <c r="ZL16" s="7"/>
      <c r="ZM16" s="7"/>
      <c r="ZN16" s="7"/>
      <c r="ZO16" s="7"/>
      <c r="ZP16" s="7"/>
      <c r="ZQ16" s="7"/>
      <c r="ZR16" s="7"/>
      <c r="ZS16" s="7"/>
      <c r="ZT16" s="7"/>
      <c r="ZU16" s="7"/>
      <c r="ZV16" s="7"/>
      <c r="ZW16" s="7"/>
      <c r="ZX16" s="7"/>
      <c r="ZY16" s="7"/>
      <c r="ZZ16" s="7"/>
      <c r="AAA16" s="7"/>
      <c r="AAB16" s="7"/>
      <c r="AAC16" s="7"/>
      <c r="AAD16" s="7"/>
      <c r="AAE16" s="7"/>
      <c r="AAF16" s="7"/>
      <c r="AAG16" s="7"/>
      <c r="AAH16" s="7"/>
      <c r="AAI16" s="7"/>
      <c r="AAJ16" s="7"/>
      <c r="AAK16" s="7"/>
      <c r="AAL16" s="7"/>
      <c r="AAM16" s="7"/>
      <c r="AAN16" s="7"/>
      <c r="AAO16" s="7"/>
      <c r="AAP16" s="7"/>
      <c r="AAQ16" s="7"/>
      <c r="AAR16" s="7"/>
      <c r="AAS16" s="7"/>
      <c r="AAT16" s="7"/>
      <c r="AAU16" s="7"/>
      <c r="AAV16" s="7"/>
      <c r="AAW16" s="7"/>
      <c r="AAX16" s="7"/>
      <c r="AAY16" s="7"/>
      <c r="AAZ16" s="7"/>
      <c r="ABA16" s="7"/>
      <c r="ABB16" s="7"/>
      <c r="ABC16" s="7"/>
      <c r="ABD16" s="7"/>
      <c r="ABE16" s="7"/>
      <c r="ABF16" s="7"/>
      <c r="ABG16" s="7"/>
      <c r="ABH16" s="7"/>
      <c r="ABI16" s="7"/>
      <c r="ABJ16" s="7"/>
      <c r="ABK16" s="7"/>
      <c r="ABL16" s="7"/>
      <c r="ABM16" s="7"/>
      <c r="ABN16" s="7"/>
      <c r="ABO16" s="7"/>
      <c r="ABP16" s="7"/>
      <c r="ABQ16" s="7"/>
      <c r="ABR16" s="7"/>
      <c r="ABS16" s="7"/>
      <c r="ABT16" s="7"/>
      <c r="ABU16" s="7"/>
      <c r="ABV16" s="7"/>
      <c r="ABW16" s="7"/>
      <c r="ABX16" s="7"/>
      <c r="ABY16" s="7"/>
      <c r="ABZ16" s="7"/>
      <c r="ACA16" s="7"/>
      <c r="ACB16" s="7"/>
      <c r="ACC16" s="7"/>
      <c r="ACD16" s="7"/>
      <c r="ACE16" s="7"/>
      <c r="ACF16" s="7"/>
      <c r="ACG16" s="7"/>
      <c r="ACH16" s="7"/>
      <c r="ACI16" s="7"/>
      <c r="ACJ16" s="7"/>
      <c r="ACK16" s="7"/>
      <c r="ACL16" s="7"/>
      <c r="ACM16" s="7"/>
      <c r="ACN16" s="7"/>
      <c r="ACO16" s="7"/>
      <c r="ACP16" s="7"/>
      <c r="ACQ16" s="7"/>
      <c r="ACR16" s="7"/>
      <c r="ACS16" s="7"/>
      <c r="ACT16" s="7"/>
      <c r="ACU16" s="7"/>
      <c r="ACV16" s="7"/>
      <c r="ACW16" s="7"/>
      <c r="ACX16" s="7"/>
      <c r="ACY16" s="7"/>
      <c r="ACZ16" s="7"/>
      <c r="ADA16" s="7"/>
      <c r="ADB16" s="7"/>
      <c r="ADC16" s="7"/>
      <c r="ADD16" s="7"/>
      <c r="ADE16" s="7"/>
      <c r="ADF16" s="7"/>
      <c r="ADG16" s="7"/>
      <c r="ADH16" s="7"/>
      <c r="ADI16" s="7"/>
      <c r="ADJ16" s="7"/>
      <c r="ADK16" s="7"/>
      <c r="ADL16" s="7"/>
      <c r="ADM16" s="7"/>
      <c r="ADN16" s="7"/>
      <c r="ADO16" s="7"/>
      <c r="ADP16" s="7"/>
      <c r="ADQ16" s="7"/>
      <c r="ADR16" s="7"/>
      <c r="ADS16" s="7"/>
      <c r="ADT16" s="7"/>
      <c r="ADU16" s="7"/>
      <c r="ADV16" s="7"/>
      <c r="ADW16" s="7"/>
      <c r="ADX16" s="7"/>
      <c r="ADY16" s="7"/>
      <c r="ADZ16" s="7"/>
      <c r="AEA16" s="7"/>
      <c r="AEB16" s="7"/>
      <c r="AEC16" s="7"/>
      <c r="AED16" s="7"/>
      <c r="AEE16" s="7"/>
      <c r="AEF16" s="7"/>
      <c r="AEG16" s="7"/>
      <c r="AEH16" s="7"/>
      <c r="AEI16" s="7"/>
      <c r="AEJ16" s="7"/>
      <c r="AEK16" s="7"/>
      <c r="AEL16" s="7"/>
      <c r="AEM16" s="7"/>
      <c r="AEN16" s="7"/>
      <c r="AEO16" s="7"/>
      <c r="AEP16" s="7"/>
      <c r="AEQ16" s="7"/>
      <c r="AER16" s="7"/>
      <c r="AES16" s="7"/>
      <c r="AET16" s="7"/>
      <c r="AEU16" s="7"/>
      <c r="AEV16" s="7"/>
      <c r="AEW16" s="7"/>
      <c r="AEX16" s="7"/>
      <c r="AEY16" s="7"/>
      <c r="AEZ16" s="7"/>
      <c r="AFA16" s="7"/>
      <c r="AFB16" s="7"/>
      <c r="AFC16" s="7"/>
      <c r="AFD16" s="7"/>
      <c r="AFE16" s="7"/>
      <c r="AFF16" s="7"/>
      <c r="AFG16" s="7"/>
      <c r="AFH16" s="7"/>
      <c r="AFI16" s="7"/>
      <c r="AFJ16" s="7"/>
      <c r="AFK16" s="7"/>
      <c r="AFL16" s="7"/>
      <c r="AFM16" s="7"/>
      <c r="AFN16" s="7"/>
      <c r="AFO16" s="7"/>
      <c r="AFP16" s="7"/>
      <c r="AFQ16" s="7"/>
      <c r="AFR16" s="7"/>
      <c r="AFS16" s="7"/>
      <c r="AFT16" s="7"/>
      <c r="AFU16" s="7"/>
      <c r="AFV16" s="7"/>
      <c r="AFW16" s="7"/>
      <c r="AFX16" s="7"/>
      <c r="AFY16" s="7"/>
      <c r="AFZ16" s="7"/>
      <c r="AGA16" s="7"/>
      <c r="AGB16" s="7"/>
      <c r="AGC16" s="7"/>
      <c r="AGD16" s="7"/>
      <c r="AGE16" s="7"/>
      <c r="AGF16" s="7"/>
      <c r="AGG16" s="7"/>
      <c r="AGH16" s="7"/>
      <c r="AGI16" s="7"/>
      <c r="AGJ16" s="7"/>
      <c r="AGK16" s="7"/>
      <c r="AGL16" s="7"/>
      <c r="AGM16" s="7"/>
      <c r="AGN16" s="7"/>
      <c r="AGO16" s="7"/>
      <c r="AGP16" s="7"/>
      <c r="AGQ16" s="7"/>
      <c r="AGR16" s="7"/>
      <c r="AGS16" s="7"/>
      <c r="AGT16" s="7"/>
      <c r="AGU16" s="7"/>
      <c r="AGV16" s="7"/>
      <c r="AGW16" s="7"/>
      <c r="AGX16" s="7"/>
      <c r="AGY16" s="7"/>
      <c r="AGZ16" s="7"/>
      <c r="AHA16" s="7"/>
      <c r="AHB16" s="7"/>
      <c r="AHC16" s="7"/>
      <c r="AHD16" s="7"/>
      <c r="AHE16" s="7"/>
      <c r="AHF16" s="7"/>
      <c r="AHG16" s="7"/>
      <c r="AHH16" s="7"/>
      <c r="AHI16" s="7"/>
      <c r="AHJ16" s="7"/>
      <c r="AHK16" s="7"/>
      <c r="AHL16" s="7"/>
      <c r="AHM16" s="7"/>
      <c r="AHN16" s="7"/>
      <c r="AHO16" s="7"/>
      <c r="AHP16" s="7"/>
      <c r="AHQ16" s="7"/>
      <c r="AHR16" s="7"/>
      <c r="AHS16" s="7"/>
      <c r="AHT16" s="7"/>
      <c r="AHU16" s="7"/>
      <c r="AHV16" s="7"/>
      <c r="AHW16" s="7"/>
      <c r="AHX16" s="7"/>
      <c r="AHY16" s="7"/>
      <c r="AHZ16" s="7"/>
      <c r="AIA16" s="7"/>
      <c r="AIB16" s="7"/>
      <c r="AIC16" s="7"/>
      <c r="AID16" s="7"/>
      <c r="AIE16" s="7"/>
      <c r="AIF16" s="7"/>
      <c r="AIG16" s="7"/>
      <c r="AIH16" s="7"/>
      <c r="AII16" s="7"/>
      <c r="AIJ16" s="7"/>
      <c r="AIK16" s="7"/>
      <c r="AIL16" s="7"/>
      <c r="AIM16" s="7"/>
      <c r="AIN16" s="7"/>
      <c r="AIO16" s="7"/>
      <c r="AIP16" s="7"/>
      <c r="AIQ16" s="7"/>
      <c r="AIR16" s="7"/>
      <c r="AIS16" s="7"/>
      <c r="AIT16" s="7"/>
      <c r="AIU16" s="7"/>
      <c r="AIV16" s="7"/>
      <c r="AIW16" s="7"/>
      <c r="AIX16" s="7"/>
      <c r="AIY16" s="7"/>
      <c r="AIZ16" s="7"/>
      <c r="AJA16" s="7"/>
      <c r="AJB16" s="7"/>
      <c r="AJC16" s="7"/>
      <c r="AJD16" s="7"/>
      <c r="AJE16" s="7"/>
      <c r="AJF16" s="7"/>
      <c r="AJG16" s="7"/>
      <c r="AJH16" s="7"/>
      <c r="AJI16" s="7"/>
      <c r="AJJ16" s="7"/>
      <c r="AJK16" s="7"/>
      <c r="AJL16" s="7"/>
      <c r="AJM16" s="7"/>
      <c r="AJN16" s="7"/>
      <c r="AJO16" s="7"/>
      <c r="AJP16" s="7"/>
      <c r="AJQ16" s="7"/>
      <c r="AJR16" s="7"/>
      <c r="AJS16" s="7"/>
      <c r="AJT16" s="7"/>
      <c r="AJU16" s="7"/>
      <c r="AJV16" s="7"/>
      <c r="AJW16" s="7"/>
      <c r="AJX16" s="7"/>
      <c r="AJY16" s="7"/>
      <c r="AJZ16" s="7"/>
      <c r="AKA16" s="7"/>
      <c r="AKB16" s="7"/>
      <c r="AKC16" s="7"/>
      <c r="AKD16" s="7"/>
      <c r="AKE16" s="7"/>
      <c r="AKF16" s="7"/>
      <c r="AKG16" s="7"/>
      <c r="AKH16" s="7"/>
      <c r="AKI16" s="7"/>
      <c r="AKJ16" s="7"/>
      <c r="AKK16" s="7"/>
      <c r="AKL16" s="7"/>
      <c r="AKM16" s="7"/>
      <c r="AKN16" s="7"/>
      <c r="AKO16" s="7"/>
      <c r="AKP16" s="7"/>
      <c r="AKQ16" s="7"/>
      <c r="AKR16" s="7"/>
      <c r="AKS16" s="7"/>
      <c r="AKT16" s="7"/>
      <c r="AKU16" s="7"/>
      <c r="AKV16" s="7"/>
      <c r="AKW16" s="7"/>
      <c r="AKX16" s="7"/>
      <c r="AKY16" s="7"/>
      <c r="AKZ16" s="7"/>
      <c r="ALA16" s="7"/>
      <c r="ALB16" s="7"/>
      <c r="ALC16" s="7"/>
      <c r="ALD16" s="7"/>
      <c r="ALE16" s="7"/>
      <c r="ALF16" s="7"/>
      <c r="ALG16" s="7"/>
      <c r="ALH16" s="7"/>
      <c r="ALI16" s="7"/>
      <c r="ALJ16" s="7"/>
      <c r="ALK16" s="7"/>
      <c r="ALL16" s="7"/>
      <c r="ALM16" s="7"/>
      <c r="ALN16" s="7"/>
      <c r="ALO16" s="7"/>
      <c r="ALP16" s="7"/>
      <c r="ALQ16" s="7"/>
      <c r="ALR16" s="7"/>
      <c r="ALS16" s="7"/>
      <c r="ALT16" s="7"/>
      <c r="ALU16" s="7"/>
      <c r="ALV16" s="7"/>
      <c r="ALW16" s="7"/>
      <c r="ALX16" s="7"/>
      <c r="ALY16" s="7"/>
      <c r="ALZ16" s="7"/>
      <c r="AMA16" s="7"/>
      <c r="AMB16" s="7"/>
      <c r="AMC16" s="7"/>
      <c r="AMD16" s="7"/>
      <c r="AME16" s="7"/>
      <c r="AMF16" s="7"/>
      <c r="AMG16" s="7"/>
      <c r="AMH16" s="7"/>
      <c r="AMI16" s="7"/>
      <c r="AMJ16" s="7"/>
    </row>
    <row r="17" customFormat="false" ht="15.8" hidden="false" customHeight="false" outlineLevel="0" collapsed="false">
      <c r="A17" s="6"/>
      <c r="B17" s="7"/>
      <c r="C17" s="6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  <c r="GS17" s="7"/>
      <c r="GT17" s="7"/>
      <c r="GU17" s="7"/>
      <c r="GV17" s="7"/>
      <c r="GW17" s="7"/>
      <c r="GX17" s="7"/>
      <c r="GY17" s="7"/>
      <c r="GZ17" s="7"/>
      <c r="HA17" s="7"/>
      <c r="HB17" s="7"/>
      <c r="HC17" s="7"/>
      <c r="HD17" s="7"/>
      <c r="HE17" s="7"/>
      <c r="HF17" s="7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  <c r="IG17" s="7"/>
      <c r="IH17" s="7"/>
      <c r="II17" s="7"/>
      <c r="IJ17" s="7"/>
      <c r="IK17" s="7"/>
      <c r="IL17" s="7"/>
      <c r="IM17" s="7"/>
      <c r="IN17" s="7"/>
      <c r="IO17" s="7"/>
      <c r="IP17" s="7"/>
      <c r="IQ17" s="7"/>
      <c r="IR17" s="7"/>
      <c r="IS17" s="7"/>
      <c r="IT17" s="7"/>
      <c r="IU17" s="7"/>
      <c r="IV17" s="7"/>
      <c r="IW17" s="7"/>
      <c r="IX17" s="7"/>
      <c r="IY17" s="7"/>
      <c r="IZ17" s="7"/>
      <c r="JA17" s="7"/>
      <c r="JB17" s="7"/>
      <c r="JC17" s="7"/>
      <c r="JD17" s="7"/>
      <c r="JE17" s="7"/>
      <c r="JF17" s="7"/>
      <c r="JG17" s="7"/>
      <c r="JH17" s="7"/>
      <c r="JI17" s="7"/>
      <c r="JJ17" s="7"/>
      <c r="JK17" s="7"/>
      <c r="JL17" s="7"/>
      <c r="JM17" s="7"/>
      <c r="JN17" s="7"/>
      <c r="JO17" s="7"/>
      <c r="JP17" s="7"/>
      <c r="JQ17" s="7"/>
      <c r="JR17" s="7"/>
      <c r="JS17" s="7"/>
      <c r="JT17" s="7"/>
      <c r="JU17" s="7"/>
      <c r="JV17" s="7"/>
      <c r="JW17" s="7"/>
      <c r="JX17" s="7"/>
      <c r="JY17" s="7"/>
      <c r="JZ17" s="7"/>
      <c r="KA17" s="7"/>
      <c r="KB17" s="7"/>
      <c r="KC17" s="7"/>
      <c r="KD17" s="7"/>
      <c r="KE17" s="7"/>
      <c r="KF17" s="7"/>
      <c r="KG17" s="7"/>
      <c r="KH17" s="7"/>
      <c r="KI17" s="7"/>
      <c r="KJ17" s="7"/>
      <c r="KK17" s="7"/>
      <c r="KL17" s="7"/>
      <c r="KM17" s="7"/>
      <c r="KN17" s="7"/>
      <c r="KO17" s="7"/>
      <c r="KP17" s="7"/>
      <c r="KQ17" s="7"/>
      <c r="KR17" s="7"/>
      <c r="KS17" s="7"/>
      <c r="KT17" s="7"/>
      <c r="KU17" s="7"/>
      <c r="KV17" s="7"/>
      <c r="KW17" s="7"/>
      <c r="KX17" s="7"/>
      <c r="KY17" s="7"/>
      <c r="KZ17" s="7"/>
      <c r="LA17" s="7"/>
      <c r="LB17" s="7"/>
      <c r="LC17" s="7"/>
      <c r="LD17" s="7"/>
      <c r="LE17" s="7"/>
      <c r="LF17" s="7"/>
      <c r="LG17" s="7"/>
      <c r="LH17" s="7"/>
      <c r="LI17" s="7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  <c r="LU17" s="7"/>
      <c r="LV17" s="7"/>
      <c r="LW17" s="7"/>
      <c r="LX17" s="7"/>
      <c r="LY17" s="7"/>
      <c r="LZ17" s="7"/>
      <c r="MA17" s="7"/>
      <c r="MB17" s="7"/>
      <c r="MC17" s="7"/>
      <c r="MD17" s="7"/>
      <c r="ME17" s="7"/>
      <c r="MF17" s="7"/>
      <c r="MG17" s="7"/>
      <c r="MH17" s="7"/>
      <c r="MI17" s="7"/>
      <c r="MJ17" s="7"/>
      <c r="MK17" s="7"/>
      <c r="ML17" s="7"/>
      <c r="MM17" s="7"/>
      <c r="MN17" s="7"/>
      <c r="MO17" s="7"/>
      <c r="MP17" s="7"/>
      <c r="MQ17" s="7"/>
      <c r="MR17" s="7"/>
      <c r="MS17" s="7"/>
      <c r="MT17" s="7"/>
      <c r="MU17" s="7"/>
      <c r="MV17" s="7"/>
      <c r="MW17" s="7"/>
      <c r="MX17" s="7"/>
      <c r="MY17" s="7"/>
      <c r="MZ17" s="7"/>
      <c r="NA17" s="7"/>
      <c r="NB17" s="7"/>
      <c r="NC17" s="7"/>
      <c r="ND17" s="7"/>
      <c r="NE17" s="7"/>
      <c r="NF17" s="7"/>
      <c r="NG17" s="7"/>
      <c r="NH17" s="7"/>
      <c r="NI17" s="7"/>
      <c r="NJ17" s="7"/>
      <c r="NK17" s="7"/>
      <c r="NL17" s="7"/>
      <c r="NM17" s="7"/>
      <c r="NN17" s="7"/>
      <c r="NO17" s="7"/>
      <c r="NP17" s="7"/>
      <c r="NQ17" s="7"/>
      <c r="NR17" s="7"/>
      <c r="NS17" s="7"/>
      <c r="NT17" s="7"/>
      <c r="NU17" s="7"/>
      <c r="NV17" s="7"/>
      <c r="NW17" s="7"/>
      <c r="NX17" s="7"/>
      <c r="NY17" s="7"/>
      <c r="NZ17" s="7"/>
      <c r="OA17" s="7"/>
      <c r="OB17" s="7"/>
      <c r="OC17" s="7"/>
      <c r="OD17" s="7"/>
      <c r="OE17" s="7"/>
      <c r="OF17" s="7"/>
      <c r="OG17" s="7"/>
      <c r="OH17" s="7"/>
      <c r="OI17" s="7"/>
      <c r="OJ17" s="7"/>
      <c r="OK17" s="7"/>
      <c r="OL17" s="7"/>
      <c r="OM17" s="7"/>
      <c r="ON17" s="7"/>
      <c r="OO17" s="7"/>
      <c r="OP17" s="7"/>
      <c r="OQ17" s="7"/>
      <c r="OR17" s="7"/>
      <c r="OS17" s="7"/>
      <c r="OT17" s="7"/>
      <c r="OU17" s="7"/>
      <c r="OV17" s="7"/>
      <c r="OW17" s="7"/>
      <c r="OX17" s="7"/>
      <c r="OY17" s="7"/>
      <c r="OZ17" s="7"/>
      <c r="PA17" s="7"/>
      <c r="PB17" s="7"/>
      <c r="PC17" s="7"/>
      <c r="PD17" s="7"/>
      <c r="PE17" s="7"/>
      <c r="PF17" s="7"/>
      <c r="PG17" s="7"/>
      <c r="PH17" s="7"/>
      <c r="PI17" s="7"/>
      <c r="PJ17" s="7"/>
      <c r="PK17" s="7"/>
      <c r="PL17" s="7"/>
      <c r="PM17" s="7"/>
      <c r="PN17" s="7"/>
      <c r="PO17" s="7"/>
      <c r="PP17" s="7"/>
      <c r="PQ17" s="7"/>
      <c r="PR17" s="7"/>
      <c r="PS17" s="7"/>
      <c r="PT17" s="7"/>
      <c r="PU17" s="7"/>
      <c r="PV17" s="7"/>
      <c r="PW17" s="7"/>
      <c r="PX17" s="7"/>
      <c r="PY17" s="7"/>
      <c r="PZ17" s="7"/>
      <c r="QA17" s="7"/>
      <c r="QB17" s="7"/>
      <c r="QC17" s="7"/>
      <c r="QD17" s="7"/>
      <c r="QE17" s="7"/>
      <c r="QF17" s="7"/>
      <c r="QG17" s="7"/>
      <c r="QH17" s="7"/>
      <c r="QI17" s="7"/>
      <c r="QJ17" s="7"/>
      <c r="QK17" s="7"/>
      <c r="QL17" s="7"/>
      <c r="QM17" s="7"/>
      <c r="QN17" s="7"/>
      <c r="QO17" s="7"/>
      <c r="QP17" s="7"/>
      <c r="QQ17" s="7"/>
      <c r="QR17" s="7"/>
      <c r="QS17" s="7"/>
      <c r="QT17" s="7"/>
      <c r="QU17" s="7"/>
      <c r="QV17" s="7"/>
      <c r="QW17" s="7"/>
      <c r="QX17" s="7"/>
      <c r="QY17" s="7"/>
      <c r="QZ17" s="7"/>
      <c r="RA17" s="7"/>
      <c r="RB17" s="7"/>
      <c r="RC17" s="7"/>
      <c r="RD17" s="7"/>
      <c r="RE17" s="7"/>
      <c r="RF17" s="7"/>
      <c r="RG17" s="7"/>
      <c r="RH17" s="7"/>
      <c r="RI17" s="7"/>
      <c r="RJ17" s="7"/>
      <c r="RK17" s="7"/>
      <c r="RL17" s="7"/>
      <c r="RM17" s="7"/>
      <c r="RN17" s="7"/>
      <c r="RO17" s="7"/>
      <c r="RP17" s="7"/>
      <c r="RQ17" s="7"/>
      <c r="RR17" s="7"/>
      <c r="RS17" s="7"/>
      <c r="RT17" s="7"/>
      <c r="RU17" s="7"/>
      <c r="RV17" s="7"/>
      <c r="RW17" s="7"/>
      <c r="RX17" s="7"/>
      <c r="RY17" s="7"/>
      <c r="RZ17" s="7"/>
      <c r="SA17" s="7"/>
      <c r="SB17" s="7"/>
      <c r="SC17" s="7"/>
      <c r="SD17" s="7"/>
      <c r="SE17" s="7"/>
      <c r="SF17" s="7"/>
      <c r="SG17" s="7"/>
      <c r="SH17" s="7"/>
      <c r="SI17" s="7"/>
      <c r="SJ17" s="7"/>
      <c r="SK17" s="7"/>
      <c r="SL17" s="7"/>
      <c r="SM17" s="7"/>
      <c r="SN17" s="7"/>
      <c r="SO17" s="7"/>
      <c r="SP17" s="7"/>
      <c r="SQ17" s="7"/>
      <c r="SR17" s="7"/>
      <c r="SS17" s="7"/>
      <c r="ST17" s="7"/>
      <c r="SU17" s="7"/>
      <c r="SV17" s="7"/>
      <c r="SW17" s="7"/>
      <c r="SX17" s="7"/>
      <c r="SY17" s="7"/>
      <c r="SZ17" s="7"/>
      <c r="TA17" s="7"/>
      <c r="TB17" s="7"/>
      <c r="TC17" s="7"/>
      <c r="TD17" s="7"/>
      <c r="TE17" s="7"/>
      <c r="TF17" s="7"/>
      <c r="TG17" s="7"/>
      <c r="TH17" s="7"/>
      <c r="TI17" s="7"/>
      <c r="TJ17" s="7"/>
      <c r="TK17" s="7"/>
      <c r="TL17" s="7"/>
      <c r="TM17" s="7"/>
      <c r="TN17" s="7"/>
      <c r="TO17" s="7"/>
      <c r="TP17" s="7"/>
      <c r="TQ17" s="7"/>
      <c r="TR17" s="7"/>
      <c r="TS17" s="7"/>
      <c r="TT17" s="7"/>
      <c r="TU17" s="7"/>
      <c r="TV17" s="7"/>
      <c r="TW17" s="7"/>
      <c r="TX17" s="7"/>
      <c r="TY17" s="7"/>
      <c r="TZ17" s="7"/>
      <c r="UA17" s="7"/>
      <c r="UB17" s="7"/>
      <c r="UC17" s="7"/>
      <c r="UD17" s="7"/>
      <c r="UE17" s="7"/>
      <c r="UF17" s="7"/>
      <c r="UG17" s="7"/>
      <c r="UH17" s="7"/>
      <c r="UI17" s="7"/>
      <c r="UJ17" s="7"/>
      <c r="UK17" s="7"/>
      <c r="UL17" s="7"/>
      <c r="UM17" s="7"/>
      <c r="UN17" s="7"/>
      <c r="UO17" s="7"/>
      <c r="UP17" s="7"/>
      <c r="UQ17" s="7"/>
      <c r="UR17" s="7"/>
      <c r="US17" s="7"/>
      <c r="UT17" s="7"/>
      <c r="UU17" s="7"/>
      <c r="UV17" s="7"/>
      <c r="UW17" s="7"/>
      <c r="UX17" s="7"/>
      <c r="UY17" s="7"/>
      <c r="UZ17" s="7"/>
      <c r="VA17" s="7"/>
      <c r="VB17" s="7"/>
      <c r="VC17" s="7"/>
      <c r="VD17" s="7"/>
      <c r="VE17" s="7"/>
      <c r="VF17" s="7"/>
      <c r="VG17" s="7"/>
      <c r="VH17" s="7"/>
      <c r="VI17" s="7"/>
      <c r="VJ17" s="7"/>
      <c r="VK17" s="7"/>
      <c r="VL17" s="7"/>
      <c r="VM17" s="7"/>
      <c r="VN17" s="7"/>
      <c r="VO17" s="7"/>
      <c r="VP17" s="7"/>
      <c r="VQ17" s="7"/>
      <c r="VR17" s="7"/>
      <c r="VS17" s="7"/>
      <c r="VT17" s="7"/>
      <c r="VU17" s="7"/>
      <c r="VV17" s="7"/>
      <c r="VW17" s="7"/>
      <c r="VX17" s="7"/>
      <c r="VY17" s="7"/>
      <c r="VZ17" s="7"/>
      <c r="WA17" s="7"/>
      <c r="WB17" s="7"/>
      <c r="WC17" s="7"/>
      <c r="WD17" s="7"/>
      <c r="WE17" s="7"/>
      <c r="WF17" s="7"/>
      <c r="WG17" s="7"/>
      <c r="WH17" s="7"/>
      <c r="WI17" s="7"/>
      <c r="WJ17" s="7"/>
      <c r="WK17" s="7"/>
      <c r="WL17" s="7"/>
      <c r="WM17" s="7"/>
      <c r="WN17" s="7"/>
      <c r="WO17" s="7"/>
      <c r="WP17" s="7"/>
      <c r="WQ17" s="7"/>
      <c r="WR17" s="7"/>
      <c r="WS17" s="7"/>
      <c r="WT17" s="7"/>
      <c r="WU17" s="7"/>
      <c r="WV17" s="7"/>
      <c r="WW17" s="7"/>
      <c r="WX17" s="7"/>
      <c r="WY17" s="7"/>
      <c r="WZ17" s="7"/>
      <c r="XA17" s="7"/>
      <c r="XB17" s="7"/>
      <c r="XC17" s="7"/>
      <c r="XD17" s="7"/>
      <c r="XE17" s="7"/>
      <c r="XF17" s="7"/>
      <c r="XG17" s="7"/>
      <c r="XH17" s="7"/>
      <c r="XI17" s="7"/>
      <c r="XJ17" s="7"/>
      <c r="XK17" s="7"/>
      <c r="XL17" s="7"/>
      <c r="XM17" s="7"/>
      <c r="XN17" s="7"/>
      <c r="XO17" s="7"/>
      <c r="XP17" s="7"/>
      <c r="XQ17" s="7"/>
      <c r="XR17" s="7"/>
      <c r="XS17" s="7"/>
      <c r="XT17" s="7"/>
      <c r="XU17" s="7"/>
      <c r="XV17" s="7"/>
      <c r="XW17" s="7"/>
      <c r="XX17" s="7"/>
      <c r="XY17" s="7"/>
      <c r="XZ17" s="7"/>
      <c r="YA17" s="7"/>
      <c r="YB17" s="7"/>
      <c r="YC17" s="7"/>
      <c r="YD17" s="7"/>
      <c r="YE17" s="7"/>
      <c r="YF17" s="7"/>
      <c r="YG17" s="7"/>
      <c r="YH17" s="7"/>
      <c r="YI17" s="7"/>
      <c r="YJ17" s="7"/>
      <c r="YK17" s="7"/>
      <c r="YL17" s="7"/>
      <c r="YM17" s="7"/>
      <c r="YN17" s="7"/>
      <c r="YO17" s="7"/>
      <c r="YP17" s="7"/>
      <c r="YQ17" s="7"/>
      <c r="YR17" s="7"/>
      <c r="YS17" s="7"/>
      <c r="YT17" s="7"/>
      <c r="YU17" s="7"/>
      <c r="YV17" s="7"/>
      <c r="YW17" s="7"/>
      <c r="YX17" s="7"/>
      <c r="YY17" s="7"/>
      <c r="YZ17" s="7"/>
      <c r="ZA17" s="7"/>
      <c r="ZB17" s="7"/>
      <c r="ZC17" s="7"/>
      <c r="ZD17" s="7"/>
      <c r="ZE17" s="7"/>
      <c r="ZF17" s="7"/>
      <c r="ZG17" s="7"/>
      <c r="ZH17" s="7"/>
      <c r="ZI17" s="7"/>
      <c r="ZJ17" s="7"/>
      <c r="ZK17" s="7"/>
      <c r="ZL17" s="7"/>
      <c r="ZM17" s="7"/>
      <c r="ZN17" s="7"/>
      <c r="ZO17" s="7"/>
      <c r="ZP17" s="7"/>
      <c r="ZQ17" s="7"/>
      <c r="ZR17" s="7"/>
      <c r="ZS17" s="7"/>
      <c r="ZT17" s="7"/>
      <c r="ZU17" s="7"/>
      <c r="ZV17" s="7"/>
      <c r="ZW17" s="7"/>
      <c r="ZX17" s="7"/>
      <c r="ZY17" s="7"/>
      <c r="ZZ17" s="7"/>
      <c r="AAA17" s="7"/>
      <c r="AAB17" s="7"/>
      <c r="AAC17" s="7"/>
      <c r="AAD17" s="7"/>
      <c r="AAE17" s="7"/>
      <c r="AAF17" s="7"/>
      <c r="AAG17" s="7"/>
      <c r="AAH17" s="7"/>
      <c r="AAI17" s="7"/>
      <c r="AAJ17" s="7"/>
      <c r="AAK17" s="7"/>
      <c r="AAL17" s="7"/>
      <c r="AAM17" s="7"/>
      <c r="AAN17" s="7"/>
      <c r="AAO17" s="7"/>
      <c r="AAP17" s="7"/>
      <c r="AAQ17" s="7"/>
      <c r="AAR17" s="7"/>
      <c r="AAS17" s="7"/>
      <c r="AAT17" s="7"/>
      <c r="AAU17" s="7"/>
      <c r="AAV17" s="7"/>
      <c r="AAW17" s="7"/>
      <c r="AAX17" s="7"/>
      <c r="AAY17" s="7"/>
      <c r="AAZ17" s="7"/>
      <c r="ABA17" s="7"/>
      <c r="ABB17" s="7"/>
      <c r="ABC17" s="7"/>
      <c r="ABD17" s="7"/>
      <c r="ABE17" s="7"/>
      <c r="ABF17" s="7"/>
      <c r="ABG17" s="7"/>
      <c r="ABH17" s="7"/>
      <c r="ABI17" s="7"/>
      <c r="ABJ17" s="7"/>
      <c r="ABK17" s="7"/>
      <c r="ABL17" s="7"/>
      <c r="ABM17" s="7"/>
      <c r="ABN17" s="7"/>
      <c r="ABO17" s="7"/>
      <c r="ABP17" s="7"/>
      <c r="ABQ17" s="7"/>
      <c r="ABR17" s="7"/>
      <c r="ABS17" s="7"/>
      <c r="ABT17" s="7"/>
      <c r="ABU17" s="7"/>
      <c r="ABV17" s="7"/>
      <c r="ABW17" s="7"/>
      <c r="ABX17" s="7"/>
      <c r="ABY17" s="7"/>
      <c r="ABZ17" s="7"/>
      <c r="ACA17" s="7"/>
      <c r="ACB17" s="7"/>
      <c r="ACC17" s="7"/>
      <c r="ACD17" s="7"/>
      <c r="ACE17" s="7"/>
      <c r="ACF17" s="7"/>
      <c r="ACG17" s="7"/>
      <c r="ACH17" s="7"/>
      <c r="ACI17" s="7"/>
      <c r="ACJ17" s="7"/>
      <c r="ACK17" s="7"/>
      <c r="ACL17" s="7"/>
      <c r="ACM17" s="7"/>
      <c r="ACN17" s="7"/>
      <c r="ACO17" s="7"/>
      <c r="ACP17" s="7"/>
      <c r="ACQ17" s="7"/>
      <c r="ACR17" s="7"/>
      <c r="ACS17" s="7"/>
      <c r="ACT17" s="7"/>
      <c r="ACU17" s="7"/>
      <c r="ACV17" s="7"/>
      <c r="ACW17" s="7"/>
      <c r="ACX17" s="7"/>
      <c r="ACY17" s="7"/>
      <c r="ACZ17" s="7"/>
      <c r="ADA17" s="7"/>
      <c r="ADB17" s="7"/>
      <c r="ADC17" s="7"/>
      <c r="ADD17" s="7"/>
      <c r="ADE17" s="7"/>
      <c r="ADF17" s="7"/>
      <c r="ADG17" s="7"/>
      <c r="ADH17" s="7"/>
      <c r="ADI17" s="7"/>
      <c r="ADJ17" s="7"/>
      <c r="ADK17" s="7"/>
      <c r="ADL17" s="7"/>
      <c r="ADM17" s="7"/>
      <c r="ADN17" s="7"/>
      <c r="ADO17" s="7"/>
      <c r="ADP17" s="7"/>
      <c r="ADQ17" s="7"/>
      <c r="ADR17" s="7"/>
      <c r="ADS17" s="7"/>
      <c r="ADT17" s="7"/>
      <c r="ADU17" s="7"/>
      <c r="ADV17" s="7"/>
      <c r="ADW17" s="7"/>
      <c r="ADX17" s="7"/>
      <c r="ADY17" s="7"/>
      <c r="ADZ17" s="7"/>
      <c r="AEA17" s="7"/>
      <c r="AEB17" s="7"/>
      <c r="AEC17" s="7"/>
      <c r="AED17" s="7"/>
      <c r="AEE17" s="7"/>
      <c r="AEF17" s="7"/>
      <c r="AEG17" s="7"/>
      <c r="AEH17" s="7"/>
      <c r="AEI17" s="7"/>
      <c r="AEJ17" s="7"/>
      <c r="AEK17" s="7"/>
      <c r="AEL17" s="7"/>
      <c r="AEM17" s="7"/>
      <c r="AEN17" s="7"/>
      <c r="AEO17" s="7"/>
      <c r="AEP17" s="7"/>
      <c r="AEQ17" s="7"/>
      <c r="AER17" s="7"/>
      <c r="AES17" s="7"/>
      <c r="AET17" s="7"/>
      <c r="AEU17" s="7"/>
      <c r="AEV17" s="7"/>
      <c r="AEW17" s="7"/>
      <c r="AEX17" s="7"/>
      <c r="AEY17" s="7"/>
      <c r="AEZ17" s="7"/>
      <c r="AFA17" s="7"/>
      <c r="AFB17" s="7"/>
      <c r="AFC17" s="7"/>
      <c r="AFD17" s="7"/>
      <c r="AFE17" s="7"/>
      <c r="AFF17" s="7"/>
      <c r="AFG17" s="7"/>
      <c r="AFH17" s="7"/>
      <c r="AFI17" s="7"/>
      <c r="AFJ17" s="7"/>
      <c r="AFK17" s="7"/>
      <c r="AFL17" s="7"/>
      <c r="AFM17" s="7"/>
      <c r="AFN17" s="7"/>
      <c r="AFO17" s="7"/>
      <c r="AFP17" s="7"/>
      <c r="AFQ17" s="7"/>
      <c r="AFR17" s="7"/>
      <c r="AFS17" s="7"/>
      <c r="AFT17" s="7"/>
      <c r="AFU17" s="7"/>
      <c r="AFV17" s="7"/>
      <c r="AFW17" s="7"/>
      <c r="AFX17" s="7"/>
      <c r="AFY17" s="7"/>
      <c r="AFZ17" s="7"/>
      <c r="AGA17" s="7"/>
      <c r="AGB17" s="7"/>
      <c r="AGC17" s="7"/>
      <c r="AGD17" s="7"/>
      <c r="AGE17" s="7"/>
      <c r="AGF17" s="7"/>
      <c r="AGG17" s="7"/>
      <c r="AGH17" s="7"/>
      <c r="AGI17" s="7"/>
      <c r="AGJ17" s="7"/>
      <c r="AGK17" s="7"/>
      <c r="AGL17" s="7"/>
      <c r="AGM17" s="7"/>
      <c r="AGN17" s="7"/>
      <c r="AGO17" s="7"/>
      <c r="AGP17" s="7"/>
      <c r="AGQ17" s="7"/>
      <c r="AGR17" s="7"/>
      <c r="AGS17" s="7"/>
      <c r="AGT17" s="7"/>
      <c r="AGU17" s="7"/>
      <c r="AGV17" s="7"/>
      <c r="AGW17" s="7"/>
      <c r="AGX17" s="7"/>
      <c r="AGY17" s="7"/>
      <c r="AGZ17" s="7"/>
      <c r="AHA17" s="7"/>
      <c r="AHB17" s="7"/>
      <c r="AHC17" s="7"/>
      <c r="AHD17" s="7"/>
      <c r="AHE17" s="7"/>
      <c r="AHF17" s="7"/>
      <c r="AHG17" s="7"/>
      <c r="AHH17" s="7"/>
      <c r="AHI17" s="7"/>
      <c r="AHJ17" s="7"/>
      <c r="AHK17" s="7"/>
      <c r="AHL17" s="7"/>
      <c r="AHM17" s="7"/>
      <c r="AHN17" s="7"/>
      <c r="AHO17" s="7"/>
      <c r="AHP17" s="7"/>
      <c r="AHQ17" s="7"/>
      <c r="AHR17" s="7"/>
      <c r="AHS17" s="7"/>
      <c r="AHT17" s="7"/>
      <c r="AHU17" s="7"/>
      <c r="AHV17" s="7"/>
      <c r="AHW17" s="7"/>
      <c r="AHX17" s="7"/>
      <c r="AHY17" s="7"/>
      <c r="AHZ17" s="7"/>
      <c r="AIA17" s="7"/>
      <c r="AIB17" s="7"/>
      <c r="AIC17" s="7"/>
      <c r="AID17" s="7"/>
      <c r="AIE17" s="7"/>
      <c r="AIF17" s="7"/>
      <c r="AIG17" s="7"/>
      <c r="AIH17" s="7"/>
      <c r="AII17" s="7"/>
      <c r="AIJ17" s="7"/>
      <c r="AIK17" s="7"/>
      <c r="AIL17" s="7"/>
      <c r="AIM17" s="7"/>
      <c r="AIN17" s="7"/>
      <c r="AIO17" s="7"/>
      <c r="AIP17" s="7"/>
      <c r="AIQ17" s="7"/>
      <c r="AIR17" s="7"/>
      <c r="AIS17" s="7"/>
      <c r="AIT17" s="7"/>
      <c r="AIU17" s="7"/>
      <c r="AIV17" s="7"/>
      <c r="AIW17" s="7"/>
      <c r="AIX17" s="7"/>
      <c r="AIY17" s="7"/>
      <c r="AIZ17" s="7"/>
      <c r="AJA17" s="7"/>
      <c r="AJB17" s="7"/>
      <c r="AJC17" s="7"/>
      <c r="AJD17" s="7"/>
      <c r="AJE17" s="7"/>
      <c r="AJF17" s="7"/>
      <c r="AJG17" s="7"/>
      <c r="AJH17" s="7"/>
      <c r="AJI17" s="7"/>
      <c r="AJJ17" s="7"/>
      <c r="AJK17" s="7"/>
      <c r="AJL17" s="7"/>
      <c r="AJM17" s="7"/>
      <c r="AJN17" s="7"/>
      <c r="AJO17" s="7"/>
      <c r="AJP17" s="7"/>
      <c r="AJQ17" s="7"/>
      <c r="AJR17" s="7"/>
      <c r="AJS17" s="7"/>
      <c r="AJT17" s="7"/>
      <c r="AJU17" s="7"/>
      <c r="AJV17" s="7"/>
      <c r="AJW17" s="7"/>
      <c r="AJX17" s="7"/>
      <c r="AJY17" s="7"/>
      <c r="AJZ17" s="7"/>
      <c r="AKA17" s="7"/>
      <c r="AKB17" s="7"/>
      <c r="AKC17" s="7"/>
      <c r="AKD17" s="7"/>
      <c r="AKE17" s="7"/>
      <c r="AKF17" s="7"/>
      <c r="AKG17" s="7"/>
      <c r="AKH17" s="7"/>
      <c r="AKI17" s="7"/>
      <c r="AKJ17" s="7"/>
      <c r="AKK17" s="7"/>
      <c r="AKL17" s="7"/>
      <c r="AKM17" s="7"/>
      <c r="AKN17" s="7"/>
      <c r="AKO17" s="7"/>
      <c r="AKP17" s="7"/>
      <c r="AKQ17" s="7"/>
      <c r="AKR17" s="7"/>
      <c r="AKS17" s="7"/>
      <c r="AKT17" s="7"/>
      <c r="AKU17" s="7"/>
      <c r="AKV17" s="7"/>
      <c r="AKW17" s="7"/>
      <c r="AKX17" s="7"/>
      <c r="AKY17" s="7"/>
      <c r="AKZ17" s="7"/>
      <c r="ALA17" s="7"/>
      <c r="ALB17" s="7"/>
      <c r="ALC17" s="7"/>
      <c r="ALD17" s="7"/>
      <c r="ALE17" s="7"/>
      <c r="ALF17" s="7"/>
      <c r="ALG17" s="7"/>
      <c r="ALH17" s="7"/>
      <c r="ALI17" s="7"/>
      <c r="ALJ17" s="7"/>
      <c r="ALK17" s="7"/>
      <c r="ALL17" s="7"/>
      <c r="ALM17" s="7"/>
      <c r="ALN17" s="7"/>
      <c r="ALO17" s="7"/>
      <c r="ALP17" s="7"/>
      <c r="ALQ17" s="7"/>
      <c r="ALR17" s="7"/>
      <c r="ALS17" s="7"/>
      <c r="ALT17" s="7"/>
      <c r="ALU17" s="7"/>
      <c r="ALV17" s="7"/>
      <c r="ALW17" s="7"/>
      <c r="ALX17" s="7"/>
      <c r="ALY17" s="7"/>
      <c r="ALZ17" s="7"/>
      <c r="AMA17" s="7"/>
      <c r="AMB17" s="7"/>
      <c r="AMC17" s="7"/>
      <c r="AMD17" s="7"/>
      <c r="AME17" s="7"/>
      <c r="AMF17" s="7"/>
      <c r="AMG17" s="7"/>
      <c r="AMH17" s="7"/>
      <c r="AMI17" s="7"/>
      <c r="AMJ17" s="7"/>
    </row>
    <row r="18" customFormat="false" ht="15.8" hidden="false" customHeight="false" outlineLevel="0" collapsed="false">
      <c r="A18" s="6"/>
      <c r="B18" s="7"/>
      <c r="C18" s="6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  <c r="GM18" s="7"/>
      <c r="GN18" s="7"/>
      <c r="GO18" s="7"/>
      <c r="GP18" s="7"/>
      <c r="GQ18" s="7"/>
      <c r="GR18" s="7"/>
      <c r="GS18" s="7"/>
      <c r="GT18" s="7"/>
      <c r="GU18" s="7"/>
      <c r="GV18" s="7"/>
      <c r="GW18" s="7"/>
      <c r="GX18" s="7"/>
      <c r="GY18" s="7"/>
      <c r="GZ18" s="7"/>
      <c r="HA18" s="7"/>
      <c r="HB18" s="7"/>
      <c r="HC18" s="7"/>
      <c r="HD18" s="7"/>
      <c r="HE18" s="7"/>
      <c r="HF18" s="7"/>
      <c r="HG18" s="7"/>
      <c r="HH18" s="7"/>
      <c r="HI18" s="7"/>
      <c r="HJ18" s="7"/>
      <c r="HK18" s="7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  <c r="IG18" s="7"/>
      <c r="IH18" s="7"/>
      <c r="II18" s="7"/>
      <c r="IJ18" s="7"/>
      <c r="IK18" s="7"/>
      <c r="IL18" s="7"/>
      <c r="IM18" s="7"/>
      <c r="IN18" s="7"/>
      <c r="IO18" s="7"/>
      <c r="IP18" s="7"/>
      <c r="IQ18" s="7"/>
      <c r="IR18" s="7"/>
      <c r="IS18" s="7"/>
      <c r="IT18" s="7"/>
      <c r="IU18" s="7"/>
      <c r="IV18" s="7"/>
      <c r="IW18" s="7"/>
      <c r="IX18" s="7"/>
      <c r="IY18" s="7"/>
      <c r="IZ18" s="7"/>
      <c r="JA18" s="7"/>
      <c r="JB18" s="7"/>
      <c r="JC18" s="7"/>
      <c r="JD18" s="7"/>
      <c r="JE18" s="7"/>
      <c r="JF18" s="7"/>
      <c r="JG18" s="7"/>
      <c r="JH18" s="7"/>
      <c r="JI18" s="7"/>
      <c r="JJ18" s="7"/>
      <c r="JK18" s="7"/>
      <c r="JL18" s="7"/>
      <c r="JM18" s="7"/>
      <c r="JN18" s="7"/>
      <c r="JO18" s="7"/>
      <c r="JP18" s="7"/>
      <c r="JQ18" s="7"/>
      <c r="JR18" s="7"/>
      <c r="JS18" s="7"/>
      <c r="JT18" s="7"/>
      <c r="JU18" s="7"/>
      <c r="JV18" s="7"/>
      <c r="JW18" s="7"/>
      <c r="JX18" s="7"/>
      <c r="JY18" s="7"/>
      <c r="JZ18" s="7"/>
      <c r="KA18" s="7"/>
      <c r="KB18" s="7"/>
      <c r="KC18" s="7"/>
      <c r="KD18" s="7"/>
      <c r="KE18" s="7"/>
      <c r="KF18" s="7"/>
      <c r="KG18" s="7"/>
      <c r="KH18" s="7"/>
      <c r="KI18" s="7"/>
      <c r="KJ18" s="7"/>
      <c r="KK18" s="7"/>
      <c r="KL18" s="7"/>
      <c r="KM18" s="7"/>
      <c r="KN18" s="7"/>
      <c r="KO18" s="7"/>
      <c r="KP18" s="7"/>
      <c r="KQ18" s="7"/>
      <c r="KR18" s="7"/>
      <c r="KS18" s="7"/>
      <c r="KT18" s="7"/>
      <c r="KU18" s="7"/>
      <c r="KV18" s="7"/>
      <c r="KW18" s="7"/>
      <c r="KX18" s="7"/>
      <c r="KY18" s="7"/>
      <c r="KZ18" s="7"/>
      <c r="LA18" s="7"/>
      <c r="LB18" s="7"/>
      <c r="LC18" s="7"/>
      <c r="LD18" s="7"/>
      <c r="LE18" s="7"/>
      <c r="LF18" s="7"/>
      <c r="LG18" s="7"/>
      <c r="LH18" s="7"/>
      <c r="LI18" s="7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  <c r="LU18" s="7"/>
      <c r="LV18" s="7"/>
      <c r="LW18" s="7"/>
      <c r="LX18" s="7"/>
      <c r="LY18" s="7"/>
      <c r="LZ18" s="7"/>
      <c r="MA18" s="7"/>
      <c r="MB18" s="7"/>
      <c r="MC18" s="7"/>
      <c r="MD18" s="7"/>
      <c r="ME18" s="7"/>
      <c r="MF18" s="7"/>
      <c r="MG18" s="7"/>
      <c r="MH18" s="7"/>
      <c r="MI18" s="7"/>
      <c r="MJ18" s="7"/>
      <c r="MK18" s="7"/>
      <c r="ML18" s="7"/>
      <c r="MM18" s="7"/>
      <c r="MN18" s="7"/>
      <c r="MO18" s="7"/>
      <c r="MP18" s="7"/>
      <c r="MQ18" s="7"/>
      <c r="MR18" s="7"/>
      <c r="MS18" s="7"/>
      <c r="MT18" s="7"/>
      <c r="MU18" s="7"/>
      <c r="MV18" s="7"/>
      <c r="MW18" s="7"/>
      <c r="MX18" s="7"/>
      <c r="MY18" s="7"/>
      <c r="MZ18" s="7"/>
      <c r="NA18" s="7"/>
      <c r="NB18" s="7"/>
      <c r="NC18" s="7"/>
      <c r="ND18" s="7"/>
      <c r="NE18" s="7"/>
      <c r="NF18" s="7"/>
      <c r="NG18" s="7"/>
      <c r="NH18" s="7"/>
      <c r="NI18" s="7"/>
      <c r="NJ18" s="7"/>
      <c r="NK18" s="7"/>
      <c r="NL18" s="7"/>
      <c r="NM18" s="7"/>
      <c r="NN18" s="7"/>
      <c r="NO18" s="7"/>
      <c r="NP18" s="7"/>
      <c r="NQ18" s="7"/>
      <c r="NR18" s="7"/>
      <c r="NS18" s="7"/>
      <c r="NT18" s="7"/>
      <c r="NU18" s="7"/>
      <c r="NV18" s="7"/>
      <c r="NW18" s="7"/>
      <c r="NX18" s="7"/>
      <c r="NY18" s="7"/>
      <c r="NZ18" s="7"/>
      <c r="OA18" s="7"/>
      <c r="OB18" s="7"/>
      <c r="OC18" s="7"/>
      <c r="OD18" s="7"/>
      <c r="OE18" s="7"/>
      <c r="OF18" s="7"/>
      <c r="OG18" s="7"/>
      <c r="OH18" s="7"/>
      <c r="OI18" s="7"/>
      <c r="OJ18" s="7"/>
      <c r="OK18" s="7"/>
      <c r="OL18" s="7"/>
      <c r="OM18" s="7"/>
      <c r="ON18" s="7"/>
      <c r="OO18" s="7"/>
      <c r="OP18" s="7"/>
      <c r="OQ18" s="7"/>
      <c r="OR18" s="7"/>
      <c r="OS18" s="7"/>
      <c r="OT18" s="7"/>
      <c r="OU18" s="7"/>
      <c r="OV18" s="7"/>
      <c r="OW18" s="7"/>
      <c r="OX18" s="7"/>
      <c r="OY18" s="7"/>
      <c r="OZ18" s="7"/>
      <c r="PA18" s="7"/>
      <c r="PB18" s="7"/>
      <c r="PC18" s="7"/>
      <c r="PD18" s="7"/>
      <c r="PE18" s="7"/>
      <c r="PF18" s="7"/>
      <c r="PG18" s="7"/>
      <c r="PH18" s="7"/>
      <c r="PI18" s="7"/>
      <c r="PJ18" s="7"/>
      <c r="PK18" s="7"/>
      <c r="PL18" s="7"/>
      <c r="PM18" s="7"/>
      <c r="PN18" s="7"/>
      <c r="PO18" s="7"/>
      <c r="PP18" s="7"/>
      <c r="PQ18" s="7"/>
      <c r="PR18" s="7"/>
      <c r="PS18" s="7"/>
      <c r="PT18" s="7"/>
      <c r="PU18" s="7"/>
      <c r="PV18" s="7"/>
      <c r="PW18" s="7"/>
      <c r="PX18" s="7"/>
      <c r="PY18" s="7"/>
      <c r="PZ18" s="7"/>
      <c r="QA18" s="7"/>
      <c r="QB18" s="7"/>
      <c r="QC18" s="7"/>
      <c r="QD18" s="7"/>
      <c r="QE18" s="7"/>
      <c r="QF18" s="7"/>
      <c r="QG18" s="7"/>
      <c r="QH18" s="7"/>
      <c r="QI18" s="7"/>
      <c r="QJ18" s="7"/>
      <c r="QK18" s="7"/>
      <c r="QL18" s="7"/>
      <c r="QM18" s="7"/>
      <c r="QN18" s="7"/>
      <c r="QO18" s="7"/>
      <c r="QP18" s="7"/>
      <c r="QQ18" s="7"/>
      <c r="QR18" s="7"/>
      <c r="QS18" s="7"/>
      <c r="QT18" s="7"/>
      <c r="QU18" s="7"/>
      <c r="QV18" s="7"/>
      <c r="QW18" s="7"/>
      <c r="QX18" s="7"/>
      <c r="QY18" s="7"/>
      <c r="QZ18" s="7"/>
      <c r="RA18" s="7"/>
      <c r="RB18" s="7"/>
      <c r="RC18" s="7"/>
      <c r="RD18" s="7"/>
      <c r="RE18" s="7"/>
      <c r="RF18" s="7"/>
      <c r="RG18" s="7"/>
      <c r="RH18" s="7"/>
      <c r="RI18" s="7"/>
      <c r="RJ18" s="7"/>
      <c r="RK18" s="7"/>
      <c r="RL18" s="7"/>
      <c r="RM18" s="7"/>
      <c r="RN18" s="7"/>
      <c r="RO18" s="7"/>
      <c r="RP18" s="7"/>
      <c r="RQ18" s="7"/>
      <c r="RR18" s="7"/>
      <c r="RS18" s="7"/>
      <c r="RT18" s="7"/>
      <c r="RU18" s="7"/>
      <c r="RV18" s="7"/>
      <c r="RW18" s="7"/>
      <c r="RX18" s="7"/>
      <c r="RY18" s="7"/>
      <c r="RZ18" s="7"/>
      <c r="SA18" s="7"/>
      <c r="SB18" s="7"/>
      <c r="SC18" s="7"/>
      <c r="SD18" s="7"/>
      <c r="SE18" s="7"/>
      <c r="SF18" s="7"/>
      <c r="SG18" s="7"/>
      <c r="SH18" s="7"/>
      <c r="SI18" s="7"/>
      <c r="SJ18" s="7"/>
      <c r="SK18" s="7"/>
      <c r="SL18" s="7"/>
      <c r="SM18" s="7"/>
      <c r="SN18" s="7"/>
      <c r="SO18" s="7"/>
      <c r="SP18" s="7"/>
      <c r="SQ18" s="7"/>
      <c r="SR18" s="7"/>
      <c r="SS18" s="7"/>
      <c r="ST18" s="7"/>
      <c r="SU18" s="7"/>
      <c r="SV18" s="7"/>
      <c r="SW18" s="7"/>
      <c r="SX18" s="7"/>
      <c r="SY18" s="7"/>
      <c r="SZ18" s="7"/>
      <c r="TA18" s="7"/>
      <c r="TB18" s="7"/>
      <c r="TC18" s="7"/>
      <c r="TD18" s="7"/>
      <c r="TE18" s="7"/>
      <c r="TF18" s="7"/>
      <c r="TG18" s="7"/>
      <c r="TH18" s="7"/>
      <c r="TI18" s="7"/>
      <c r="TJ18" s="7"/>
      <c r="TK18" s="7"/>
      <c r="TL18" s="7"/>
      <c r="TM18" s="7"/>
      <c r="TN18" s="7"/>
      <c r="TO18" s="7"/>
      <c r="TP18" s="7"/>
      <c r="TQ18" s="7"/>
      <c r="TR18" s="7"/>
      <c r="TS18" s="7"/>
      <c r="TT18" s="7"/>
      <c r="TU18" s="7"/>
      <c r="TV18" s="7"/>
      <c r="TW18" s="7"/>
      <c r="TX18" s="7"/>
      <c r="TY18" s="7"/>
      <c r="TZ18" s="7"/>
      <c r="UA18" s="7"/>
      <c r="UB18" s="7"/>
      <c r="UC18" s="7"/>
      <c r="UD18" s="7"/>
      <c r="UE18" s="7"/>
      <c r="UF18" s="7"/>
      <c r="UG18" s="7"/>
      <c r="UH18" s="7"/>
      <c r="UI18" s="7"/>
      <c r="UJ18" s="7"/>
      <c r="UK18" s="7"/>
      <c r="UL18" s="7"/>
      <c r="UM18" s="7"/>
      <c r="UN18" s="7"/>
      <c r="UO18" s="7"/>
      <c r="UP18" s="7"/>
      <c r="UQ18" s="7"/>
      <c r="UR18" s="7"/>
      <c r="US18" s="7"/>
      <c r="UT18" s="7"/>
      <c r="UU18" s="7"/>
      <c r="UV18" s="7"/>
      <c r="UW18" s="7"/>
      <c r="UX18" s="7"/>
      <c r="UY18" s="7"/>
      <c r="UZ18" s="7"/>
      <c r="VA18" s="7"/>
      <c r="VB18" s="7"/>
      <c r="VC18" s="7"/>
      <c r="VD18" s="7"/>
      <c r="VE18" s="7"/>
      <c r="VF18" s="7"/>
      <c r="VG18" s="7"/>
      <c r="VH18" s="7"/>
      <c r="VI18" s="7"/>
      <c r="VJ18" s="7"/>
      <c r="VK18" s="7"/>
      <c r="VL18" s="7"/>
      <c r="VM18" s="7"/>
      <c r="VN18" s="7"/>
      <c r="VO18" s="7"/>
      <c r="VP18" s="7"/>
      <c r="VQ18" s="7"/>
      <c r="VR18" s="7"/>
      <c r="VS18" s="7"/>
      <c r="VT18" s="7"/>
      <c r="VU18" s="7"/>
      <c r="VV18" s="7"/>
      <c r="VW18" s="7"/>
      <c r="VX18" s="7"/>
      <c r="VY18" s="7"/>
      <c r="VZ18" s="7"/>
      <c r="WA18" s="7"/>
      <c r="WB18" s="7"/>
      <c r="WC18" s="7"/>
      <c r="WD18" s="7"/>
      <c r="WE18" s="7"/>
      <c r="WF18" s="7"/>
      <c r="WG18" s="7"/>
      <c r="WH18" s="7"/>
      <c r="WI18" s="7"/>
      <c r="WJ18" s="7"/>
      <c r="WK18" s="7"/>
      <c r="WL18" s="7"/>
      <c r="WM18" s="7"/>
      <c r="WN18" s="7"/>
      <c r="WO18" s="7"/>
      <c r="WP18" s="7"/>
      <c r="WQ18" s="7"/>
      <c r="WR18" s="7"/>
      <c r="WS18" s="7"/>
      <c r="WT18" s="7"/>
      <c r="WU18" s="7"/>
      <c r="WV18" s="7"/>
      <c r="WW18" s="7"/>
      <c r="WX18" s="7"/>
      <c r="WY18" s="7"/>
      <c r="WZ18" s="7"/>
      <c r="XA18" s="7"/>
      <c r="XB18" s="7"/>
      <c r="XC18" s="7"/>
      <c r="XD18" s="7"/>
      <c r="XE18" s="7"/>
      <c r="XF18" s="7"/>
      <c r="XG18" s="7"/>
      <c r="XH18" s="7"/>
      <c r="XI18" s="7"/>
      <c r="XJ18" s="7"/>
      <c r="XK18" s="7"/>
      <c r="XL18" s="7"/>
      <c r="XM18" s="7"/>
      <c r="XN18" s="7"/>
      <c r="XO18" s="7"/>
      <c r="XP18" s="7"/>
      <c r="XQ18" s="7"/>
      <c r="XR18" s="7"/>
      <c r="XS18" s="7"/>
      <c r="XT18" s="7"/>
      <c r="XU18" s="7"/>
      <c r="XV18" s="7"/>
      <c r="XW18" s="7"/>
      <c r="XX18" s="7"/>
      <c r="XY18" s="7"/>
      <c r="XZ18" s="7"/>
      <c r="YA18" s="7"/>
      <c r="YB18" s="7"/>
      <c r="YC18" s="7"/>
      <c r="YD18" s="7"/>
      <c r="YE18" s="7"/>
      <c r="YF18" s="7"/>
      <c r="YG18" s="7"/>
      <c r="YH18" s="7"/>
      <c r="YI18" s="7"/>
      <c r="YJ18" s="7"/>
      <c r="YK18" s="7"/>
      <c r="YL18" s="7"/>
      <c r="YM18" s="7"/>
      <c r="YN18" s="7"/>
      <c r="YO18" s="7"/>
      <c r="YP18" s="7"/>
      <c r="YQ18" s="7"/>
      <c r="YR18" s="7"/>
      <c r="YS18" s="7"/>
      <c r="YT18" s="7"/>
      <c r="YU18" s="7"/>
      <c r="YV18" s="7"/>
      <c r="YW18" s="7"/>
      <c r="YX18" s="7"/>
      <c r="YY18" s="7"/>
      <c r="YZ18" s="7"/>
      <c r="ZA18" s="7"/>
      <c r="ZB18" s="7"/>
      <c r="ZC18" s="7"/>
      <c r="ZD18" s="7"/>
      <c r="ZE18" s="7"/>
      <c r="ZF18" s="7"/>
      <c r="ZG18" s="7"/>
      <c r="ZH18" s="7"/>
      <c r="ZI18" s="7"/>
      <c r="ZJ18" s="7"/>
      <c r="ZK18" s="7"/>
      <c r="ZL18" s="7"/>
      <c r="ZM18" s="7"/>
      <c r="ZN18" s="7"/>
      <c r="ZO18" s="7"/>
      <c r="ZP18" s="7"/>
      <c r="ZQ18" s="7"/>
      <c r="ZR18" s="7"/>
      <c r="ZS18" s="7"/>
      <c r="ZT18" s="7"/>
      <c r="ZU18" s="7"/>
      <c r="ZV18" s="7"/>
      <c r="ZW18" s="7"/>
      <c r="ZX18" s="7"/>
      <c r="ZY18" s="7"/>
      <c r="ZZ18" s="7"/>
      <c r="AAA18" s="7"/>
      <c r="AAB18" s="7"/>
      <c r="AAC18" s="7"/>
      <c r="AAD18" s="7"/>
      <c r="AAE18" s="7"/>
      <c r="AAF18" s="7"/>
      <c r="AAG18" s="7"/>
      <c r="AAH18" s="7"/>
      <c r="AAI18" s="7"/>
      <c r="AAJ18" s="7"/>
      <c r="AAK18" s="7"/>
      <c r="AAL18" s="7"/>
      <c r="AAM18" s="7"/>
      <c r="AAN18" s="7"/>
      <c r="AAO18" s="7"/>
      <c r="AAP18" s="7"/>
      <c r="AAQ18" s="7"/>
      <c r="AAR18" s="7"/>
      <c r="AAS18" s="7"/>
      <c r="AAT18" s="7"/>
      <c r="AAU18" s="7"/>
      <c r="AAV18" s="7"/>
      <c r="AAW18" s="7"/>
      <c r="AAX18" s="7"/>
      <c r="AAY18" s="7"/>
      <c r="AAZ18" s="7"/>
      <c r="ABA18" s="7"/>
      <c r="ABB18" s="7"/>
      <c r="ABC18" s="7"/>
      <c r="ABD18" s="7"/>
      <c r="ABE18" s="7"/>
      <c r="ABF18" s="7"/>
      <c r="ABG18" s="7"/>
      <c r="ABH18" s="7"/>
      <c r="ABI18" s="7"/>
      <c r="ABJ18" s="7"/>
      <c r="ABK18" s="7"/>
      <c r="ABL18" s="7"/>
      <c r="ABM18" s="7"/>
      <c r="ABN18" s="7"/>
      <c r="ABO18" s="7"/>
      <c r="ABP18" s="7"/>
      <c r="ABQ18" s="7"/>
      <c r="ABR18" s="7"/>
      <c r="ABS18" s="7"/>
      <c r="ABT18" s="7"/>
      <c r="ABU18" s="7"/>
      <c r="ABV18" s="7"/>
      <c r="ABW18" s="7"/>
      <c r="ABX18" s="7"/>
      <c r="ABY18" s="7"/>
      <c r="ABZ18" s="7"/>
      <c r="ACA18" s="7"/>
      <c r="ACB18" s="7"/>
      <c r="ACC18" s="7"/>
      <c r="ACD18" s="7"/>
      <c r="ACE18" s="7"/>
      <c r="ACF18" s="7"/>
      <c r="ACG18" s="7"/>
      <c r="ACH18" s="7"/>
      <c r="ACI18" s="7"/>
      <c r="ACJ18" s="7"/>
      <c r="ACK18" s="7"/>
      <c r="ACL18" s="7"/>
      <c r="ACM18" s="7"/>
      <c r="ACN18" s="7"/>
      <c r="ACO18" s="7"/>
      <c r="ACP18" s="7"/>
      <c r="ACQ18" s="7"/>
      <c r="ACR18" s="7"/>
      <c r="ACS18" s="7"/>
      <c r="ACT18" s="7"/>
      <c r="ACU18" s="7"/>
      <c r="ACV18" s="7"/>
      <c r="ACW18" s="7"/>
      <c r="ACX18" s="7"/>
      <c r="ACY18" s="7"/>
      <c r="ACZ18" s="7"/>
      <c r="ADA18" s="7"/>
      <c r="ADB18" s="7"/>
      <c r="ADC18" s="7"/>
      <c r="ADD18" s="7"/>
      <c r="ADE18" s="7"/>
      <c r="ADF18" s="7"/>
      <c r="ADG18" s="7"/>
      <c r="ADH18" s="7"/>
      <c r="ADI18" s="7"/>
      <c r="ADJ18" s="7"/>
      <c r="ADK18" s="7"/>
      <c r="ADL18" s="7"/>
      <c r="ADM18" s="7"/>
      <c r="ADN18" s="7"/>
      <c r="ADO18" s="7"/>
      <c r="ADP18" s="7"/>
      <c r="ADQ18" s="7"/>
      <c r="ADR18" s="7"/>
      <c r="ADS18" s="7"/>
      <c r="ADT18" s="7"/>
      <c r="ADU18" s="7"/>
      <c r="ADV18" s="7"/>
      <c r="ADW18" s="7"/>
      <c r="ADX18" s="7"/>
      <c r="ADY18" s="7"/>
      <c r="ADZ18" s="7"/>
      <c r="AEA18" s="7"/>
      <c r="AEB18" s="7"/>
      <c r="AEC18" s="7"/>
      <c r="AED18" s="7"/>
      <c r="AEE18" s="7"/>
      <c r="AEF18" s="7"/>
      <c r="AEG18" s="7"/>
      <c r="AEH18" s="7"/>
      <c r="AEI18" s="7"/>
      <c r="AEJ18" s="7"/>
      <c r="AEK18" s="7"/>
      <c r="AEL18" s="7"/>
      <c r="AEM18" s="7"/>
      <c r="AEN18" s="7"/>
      <c r="AEO18" s="7"/>
      <c r="AEP18" s="7"/>
      <c r="AEQ18" s="7"/>
      <c r="AER18" s="7"/>
      <c r="AES18" s="7"/>
      <c r="AET18" s="7"/>
      <c r="AEU18" s="7"/>
      <c r="AEV18" s="7"/>
      <c r="AEW18" s="7"/>
      <c r="AEX18" s="7"/>
      <c r="AEY18" s="7"/>
      <c r="AEZ18" s="7"/>
      <c r="AFA18" s="7"/>
      <c r="AFB18" s="7"/>
      <c r="AFC18" s="7"/>
      <c r="AFD18" s="7"/>
      <c r="AFE18" s="7"/>
      <c r="AFF18" s="7"/>
      <c r="AFG18" s="7"/>
      <c r="AFH18" s="7"/>
      <c r="AFI18" s="7"/>
      <c r="AFJ18" s="7"/>
      <c r="AFK18" s="7"/>
      <c r="AFL18" s="7"/>
      <c r="AFM18" s="7"/>
      <c r="AFN18" s="7"/>
      <c r="AFO18" s="7"/>
      <c r="AFP18" s="7"/>
      <c r="AFQ18" s="7"/>
      <c r="AFR18" s="7"/>
      <c r="AFS18" s="7"/>
      <c r="AFT18" s="7"/>
      <c r="AFU18" s="7"/>
      <c r="AFV18" s="7"/>
      <c r="AFW18" s="7"/>
      <c r="AFX18" s="7"/>
      <c r="AFY18" s="7"/>
      <c r="AFZ18" s="7"/>
      <c r="AGA18" s="7"/>
      <c r="AGB18" s="7"/>
      <c r="AGC18" s="7"/>
      <c r="AGD18" s="7"/>
      <c r="AGE18" s="7"/>
      <c r="AGF18" s="7"/>
      <c r="AGG18" s="7"/>
      <c r="AGH18" s="7"/>
      <c r="AGI18" s="7"/>
      <c r="AGJ18" s="7"/>
      <c r="AGK18" s="7"/>
      <c r="AGL18" s="7"/>
      <c r="AGM18" s="7"/>
      <c r="AGN18" s="7"/>
      <c r="AGO18" s="7"/>
      <c r="AGP18" s="7"/>
      <c r="AGQ18" s="7"/>
      <c r="AGR18" s="7"/>
      <c r="AGS18" s="7"/>
      <c r="AGT18" s="7"/>
      <c r="AGU18" s="7"/>
      <c r="AGV18" s="7"/>
      <c r="AGW18" s="7"/>
      <c r="AGX18" s="7"/>
      <c r="AGY18" s="7"/>
      <c r="AGZ18" s="7"/>
      <c r="AHA18" s="7"/>
      <c r="AHB18" s="7"/>
      <c r="AHC18" s="7"/>
      <c r="AHD18" s="7"/>
      <c r="AHE18" s="7"/>
      <c r="AHF18" s="7"/>
      <c r="AHG18" s="7"/>
      <c r="AHH18" s="7"/>
      <c r="AHI18" s="7"/>
      <c r="AHJ18" s="7"/>
      <c r="AHK18" s="7"/>
      <c r="AHL18" s="7"/>
      <c r="AHM18" s="7"/>
      <c r="AHN18" s="7"/>
      <c r="AHO18" s="7"/>
      <c r="AHP18" s="7"/>
      <c r="AHQ18" s="7"/>
      <c r="AHR18" s="7"/>
      <c r="AHS18" s="7"/>
      <c r="AHT18" s="7"/>
      <c r="AHU18" s="7"/>
      <c r="AHV18" s="7"/>
      <c r="AHW18" s="7"/>
      <c r="AHX18" s="7"/>
      <c r="AHY18" s="7"/>
      <c r="AHZ18" s="7"/>
      <c r="AIA18" s="7"/>
      <c r="AIB18" s="7"/>
      <c r="AIC18" s="7"/>
      <c r="AID18" s="7"/>
      <c r="AIE18" s="7"/>
      <c r="AIF18" s="7"/>
      <c r="AIG18" s="7"/>
      <c r="AIH18" s="7"/>
      <c r="AII18" s="7"/>
      <c r="AIJ18" s="7"/>
      <c r="AIK18" s="7"/>
      <c r="AIL18" s="7"/>
      <c r="AIM18" s="7"/>
      <c r="AIN18" s="7"/>
      <c r="AIO18" s="7"/>
      <c r="AIP18" s="7"/>
      <c r="AIQ18" s="7"/>
      <c r="AIR18" s="7"/>
      <c r="AIS18" s="7"/>
      <c r="AIT18" s="7"/>
      <c r="AIU18" s="7"/>
      <c r="AIV18" s="7"/>
      <c r="AIW18" s="7"/>
      <c r="AIX18" s="7"/>
      <c r="AIY18" s="7"/>
      <c r="AIZ18" s="7"/>
      <c r="AJA18" s="7"/>
      <c r="AJB18" s="7"/>
      <c r="AJC18" s="7"/>
      <c r="AJD18" s="7"/>
      <c r="AJE18" s="7"/>
      <c r="AJF18" s="7"/>
      <c r="AJG18" s="7"/>
      <c r="AJH18" s="7"/>
      <c r="AJI18" s="7"/>
      <c r="AJJ18" s="7"/>
      <c r="AJK18" s="7"/>
      <c r="AJL18" s="7"/>
      <c r="AJM18" s="7"/>
      <c r="AJN18" s="7"/>
      <c r="AJO18" s="7"/>
      <c r="AJP18" s="7"/>
      <c r="AJQ18" s="7"/>
      <c r="AJR18" s="7"/>
      <c r="AJS18" s="7"/>
      <c r="AJT18" s="7"/>
      <c r="AJU18" s="7"/>
      <c r="AJV18" s="7"/>
      <c r="AJW18" s="7"/>
      <c r="AJX18" s="7"/>
      <c r="AJY18" s="7"/>
      <c r="AJZ18" s="7"/>
      <c r="AKA18" s="7"/>
      <c r="AKB18" s="7"/>
      <c r="AKC18" s="7"/>
      <c r="AKD18" s="7"/>
      <c r="AKE18" s="7"/>
      <c r="AKF18" s="7"/>
      <c r="AKG18" s="7"/>
      <c r="AKH18" s="7"/>
      <c r="AKI18" s="7"/>
      <c r="AKJ18" s="7"/>
      <c r="AKK18" s="7"/>
      <c r="AKL18" s="7"/>
      <c r="AKM18" s="7"/>
      <c r="AKN18" s="7"/>
      <c r="AKO18" s="7"/>
      <c r="AKP18" s="7"/>
      <c r="AKQ18" s="7"/>
      <c r="AKR18" s="7"/>
      <c r="AKS18" s="7"/>
      <c r="AKT18" s="7"/>
      <c r="AKU18" s="7"/>
      <c r="AKV18" s="7"/>
      <c r="AKW18" s="7"/>
      <c r="AKX18" s="7"/>
      <c r="AKY18" s="7"/>
      <c r="AKZ18" s="7"/>
      <c r="ALA18" s="7"/>
      <c r="ALB18" s="7"/>
      <c r="ALC18" s="7"/>
      <c r="ALD18" s="7"/>
      <c r="ALE18" s="7"/>
      <c r="ALF18" s="7"/>
      <c r="ALG18" s="7"/>
      <c r="ALH18" s="7"/>
      <c r="ALI18" s="7"/>
      <c r="ALJ18" s="7"/>
      <c r="ALK18" s="7"/>
      <c r="ALL18" s="7"/>
      <c r="ALM18" s="7"/>
      <c r="ALN18" s="7"/>
      <c r="ALO18" s="7"/>
      <c r="ALP18" s="7"/>
      <c r="ALQ18" s="7"/>
      <c r="ALR18" s="7"/>
      <c r="ALS18" s="7"/>
      <c r="ALT18" s="7"/>
      <c r="ALU18" s="7"/>
      <c r="ALV18" s="7"/>
      <c r="ALW18" s="7"/>
      <c r="ALX18" s="7"/>
      <c r="ALY18" s="7"/>
      <c r="ALZ18" s="7"/>
      <c r="AMA18" s="7"/>
      <c r="AMB18" s="7"/>
      <c r="AMC18" s="7"/>
      <c r="AMD18" s="7"/>
      <c r="AME18" s="7"/>
      <c r="AMF18" s="7"/>
      <c r="AMG18" s="7"/>
      <c r="AMH18" s="7"/>
      <c r="AMI18" s="7"/>
      <c r="AMJ18" s="7"/>
    </row>
  </sheetData>
  <printOptions headings="false" gridLines="false" gridLinesSet="true" horizontalCentered="false" verticalCentered="false"/>
  <pageMargins left="0.7875" right="0.7875" top="1.05277777777778" bottom="1.74166666666667" header="0.7875" footer="0.7875"/>
  <pageSetup paperSize="9" scale="110" fitToWidth="1" fitToHeight="1" pageOrder="downThenOver" orientation="landscape" blackAndWhite="false" draft="false" cellComments="none" horizontalDpi="300" verticalDpi="300" copies="1"/>
  <headerFooter differentFirst="false" differentOddEven="false">
    <oddHeader>&amp;C&amp;"Times New Roman,Regular"&amp;12&amp;Kffffff&amp;A</oddHeader>
    <oddFooter>&amp;C&amp;"Times New Roman,Regular"&amp;12&amp;KffffffPage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53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A1" activeCellId="0" sqref="A1"/>
    </sheetView>
  </sheetViews>
  <sheetFormatPr defaultColWidth="10.4921875" defaultRowHeight="12.8" zeroHeight="false" outlineLevelRow="0" outlineLevelCol="0"/>
  <cols>
    <col collapsed="false" customWidth="true" hidden="false" outlineLevel="0" max="2" min="2" style="0" width="13.81"/>
    <col collapsed="false" customWidth="true" hidden="false" outlineLevel="0" max="5" min="5" style="0" width="15.37"/>
  </cols>
  <sheetData>
    <row r="1" customFormat="false" ht="24.05" hidden="false" customHeight="false" outlineLevel="0" collapsed="false">
      <c r="A1" s="8" t="str">
        <f aca="true">RIGHT(CELL("filename"),25)</f>
        <v>Annex A Preliminary Check</v>
      </c>
      <c r="B1" s="8"/>
      <c r="C1" s="8"/>
      <c r="D1" s="8"/>
      <c r="E1" s="8"/>
      <c r="F1" s="9"/>
      <c r="G1" s="9"/>
      <c r="H1" s="9"/>
      <c r="I1" s="9"/>
      <c r="J1" s="9"/>
      <c r="K1" s="9"/>
      <c r="L1" s="9"/>
      <c r="M1" s="9"/>
      <c r="N1" s="9"/>
      <c r="O1" s="9"/>
    </row>
    <row r="2" customFormat="false" ht="15.8" hidden="false" customHeight="false" outlineLevel="0" collapsed="false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</row>
    <row r="3" customFormat="false" ht="17" hidden="false" customHeight="false" outlineLevel="0" collapsed="false">
      <c r="A3" s="10" t="s">
        <v>20</v>
      </c>
      <c r="B3" s="9"/>
      <c r="C3" s="9"/>
      <c r="D3" s="9"/>
      <c r="E3" s="9"/>
      <c r="F3" s="9"/>
      <c r="G3" s="10"/>
      <c r="H3" s="9"/>
      <c r="I3" s="9"/>
      <c r="J3" s="9"/>
      <c r="K3" s="9"/>
      <c r="L3" s="10"/>
      <c r="M3" s="9"/>
      <c r="N3" s="9"/>
      <c r="O3" s="9"/>
    </row>
    <row r="4" customFormat="false" ht="15.8" hidden="false" customHeight="false" outlineLevel="0" collapsed="false">
      <c r="A4" s="9"/>
      <c r="B4" s="9"/>
      <c r="C4" s="9"/>
      <c r="E4" s="9"/>
      <c r="F4" s="9"/>
      <c r="G4" s="9"/>
      <c r="H4" s="9"/>
      <c r="I4" s="9"/>
      <c r="J4" s="9"/>
      <c r="K4" s="9"/>
      <c r="L4" s="9"/>
      <c r="M4" s="9"/>
      <c r="N4" s="9"/>
      <c r="O4" s="9"/>
    </row>
    <row r="5" customFormat="false" ht="15.8" hidden="false" customHeight="false" outlineLevel="0" collapsed="false">
      <c r="A5" s="9" t="s">
        <v>21</v>
      </c>
      <c r="B5" s="9"/>
      <c r="C5" s="9"/>
      <c r="D5" s="11" t="s">
        <v>22</v>
      </c>
      <c r="E5" s="9"/>
      <c r="F5" s="9"/>
      <c r="K5" s="9"/>
      <c r="L5" s="9"/>
      <c r="M5" s="9"/>
      <c r="N5" s="9"/>
      <c r="O5" s="9"/>
    </row>
    <row r="6" customFormat="false" ht="15.8" hidden="false" customHeight="false" outlineLevel="0" collapsed="false">
      <c r="A6" s="9" t="s">
        <v>23</v>
      </c>
      <c r="B6" s="9"/>
      <c r="C6" s="9"/>
      <c r="D6" s="9" t="s">
        <v>24</v>
      </c>
      <c r="E6" s="9"/>
      <c r="K6" s="9"/>
      <c r="L6" s="9"/>
      <c r="M6" s="9"/>
      <c r="N6" s="9"/>
      <c r="O6" s="9"/>
    </row>
    <row r="7" customFormat="false" ht="15.8" hidden="false" customHeight="false" outlineLevel="0" collapsed="false">
      <c r="A7" s="9" t="s">
        <v>25</v>
      </c>
      <c r="B7" s="9"/>
      <c r="C7" s="9"/>
      <c r="D7" s="11" t="s">
        <v>22</v>
      </c>
      <c r="E7" s="9"/>
      <c r="K7" s="9"/>
      <c r="L7" s="9"/>
      <c r="M7" s="9"/>
      <c r="N7" s="9"/>
      <c r="O7" s="9"/>
    </row>
    <row r="8" customFormat="false" ht="15.8" hidden="false" customHeight="false" outlineLevel="0" collapsed="false">
      <c r="A8" s="9" t="s">
        <v>26</v>
      </c>
      <c r="B8" s="9"/>
      <c r="C8" s="9"/>
      <c r="D8" s="9" t="s">
        <v>24</v>
      </c>
      <c r="E8" s="9"/>
      <c r="K8" s="9"/>
      <c r="L8" s="9"/>
      <c r="M8" s="9"/>
      <c r="N8" s="9"/>
      <c r="O8" s="9"/>
    </row>
    <row r="9" customFormat="false" ht="15.8" hidden="false" customHeight="false" outlineLevel="0" collapsed="false">
      <c r="A9" s="9" t="s">
        <v>27</v>
      </c>
      <c r="B9" s="9"/>
      <c r="C9" s="9"/>
      <c r="D9" s="12" t="n">
        <v>45820</v>
      </c>
      <c r="E9" s="9"/>
      <c r="F9" s="9"/>
      <c r="G9" s="9"/>
      <c r="H9" s="9"/>
      <c r="I9" s="9"/>
      <c r="K9" s="9"/>
      <c r="L9" s="9"/>
      <c r="M9" s="9"/>
      <c r="N9" s="9"/>
      <c r="O9" s="9"/>
    </row>
    <row r="10" customFormat="false" ht="15.8" hidden="false" customHeight="false" outlineLevel="0" collapsed="false">
      <c r="A10" s="9" t="s">
        <v>28</v>
      </c>
      <c r="B10" s="9"/>
      <c r="C10" s="9"/>
      <c r="D10" s="13" t="s">
        <v>29</v>
      </c>
      <c r="E10" s="9"/>
      <c r="K10" s="9"/>
      <c r="L10" s="9"/>
      <c r="M10" s="9"/>
      <c r="N10" s="9"/>
      <c r="O10" s="9"/>
    </row>
    <row r="11" customFormat="false" ht="15.8" hidden="false" customHeight="false" outlineLevel="0" collapsed="false">
      <c r="A11" s="9" t="s">
        <v>30</v>
      </c>
      <c r="B11" s="9"/>
      <c r="C11" s="9"/>
      <c r="D11" s="14" t="n">
        <v>36</v>
      </c>
      <c r="E11" s="9"/>
      <c r="K11" s="9"/>
      <c r="L11" s="9"/>
      <c r="M11" s="9"/>
      <c r="N11" s="9"/>
      <c r="O11" s="9"/>
    </row>
    <row r="12" customFormat="false" ht="15.8" hidden="false" customHeight="false" outlineLevel="0" collapsed="false">
      <c r="A12" s="9"/>
      <c r="B12" s="9"/>
      <c r="C12" s="9"/>
      <c r="D12" s="11"/>
      <c r="E12" s="9"/>
      <c r="K12" s="9"/>
      <c r="L12" s="9"/>
      <c r="M12" s="9"/>
      <c r="N12" s="9"/>
      <c r="O12" s="9"/>
    </row>
    <row r="13" customFormat="false" ht="15.8" hidden="false" customHeight="false" outlineLevel="0" collapsed="false">
      <c r="A13" s="9" t="s">
        <v>31</v>
      </c>
      <c r="B13" s="9"/>
      <c r="C13" s="9"/>
      <c r="D13" s="11" t="n">
        <v>40000</v>
      </c>
      <c r="E13" s="9"/>
      <c r="I13" s="15"/>
      <c r="K13" s="9"/>
      <c r="L13" s="9"/>
      <c r="M13" s="9"/>
      <c r="N13" s="9"/>
      <c r="O13" s="9"/>
    </row>
    <row r="14" customFormat="false" ht="15.8" hidden="false" customHeight="false" outlineLevel="0" collapsed="false">
      <c r="A14" s="9" t="s">
        <v>32</v>
      </c>
      <c r="B14" s="9"/>
      <c r="C14" s="9"/>
      <c r="D14" s="9" t="n">
        <v>6300</v>
      </c>
      <c r="E14" s="9"/>
      <c r="F14" s="9"/>
      <c r="G14" s="9"/>
      <c r="H14" s="9"/>
      <c r="I14" s="9"/>
      <c r="J14" s="11"/>
      <c r="K14" s="9"/>
      <c r="L14" s="9"/>
      <c r="M14" s="9"/>
      <c r="N14" s="9"/>
      <c r="O14" s="9"/>
    </row>
    <row r="15" customFormat="false" ht="15.8" hidden="false" customHeight="false" outlineLevel="0" collapsed="false">
      <c r="A15" s="9" t="s">
        <v>33</v>
      </c>
      <c r="B15" s="9"/>
      <c r="C15" s="9"/>
      <c r="D15" s="16" t="n">
        <f aca="false">D13/D14*0.25</f>
        <v>1.58730158730159</v>
      </c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</row>
    <row r="16" customFormat="false" ht="15.8" hidden="false" customHeight="false" outlineLevel="0" collapsed="false">
      <c r="E16" s="9"/>
      <c r="F16" s="9"/>
      <c r="G16" s="9"/>
      <c r="H16" s="9"/>
      <c r="I16" s="9"/>
      <c r="J16" s="16"/>
      <c r="K16" s="9"/>
      <c r="L16" s="9"/>
      <c r="M16" s="9"/>
      <c r="N16" s="9"/>
      <c r="O16" s="9"/>
    </row>
    <row r="17" customFormat="false" ht="15.8" hidden="false" customHeight="false" outlineLevel="0" collapsed="false">
      <c r="A17" s="0" t="s">
        <v>34</v>
      </c>
      <c r="B17" s="9"/>
      <c r="C17" s="9"/>
      <c r="D17" s="5" t="n">
        <v>100</v>
      </c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</row>
    <row r="18" customFormat="false" ht="15.8" hidden="false" customHeight="false" outlineLevel="0" collapsed="false">
      <c r="A18" s="0" t="s">
        <v>35</v>
      </c>
      <c r="D18" s="5" t="n">
        <v>500</v>
      </c>
      <c r="E18" s="9"/>
      <c r="F18" s="9"/>
      <c r="G18" s="9"/>
      <c r="H18" s="9"/>
      <c r="I18" s="9"/>
      <c r="J18" s="17"/>
      <c r="K18" s="9"/>
      <c r="L18" s="9"/>
      <c r="M18" s="9"/>
      <c r="N18" s="9"/>
      <c r="O18" s="9"/>
    </row>
    <row r="19" customFormat="false" ht="15.8" hidden="false" customHeight="false" outlineLevel="0" collapsed="false">
      <c r="A19" s="0" t="s">
        <v>36</v>
      </c>
      <c r="D19" s="18" t="n">
        <f aca="false">D18*D15/1000</f>
        <v>0.793650793650794</v>
      </c>
      <c r="E19" s="9"/>
      <c r="F19" s="9"/>
      <c r="G19" s="9"/>
      <c r="H19" s="9"/>
      <c r="I19" s="11"/>
      <c r="J19" s="11"/>
      <c r="K19" s="9"/>
      <c r="L19" s="9"/>
      <c r="M19" s="9"/>
      <c r="N19" s="13"/>
      <c r="O19" s="9"/>
    </row>
    <row r="20" customFormat="false" ht="15.8" hidden="false" customHeight="false" outlineLevel="0" collapsed="false">
      <c r="A20" s="0" t="s">
        <v>37</v>
      </c>
      <c r="D20" s="19" t="n">
        <f aca="false">D19/D17*1000</f>
        <v>7.93650793650794</v>
      </c>
      <c r="E20" s="9"/>
      <c r="F20" s="9"/>
      <c r="G20" s="9"/>
      <c r="H20" s="9"/>
      <c r="I20" s="9"/>
      <c r="J20" s="9"/>
      <c r="K20" s="9"/>
      <c r="L20" s="9"/>
      <c r="M20" s="9"/>
      <c r="N20" s="11"/>
      <c r="O20" s="9"/>
    </row>
    <row r="21" customFormat="false" ht="15.8" hidden="false" customHeight="false" outlineLevel="0" collapsed="false">
      <c r="E21" s="9"/>
      <c r="F21" s="9"/>
      <c r="G21" s="9"/>
      <c r="H21" s="9"/>
      <c r="I21" s="9"/>
      <c r="J21" s="20"/>
      <c r="K21" s="9"/>
      <c r="L21" s="9"/>
      <c r="M21" s="9"/>
      <c r="N21" s="11"/>
      <c r="O21" s="9"/>
    </row>
    <row r="22" customFormat="false" ht="15.8" hidden="false" customHeight="false" outlineLevel="0" collapsed="false">
      <c r="A22" s="9"/>
      <c r="B22" s="9"/>
      <c r="C22" s="11" t="s">
        <v>38</v>
      </c>
      <c r="D22" s="11" t="s">
        <v>39</v>
      </c>
      <c r="E22" s="9"/>
      <c r="F22" s="9"/>
      <c r="G22" s="9"/>
      <c r="H22" s="9"/>
      <c r="I22" s="9"/>
      <c r="J22" s="9"/>
      <c r="K22" s="9"/>
      <c r="L22" s="9"/>
      <c r="M22" s="9"/>
      <c r="N22" s="21"/>
      <c r="O22" s="9"/>
    </row>
    <row r="23" customFormat="false" ht="15.8" hidden="false" customHeight="false" outlineLevel="0" collapsed="false">
      <c r="A23" s="9"/>
      <c r="B23" s="9"/>
      <c r="C23" s="9"/>
      <c r="D23" s="9"/>
      <c r="E23" s="9"/>
      <c r="F23" s="9"/>
      <c r="G23" s="9"/>
      <c r="H23" s="9"/>
      <c r="I23" s="22"/>
      <c r="J23" s="9"/>
      <c r="K23" s="9"/>
      <c r="L23" s="9"/>
      <c r="M23" s="9"/>
      <c r="N23" s="11"/>
      <c r="O23" s="9"/>
    </row>
    <row r="24" customFormat="false" ht="15.8" hidden="false" customHeight="false" outlineLevel="0" collapsed="false">
      <c r="A24" s="9"/>
      <c r="B24" s="9" t="s">
        <v>40</v>
      </c>
      <c r="C24" s="23" t="n">
        <v>9223</v>
      </c>
      <c r="D24" s="20" t="n">
        <f aca="false">(C24-$C$30)/$C$30</f>
        <v>0.0143190216434982</v>
      </c>
      <c r="E24" s="9"/>
      <c r="F24" s="9"/>
      <c r="G24" s="9"/>
      <c r="H24" s="9"/>
      <c r="I24" s="22"/>
      <c r="J24" s="9"/>
      <c r="K24" s="9"/>
      <c r="L24" s="9"/>
      <c r="M24" s="9"/>
      <c r="N24" s="11"/>
      <c r="O24" s="9"/>
    </row>
    <row r="25" customFormat="false" ht="15.8" hidden="false" customHeight="false" outlineLevel="0" collapsed="false">
      <c r="A25" s="9"/>
      <c r="B25" s="9" t="s">
        <v>41</v>
      </c>
      <c r="C25" s="24" t="n">
        <v>9124</v>
      </c>
      <c r="D25" s="20" t="n">
        <f aca="false">(C25-$C$30)/$C$30</f>
        <v>0.00343128629245125</v>
      </c>
      <c r="E25" s="9"/>
      <c r="F25" s="9"/>
      <c r="G25" s="9"/>
      <c r="H25" s="9"/>
      <c r="I25" s="22"/>
      <c r="J25" s="9"/>
      <c r="K25" s="9"/>
      <c r="L25" s="9"/>
      <c r="M25" s="9"/>
      <c r="N25" s="11"/>
      <c r="O25" s="9"/>
    </row>
    <row r="26" customFormat="false" ht="13.85" hidden="false" customHeight="true" outlineLevel="0" collapsed="false">
      <c r="A26" s="9"/>
      <c r="B26" s="9" t="s">
        <v>42</v>
      </c>
      <c r="C26" s="24" t="n">
        <v>9086</v>
      </c>
      <c r="D26" s="20" t="n">
        <f aca="false">(C26-$C$30)/$C$30</f>
        <v>-0.000747844448354662</v>
      </c>
      <c r="E26" s="9"/>
      <c r="F26" s="9"/>
      <c r="G26" s="9"/>
      <c r="H26" s="9"/>
      <c r="I26" s="9"/>
    </row>
    <row r="27" customFormat="false" ht="15.8" hidden="false" customHeight="false" outlineLevel="0" collapsed="false">
      <c r="A27" s="9"/>
      <c r="B27" s="9" t="s">
        <v>43</v>
      </c>
      <c r="C27" s="24" t="n">
        <v>9116</v>
      </c>
      <c r="D27" s="20" t="n">
        <f aca="false">(C27-$C$30)/$C$30</f>
        <v>0.00255146929438685</v>
      </c>
      <c r="E27" s="9"/>
      <c r="F27" s="9"/>
      <c r="G27" s="9"/>
      <c r="H27" s="9"/>
      <c r="I27" s="20"/>
    </row>
    <row r="28" customFormat="false" ht="15.8" hidden="false" customHeight="false" outlineLevel="0" collapsed="false">
      <c r="A28" s="9"/>
      <c r="B28" s="9" t="s">
        <v>44</v>
      </c>
      <c r="C28" s="25" t="n">
        <v>8915</v>
      </c>
      <c r="D28" s="20" t="n">
        <f aca="false">(C28-$C$30)/$C$30</f>
        <v>-0.0195539327819813</v>
      </c>
      <c r="E28" s="9"/>
      <c r="F28" s="9"/>
      <c r="G28" s="9"/>
      <c r="H28" s="9"/>
      <c r="I28" s="9"/>
    </row>
    <row r="29" customFormat="false" ht="15.8" hidden="false" customHeight="false" outlineLevel="0" collapsed="false">
      <c r="A29" s="9"/>
      <c r="B29" s="9"/>
      <c r="C29" s="9"/>
      <c r="D29" s="9"/>
      <c r="E29" s="9"/>
      <c r="F29" s="9"/>
      <c r="G29" s="9"/>
      <c r="H29" s="9"/>
      <c r="I29" s="9"/>
    </row>
    <row r="30" customFormat="false" ht="15.8" hidden="false" customHeight="false" outlineLevel="0" collapsed="false">
      <c r="A30" s="9"/>
      <c r="B30" s="9" t="s">
        <v>45</v>
      </c>
      <c r="C30" s="22" t="n">
        <f aca="false">AVERAGE(C24:C28)</f>
        <v>9092.8</v>
      </c>
      <c r="D30" s="9"/>
      <c r="E30" s="9"/>
      <c r="F30" s="9"/>
      <c r="G30" s="9"/>
      <c r="H30" s="9"/>
      <c r="I30" s="9"/>
    </row>
    <row r="31" customFormat="false" ht="15.8" hidden="false" customHeight="false" outlineLevel="0" collapsed="false">
      <c r="A31" s="9"/>
      <c r="B31" s="9" t="s">
        <v>46</v>
      </c>
      <c r="C31" s="22" t="n">
        <f aca="false">STDEVP(C24:C28)</f>
        <v>100.122724693248</v>
      </c>
      <c r="D31" s="9"/>
      <c r="E31" s="9"/>
      <c r="F31" s="9"/>
      <c r="G31" s="9"/>
      <c r="H31" s="9"/>
      <c r="I31" s="20"/>
    </row>
    <row r="32" customFormat="false" ht="15.8" hidden="false" customHeight="false" outlineLevel="0" collapsed="false">
      <c r="A32" s="9"/>
      <c r="B32" s="9"/>
      <c r="C32" s="22"/>
      <c r="D32" s="9"/>
      <c r="E32" s="9"/>
      <c r="F32" s="9"/>
      <c r="G32" s="9"/>
      <c r="H32" s="9"/>
      <c r="I32" s="9"/>
    </row>
    <row r="33" customFormat="false" ht="15.8" hidden="false" customHeight="false" outlineLevel="0" collapsed="false">
      <c r="A33" s="9"/>
      <c r="B33" s="9"/>
      <c r="C33" s="9"/>
      <c r="D33" s="9"/>
      <c r="E33" s="9"/>
      <c r="F33" s="9"/>
      <c r="G33" s="9"/>
      <c r="H33" s="26"/>
      <c r="I33" s="26"/>
      <c r="J33" s="26"/>
    </row>
    <row r="34" customFormat="false" ht="15.8" hidden="false" customHeight="false" outlineLevel="0" collapsed="false">
      <c r="A34" s="9"/>
      <c r="B34" s="9"/>
      <c r="C34" s="20"/>
      <c r="D34" s="9"/>
      <c r="E34" s="9"/>
      <c r="F34" s="9"/>
      <c r="G34" s="9"/>
      <c r="H34" s="26"/>
      <c r="I34" s="26"/>
      <c r="J34" s="26"/>
    </row>
    <row r="35" customFormat="false" ht="15.8" hidden="false" customHeight="false" outlineLevel="0" collapsed="false">
      <c r="A35" s="9"/>
      <c r="B35" s="9"/>
      <c r="C35" s="9"/>
      <c r="D35" s="9"/>
      <c r="F35" s="9"/>
      <c r="G35" s="9"/>
      <c r="H35" s="26"/>
      <c r="I35" s="26"/>
      <c r="J35" s="26"/>
    </row>
    <row r="36" customFormat="false" ht="15.8" hidden="false" customHeight="false" outlineLevel="0" collapsed="false">
      <c r="A36" s="9"/>
      <c r="B36" s="9"/>
      <c r="C36" s="9"/>
      <c r="D36" s="9"/>
      <c r="F36" s="9"/>
      <c r="G36" s="9"/>
      <c r="H36" s="27"/>
      <c r="I36" s="26"/>
      <c r="J36" s="26"/>
    </row>
    <row r="37" customFormat="false" ht="15.8" hidden="false" customHeight="false" outlineLevel="0" collapsed="false">
      <c r="A37" s="9"/>
      <c r="B37" s="9"/>
      <c r="C37" s="9"/>
      <c r="D37" s="9"/>
      <c r="F37" s="9"/>
      <c r="G37" s="9"/>
      <c r="H37" s="27"/>
      <c r="I37" s="26"/>
      <c r="J37" s="26"/>
    </row>
    <row r="38" customFormat="false" ht="15.8" hidden="false" customHeight="false" outlineLevel="0" collapsed="false">
      <c r="A38" s="9"/>
      <c r="B38" s="9" t="s">
        <v>47</v>
      </c>
      <c r="C38" s="20" t="n">
        <f aca="false">C31/C30</f>
        <v>0.0110112093847053</v>
      </c>
      <c r="D38" s="28" t="str">
        <f aca="false">IF(C38&lt;0.03,"&lt;3% = PASS","&gt;3% = FAIL")</f>
        <v>&lt;3% = PASS</v>
      </c>
      <c r="F38" s="9"/>
      <c r="G38" s="9"/>
      <c r="H38" s="27"/>
      <c r="I38" s="26"/>
      <c r="J38" s="26"/>
    </row>
    <row r="39" customFormat="false" ht="15.8" hidden="false" customHeight="false" outlineLevel="0" collapsed="false">
      <c r="A39" s="9"/>
      <c r="B39" s="9"/>
      <c r="C39" s="9"/>
      <c r="D39" s="9"/>
      <c r="F39" s="9"/>
      <c r="G39" s="9"/>
      <c r="H39" s="29"/>
      <c r="I39" s="26"/>
      <c r="J39" s="26"/>
    </row>
    <row r="40" customFormat="false" ht="15.8" hidden="false" customHeight="false" outlineLevel="0" collapsed="false">
      <c r="A40" s="5"/>
      <c r="F40" s="9"/>
      <c r="G40" s="9"/>
      <c r="H40" s="30"/>
      <c r="I40" s="26"/>
      <c r="J40" s="26"/>
    </row>
    <row r="41" customFormat="false" ht="15.8" hidden="false" customHeight="false" outlineLevel="0" collapsed="false">
      <c r="B41" s="31"/>
      <c r="E41" s="9"/>
      <c r="F41" s="9"/>
      <c r="G41" s="9"/>
      <c r="H41" s="32"/>
      <c r="I41" s="26"/>
      <c r="J41" s="26"/>
    </row>
    <row r="42" customFormat="false" ht="15.8" hidden="false" customHeight="false" outlineLevel="0" collapsed="false">
      <c r="E42" s="9"/>
      <c r="F42" s="9"/>
      <c r="G42" s="9"/>
      <c r="H42" s="30"/>
      <c r="I42" s="26"/>
      <c r="J42" s="26"/>
    </row>
    <row r="43" customFormat="false" ht="15.8" hidden="false" customHeight="false" outlineLevel="0" collapsed="false">
      <c r="E43" s="9"/>
      <c r="F43" s="9"/>
      <c r="G43" s="9"/>
      <c r="H43" s="32"/>
      <c r="I43" s="26"/>
      <c r="J43" s="26"/>
    </row>
    <row r="44" customFormat="false" ht="15.8" hidden="false" customHeight="false" outlineLevel="0" collapsed="false">
      <c r="C44" s="5"/>
      <c r="E44" s="33"/>
      <c r="F44" s="9"/>
      <c r="G44" s="9"/>
      <c r="H44" s="34"/>
      <c r="I44" s="26"/>
      <c r="J44" s="26"/>
    </row>
    <row r="45" customFormat="false" ht="15.8" hidden="false" customHeight="false" outlineLevel="0" collapsed="false">
      <c r="E45" s="9"/>
      <c r="F45" s="9"/>
      <c r="G45" s="9"/>
      <c r="H45" s="9"/>
      <c r="I45" s="9"/>
    </row>
    <row r="46" customFormat="false" ht="15.8" hidden="false" customHeight="false" outlineLevel="0" collapsed="false">
      <c r="E46" s="9"/>
      <c r="F46" s="9"/>
      <c r="G46" s="9"/>
      <c r="H46" s="9"/>
      <c r="I46" s="20"/>
    </row>
    <row r="47" customFormat="false" ht="15.8" hidden="false" customHeight="false" outlineLevel="0" collapsed="false">
      <c r="E47" s="9"/>
      <c r="F47" s="9"/>
      <c r="G47" s="9"/>
      <c r="H47" s="9"/>
      <c r="I47" s="9"/>
    </row>
    <row r="48" customFormat="false" ht="15.8" hidden="false" customHeight="false" outlineLevel="0" collapsed="false">
      <c r="A48" s="9"/>
      <c r="B48" s="9"/>
      <c r="C48" s="9"/>
      <c r="D48" s="9"/>
      <c r="E48" s="9"/>
      <c r="F48" s="9"/>
      <c r="G48" s="9"/>
      <c r="H48" s="9"/>
      <c r="I48" s="9"/>
    </row>
    <row r="49" customFormat="false" ht="15.8" hidden="false" customHeight="false" outlineLevel="0" collapsed="false">
      <c r="A49" s="9"/>
      <c r="B49" s="9"/>
      <c r="C49" s="9"/>
      <c r="D49" s="9"/>
      <c r="E49" s="9"/>
      <c r="F49" s="9"/>
      <c r="G49" s="9"/>
      <c r="H49" s="9"/>
      <c r="I49" s="9"/>
    </row>
    <row r="50" customFormat="false" ht="15.8" hidden="false" customHeight="false" outlineLevel="0" collapsed="false">
      <c r="A50" s="9"/>
      <c r="B50" s="9"/>
      <c r="C50" s="9"/>
      <c r="D50" s="9"/>
      <c r="E50" s="9"/>
      <c r="F50" s="9"/>
      <c r="G50" s="9"/>
      <c r="H50" s="9"/>
      <c r="I50" s="20"/>
    </row>
    <row r="51" customFormat="false" ht="15.8" hidden="false" customHeight="false" outlineLevel="0" collapsed="false"/>
    <row r="52" customFormat="false" ht="15.8" hidden="false" customHeight="false" outlineLevel="0" collapsed="false"/>
    <row r="53" customFormat="false" ht="15.8" hidden="false" customHeight="false" outlineLevel="0" collapsed="false"/>
  </sheetData>
  <mergeCells count="1">
    <mergeCell ref="A1:E1"/>
  </mergeCells>
  <conditionalFormatting sqref="D38">
    <cfRule type="cellIs" priority="2" operator="equal" aboveAverage="0" equalAverage="0" bottom="0" percent="0" rank="0" text="" dxfId="0">
      <formula>"&lt;3% = PASS"</formula>
    </cfRule>
    <cfRule type="cellIs" priority="3" operator="notEqual" aboveAverage="0" equalAverage="0" bottom="0" percent="0" rank="0" text="" dxfId="1">
      <formula>"&lt;3% = PASS"</formula>
    </cfRule>
  </conditionalFormatting>
  <conditionalFormatting sqref="C38">
    <cfRule type="cellIs" priority="4" operator="lessThan" aboveAverage="0" equalAverage="0" bottom="0" percent="0" rank="0" text="" dxfId="0">
      <formula>0.03</formula>
    </cfRule>
    <cfRule type="cellIs" priority="5" operator="greaterThanOrEqual" aboveAverage="0" equalAverage="0" bottom="0" percent="0" rank="0" text="" dxfId="1">
      <formula>0.03</formula>
    </cfRule>
  </conditionalFormatting>
  <printOptions headings="false" gridLines="false" gridLinesSet="true" horizontalCentered="false" verticalCentered="false"/>
  <pageMargins left="0.7875" right="0.7875" top="1.05277777777778" bottom="1.74166666666667" header="0.7875" footer="0.7875"/>
  <pageSetup paperSize="9" scale="110" fitToWidth="1" fitToHeight="1" pageOrder="downThenOver" orientation="landscape" blackAndWhite="false" draft="false" cellComments="none" horizontalDpi="300" verticalDpi="300" copies="1"/>
  <headerFooter differentFirst="false" differentOddEven="false">
    <oddHeader>&amp;C&amp;"Times New Roman,Regular"&amp;12&amp;Kffffff&amp;A</oddHeader>
    <oddFooter>&amp;C&amp;"Times New Roman,Regular"&amp;12&amp;KffffffPage &amp;P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LU106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C2" activeCellId="0" sqref="C2"/>
    </sheetView>
  </sheetViews>
  <sheetFormatPr defaultColWidth="10.4921875" defaultRowHeight="12.8" zeroHeight="false" outlineLevelRow="0" outlineLevelCol="0"/>
  <cols>
    <col collapsed="false" customWidth="true" hidden="false" outlineLevel="0" max="14" min="14" style="0" width="10.29"/>
    <col collapsed="false" customWidth="true" hidden="false" outlineLevel="0" max="21" min="21" style="0" width="10.29"/>
  </cols>
  <sheetData>
    <row r="1" customFormat="false" ht="52.95" hidden="false" customHeight="true" outlineLevel="0" collapsed="false">
      <c r="A1" s="35" t="s">
        <v>10</v>
      </c>
      <c r="B1" s="36" t="s">
        <v>8</v>
      </c>
      <c r="C1" s="35" t="s">
        <v>11</v>
      </c>
      <c r="D1" s="35"/>
      <c r="E1" s="35"/>
      <c r="F1" s="35"/>
      <c r="G1" s="35"/>
      <c r="H1" s="35"/>
      <c r="I1" s="35"/>
      <c r="J1" s="35"/>
      <c r="K1" s="35"/>
      <c r="L1" s="35"/>
      <c r="M1" s="7"/>
      <c r="P1" s="7"/>
      <c r="EO1" s="7"/>
      <c r="EP1" s="7"/>
      <c r="EQ1" s="7"/>
      <c r="ER1" s="7"/>
      <c r="ES1" s="7"/>
      <c r="ET1" s="7"/>
      <c r="EU1" s="7"/>
      <c r="EV1" s="7"/>
      <c r="EW1" s="7"/>
      <c r="EX1" s="7"/>
      <c r="EY1" s="7"/>
      <c r="EZ1" s="7"/>
      <c r="FA1" s="7"/>
      <c r="FB1" s="7"/>
      <c r="FC1" s="7"/>
      <c r="FD1" s="7"/>
      <c r="FE1" s="7"/>
      <c r="FF1" s="7"/>
      <c r="FG1" s="7"/>
      <c r="FH1" s="7"/>
      <c r="FI1" s="7"/>
      <c r="FJ1" s="7"/>
      <c r="FK1" s="7"/>
      <c r="FL1" s="7"/>
      <c r="FM1" s="7"/>
      <c r="FN1" s="7"/>
      <c r="FO1" s="7"/>
      <c r="FP1" s="7"/>
      <c r="FQ1" s="7"/>
      <c r="FR1" s="7"/>
      <c r="FS1" s="7"/>
      <c r="FT1" s="7"/>
      <c r="FU1" s="7"/>
      <c r="FV1" s="7"/>
      <c r="FW1" s="7"/>
      <c r="FX1" s="7"/>
      <c r="FY1" s="7"/>
      <c r="FZ1" s="7"/>
      <c r="GA1" s="7"/>
      <c r="GB1" s="7"/>
      <c r="GC1" s="7"/>
      <c r="GD1" s="7"/>
      <c r="GE1" s="7"/>
      <c r="GF1" s="7"/>
      <c r="GG1" s="7"/>
      <c r="GH1" s="7"/>
      <c r="GI1" s="7"/>
      <c r="GJ1" s="7"/>
      <c r="GK1" s="7"/>
      <c r="GL1" s="7"/>
      <c r="GM1" s="7"/>
      <c r="GN1" s="7"/>
      <c r="GO1" s="7"/>
      <c r="GP1" s="7"/>
      <c r="GQ1" s="7"/>
      <c r="GR1" s="7"/>
      <c r="GS1" s="7"/>
      <c r="GT1" s="7"/>
      <c r="GU1" s="7"/>
      <c r="GV1" s="7"/>
      <c r="GW1" s="7"/>
      <c r="GX1" s="7"/>
      <c r="GY1" s="7"/>
      <c r="GZ1" s="7"/>
      <c r="HA1" s="7"/>
      <c r="HB1" s="7"/>
      <c r="HC1" s="7"/>
      <c r="HD1" s="7"/>
      <c r="HE1" s="7"/>
      <c r="HF1" s="7"/>
      <c r="HG1" s="7"/>
      <c r="HH1" s="7"/>
      <c r="HI1" s="7"/>
      <c r="HJ1" s="7"/>
      <c r="HK1" s="7"/>
      <c r="HL1" s="7"/>
      <c r="HM1" s="7"/>
      <c r="HN1" s="7"/>
      <c r="HO1" s="7"/>
      <c r="HP1" s="7"/>
      <c r="HQ1" s="7"/>
      <c r="HR1" s="7"/>
      <c r="HS1" s="7"/>
      <c r="HT1" s="7"/>
      <c r="HU1" s="7"/>
      <c r="HV1" s="7"/>
      <c r="HW1" s="7"/>
      <c r="HX1" s="7"/>
      <c r="HY1" s="7"/>
      <c r="HZ1" s="7"/>
      <c r="IA1" s="7"/>
      <c r="IB1" s="7"/>
      <c r="IC1" s="7"/>
      <c r="ID1" s="7"/>
      <c r="IE1" s="7"/>
      <c r="IF1" s="7"/>
      <c r="IG1" s="7"/>
      <c r="IH1" s="7"/>
      <c r="II1" s="7"/>
      <c r="IJ1" s="7"/>
      <c r="IK1" s="7"/>
      <c r="IL1" s="7"/>
      <c r="IM1" s="7"/>
      <c r="IN1" s="7"/>
      <c r="IO1" s="7"/>
      <c r="IP1" s="7"/>
      <c r="IQ1" s="7"/>
      <c r="IR1" s="7"/>
      <c r="IS1" s="7"/>
      <c r="IT1" s="7"/>
      <c r="IU1" s="7"/>
      <c r="IV1" s="7"/>
      <c r="IW1" s="7"/>
      <c r="IX1" s="7"/>
      <c r="IY1" s="7"/>
      <c r="IZ1" s="7"/>
      <c r="JA1" s="7"/>
      <c r="JB1" s="7"/>
      <c r="JC1" s="7"/>
      <c r="JD1" s="7"/>
      <c r="JE1" s="7"/>
      <c r="JF1" s="7"/>
      <c r="JG1" s="7"/>
      <c r="JH1" s="7"/>
      <c r="JI1" s="7"/>
      <c r="JJ1" s="7"/>
      <c r="JK1" s="7"/>
      <c r="JL1" s="7"/>
      <c r="JM1" s="7"/>
      <c r="JN1" s="7"/>
      <c r="JO1" s="7"/>
      <c r="JP1" s="7"/>
      <c r="JQ1" s="7"/>
      <c r="JR1" s="7"/>
      <c r="JS1" s="7"/>
      <c r="JT1" s="7"/>
      <c r="JU1" s="7"/>
      <c r="JV1" s="7"/>
      <c r="JW1" s="7"/>
      <c r="JX1" s="7"/>
      <c r="JY1" s="7"/>
      <c r="JZ1" s="7"/>
      <c r="KA1" s="7"/>
      <c r="KB1" s="7"/>
      <c r="KC1" s="7"/>
      <c r="KD1" s="7"/>
      <c r="KE1" s="7"/>
      <c r="KF1" s="7"/>
      <c r="KG1" s="7"/>
      <c r="KH1" s="7"/>
      <c r="KI1" s="7"/>
      <c r="KJ1" s="7"/>
      <c r="KK1" s="7"/>
      <c r="KL1" s="7"/>
      <c r="KM1" s="7"/>
      <c r="KN1" s="7"/>
      <c r="KO1" s="7"/>
      <c r="KP1" s="7"/>
      <c r="KQ1" s="7"/>
      <c r="KR1" s="7"/>
      <c r="KS1" s="7"/>
      <c r="KT1" s="7"/>
      <c r="KU1" s="7"/>
      <c r="KV1" s="7"/>
      <c r="KW1" s="7"/>
      <c r="KX1" s="7"/>
      <c r="KY1" s="7"/>
      <c r="KZ1" s="7"/>
      <c r="LA1" s="7"/>
      <c r="LB1" s="7"/>
      <c r="LC1" s="7"/>
      <c r="LD1" s="7"/>
      <c r="LE1" s="7"/>
      <c r="LF1" s="7"/>
      <c r="LG1" s="7"/>
      <c r="LH1" s="7"/>
      <c r="LI1" s="7"/>
      <c r="LJ1" s="7"/>
      <c r="LK1" s="7"/>
      <c r="LL1" s="7"/>
      <c r="LM1" s="7"/>
      <c r="LN1" s="7"/>
      <c r="LO1" s="7"/>
      <c r="LP1" s="7"/>
      <c r="LQ1" s="7"/>
      <c r="LR1" s="7"/>
      <c r="LS1" s="7"/>
      <c r="LT1" s="7"/>
      <c r="LU1" s="7"/>
      <c r="LV1" s="7"/>
      <c r="LW1" s="7"/>
      <c r="LX1" s="7"/>
      <c r="LY1" s="7"/>
      <c r="LZ1" s="7"/>
      <c r="MA1" s="7"/>
      <c r="MB1" s="7"/>
      <c r="MC1" s="7"/>
      <c r="MD1" s="7"/>
      <c r="ME1" s="7"/>
      <c r="MF1" s="7"/>
      <c r="MG1" s="7"/>
      <c r="MH1" s="7"/>
      <c r="MI1" s="7"/>
      <c r="MJ1" s="7"/>
      <c r="MK1" s="7"/>
      <c r="ML1" s="7"/>
      <c r="MM1" s="7"/>
      <c r="MN1" s="7"/>
      <c r="MO1" s="7"/>
      <c r="MP1" s="7"/>
      <c r="MQ1" s="7"/>
      <c r="MR1" s="7"/>
      <c r="MS1" s="7"/>
      <c r="MT1" s="7"/>
      <c r="MU1" s="7"/>
      <c r="MV1" s="7"/>
      <c r="MW1" s="7"/>
      <c r="MX1" s="7"/>
      <c r="MY1" s="7"/>
      <c r="MZ1" s="7"/>
      <c r="NA1" s="7"/>
      <c r="NB1" s="7"/>
      <c r="NC1" s="7"/>
      <c r="ND1" s="7"/>
      <c r="NE1" s="7"/>
      <c r="NF1" s="7"/>
      <c r="NG1" s="7"/>
      <c r="NH1" s="7"/>
      <c r="NI1" s="7"/>
      <c r="NJ1" s="7"/>
      <c r="NK1" s="7"/>
      <c r="NL1" s="7"/>
      <c r="NM1" s="7"/>
      <c r="NN1" s="7"/>
      <c r="NO1" s="7"/>
      <c r="NP1" s="7"/>
      <c r="NQ1" s="7"/>
      <c r="NR1" s="7"/>
      <c r="NS1" s="7"/>
      <c r="NT1" s="7"/>
      <c r="NU1" s="7"/>
      <c r="NV1" s="7"/>
      <c r="NW1" s="7"/>
      <c r="NX1" s="7"/>
      <c r="NY1" s="7"/>
      <c r="NZ1" s="7"/>
      <c r="OA1" s="7"/>
      <c r="OB1" s="7"/>
      <c r="OC1" s="7"/>
      <c r="OD1" s="7"/>
      <c r="OE1" s="7"/>
      <c r="OF1" s="7"/>
      <c r="OG1" s="7"/>
      <c r="OH1" s="7"/>
      <c r="OI1" s="7"/>
      <c r="OJ1" s="7"/>
      <c r="OK1" s="7"/>
      <c r="OL1" s="7"/>
      <c r="OM1" s="7"/>
      <c r="ON1" s="7"/>
      <c r="OO1" s="7"/>
      <c r="OP1" s="7"/>
      <c r="OQ1" s="7"/>
      <c r="OR1" s="7"/>
      <c r="OS1" s="7"/>
      <c r="OT1" s="7"/>
      <c r="OU1" s="7"/>
      <c r="OV1" s="7"/>
      <c r="OW1" s="7"/>
      <c r="OX1" s="7"/>
      <c r="OY1" s="7"/>
      <c r="OZ1" s="7"/>
      <c r="PA1" s="7"/>
      <c r="PB1" s="7"/>
      <c r="PC1" s="7"/>
      <c r="PD1" s="7"/>
      <c r="PE1" s="7"/>
      <c r="PF1" s="7"/>
      <c r="PG1" s="7"/>
      <c r="PH1" s="7"/>
      <c r="PI1" s="7"/>
      <c r="PJ1" s="7"/>
      <c r="PK1" s="7"/>
      <c r="PL1" s="7"/>
      <c r="PM1" s="7"/>
      <c r="PN1" s="7"/>
      <c r="PO1" s="7"/>
      <c r="PP1" s="7"/>
      <c r="PQ1" s="7"/>
      <c r="PR1" s="7"/>
      <c r="PS1" s="7"/>
      <c r="PT1" s="7"/>
      <c r="PU1" s="7"/>
      <c r="PV1" s="7"/>
      <c r="PW1" s="7"/>
      <c r="PX1" s="7"/>
      <c r="PY1" s="7"/>
      <c r="PZ1" s="7"/>
      <c r="QA1" s="7"/>
      <c r="QB1" s="7"/>
      <c r="QC1" s="7"/>
      <c r="QD1" s="7"/>
      <c r="QE1" s="7"/>
      <c r="QF1" s="7"/>
      <c r="QG1" s="7"/>
      <c r="QH1" s="7"/>
      <c r="QI1" s="7"/>
      <c r="QJ1" s="7"/>
      <c r="QK1" s="7"/>
      <c r="QL1" s="7"/>
      <c r="QM1" s="7"/>
      <c r="QN1" s="7"/>
      <c r="QO1" s="7"/>
      <c r="QP1" s="7"/>
      <c r="QQ1" s="7"/>
      <c r="QR1" s="7"/>
      <c r="QS1" s="7"/>
      <c r="QT1" s="7"/>
      <c r="QU1" s="7"/>
      <c r="QV1" s="7"/>
      <c r="QW1" s="7"/>
      <c r="QX1" s="7"/>
      <c r="QY1" s="7"/>
      <c r="QZ1" s="7"/>
      <c r="RA1" s="7"/>
      <c r="RB1" s="7"/>
      <c r="RC1" s="7"/>
      <c r="RD1" s="7"/>
      <c r="RE1" s="7"/>
      <c r="RF1" s="7"/>
      <c r="RG1" s="7"/>
      <c r="RH1" s="7"/>
      <c r="RI1" s="7"/>
      <c r="RJ1" s="7"/>
      <c r="RK1" s="7"/>
      <c r="RL1" s="7"/>
      <c r="RM1" s="7"/>
      <c r="RN1" s="7"/>
      <c r="RO1" s="7"/>
      <c r="RP1" s="7"/>
      <c r="RQ1" s="7"/>
      <c r="RR1" s="7"/>
      <c r="RS1" s="7"/>
      <c r="RT1" s="7"/>
      <c r="RU1" s="7"/>
      <c r="RV1" s="7"/>
      <c r="RW1" s="7"/>
      <c r="RX1" s="7"/>
      <c r="RY1" s="7"/>
      <c r="RZ1" s="7"/>
      <c r="SA1" s="7"/>
      <c r="SB1" s="7"/>
      <c r="SC1" s="7"/>
      <c r="SD1" s="7"/>
      <c r="SE1" s="7"/>
      <c r="SF1" s="7"/>
      <c r="SG1" s="7"/>
      <c r="SH1" s="7"/>
      <c r="SI1" s="7"/>
      <c r="SJ1" s="7"/>
      <c r="SK1" s="7"/>
      <c r="SL1" s="7"/>
      <c r="SM1" s="7"/>
      <c r="SN1" s="7"/>
      <c r="SO1" s="7"/>
      <c r="SP1" s="7"/>
      <c r="SQ1" s="7"/>
      <c r="SR1" s="7"/>
      <c r="SS1" s="7"/>
      <c r="ST1" s="7"/>
      <c r="SU1" s="7"/>
      <c r="SV1" s="7"/>
      <c r="SW1" s="7"/>
      <c r="SX1" s="7"/>
      <c r="SY1" s="7"/>
      <c r="SZ1" s="7"/>
      <c r="TA1" s="7"/>
      <c r="TB1" s="7"/>
      <c r="TC1" s="7"/>
      <c r="TD1" s="7"/>
      <c r="TE1" s="7"/>
      <c r="TF1" s="7"/>
      <c r="TG1" s="7"/>
      <c r="TH1" s="7"/>
      <c r="TI1" s="7"/>
      <c r="TJ1" s="7"/>
      <c r="TK1" s="7"/>
      <c r="TL1" s="7"/>
      <c r="TM1" s="7"/>
      <c r="TN1" s="7"/>
      <c r="TO1" s="7"/>
      <c r="TP1" s="7"/>
      <c r="TQ1" s="7"/>
      <c r="TR1" s="7"/>
      <c r="TS1" s="7"/>
      <c r="TT1" s="7"/>
      <c r="TU1" s="7"/>
      <c r="TV1" s="7"/>
      <c r="TW1" s="7"/>
      <c r="TX1" s="7"/>
      <c r="TY1" s="7"/>
      <c r="TZ1" s="7"/>
      <c r="UA1" s="7"/>
      <c r="UB1" s="7"/>
      <c r="UC1" s="7"/>
      <c r="UD1" s="7"/>
      <c r="UE1" s="7"/>
      <c r="UF1" s="7"/>
      <c r="UG1" s="7"/>
      <c r="UH1" s="7"/>
      <c r="UI1" s="7"/>
      <c r="UJ1" s="7"/>
      <c r="UK1" s="7"/>
      <c r="UL1" s="7"/>
      <c r="UM1" s="7"/>
      <c r="UN1" s="7"/>
      <c r="UO1" s="7"/>
      <c r="UP1" s="7"/>
      <c r="UQ1" s="7"/>
      <c r="UR1" s="7"/>
      <c r="US1" s="7"/>
      <c r="UT1" s="7"/>
      <c r="UU1" s="7"/>
      <c r="UV1" s="7"/>
      <c r="UW1" s="7"/>
      <c r="UX1" s="7"/>
      <c r="UY1" s="7"/>
      <c r="UZ1" s="7"/>
      <c r="VA1" s="7"/>
      <c r="VB1" s="7"/>
      <c r="VC1" s="7"/>
      <c r="VD1" s="7"/>
      <c r="VE1" s="7"/>
      <c r="VF1" s="7"/>
      <c r="VG1" s="7"/>
      <c r="VH1" s="7"/>
      <c r="VI1" s="7"/>
      <c r="VJ1" s="7"/>
      <c r="VK1" s="7"/>
      <c r="VL1" s="7"/>
      <c r="VM1" s="7"/>
      <c r="VN1" s="7"/>
      <c r="VO1" s="7"/>
      <c r="VP1" s="7"/>
      <c r="VQ1" s="7"/>
      <c r="VR1" s="7"/>
      <c r="VS1" s="7"/>
      <c r="VT1" s="7"/>
      <c r="VU1" s="7"/>
      <c r="VV1" s="7"/>
      <c r="VW1" s="7"/>
      <c r="VX1" s="7"/>
      <c r="VY1" s="7"/>
      <c r="VZ1" s="7"/>
      <c r="WA1" s="7"/>
      <c r="WB1" s="7"/>
      <c r="WC1" s="7"/>
      <c r="WD1" s="7"/>
      <c r="WE1" s="7"/>
      <c r="WF1" s="7"/>
      <c r="WG1" s="7"/>
      <c r="WH1" s="7"/>
      <c r="WI1" s="7"/>
      <c r="WJ1" s="7"/>
      <c r="WK1" s="7"/>
      <c r="WL1" s="7"/>
      <c r="WM1" s="7"/>
      <c r="WN1" s="7"/>
      <c r="WO1" s="7"/>
      <c r="WP1" s="7"/>
      <c r="WQ1" s="7"/>
      <c r="WR1" s="7"/>
      <c r="WS1" s="7"/>
      <c r="WT1" s="7"/>
      <c r="WU1" s="7"/>
      <c r="WV1" s="7"/>
      <c r="WW1" s="7"/>
      <c r="WX1" s="7"/>
      <c r="WY1" s="7"/>
      <c r="WZ1" s="7"/>
      <c r="XA1" s="7"/>
      <c r="XB1" s="7"/>
      <c r="XC1" s="7"/>
      <c r="XD1" s="7"/>
      <c r="XE1" s="7"/>
      <c r="XF1" s="7"/>
      <c r="XG1" s="7"/>
      <c r="XH1" s="7"/>
      <c r="XI1" s="7"/>
      <c r="XJ1" s="7"/>
      <c r="XK1" s="7"/>
      <c r="XL1" s="7"/>
      <c r="XM1" s="7"/>
      <c r="XN1" s="7"/>
      <c r="XO1" s="7"/>
      <c r="XP1" s="7"/>
      <c r="XQ1" s="7"/>
      <c r="XR1" s="7"/>
      <c r="XS1" s="7"/>
      <c r="XT1" s="7"/>
      <c r="XU1" s="7"/>
      <c r="XV1" s="7"/>
      <c r="XW1" s="7"/>
      <c r="XX1" s="7"/>
      <c r="XY1" s="7"/>
      <c r="XZ1" s="7"/>
      <c r="YA1" s="7"/>
      <c r="YB1" s="7"/>
      <c r="YC1" s="7"/>
      <c r="YD1" s="7"/>
      <c r="YE1" s="7"/>
      <c r="YF1" s="7"/>
      <c r="YG1" s="7"/>
      <c r="YH1" s="7"/>
      <c r="YI1" s="7"/>
      <c r="YJ1" s="7"/>
      <c r="YK1" s="7"/>
      <c r="YL1" s="7"/>
      <c r="YM1" s="7"/>
      <c r="YN1" s="7"/>
      <c r="YO1" s="7"/>
      <c r="YP1" s="7"/>
      <c r="YQ1" s="7"/>
      <c r="YR1" s="7"/>
      <c r="YS1" s="7"/>
      <c r="YT1" s="7"/>
      <c r="YU1" s="7"/>
      <c r="YV1" s="7"/>
      <c r="YW1" s="7"/>
      <c r="YX1" s="7"/>
      <c r="YY1" s="7"/>
      <c r="YZ1" s="7"/>
      <c r="ZA1" s="7"/>
      <c r="ZB1" s="7"/>
      <c r="ZC1" s="7"/>
      <c r="ZD1" s="7"/>
      <c r="ZE1" s="7"/>
      <c r="ZF1" s="7"/>
      <c r="ZG1" s="7"/>
      <c r="ZH1" s="7"/>
      <c r="ZI1" s="7"/>
      <c r="ZJ1" s="7"/>
      <c r="ZK1" s="7"/>
      <c r="ZL1" s="7"/>
      <c r="ZM1" s="7"/>
      <c r="ZN1" s="7"/>
      <c r="ZO1" s="7"/>
      <c r="ZP1" s="7"/>
      <c r="ZQ1" s="7"/>
      <c r="ZR1" s="7"/>
      <c r="ZS1" s="7"/>
      <c r="ZT1" s="7"/>
      <c r="ZU1" s="7"/>
      <c r="ZV1" s="7"/>
      <c r="ZW1" s="7"/>
      <c r="ZX1" s="7"/>
      <c r="ZY1" s="7"/>
      <c r="ZZ1" s="7"/>
      <c r="AAA1" s="7"/>
      <c r="AAB1" s="7"/>
      <c r="AAC1" s="7"/>
      <c r="AAD1" s="7"/>
      <c r="AAE1" s="7"/>
      <c r="AAF1" s="7"/>
      <c r="AAG1" s="7"/>
      <c r="AAH1" s="7"/>
      <c r="AAI1" s="7"/>
      <c r="AAJ1" s="7"/>
      <c r="AAK1" s="7"/>
      <c r="AAL1" s="7"/>
      <c r="AAM1" s="7"/>
      <c r="AAN1" s="7"/>
      <c r="AAO1" s="7"/>
      <c r="AAP1" s="7"/>
      <c r="AAQ1" s="7"/>
      <c r="AAR1" s="7"/>
      <c r="AAS1" s="7"/>
      <c r="AAT1" s="7"/>
      <c r="AAU1" s="7"/>
      <c r="AAV1" s="7"/>
      <c r="AAW1" s="7"/>
      <c r="AAX1" s="7"/>
      <c r="AAY1" s="7"/>
      <c r="AAZ1" s="7"/>
      <c r="ABA1" s="7"/>
      <c r="ABB1" s="7"/>
      <c r="ABC1" s="7"/>
      <c r="ABD1" s="7"/>
      <c r="ABE1" s="7"/>
      <c r="ABF1" s="7"/>
      <c r="ABG1" s="7"/>
      <c r="ABH1" s="7"/>
      <c r="ABI1" s="7"/>
      <c r="ABJ1" s="7"/>
      <c r="ABK1" s="7"/>
      <c r="ABL1" s="7"/>
      <c r="ABM1" s="7"/>
      <c r="ABN1" s="7"/>
      <c r="ABO1" s="7"/>
      <c r="ABP1" s="7"/>
      <c r="ABQ1" s="7"/>
      <c r="ABR1" s="7"/>
      <c r="ABS1" s="7"/>
      <c r="ABT1" s="7"/>
      <c r="ABU1" s="7"/>
      <c r="ABV1" s="7"/>
      <c r="ABW1" s="7"/>
      <c r="ABX1" s="7"/>
      <c r="ABY1" s="7"/>
      <c r="ABZ1" s="7"/>
      <c r="ACA1" s="7"/>
      <c r="ACB1" s="7"/>
      <c r="ACC1" s="7"/>
      <c r="ACD1" s="7"/>
      <c r="ACE1" s="7"/>
      <c r="ACF1" s="7"/>
      <c r="ACG1" s="7"/>
      <c r="ACH1" s="7"/>
      <c r="ACI1" s="7"/>
      <c r="ACJ1" s="7"/>
      <c r="ACK1" s="7"/>
      <c r="ACL1" s="7"/>
      <c r="ACM1" s="7"/>
      <c r="ACN1" s="7"/>
      <c r="ACO1" s="7"/>
      <c r="ACP1" s="7"/>
      <c r="ACQ1" s="7"/>
      <c r="ACR1" s="7"/>
      <c r="ACS1" s="7"/>
      <c r="ACT1" s="7"/>
      <c r="ACU1" s="7"/>
      <c r="ACV1" s="7"/>
      <c r="ACW1" s="7"/>
      <c r="ACX1" s="7"/>
      <c r="ACY1" s="7"/>
      <c r="ACZ1" s="7"/>
      <c r="ADA1" s="7"/>
      <c r="ADB1" s="7"/>
      <c r="ADC1" s="7"/>
      <c r="ADD1" s="7"/>
      <c r="ADE1" s="7"/>
      <c r="ADF1" s="7"/>
      <c r="ADG1" s="7"/>
      <c r="ADH1" s="7"/>
      <c r="ADI1" s="7"/>
      <c r="ADJ1" s="7"/>
      <c r="ADK1" s="7"/>
      <c r="ADL1" s="7"/>
      <c r="ADM1" s="7"/>
      <c r="ADN1" s="7"/>
      <c r="ADO1" s="7"/>
      <c r="ADP1" s="7"/>
      <c r="ADQ1" s="7"/>
      <c r="ADR1" s="7"/>
      <c r="ADS1" s="7"/>
      <c r="ADT1" s="7"/>
      <c r="ADU1" s="7"/>
      <c r="ADV1" s="7"/>
      <c r="ADW1" s="7"/>
      <c r="ADX1" s="7"/>
      <c r="ADY1" s="7"/>
      <c r="ADZ1" s="7"/>
      <c r="AEA1" s="7"/>
      <c r="AEB1" s="7"/>
      <c r="AEC1" s="7"/>
      <c r="AED1" s="7"/>
      <c r="AEE1" s="7"/>
      <c r="AEF1" s="7"/>
      <c r="AEG1" s="7"/>
      <c r="AEH1" s="7"/>
      <c r="AEI1" s="7"/>
      <c r="AEJ1" s="7"/>
      <c r="AEK1" s="7"/>
      <c r="AEL1" s="7"/>
      <c r="AEM1" s="7"/>
      <c r="AEN1" s="7"/>
      <c r="AEO1" s="7"/>
      <c r="AEP1" s="7"/>
      <c r="AEQ1" s="7"/>
      <c r="AER1" s="7"/>
      <c r="AES1" s="7"/>
      <c r="AET1" s="7"/>
      <c r="AEU1" s="7"/>
      <c r="AEV1" s="7"/>
      <c r="AEW1" s="7"/>
      <c r="AEX1" s="7"/>
      <c r="AEY1" s="7"/>
      <c r="AEZ1" s="7"/>
      <c r="AFA1" s="7"/>
      <c r="AFB1" s="7"/>
      <c r="AFC1" s="7"/>
      <c r="AFD1" s="7"/>
      <c r="AFE1" s="7"/>
      <c r="AFF1" s="7"/>
      <c r="AFG1" s="7"/>
      <c r="AFH1" s="7"/>
      <c r="AFI1" s="7"/>
      <c r="AFJ1" s="7"/>
      <c r="AFK1" s="7"/>
      <c r="AFL1" s="7"/>
      <c r="AFM1" s="7"/>
      <c r="AFN1" s="7"/>
      <c r="AFO1" s="7"/>
      <c r="AFP1" s="7"/>
      <c r="AFQ1" s="7"/>
      <c r="AFR1" s="7"/>
      <c r="AFS1" s="7"/>
      <c r="AFT1" s="7"/>
      <c r="AFU1" s="7"/>
      <c r="AFV1" s="7"/>
      <c r="AFW1" s="7"/>
      <c r="AFX1" s="7"/>
      <c r="AFY1" s="7"/>
      <c r="AFZ1" s="7"/>
      <c r="AGA1" s="7"/>
      <c r="AGB1" s="7"/>
      <c r="AGC1" s="7"/>
      <c r="AGD1" s="7"/>
      <c r="AGE1" s="7"/>
      <c r="AGF1" s="7"/>
      <c r="AGG1" s="7"/>
      <c r="AGH1" s="7"/>
      <c r="AGI1" s="7"/>
      <c r="AGJ1" s="7"/>
      <c r="AGK1" s="7"/>
      <c r="AGL1" s="7"/>
      <c r="AGM1" s="7"/>
      <c r="AGN1" s="7"/>
      <c r="AGO1" s="7"/>
      <c r="AGP1" s="7"/>
      <c r="AGQ1" s="7"/>
      <c r="AGR1" s="7"/>
      <c r="AGS1" s="7"/>
      <c r="AGT1" s="7"/>
      <c r="AGU1" s="7"/>
      <c r="AGV1" s="7"/>
      <c r="AGW1" s="7"/>
      <c r="AGX1" s="7"/>
      <c r="AGY1" s="7"/>
      <c r="AGZ1" s="7"/>
      <c r="AHA1" s="7"/>
      <c r="AHB1" s="7"/>
      <c r="AHC1" s="7"/>
      <c r="AHD1" s="7"/>
      <c r="AHE1" s="7"/>
      <c r="AHF1" s="7"/>
      <c r="AHG1" s="7"/>
      <c r="AHH1" s="7"/>
      <c r="AHI1" s="7"/>
      <c r="AHJ1" s="7"/>
      <c r="AHK1" s="7"/>
      <c r="AHL1" s="7"/>
      <c r="AHM1" s="7"/>
      <c r="AHN1" s="7"/>
      <c r="AHO1" s="7"/>
      <c r="AHP1" s="7"/>
      <c r="AHQ1" s="7"/>
      <c r="AHR1" s="7"/>
      <c r="AHS1" s="7"/>
      <c r="AHT1" s="7"/>
      <c r="AHU1" s="7"/>
      <c r="AHV1" s="7"/>
      <c r="AHW1" s="7"/>
      <c r="AHX1" s="7"/>
      <c r="AHY1" s="7"/>
      <c r="AHZ1" s="7"/>
      <c r="AIA1" s="7"/>
      <c r="AIB1" s="7"/>
      <c r="AIC1" s="7"/>
      <c r="AID1" s="7"/>
      <c r="AIE1" s="7"/>
      <c r="AIF1" s="7"/>
      <c r="AIG1" s="7"/>
      <c r="AIH1" s="7"/>
      <c r="AII1" s="7"/>
      <c r="AIJ1" s="7"/>
      <c r="AIK1" s="7"/>
      <c r="AIL1" s="7"/>
      <c r="AIM1" s="7"/>
      <c r="AIN1" s="7"/>
      <c r="AIO1" s="7"/>
      <c r="AIP1" s="7"/>
      <c r="AIQ1" s="7"/>
      <c r="AIR1" s="7"/>
      <c r="AIS1" s="7"/>
      <c r="AIT1" s="7"/>
      <c r="AIU1" s="7"/>
      <c r="AIV1" s="7"/>
      <c r="AIW1" s="7"/>
      <c r="AIX1" s="7"/>
      <c r="AIY1" s="7"/>
      <c r="AIZ1" s="7"/>
      <c r="AJA1" s="7"/>
      <c r="AJB1" s="7"/>
      <c r="AJC1" s="7"/>
      <c r="AJD1" s="7"/>
      <c r="AJE1" s="7"/>
      <c r="AJF1" s="7"/>
      <c r="AJG1" s="7"/>
      <c r="AJH1" s="7"/>
      <c r="AJI1" s="7"/>
      <c r="AJJ1" s="7"/>
      <c r="AJK1" s="7"/>
      <c r="AJL1" s="7"/>
      <c r="AJM1" s="7"/>
      <c r="AJN1" s="7"/>
      <c r="AJO1" s="7"/>
      <c r="AJP1" s="7"/>
      <c r="AJQ1" s="7"/>
      <c r="AJR1" s="7"/>
      <c r="AJS1" s="7"/>
      <c r="AJT1" s="7"/>
      <c r="AJU1" s="7"/>
      <c r="AJV1" s="7"/>
      <c r="AJW1" s="7"/>
      <c r="AJX1" s="7"/>
      <c r="AJY1" s="7"/>
      <c r="AJZ1" s="7"/>
      <c r="AKA1" s="7"/>
      <c r="AKB1" s="7"/>
      <c r="AKC1" s="7"/>
      <c r="AKD1" s="7"/>
      <c r="AKE1" s="7"/>
      <c r="AKF1" s="7"/>
      <c r="AKG1" s="7"/>
      <c r="AKH1" s="7"/>
      <c r="AKI1" s="7"/>
      <c r="AKJ1" s="7"/>
      <c r="AKK1" s="7"/>
      <c r="AKL1" s="7"/>
      <c r="AKM1" s="7"/>
      <c r="AKN1" s="7"/>
      <c r="AKO1" s="7"/>
      <c r="AKP1" s="7"/>
      <c r="AKQ1" s="7"/>
      <c r="AKR1" s="7"/>
      <c r="AKS1" s="7"/>
      <c r="AKT1" s="7"/>
      <c r="AKU1" s="7"/>
      <c r="AKV1" s="7"/>
      <c r="AKW1" s="7"/>
      <c r="AKX1" s="7"/>
      <c r="AKY1" s="7"/>
      <c r="AKZ1" s="7"/>
      <c r="ALA1" s="7"/>
      <c r="ALB1" s="7"/>
      <c r="ALC1" s="7"/>
      <c r="ALD1" s="7"/>
      <c r="ALE1" s="7"/>
      <c r="ALF1" s="7"/>
      <c r="ALG1" s="7"/>
      <c r="ALH1" s="7"/>
      <c r="ALI1" s="7"/>
      <c r="ALJ1" s="7"/>
      <c r="ALK1" s="7"/>
      <c r="ALL1" s="7"/>
      <c r="ALM1" s="7"/>
      <c r="ALN1" s="7"/>
      <c r="ALO1" s="7"/>
      <c r="ALP1" s="7"/>
      <c r="ALQ1" s="7"/>
      <c r="ALR1" s="7"/>
      <c r="ALS1" s="7"/>
      <c r="ALT1" s="7"/>
      <c r="ALU1" s="7"/>
    </row>
    <row r="2" customFormat="false" ht="15.8" hidden="false" customHeight="false" outlineLevel="0" collapsed="false"/>
    <row r="3" customFormat="false" ht="15.8" hidden="false" customHeight="false" outlineLevel="0" collapsed="false">
      <c r="A3" s="0" t="n">
        <v>20000</v>
      </c>
      <c r="B3" s="0" t="s">
        <v>38</v>
      </c>
      <c r="C3" s="0" t="s">
        <v>48</v>
      </c>
      <c r="U3" s="5" t="s">
        <v>49</v>
      </c>
      <c r="V3" s="5"/>
    </row>
    <row r="4" customFormat="false" ht="15.8" hidden="false" customHeight="false" outlineLevel="0" collapsed="false">
      <c r="U4" s="5" t="s">
        <v>50</v>
      </c>
      <c r="V4" s="5" t="s">
        <v>51</v>
      </c>
      <c r="W4" s="0" t="s">
        <v>52</v>
      </c>
      <c r="X4" s="0" t="s">
        <v>53</v>
      </c>
    </row>
    <row r="5" customFormat="false" ht="15.8" hidden="false" customHeight="false" outlineLevel="0" collapsed="false">
      <c r="U5" s="0" t="n">
        <v>167569</v>
      </c>
      <c r="V5" s="7"/>
    </row>
    <row r="6" customFormat="false" ht="15.8" hidden="false" customHeight="false" outlineLevel="0" collapsed="false">
      <c r="A6" s="0" t="n">
        <v>6300</v>
      </c>
      <c r="B6" s="0" t="s">
        <v>54</v>
      </c>
      <c r="C6" s="0" t="s">
        <v>55</v>
      </c>
      <c r="U6" s="0" t="n">
        <v>169407</v>
      </c>
    </row>
    <row r="7" customFormat="false" ht="15.8" hidden="false" customHeight="false" outlineLevel="0" collapsed="false">
      <c r="A7" s="0" t="n">
        <v>12.2</v>
      </c>
      <c r="B7" s="0" t="s">
        <v>56</v>
      </c>
      <c r="C7" s="0" t="s">
        <v>57</v>
      </c>
      <c r="U7" s="0" t="n">
        <v>169243</v>
      </c>
      <c r="V7" s="37" t="n">
        <f aca="false">SUM(U5:U7)/3</f>
        <v>168739.666666667</v>
      </c>
      <c r="W7" s="38" t="n">
        <f aca="false">(MAX(U5:U6)-MIN(U5:U6))/V7*100</f>
        <v>1.0892518850537</v>
      </c>
    </row>
    <row r="8" customFormat="false" ht="15.8" hidden="false" customHeight="false" outlineLevel="0" collapsed="false">
      <c r="A8" s="0" t="n">
        <v>10900</v>
      </c>
      <c r="B8" s="0" t="s">
        <v>38</v>
      </c>
      <c r="C8" s="0" t="s">
        <v>58</v>
      </c>
      <c r="U8" s="0" t="n">
        <v>292859</v>
      </c>
      <c r="V8" s="37"/>
      <c r="W8" s="38"/>
    </row>
    <row r="9" customFormat="false" ht="15.8" hidden="false" customHeight="false" outlineLevel="0" collapsed="false">
      <c r="A9" s="0" t="n">
        <f aca="false">A8/10</f>
        <v>1090</v>
      </c>
      <c r="B9" s="0" t="s">
        <v>38</v>
      </c>
      <c r="C9" s="0" t="s">
        <v>59</v>
      </c>
      <c r="U9" s="0" t="n">
        <v>301110</v>
      </c>
      <c r="V9" s="37"/>
      <c r="W9" s="38"/>
    </row>
    <row r="10" customFormat="false" ht="15.8" hidden="false" customHeight="false" outlineLevel="0" collapsed="false">
      <c r="A10" s="39" t="n">
        <f aca="false">A9/A6*A7</f>
        <v>2.11079365079365</v>
      </c>
      <c r="B10" s="0" t="s">
        <v>60</v>
      </c>
      <c r="C10" s="0" t="s">
        <v>61</v>
      </c>
      <c r="U10" s="0" t="n">
        <v>299624</v>
      </c>
      <c r="V10" s="37"/>
      <c r="W10" s="38"/>
    </row>
    <row r="11" customFormat="false" ht="15.8" hidden="false" customHeight="false" outlineLevel="0" collapsed="false">
      <c r="A11" s="40" t="n">
        <f aca="false">A10*100</f>
        <v>211.079365079365</v>
      </c>
      <c r="B11" s="0" t="s">
        <v>62</v>
      </c>
      <c r="C11" s="0" t="s">
        <v>63</v>
      </c>
      <c r="U11" s="0" t="n">
        <v>285382</v>
      </c>
      <c r="V11" s="37" t="n">
        <f aca="false">SUM(U8:U11)/4</f>
        <v>294743.75</v>
      </c>
      <c r="W11" s="38" t="n">
        <f aca="false">(MAX(U8:U10)-MIN(U8:U10))/V11*100</f>
        <v>2.7993808180835</v>
      </c>
    </row>
    <row r="12" customFormat="false" ht="15.8" hidden="false" customHeight="false" outlineLevel="0" collapsed="false">
      <c r="A12" s="0" t="n">
        <v>300</v>
      </c>
      <c r="B12" s="0" t="s">
        <v>64</v>
      </c>
      <c r="C12" s="0" t="s">
        <v>65</v>
      </c>
      <c r="U12" s="0" t="n">
        <v>458207</v>
      </c>
      <c r="V12" s="37"/>
      <c r="W12" s="38"/>
    </row>
    <row r="13" customFormat="false" ht="15.8" hidden="false" customHeight="false" outlineLevel="0" collapsed="false">
      <c r="A13" s="40" t="n">
        <f aca="false">A11*A12/1000</f>
        <v>63.3238095238095</v>
      </c>
      <c r="B13" s="0" t="s">
        <v>60</v>
      </c>
      <c r="C13" s="0" t="s">
        <v>66</v>
      </c>
      <c r="U13" s="0" t="n">
        <v>465138</v>
      </c>
      <c r="V13" s="37"/>
      <c r="W13" s="38"/>
    </row>
    <row r="14" customFormat="false" ht="15.8" hidden="false" customHeight="false" outlineLevel="0" collapsed="false">
      <c r="A14" s="0" t="n">
        <v>66.07</v>
      </c>
      <c r="B14" s="0" t="s">
        <v>60</v>
      </c>
      <c r="C14" s="0" t="s">
        <v>67</v>
      </c>
      <c r="U14" s="0" t="n">
        <v>454200</v>
      </c>
      <c r="V14" s="37"/>
      <c r="W14" s="38"/>
    </row>
    <row r="15" customFormat="false" ht="15.8" hidden="false" customHeight="false" outlineLevel="0" collapsed="false">
      <c r="A15" s="40" t="n">
        <f aca="false">A11*A14/A13</f>
        <v>220.233333333333</v>
      </c>
      <c r="B15" s="0" t="s">
        <v>62</v>
      </c>
      <c r="C15" s="0" t="s">
        <v>68</v>
      </c>
      <c r="U15" s="0" t="n">
        <v>445750</v>
      </c>
      <c r="V15" s="37"/>
      <c r="W15" s="38"/>
    </row>
    <row r="16" customFormat="false" ht="15.8" hidden="false" customHeight="false" outlineLevel="0" collapsed="false">
      <c r="A16" s="40" t="n">
        <f aca="false">A13/A14*10</f>
        <v>9.58435137336303</v>
      </c>
      <c r="B16" s="0" t="s">
        <v>64</v>
      </c>
      <c r="C16" s="0" t="s">
        <v>69</v>
      </c>
      <c r="U16" s="0" t="n">
        <v>443747</v>
      </c>
      <c r="V16" s="37"/>
      <c r="W16" s="38"/>
    </row>
    <row r="17" s="5" customFormat="true" ht="15.8" hidden="false" customHeight="false" outlineLevel="0" collapsed="false">
      <c r="A17" s="0"/>
      <c r="B17" s="0"/>
      <c r="C17" s="0"/>
      <c r="D17" s="0"/>
      <c r="E17" s="0"/>
      <c r="F17" s="0"/>
      <c r="G17" s="0"/>
      <c r="H17" s="0"/>
      <c r="I17" s="0"/>
      <c r="J17" s="0"/>
      <c r="K17" s="0"/>
      <c r="L17" s="0"/>
      <c r="M17" s="0"/>
      <c r="N17" s="0"/>
      <c r="O17" s="0"/>
      <c r="P17" s="0"/>
      <c r="Q17" s="0"/>
      <c r="R17" s="0"/>
      <c r="S17" s="0"/>
      <c r="T17" s="0"/>
      <c r="U17" s="0" t="n">
        <v>453143</v>
      </c>
      <c r="V17" s="37"/>
      <c r="W17" s="38"/>
      <c r="X17" s="0"/>
      <c r="Y17" s="0"/>
      <c r="Z17" s="0"/>
      <c r="AA17" s="0"/>
      <c r="AB17" s="0"/>
      <c r="AC17" s="0"/>
      <c r="AD17" s="0"/>
      <c r="AE17" s="0"/>
      <c r="AF17" s="0"/>
      <c r="AG17" s="0"/>
      <c r="AH17" s="0"/>
      <c r="AI17" s="0"/>
      <c r="AJ17" s="0"/>
      <c r="AK17" s="0"/>
      <c r="AL17" s="0"/>
      <c r="AM17" s="0"/>
      <c r="AN17" s="0"/>
      <c r="AO17" s="0"/>
      <c r="AP17" s="0"/>
      <c r="AQ17" s="0"/>
      <c r="AR17" s="0"/>
      <c r="AS17" s="0"/>
      <c r="AT17" s="0"/>
      <c r="AU17" s="0"/>
      <c r="AV17" s="0"/>
      <c r="AW17" s="0"/>
      <c r="AX17" s="0"/>
      <c r="AY17" s="0"/>
      <c r="AZ17" s="0"/>
      <c r="BA17" s="0"/>
      <c r="BB17" s="0"/>
      <c r="BC17" s="0"/>
      <c r="BD17" s="0"/>
      <c r="BE17" s="0"/>
      <c r="BF17" s="0"/>
      <c r="BG17" s="0"/>
      <c r="BH17" s="0"/>
      <c r="BI17" s="0"/>
      <c r="BJ17" s="0"/>
      <c r="BK17" s="0"/>
      <c r="BL17" s="0"/>
      <c r="BM17" s="0"/>
      <c r="BN17" s="0"/>
      <c r="BO17" s="0"/>
      <c r="BP17" s="0"/>
      <c r="BQ17" s="0"/>
      <c r="BR17" s="0"/>
      <c r="BS17" s="0"/>
      <c r="BT17" s="0"/>
      <c r="BU17" s="0"/>
      <c r="BV17" s="0"/>
      <c r="BW17" s="0"/>
      <c r="BX17" s="0"/>
      <c r="BY17" s="0"/>
      <c r="BZ17" s="0"/>
      <c r="CA17" s="0"/>
      <c r="CB17" s="0"/>
      <c r="CC17" s="0"/>
      <c r="CD17" s="0"/>
      <c r="CE17" s="0"/>
      <c r="CF17" s="0"/>
      <c r="CG17" s="0"/>
      <c r="CH17" s="0"/>
      <c r="CI17" s="0"/>
      <c r="CJ17" s="0"/>
      <c r="CK17" s="0"/>
      <c r="CL17" s="0"/>
      <c r="CM17" s="0"/>
      <c r="CN17" s="0"/>
      <c r="CO17" s="0"/>
      <c r="CP17" s="0"/>
      <c r="CQ17" s="0"/>
      <c r="CR17" s="0"/>
      <c r="CS17" s="0"/>
      <c r="CT17" s="0"/>
      <c r="CU17" s="0"/>
      <c r="CV17" s="0"/>
      <c r="CW17" s="0"/>
      <c r="CX17" s="0"/>
      <c r="CY17" s="0"/>
      <c r="CZ17" s="0"/>
      <c r="DA17" s="0"/>
      <c r="DB17" s="0"/>
      <c r="DC17" s="0"/>
      <c r="DD17" s="0"/>
      <c r="DE17" s="0"/>
      <c r="DF17" s="0"/>
      <c r="DG17" s="0"/>
      <c r="DH17" s="0"/>
      <c r="DI17" s="0"/>
      <c r="DJ17" s="0"/>
      <c r="DK17" s="0"/>
      <c r="DL17" s="0"/>
      <c r="DM17" s="0"/>
      <c r="DN17" s="0"/>
      <c r="DO17" s="0"/>
      <c r="DP17" s="0"/>
      <c r="DQ17" s="0"/>
      <c r="DR17" s="0"/>
      <c r="DS17" s="0"/>
      <c r="DT17" s="0"/>
      <c r="DU17" s="0"/>
      <c r="DV17" s="0"/>
      <c r="DW17" s="0"/>
      <c r="DX17" s="0"/>
      <c r="DY17" s="0"/>
      <c r="DZ17" s="0"/>
      <c r="EA17" s="0"/>
      <c r="EB17" s="0"/>
      <c r="EC17" s="0"/>
      <c r="ED17" s="0"/>
      <c r="EE17" s="0"/>
      <c r="EF17" s="0"/>
      <c r="EG17" s="0"/>
      <c r="EH17" s="0"/>
      <c r="EI17" s="0"/>
      <c r="EJ17" s="0"/>
      <c r="EK17" s="0"/>
      <c r="EL17" s="0"/>
      <c r="EM17" s="0"/>
      <c r="EN17" s="0"/>
      <c r="EO17" s="0"/>
      <c r="EP17" s="0"/>
      <c r="EQ17" s="0"/>
      <c r="ER17" s="0"/>
      <c r="ES17" s="0"/>
      <c r="ET17" s="0"/>
      <c r="EU17" s="0"/>
      <c r="EV17" s="0"/>
      <c r="EW17" s="0"/>
      <c r="EX17" s="0"/>
      <c r="EY17" s="0"/>
      <c r="EZ17" s="0"/>
      <c r="FA17" s="0"/>
      <c r="FB17" s="0"/>
      <c r="FC17" s="0"/>
      <c r="FD17" s="0"/>
      <c r="FE17" s="0"/>
      <c r="FF17" s="0"/>
      <c r="FG17" s="0"/>
      <c r="FH17" s="0"/>
      <c r="FI17" s="0"/>
      <c r="FJ17" s="0"/>
      <c r="FK17" s="0"/>
      <c r="FL17" s="0"/>
      <c r="FM17" s="0"/>
      <c r="FN17" s="0"/>
      <c r="FO17" s="0"/>
      <c r="FP17" s="0"/>
      <c r="FQ17" s="0"/>
      <c r="FR17" s="0"/>
      <c r="FS17" s="0"/>
      <c r="FT17" s="0"/>
      <c r="FU17" s="0"/>
      <c r="FV17" s="0"/>
      <c r="FW17" s="0"/>
      <c r="FX17" s="0"/>
      <c r="FY17" s="0"/>
      <c r="FZ17" s="0"/>
      <c r="GA17" s="0"/>
      <c r="GB17" s="0"/>
      <c r="GC17" s="0"/>
      <c r="GD17" s="0"/>
      <c r="GE17" s="0"/>
      <c r="GF17" s="0"/>
      <c r="GG17" s="0"/>
      <c r="GH17" s="0"/>
      <c r="GI17" s="0"/>
      <c r="GJ17" s="0"/>
      <c r="GK17" s="0"/>
      <c r="GL17" s="0"/>
      <c r="GM17" s="0"/>
      <c r="GN17" s="0"/>
      <c r="GO17" s="0"/>
      <c r="GP17" s="0"/>
      <c r="GQ17" s="0"/>
      <c r="GR17" s="0"/>
      <c r="GS17" s="0"/>
      <c r="GT17" s="0"/>
      <c r="GU17" s="0"/>
      <c r="GV17" s="0"/>
      <c r="GW17" s="0"/>
      <c r="GX17" s="0"/>
      <c r="GY17" s="0"/>
      <c r="GZ17" s="0"/>
      <c r="HA17" s="0"/>
      <c r="HB17" s="0"/>
      <c r="HC17" s="0"/>
      <c r="HD17" s="0"/>
      <c r="HE17" s="0"/>
      <c r="HF17" s="0"/>
      <c r="HG17" s="0"/>
      <c r="HH17" s="0"/>
      <c r="HI17" s="0"/>
      <c r="HJ17" s="0"/>
      <c r="HK17" s="0"/>
      <c r="HL17" s="0"/>
      <c r="HM17" s="0"/>
      <c r="HN17" s="0"/>
      <c r="HO17" s="0"/>
      <c r="HP17" s="0"/>
      <c r="HQ17" s="0"/>
      <c r="HR17" s="0"/>
      <c r="HS17" s="0"/>
      <c r="HT17" s="0"/>
      <c r="HU17" s="0"/>
      <c r="HV17" s="0"/>
      <c r="HW17" s="0"/>
      <c r="HX17" s="0"/>
      <c r="HY17" s="0"/>
      <c r="HZ17" s="0"/>
      <c r="IA17" s="0"/>
      <c r="IB17" s="0"/>
      <c r="IC17" s="0"/>
      <c r="ID17" s="0"/>
      <c r="IE17" s="0"/>
      <c r="IF17" s="0"/>
      <c r="IG17" s="0"/>
      <c r="IH17" s="0"/>
      <c r="II17" s="0"/>
      <c r="IJ17" s="0"/>
      <c r="IK17" s="0"/>
      <c r="IL17" s="0"/>
      <c r="IM17" s="0"/>
      <c r="IN17" s="0"/>
      <c r="IO17" s="0"/>
      <c r="IP17" s="0"/>
      <c r="IQ17" s="0"/>
      <c r="IR17" s="0"/>
      <c r="IS17" s="0"/>
      <c r="IT17" s="0"/>
      <c r="IU17" s="0"/>
      <c r="IV17" s="0"/>
      <c r="IW17" s="0"/>
      <c r="IX17" s="0"/>
      <c r="IY17" s="0"/>
      <c r="IZ17" s="0"/>
      <c r="JA17" s="0"/>
      <c r="JB17" s="0"/>
      <c r="JC17" s="0"/>
      <c r="JD17" s="0"/>
      <c r="JE17" s="0"/>
      <c r="JF17" s="0"/>
      <c r="JG17" s="0"/>
      <c r="JH17" s="0"/>
      <c r="JI17" s="0"/>
      <c r="JJ17" s="0"/>
      <c r="JK17" s="0"/>
      <c r="JL17" s="0"/>
      <c r="JM17" s="0"/>
      <c r="JN17" s="0"/>
      <c r="JO17" s="0"/>
      <c r="JP17" s="0"/>
      <c r="JQ17" s="0"/>
      <c r="JR17" s="0"/>
      <c r="JS17" s="0"/>
      <c r="JT17" s="0"/>
      <c r="JU17" s="0"/>
      <c r="JV17" s="0"/>
      <c r="JW17" s="0"/>
      <c r="JX17" s="0"/>
      <c r="JY17" s="0"/>
      <c r="JZ17" s="0"/>
      <c r="KA17" s="0"/>
      <c r="KB17" s="0"/>
      <c r="KC17" s="0"/>
      <c r="KD17" s="0"/>
      <c r="KE17" s="0"/>
      <c r="KF17" s="0"/>
      <c r="KG17" s="0"/>
      <c r="KH17" s="0"/>
      <c r="KI17" s="0"/>
      <c r="KJ17" s="0"/>
      <c r="KK17" s="0"/>
      <c r="KL17" s="0"/>
      <c r="KM17" s="0"/>
      <c r="KN17" s="0"/>
      <c r="KO17" s="0"/>
      <c r="KP17" s="0"/>
      <c r="KQ17" s="0"/>
      <c r="KR17" s="0"/>
      <c r="KS17" s="0"/>
      <c r="KT17" s="0"/>
      <c r="KU17" s="0"/>
      <c r="KV17" s="0"/>
      <c r="KW17" s="0"/>
      <c r="KX17" s="0"/>
      <c r="KY17" s="0"/>
      <c r="KZ17" s="0"/>
      <c r="LA17" s="0"/>
      <c r="LB17" s="0"/>
      <c r="LC17" s="0"/>
      <c r="LD17" s="0"/>
      <c r="LE17" s="0"/>
      <c r="LF17" s="0"/>
      <c r="LG17" s="0"/>
      <c r="LH17" s="0"/>
      <c r="LI17" s="0"/>
      <c r="LJ17" s="0"/>
      <c r="LK17" s="0"/>
      <c r="LL17" s="0"/>
      <c r="LM17" s="0"/>
      <c r="LN17" s="0"/>
      <c r="LO17" s="0"/>
      <c r="LP17" s="0"/>
      <c r="LQ17" s="0"/>
      <c r="LR17" s="0"/>
      <c r="LS17" s="0"/>
      <c r="LT17" s="0"/>
      <c r="LU17" s="0"/>
      <c r="LV17" s="0"/>
      <c r="LW17" s="0"/>
      <c r="LX17" s="0"/>
      <c r="LY17" s="0"/>
      <c r="LZ17" s="0"/>
      <c r="MA17" s="0"/>
      <c r="MB17" s="0"/>
      <c r="MC17" s="0"/>
      <c r="MD17" s="0"/>
      <c r="ME17" s="0"/>
      <c r="MF17" s="0"/>
      <c r="MG17" s="0"/>
      <c r="MH17" s="0"/>
      <c r="MI17" s="0"/>
      <c r="MJ17" s="0"/>
      <c r="MK17" s="0"/>
      <c r="ML17" s="0"/>
      <c r="MM17" s="0"/>
      <c r="MN17" s="0"/>
      <c r="MO17" s="0"/>
      <c r="MP17" s="0"/>
      <c r="MQ17" s="0"/>
      <c r="MR17" s="0"/>
      <c r="MS17" s="0"/>
      <c r="MT17" s="0"/>
      <c r="MU17" s="0"/>
      <c r="MV17" s="0"/>
      <c r="MW17" s="0"/>
      <c r="MX17" s="0"/>
      <c r="MY17" s="0"/>
      <c r="MZ17" s="0"/>
      <c r="NA17" s="0"/>
      <c r="NB17" s="0"/>
      <c r="NC17" s="0"/>
      <c r="ND17" s="0"/>
      <c r="NE17" s="0"/>
      <c r="NF17" s="0"/>
      <c r="NG17" s="0"/>
      <c r="NH17" s="0"/>
      <c r="NI17" s="0"/>
      <c r="NJ17" s="0"/>
      <c r="NK17" s="0"/>
      <c r="NL17" s="0"/>
      <c r="NM17" s="0"/>
      <c r="NN17" s="0"/>
      <c r="NO17" s="0"/>
      <c r="NP17" s="0"/>
      <c r="NQ17" s="0"/>
      <c r="NR17" s="0"/>
      <c r="NS17" s="0"/>
      <c r="NT17" s="0"/>
      <c r="NU17" s="0"/>
      <c r="NV17" s="0"/>
      <c r="NW17" s="0"/>
      <c r="NX17" s="0"/>
      <c r="NY17" s="0"/>
      <c r="NZ17" s="0"/>
      <c r="OA17" s="0"/>
      <c r="OB17" s="0"/>
      <c r="OC17" s="0"/>
      <c r="OD17" s="0"/>
      <c r="OE17" s="0"/>
      <c r="OF17" s="0"/>
      <c r="OG17" s="0"/>
      <c r="OH17" s="0"/>
      <c r="OI17" s="0"/>
      <c r="OJ17" s="0"/>
      <c r="OK17" s="0"/>
      <c r="OL17" s="0"/>
      <c r="OM17" s="0"/>
      <c r="ON17" s="0"/>
      <c r="OO17" s="0"/>
      <c r="OP17" s="0"/>
      <c r="OQ17" s="0"/>
      <c r="OR17" s="0"/>
      <c r="OS17" s="0"/>
      <c r="OT17" s="0"/>
      <c r="OU17" s="0"/>
      <c r="OV17" s="0"/>
      <c r="OW17" s="0"/>
      <c r="OX17" s="0"/>
      <c r="OY17" s="0"/>
      <c r="OZ17" s="0"/>
      <c r="PA17" s="0"/>
      <c r="PB17" s="0"/>
      <c r="PC17" s="0"/>
      <c r="PD17" s="0"/>
      <c r="PE17" s="0"/>
      <c r="PF17" s="0"/>
      <c r="PG17" s="0"/>
      <c r="PH17" s="0"/>
      <c r="PI17" s="0"/>
      <c r="PJ17" s="0"/>
      <c r="PK17" s="0"/>
      <c r="PL17" s="0"/>
      <c r="PM17" s="0"/>
      <c r="PN17" s="0"/>
      <c r="PO17" s="0"/>
      <c r="PP17" s="0"/>
      <c r="PQ17" s="0"/>
      <c r="PR17" s="0"/>
      <c r="PS17" s="0"/>
      <c r="PT17" s="0"/>
      <c r="PU17" s="0"/>
      <c r="PV17" s="0"/>
      <c r="PW17" s="0"/>
      <c r="PX17" s="0"/>
      <c r="PY17" s="0"/>
      <c r="PZ17" s="0"/>
      <c r="QA17" s="0"/>
      <c r="QB17" s="0"/>
      <c r="QC17" s="0"/>
      <c r="QD17" s="0"/>
      <c r="QE17" s="0"/>
      <c r="QF17" s="0"/>
      <c r="QG17" s="0"/>
      <c r="QH17" s="0"/>
      <c r="QI17" s="0"/>
      <c r="QJ17" s="0"/>
      <c r="QK17" s="0"/>
      <c r="QL17" s="0"/>
      <c r="QM17" s="0"/>
      <c r="QN17" s="0"/>
      <c r="QO17" s="0"/>
      <c r="QP17" s="0"/>
      <c r="QQ17" s="0"/>
      <c r="QR17" s="0"/>
      <c r="QS17" s="0"/>
      <c r="QT17" s="0"/>
      <c r="QU17" s="0"/>
      <c r="QV17" s="0"/>
      <c r="QW17" s="0"/>
      <c r="QX17" s="0"/>
      <c r="QY17" s="0"/>
      <c r="QZ17" s="0"/>
      <c r="RA17" s="0"/>
      <c r="RB17" s="0"/>
      <c r="RC17" s="0"/>
      <c r="RD17" s="0"/>
      <c r="RE17" s="0"/>
      <c r="RF17" s="0"/>
      <c r="RG17" s="0"/>
      <c r="RH17" s="0"/>
      <c r="RI17" s="0"/>
      <c r="RJ17" s="0"/>
      <c r="RK17" s="0"/>
      <c r="RL17" s="0"/>
      <c r="RM17" s="0"/>
      <c r="RN17" s="0"/>
      <c r="RO17" s="0"/>
      <c r="RP17" s="0"/>
      <c r="RQ17" s="0"/>
      <c r="RR17" s="0"/>
      <c r="RS17" s="0"/>
      <c r="RT17" s="0"/>
      <c r="RU17" s="0"/>
      <c r="RV17" s="0"/>
      <c r="RW17" s="0"/>
      <c r="RX17" s="0"/>
      <c r="RY17" s="0"/>
      <c r="RZ17" s="0"/>
      <c r="SA17" s="0"/>
      <c r="SB17" s="0"/>
      <c r="SC17" s="0"/>
      <c r="SD17" s="0"/>
      <c r="SE17" s="0"/>
      <c r="SF17" s="0"/>
      <c r="SG17" s="0"/>
      <c r="SH17" s="0"/>
      <c r="SI17" s="0"/>
      <c r="SJ17" s="0"/>
      <c r="SK17" s="0"/>
      <c r="SL17" s="0"/>
      <c r="SM17" s="0"/>
      <c r="SN17" s="0"/>
      <c r="SO17" s="0"/>
      <c r="SP17" s="0"/>
      <c r="SQ17" s="0"/>
      <c r="SR17" s="0"/>
      <c r="SS17" s="0"/>
      <c r="ST17" s="0"/>
      <c r="SU17" s="0"/>
      <c r="SV17" s="0"/>
      <c r="SW17" s="0"/>
      <c r="SX17" s="0"/>
      <c r="SY17" s="0"/>
      <c r="SZ17" s="0"/>
      <c r="TA17" s="0"/>
      <c r="TB17" s="0"/>
      <c r="TC17" s="0"/>
      <c r="TD17" s="0"/>
      <c r="TE17" s="0"/>
      <c r="TF17" s="0"/>
      <c r="TG17" s="0"/>
      <c r="TH17" s="0"/>
      <c r="TI17" s="0"/>
      <c r="TJ17" s="0"/>
      <c r="TK17" s="0"/>
      <c r="TL17" s="0"/>
      <c r="TM17" s="0"/>
      <c r="TN17" s="0"/>
      <c r="TO17" s="0"/>
      <c r="TP17" s="0"/>
      <c r="TQ17" s="0"/>
      <c r="TR17" s="0"/>
      <c r="TS17" s="0"/>
      <c r="TT17" s="0"/>
      <c r="TU17" s="0"/>
      <c r="TV17" s="0"/>
      <c r="TW17" s="0"/>
      <c r="TX17" s="0"/>
      <c r="TY17" s="0"/>
      <c r="TZ17" s="0"/>
      <c r="UA17" s="0"/>
      <c r="UB17" s="0"/>
      <c r="UC17" s="0"/>
      <c r="UD17" s="0"/>
      <c r="UE17" s="0"/>
      <c r="UF17" s="0"/>
      <c r="UG17" s="0"/>
      <c r="UH17" s="0"/>
      <c r="UI17" s="0"/>
      <c r="UJ17" s="0"/>
      <c r="UK17" s="0"/>
      <c r="UL17" s="0"/>
      <c r="UM17" s="0"/>
      <c r="UN17" s="0"/>
      <c r="UO17" s="0"/>
      <c r="UP17" s="0"/>
      <c r="UQ17" s="0"/>
      <c r="UR17" s="0"/>
      <c r="US17" s="0"/>
      <c r="UT17" s="0"/>
      <c r="UU17" s="0"/>
      <c r="UV17" s="0"/>
      <c r="UW17" s="0"/>
      <c r="UX17" s="0"/>
      <c r="UY17" s="0"/>
      <c r="UZ17" s="0"/>
      <c r="VA17" s="0"/>
      <c r="VB17" s="0"/>
      <c r="VC17" s="0"/>
      <c r="VD17" s="0"/>
      <c r="VE17" s="0"/>
      <c r="VF17" s="0"/>
      <c r="VG17" s="0"/>
      <c r="VH17" s="0"/>
      <c r="VI17" s="0"/>
      <c r="VJ17" s="0"/>
      <c r="VK17" s="0"/>
      <c r="VL17" s="0"/>
      <c r="VM17" s="0"/>
      <c r="VN17" s="0"/>
      <c r="VO17" s="0"/>
      <c r="VP17" s="0"/>
      <c r="VQ17" s="0"/>
      <c r="VR17" s="0"/>
      <c r="VS17" s="0"/>
      <c r="VT17" s="0"/>
      <c r="VU17" s="0"/>
      <c r="VV17" s="0"/>
      <c r="VW17" s="0"/>
      <c r="VX17" s="0"/>
      <c r="VY17" s="0"/>
      <c r="VZ17" s="0"/>
      <c r="WA17" s="0"/>
      <c r="WB17" s="0"/>
      <c r="WC17" s="0"/>
      <c r="WD17" s="0"/>
      <c r="WE17" s="0"/>
      <c r="WF17" s="0"/>
      <c r="WG17" s="0"/>
      <c r="WH17" s="0"/>
      <c r="WI17" s="0"/>
      <c r="WJ17" s="0"/>
      <c r="WK17" s="0"/>
      <c r="WL17" s="0"/>
      <c r="WM17" s="0"/>
      <c r="WN17" s="0"/>
      <c r="WO17" s="0"/>
      <c r="WP17" s="0"/>
      <c r="WQ17" s="0"/>
      <c r="WR17" s="0"/>
      <c r="WS17" s="0"/>
      <c r="WT17" s="0"/>
      <c r="WU17" s="0"/>
      <c r="WV17" s="0"/>
      <c r="WW17" s="0"/>
      <c r="WX17" s="0"/>
      <c r="WY17" s="0"/>
      <c r="WZ17" s="0"/>
      <c r="XA17" s="0"/>
      <c r="XB17" s="0"/>
      <c r="XC17" s="0"/>
      <c r="XD17" s="0"/>
      <c r="XE17" s="0"/>
      <c r="XF17" s="0"/>
      <c r="XG17" s="0"/>
      <c r="XH17" s="0"/>
      <c r="XI17" s="0"/>
      <c r="XJ17" s="0"/>
      <c r="XK17" s="0"/>
      <c r="XL17" s="0"/>
      <c r="XM17" s="0"/>
      <c r="XN17" s="0"/>
      <c r="XO17" s="0"/>
      <c r="XP17" s="0"/>
      <c r="XQ17" s="0"/>
      <c r="XR17" s="0"/>
      <c r="XS17" s="0"/>
      <c r="XT17" s="0"/>
      <c r="XU17" s="0"/>
      <c r="XV17" s="0"/>
      <c r="XW17" s="0"/>
      <c r="XX17" s="0"/>
      <c r="XY17" s="0"/>
      <c r="XZ17" s="0"/>
      <c r="YA17" s="0"/>
      <c r="YB17" s="0"/>
      <c r="YC17" s="0"/>
      <c r="YD17" s="0"/>
      <c r="YE17" s="0"/>
      <c r="YF17" s="0"/>
      <c r="YG17" s="0"/>
      <c r="YH17" s="0"/>
      <c r="YI17" s="0"/>
      <c r="YJ17" s="0"/>
      <c r="YK17" s="0"/>
      <c r="YL17" s="0"/>
      <c r="YM17" s="0"/>
      <c r="YN17" s="0"/>
      <c r="YO17" s="0"/>
      <c r="YP17" s="0"/>
      <c r="YQ17" s="0"/>
      <c r="YR17" s="0"/>
      <c r="YS17" s="0"/>
      <c r="YT17" s="0"/>
      <c r="YU17" s="0"/>
      <c r="YV17" s="0"/>
      <c r="YW17" s="0"/>
      <c r="YX17" s="0"/>
      <c r="YY17" s="0"/>
      <c r="YZ17" s="0"/>
      <c r="ZA17" s="0"/>
      <c r="ZB17" s="0"/>
      <c r="ZC17" s="0"/>
      <c r="ZD17" s="0"/>
      <c r="ZE17" s="0"/>
      <c r="ZF17" s="0"/>
      <c r="ZG17" s="0"/>
      <c r="ZH17" s="0"/>
      <c r="ZI17" s="0"/>
      <c r="ZJ17" s="0"/>
      <c r="ZK17" s="0"/>
      <c r="ZL17" s="0"/>
      <c r="ZM17" s="0"/>
      <c r="ZN17" s="0"/>
      <c r="ZO17" s="0"/>
      <c r="ZP17" s="0"/>
      <c r="ZQ17" s="0"/>
      <c r="ZR17" s="0"/>
      <c r="ZS17" s="0"/>
      <c r="ZT17" s="0"/>
      <c r="ZU17" s="0"/>
      <c r="ZV17" s="0"/>
      <c r="ZW17" s="0"/>
      <c r="ZX17" s="0"/>
      <c r="ZY17" s="0"/>
      <c r="ZZ17" s="0"/>
      <c r="AAA17" s="0"/>
      <c r="AAB17" s="0"/>
      <c r="AAC17" s="0"/>
      <c r="AAD17" s="0"/>
      <c r="AAE17" s="0"/>
      <c r="AAF17" s="0"/>
      <c r="AAG17" s="0"/>
      <c r="AAH17" s="0"/>
      <c r="AAI17" s="0"/>
      <c r="AAJ17" s="0"/>
      <c r="AAK17" s="0"/>
      <c r="AAL17" s="0"/>
      <c r="AAM17" s="0"/>
      <c r="AAN17" s="0"/>
      <c r="AAO17" s="0"/>
      <c r="AAP17" s="0"/>
      <c r="AAQ17" s="0"/>
      <c r="AAR17" s="0"/>
      <c r="AAS17" s="0"/>
      <c r="AAT17" s="0"/>
      <c r="AAU17" s="0"/>
      <c r="AAV17" s="0"/>
      <c r="AAW17" s="0"/>
      <c r="AAX17" s="0"/>
      <c r="AAY17" s="0"/>
      <c r="AAZ17" s="0"/>
      <c r="ABA17" s="0"/>
      <c r="ABB17" s="0"/>
      <c r="ABC17" s="0"/>
      <c r="ABD17" s="0"/>
      <c r="ABE17" s="0"/>
      <c r="ABF17" s="0"/>
      <c r="ABG17" s="0"/>
      <c r="ABH17" s="0"/>
      <c r="ABI17" s="0"/>
      <c r="ABJ17" s="0"/>
      <c r="ABK17" s="0"/>
      <c r="ABL17" s="0"/>
      <c r="ABM17" s="0"/>
      <c r="ABN17" s="0"/>
      <c r="ABO17" s="0"/>
      <c r="ABP17" s="0"/>
      <c r="ABQ17" s="0"/>
      <c r="ABR17" s="0"/>
      <c r="ABS17" s="0"/>
      <c r="ABT17" s="0"/>
      <c r="ABU17" s="0"/>
      <c r="ABV17" s="0"/>
      <c r="ABW17" s="0"/>
      <c r="ABX17" s="0"/>
      <c r="ABY17" s="0"/>
      <c r="ABZ17" s="0"/>
      <c r="ACA17" s="0"/>
      <c r="ACB17" s="0"/>
      <c r="ACC17" s="0"/>
      <c r="ACD17" s="0"/>
      <c r="ACE17" s="0"/>
      <c r="ACF17" s="0"/>
      <c r="ACG17" s="0"/>
      <c r="ACH17" s="0"/>
      <c r="ACI17" s="0"/>
      <c r="ACJ17" s="0"/>
      <c r="ACK17" s="0"/>
      <c r="ACL17" s="0"/>
      <c r="ACM17" s="0"/>
      <c r="ACN17" s="0"/>
      <c r="ACO17" s="0"/>
      <c r="ACP17" s="0"/>
      <c r="ACQ17" s="0"/>
      <c r="ACR17" s="0"/>
      <c r="ACS17" s="0"/>
      <c r="ACT17" s="0"/>
      <c r="ACU17" s="0"/>
      <c r="ACV17" s="0"/>
      <c r="ACW17" s="0"/>
      <c r="ACX17" s="0"/>
      <c r="ACY17" s="0"/>
      <c r="ACZ17" s="0"/>
      <c r="ADA17" s="0"/>
      <c r="ADB17" s="0"/>
      <c r="ADC17" s="0"/>
      <c r="ADD17" s="0"/>
      <c r="ADE17" s="0"/>
      <c r="ADF17" s="0"/>
      <c r="ADG17" s="0"/>
      <c r="ADH17" s="0"/>
      <c r="ADI17" s="0"/>
      <c r="ADJ17" s="0"/>
      <c r="ADK17" s="0"/>
      <c r="ADL17" s="0"/>
      <c r="ADM17" s="0"/>
      <c r="ADN17" s="0"/>
      <c r="ADO17" s="0"/>
      <c r="ADP17" s="0"/>
      <c r="ADQ17" s="0"/>
      <c r="ADR17" s="0"/>
      <c r="ADS17" s="0"/>
      <c r="ADT17" s="0"/>
      <c r="ADU17" s="0"/>
      <c r="ADV17" s="0"/>
      <c r="ADW17" s="0"/>
      <c r="ADX17" s="0"/>
      <c r="ADY17" s="0"/>
      <c r="ADZ17" s="0"/>
      <c r="AEA17" s="0"/>
      <c r="AEB17" s="0"/>
      <c r="AEC17" s="0"/>
      <c r="AED17" s="0"/>
      <c r="AEE17" s="0"/>
      <c r="AEF17" s="0"/>
      <c r="AEG17" s="0"/>
      <c r="AEH17" s="0"/>
      <c r="AEI17" s="0"/>
      <c r="AEJ17" s="0"/>
      <c r="AEK17" s="0"/>
      <c r="AEL17" s="0"/>
      <c r="AEM17" s="0"/>
      <c r="AEN17" s="0"/>
      <c r="AEO17" s="0"/>
      <c r="AEP17" s="0"/>
      <c r="AEQ17" s="0"/>
      <c r="AER17" s="0"/>
      <c r="AES17" s="0"/>
      <c r="AET17" s="0"/>
      <c r="AEU17" s="0"/>
      <c r="AEV17" s="0"/>
      <c r="AEW17" s="0"/>
      <c r="AEX17" s="0"/>
      <c r="AEY17" s="0"/>
      <c r="AEZ17" s="0"/>
      <c r="AFA17" s="0"/>
      <c r="AFB17" s="0"/>
      <c r="AFC17" s="0"/>
      <c r="AFD17" s="0"/>
      <c r="AFE17" s="0"/>
      <c r="AFF17" s="0"/>
      <c r="AFG17" s="0"/>
      <c r="AFH17" s="0"/>
      <c r="AFI17" s="0"/>
      <c r="AFJ17" s="0"/>
      <c r="AFK17" s="0"/>
      <c r="AFL17" s="0"/>
      <c r="AFM17" s="0"/>
      <c r="AFN17" s="0"/>
      <c r="AFO17" s="0"/>
      <c r="AFP17" s="0"/>
      <c r="AFQ17" s="0"/>
      <c r="AFR17" s="0"/>
      <c r="AFS17" s="0"/>
      <c r="AFT17" s="0"/>
      <c r="AFU17" s="0"/>
      <c r="AFV17" s="0"/>
      <c r="AFW17" s="0"/>
      <c r="AFX17" s="0"/>
      <c r="AFY17" s="0"/>
      <c r="AFZ17" s="0"/>
      <c r="AGA17" s="0"/>
      <c r="AGB17" s="0"/>
      <c r="AGC17" s="0"/>
      <c r="AGD17" s="0"/>
      <c r="AGE17" s="0"/>
      <c r="AGF17" s="0"/>
      <c r="AGG17" s="0"/>
      <c r="AGH17" s="0"/>
      <c r="AGI17" s="0"/>
      <c r="AGJ17" s="0"/>
      <c r="AGK17" s="0"/>
      <c r="AGL17" s="0"/>
      <c r="AGM17" s="0"/>
      <c r="AGN17" s="0"/>
      <c r="AGO17" s="0"/>
      <c r="AGP17" s="0"/>
      <c r="AGQ17" s="0"/>
      <c r="AGR17" s="0"/>
      <c r="AGS17" s="0"/>
      <c r="AGT17" s="0"/>
      <c r="AGU17" s="0"/>
      <c r="AGV17" s="0"/>
      <c r="AGW17" s="0"/>
      <c r="AGX17" s="0"/>
      <c r="AGY17" s="0"/>
      <c r="AGZ17" s="0"/>
      <c r="AHA17" s="0"/>
      <c r="AHB17" s="0"/>
      <c r="AHC17" s="0"/>
      <c r="AHD17" s="0"/>
      <c r="AHE17" s="0"/>
      <c r="AHF17" s="0"/>
      <c r="AHG17" s="0"/>
      <c r="AHH17" s="0"/>
      <c r="AHI17" s="0"/>
      <c r="AHJ17" s="0"/>
      <c r="AHK17" s="0"/>
      <c r="AHL17" s="0"/>
      <c r="AHM17" s="0"/>
      <c r="AHN17" s="0"/>
      <c r="AHO17" s="0"/>
      <c r="AHP17" s="0"/>
      <c r="AHQ17" s="0"/>
      <c r="AHR17" s="0"/>
      <c r="AHS17" s="0"/>
      <c r="AHT17" s="0"/>
      <c r="AHU17" s="0"/>
      <c r="AHV17" s="0"/>
      <c r="AHW17" s="0"/>
      <c r="AHX17" s="0"/>
      <c r="AHY17" s="0"/>
      <c r="AHZ17" s="0"/>
      <c r="AIA17" s="0"/>
      <c r="AIB17" s="0"/>
      <c r="AIC17" s="0"/>
      <c r="AID17" s="0"/>
      <c r="AIE17" s="0"/>
      <c r="AIF17" s="0"/>
      <c r="AIG17" s="0"/>
      <c r="AIH17" s="0"/>
      <c r="AII17" s="0"/>
      <c r="AIJ17" s="0"/>
      <c r="AIK17" s="0"/>
      <c r="AIL17" s="0"/>
      <c r="AIM17" s="0"/>
      <c r="AIN17" s="0"/>
      <c r="AIO17" s="0"/>
      <c r="AIP17" s="0"/>
      <c r="AIQ17" s="0"/>
      <c r="AIR17" s="0"/>
      <c r="AIS17" s="0"/>
      <c r="AIT17" s="0"/>
      <c r="AIU17" s="0"/>
      <c r="AIV17" s="0"/>
      <c r="AIW17" s="0"/>
      <c r="AIX17" s="0"/>
      <c r="AIY17" s="0"/>
      <c r="AIZ17" s="0"/>
      <c r="AJA17" s="0"/>
      <c r="AJB17" s="0"/>
      <c r="AJC17" s="0"/>
      <c r="AJD17" s="0"/>
      <c r="AJE17" s="0"/>
      <c r="AJF17" s="0"/>
      <c r="AJG17" s="0"/>
      <c r="AJH17" s="0"/>
      <c r="AJI17" s="0"/>
      <c r="AJJ17" s="0"/>
      <c r="AJK17" s="0"/>
      <c r="AJL17" s="0"/>
      <c r="AJM17" s="0"/>
      <c r="AJN17" s="0"/>
      <c r="AJO17" s="0"/>
      <c r="AJP17" s="0"/>
      <c r="AJQ17" s="0"/>
      <c r="AJR17" s="0"/>
      <c r="AJS17" s="0"/>
      <c r="AJT17" s="0"/>
      <c r="AJU17" s="0"/>
      <c r="AJV17" s="0"/>
      <c r="AJW17" s="0"/>
      <c r="AJX17" s="0"/>
      <c r="AJY17" s="0"/>
      <c r="AJZ17" s="0"/>
      <c r="AKA17" s="0"/>
      <c r="AKB17" s="0"/>
      <c r="AKC17" s="0"/>
      <c r="AKD17" s="0"/>
      <c r="AKE17" s="0"/>
      <c r="AKF17" s="0"/>
      <c r="AKG17" s="0"/>
      <c r="AKH17" s="0"/>
      <c r="AKI17" s="0"/>
      <c r="AKJ17" s="0"/>
      <c r="AKK17" s="0"/>
      <c r="AKL17" s="0"/>
      <c r="AKM17" s="0"/>
      <c r="AKN17" s="0"/>
      <c r="AKO17" s="0"/>
      <c r="AKP17" s="0"/>
      <c r="AKQ17" s="0"/>
      <c r="AKR17" s="0"/>
      <c r="AKS17" s="0"/>
      <c r="AKT17" s="0"/>
      <c r="AKU17" s="0"/>
      <c r="AKV17" s="0"/>
      <c r="AKW17" s="0"/>
      <c r="AKX17" s="0"/>
      <c r="AKY17" s="0"/>
      <c r="AKZ17" s="0"/>
      <c r="ALA17" s="0"/>
      <c r="ALB17" s="0"/>
      <c r="ALC17" s="0"/>
      <c r="ALD17" s="0"/>
      <c r="ALE17" s="0"/>
      <c r="ALF17" s="0"/>
      <c r="ALG17" s="0"/>
      <c r="ALH17" s="0"/>
      <c r="ALI17" s="0"/>
      <c r="ALJ17" s="0"/>
      <c r="ALK17" s="0"/>
      <c r="ALL17" s="0"/>
      <c r="ALM17" s="0"/>
      <c r="ALN17" s="0"/>
      <c r="ALO17" s="0"/>
      <c r="ALP17" s="0"/>
      <c r="ALQ17" s="0"/>
      <c r="ALR17" s="0"/>
      <c r="ALS17" s="0"/>
      <c r="ALT17" s="0"/>
      <c r="ALU17" s="0"/>
    </row>
    <row r="18" customFormat="false" ht="15.8" hidden="false" customHeight="false" outlineLevel="0" collapsed="false">
      <c r="A18" s="0" t="n">
        <v>600000</v>
      </c>
      <c r="C18" s="0" t="s">
        <v>70</v>
      </c>
      <c r="U18" s="0" t="n">
        <v>436276</v>
      </c>
      <c r="V18" s="37"/>
      <c r="W18" s="38"/>
    </row>
    <row r="19" customFormat="false" ht="15.8" hidden="false" customHeight="false" outlineLevel="0" collapsed="false">
      <c r="A19" s="0" t="n">
        <v>0.06</v>
      </c>
      <c r="C19" s="0" t="s">
        <v>71</v>
      </c>
      <c r="U19" s="0" t="n">
        <v>454474</v>
      </c>
      <c r="V19" s="37"/>
      <c r="W19" s="38"/>
    </row>
    <row r="20" customFormat="false" ht="15.8" hidden="false" customHeight="false" outlineLevel="0" collapsed="false">
      <c r="A20" s="41"/>
      <c r="B20" s="41"/>
      <c r="C20" s="41" t="s">
        <v>72</v>
      </c>
      <c r="D20" s="41" t="s">
        <v>73</v>
      </c>
      <c r="E20" s="41" t="s">
        <v>74</v>
      </c>
      <c r="F20" s="42" t="s">
        <v>75</v>
      </c>
      <c r="G20" s="43" t="s">
        <v>76</v>
      </c>
      <c r="H20" s="42" t="s">
        <v>77</v>
      </c>
      <c r="I20" s="41" t="s">
        <v>78</v>
      </c>
      <c r="J20" s="44" t="s">
        <v>79</v>
      </c>
      <c r="K20" s="41"/>
      <c r="L20" s="41"/>
      <c r="M20" s="44" t="s">
        <v>80</v>
      </c>
      <c r="U20" s="0" t="n">
        <v>454993</v>
      </c>
      <c r="V20" s="37"/>
      <c r="W20" s="38"/>
    </row>
    <row r="21" customFormat="false" ht="15.8" hidden="false" customHeight="false" outlineLevel="0" collapsed="false">
      <c r="A21" s="45" t="s">
        <v>81</v>
      </c>
      <c r="B21" s="45" t="s">
        <v>82</v>
      </c>
      <c r="C21" s="45" t="s">
        <v>67</v>
      </c>
      <c r="D21" s="45" t="s">
        <v>83</v>
      </c>
      <c r="E21" s="45" t="s">
        <v>84</v>
      </c>
      <c r="F21" s="46" t="s">
        <v>85</v>
      </c>
      <c r="G21" s="47" t="s">
        <v>86</v>
      </c>
      <c r="H21" s="46" t="s">
        <v>87</v>
      </c>
      <c r="I21" s="45" t="s">
        <v>88</v>
      </c>
      <c r="J21" s="48" t="s">
        <v>39</v>
      </c>
      <c r="K21" s="49" t="str">
        <f aca="false">"95%"</f>
        <v>95%</v>
      </c>
      <c r="L21" s="45" t="s">
        <v>50</v>
      </c>
      <c r="M21" s="48" t="s">
        <v>89</v>
      </c>
      <c r="U21" s="0" t="n">
        <v>462615</v>
      </c>
      <c r="V21" s="37" t="n">
        <f aca="false">SUM(U12:U21)/(17-8+1)</f>
        <v>452854.3</v>
      </c>
      <c r="W21" s="38" t="n">
        <f aca="false">(MAX(U12:U20)-MIN(U12:U20))/V21*100</f>
        <v>6.37335231221168</v>
      </c>
    </row>
    <row r="22" customFormat="false" ht="15.8" hidden="false" customHeight="false" outlineLevel="0" collapsed="false">
      <c r="A22" s="50" t="n">
        <v>0</v>
      </c>
      <c r="B22" s="51" t="n">
        <v>0</v>
      </c>
      <c r="C22" s="51" t="n">
        <v>0</v>
      </c>
      <c r="D22" s="52" t="n">
        <v>0</v>
      </c>
      <c r="E22" s="52" t="n">
        <v>0</v>
      </c>
      <c r="F22" s="53" t="n">
        <v>1</v>
      </c>
      <c r="G22" s="53" t="n">
        <v>1</v>
      </c>
      <c r="H22" s="53"/>
      <c r="I22" s="50" t="n">
        <v>1</v>
      </c>
      <c r="J22" s="54" t="n">
        <v>1</v>
      </c>
      <c r="K22" s="55" t="n">
        <f aca="false">I22*0.95</f>
        <v>0.95</v>
      </c>
      <c r="L22" s="56" t="n">
        <f aca="false">IF(G22&lt;$A$18, G22, G22*(1+G22/$A$18*$A$19))</f>
        <v>1</v>
      </c>
      <c r="M22" s="57" t="n">
        <v>1</v>
      </c>
      <c r="U22" s="0" t="n">
        <v>578672</v>
      </c>
      <c r="V22" s="37"/>
      <c r="W22" s="38"/>
    </row>
    <row r="23" customFormat="false" ht="15.8" hidden="false" customHeight="false" outlineLevel="0" collapsed="false">
      <c r="A23" s="50" t="n">
        <v>10</v>
      </c>
      <c r="B23" s="50" t="n">
        <v>10.2</v>
      </c>
      <c r="C23" s="51" t="n">
        <f aca="false">B23</f>
        <v>10.2</v>
      </c>
      <c r="D23" s="52" t="n">
        <f aca="false">C23*$A$15/1000</f>
        <v>2.24638</v>
      </c>
      <c r="E23" s="52" t="n">
        <f aca="false">D23/($A$7+C23/1000)</f>
        <v>0.18397569245385</v>
      </c>
      <c r="F23" s="58" t="n">
        <f aca="false">$A$6*E23*100</f>
        <v>115904.686245926</v>
      </c>
      <c r="G23" s="53" t="n">
        <v>169243</v>
      </c>
      <c r="H23" s="59" t="n">
        <f aca="false">G23/F23</f>
        <v>1.46019117502205</v>
      </c>
      <c r="I23" s="60" t="n">
        <f aca="false">E23*$C$99</f>
        <v>154593.286356587</v>
      </c>
      <c r="J23" s="61" t="n">
        <f aca="false">G23/I23</f>
        <v>1.09476293562724</v>
      </c>
      <c r="K23" s="60" t="n">
        <f aca="false">I23*0.95</f>
        <v>146863.622038757</v>
      </c>
      <c r="L23" s="56" t="n">
        <f aca="false">IF(G23&lt;$A$18, G23, G23*(1+G23/$A$18*$A$19))</f>
        <v>169243</v>
      </c>
      <c r="M23" s="57" t="n">
        <f aca="false">L23/I23</f>
        <v>1.09476293562724</v>
      </c>
      <c r="U23" s="0" t="n">
        <v>581090</v>
      </c>
      <c r="V23" s="37"/>
      <c r="W23" s="38"/>
    </row>
    <row r="24" customFormat="false" ht="15.8" hidden="false" customHeight="false" outlineLevel="0" collapsed="false">
      <c r="A24" s="50" t="n">
        <v>20</v>
      </c>
      <c r="B24" s="50" t="n">
        <v>9.8</v>
      </c>
      <c r="C24" s="51" t="n">
        <f aca="false">C23+B24</f>
        <v>20</v>
      </c>
      <c r="D24" s="52" t="n">
        <f aca="false">C24*$A$15/1000</f>
        <v>4.40466666666667</v>
      </c>
      <c r="E24" s="52" t="n">
        <f aca="false">D24/($A$7+C24/1000)</f>
        <v>0.360447354064375</v>
      </c>
      <c r="F24" s="58" t="n">
        <f aca="false">$A$6*E24*100</f>
        <v>227081.833060556</v>
      </c>
      <c r="G24" s="53" t="n">
        <v>294743</v>
      </c>
      <c r="H24" s="59" t="n">
        <f aca="false">G24/F24</f>
        <v>1.29795940092398</v>
      </c>
      <c r="I24" s="60" t="n">
        <f aca="false">E24*$C$99</f>
        <v>302880.996288821</v>
      </c>
      <c r="J24" s="61" t="n">
        <f aca="false">G24/I24</f>
        <v>0.973131373745677</v>
      </c>
      <c r="K24" s="60" t="n">
        <f aca="false">I24*0.95</f>
        <v>287736.94647438</v>
      </c>
      <c r="L24" s="56" t="n">
        <f aca="false">IF(G24&lt;$A$18, G24, G24*(1+G24/$A$18*$A$19))</f>
        <v>294743</v>
      </c>
      <c r="M24" s="57" t="n">
        <f aca="false">L24/I24</f>
        <v>0.973131373745677</v>
      </c>
      <c r="U24" s="0" t="n">
        <v>592101</v>
      </c>
      <c r="V24" s="37"/>
      <c r="W24" s="38"/>
    </row>
    <row r="25" customFormat="false" ht="15.8" hidden="false" customHeight="false" outlineLevel="0" collapsed="false">
      <c r="A25" s="50" t="n">
        <v>30</v>
      </c>
      <c r="B25" s="50" t="n">
        <v>9.8</v>
      </c>
      <c r="C25" s="51" t="n">
        <f aca="false">C24+B25</f>
        <v>29.8</v>
      </c>
      <c r="D25" s="52" t="n">
        <f aca="false">C25*$A$15/1000</f>
        <v>6.56295333333333</v>
      </c>
      <c r="E25" s="52" t="n">
        <f aca="false">D25/($A$7+C25/1000)</f>
        <v>0.536636194650226</v>
      </c>
      <c r="F25" s="58" t="n">
        <f aca="false">$A$6*E25*100</f>
        <v>338080.802629642</v>
      </c>
      <c r="G25" s="53" t="n">
        <v>452854</v>
      </c>
      <c r="H25" s="59" t="n">
        <f aca="false">G25/F25</f>
        <v>1.33948451517399</v>
      </c>
      <c r="I25" s="60" t="n">
        <f aca="false">E25*$C$99</f>
        <v>450931.054001505</v>
      </c>
      <c r="J25" s="61" t="n">
        <f aca="false">G25/I25</f>
        <v>1.0042643902686</v>
      </c>
      <c r="K25" s="60" t="n">
        <f aca="false">I25*0.95</f>
        <v>428384.50130143</v>
      </c>
      <c r="L25" s="56" t="n">
        <f aca="false">IF(G25&lt;$A$18, G25, G25*(1+G25/$A$18*$A$19))</f>
        <v>452854</v>
      </c>
      <c r="M25" s="57" t="n">
        <f aca="false">L25/I25</f>
        <v>1.0042643902686</v>
      </c>
      <c r="U25" s="0" t="n">
        <v>600145</v>
      </c>
      <c r="V25" s="37"/>
      <c r="W25" s="38"/>
    </row>
    <row r="26" customFormat="false" ht="15.8" hidden="false" customHeight="false" outlineLevel="0" collapsed="false">
      <c r="A26" s="50" t="n">
        <v>40</v>
      </c>
      <c r="B26" s="50" t="n">
        <v>9.8</v>
      </c>
      <c r="C26" s="51" t="n">
        <f aca="false">C25+B26</f>
        <v>39.6</v>
      </c>
      <c r="D26" s="52" t="n">
        <f aca="false">C26*$A$15/1000</f>
        <v>8.72124</v>
      </c>
      <c r="E26" s="52" t="n">
        <f aca="false">D26/($A$7+C26/1000)</f>
        <v>0.712542893558613</v>
      </c>
      <c r="F26" s="58" t="n">
        <f aca="false">$A$6*E26*100</f>
        <v>448902.022941926</v>
      </c>
      <c r="G26" s="53" t="n">
        <v>597630</v>
      </c>
      <c r="H26" s="59" t="n">
        <f aca="false">G26/F26</f>
        <v>1.33131500741157</v>
      </c>
      <c r="I26" s="60" t="n">
        <f aca="false">E26*$C$99</f>
        <v>598744.030344604</v>
      </c>
      <c r="J26" s="61" t="n">
        <f aca="false">G26/I26</f>
        <v>0.998139387971914</v>
      </c>
      <c r="K26" s="60" t="n">
        <f aca="false">I26*0.95</f>
        <v>568806.828827374</v>
      </c>
      <c r="L26" s="56" t="n">
        <f aca="false">IF(G26&lt;$A$18, G26, G26*(1+G26/$A$18*$A$19))</f>
        <v>597630</v>
      </c>
      <c r="M26" s="57" t="n">
        <f aca="false">L26/I26</f>
        <v>0.998139387971914</v>
      </c>
      <c r="P26" s="5"/>
      <c r="Q26" s="5"/>
      <c r="U26" s="0" t="n">
        <v>599839</v>
      </c>
      <c r="V26" s="37"/>
      <c r="W26" s="38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  <c r="AAA26" s="5"/>
      <c r="AAB26" s="5"/>
      <c r="AAC26" s="5"/>
      <c r="AAD26" s="5"/>
      <c r="AAE26" s="5"/>
      <c r="AAF26" s="5"/>
      <c r="AAG26" s="5"/>
      <c r="AAH26" s="5"/>
      <c r="AAI26" s="5"/>
      <c r="AAJ26" s="5"/>
      <c r="AAK26" s="5"/>
      <c r="AAL26" s="5"/>
      <c r="AAM26" s="5"/>
      <c r="AAN26" s="5"/>
      <c r="AAO26" s="5"/>
      <c r="AAP26" s="5"/>
      <c r="AAQ26" s="5"/>
      <c r="AAR26" s="5"/>
      <c r="AAS26" s="5"/>
      <c r="AAT26" s="5"/>
      <c r="AAU26" s="5"/>
      <c r="AAV26" s="5"/>
      <c r="AAW26" s="5"/>
      <c r="AAX26" s="5"/>
      <c r="AAY26" s="5"/>
      <c r="AAZ26" s="5"/>
      <c r="ABA26" s="5"/>
      <c r="ABB26" s="5"/>
      <c r="ABC26" s="5"/>
      <c r="ABD26" s="5"/>
      <c r="ABE26" s="5"/>
      <c r="ABF26" s="5"/>
      <c r="ABG26" s="5"/>
      <c r="ABH26" s="5"/>
      <c r="ABI26" s="5"/>
      <c r="ABJ26" s="5"/>
      <c r="ABK26" s="5"/>
      <c r="ABL26" s="5"/>
      <c r="ABM26" s="5"/>
      <c r="ABN26" s="5"/>
      <c r="ABO26" s="5"/>
      <c r="ABP26" s="5"/>
      <c r="ABQ26" s="5"/>
      <c r="ABR26" s="5"/>
      <c r="ABS26" s="5"/>
      <c r="ABT26" s="5"/>
      <c r="ABU26" s="5"/>
      <c r="ABV26" s="5"/>
      <c r="ABW26" s="5"/>
      <c r="ABX26" s="5"/>
      <c r="ABY26" s="5"/>
      <c r="ABZ26" s="5"/>
      <c r="ACA26" s="5"/>
      <c r="ACB26" s="5"/>
      <c r="ACC26" s="5"/>
      <c r="ACD26" s="5"/>
      <c r="ACE26" s="5"/>
      <c r="ACF26" s="5"/>
      <c r="ACG26" s="5"/>
      <c r="ACH26" s="5"/>
      <c r="ACI26" s="5"/>
      <c r="ACJ26" s="5"/>
      <c r="ACK26" s="5"/>
      <c r="ACL26" s="5"/>
      <c r="ACM26" s="5"/>
      <c r="ACN26" s="5"/>
      <c r="ACO26" s="5"/>
      <c r="ACP26" s="5"/>
      <c r="ACQ26" s="5"/>
      <c r="ACR26" s="5"/>
      <c r="ACS26" s="5"/>
      <c r="ACT26" s="5"/>
      <c r="ACU26" s="5"/>
      <c r="ACV26" s="5"/>
      <c r="ACW26" s="5"/>
      <c r="ACX26" s="5"/>
      <c r="ACY26" s="5"/>
      <c r="ACZ26" s="5"/>
      <c r="ADA26" s="5"/>
      <c r="ADB26" s="5"/>
      <c r="ADC26" s="5"/>
      <c r="ADD26" s="5"/>
      <c r="ADE26" s="5"/>
      <c r="ADF26" s="5"/>
      <c r="ADG26" s="5"/>
      <c r="ADH26" s="5"/>
      <c r="ADI26" s="5"/>
      <c r="ADJ26" s="5"/>
      <c r="ADK26" s="5"/>
      <c r="ADL26" s="5"/>
      <c r="ADM26" s="5"/>
      <c r="ADN26" s="5"/>
      <c r="ADO26" s="5"/>
      <c r="ADP26" s="5"/>
      <c r="ADQ26" s="5"/>
      <c r="ADR26" s="5"/>
      <c r="ADS26" s="5"/>
      <c r="ADT26" s="5"/>
      <c r="ADU26" s="5"/>
      <c r="ADV26" s="5"/>
      <c r="ADW26" s="5"/>
      <c r="ADX26" s="5"/>
      <c r="ADY26" s="5"/>
      <c r="ADZ26" s="5"/>
      <c r="AEA26" s="5"/>
      <c r="AEB26" s="5"/>
      <c r="AEC26" s="5"/>
      <c r="AED26" s="5"/>
      <c r="AEE26" s="5"/>
      <c r="AEF26" s="5"/>
      <c r="AEG26" s="5"/>
      <c r="AEH26" s="5"/>
      <c r="AEI26" s="5"/>
      <c r="AEJ26" s="5"/>
      <c r="AEK26" s="5"/>
      <c r="AEL26" s="5"/>
      <c r="AEM26" s="5"/>
      <c r="AEN26" s="5"/>
      <c r="AEO26" s="5"/>
      <c r="AEP26" s="5"/>
      <c r="AEQ26" s="5"/>
      <c r="AER26" s="5"/>
      <c r="AES26" s="5"/>
      <c r="AET26" s="5"/>
      <c r="AEU26" s="5"/>
      <c r="AEV26" s="5"/>
      <c r="AEW26" s="5"/>
      <c r="AEX26" s="5"/>
      <c r="AEY26" s="5"/>
      <c r="AEZ26" s="5"/>
      <c r="AFA26" s="5"/>
      <c r="AFB26" s="5"/>
      <c r="AFC26" s="5"/>
      <c r="AFD26" s="5"/>
      <c r="AFE26" s="5"/>
      <c r="AFF26" s="5"/>
      <c r="AFG26" s="5"/>
      <c r="AFH26" s="5"/>
      <c r="AFI26" s="5"/>
      <c r="AFJ26" s="5"/>
      <c r="AFK26" s="5"/>
      <c r="AFL26" s="5"/>
      <c r="AFM26" s="5"/>
      <c r="AFN26" s="5"/>
      <c r="AFO26" s="5"/>
      <c r="AFP26" s="5"/>
      <c r="AFQ26" s="5"/>
      <c r="AFR26" s="5"/>
      <c r="AFS26" s="5"/>
      <c r="AFT26" s="5"/>
      <c r="AFU26" s="5"/>
      <c r="AFV26" s="5"/>
      <c r="AFW26" s="5"/>
      <c r="AFX26" s="5"/>
      <c r="AFY26" s="5"/>
      <c r="AFZ26" s="5"/>
      <c r="AGA26" s="5"/>
      <c r="AGB26" s="5"/>
      <c r="AGC26" s="5"/>
      <c r="AGD26" s="5"/>
      <c r="AGE26" s="5"/>
      <c r="AGF26" s="5"/>
      <c r="AGG26" s="5"/>
      <c r="AGH26" s="5"/>
      <c r="AGI26" s="5"/>
      <c r="AGJ26" s="5"/>
      <c r="AGK26" s="5"/>
      <c r="AGL26" s="5"/>
      <c r="AGM26" s="5"/>
      <c r="AGN26" s="5"/>
      <c r="AGO26" s="5"/>
      <c r="AGP26" s="5"/>
      <c r="AGQ26" s="5"/>
      <c r="AGR26" s="5"/>
      <c r="AGS26" s="5"/>
      <c r="AGT26" s="5"/>
      <c r="AGU26" s="5"/>
      <c r="AGV26" s="5"/>
      <c r="AGW26" s="5"/>
      <c r="AGX26" s="5"/>
      <c r="AGY26" s="5"/>
      <c r="AGZ26" s="5"/>
      <c r="AHA26" s="5"/>
      <c r="AHB26" s="5"/>
      <c r="AHC26" s="5"/>
      <c r="AHD26" s="5"/>
      <c r="AHE26" s="5"/>
      <c r="AHF26" s="5"/>
      <c r="AHG26" s="5"/>
      <c r="AHH26" s="5"/>
      <c r="AHI26" s="5"/>
      <c r="AHJ26" s="5"/>
      <c r="AHK26" s="5"/>
      <c r="AHL26" s="5"/>
      <c r="AHM26" s="5"/>
      <c r="AHN26" s="5"/>
      <c r="AHO26" s="5"/>
      <c r="AHP26" s="5"/>
      <c r="AHQ26" s="5"/>
      <c r="AHR26" s="5"/>
      <c r="AHS26" s="5"/>
      <c r="AHT26" s="5"/>
      <c r="AHU26" s="5"/>
      <c r="AHV26" s="5"/>
      <c r="AHW26" s="5"/>
      <c r="AHX26" s="5"/>
      <c r="AHY26" s="5"/>
      <c r="AHZ26" s="5"/>
      <c r="AIA26" s="5"/>
      <c r="AIB26" s="5"/>
      <c r="AIC26" s="5"/>
      <c r="AID26" s="5"/>
      <c r="AIE26" s="5"/>
      <c r="AIF26" s="5"/>
      <c r="AIG26" s="5"/>
      <c r="AIH26" s="5"/>
      <c r="AII26" s="5"/>
      <c r="AIJ26" s="5"/>
      <c r="AIK26" s="5"/>
      <c r="AIL26" s="5"/>
      <c r="AIM26" s="5"/>
      <c r="AIN26" s="5"/>
      <c r="AIO26" s="5"/>
      <c r="AIP26" s="5"/>
      <c r="AIQ26" s="5"/>
      <c r="AIR26" s="5"/>
      <c r="AIS26" s="5"/>
      <c r="AIT26" s="5"/>
      <c r="AIU26" s="5"/>
      <c r="AIV26" s="5"/>
      <c r="AIW26" s="5"/>
      <c r="AIX26" s="5"/>
      <c r="AIY26" s="5"/>
      <c r="AIZ26" s="5"/>
      <c r="AJA26" s="5"/>
      <c r="AJB26" s="5"/>
      <c r="AJC26" s="5"/>
      <c r="AJD26" s="5"/>
      <c r="AJE26" s="5"/>
      <c r="AJF26" s="5"/>
      <c r="AJG26" s="5"/>
      <c r="AJH26" s="5"/>
      <c r="AJI26" s="5"/>
      <c r="AJJ26" s="5"/>
      <c r="AJK26" s="5"/>
      <c r="AJL26" s="5"/>
      <c r="AJM26" s="5"/>
      <c r="AJN26" s="5"/>
      <c r="AJO26" s="5"/>
      <c r="AJP26" s="5"/>
      <c r="AJQ26" s="5"/>
      <c r="AJR26" s="5"/>
      <c r="AJS26" s="5"/>
      <c r="AJT26" s="5"/>
      <c r="AJU26" s="5"/>
      <c r="AJV26" s="5"/>
      <c r="AJW26" s="5"/>
      <c r="AJX26" s="5"/>
      <c r="AJY26" s="5"/>
      <c r="AJZ26" s="5"/>
      <c r="AKA26" s="5"/>
      <c r="AKB26" s="5"/>
      <c r="AKC26" s="5"/>
      <c r="AKD26" s="5"/>
      <c r="AKE26" s="5"/>
      <c r="AKF26" s="5"/>
      <c r="AKG26" s="5"/>
      <c r="AKH26" s="5"/>
      <c r="AKI26" s="5"/>
      <c r="AKJ26" s="5"/>
      <c r="AKK26" s="5"/>
      <c r="AKL26" s="5"/>
      <c r="AKM26" s="5"/>
      <c r="AKN26" s="5"/>
      <c r="AKO26" s="5"/>
      <c r="AKP26" s="5"/>
      <c r="AKQ26" s="5"/>
      <c r="AKR26" s="5"/>
      <c r="AKS26" s="5"/>
      <c r="AKT26" s="5"/>
      <c r="AKU26" s="5"/>
      <c r="AKV26" s="5"/>
      <c r="AKW26" s="5"/>
      <c r="AKX26" s="5"/>
      <c r="AKY26" s="5"/>
      <c r="AKZ26" s="5"/>
      <c r="ALA26" s="5"/>
      <c r="ALB26" s="5"/>
      <c r="ALC26" s="5"/>
      <c r="ALD26" s="5"/>
      <c r="ALE26" s="5"/>
      <c r="ALF26" s="5"/>
      <c r="ALG26" s="5"/>
      <c r="ALH26" s="5"/>
      <c r="ALI26" s="5"/>
      <c r="ALJ26" s="5"/>
      <c r="ALK26" s="5"/>
      <c r="ALL26" s="5"/>
      <c r="ALM26" s="5"/>
      <c r="ALN26" s="5"/>
      <c r="ALO26" s="5"/>
      <c r="ALP26" s="5"/>
      <c r="ALQ26" s="5"/>
      <c r="ALR26" s="5"/>
      <c r="ALS26" s="5"/>
      <c r="ALT26" s="5"/>
      <c r="ALU26" s="5"/>
    </row>
    <row r="27" customFormat="false" ht="15.8" hidden="false" customHeight="false" outlineLevel="0" collapsed="false">
      <c r="A27" s="50" t="n">
        <v>50</v>
      </c>
      <c r="B27" s="50" t="n">
        <v>9.8</v>
      </c>
      <c r="C27" s="51" t="n">
        <f aca="false">C26+B27</f>
        <v>49.4</v>
      </c>
      <c r="D27" s="52" t="n">
        <f aca="false">C27*$A$15/1000</f>
        <v>10.8795266666667</v>
      </c>
      <c r="E27" s="52" t="n">
        <f aca="false">D27/($A$7+C27/1000)</f>
        <v>0.88816812796273</v>
      </c>
      <c r="F27" s="58" t="n">
        <f aca="false">$A$6*E27*100</f>
        <v>559545.92061652</v>
      </c>
      <c r="G27" s="53" t="n">
        <v>720744</v>
      </c>
      <c r="H27" s="59" t="n">
        <f aca="false">G27/F27</f>
        <v>1.28808731052112</v>
      </c>
      <c r="I27" s="60" t="n">
        <f aca="false">E27*$C$99</f>
        <v>746320.494341276</v>
      </c>
      <c r="J27" s="61" t="n">
        <f aca="false">G27/I27</f>
        <v>0.965729878068202</v>
      </c>
      <c r="K27" s="60" t="n">
        <f aca="false">I27*0.95</f>
        <v>709004.469624212</v>
      </c>
      <c r="L27" s="56" t="n">
        <f aca="false">IF(G27&lt;$A$18, G27, G27*(1+G27/$A$18*$A$19))</f>
        <v>772691.1913536</v>
      </c>
      <c r="M27" s="57" t="n">
        <f aca="false">L27/I27</f>
        <v>1.03533427959204</v>
      </c>
      <c r="U27" s="0" t="n">
        <v>606849</v>
      </c>
      <c r="V27" s="37"/>
      <c r="W27" s="38"/>
    </row>
    <row r="28" customFormat="false" ht="15.8" hidden="false" customHeight="false" outlineLevel="0" collapsed="false">
      <c r="A28" s="62" t="n">
        <v>60</v>
      </c>
      <c r="B28" s="62" t="n">
        <v>9.8</v>
      </c>
      <c r="C28" s="63" t="n">
        <f aca="false">C27+B28</f>
        <v>59.2</v>
      </c>
      <c r="D28" s="64" t="n">
        <f aca="false">C28*$A$15/1000</f>
        <v>13.0378133333333</v>
      </c>
      <c r="E28" s="64" t="n">
        <f aca="false">D28/($A$7+C28/1000)</f>
        <v>1.06351257287044</v>
      </c>
      <c r="F28" s="65" t="n">
        <f aca="false">$A$6*E28*100</f>
        <v>670012.920908379</v>
      </c>
      <c r="G28" s="53" t="n">
        <v>837754</v>
      </c>
      <c r="H28" s="66" t="n">
        <f aca="false">G28/F28</f>
        <v>1.25035499145927</v>
      </c>
      <c r="I28" s="67" t="n">
        <f aca="false">E28*$C$99</f>
        <v>893661.013195168</v>
      </c>
      <c r="J28" s="68" t="n">
        <f aca="false">G28/I28</f>
        <v>0.937440469742235</v>
      </c>
      <c r="K28" s="67" t="n">
        <f aca="false">I28*0.95</f>
        <v>848977.962535409</v>
      </c>
      <c r="L28" s="56" t="n">
        <f aca="false">IF(G28&lt;$A$18, G28, G28*(1+G28/$A$18*$A$19))</f>
        <v>907937.1764516</v>
      </c>
      <c r="M28" s="57" t="n">
        <f aca="false">L28/I28</f>
        <v>1.01597492007108</v>
      </c>
      <c r="U28" s="0" t="n">
        <v>607236</v>
      </c>
      <c r="V28" s="37"/>
      <c r="W28" s="38"/>
    </row>
    <row r="29" customFormat="false" ht="15.8" hidden="false" customHeight="false" outlineLevel="0" collapsed="false">
      <c r="A29" s="50" t="n">
        <v>70</v>
      </c>
      <c r="B29" s="50" t="n">
        <v>9.8</v>
      </c>
      <c r="C29" s="51" t="n">
        <f aca="false">C28+B29</f>
        <v>69</v>
      </c>
      <c r="D29" s="52" t="n">
        <f aca="false">C29*$A$15/1000</f>
        <v>15.1961</v>
      </c>
      <c r="E29" s="52" t="n">
        <f aca="false">D29/($A$7+C29/1000)</f>
        <v>1.23857690113294</v>
      </c>
      <c r="F29" s="58" t="n">
        <f aca="false">$A$6*E29*100</f>
        <v>780303.44771375</v>
      </c>
      <c r="G29" s="53" t="n">
        <v>953674</v>
      </c>
      <c r="H29" s="59" t="n">
        <f aca="false">G29/F29</f>
        <v>1.22218350155214</v>
      </c>
      <c r="I29" s="60" t="n">
        <f aca="false">E29*$C$99</f>
        <v>1040766.1522977</v>
      </c>
      <c r="J29" s="61" t="n">
        <f aca="false">G29/I29</f>
        <v>0.916319192255219</v>
      </c>
      <c r="K29" s="60" t="n">
        <f aca="false">I29*0.95</f>
        <v>988727.844682814</v>
      </c>
      <c r="L29" s="56" t="n">
        <f aca="false">IF(G29&lt;$A$18, G29, G29*(1+G29/$A$18*$A$19))</f>
        <v>1044623.4098276</v>
      </c>
      <c r="M29" s="57" t="n">
        <f aca="false">L29/I29</f>
        <v>1.0037061711907</v>
      </c>
      <c r="U29" s="0" t="n">
        <v>615108</v>
      </c>
      <c r="V29" s="37" t="n">
        <f aca="false">SUM(U22:U29)/8</f>
        <v>597630</v>
      </c>
      <c r="W29" s="38" t="n">
        <f aca="false">(MAX(U22:U28)-MIN(U22:U28))/V29*100</f>
        <v>4.77954587286448</v>
      </c>
    </row>
    <row r="30" customFormat="false" ht="15.8" hidden="false" customHeight="false" outlineLevel="0" collapsed="false">
      <c r="A30" s="50" t="n">
        <v>80</v>
      </c>
      <c r="B30" s="50" t="n">
        <v>9.8</v>
      </c>
      <c r="C30" s="51" t="n">
        <f aca="false">C29+B30</f>
        <v>78.8</v>
      </c>
      <c r="D30" s="52" t="n">
        <f aca="false">C30*$A$15/1000</f>
        <v>17.3543866666667</v>
      </c>
      <c r="E30" s="52" t="n">
        <f aca="false">D30/($A$7+C30/1000)</f>
        <v>1.41336178345332</v>
      </c>
      <c r="F30" s="58" t="n">
        <f aca="false">$A$6*E30*100</f>
        <v>890417.923575594</v>
      </c>
      <c r="G30" s="53" t="n">
        <v>1085924</v>
      </c>
      <c r="H30" s="59" t="n">
        <f aca="false">G30/F30</f>
        <v>1.2195666453336</v>
      </c>
      <c r="I30" s="60" t="n">
        <f aca="false">E30*$C$99</f>
        <v>1187636.47523525</v>
      </c>
      <c r="J30" s="61" t="n">
        <f aca="false">G30/I30</f>
        <v>0.914357231900356</v>
      </c>
      <c r="K30" s="60" t="n">
        <f aca="false">I30*0.95</f>
        <v>1128254.65147349</v>
      </c>
      <c r="L30" s="56" t="n">
        <f aca="false">IF(G30&lt;$A$18, G30, G30*(1+G30/$A$18*$A$19))</f>
        <v>1203847.0933776</v>
      </c>
      <c r="M30" s="57" t="n">
        <f aca="false">L30/I30</f>
        <v>1.01364947816977</v>
      </c>
      <c r="U30" s="5" t="n">
        <v>723681</v>
      </c>
      <c r="V30" s="69"/>
      <c r="W30" s="38"/>
    </row>
    <row r="31" customFormat="false" ht="15.8" hidden="false" customHeight="false" outlineLevel="0" collapsed="false">
      <c r="A31" s="50" t="n">
        <v>90</v>
      </c>
      <c r="B31" s="50" t="n">
        <v>9.8</v>
      </c>
      <c r="C31" s="51" t="n">
        <f aca="false">C30+B31</f>
        <v>88.6</v>
      </c>
      <c r="D31" s="52" t="n">
        <f aca="false">C31*$A$15/1000</f>
        <v>19.5126733333333</v>
      </c>
      <c r="E31" s="52" t="n">
        <f aca="false">D31/($A$7+C31/1000)</f>
        <v>1.58786788839521</v>
      </c>
      <c r="F31" s="58" t="n">
        <f aca="false">$A$6*E31*100</f>
        <v>1000356.76968898</v>
      </c>
      <c r="G31" s="53" t="n">
        <v>1199473</v>
      </c>
      <c r="H31" s="59" t="n">
        <f aca="false">G31/F31</f>
        <v>1.19904521701085</v>
      </c>
      <c r="I31" s="60" t="n">
        <f aca="false">E31*$C$99</f>
        <v>1334272.54379644</v>
      </c>
      <c r="J31" s="61" t="n">
        <f aca="false">G31/I31</f>
        <v>0.898971507415653</v>
      </c>
      <c r="K31" s="60" t="n">
        <f aca="false">I31*0.95</f>
        <v>1267558.91660661</v>
      </c>
      <c r="L31" s="56" t="n">
        <f aca="false">IF(G31&lt;$A$18, G31, G31*(1+G31/$A$18*$A$19))</f>
        <v>1343346.5477729</v>
      </c>
      <c r="M31" s="57" t="n">
        <f aca="false">L31/I31</f>
        <v>1.00680071250709</v>
      </c>
      <c r="U31" s="0" t="n">
        <v>707528</v>
      </c>
      <c r="V31" s="37"/>
      <c r="W31" s="38"/>
    </row>
    <row r="32" customFormat="false" ht="15.8" hidden="false" customHeight="false" outlineLevel="0" collapsed="false">
      <c r="A32" s="50" t="n">
        <v>110</v>
      </c>
      <c r="B32" s="50" t="n">
        <v>19.6</v>
      </c>
      <c r="C32" s="51" t="n">
        <f aca="false">C31+B32</f>
        <v>108.2</v>
      </c>
      <c r="D32" s="52" t="n">
        <f aca="false">C32*$A$15/1000</f>
        <v>23.8292466666667</v>
      </c>
      <c r="E32" s="52" t="n">
        <f aca="false">D32/($A$7+C32/1000)</f>
        <v>1.93604642975144</v>
      </c>
      <c r="F32" s="58" t="n">
        <f aca="false">$A$6*E32*100</f>
        <v>1219709.25074341</v>
      </c>
      <c r="G32" s="53" t="n">
        <v>1416948</v>
      </c>
      <c r="H32" s="59" t="n">
        <f aca="false">G32/F32</f>
        <v>1.16170964443893</v>
      </c>
      <c r="I32" s="60" t="n">
        <f aca="false">E32*$C$99</f>
        <v>1626844.15599789</v>
      </c>
      <c r="J32" s="61" t="n">
        <f aca="false">G32/I32</f>
        <v>0.870979555586783</v>
      </c>
      <c r="K32" s="60" t="n">
        <f aca="false">I32*0.95</f>
        <v>1545501.948198</v>
      </c>
      <c r="L32" s="56" t="n">
        <f aca="false">IF(G32&lt;$A$18, G32, G32*(1+G32/$A$18*$A$19))</f>
        <v>1617722.1634704</v>
      </c>
      <c r="M32" s="57" t="n">
        <f aca="false">L32/I32</f>
        <v>0.994392829519741</v>
      </c>
      <c r="U32" s="0" t="n">
        <v>726643</v>
      </c>
      <c r="V32" s="37"/>
      <c r="W32" s="38"/>
    </row>
    <row r="33" customFormat="false" ht="15.8" hidden="false" customHeight="false" outlineLevel="0" collapsed="false">
      <c r="A33" s="50" t="n">
        <v>120</v>
      </c>
      <c r="B33" s="50" t="n">
        <v>9.8</v>
      </c>
      <c r="C33" s="51" t="n">
        <f aca="false">C32+B33</f>
        <v>118</v>
      </c>
      <c r="D33" s="52" t="n">
        <f aca="false">C33*$A$15/1000</f>
        <v>25.9875333333333</v>
      </c>
      <c r="E33" s="52" t="n">
        <f aca="false">D33/($A$7+C33/1000)</f>
        <v>2.10972019267197</v>
      </c>
      <c r="F33" s="58" t="n">
        <f aca="false">$A$6*E33*100</f>
        <v>1329123.72138334</v>
      </c>
      <c r="G33" s="53" t="n">
        <v>1526221</v>
      </c>
      <c r="H33" s="59" t="n">
        <f aca="false">G33/F33</f>
        <v>1.14829114509485</v>
      </c>
      <c r="I33" s="60" t="n">
        <f aca="false">E33*$C$99</f>
        <v>1772780.81429059</v>
      </c>
      <c r="J33" s="61" t="n">
        <f aca="false">G33/I33</f>
        <v>0.860919177202821</v>
      </c>
      <c r="K33" s="60" t="n">
        <f aca="false">I33*0.95</f>
        <v>1684141.77357606</v>
      </c>
      <c r="L33" s="56" t="n">
        <f aca="false">IF(G33&lt;$A$18, G33, G33*(1+G33/$A$18*$A$19))</f>
        <v>1759156.0540841</v>
      </c>
      <c r="M33" s="57" t="n">
        <f aca="false">L33/I33</f>
        <v>0.992314469957788</v>
      </c>
      <c r="U33" s="0" t="n">
        <v>726839</v>
      </c>
      <c r="V33" s="37"/>
      <c r="W33" s="38"/>
    </row>
    <row r="34" customFormat="false" ht="15.8" hidden="false" customHeight="false" outlineLevel="0" collapsed="false">
      <c r="A34" s="50" t="n">
        <v>130</v>
      </c>
      <c r="B34" s="50" t="n">
        <v>9.8</v>
      </c>
      <c r="C34" s="51" t="n">
        <f aca="false">C33+B34</f>
        <v>127.8</v>
      </c>
      <c r="D34" s="52" t="n">
        <f aca="false">C34*$A$15/1000</f>
        <v>28.14582</v>
      </c>
      <c r="E34" s="52" t="n">
        <f aca="false">D34/($A$7+C34/1000)</f>
        <v>2.28311783124321</v>
      </c>
      <c r="F34" s="58" t="n">
        <f aca="false">$A$6*E34*100</f>
        <v>1438364.23368322</v>
      </c>
      <c r="G34" s="53" t="n">
        <v>1653842</v>
      </c>
      <c r="H34" s="59" t="n">
        <f aca="false">G34/F34</f>
        <v>1.14980751138744</v>
      </c>
      <c r="I34" s="60" t="n">
        <f aca="false">E34*$C$99</f>
        <v>1918485.44752589</v>
      </c>
      <c r="J34" s="61" t="n">
        <f aca="false">G34/I34</f>
        <v>0.862056056840472</v>
      </c>
      <c r="K34" s="60" t="n">
        <f aca="false">I34*0.95</f>
        <v>1822561.1751496</v>
      </c>
      <c r="L34" s="56" t="n">
        <f aca="false">IF(G34&lt;$A$18, G34, G34*(1+G34/$A$18*$A$19))</f>
        <v>1927361.3360964</v>
      </c>
      <c r="M34" s="57" t="n">
        <f aca="false">L34/I34</f>
        <v>1.00462650815619</v>
      </c>
      <c r="U34" s="0" t="n">
        <v>732858</v>
      </c>
      <c r="V34" s="37"/>
      <c r="W34" s="38"/>
    </row>
    <row r="35" customFormat="false" ht="15.8" hidden="false" customHeight="false" outlineLevel="0" collapsed="false">
      <c r="A35" s="50" t="n">
        <v>140</v>
      </c>
      <c r="B35" s="50" t="n">
        <v>9.8</v>
      </c>
      <c r="C35" s="51" t="n">
        <f aca="false">C34+B35</f>
        <v>137.6</v>
      </c>
      <c r="D35" s="52" t="n">
        <f aca="false">C35*$A$15/1000</f>
        <v>30.3041066666667</v>
      </c>
      <c r="E35" s="52" t="n">
        <f aca="false">D35/($A$7+C35/1000)</f>
        <v>2.45624000345826</v>
      </c>
      <c r="F35" s="58" t="n">
        <f aca="false">$A$6*E35*100</f>
        <v>1547431.20217871</v>
      </c>
      <c r="G35" s="53" t="n">
        <v>1770798</v>
      </c>
      <c r="H35" s="59" t="n">
        <f aca="false">G35/F35</f>
        <v>1.14434683590896</v>
      </c>
      <c r="I35" s="60" t="n">
        <f aca="false">E35*$C$99</f>
        <v>2063958.60861009</v>
      </c>
      <c r="J35" s="61" t="n">
        <f aca="false">G35/I35</f>
        <v>0.857961972983794</v>
      </c>
      <c r="K35" s="60" t="n">
        <f aca="false">I35*0.95</f>
        <v>1960760.67817959</v>
      </c>
      <c r="L35" s="56" t="n">
        <f aca="false">IF(G35&lt;$A$18, G35, G35*(1+G35/$A$18*$A$19))</f>
        <v>2084370.5556804</v>
      </c>
      <c r="M35" s="57" t="n">
        <f aca="false">L35/I35</f>
        <v>1.00988970756737</v>
      </c>
      <c r="U35" s="0" t="n">
        <v>705786</v>
      </c>
      <c r="V35" s="37"/>
      <c r="W35" s="38"/>
    </row>
    <row r="36" customFormat="false" ht="15.8" hidden="false" customHeight="false" outlineLevel="0" collapsed="false">
      <c r="A36" s="70" t="n">
        <v>150</v>
      </c>
      <c r="B36" s="70" t="n">
        <v>9.8</v>
      </c>
      <c r="C36" s="71" t="n">
        <f aca="false">C35+B36</f>
        <v>147.4</v>
      </c>
      <c r="D36" s="72" t="n">
        <f aca="false">C36*$A$15/1000</f>
        <v>32.4623933333333</v>
      </c>
      <c r="E36" s="72" t="n">
        <f aca="false">D36/($A$7+C36/1000)</f>
        <v>2.62908736522129</v>
      </c>
      <c r="F36" s="73" t="n">
        <f aca="false">$A$6*E36*100</f>
        <v>1656325.04008941</v>
      </c>
      <c r="G36" s="74" t="n">
        <v>1850630</v>
      </c>
      <c r="H36" s="75" t="n">
        <f aca="false">G36/F36</f>
        <v>1.11731088717955</v>
      </c>
      <c r="I36" s="76" t="n">
        <f aca="false">E36*$C$99</f>
        <v>2209200.84869415</v>
      </c>
      <c r="J36" s="77" t="n">
        <f aca="false">G36/I36</f>
        <v>0.837692055520395</v>
      </c>
      <c r="K36" s="76" t="n">
        <f aca="false">I36*0.95</f>
        <v>2098740.80625944</v>
      </c>
      <c r="L36" s="78" t="n">
        <f aca="false">IF(G36&lt;$A$18, G36, G36*(1+G36/$A$18*$A$19))</f>
        <v>2193113.13969</v>
      </c>
      <c r="M36" s="57" t="n">
        <f aca="false">L36/I36</f>
        <v>0.992717860391166</v>
      </c>
      <c r="U36" s="0" t="n">
        <v>700985</v>
      </c>
      <c r="V36" s="37"/>
      <c r="W36" s="38"/>
    </row>
    <row r="37" customFormat="false" ht="15.8" hidden="false" customHeight="false" outlineLevel="0" collapsed="false">
      <c r="F37" s="37"/>
      <c r="U37" s="0" t="n">
        <v>726528</v>
      </c>
      <c r="V37" s="37"/>
      <c r="W37" s="38"/>
    </row>
    <row r="38" customFormat="false" ht="15.8" hidden="false" customHeight="false" outlineLevel="0" collapsed="false">
      <c r="F38" s="37"/>
      <c r="U38" s="0" t="n">
        <v>735848</v>
      </c>
      <c r="V38" s="37" t="n">
        <f aca="false">SUM(U30:U38)/9</f>
        <v>720744</v>
      </c>
      <c r="W38" s="38" t="n">
        <f aca="false">(MAX(U30:U37)-MIN(U30:U37))/V38*100</f>
        <v>4.42223591178005</v>
      </c>
    </row>
    <row r="39" customFormat="false" ht="15.8" hidden="false" customHeight="false" outlineLevel="0" collapsed="false">
      <c r="F39" s="37"/>
      <c r="U39" s="0" t="n">
        <v>731747</v>
      </c>
      <c r="V39" s="37"/>
      <c r="W39" s="38"/>
    </row>
    <row r="40" customFormat="false" ht="15.8" hidden="false" customHeight="false" outlineLevel="0" collapsed="false">
      <c r="U40" s="0" t="n">
        <v>836817</v>
      </c>
      <c r="V40" s="37"/>
      <c r="W40" s="38"/>
    </row>
    <row r="41" customFormat="false" ht="15.8" hidden="false" customHeight="false" outlineLevel="0" collapsed="false">
      <c r="U41" s="0" t="n">
        <v>827707</v>
      </c>
      <c r="V41" s="37"/>
      <c r="W41" s="38"/>
    </row>
    <row r="42" customFormat="false" ht="15.8" hidden="false" customHeight="false" outlineLevel="0" collapsed="false">
      <c r="U42" s="0" t="n">
        <v>822322</v>
      </c>
      <c r="V42" s="37"/>
      <c r="W42" s="38"/>
    </row>
    <row r="43" customFormat="false" ht="15.8" hidden="false" customHeight="false" outlineLevel="0" collapsed="false">
      <c r="U43" s="0" t="n">
        <v>853847</v>
      </c>
      <c r="V43" s="37"/>
      <c r="W43" s="38"/>
    </row>
    <row r="44" customFormat="false" ht="15.8" hidden="false" customHeight="false" outlineLevel="0" collapsed="false">
      <c r="U44" s="0" t="n">
        <v>848079</v>
      </c>
      <c r="V44" s="37" t="n">
        <f aca="false">SUM(U40:U44)/5</f>
        <v>837754.4</v>
      </c>
      <c r="W44" s="38" t="n">
        <f aca="false">(MAX(U40:U43)-MIN(U40:U43))/V44*100</f>
        <v>3.76303604015688</v>
      </c>
    </row>
    <row r="45" customFormat="false" ht="15.8" hidden="false" customHeight="false" outlineLevel="0" collapsed="false">
      <c r="U45" s="0" t="n">
        <v>954372</v>
      </c>
      <c r="V45" s="37"/>
      <c r="W45" s="38"/>
    </row>
    <row r="46" customFormat="false" ht="15.8" hidden="false" customHeight="false" outlineLevel="0" collapsed="false">
      <c r="U46" s="0" t="n">
        <v>944582</v>
      </c>
      <c r="V46" s="37"/>
      <c r="W46" s="38"/>
    </row>
    <row r="47" customFormat="false" ht="15.8" hidden="false" customHeight="false" outlineLevel="0" collapsed="false">
      <c r="U47" s="0" t="n">
        <v>968293</v>
      </c>
      <c r="V47" s="37"/>
      <c r="W47" s="38"/>
    </row>
    <row r="48" customFormat="false" ht="15.8" hidden="false" customHeight="false" outlineLevel="0" collapsed="false">
      <c r="U48" s="0" t="n">
        <v>955723</v>
      </c>
      <c r="V48" s="37"/>
      <c r="W48" s="38"/>
    </row>
    <row r="49" customFormat="false" ht="15.8" hidden="false" customHeight="false" outlineLevel="0" collapsed="false">
      <c r="U49" s="0" t="n">
        <v>964172</v>
      </c>
      <c r="V49" s="37"/>
      <c r="W49" s="38"/>
    </row>
    <row r="50" customFormat="false" ht="15.8" hidden="false" customHeight="false" outlineLevel="0" collapsed="false">
      <c r="U50" s="0" t="n">
        <v>920144</v>
      </c>
      <c r="V50" s="37"/>
      <c r="W50" s="38"/>
    </row>
    <row r="51" customFormat="false" ht="15.8" hidden="false" customHeight="false" outlineLevel="0" collapsed="false">
      <c r="U51" s="0" t="n">
        <v>949327</v>
      </c>
      <c r="V51" s="37"/>
      <c r="W51" s="38"/>
    </row>
    <row r="52" customFormat="false" ht="15.8" hidden="false" customHeight="false" outlineLevel="0" collapsed="false">
      <c r="U52" s="0" t="n">
        <v>956910</v>
      </c>
      <c r="V52" s="37"/>
      <c r="W52" s="38"/>
    </row>
    <row r="53" customFormat="false" ht="15.8" hidden="false" customHeight="false" outlineLevel="0" collapsed="false">
      <c r="U53" s="0" t="n">
        <v>951584</v>
      </c>
      <c r="V53" s="37"/>
      <c r="W53" s="38"/>
    </row>
    <row r="54" customFormat="false" ht="15.8" hidden="false" customHeight="false" outlineLevel="0" collapsed="false">
      <c r="U54" s="0" t="n">
        <v>971636</v>
      </c>
      <c r="V54" s="37" t="n">
        <f aca="false">SUM(U45:U54)/10</f>
        <v>953674.3</v>
      </c>
      <c r="W54" s="38" t="n">
        <f aca="false">(MAX(U45:U53)-MIN(U45:U53))/V54*100</f>
        <v>5.04878866925532</v>
      </c>
    </row>
    <row r="55" customFormat="false" ht="15.8" hidden="false" customHeight="false" outlineLevel="0" collapsed="false">
      <c r="U55" s="0" t="n">
        <v>1084905</v>
      </c>
      <c r="V55" s="37"/>
      <c r="W55" s="38"/>
    </row>
    <row r="56" customFormat="false" ht="15.8" hidden="false" customHeight="false" outlineLevel="0" collapsed="false">
      <c r="U56" s="0" t="n">
        <v>1073791</v>
      </c>
      <c r="V56" s="37"/>
      <c r="W56" s="38"/>
    </row>
    <row r="57" customFormat="false" ht="15.8" hidden="false" customHeight="false" outlineLevel="0" collapsed="false">
      <c r="U57" s="0" t="n">
        <v>1082662</v>
      </c>
      <c r="V57" s="37"/>
      <c r="W57" s="38"/>
    </row>
    <row r="58" customFormat="false" ht="15.8" hidden="false" customHeight="false" outlineLevel="0" collapsed="false">
      <c r="U58" s="0" t="n">
        <v>1095580</v>
      </c>
      <c r="V58" s="37"/>
      <c r="W58" s="38"/>
    </row>
    <row r="59" customFormat="false" ht="15.8" hidden="false" customHeight="false" outlineLevel="0" collapsed="false">
      <c r="U59" s="0" t="n">
        <v>1092684</v>
      </c>
      <c r="V59" s="37" t="n">
        <f aca="false">SUM(U55:U59)/5</f>
        <v>1085924.4</v>
      </c>
      <c r="W59" s="38" t="n">
        <f aca="false">(MAX(U55:U58)-MIN(U55:U58))/V59*100</f>
        <v>2.00649326969723</v>
      </c>
    </row>
    <row r="60" customFormat="false" ht="15.8" hidden="false" customHeight="false" outlineLevel="0" collapsed="false">
      <c r="U60" s="0" t="n">
        <v>1205750</v>
      </c>
      <c r="V60" s="37"/>
      <c r="W60" s="38"/>
    </row>
    <row r="61" customFormat="false" ht="15.8" hidden="false" customHeight="false" outlineLevel="0" collapsed="false">
      <c r="U61" s="0" t="n">
        <v>1188471</v>
      </c>
      <c r="V61" s="37"/>
      <c r="W61" s="38"/>
    </row>
    <row r="62" customFormat="false" ht="15.8" hidden="false" customHeight="false" outlineLevel="0" collapsed="false">
      <c r="U62" s="0" t="n">
        <v>1219844</v>
      </c>
      <c r="V62" s="37"/>
      <c r="W62" s="38"/>
    </row>
    <row r="63" customFormat="false" ht="15.8" hidden="false" customHeight="false" outlineLevel="0" collapsed="false">
      <c r="U63" s="0" t="n">
        <v>1175662</v>
      </c>
      <c r="V63" s="37"/>
      <c r="W63" s="38"/>
    </row>
    <row r="64" customFormat="false" ht="15.8" hidden="false" customHeight="false" outlineLevel="0" collapsed="false">
      <c r="U64" s="0" t="n">
        <v>1207639</v>
      </c>
      <c r="V64" s="37" t="n">
        <f aca="false">SUM(U60:U64)/5</f>
        <v>1199473.2</v>
      </c>
      <c r="W64" s="38" t="n">
        <f aca="false">(MAX(U60:U63)-MIN(U60:U63))/V64*100</f>
        <v>3.68345036804491</v>
      </c>
    </row>
    <row r="65" customFormat="false" ht="15.8" hidden="false" customHeight="false" outlineLevel="0" collapsed="false">
      <c r="U65" s="0" t="n">
        <v>1404845</v>
      </c>
      <c r="V65" s="37"/>
      <c r="W65" s="38"/>
    </row>
    <row r="66" customFormat="false" ht="15.8" hidden="false" customHeight="false" outlineLevel="0" collapsed="false">
      <c r="U66" s="0" t="n">
        <v>1399177</v>
      </c>
      <c r="V66" s="37"/>
      <c r="W66" s="38"/>
    </row>
    <row r="67" customFormat="false" ht="15.8" hidden="false" customHeight="false" outlineLevel="0" collapsed="false">
      <c r="U67" s="0" t="n">
        <v>1434430</v>
      </c>
      <c r="V67" s="37"/>
      <c r="W67" s="38"/>
    </row>
    <row r="68" customFormat="false" ht="15.8" hidden="false" customHeight="false" outlineLevel="0" collapsed="false">
      <c r="U68" s="0" t="n">
        <v>1417323</v>
      </c>
      <c r="V68" s="37"/>
      <c r="W68" s="38"/>
    </row>
    <row r="69" customFormat="false" ht="15.8" hidden="false" customHeight="false" outlineLevel="0" collapsed="false">
      <c r="U69" s="0" t="n">
        <v>1428968</v>
      </c>
      <c r="V69" s="37" t="n">
        <f aca="false">SUM(U65:U69)/5</f>
        <v>1416948.6</v>
      </c>
      <c r="W69" s="38" t="n">
        <f aca="false">(MAX(U65:U68)-MIN(U65:U68))/V69*100</f>
        <v>2.48795192712001</v>
      </c>
    </row>
    <row r="70" customFormat="false" ht="15.8" hidden="false" customHeight="false" outlineLevel="0" collapsed="false">
      <c r="U70" s="0" t="n">
        <v>1502457</v>
      </c>
      <c r="V70" s="37"/>
      <c r="W70" s="38"/>
    </row>
    <row r="71" customFormat="false" ht="15.8" hidden="false" customHeight="false" outlineLevel="0" collapsed="false">
      <c r="U71" s="0" t="n">
        <v>1504837</v>
      </c>
      <c r="V71" s="37"/>
      <c r="W71" s="38"/>
    </row>
    <row r="72" customFormat="false" ht="15.8" hidden="false" customHeight="false" outlineLevel="0" collapsed="false">
      <c r="B72" s="5" t="s">
        <v>78</v>
      </c>
      <c r="I72" s="5" t="s">
        <v>78</v>
      </c>
      <c r="U72" s="0" t="n">
        <v>1524086</v>
      </c>
      <c r="V72" s="37"/>
      <c r="W72" s="38"/>
    </row>
    <row r="73" customFormat="false" ht="15.8" hidden="false" customHeight="false" outlineLevel="0" collapsed="false">
      <c r="B73" s="0" t="s">
        <v>90</v>
      </c>
      <c r="C73" s="0" t="s">
        <v>91</v>
      </c>
      <c r="I73" s="0" t="s">
        <v>90</v>
      </c>
      <c r="J73" s="0" t="s">
        <v>92</v>
      </c>
      <c r="U73" s="0" t="n">
        <v>1554010</v>
      </c>
      <c r="V73" s="37"/>
      <c r="W73" s="38"/>
    </row>
    <row r="74" customFormat="false" ht="15.8" hidden="false" customHeight="false" outlineLevel="0" collapsed="false">
      <c r="U74" s="0" t="n">
        <v>1549983</v>
      </c>
      <c r="V74" s="37"/>
      <c r="W74" s="38"/>
    </row>
    <row r="75" customFormat="false" ht="15.8" hidden="false" customHeight="false" outlineLevel="0" collapsed="false">
      <c r="B75" s="0" t="s">
        <v>93</v>
      </c>
      <c r="I75" s="0" t="s">
        <v>93</v>
      </c>
      <c r="U75" s="0" t="n">
        <v>1512338</v>
      </c>
      <c r="V75" s="37"/>
      <c r="W75" s="38"/>
    </row>
    <row r="76" customFormat="false" ht="15.8" hidden="false" customHeight="false" outlineLevel="0" collapsed="false">
      <c r="B76" s="0" t="n">
        <f aca="false" t="array" ref="B76:C80">LINEST($G$22:$G$26 , $E$22:$E$26 , 0 , 1)</f>
        <v>840291.911907689</v>
      </c>
      <c r="C76" s="0" t="n">
        <v>0</v>
      </c>
      <c r="I76" s="0" t="n">
        <f aca="false" t="array" ref="I76:J80">LINEST(LN($J$22:$J$36) , LN($G$22:$G$36) , 1 , 1)</f>
        <v>-0.00920233630668481</v>
      </c>
      <c r="J76" s="0" t="n">
        <v>0.0450962095380997</v>
      </c>
      <c r="U76" s="0" t="n">
        <v>1494015</v>
      </c>
      <c r="V76" s="37"/>
      <c r="W76" s="38"/>
    </row>
    <row r="77" customFormat="false" ht="15.8" hidden="false" customHeight="false" outlineLevel="0" collapsed="false">
      <c r="B77" s="0" t="n">
        <v>8629.21382348937</v>
      </c>
      <c r="C77" s="0" t="e">
        <v>#N/A</v>
      </c>
      <c r="I77" s="0" t="n">
        <v>0.0053013378982638</v>
      </c>
      <c r="J77" s="0" t="n">
        <v>0.0700665834429601</v>
      </c>
      <c r="U77" s="0" t="n">
        <v>1540956</v>
      </c>
      <c r="V77" s="37"/>
      <c r="W77" s="38"/>
    </row>
    <row r="78" customFormat="false" ht="15.8" hidden="false" customHeight="false" outlineLevel="0" collapsed="false">
      <c r="B78" s="0" t="n">
        <v>0.999578343379223</v>
      </c>
      <c r="C78" s="0" t="n">
        <v>8452.51263460618</v>
      </c>
      <c r="I78" s="0" t="n">
        <v>0.188168799802697</v>
      </c>
      <c r="J78" s="0" t="n">
        <v>0.0713015220429768</v>
      </c>
      <c r="U78" s="0" t="n">
        <v>1535685</v>
      </c>
      <c r="V78" s="37"/>
      <c r="W78" s="38"/>
    </row>
    <row r="79" customFormat="false" ht="15.8" hidden="false" customHeight="false" outlineLevel="0" collapsed="false">
      <c r="B79" s="0" t="n">
        <v>9482.39201402304</v>
      </c>
      <c r="C79" s="0" t="n">
        <v>4</v>
      </c>
      <c r="I79" s="0" t="n">
        <v>3.01318106133462</v>
      </c>
      <c r="J79" s="0" t="n">
        <v>13</v>
      </c>
      <c r="U79" s="0" t="n">
        <v>1543844</v>
      </c>
      <c r="V79" s="37" t="n">
        <f aca="false">SUM(U70:U79)/10</f>
        <v>1526221.1</v>
      </c>
      <c r="W79" s="38" t="n">
        <f aca="false">(MAX(U70:U78)-MIN(U70:U78))/V79*100</f>
        <v>3.93095076460416</v>
      </c>
    </row>
    <row r="80" customFormat="false" ht="15.8" hidden="false" customHeight="false" outlineLevel="0" collapsed="false">
      <c r="B80" s="0" t="n">
        <v>677469211435.647</v>
      </c>
      <c r="C80" s="0" t="n">
        <v>285779879.352708</v>
      </c>
      <c r="I80" s="0" t="n">
        <v>0.0153187324275234</v>
      </c>
      <c r="J80" s="0" t="n">
        <v>0.0660907915933863</v>
      </c>
      <c r="U80" s="0" t="n">
        <v>1665079</v>
      </c>
      <c r="V80" s="37"/>
      <c r="W80" s="38"/>
    </row>
    <row r="81" customFormat="false" ht="15.8" hidden="false" customHeight="false" outlineLevel="0" collapsed="false">
      <c r="U81" s="0" t="n">
        <v>1647703</v>
      </c>
      <c r="V81" s="37"/>
      <c r="W81" s="38"/>
    </row>
    <row r="82" customFormat="false" ht="15.8" hidden="false" customHeight="false" outlineLevel="0" collapsed="false">
      <c r="B82" s="0" t="s">
        <v>94</v>
      </c>
      <c r="I82" s="0" t="s">
        <v>94</v>
      </c>
      <c r="U82" s="0" t="n">
        <v>1659088</v>
      </c>
      <c r="V82" s="37"/>
      <c r="W82" s="38"/>
    </row>
    <row r="83" customFormat="false" ht="15.8" hidden="false" customHeight="false" outlineLevel="0" collapsed="false">
      <c r="B83" s="0" t="s">
        <v>95</v>
      </c>
      <c r="C83" s="0" t="n">
        <f aca="false">$B$78</f>
        <v>0.999578343379223</v>
      </c>
      <c r="I83" s="0" t="s">
        <v>95</v>
      </c>
      <c r="J83" s="0" t="n">
        <f aca="false">$I$78</f>
        <v>0.188168799802697</v>
      </c>
      <c r="U83" s="0" t="n">
        <v>1647890</v>
      </c>
      <c r="V83" s="37"/>
      <c r="W83" s="38"/>
    </row>
    <row r="84" customFormat="false" ht="15.8" hidden="false" customHeight="false" outlineLevel="0" collapsed="false">
      <c r="B84" s="0" t="s">
        <v>96</v>
      </c>
      <c r="C84" s="0" t="n">
        <f aca="false">$C$78</f>
        <v>8452.51263460618</v>
      </c>
      <c r="I84" s="0" t="s">
        <v>96</v>
      </c>
      <c r="J84" s="0" t="n">
        <f aca="false">$J$78</f>
        <v>0.0713015220429768</v>
      </c>
      <c r="U84" s="0" t="n">
        <v>1649454</v>
      </c>
      <c r="V84" s="37" t="n">
        <f aca="false">SUM(U80:U84)/5</f>
        <v>1653842.8</v>
      </c>
      <c r="W84" s="38" t="n">
        <f aca="false">(MAX(U80:U83)-MIN(U80:U83))/V84*100</f>
        <v>1.0506439910734</v>
      </c>
    </row>
    <row r="85" customFormat="false" ht="15.8" hidden="false" customHeight="false" outlineLevel="0" collapsed="false">
      <c r="B85" s="0" t="s">
        <v>97</v>
      </c>
      <c r="C85" s="0" t="n">
        <f aca="false">1</f>
        <v>1</v>
      </c>
      <c r="I85" s="0" t="s">
        <v>97</v>
      </c>
      <c r="J85" s="0" t="n">
        <f aca="false">1</f>
        <v>1</v>
      </c>
      <c r="U85" s="0" t="n">
        <v>1793367</v>
      </c>
      <c r="V85" s="37"/>
      <c r="W85" s="38"/>
    </row>
    <row r="86" customFormat="false" ht="15.8" hidden="false" customHeight="false" outlineLevel="0" collapsed="false">
      <c r="B86" s="0" t="s">
        <v>98</v>
      </c>
      <c r="C86" s="0" t="n">
        <f aca="false">5</f>
        <v>5</v>
      </c>
      <c r="I86" s="0" t="s">
        <v>98</v>
      </c>
      <c r="J86" s="0" t="n">
        <f aca="false">15</f>
        <v>15</v>
      </c>
      <c r="U86" s="0" t="n">
        <v>1751541</v>
      </c>
      <c r="V86" s="37"/>
      <c r="W86" s="38"/>
    </row>
    <row r="87" customFormat="false" ht="15.8" hidden="false" customHeight="false" outlineLevel="0" collapsed="false">
      <c r="B87" s="0" t="s">
        <v>99</v>
      </c>
      <c r="C87" s="0" t="n">
        <f aca="false">1 - (1 - $B$78)*($C$86 - 1)/($C$86 - $C$85)</f>
        <v>0.999578343379223</v>
      </c>
      <c r="I87" s="0" t="s">
        <v>99</v>
      </c>
      <c r="J87" s="0" t="n">
        <f aca="false">1 - (1 - $I$78)*($J$86 - 1)/($J$86 - $J$85 - 1)</f>
        <v>0.125720245941366</v>
      </c>
      <c r="U87" s="0" t="n">
        <v>1770996</v>
      </c>
      <c r="V87" s="37"/>
      <c r="W87" s="38"/>
    </row>
    <row r="88" customFormat="false" ht="15.8" hidden="false" customHeight="false" outlineLevel="0" collapsed="false">
      <c r="U88" s="0" t="n">
        <v>1775754</v>
      </c>
      <c r="V88" s="37"/>
      <c r="W88" s="38"/>
    </row>
    <row r="89" customFormat="false" ht="15.8" hidden="false" customHeight="false" outlineLevel="0" collapsed="false">
      <c r="B89" s="0" t="s">
        <v>100</v>
      </c>
      <c r="I89" s="0" t="s">
        <v>100</v>
      </c>
      <c r="U89" s="0" t="n">
        <v>1762332</v>
      </c>
      <c r="V89" s="37" t="n">
        <f aca="false">SUM(U85:U89)/5</f>
        <v>1770798</v>
      </c>
      <c r="W89" s="38" t="n">
        <f aca="false">(MAX(U85:U88)-MIN(U85:U88))/V89*100</f>
        <v>2.36198595209617</v>
      </c>
    </row>
    <row r="90" customFormat="false" ht="15.8" hidden="false" customHeight="false" outlineLevel="0" collapsed="false">
      <c r="C90" s="0" t="s">
        <v>101</v>
      </c>
      <c r="D90" s="0" t="s">
        <v>102</v>
      </c>
      <c r="E90" s="0" t="s">
        <v>103</v>
      </c>
      <c r="F90" s="0" t="s">
        <v>104</v>
      </c>
      <c r="G90" s="0" t="s">
        <v>105</v>
      </c>
      <c r="J90" s="0" t="s">
        <v>101</v>
      </c>
      <c r="K90" s="0" t="s">
        <v>102</v>
      </c>
      <c r="L90" s="0" t="s">
        <v>103</v>
      </c>
      <c r="M90" s="0" t="s">
        <v>104</v>
      </c>
      <c r="N90" s="0" t="s">
        <v>105</v>
      </c>
      <c r="U90" s="0" t="n">
        <v>1847092</v>
      </c>
      <c r="V90" s="37"/>
      <c r="W90" s="38"/>
    </row>
    <row r="91" customFormat="false" ht="15.8" hidden="false" customHeight="false" outlineLevel="0" collapsed="false">
      <c r="B91" s="0" t="s">
        <v>78</v>
      </c>
      <c r="C91" s="0" t="n">
        <f aca="false">$C$85</f>
        <v>1</v>
      </c>
      <c r="D91" s="0" t="n">
        <f aca="false">$B$80</f>
        <v>677469211435.647</v>
      </c>
      <c r="E91" s="0" t="n">
        <f aca="false">$B$80 / $C$91</f>
        <v>677469211435.647</v>
      </c>
      <c r="F91" s="0" t="n">
        <f aca="false">$B$79</f>
        <v>9482.39201402304</v>
      </c>
      <c r="G91" s="0" t="n">
        <f aca="false">FDIST($B$79 , $C$91 , $C$79)</f>
        <v>6.6682237933477E-008</v>
      </c>
      <c r="I91" s="0" t="s">
        <v>78</v>
      </c>
      <c r="J91" s="0" t="n">
        <f aca="false">$J$85</f>
        <v>1</v>
      </c>
      <c r="K91" s="0" t="n">
        <f aca="false">$I$80</f>
        <v>0.0153187324275234</v>
      </c>
      <c r="L91" s="0" t="n">
        <f aca="false">$I$80 / $J$91</f>
        <v>0.0153187324275234</v>
      </c>
      <c r="M91" s="0" t="n">
        <f aca="false">$I$79</f>
        <v>3.01318106133462</v>
      </c>
      <c r="N91" s="0" t="n">
        <f aca="false">FDIST($I$79 , $J$91 , $J$79)</f>
        <v>0.10621412544065</v>
      </c>
      <c r="U91" s="0" t="n">
        <v>1833359</v>
      </c>
      <c r="V91" s="37"/>
      <c r="W91" s="38"/>
    </row>
    <row r="92" customFormat="false" ht="15.8" hidden="false" customHeight="false" outlineLevel="0" collapsed="false">
      <c r="B92" s="0" t="s">
        <v>106</v>
      </c>
      <c r="C92" s="0" t="n">
        <f aca="false">$C$79</f>
        <v>4</v>
      </c>
      <c r="D92" s="0" t="n">
        <f aca="false">$C$80</f>
        <v>285779879.352708</v>
      </c>
      <c r="E92" s="0" t="n">
        <f aca="false">$C$80 / $C$79</f>
        <v>71444969.8381771</v>
      </c>
      <c r="I92" s="0" t="s">
        <v>106</v>
      </c>
      <c r="J92" s="0" t="n">
        <f aca="false">$J$79</f>
        <v>13</v>
      </c>
      <c r="K92" s="0" t="n">
        <f aca="false">$J$80</f>
        <v>0.0660907915933863</v>
      </c>
      <c r="L92" s="0" t="n">
        <f aca="false">$J$80 / $J$79</f>
        <v>0.0050839070456451</v>
      </c>
      <c r="U92" s="0" t="n">
        <v>1903999</v>
      </c>
      <c r="V92" s="37"/>
      <c r="W92" s="38"/>
    </row>
    <row r="93" customFormat="false" ht="15.8" hidden="false" customHeight="false" outlineLevel="0" collapsed="false">
      <c r="B93" s="0" t="s">
        <v>72</v>
      </c>
      <c r="C93" s="0" t="n">
        <f aca="false">$C$91 + $C$79</f>
        <v>5</v>
      </c>
      <c r="D93" s="0" t="n">
        <f aca="false">$B$80 + $C$80</f>
        <v>677754991315</v>
      </c>
      <c r="I93" s="0" t="s">
        <v>72</v>
      </c>
      <c r="J93" s="0" t="n">
        <f aca="false">$J$91 + $J$79</f>
        <v>14</v>
      </c>
      <c r="K93" s="0" t="n">
        <f aca="false">$I$80 + $J$80</f>
        <v>0.0814095240209097</v>
      </c>
      <c r="U93" s="0" t="n">
        <v>1839722</v>
      </c>
      <c r="V93" s="37"/>
      <c r="W93" s="38"/>
    </row>
    <row r="94" customFormat="false" ht="15.8" hidden="false" customHeight="false" outlineLevel="0" collapsed="false">
      <c r="U94" s="0" t="n">
        <v>1879761</v>
      </c>
      <c r="V94" s="37"/>
      <c r="W94" s="38"/>
    </row>
    <row r="95" customFormat="false" ht="15.8" hidden="false" customHeight="false" outlineLevel="0" collapsed="false">
      <c r="B95" s="0" t="s">
        <v>107</v>
      </c>
      <c r="C95" s="0" t="n">
        <v>0.95</v>
      </c>
      <c r="I95" s="0" t="s">
        <v>107</v>
      </c>
      <c r="J95" s="0" t="n">
        <v>0.95</v>
      </c>
      <c r="U95" s="0" t="n">
        <v>1826056</v>
      </c>
      <c r="V95" s="37"/>
      <c r="W95" s="38"/>
    </row>
    <row r="96" customFormat="false" ht="15.8" hidden="false" customHeight="false" outlineLevel="0" collapsed="false">
      <c r="U96" s="0" t="n">
        <v>1813477</v>
      </c>
      <c r="V96" s="37"/>
      <c r="W96" s="38"/>
    </row>
    <row r="97" customFormat="false" ht="15.8" hidden="false" customHeight="false" outlineLevel="0" collapsed="false">
      <c r="C97" s="0" t="s">
        <v>108</v>
      </c>
      <c r="D97" s="0" t="s">
        <v>96</v>
      </c>
      <c r="E97" s="0" t="s">
        <v>109</v>
      </c>
      <c r="F97" s="0" t="s">
        <v>110</v>
      </c>
      <c r="G97" s="0" t="str">
        <f aca="false">_xlfn.CONCAT("Lower " , INT($C$95 * 100) , "%")</f>
        <v>Lower 95%</v>
      </c>
      <c r="H97" s="0" t="str">
        <f aca="false">_xlfn.CONCAT("Upper " , INT($C$95 * 100) , "%")</f>
        <v>Upper 95%</v>
      </c>
      <c r="J97" s="0" t="s">
        <v>108</v>
      </c>
      <c r="K97" s="0" t="s">
        <v>96</v>
      </c>
      <c r="L97" s="0" t="s">
        <v>109</v>
      </c>
      <c r="M97" s="0" t="s">
        <v>110</v>
      </c>
      <c r="N97" s="0" t="str">
        <f aca="false">_xlfn.CONCAT("Lower " , INT($J$95 * 100) , "%")</f>
        <v>Lower 95%</v>
      </c>
      <c r="O97" s="0" t="str">
        <f aca="false">_xlfn.CONCAT("Upper " , INT($J$95 * 100) , "%")</f>
        <v>Upper 95%</v>
      </c>
      <c r="U97" s="0" t="n">
        <v>1885554</v>
      </c>
      <c r="V97" s="37"/>
      <c r="W97" s="38"/>
    </row>
    <row r="98" customFormat="false" ht="15.8" hidden="false" customHeight="false" outlineLevel="0" collapsed="false">
      <c r="B98" s="0" t="str">
        <f aca="false">"Intercept"</f>
        <v>Intercept</v>
      </c>
      <c r="C98" s="0" t="n">
        <f aca="false" t="array" ref="C98:C99">INDEX($B$76:$C$76, 1 , ROW($C$99)+1 - ROW())</f>
        <v>0</v>
      </c>
      <c r="D98" s="0" t="e">
        <f aca="false" t="array" ref="D98:D99">INDEX($B$77:$C$77, 1 , ROW($D$99)+1 - ROW())</f>
        <v>#N/A</v>
      </c>
      <c r="E98" s="0" t="e">
        <f aca="false" t="array" ref="E98:E99">$C$98:$C$99 / $D$98:$D$99</f>
        <v>#N/A</v>
      </c>
      <c r="F98" s="0" t="e">
        <f aca="false" t="array" ref="F98:F99">TDIST(ABS($E$98:$E$99) , $C$79 , 2 )</f>
        <v>#N/A</v>
      </c>
      <c r="G98" s="0" t="e">
        <f aca="false" t="array" ref="G98:G99">$C$98:$C$99 - $D$98:$D$99 * TINV(1 - $C$95 , $C$79)</f>
        <v>#N/A</v>
      </c>
      <c r="H98" s="0" t="e">
        <f aca="false" t="array" ref="H98:H99">$C$98:$C$99 + $D$98:$D$99 * TINV(1 - $C$95 , $C$79)</f>
        <v>#N/A</v>
      </c>
      <c r="I98" s="0" t="str">
        <f aca="false">"Intercept"</f>
        <v>Intercept</v>
      </c>
      <c r="J98" s="0" t="n">
        <f aca="false" t="array" ref="J98:J99">INDEX($I$76:$J$76, 1 , ROW($J$99)+1 - ROW())</f>
        <v>0.0450962095380997</v>
      </c>
      <c r="K98" s="0" t="n">
        <f aca="false" t="array" ref="K98:K99">INDEX($I$77:$J$77, 1 , ROW($K$99)+1 - ROW())</f>
        <v>0.0700665834429601</v>
      </c>
      <c r="L98" s="0" t="n">
        <f aca="false" t="array" ref="L98:L99">$J$98:$J$99 / $K$98:$K$99</f>
        <v>0.643619359217247</v>
      </c>
      <c r="M98" s="0" t="n">
        <f aca="false" t="array" ref="M98:M99">TDIST(ABS($L$98:$L$99) , $J$79 , 2 )</f>
        <v>0.531013167013838</v>
      </c>
      <c r="N98" s="0" t="n">
        <f aca="false" t="array" ref="N98:N99">$J$98:$J$99 - $K$98:$K$99 * TINV(1 - $J$95 , $J$79)</f>
        <v>-0.106273441197506</v>
      </c>
      <c r="O98" s="0" t="n">
        <f aca="false" t="array" ref="O98:O99">$J$98:$J$99 + $K$98:$K$99 * TINV(1 - $J$95 , $J$79)</f>
        <v>0.196465860273705</v>
      </c>
      <c r="U98" s="0" t="n">
        <v>1836044</v>
      </c>
      <c r="V98" s="37"/>
      <c r="W98" s="38"/>
    </row>
    <row r="99" customFormat="false" ht="15.8" hidden="false" customHeight="false" outlineLevel="0" collapsed="false">
      <c r="B99" s="0" t="str">
        <f aca="false">"X1"</f>
        <v>X1</v>
      </c>
      <c r="C99" s="0" t="n">
        <v>840291.911907689</v>
      </c>
      <c r="D99" s="0" t="n">
        <v>8629.21382348937</v>
      </c>
      <c r="E99" s="0" t="n">
        <v>97.3775744924007</v>
      </c>
      <c r="F99" s="0" t="n">
        <v>6.6682237933477E-008</v>
      </c>
      <c r="G99" s="0" t="n">
        <v>816333.373425757</v>
      </c>
      <c r="H99" s="0" t="n">
        <v>864250.450389621</v>
      </c>
      <c r="I99" s="0" t="str">
        <f aca="false">"LN(X1)"</f>
        <v>LN(X1)</v>
      </c>
      <c r="J99" s="0" t="n">
        <v>-0.00920233630668481</v>
      </c>
      <c r="K99" s="0" t="n">
        <v>0.0053013378982638</v>
      </c>
      <c r="L99" s="0" t="n">
        <v>-1.7358516818365</v>
      </c>
      <c r="M99" s="0" t="n">
        <v>0.10621412544065</v>
      </c>
      <c r="N99" s="0" t="n">
        <v>-0.0206551805394123</v>
      </c>
      <c r="O99" s="0" t="n">
        <v>0.00225050792604263</v>
      </c>
      <c r="U99" s="0" t="n">
        <v>1841236</v>
      </c>
      <c r="V99" s="37" t="n">
        <f aca="false">SUM(U90:U99)/10</f>
        <v>1850630</v>
      </c>
      <c r="W99" s="38" t="n">
        <f aca="false">(MAX(U90:U98)-MIN(U90:U98))/V99*100</f>
        <v>4.89141535585179</v>
      </c>
    </row>
    <row r="100" customFormat="false" ht="15.8" hidden="false" customHeight="false" outlineLevel="0" collapsed="false"/>
    <row r="101" customFormat="false" ht="15.8" hidden="false" customHeight="false" outlineLevel="0" collapsed="false">
      <c r="B101" s="0" t="str">
        <f aca="false">"X1"</f>
        <v>X1</v>
      </c>
      <c r="C101" s="0" t="s">
        <v>111</v>
      </c>
      <c r="D101" s="0" t="str">
        <f aca="false">"Y"</f>
        <v>Y</v>
      </c>
      <c r="E101" s="0" t="s">
        <v>106</v>
      </c>
    </row>
    <row r="102" customFormat="false" ht="15.8" hidden="false" customHeight="false" outlineLevel="0" collapsed="false">
      <c r="B102" s="0" t="n">
        <f aca="false" t="array" ref="B102:B106">$A$22:$A$26</f>
        <v>0</v>
      </c>
      <c r="C102" s="0" t="n">
        <f aca="false" t="array" ref="C102:C106">MMULT($B$102:$B$106 , $C$99) + $C$98</f>
        <v>0</v>
      </c>
      <c r="D102" s="0" t="n">
        <f aca="false" t="array" ref="D102:D106">$G$22:$G$26</f>
        <v>1</v>
      </c>
      <c r="E102" s="0" t="n">
        <f aca="false" t="array" ref="E102:E106">$D$102:$D$106 - $C$102:$C$106</f>
        <v>1</v>
      </c>
    </row>
    <row r="103" customFormat="false" ht="15.8" hidden="false" customHeight="false" outlineLevel="0" collapsed="false">
      <c r="B103" s="0" t="n">
        <v>10</v>
      </c>
      <c r="C103" s="0" t="n">
        <v>8402919.11907689</v>
      </c>
      <c r="D103" s="0" t="n">
        <v>169243</v>
      </c>
      <c r="E103" s="0" t="n">
        <v>-8233676.11907689</v>
      </c>
    </row>
    <row r="104" customFormat="false" ht="15.8" hidden="false" customHeight="false" outlineLevel="0" collapsed="false">
      <c r="B104" s="0" t="n">
        <v>20</v>
      </c>
      <c r="C104" s="0" t="n">
        <v>16805838.2381538</v>
      </c>
      <c r="D104" s="0" t="n">
        <v>294743</v>
      </c>
      <c r="E104" s="0" t="n">
        <v>-16511095.2381538</v>
      </c>
    </row>
    <row r="105" customFormat="false" ht="15.8" hidden="false" customHeight="false" outlineLevel="0" collapsed="false">
      <c r="B105" s="0" t="n">
        <v>30</v>
      </c>
      <c r="C105" s="0" t="n">
        <v>25208757.3572307</v>
      </c>
      <c r="D105" s="0" t="n">
        <v>452854</v>
      </c>
      <c r="E105" s="0" t="n">
        <v>-24755903.3572307</v>
      </c>
    </row>
    <row r="106" customFormat="false" ht="15.8" hidden="false" customHeight="false" outlineLevel="0" collapsed="false">
      <c r="B106" s="0" t="n">
        <v>40</v>
      </c>
      <c r="C106" s="0" t="n">
        <v>33611676.4763076</v>
      </c>
      <c r="D106" s="0" t="n">
        <v>597630</v>
      </c>
      <c r="E106" s="0" t="n">
        <v>-33014046.4763076</v>
      </c>
    </row>
  </sheetData>
  <mergeCells count="1">
    <mergeCell ref="C1:L1"/>
  </mergeCells>
  <printOptions headings="false" gridLines="false" gridLinesSet="true" horizontalCentered="false" verticalCentered="false"/>
  <pageMargins left="0.7875" right="0.7875" top="1.05277777777778" bottom="1.74166666666667" header="0.7875" footer="0.7875"/>
  <pageSetup paperSize="9" scale="110" fitToWidth="1" fitToHeight="1" pageOrder="downThenOver" orientation="landscape" blackAndWhite="false" draft="false" cellComments="none" horizontalDpi="300" verticalDpi="300" copies="1"/>
  <headerFooter differentFirst="false" differentOddEven="false">
    <oddHeader>&amp;C&amp;"Times New Roman,Regular"&amp;12&amp;Kffffff&amp;A</oddHeader>
    <oddFooter>&amp;C&amp;"Times New Roman,Regular"&amp;12&amp;KffffffPage &amp;P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37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D40" activeCellId="0" sqref="D40"/>
    </sheetView>
  </sheetViews>
  <sheetFormatPr defaultColWidth="10.4921875" defaultRowHeight="12.8" zeroHeight="false" outlineLevelRow="0" outlineLevelCol="0"/>
  <sheetData>
    <row r="1" customFormat="false" ht="15.8" hidden="false" customHeight="false" outlineLevel="0" collapsed="false">
      <c r="A1" s="31" t="n">
        <v>45785</v>
      </c>
    </row>
    <row r="2" customFormat="false" ht="15.8" hidden="false" customHeight="false" outlineLevel="0" collapsed="false">
      <c r="A2" s="0" t="s">
        <v>29</v>
      </c>
    </row>
    <row r="3" customFormat="false" ht="15.8" hidden="false" customHeight="false" outlineLevel="0" collapsed="false">
      <c r="A3" s="0" t="s">
        <v>112</v>
      </c>
    </row>
    <row r="4" customFormat="false" ht="15.8" hidden="false" customHeight="false" outlineLevel="0" collapsed="false"/>
    <row r="5" customFormat="false" ht="15.8" hidden="false" customHeight="false" outlineLevel="0" collapsed="false"/>
    <row r="6" customFormat="false" ht="15.8" hidden="false" customHeight="false" outlineLevel="0" collapsed="false">
      <c r="B6" s="0" t="s">
        <v>113</v>
      </c>
    </row>
    <row r="7" customFormat="false" ht="15.8" hidden="false" customHeight="false" outlineLevel="0" collapsed="false"/>
    <row r="8" customFormat="false" ht="15.8" hidden="false" customHeight="false" outlineLevel="0" collapsed="false">
      <c r="A8" s="0" t="s">
        <v>114</v>
      </c>
      <c r="B8" s="79" t="n">
        <v>1</v>
      </c>
      <c r="C8" s="79" t="n">
        <v>0.1</v>
      </c>
      <c r="D8" s="0" t="s">
        <v>115</v>
      </c>
      <c r="E8" s="0" t="s">
        <v>116</v>
      </c>
      <c r="F8" s="80" t="s">
        <v>117</v>
      </c>
    </row>
    <row r="9" customFormat="false" ht="15.8" hidden="false" customHeight="false" outlineLevel="0" collapsed="false"/>
    <row r="10" customFormat="false" ht="15.8" hidden="false" customHeight="false" outlineLevel="0" collapsed="false"/>
    <row r="11" customFormat="false" ht="15.8" hidden="false" customHeight="false" outlineLevel="0" collapsed="false">
      <c r="A11" s="0" t="n">
        <v>4</v>
      </c>
      <c r="B11" s="0" t="n">
        <v>10750.3</v>
      </c>
      <c r="C11" s="0" t="n">
        <f aca="false">B11*C$8</f>
        <v>1075.03</v>
      </c>
      <c r="D11" s="0" t="n">
        <v>1035.42</v>
      </c>
      <c r="E11" s="79" t="n">
        <f aca="false">D11/B11</f>
        <v>0.0963154516618141</v>
      </c>
      <c r="F11" s="79" t="n">
        <f aca="false">E11-$C$8</f>
        <v>-0.00368454833818591</v>
      </c>
    </row>
    <row r="12" customFormat="false" ht="15.8" hidden="false" customHeight="false" outlineLevel="0" collapsed="false">
      <c r="A12" s="0" t="n">
        <v>5</v>
      </c>
      <c r="B12" s="0" t="n">
        <v>7121.1</v>
      </c>
      <c r="C12" s="0" t="n">
        <f aca="false">B12*C$8</f>
        <v>712.11</v>
      </c>
    </row>
    <row r="13" customFormat="false" ht="15.8" hidden="false" customHeight="false" outlineLevel="0" collapsed="false">
      <c r="A13" s="0" t="n">
        <v>6</v>
      </c>
      <c r="B13" s="0" t="n">
        <v>4729.1</v>
      </c>
      <c r="C13" s="0" t="n">
        <f aca="false">B13*C$8</f>
        <v>472.91</v>
      </c>
      <c r="D13" s="0" t="n">
        <v>471.41</v>
      </c>
      <c r="E13" s="79" t="n">
        <f aca="false">D13/B13</f>
        <v>0.0996828149119283</v>
      </c>
      <c r="F13" s="79" t="n">
        <f aca="false">E13/C13</f>
        <v>0.000210786016180517</v>
      </c>
    </row>
    <row r="14" customFormat="false" ht="15.8" hidden="false" customHeight="false" outlineLevel="0" collapsed="false">
      <c r="A14" s="0" t="n">
        <v>7</v>
      </c>
      <c r="B14" s="0" t="n">
        <v>3199.3</v>
      </c>
      <c r="C14" s="0" t="n">
        <f aca="false">B14*C$8</f>
        <v>319.93</v>
      </c>
    </row>
    <row r="15" customFormat="false" ht="15.8" hidden="false" customHeight="false" outlineLevel="0" collapsed="false">
      <c r="A15" s="0" t="n">
        <v>8</v>
      </c>
      <c r="B15" s="0" t="n">
        <v>2280.6</v>
      </c>
      <c r="C15" s="0" t="n">
        <f aca="false">B15*C$8</f>
        <v>228.06</v>
      </c>
    </row>
    <row r="16" customFormat="false" ht="15.8" hidden="false" customHeight="false" outlineLevel="0" collapsed="false">
      <c r="A16" s="0" t="n">
        <v>9</v>
      </c>
      <c r="B16" s="0" t="n">
        <v>1615</v>
      </c>
      <c r="C16" s="0" t="n">
        <f aca="false">B16*C$8</f>
        <v>161.5</v>
      </c>
    </row>
    <row r="17" customFormat="false" ht="15.8" hidden="false" customHeight="false" outlineLevel="0" collapsed="false">
      <c r="A17" s="0" t="n">
        <v>10</v>
      </c>
      <c r="B17" s="0" t="n">
        <v>1130.5</v>
      </c>
      <c r="C17" s="0" t="n">
        <f aca="false">B17*C$8</f>
        <v>113.05</v>
      </c>
    </row>
    <row r="18" customFormat="false" ht="15.8" hidden="false" customHeight="false" outlineLevel="0" collapsed="false">
      <c r="A18" s="0" t="n">
        <v>11</v>
      </c>
      <c r="B18" s="0" t="n">
        <v>816.2</v>
      </c>
      <c r="C18" s="0" t="n">
        <f aca="false">B18*C$8</f>
        <v>81.62</v>
      </c>
    </row>
    <row r="19" customFormat="false" ht="15.8" hidden="false" customHeight="false" outlineLevel="0" collapsed="false">
      <c r="A19" s="0" t="n">
        <v>12</v>
      </c>
      <c r="B19" s="0" t="n">
        <v>618.6</v>
      </c>
      <c r="C19" s="0" t="n">
        <f aca="false">B19*C$8</f>
        <v>61.86</v>
      </c>
    </row>
    <row r="20" customFormat="false" ht="15.8" hidden="false" customHeight="false" outlineLevel="0" collapsed="false">
      <c r="A20" s="0" t="n">
        <v>13</v>
      </c>
      <c r="B20" s="0" t="n">
        <v>481.9</v>
      </c>
      <c r="C20" s="0" t="n">
        <f aca="false">B20*C$8</f>
        <v>48.19</v>
      </c>
    </row>
    <row r="21" customFormat="false" ht="15.8" hidden="false" customHeight="false" outlineLevel="0" collapsed="false">
      <c r="A21" s="0" t="n">
        <v>14</v>
      </c>
      <c r="B21" s="0" t="n">
        <v>384.7</v>
      </c>
      <c r="C21" s="0" t="n">
        <f aca="false">B21*C$8</f>
        <v>38.47</v>
      </c>
      <c r="D21" s="0" t="n">
        <v>42.25</v>
      </c>
      <c r="E21" s="79" t="n">
        <f aca="false">D21/B21</f>
        <v>0.109825838315571</v>
      </c>
      <c r="F21" s="79" t="n">
        <f aca="false">E21/C21</f>
        <v>0.00285484373058411</v>
      </c>
    </row>
    <row r="22" customFormat="false" ht="15.8" hidden="false" customHeight="false" outlineLevel="0" collapsed="false">
      <c r="A22" s="0" t="n">
        <v>15</v>
      </c>
      <c r="B22" s="0" t="n">
        <v>314.6</v>
      </c>
      <c r="C22" s="0" t="n">
        <f aca="false">B22*C$8</f>
        <v>31.46</v>
      </c>
    </row>
    <row r="23" customFormat="false" ht="15.8" hidden="false" customHeight="false" outlineLevel="0" collapsed="false">
      <c r="A23" s="0" t="n">
        <v>16</v>
      </c>
      <c r="B23" s="0" t="n">
        <v>261.8</v>
      </c>
      <c r="C23" s="0" t="n">
        <f aca="false">B23*C$8</f>
        <v>26.18</v>
      </c>
    </row>
    <row r="24" customFormat="false" ht="15.8" hidden="false" customHeight="false" outlineLevel="0" collapsed="false">
      <c r="A24" s="0" t="n">
        <v>17</v>
      </c>
      <c r="B24" s="0" t="n">
        <v>221.2</v>
      </c>
      <c r="C24" s="0" t="n">
        <f aca="false">B24*C$8</f>
        <v>22.12</v>
      </c>
    </row>
    <row r="25" customFormat="false" ht="15.8" hidden="false" customHeight="false" outlineLevel="0" collapsed="false">
      <c r="A25" s="0" t="n">
        <v>18</v>
      </c>
      <c r="B25" s="0" t="n">
        <v>188.7</v>
      </c>
      <c r="C25" s="0" t="n">
        <f aca="false">B25*C$8</f>
        <v>18.87</v>
      </c>
    </row>
    <row r="26" customFormat="false" ht="15.8" hidden="false" customHeight="false" outlineLevel="0" collapsed="false">
      <c r="A26" s="0" t="n">
        <v>19</v>
      </c>
      <c r="B26" s="0" t="n">
        <v>161</v>
      </c>
      <c r="C26" s="0" t="n">
        <f aca="false">B26*C$8</f>
        <v>16.1</v>
      </c>
    </row>
    <row r="27" customFormat="false" ht="15.8" hidden="false" customHeight="false" outlineLevel="0" collapsed="false">
      <c r="A27" s="0" t="n">
        <v>20</v>
      </c>
      <c r="B27" s="0" t="n">
        <v>136.4</v>
      </c>
      <c r="C27" s="0" t="n">
        <f aca="false">B27*C$8</f>
        <v>13.64</v>
      </c>
    </row>
    <row r="28" customFormat="false" ht="15.8" hidden="false" customHeight="false" outlineLevel="0" collapsed="false">
      <c r="A28" s="0" t="n">
        <v>21</v>
      </c>
      <c r="B28" s="0" t="n">
        <v>114.4</v>
      </c>
      <c r="C28" s="0" t="n">
        <f aca="false">B28*C$8</f>
        <v>11.44</v>
      </c>
      <c r="D28" s="0" t="n">
        <v>13.73</v>
      </c>
      <c r="E28" s="79" t="n">
        <f aca="false">D28/B28</f>
        <v>0.120017482517483</v>
      </c>
      <c r="F28" s="79" t="n">
        <f aca="false">E28/C28</f>
        <v>0.0104910386815981</v>
      </c>
    </row>
    <row r="29" customFormat="false" ht="15.8" hidden="false" customHeight="false" outlineLevel="0" collapsed="false">
      <c r="A29" s="0" t="n">
        <v>22</v>
      </c>
      <c r="B29" s="0" t="n">
        <v>95.3</v>
      </c>
      <c r="C29" s="0" t="n">
        <f aca="false">B29*C$8</f>
        <v>9.53</v>
      </c>
    </row>
    <row r="30" customFormat="false" ht="15.8" hidden="false" customHeight="false" outlineLevel="0" collapsed="false">
      <c r="A30" s="0" t="n">
        <v>23</v>
      </c>
      <c r="B30" s="0" t="n">
        <v>79</v>
      </c>
      <c r="C30" s="0" t="n">
        <f aca="false">B30*C$8</f>
        <v>7.9</v>
      </c>
    </row>
    <row r="31" customFormat="false" ht="15.8" hidden="false" customHeight="false" outlineLevel="0" collapsed="false">
      <c r="A31" s="0" t="n">
        <v>24</v>
      </c>
      <c r="B31" s="0" t="n">
        <v>65.3</v>
      </c>
      <c r="C31" s="0" t="n">
        <f aca="false">B31*C$8</f>
        <v>6.53</v>
      </c>
    </row>
    <row r="32" customFormat="false" ht="15.8" hidden="false" customHeight="false" outlineLevel="0" collapsed="false">
      <c r="A32" s="0" t="n">
        <v>25</v>
      </c>
      <c r="B32" s="0" t="n">
        <v>53.8</v>
      </c>
      <c r="C32" s="0" t="n">
        <f aca="false">B32*C$8</f>
        <v>5.38</v>
      </c>
      <c r="D32" s="0" t="n">
        <v>6.71</v>
      </c>
      <c r="E32" s="79" t="n">
        <f aca="false">D32/B32</f>
        <v>0.124721189591078</v>
      </c>
      <c r="F32" s="79" t="n">
        <f aca="false">E32/C32</f>
        <v>0.0231823772474123</v>
      </c>
    </row>
    <row r="33" customFormat="false" ht="15.8" hidden="false" customHeight="false" outlineLevel="0" collapsed="false">
      <c r="A33" s="0" t="n">
        <v>26</v>
      </c>
      <c r="B33" s="0" t="n">
        <v>44.6</v>
      </c>
      <c r="C33" s="0" t="n">
        <f aca="false">B33*C$8</f>
        <v>4.46</v>
      </c>
    </row>
    <row r="34" customFormat="false" ht="15.8" hidden="false" customHeight="false" outlineLevel="0" collapsed="false">
      <c r="A34" s="0" t="n">
        <v>27</v>
      </c>
      <c r="B34" s="0" t="n">
        <v>37</v>
      </c>
      <c r="C34" s="0" t="n">
        <f aca="false">B34*C$8</f>
        <v>3.7</v>
      </c>
    </row>
    <row r="35" customFormat="false" ht="15.8" hidden="false" customHeight="false" outlineLevel="0" collapsed="false">
      <c r="A35" s="0" t="n">
        <v>28</v>
      </c>
      <c r="B35" s="0" t="n">
        <v>30.7</v>
      </c>
      <c r="C35" s="0" t="n">
        <f aca="false">B35*C$8</f>
        <v>3.07</v>
      </c>
    </row>
    <row r="36" customFormat="false" ht="15.8" hidden="false" customHeight="false" outlineLevel="0" collapsed="false">
      <c r="A36" s="0" t="n">
        <v>29</v>
      </c>
      <c r="B36" s="0" t="n">
        <v>25.2</v>
      </c>
      <c r="C36" s="0" t="n">
        <f aca="false">B36*C$8</f>
        <v>2.52</v>
      </c>
    </row>
    <row r="37" customFormat="false" ht="15.8" hidden="false" customHeight="false" outlineLevel="0" collapsed="false">
      <c r="A37" s="0" t="n">
        <v>30</v>
      </c>
      <c r="B37" s="0" t="n">
        <v>20.1</v>
      </c>
      <c r="C37" s="0" t="n">
        <f aca="false">B37*C$8</f>
        <v>2.01</v>
      </c>
    </row>
  </sheetData>
  <printOptions headings="false" gridLines="false" gridLinesSet="true" horizontalCentered="false" verticalCentered="false"/>
  <pageMargins left="0.7875" right="0.7875" top="1.05277777777778" bottom="1.74166666666667" header="0.7875" footer="0.7875"/>
  <pageSetup paperSize="9" scale="110" fitToWidth="1" fitToHeight="1" pageOrder="downThenOver" orientation="landscape" blackAndWhite="false" draft="false" cellComments="none" horizontalDpi="300" verticalDpi="300" copies="1"/>
  <headerFooter differentFirst="false" differentOddEven="false">
    <oddHeader>&amp;C&amp;"Times New Roman,Regular"&amp;12&amp;Kffffff&amp;A</oddHeader>
    <oddFooter>&amp;C&amp;"Times New Roman,Regular"&amp;12&amp;KffffffPage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MJ73"/>
  <sheetViews>
    <sheetView showFormulas="false" showGridLines="true" showRowColHeaders="true" showZeros="true" rightToLeft="false" tabSelected="false" showOutlineSymbols="true" defaultGridColor="true" view="normal" topLeftCell="A7" colorId="64" zoomScale="90" zoomScaleNormal="90" zoomScalePageLayoutView="100" workbookViewId="0">
      <selection pane="topLeft" activeCell="E19" activeCellId="0" sqref="E19"/>
    </sheetView>
  </sheetViews>
  <sheetFormatPr defaultColWidth="10.4921875" defaultRowHeight="12.8" zeroHeight="false" outlineLevelRow="0" outlineLevelCol="0"/>
  <cols>
    <col collapsed="false" customWidth="true" hidden="false" outlineLevel="0" max="1" min="1" style="0" width="20.88"/>
    <col collapsed="false" customWidth="true" hidden="false" outlineLevel="0" max="2" min="2" style="0" width="15.62"/>
  </cols>
  <sheetData>
    <row r="1" customFormat="false" ht="67.15" hidden="false" customHeight="true" outlineLevel="0" collapsed="false">
      <c r="A1" s="6"/>
      <c r="B1" s="7"/>
      <c r="C1" s="81"/>
      <c r="D1" s="81"/>
      <c r="E1" s="81"/>
      <c r="F1" s="81"/>
      <c r="G1" s="81"/>
      <c r="H1" s="7"/>
      <c r="I1" s="7"/>
      <c r="J1" s="7"/>
      <c r="K1" s="7"/>
      <c r="L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  <c r="CO1" s="7"/>
      <c r="CP1" s="7"/>
      <c r="CQ1" s="7"/>
      <c r="CR1" s="7"/>
      <c r="CS1" s="7"/>
      <c r="CT1" s="7"/>
      <c r="CU1" s="7"/>
      <c r="CV1" s="7"/>
      <c r="CW1" s="7"/>
      <c r="CX1" s="7"/>
      <c r="CY1" s="7"/>
      <c r="CZ1" s="7"/>
      <c r="DA1" s="7"/>
      <c r="DB1" s="7"/>
      <c r="DC1" s="7"/>
      <c r="DD1" s="7"/>
      <c r="DE1" s="7"/>
      <c r="DF1" s="7"/>
      <c r="DG1" s="7"/>
      <c r="DH1" s="7"/>
      <c r="DI1" s="7"/>
      <c r="DJ1" s="7"/>
      <c r="DK1" s="7"/>
      <c r="DL1" s="7"/>
      <c r="DM1" s="7"/>
      <c r="DN1" s="7"/>
      <c r="DO1" s="7"/>
      <c r="DP1" s="7"/>
      <c r="DQ1" s="7"/>
      <c r="DR1" s="7"/>
      <c r="DS1" s="7"/>
      <c r="DT1" s="7"/>
      <c r="DU1" s="7"/>
      <c r="DV1" s="7"/>
      <c r="DW1" s="7"/>
      <c r="DX1" s="7"/>
      <c r="DY1" s="7"/>
      <c r="DZ1" s="7"/>
      <c r="EA1" s="7"/>
      <c r="EB1" s="7"/>
      <c r="EC1" s="7"/>
      <c r="ED1" s="7"/>
      <c r="EE1" s="7"/>
      <c r="EF1" s="7"/>
      <c r="EG1" s="7"/>
      <c r="EH1" s="7"/>
      <c r="EI1" s="7"/>
      <c r="EJ1" s="7"/>
      <c r="EK1" s="7"/>
      <c r="EL1" s="7"/>
      <c r="EM1" s="7"/>
      <c r="EN1" s="7"/>
      <c r="EO1" s="7"/>
      <c r="EP1" s="7"/>
      <c r="EQ1" s="7"/>
      <c r="ER1" s="7"/>
      <c r="ES1" s="7"/>
      <c r="ET1" s="7"/>
      <c r="EU1" s="7"/>
      <c r="EV1" s="7"/>
      <c r="EW1" s="7"/>
      <c r="EX1" s="7"/>
      <c r="EY1" s="7"/>
      <c r="EZ1" s="7"/>
      <c r="FA1" s="7"/>
      <c r="FB1" s="7"/>
      <c r="FC1" s="7"/>
      <c r="FD1" s="7"/>
      <c r="FE1" s="7"/>
      <c r="FF1" s="7"/>
      <c r="FG1" s="7"/>
      <c r="FH1" s="7"/>
      <c r="FI1" s="7"/>
      <c r="FJ1" s="7"/>
      <c r="FK1" s="7"/>
      <c r="FL1" s="7"/>
      <c r="FM1" s="7"/>
      <c r="FN1" s="7"/>
      <c r="FO1" s="7"/>
      <c r="FP1" s="7"/>
      <c r="FQ1" s="7"/>
      <c r="FR1" s="7"/>
      <c r="FS1" s="7"/>
      <c r="FT1" s="7"/>
      <c r="FU1" s="7"/>
      <c r="FV1" s="7"/>
      <c r="FW1" s="7"/>
      <c r="FX1" s="7"/>
      <c r="FY1" s="7"/>
      <c r="FZ1" s="7"/>
      <c r="GA1" s="7"/>
      <c r="GB1" s="7"/>
      <c r="GC1" s="7"/>
      <c r="GD1" s="7"/>
      <c r="GE1" s="7"/>
      <c r="GF1" s="7"/>
      <c r="GG1" s="7"/>
      <c r="GH1" s="7"/>
      <c r="GI1" s="7"/>
      <c r="GJ1" s="7"/>
      <c r="GK1" s="7"/>
      <c r="GL1" s="7"/>
      <c r="GM1" s="7"/>
      <c r="GN1" s="7"/>
      <c r="GO1" s="7"/>
      <c r="GP1" s="7"/>
      <c r="GQ1" s="7"/>
      <c r="GR1" s="7"/>
      <c r="GS1" s="7"/>
      <c r="GT1" s="7"/>
      <c r="GU1" s="7"/>
      <c r="GV1" s="7"/>
      <c r="GW1" s="7"/>
      <c r="GX1" s="7"/>
      <c r="GY1" s="7"/>
      <c r="GZ1" s="7"/>
      <c r="HA1" s="7"/>
      <c r="HB1" s="7"/>
      <c r="HC1" s="7"/>
      <c r="HD1" s="7"/>
      <c r="HE1" s="7"/>
      <c r="HF1" s="7"/>
      <c r="HG1" s="7"/>
      <c r="HH1" s="7"/>
      <c r="HI1" s="7"/>
      <c r="HJ1" s="7"/>
      <c r="HK1" s="7"/>
      <c r="HL1" s="7"/>
      <c r="HM1" s="7"/>
      <c r="HN1" s="7"/>
      <c r="HO1" s="7"/>
      <c r="HP1" s="7"/>
      <c r="HQ1" s="7"/>
      <c r="HR1" s="7"/>
      <c r="HS1" s="7"/>
      <c r="HT1" s="7"/>
      <c r="HU1" s="7"/>
      <c r="HV1" s="7"/>
      <c r="HW1" s="7"/>
      <c r="HX1" s="7"/>
      <c r="HY1" s="7"/>
      <c r="HZ1" s="7"/>
      <c r="IA1" s="7"/>
      <c r="IB1" s="7"/>
      <c r="IC1" s="7"/>
      <c r="ID1" s="7"/>
      <c r="IE1" s="7"/>
      <c r="IF1" s="7"/>
      <c r="IG1" s="7"/>
      <c r="IH1" s="7"/>
      <c r="II1" s="7"/>
      <c r="IJ1" s="7"/>
      <c r="IK1" s="7"/>
      <c r="IL1" s="7"/>
      <c r="IM1" s="7"/>
      <c r="IN1" s="7"/>
      <c r="IO1" s="7"/>
      <c r="IP1" s="7"/>
      <c r="IQ1" s="7"/>
      <c r="IR1" s="7"/>
      <c r="IS1" s="7"/>
      <c r="IT1" s="7"/>
      <c r="IU1" s="7"/>
      <c r="IV1" s="7"/>
      <c r="IW1" s="7"/>
      <c r="IX1" s="7"/>
      <c r="IY1" s="7"/>
      <c r="IZ1" s="7"/>
      <c r="JA1" s="7"/>
      <c r="JB1" s="7"/>
      <c r="JC1" s="7"/>
      <c r="JD1" s="7"/>
      <c r="JE1" s="7"/>
      <c r="JF1" s="7"/>
      <c r="JG1" s="7"/>
      <c r="JH1" s="7"/>
      <c r="JI1" s="7"/>
      <c r="JJ1" s="7"/>
      <c r="JK1" s="7"/>
      <c r="JL1" s="7"/>
      <c r="JM1" s="7"/>
      <c r="JN1" s="7"/>
      <c r="JO1" s="7"/>
      <c r="JP1" s="7"/>
      <c r="JQ1" s="7"/>
      <c r="JR1" s="7"/>
      <c r="JS1" s="7"/>
      <c r="JT1" s="7"/>
      <c r="JU1" s="7"/>
      <c r="JV1" s="7"/>
      <c r="JW1" s="7"/>
      <c r="JX1" s="7"/>
      <c r="JY1" s="7"/>
      <c r="JZ1" s="7"/>
      <c r="KA1" s="7"/>
      <c r="KB1" s="7"/>
      <c r="KC1" s="7"/>
      <c r="KD1" s="7"/>
      <c r="KE1" s="7"/>
      <c r="KF1" s="7"/>
      <c r="KG1" s="7"/>
      <c r="KH1" s="7"/>
      <c r="KI1" s="7"/>
      <c r="KJ1" s="7"/>
      <c r="KK1" s="7"/>
      <c r="KL1" s="7"/>
      <c r="KM1" s="7"/>
      <c r="KN1" s="7"/>
      <c r="KO1" s="7"/>
      <c r="KP1" s="7"/>
      <c r="KQ1" s="7"/>
      <c r="KR1" s="7"/>
      <c r="KS1" s="7"/>
      <c r="KT1" s="7"/>
      <c r="KU1" s="7"/>
      <c r="KV1" s="7"/>
      <c r="KW1" s="7"/>
      <c r="KX1" s="7"/>
      <c r="KY1" s="7"/>
      <c r="KZ1" s="7"/>
      <c r="LA1" s="7"/>
      <c r="LB1" s="7"/>
      <c r="LC1" s="7"/>
      <c r="LD1" s="7"/>
      <c r="LE1" s="7"/>
      <c r="LF1" s="7"/>
      <c r="LG1" s="7"/>
      <c r="LH1" s="7"/>
      <c r="LI1" s="7"/>
      <c r="LJ1" s="7"/>
      <c r="LK1" s="7"/>
      <c r="LL1" s="7"/>
      <c r="LM1" s="7"/>
      <c r="LN1" s="7"/>
      <c r="LO1" s="7"/>
      <c r="LP1" s="7"/>
      <c r="LQ1" s="7"/>
      <c r="LR1" s="7"/>
      <c r="LS1" s="7"/>
      <c r="LT1" s="7"/>
      <c r="LU1" s="7"/>
      <c r="LV1" s="7"/>
      <c r="LW1" s="7"/>
      <c r="LX1" s="7"/>
      <c r="LY1" s="7"/>
      <c r="LZ1" s="7"/>
      <c r="MA1" s="7"/>
      <c r="MB1" s="7"/>
      <c r="MC1" s="7"/>
      <c r="MD1" s="7"/>
      <c r="ME1" s="7"/>
      <c r="MF1" s="7"/>
      <c r="MG1" s="7"/>
      <c r="MH1" s="7"/>
      <c r="MI1" s="7"/>
      <c r="MJ1" s="7"/>
      <c r="MK1" s="7"/>
      <c r="ML1" s="7"/>
      <c r="MM1" s="7"/>
      <c r="MN1" s="7"/>
      <c r="MO1" s="7"/>
      <c r="MP1" s="7"/>
      <c r="MQ1" s="7"/>
      <c r="MR1" s="7"/>
      <c r="MS1" s="7"/>
      <c r="MT1" s="7"/>
      <c r="MU1" s="7"/>
      <c r="MV1" s="7"/>
      <c r="MW1" s="7"/>
      <c r="MX1" s="7"/>
      <c r="MY1" s="7"/>
      <c r="MZ1" s="7"/>
      <c r="NA1" s="7"/>
      <c r="NB1" s="7"/>
      <c r="NC1" s="7"/>
      <c r="ND1" s="7"/>
      <c r="NE1" s="7"/>
      <c r="NF1" s="7"/>
      <c r="NG1" s="7"/>
      <c r="NH1" s="7"/>
      <c r="NI1" s="7"/>
      <c r="NJ1" s="7"/>
      <c r="NK1" s="7"/>
      <c r="NL1" s="7"/>
      <c r="NM1" s="7"/>
      <c r="NN1" s="7"/>
      <c r="NO1" s="7"/>
      <c r="NP1" s="7"/>
      <c r="NQ1" s="7"/>
      <c r="NR1" s="7"/>
      <c r="NS1" s="7"/>
      <c r="NT1" s="7"/>
      <c r="NU1" s="7"/>
      <c r="NV1" s="7"/>
      <c r="NW1" s="7"/>
      <c r="NX1" s="7"/>
      <c r="NY1" s="7"/>
      <c r="NZ1" s="7"/>
      <c r="OA1" s="7"/>
      <c r="OB1" s="7"/>
      <c r="OC1" s="7"/>
      <c r="OD1" s="7"/>
      <c r="OE1" s="7"/>
      <c r="OF1" s="7"/>
      <c r="OG1" s="7"/>
      <c r="OH1" s="7"/>
      <c r="OI1" s="7"/>
      <c r="OJ1" s="7"/>
      <c r="OK1" s="7"/>
      <c r="OL1" s="7"/>
      <c r="OM1" s="7"/>
      <c r="ON1" s="7"/>
      <c r="OO1" s="7"/>
      <c r="OP1" s="7"/>
      <c r="OQ1" s="7"/>
      <c r="OR1" s="7"/>
      <c r="OS1" s="7"/>
      <c r="OT1" s="7"/>
      <c r="OU1" s="7"/>
      <c r="OV1" s="7"/>
      <c r="OW1" s="7"/>
      <c r="OX1" s="7"/>
      <c r="OY1" s="7"/>
      <c r="OZ1" s="7"/>
      <c r="PA1" s="7"/>
      <c r="PB1" s="7"/>
      <c r="PC1" s="7"/>
      <c r="PD1" s="7"/>
      <c r="PE1" s="7"/>
      <c r="PF1" s="7"/>
      <c r="PG1" s="7"/>
      <c r="PH1" s="7"/>
      <c r="PI1" s="7"/>
      <c r="PJ1" s="7"/>
      <c r="PK1" s="7"/>
      <c r="PL1" s="7"/>
      <c r="PM1" s="7"/>
      <c r="PN1" s="7"/>
      <c r="PO1" s="7"/>
      <c r="PP1" s="7"/>
      <c r="PQ1" s="7"/>
      <c r="PR1" s="7"/>
      <c r="PS1" s="7"/>
      <c r="PT1" s="7"/>
      <c r="PU1" s="7"/>
      <c r="PV1" s="7"/>
      <c r="PW1" s="7"/>
      <c r="PX1" s="7"/>
      <c r="PY1" s="7"/>
      <c r="PZ1" s="7"/>
      <c r="QA1" s="7"/>
      <c r="QB1" s="7"/>
      <c r="QC1" s="7"/>
      <c r="QD1" s="7"/>
      <c r="QE1" s="7"/>
      <c r="QF1" s="7"/>
      <c r="QG1" s="7"/>
      <c r="QH1" s="7"/>
      <c r="QI1" s="7"/>
      <c r="QJ1" s="7"/>
      <c r="QK1" s="7"/>
      <c r="QL1" s="7"/>
      <c r="QM1" s="7"/>
      <c r="QN1" s="7"/>
      <c r="QO1" s="7"/>
      <c r="QP1" s="7"/>
      <c r="QQ1" s="7"/>
      <c r="QR1" s="7"/>
      <c r="QS1" s="7"/>
      <c r="QT1" s="7"/>
      <c r="QU1" s="7"/>
      <c r="QV1" s="7"/>
      <c r="QW1" s="7"/>
      <c r="QX1" s="7"/>
      <c r="QY1" s="7"/>
      <c r="QZ1" s="7"/>
      <c r="RA1" s="7"/>
      <c r="RB1" s="7"/>
      <c r="RC1" s="7"/>
      <c r="RD1" s="7"/>
      <c r="RE1" s="7"/>
      <c r="RF1" s="7"/>
      <c r="RG1" s="7"/>
      <c r="RH1" s="7"/>
      <c r="RI1" s="7"/>
      <c r="RJ1" s="7"/>
      <c r="RK1" s="7"/>
      <c r="RL1" s="7"/>
      <c r="RM1" s="7"/>
      <c r="RN1" s="7"/>
      <c r="RO1" s="7"/>
      <c r="RP1" s="7"/>
      <c r="RQ1" s="7"/>
      <c r="RR1" s="7"/>
      <c r="RS1" s="7"/>
      <c r="RT1" s="7"/>
      <c r="RU1" s="7"/>
      <c r="RV1" s="7"/>
      <c r="RW1" s="7"/>
      <c r="RX1" s="7"/>
      <c r="RY1" s="7"/>
      <c r="RZ1" s="7"/>
      <c r="SA1" s="7"/>
      <c r="SB1" s="7"/>
      <c r="SC1" s="7"/>
      <c r="SD1" s="7"/>
      <c r="SE1" s="7"/>
      <c r="SF1" s="7"/>
      <c r="SG1" s="7"/>
      <c r="SH1" s="7"/>
      <c r="SI1" s="7"/>
      <c r="SJ1" s="7"/>
      <c r="SK1" s="7"/>
      <c r="SL1" s="7"/>
      <c r="SM1" s="7"/>
      <c r="SN1" s="7"/>
      <c r="SO1" s="7"/>
      <c r="SP1" s="7"/>
      <c r="SQ1" s="7"/>
      <c r="SR1" s="7"/>
      <c r="SS1" s="7"/>
      <c r="ST1" s="7"/>
      <c r="SU1" s="7"/>
      <c r="SV1" s="7"/>
      <c r="SW1" s="7"/>
      <c r="SX1" s="7"/>
      <c r="SY1" s="7"/>
      <c r="SZ1" s="7"/>
      <c r="TA1" s="7"/>
      <c r="TB1" s="7"/>
      <c r="TC1" s="7"/>
      <c r="TD1" s="7"/>
      <c r="TE1" s="7"/>
      <c r="TF1" s="7"/>
      <c r="TG1" s="7"/>
      <c r="TH1" s="7"/>
      <c r="TI1" s="7"/>
      <c r="TJ1" s="7"/>
      <c r="TK1" s="7"/>
      <c r="TL1" s="7"/>
      <c r="TM1" s="7"/>
      <c r="TN1" s="7"/>
      <c r="TO1" s="7"/>
      <c r="TP1" s="7"/>
      <c r="TQ1" s="7"/>
      <c r="TR1" s="7"/>
      <c r="TS1" s="7"/>
      <c r="TT1" s="7"/>
      <c r="TU1" s="7"/>
      <c r="TV1" s="7"/>
      <c r="TW1" s="7"/>
      <c r="TX1" s="7"/>
      <c r="TY1" s="7"/>
      <c r="TZ1" s="7"/>
      <c r="UA1" s="7"/>
      <c r="UB1" s="7"/>
      <c r="UC1" s="7"/>
      <c r="UD1" s="7"/>
      <c r="UE1" s="7"/>
      <c r="UF1" s="7"/>
      <c r="UG1" s="7"/>
      <c r="UH1" s="7"/>
      <c r="UI1" s="7"/>
      <c r="UJ1" s="7"/>
      <c r="UK1" s="7"/>
      <c r="UL1" s="7"/>
      <c r="UM1" s="7"/>
      <c r="UN1" s="7"/>
      <c r="UO1" s="7"/>
      <c r="UP1" s="7"/>
      <c r="UQ1" s="7"/>
      <c r="UR1" s="7"/>
      <c r="US1" s="7"/>
      <c r="UT1" s="7"/>
      <c r="UU1" s="7"/>
      <c r="UV1" s="7"/>
      <c r="UW1" s="7"/>
      <c r="UX1" s="7"/>
      <c r="UY1" s="7"/>
      <c r="UZ1" s="7"/>
      <c r="VA1" s="7"/>
      <c r="VB1" s="7"/>
      <c r="VC1" s="7"/>
      <c r="VD1" s="7"/>
      <c r="VE1" s="7"/>
      <c r="VF1" s="7"/>
      <c r="VG1" s="7"/>
      <c r="VH1" s="7"/>
      <c r="VI1" s="7"/>
      <c r="VJ1" s="7"/>
      <c r="VK1" s="7"/>
      <c r="VL1" s="7"/>
      <c r="VM1" s="7"/>
      <c r="VN1" s="7"/>
      <c r="VO1" s="7"/>
      <c r="VP1" s="7"/>
      <c r="VQ1" s="7"/>
      <c r="VR1" s="7"/>
      <c r="VS1" s="7"/>
      <c r="VT1" s="7"/>
      <c r="VU1" s="7"/>
      <c r="VV1" s="7"/>
      <c r="VW1" s="7"/>
      <c r="VX1" s="7"/>
      <c r="VY1" s="7"/>
      <c r="VZ1" s="7"/>
      <c r="WA1" s="7"/>
      <c r="WB1" s="7"/>
      <c r="WC1" s="7"/>
      <c r="WD1" s="7"/>
      <c r="WE1" s="7"/>
      <c r="WF1" s="7"/>
      <c r="WG1" s="7"/>
      <c r="WH1" s="7"/>
      <c r="WI1" s="7"/>
      <c r="WJ1" s="7"/>
      <c r="WK1" s="7"/>
      <c r="WL1" s="7"/>
      <c r="WM1" s="7"/>
      <c r="WN1" s="7"/>
      <c r="WO1" s="7"/>
      <c r="WP1" s="7"/>
      <c r="WQ1" s="7"/>
      <c r="WR1" s="7"/>
      <c r="WS1" s="7"/>
      <c r="WT1" s="7"/>
      <c r="WU1" s="7"/>
      <c r="WV1" s="7"/>
      <c r="WW1" s="7"/>
      <c r="WX1" s="7"/>
      <c r="WY1" s="7"/>
      <c r="WZ1" s="7"/>
      <c r="XA1" s="7"/>
      <c r="XB1" s="7"/>
      <c r="XC1" s="7"/>
      <c r="XD1" s="7"/>
      <c r="XE1" s="7"/>
      <c r="XF1" s="7"/>
      <c r="XG1" s="7"/>
      <c r="XH1" s="7"/>
      <c r="XI1" s="7"/>
      <c r="XJ1" s="7"/>
      <c r="XK1" s="7"/>
      <c r="XL1" s="7"/>
      <c r="XM1" s="7"/>
      <c r="XN1" s="7"/>
      <c r="XO1" s="7"/>
      <c r="XP1" s="7"/>
      <c r="XQ1" s="7"/>
      <c r="XR1" s="7"/>
      <c r="XS1" s="7"/>
      <c r="XT1" s="7"/>
      <c r="XU1" s="7"/>
      <c r="XV1" s="7"/>
      <c r="XW1" s="7"/>
      <c r="XX1" s="7"/>
      <c r="XY1" s="7"/>
      <c r="XZ1" s="7"/>
      <c r="YA1" s="7"/>
      <c r="YB1" s="7"/>
      <c r="YC1" s="7"/>
      <c r="YD1" s="7"/>
      <c r="YE1" s="7"/>
      <c r="YF1" s="7"/>
      <c r="YG1" s="7"/>
      <c r="YH1" s="7"/>
      <c r="YI1" s="7"/>
      <c r="YJ1" s="7"/>
      <c r="YK1" s="7"/>
      <c r="YL1" s="7"/>
      <c r="YM1" s="7"/>
      <c r="YN1" s="7"/>
      <c r="YO1" s="7"/>
      <c r="YP1" s="7"/>
      <c r="YQ1" s="7"/>
      <c r="YR1" s="7"/>
      <c r="YS1" s="7"/>
      <c r="YT1" s="7"/>
      <c r="YU1" s="7"/>
      <c r="YV1" s="7"/>
      <c r="YW1" s="7"/>
      <c r="YX1" s="7"/>
      <c r="YY1" s="7"/>
      <c r="YZ1" s="7"/>
      <c r="ZA1" s="7"/>
      <c r="ZB1" s="7"/>
      <c r="ZC1" s="7"/>
      <c r="ZD1" s="7"/>
      <c r="ZE1" s="7"/>
      <c r="ZF1" s="7"/>
      <c r="ZG1" s="7"/>
      <c r="ZH1" s="7"/>
      <c r="ZI1" s="7"/>
      <c r="ZJ1" s="7"/>
      <c r="ZK1" s="7"/>
      <c r="ZL1" s="7"/>
      <c r="ZM1" s="7"/>
      <c r="ZN1" s="7"/>
      <c r="ZO1" s="7"/>
      <c r="ZP1" s="7"/>
      <c r="ZQ1" s="7"/>
      <c r="ZR1" s="7"/>
      <c r="ZS1" s="7"/>
      <c r="ZT1" s="7"/>
      <c r="ZU1" s="7"/>
      <c r="ZV1" s="7"/>
      <c r="ZW1" s="7"/>
      <c r="ZX1" s="7"/>
      <c r="ZY1" s="7"/>
      <c r="ZZ1" s="7"/>
      <c r="AAA1" s="7"/>
      <c r="AAB1" s="7"/>
      <c r="AAC1" s="7"/>
      <c r="AAD1" s="7"/>
      <c r="AAE1" s="7"/>
      <c r="AAF1" s="7"/>
      <c r="AAG1" s="7"/>
      <c r="AAH1" s="7"/>
      <c r="AAI1" s="7"/>
      <c r="AAJ1" s="7"/>
      <c r="AAK1" s="7"/>
      <c r="AAL1" s="7"/>
      <c r="AAM1" s="7"/>
      <c r="AAN1" s="7"/>
      <c r="AAO1" s="7"/>
      <c r="AAP1" s="7"/>
      <c r="AAQ1" s="7"/>
      <c r="AAR1" s="7"/>
      <c r="AAS1" s="7"/>
      <c r="AAT1" s="7"/>
      <c r="AAU1" s="7"/>
      <c r="AAV1" s="7"/>
      <c r="AAW1" s="7"/>
      <c r="AAX1" s="7"/>
      <c r="AAY1" s="7"/>
      <c r="AAZ1" s="7"/>
      <c r="ABA1" s="7"/>
      <c r="ABB1" s="7"/>
      <c r="ABC1" s="7"/>
      <c r="ABD1" s="7"/>
      <c r="ABE1" s="7"/>
      <c r="ABF1" s="7"/>
      <c r="ABG1" s="7"/>
      <c r="ABH1" s="7"/>
      <c r="ABI1" s="7"/>
      <c r="ABJ1" s="7"/>
      <c r="ABK1" s="7"/>
      <c r="ABL1" s="7"/>
      <c r="ABM1" s="7"/>
      <c r="ABN1" s="7"/>
      <c r="ABO1" s="7"/>
      <c r="ABP1" s="7"/>
      <c r="ABQ1" s="7"/>
      <c r="ABR1" s="7"/>
      <c r="ABS1" s="7"/>
      <c r="ABT1" s="7"/>
      <c r="ABU1" s="7"/>
      <c r="ABV1" s="7"/>
      <c r="ABW1" s="7"/>
      <c r="ABX1" s="7"/>
      <c r="ABY1" s="7"/>
      <c r="ABZ1" s="7"/>
      <c r="ACA1" s="7"/>
      <c r="ACB1" s="7"/>
      <c r="ACC1" s="7"/>
      <c r="ACD1" s="7"/>
      <c r="ACE1" s="7"/>
      <c r="ACF1" s="7"/>
      <c r="ACG1" s="7"/>
      <c r="ACH1" s="7"/>
      <c r="ACI1" s="7"/>
      <c r="ACJ1" s="7"/>
      <c r="ACK1" s="7"/>
      <c r="ACL1" s="7"/>
      <c r="ACM1" s="7"/>
      <c r="ACN1" s="7"/>
      <c r="ACO1" s="7"/>
      <c r="ACP1" s="7"/>
      <c r="ACQ1" s="7"/>
      <c r="ACR1" s="7"/>
      <c r="ACS1" s="7"/>
      <c r="ACT1" s="7"/>
      <c r="ACU1" s="7"/>
      <c r="ACV1" s="7"/>
      <c r="ACW1" s="7"/>
      <c r="ACX1" s="7"/>
      <c r="ACY1" s="7"/>
      <c r="ACZ1" s="7"/>
      <c r="ADA1" s="7"/>
      <c r="ADB1" s="7"/>
      <c r="ADC1" s="7"/>
      <c r="ADD1" s="7"/>
      <c r="ADE1" s="7"/>
      <c r="ADF1" s="7"/>
      <c r="ADG1" s="7"/>
      <c r="ADH1" s="7"/>
      <c r="ADI1" s="7"/>
      <c r="ADJ1" s="7"/>
      <c r="ADK1" s="7"/>
      <c r="ADL1" s="7"/>
      <c r="ADM1" s="7"/>
      <c r="ADN1" s="7"/>
      <c r="ADO1" s="7"/>
      <c r="ADP1" s="7"/>
      <c r="ADQ1" s="7"/>
      <c r="ADR1" s="7"/>
      <c r="ADS1" s="7"/>
      <c r="ADT1" s="7"/>
      <c r="ADU1" s="7"/>
      <c r="ADV1" s="7"/>
      <c r="ADW1" s="7"/>
      <c r="ADX1" s="7"/>
      <c r="ADY1" s="7"/>
      <c r="ADZ1" s="7"/>
      <c r="AEA1" s="7"/>
      <c r="AEB1" s="7"/>
      <c r="AEC1" s="7"/>
      <c r="AED1" s="7"/>
      <c r="AEE1" s="7"/>
      <c r="AEF1" s="7"/>
      <c r="AEG1" s="7"/>
      <c r="AEH1" s="7"/>
      <c r="AEI1" s="7"/>
      <c r="AEJ1" s="7"/>
      <c r="AEK1" s="7"/>
      <c r="AEL1" s="7"/>
      <c r="AEM1" s="7"/>
      <c r="AEN1" s="7"/>
      <c r="AEO1" s="7"/>
      <c r="AEP1" s="7"/>
      <c r="AEQ1" s="7"/>
      <c r="AER1" s="7"/>
      <c r="AES1" s="7"/>
      <c r="AET1" s="7"/>
      <c r="AEU1" s="7"/>
      <c r="AEV1" s="7"/>
      <c r="AEW1" s="7"/>
      <c r="AEX1" s="7"/>
      <c r="AEY1" s="7"/>
      <c r="AEZ1" s="7"/>
      <c r="AFA1" s="7"/>
      <c r="AFB1" s="7"/>
      <c r="AFC1" s="7"/>
      <c r="AFD1" s="7"/>
      <c r="AFE1" s="7"/>
      <c r="AFF1" s="7"/>
      <c r="AFG1" s="7"/>
      <c r="AFH1" s="7"/>
      <c r="AFI1" s="7"/>
      <c r="AFJ1" s="7"/>
      <c r="AFK1" s="7"/>
      <c r="AFL1" s="7"/>
      <c r="AFM1" s="7"/>
      <c r="AFN1" s="7"/>
      <c r="AFO1" s="7"/>
      <c r="AFP1" s="7"/>
      <c r="AFQ1" s="7"/>
      <c r="AFR1" s="7"/>
      <c r="AFS1" s="7"/>
      <c r="AFT1" s="7"/>
      <c r="AFU1" s="7"/>
      <c r="AFV1" s="7"/>
      <c r="AFW1" s="7"/>
      <c r="AFX1" s="7"/>
      <c r="AFY1" s="7"/>
      <c r="AFZ1" s="7"/>
      <c r="AGA1" s="7"/>
      <c r="AGB1" s="7"/>
      <c r="AGC1" s="7"/>
      <c r="AGD1" s="7"/>
      <c r="AGE1" s="7"/>
      <c r="AGF1" s="7"/>
      <c r="AGG1" s="7"/>
      <c r="AGH1" s="7"/>
      <c r="AGI1" s="7"/>
      <c r="AGJ1" s="7"/>
      <c r="AGK1" s="7"/>
      <c r="AGL1" s="7"/>
      <c r="AGM1" s="7"/>
      <c r="AGN1" s="7"/>
      <c r="AGO1" s="7"/>
      <c r="AGP1" s="7"/>
      <c r="AGQ1" s="7"/>
      <c r="AGR1" s="7"/>
      <c r="AGS1" s="7"/>
      <c r="AGT1" s="7"/>
      <c r="AGU1" s="7"/>
      <c r="AGV1" s="7"/>
      <c r="AGW1" s="7"/>
      <c r="AGX1" s="7"/>
      <c r="AGY1" s="7"/>
      <c r="AGZ1" s="7"/>
      <c r="AHA1" s="7"/>
      <c r="AHB1" s="7"/>
      <c r="AHC1" s="7"/>
      <c r="AHD1" s="7"/>
      <c r="AHE1" s="7"/>
      <c r="AHF1" s="7"/>
      <c r="AHG1" s="7"/>
      <c r="AHH1" s="7"/>
      <c r="AHI1" s="7"/>
      <c r="AHJ1" s="7"/>
      <c r="AHK1" s="7"/>
      <c r="AHL1" s="7"/>
      <c r="AHM1" s="7"/>
      <c r="AHN1" s="7"/>
      <c r="AHO1" s="7"/>
      <c r="AHP1" s="7"/>
      <c r="AHQ1" s="7"/>
      <c r="AHR1" s="7"/>
      <c r="AHS1" s="7"/>
      <c r="AHT1" s="7"/>
      <c r="AHU1" s="7"/>
      <c r="AHV1" s="7"/>
      <c r="AHW1" s="7"/>
      <c r="AHX1" s="7"/>
      <c r="AHY1" s="7"/>
      <c r="AHZ1" s="7"/>
      <c r="AIA1" s="7"/>
      <c r="AIB1" s="7"/>
      <c r="AIC1" s="7"/>
      <c r="AID1" s="7"/>
      <c r="AIE1" s="7"/>
      <c r="AIF1" s="7"/>
      <c r="AIG1" s="7"/>
      <c r="AIH1" s="7"/>
      <c r="AII1" s="7"/>
      <c r="AIJ1" s="7"/>
      <c r="AIK1" s="7"/>
      <c r="AIL1" s="7"/>
      <c r="AIM1" s="7"/>
      <c r="AIN1" s="7"/>
      <c r="AIO1" s="7"/>
      <c r="AIP1" s="7"/>
      <c r="AIQ1" s="7"/>
      <c r="AIR1" s="7"/>
      <c r="AIS1" s="7"/>
      <c r="AIT1" s="7"/>
      <c r="AIU1" s="7"/>
      <c r="AIV1" s="7"/>
      <c r="AIW1" s="7"/>
      <c r="AIX1" s="7"/>
      <c r="AIY1" s="7"/>
      <c r="AIZ1" s="7"/>
      <c r="AJA1" s="7"/>
      <c r="AJB1" s="7"/>
      <c r="AJC1" s="7"/>
      <c r="AJD1" s="7"/>
      <c r="AJE1" s="7"/>
      <c r="AJF1" s="7"/>
      <c r="AJG1" s="7"/>
      <c r="AJH1" s="7"/>
      <c r="AJI1" s="7"/>
      <c r="AJJ1" s="7"/>
      <c r="AJK1" s="7"/>
      <c r="AJL1" s="7"/>
      <c r="AJM1" s="7"/>
      <c r="AJN1" s="7"/>
      <c r="AJO1" s="7"/>
      <c r="AJP1" s="7"/>
      <c r="AJQ1" s="7"/>
      <c r="AJR1" s="7"/>
      <c r="AJS1" s="7"/>
      <c r="AJT1" s="7"/>
      <c r="AJU1" s="7"/>
      <c r="AJV1" s="7"/>
      <c r="AJW1" s="7"/>
      <c r="AJX1" s="7"/>
      <c r="AJY1" s="7"/>
      <c r="AJZ1" s="7"/>
      <c r="AKA1" s="7"/>
      <c r="AKB1" s="7"/>
      <c r="AKC1" s="7"/>
      <c r="AKD1" s="7"/>
      <c r="AKE1" s="7"/>
      <c r="AKF1" s="7"/>
      <c r="AKG1" s="7"/>
      <c r="AKH1" s="7"/>
      <c r="AKI1" s="7"/>
      <c r="AKJ1" s="7"/>
      <c r="AKK1" s="7"/>
      <c r="AKL1" s="7"/>
      <c r="AKM1" s="7"/>
      <c r="AKN1" s="7"/>
      <c r="AKO1" s="7"/>
      <c r="AKP1" s="7"/>
      <c r="AKQ1" s="7"/>
      <c r="AKR1" s="7"/>
      <c r="AKS1" s="7"/>
      <c r="AKT1" s="7"/>
      <c r="AKU1" s="7"/>
      <c r="AKV1" s="7"/>
      <c r="AKW1" s="7"/>
      <c r="AKX1" s="7"/>
      <c r="AKY1" s="7"/>
      <c r="AKZ1" s="7"/>
      <c r="ALA1" s="7"/>
      <c r="ALB1" s="7"/>
      <c r="ALC1" s="7"/>
      <c r="ALD1" s="7"/>
      <c r="ALE1" s="7"/>
      <c r="ALF1" s="7"/>
      <c r="ALG1" s="7"/>
      <c r="ALH1" s="7"/>
      <c r="ALI1" s="7"/>
      <c r="ALJ1" s="7"/>
      <c r="ALK1" s="7"/>
      <c r="ALL1" s="7"/>
      <c r="ALM1" s="7"/>
      <c r="ALN1" s="7"/>
      <c r="ALO1" s="7"/>
      <c r="ALP1" s="7"/>
      <c r="ALQ1" s="7"/>
      <c r="ALR1" s="7"/>
      <c r="ALS1" s="7"/>
      <c r="ALT1" s="7"/>
      <c r="ALU1" s="7"/>
      <c r="ALV1" s="7"/>
      <c r="ALW1" s="7"/>
      <c r="ALX1" s="7"/>
      <c r="ALY1" s="7"/>
      <c r="ALZ1" s="7"/>
      <c r="AMA1" s="7"/>
      <c r="AMB1" s="7"/>
      <c r="AMC1" s="7"/>
      <c r="AMD1" s="7"/>
      <c r="AME1" s="7"/>
      <c r="AMF1" s="7"/>
      <c r="AMG1" s="7"/>
      <c r="AMH1" s="7"/>
      <c r="AMI1" s="7"/>
      <c r="AMJ1" s="7"/>
    </row>
    <row r="2" customFormat="false" ht="15.8" hidden="false" customHeight="false" outlineLevel="0" collapsed="false"/>
    <row r="3" customFormat="false" ht="17" hidden="false" customHeight="false" outlineLevel="0" collapsed="false">
      <c r="A3" s="10" t="s">
        <v>118</v>
      </c>
      <c r="B3" s="9" t="s">
        <v>119</v>
      </c>
      <c r="C3" s="9"/>
      <c r="D3" s="9"/>
    </row>
    <row r="4" customFormat="false" ht="15.8" hidden="false" customHeight="false" outlineLevel="0" collapsed="false">
      <c r="A4" s="9" t="s">
        <v>27</v>
      </c>
      <c r="B4" s="82" t="n">
        <v>45820</v>
      </c>
      <c r="C4" s="9"/>
      <c r="L4" s="83"/>
    </row>
    <row r="5" customFormat="false" ht="15.8" hidden="false" customHeight="false" outlineLevel="0" collapsed="false">
      <c r="A5" s="9" t="s">
        <v>28</v>
      </c>
      <c r="B5" s="84" t="s">
        <v>29</v>
      </c>
      <c r="C5" s="9"/>
      <c r="L5" s="85"/>
    </row>
    <row r="6" customFormat="false" ht="15.8" hidden="false" customHeight="false" outlineLevel="0" collapsed="false">
      <c r="A6" s="9" t="s">
        <v>21</v>
      </c>
      <c r="B6" s="86" t="s">
        <v>22</v>
      </c>
      <c r="C6" s="17"/>
      <c r="L6" s="80"/>
    </row>
    <row r="7" customFormat="false" ht="15.8" hidden="false" customHeight="false" outlineLevel="0" collapsed="false">
      <c r="A7" s="9" t="s">
        <v>23</v>
      </c>
      <c r="B7" s="87" t="s">
        <v>24</v>
      </c>
      <c r="C7" s="9"/>
      <c r="L7" s="80"/>
    </row>
    <row r="8" customFormat="false" ht="15.8" hidden="false" customHeight="false" outlineLevel="0" collapsed="false">
      <c r="A8" s="9" t="s">
        <v>25</v>
      </c>
      <c r="B8" s="86" t="s">
        <v>22</v>
      </c>
      <c r="C8" s="9"/>
      <c r="L8" s="80"/>
    </row>
    <row r="9" customFormat="false" ht="15.8" hidden="false" customHeight="false" outlineLevel="0" collapsed="false">
      <c r="A9" s="9" t="s">
        <v>26</v>
      </c>
      <c r="B9" s="87" t="s">
        <v>24</v>
      </c>
      <c r="C9" s="9"/>
      <c r="L9" s="83"/>
    </row>
    <row r="10" customFormat="false" ht="15.8" hidden="false" customHeight="false" outlineLevel="0" collapsed="false">
      <c r="A10" s="17" t="s">
        <v>120</v>
      </c>
      <c r="B10" s="87" t="s">
        <v>121</v>
      </c>
      <c r="C10" s="9"/>
      <c r="L10" s="80"/>
    </row>
    <row r="11" customFormat="false" ht="15.8" hidden="false" customHeight="false" outlineLevel="0" collapsed="false">
      <c r="B11" s="88"/>
    </row>
    <row r="12" customFormat="false" ht="15.8" hidden="false" customHeight="false" outlineLevel="0" collapsed="false">
      <c r="A12" s="9" t="s">
        <v>30</v>
      </c>
      <c r="B12" s="86" t="n">
        <v>36</v>
      </c>
      <c r="C12" s="9"/>
      <c r="L12" s="80"/>
    </row>
    <row r="13" customFormat="false" ht="15.8" hidden="true" customHeight="false" outlineLevel="0" collapsed="false">
      <c r="B13" s="88"/>
      <c r="L13" s="80"/>
    </row>
    <row r="14" customFormat="false" ht="15.8" hidden="false" customHeight="false" outlineLevel="0" collapsed="false">
      <c r="A14" s="0" t="s">
        <v>122</v>
      </c>
      <c r="B14" s="88" t="n">
        <f aca="false">B12*1.5</f>
        <v>54</v>
      </c>
    </row>
    <row r="15" customFormat="false" ht="15.8" hidden="false" customHeight="false" outlineLevel="0" collapsed="false">
      <c r="A15" s="0" t="s">
        <v>123</v>
      </c>
      <c r="B15" s="88" t="n">
        <v>6000</v>
      </c>
    </row>
    <row r="16" customFormat="false" ht="15.8" hidden="false" customHeight="false" outlineLevel="0" collapsed="false">
      <c r="A16" s="0" t="s">
        <v>124</v>
      </c>
      <c r="B16" s="89" t="n">
        <f aca="false">10^((LOG(B15)-LOG(B14))/27)</f>
        <v>1.19060799886319</v>
      </c>
    </row>
    <row r="17" customFormat="false" ht="15.8" hidden="false" customHeight="false" outlineLevel="0" collapsed="false"/>
    <row r="18" customFormat="false" ht="15.8" hidden="false" customHeight="false" outlineLevel="0" collapsed="false">
      <c r="D18" s="80" t="s">
        <v>125</v>
      </c>
      <c r="E18" s="80" t="s">
        <v>126</v>
      </c>
      <c r="F18" s="80" t="s">
        <v>127</v>
      </c>
      <c r="G18" s="80" t="s">
        <v>128</v>
      </c>
    </row>
    <row r="19" customFormat="false" ht="15.8" hidden="false" customHeight="false" outlineLevel="0" collapsed="false">
      <c r="A19" s="0" t="s">
        <v>129</v>
      </c>
      <c r="C19" s="0" t="s">
        <v>130</v>
      </c>
      <c r="D19" s="0" t="n">
        <v>0</v>
      </c>
      <c r="E19" s="37" t="n">
        <f aca="false">B12*1.5</f>
        <v>54</v>
      </c>
      <c r="F19" s="0" t="n">
        <f aca="false">INT(E19)</f>
        <v>54</v>
      </c>
      <c r="G19" s="37" t="n">
        <f aca="false">G20*B$16</f>
        <v>6000.00000000001</v>
      </c>
    </row>
    <row r="20" customFormat="false" ht="15.8" hidden="false" customHeight="false" outlineLevel="0" collapsed="false">
      <c r="D20" s="0" t="n">
        <v>1</v>
      </c>
      <c r="E20" s="37" t="n">
        <f aca="false">E19*B$16</f>
        <v>64.2928319386125</v>
      </c>
      <c r="F20" s="0" t="n">
        <f aca="false">INT(E20)</f>
        <v>64</v>
      </c>
      <c r="G20" s="37" t="n">
        <f aca="false">G21*B$16</f>
        <v>5039.44203778983</v>
      </c>
    </row>
    <row r="21" customFormat="false" ht="15.8" hidden="false" customHeight="false" outlineLevel="0" collapsed="false">
      <c r="D21" s="0" t="n">
        <v>2</v>
      </c>
      <c r="E21" s="37" t="n">
        <f aca="false">E20*B$16</f>
        <v>76.5475599756791</v>
      </c>
      <c r="F21" s="0" t="n">
        <f aca="false">INT(E21)</f>
        <v>76</v>
      </c>
      <c r="G21" s="37" t="n">
        <f aca="false">G22*B$16</f>
        <v>4232.66267537388</v>
      </c>
    </row>
    <row r="22" customFormat="false" ht="15.8" hidden="false" customHeight="false" outlineLevel="0" collapsed="false">
      <c r="D22" s="0" t="n">
        <v>3</v>
      </c>
      <c r="E22" s="37" t="n">
        <f aca="false">E21*B$16</f>
        <v>91.1381372005036</v>
      </c>
      <c r="F22" s="0" t="n">
        <f aca="false">INT(E22)</f>
        <v>91</v>
      </c>
      <c r="G22" s="37" t="n">
        <f aca="false">G23*B$16</f>
        <v>3555.04303634384</v>
      </c>
    </row>
    <row r="23" customFormat="false" ht="15.8" hidden="false" customHeight="false" outlineLevel="0" collapsed="false">
      <c r="D23" s="0" t="n">
        <v>4</v>
      </c>
      <c r="E23" s="37" t="n">
        <f aca="false">E22*B$16</f>
        <v>108.509795152411</v>
      </c>
      <c r="F23" s="0" t="n">
        <f aca="false">INT(E23)</f>
        <v>108</v>
      </c>
      <c r="G23" s="37" t="n">
        <f aca="false">G24*B$16</f>
        <v>2985.90555391719</v>
      </c>
    </row>
    <row r="24" customFormat="false" ht="15.8" hidden="false" customHeight="false" outlineLevel="0" collapsed="false">
      <c r="D24" s="0" t="n">
        <v>5</v>
      </c>
      <c r="E24" s="37" t="n">
        <f aca="false">E23*B$16</f>
        <v>129.192630063467</v>
      </c>
      <c r="F24" s="0" t="n">
        <f aca="false">INT(E24)</f>
        <v>129</v>
      </c>
      <c r="G24" s="37" t="n">
        <f aca="false">G25*B$16</f>
        <v>2507.88299488007</v>
      </c>
    </row>
    <row r="25" customFormat="false" ht="15.8" hidden="false" customHeight="false" outlineLevel="0" collapsed="false">
      <c r="D25" s="0" t="n">
        <v>6</v>
      </c>
      <c r="E25" s="37" t="n">
        <f aca="false">E24*B$16</f>
        <v>153.817778747738</v>
      </c>
      <c r="F25" s="0" t="n">
        <f aca="false">INT(E25)</f>
        <v>153</v>
      </c>
      <c r="G25" s="37" t="n">
        <f aca="false">G26*B$16</f>
        <v>2106.38849837614</v>
      </c>
    </row>
    <row r="26" customFormat="false" ht="15.8" hidden="false" customHeight="false" outlineLevel="0" collapsed="false">
      <c r="D26" s="0" t="n">
        <v>7</v>
      </c>
      <c r="E26" s="37" t="n">
        <f aca="false">E25*B$16</f>
        <v>183.136677744425</v>
      </c>
      <c r="F26" s="0" t="n">
        <f aca="false">INT(E26)</f>
        <v>183</v>
      </c>
      <c r="G26" s="37" t="n">
        <f aca="false">G27*B$16</f>
        <v>1769.17045777228</v>
      </c>
    </row>
    <row r="27" customFormat="false" ht="15.8" hidden="false" customHeight="false" outlineLevel="0" collapsed="false">
      <c r="D27" s="0" t="n">
        <v>8</v>
      </c>
      <c r="E27" s="37" t="n">
        <f aca="false">E26*B$16</f>
        <v>218.043993407744</v>
      </c>
      <c r="F27" s="0" t="n">
        <f aca="false">INT(E27)</f>
        <v>218</v>
      </c>
      <c r="G27" s="37" t="n">
        <f aca="false">G28*B$16</f>
        <v>1485.93866281892</v>
      </c>
    </row>
    <row r="28" customFormat="false" ht="15.8" hidden="false" customHeight="false" outlineLevel="0" collapsed="false">
      <c r="D28" s="0" t="n">
        <v>9</v>
      </c>
      <c r="E28" s="37" t="n">
        <f aca="false">E27*B$16</f>
        <v>259.604922655334</v>
      </c>
      <c r="F28" s="0" t="n">
        <f aca="false">INT(E28)</f>
        <v>259</v>
      </c>
      <c r="G28" s="37" t="n">
        <f aca="false">G29*B$16</f>
        <v>1248.05029383114</v>
      </c>
    </row>
    <row r="29" customFormat="false" ht="15.8" hidden="false" customHeight="false" outlineLevel="0" collapsed="false">
      <c r="D29" s="0" t="n">
        <v>10</v>
      </c>
      <c r="E29" s="37" t="n">
        <f aca="false">E28*B$16</f>
        <v>309.087697457701</v>
      </c>
      <c r="F29" s="0" t="n">
        <f aca="false">INT(E29)</f>
        <v>309</v>
      </c>
      <c r="G29" s="37" t="n">
        <f aca="false">G30*B$16</f>
        <v>1048.24618600143</v>
      </c>
    </row>
    <row r="30" customFormat="false" ht="15.8" hidden="false" customHeight="false" outlineLevel="0" collapsed="false">
      <c r="D30" s="0" t="n">
        <v>11</v>
      </c>
      <c r="E30" s="37" t="n">
        <f aca="false">E29*B$16</f>
        <v>368.002284943346</v>
      </c>
      <c r="F30" s="0" t="n">
        <f aca="false">INT(E30)</f>
        <v>368</v>
      </c>
      <c r="G30" s="37" t="n">
        <f aca="false">G31*B$16</f>
        <v>880.429315948079</v>
      </c>
    </row>
    <row r="31" customFormat="false" ht="15.8" hidden="false" customHeight="false" outlineLevel="0" collapsed="false">
      <c r="D31" s="0" t="n">
        <v>12</v>
      </c>
      <c r="E31" s="37" t="n">
        <f aca="false">E30*B$16</f>
        <v>438.14646405348</v>
      </c>
      <c r="F31" s="0" t="n">
        <f aca="false">INT(E31)</f>
        <v>438</v>
      </c>
      <c r="G31" s="37" t="n">
        <f aca="false">G32*B$16</f>
        <v>739.478751015215</v>
      </c>
    </row>
    <row r="32" customFormat="false" ht="15.8" hidden="false" customHeight="false" outlineLevel="0" collapsed="false">
      <c r="D32" s="0" t="n">
        <v>13</v>
      </c>
      <c r="E32" s="37" t="n">
        <f aca="false">E31*B$16</f>
        <v>521.660684775698</v>
      </c>
      <c r="F32" s="0" t="n">
        <f aca="false">INT(E32)</f>
        <v>521</v>
      </c>
      <c r="G32" s="37" t="n">
        <f aca="false">G33*B$16</f>
        <v>621.093383986398</v>
      </c>
    </row>
    <row r="33" customFormat="false" ht="15.8" hidden="false" customHeight="false" outlineLevel="0" collapsed="false">
      <c r="D33" s="0" t="n">
        <v>14</v>
      </c>
      <c r="E33" s="37" t="n">
        <f aca="false">E32*B$16</f>
        <v>621.093383986398</v>
      </c>
      <c r="F33" s="0" t="n">
        <f aca="false">INT(E33)</f>
        <v>621</v>
      </c>
      <c r="G33" s="37" t="n">
        <f aca="false">G34*B$16</f>
        <v>521.660684775698</v>
      </c>
    </row>
    <row r="34" customFormat="false" ht="15.8" hidden="false" customHeight="false" outlineLevel="0" collapsed="false">
      <c r="D34" s="0" t="n">
        <v>15</v>
      </c>
      <c r="E34" s="37" t="n">
        <f aca="false">E33*B$16</f>
        <v>739.478751015215</v>
      </c>
      <c r="F34" s="0" t="n">
        <f aca="false">INT(E34)</f>
        <v>739</v>
      </c>
      <c r="G34" s="37" t="n">
        <f aca="false">G35*B$16</f>
        <v>438.14646405348</v>
      </c>
    </row>
    <row r="35" customFormat="false" ht="15.8" hidden="false" customHeight="false" outlineLevel="0" collapsed="false">
      <c r="D35" s="0" t="n">
        <v>16</v>
      </c>
      <c r="E35" s="37" t="n">
        <f aca="false">E34*B$16</f>
        <v>880.429315948079</v>
      </c>
      <c r="F35" s="0" t="n">
        <f aca="false">INT(E35)</f>
        <v>880</v>
      </c>
      <c r="G35" s="37" t="n">
        <f aca="false">G36*B$16</f>
        <v>368.002284943346</v>
      </c>
    </row>
    <row r="36" customFormat="false" ht="15.8" hidden="false" customHeight="false" outlineLevel="0" collapsed="false">
      <c r="D36" s="0" t="n">
        <v>17</v>
      </c>
      <c r="E36" s="37" t="n">
        <f aca="false">E35*B$16</f>
        <v>1048.24618600143</v>
      </c>
      <c r="F36" s="0" t="n">
        <f aca="false">INT(E36)</f>
        <v>1048</v>
      </c>
      <c r="G36" s="37" t="n">
        <f aca="false">G37*B$16</f>
        <v>309.087697457701</v>
      </c>
    </row>
    <row r="37" customFormat="false" ht="15.8" hidden="false" customHeight="false" outlineLevel="0" collapsed="false">
      <c r="D37" s="0" t="n">
        <v>18</v>
      </c>
      <c r="E37" s="37" t="n">
        <f aca="false">E36*B$16</f>
        <v>1248.05029383114</v>
      </c>
      <c r="F37" s="0" t="n">
        <f aca="false">INT(E37)</f>
        <v>1248</v>
      </c>
      <c r="G37" s="37" t="n">
        <f aca="false">G38*B$16</f>
        <v>259.604922655334</v>
      </c>
    </row>
    <row r="38" customFormat="false" ht="15.8" hidden="false" customHeight="false" outlineLevel="0" collapsed="false">
      <c r="D38" s="0" t="n">
        <v>19</v>
      </c>
      <c r="E38" s="37" t="n">
        <f aca="false">E37*B$16</f>
        <v>1485.93866281892</v>
      </c>
      <c r="F38" s="0" t="n">
        <f aca="false">INT(E38)</f>
        <v>1485</v>
      </c>
      <c r="G38" s="37" t="n">
        <f aca="false">G39*B$16</f>
        <v>218.043993407744</v>
      </c>
    </row>
    <row r="39" customFormat="false" ht="15.8" hidden="false" customHeight="false" outlineLevel="0" collapsed="false">
      <c r="D39" s="0" t="n">
        <v>20</v>
      </c>
      <c r="E39" s="37" t="n">
        <f aca="false">E38*B$16</f>
        <v>1769.17045777228</v>
      </c>
      <c r="F39" s="0" t="n">
        <f aca="false">INT(E39)</f>
        <v>1769</v>
      </c>
      <c r="G39" s="37" t="n">
        <f aca="false">G40*B$16</f>
        <v>183.136677744425</v>
      </c>
    </row>
    <row r="40" customFormat="false" ht="15.8" hidden="false" customHeight="false" outlineLevel="0" collapsed="false">
      <c r="D40" s="0" t="n">
        <v>21</v>
      </c>
      <c r="E40" s="37" t="n">
        <f aca="false">E39*B$16</f>
        <v>2106.38849837614</v>
      </c>
      <c r="F40" s="0" t="n">
        <f aca="false">INT(E40)</f>
        <v>2106</v>
      </c>
      <c r="G40" s="37" t="n">
        <f aca="false">G41*B$16</f>
        <v>153.817778747738</v>
      </c>
    </row>
    <row r="41" customFormat="false" ht="15.8" hidden="false" customHeight="false" outlineLevel="0" collapsed="false">
      <c r="D41" s="0" t="n">
        <v>22</v>
      </c>
      <c r="E41" s="37" t="n">
        <f aca="false">E40*B$16</f>
        <v>2507.88299488007</v>
      </c>
      <c r="F41" s="0" t="n">
        <f aca="false">INT(E41)</f>
        <v>2507</v>
      </c>
      <c r="G41" s="37" t="n">
        <f aca="false">G42*B$16</f>
        <v>129.192630063467</v>
      </c>
    </row>
    <row r="42" customFormat="false" ht="15.8" hidden="false" customHeight="false" outlineLevel="0" collapsed="false">
      <c r="D42" s="0" t="n">
        <v>23</v>
      </c>
      <c r="E42" s="37" t="n">
        <f aca="false">E41*B$16</f>
        <v>2985.90555391719</v>
      </c>
      <c r="F42" s="0" t="n">
        <f aca="false">INT(E42)</f>
        <v>2985</v>
      </c>
      <c r="G42" s="37" t="n">
        <f aca="false">G43*B$16</f>
        <v>108.509795152411</v>
      </c>
    </row>
    <row r="43" customFormat="false" ht="15.8" hidden="false" customHeight="false" outlineLevel="0" collapsed="false">
      <c r="D43" s="0" t="n">
        <v>24</v>
      </c>
      <c r="E43" s="37" t="n">
        <f aca="false">E42*B$16</f>
        <v>3555.04303634384</v>
      </c>
      <c r="F43" s="0" t="n">
        <f aca="false">INT(E43)</f>
        <v>3555</v>
      </c>
      <c r="G43" s="37" t="n">
        <f aca="false">G44*B$16</f>
        <v>91.1381372005036</v>
      </c>
    </row>
    <row r="44" customFormat="false" ht="15.8" hidden="false" customHeight="false" outlineLevel="0" collapsed="false">
      <c r="D44" s="0" t="n">
        <v>25</v>
      </c>
      <c r="E44" s="37" t="n">
        <f aca="false">E43*B$16</f>
        <v>4232.66267537388</v>
      </c>
      <c r="F44" s="0" t="n">
        <f aca="false">INT(E44)</f>
        <v>4232</v>
      </c>
      <c r="G44" s="37" t="n">
        <f aca="false">G45*B$16</f>
        <v>76.5475599756791</v>
      </c>
    </row>
    <row r="45" customFormat="false" ht="15.8" hidden="false" customHeight="false" outlineLevel="0" collapsed="false">
      <c r="D45" s="0" t="n">
        <v>26</v>
      </c>
      <c r="E45" s="37" t="n">
        <f aca="false">E44*B$16</f>
        <v>5039.44203778983</v>
      </c>
      <c r="F45" s="0" t="n">
        <f aca="false">INT(E45)</f>
        <v>5039</v>
      </c>
      <c r="G45" s="37" t="n">
        <f aca="false">G46*B$16</f>
        <v>64.2928319386125</v>
      </c>
    </row>
    <row r="46" customFormat="false" ht="15.8" hidden="false" customHeight="false" outlineLevel="0" collapsed="false">
      <c r="B46" s="0" t="s">
        <v>131</v>
      </c>
      <c r="D46" s="0" t="n">
        <v>27</v>
      </c>
      <c r="E46" s="37" t="n">
        <f aca="false">E45*B$16</f>
        <v>6000.00000000001</v>
      </c>
      <c r="F46" s="0" t="n">
        <f aca="false">INT(E46)</f>
        <v>6000</v>
      </c>
      <c r="G46" s="37" t="n">
        <f aca="false">B12*1.5</f>
        <v>54</v>
      </c>
    </row>
    <row r="47" customFormat="false" ht="15.8" hidden="false" customHeight="false" outlineLevel="0" collapsed="false">
      <c r="E47" s="37"/>
    </row>
    <row r="48" customFormat="false" ht="15.8" hidden="false" customHeight="false" outlineLevel="0" collapsed="false">
      <c r="C48" s="38" t="n">
        <v>54</v>
      </c>
      <c r="D48" s="38" t="n">
        <v>63.8601474584642</v>
      </c>
      <c r="E48" s="38" t="n">
        <v>75.5207117299405</v>
      </c>
      <c r="F48" s="38" t="n">
        <v>89.3104405044846</v>
      </c>
      <c r="G48" s="38" t="n">
        <v>105.618109262903</v>
      </c>
      <c r="H48" s="38" t="n">
        <v>124.903482070615</v>
      </c>
      <c r="I48" s="38" t="n">
        <v>147.710273761205</v>
      </c>
      <c r="J48" s="38" t="n">
        <v>174.681478954087</v>
      </c>
      <c r="K48" s="38" t="n">
        <v>206.577500079085</v>
      </c>
      <c r="L48" s="38" t="n">
        <v>244.297585493542</v>
      </c>
      <c r="M48" s="38" t="n">
        <v>288.90518209934</v>
      </c>
      <c r="N48" s="38" t="n">
        <v>341.657917229227</v>
      </c>
      <c r="O48" s="38" t="n">
        <v>404.043055085374</v>
      </c>
      <c r="P48" s="38" t="n">
        <v>477.819427357784</v>
      </c>
      <c r="Q48" s="38" t="n">
        <v>565.067020177538</v>
      </c>
      <c r="R48" s="38" t="n">
        <v>668.245615415787</v>
      </c>
      <c r="S48" s="38" t="n">
        <v>790.264139609709</v>
      </c>
      <c r="T48" s="38" t="n">
        <v>934.562675678007</v>
      </c>
      <c r="U48" s="38" t="n">
        <v>1105.20944959212</v>
      </c>
      <c r="V48" s="38" t="n">
        <v>1307.01552636001</v>
      </c>
      <c r="W48" s="38" t="n">
        <v>1545.67044896023</v>
      </c>
      <c r="X48" s="38" t="n">
        <v>1827.90264431094</v>
      </c>
      <c r="Y48" s="38" t="n">
        <v>2161.66911861877</v>
      </c>
      <c r="Z48" s="38" t="n">
        <v>2556.37979021116</v>
      </c>
      <c r="AA48" s="38" t="n">
        <v>3023.16278449486</v>
      </c>
      <c r="AB48" s="38" t="n">
        <v>3575.17817053302</v>
      </c>
      <c r="AC48" s="38" t="n">
        <v>4227.98898445409</v>
      </c>
      <c r="AD48" s="38" t="n">
        <v>5000.00000000001</v>
      </c>
    </row>
    <row r="49" customFormat="false" ht="15.8" hidden="false" customHeight="false" outlineLevel="0" collapsed="false">
      <c r="A49" s="5" t="s">
        <v>132</v>
      </c>
      <c r="C49" s="90" t="n">
        <f aca="false">INT(C48+0.5)</f>
        <v>54</v>
      </c>
      <c r="D49" s="91" t="n">
        <f aca="false">INT(D48+0.5)</f>
        <v>64</v>
      </c>
      <c r="E49" s="91" t="n">
        <f aca="false">INT(E48+0.5)</f>
        <v>76</v>
      </c>
      <c r="F49" s="91" t="n">
        <f aca="false">INT(F48+0.5)</f>
        <v>89</v>
      </c>
      <c r="G49" s="91" t="n">
        <f aca="false">INT(G48+0.5)</f>
        <v>106</v>
      </c>
      <c r="H49" s="91" t="n">
        <f aca="false">INT(H48+0.5)</f>
        <v>125</v>
      </c>
      <c r="I49" s="91" t="n">
        <f aca="false">INT(I48+0.5)</f>
        <v>148</v>
      </c>
      <c r="J49" s="91" t="n">
        <f aca="false">INT(J48+0.5)</f>
        <v>175</v>
      </c>
      <c r="K49" s="91" t="n">
        <f aca="false">INT(K48+0.5)</f>
        <v>207</v>
      </c>
      <c r="L49" s="91" t="n">
        <f aca="false">INT(L48+0.5)</f>
        <v>244</v>
      </c>
      <c r="M49" s="91" t="n">
        <f aca="false">INT(M48+0.5)</f>
        <v>289</v>
      </c>
      <c r="N49" s="91" t="n">
        <f aca="false">INT(N48+0.5)</f>
        <v>342</v>
      </c>
      <c r="O49" s="91" t="n">
        <f aca="false">INT(O48+0.5)</f>
        <v>404</v>
      </c>
      <c r="P49" s="91" t="n">
        <f aca="false">INT(P48+0.5)</f>
        <v>478</v>
      </c>
      <c r="Q49" s="91" t="n">
        <f aca="false">INT(Q48+0.5)</f>
        <v>565</v>
      </c>
      <c r="R49" s="91" t="n">
        <f aca="false">INT(R48+0.5)</f>
        <v>668</v>
      </c>
      <c r="S49" s="91" t="n">
        <f aca="false">INT(S48+0.5)</f>
        <v>790</v>
      </c>
      <c r="T49" s="91" t="n">
        <f aca="false">INT(T48+0.5)</f>
        <v>935</v>
      </c>
      <c r="U49" s="91" t="n">
        <f aca="false">INT(U48+0.5)</f>
        <v>1105</v>
      </c>
      <c r="V49" s="91" t="n">
        <f aca="false">INT(V48+0.5)</f>
        <v>1307</v>
      </c>
      <c r="W49" s="91" t="n">
        <f aca="false">INT(W48+0.5)</f>
        <v>1546</v>
      </c>
      <c r="X49" s="91" t="n">
        <f aca="false">INT(X48+0.5)</f>
        <v>1828</v>
      </c>
      <c r="Y49" s="91" t="n">
        <f aca="false">INT(Y48+0.5)</f>
        <v>2162</v>
      </c>
      <c r="Z49" s="91" t="n">
        <f aca="false">INT(Z48+0.5)</f>
        <v>2556</v>
      </c>
      <c r="AA49" s="91" t="n">
        <f aca="false">INT(AA48+0.5)</f>
        <v>3023</v>
      </c>
      <c r="AB49" s="91" t="n">
        <f aca="false">INT(AB48+0.5)</f>
        <v>3575</v>
      </c>
      <c r="AC49" s="91" t="n">
        <f aca="false">INT(AC48+0.5)</f>
        <v>4228</v>
      </c>
      <c r="AD49" s="92" t="n">
        <f aca="false">INT(AD48+0.5)</f>
        <v>5000</v>
      </c>
    </row>
    <row r="50" customFormat="false" ht="15.8" hidden="false" customHeight="false" outlineLevel="0" collapsed="false"/>
    <row r="51" customFormat="false" ht="15.8" hidden="false" customHeight="false" outlineLevel="0" collapsed="false"/>
    <row r="52" customFormat="false" ht="15.8" hidden="false" customHeight="false" outlineLevel="0" collapsed="false"/>
    <row r="53" customFormat="false" ht="15.8" hidden="false" customHeight="false" outlineLevel="0" collapsed="false"/>
    <row r="54" customFormat="false" ht="15.8" hidden="false" customHeight="false" outlineLevel="0" collapsed="false"/>
    <row r="55" customFormat="false" ht="15.8" hidden="false" customHeight="false" outlineLevel="0" collapsed="false"/>
    <row r="56" customFormat="false" ht="15.8" hidden="false" customHeight="false" outlineLevel="0" collapsed="false"/>
    <row r="57" customFormat="false" ht="15.8" hidden="false" customHeight="false" outlineLevel="0" collapsed="false"/>
    <row r="58" customFormat="false" ht="15.8" hidden="false" customHeight="false" outlineLevel="0" collapsed="false"/>
    <row r="59" customFormat="false" ht="15.8" hidden="false" customHeight="false" outlineLevel="0" collapsed="false"/>
    <row r="60" customFormat="false" ht="15.8" hidden="false" customHeight="false" outlineLevel="0" collapsed="false"/>
    <row r="61" customFormat="false" ht="15.8" hidden="false" customHeight="false" outlineLevel="0" collapsed="false"/>
    <row r="62" customFormat="false" ht="15.8" hidden="false" customHeight="false" outlineLevel="0" collapsed="false"/>
    <row r="63" customFormat="false" ht="15.8" hidden="false" customHeight="false" outlineLevel="0" collapsed="false"/>
    <row r="64" customFormat="false" ht="15.8" hidden="false" customHeight="false" outlineLevel="0" collapsed="false"/>
    <row r="65" customFormat="false" ht="15.8" hidden="false" customHeight="false" outlineLevel="0" collapsed="false"/>
    <row r="66" customFormat="false" ht="15.8" hidden="false" customHeight="false" outlineLevel="0" collapsed="false"/>
    <row r="67" customFormat="false" ht="15.8" hidden="false" customHeight="false" outlineLevel="0" collapsed="false"/>
    <row r="68" customFormat="false" ht="15.8" hidden="false" customHeight="false" outlineLevel="0" collapsed="false"/>
    <row r="69" customFormat="false" ht="15.8" hidden="false" customHeight="false" outlineLevel="0" collapsed="false"/>
    <row r="70" customFormat="false" ht="15.8" hidden="false" customHeight="false" outlineLevel="0" collapsed="false"/>
    <row r="71" customFormat="false" ht="15.8" hidden="false" customHeight="false" outlineLevel="0" collapsed="false"/>
    <row r="72" customFormat="false" ht="15.8" hidden="false" customHeight="false" outlineLevel="0" collapsed="false"/>
    <row r="73" customFormat="false" ht="15.8" hidden="false" customHeight="false" outlineLevel="0" collapsed="false"/>
  </sheetData>
  <mergeCells count="1">
    <mergeCell ref="C1:G1"/>
  </mergeCells>
  <printOptions headings="false" gridLines="false" gridLinesSet="true" horizontalCentered="false" verticalCentered="false"/>
  <pageMargins left="0.7875" right="0.7875" top="1.05277777777778" bottom="1.74166666666667" header="0.7875" footer="0.7875"/>
  <pageSetup paperSize="9" scale="110" fitToWidth="1" fitToHeight="1" pageOrder="downThenOver" orientation="landscape" blackAndWhite="false" draft="false" cellComments="none" horizontalDpi="300" verticalDpi="300" copies="1"/>
  <headerFooter differentFirst="false" differentOddEven="false">
    <oddHeader>&amp;C&amp;"Times New Roman,Regular"&amp;12&amp;Kffffff&amp;A</oddHeader>
    <oddFooter>&amp;C&amp;"Times New Roman,Regular"&amp;12&amp;KffffffPage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W101"/>
  <sheetViews>
    <sheetView showFormulas="false" showGridLines="true" showRowColHeaders="true" showZeros="true" rightToLeft="false" tabSelected="false" showOutlineSymbols="true" defaultGridColor="true" view="normal" topLeftCell="A4" colorId="64" zoomScale="90" zoomScaleNormal="90" zoomScalePageLayoutView="100" workbookViewId="0">
      <selection pane="topLeft" activeCell="B4" activeCellId="0" sqref="B4"/>
    </sheetView>
  </sheetViews>
  <sheetFormatPr defaultColWidth="10.4921875" defaultRowHeight="12.8" zeroHeight="false" outlineLevelRow="0" outlineLevelCol="0"/>
  <sheetData>
    <row r="1" customFormat="false" ht="15.8" hidden="false" customHeight="false" outlineLevel="0" collapsed="false">
      <c r="A1" s="0" t="s">
        <v>133</v>
      </c>
    </row>
    <row r="2" customFormat="false" ht="40.6" hidden="false" customHeight="false" outlineLevel="0" collapsed="false">
      <c r="A2" s="93" t="str">
        <f aca="true">"BOTTLE "&amp; " "&amp;RIGHT(CELL("filename"),1)</f>
        <v>BOTTLE  1</v>
      </c>
      <c r="B2" s="93"/>
      <c r="C2" s="93"/>
      <c r="D2" s="93"/>
      <c r="E2" s="93"/>
      <c r="H2" s="94" t="s">
        <v>134</v>
      </c>
    </row>
    <row r="3" customFormat="false" ht="15.8" hidden="false" customHeight="false" outlineLevel="0" collapsed="false">
      <c r="A3" s="0" t="s">
        <v>135</v>
      </c>
      <c r="B3" s="95" t="s">
        <v>24</v>
      </c>
      <c r="D3" s="0" t="s">
        <v>136</v>
      </c>
      <c r="E3" s="5" t="n">
        <v>1</v>
      </c>
    </row>
    <row r="4" customFormat="false" ht="18.05" hidden="false" customHeight="true" outlineLevel="0" collapsed="false">
      <c r="A4" s="5" t="s">
        <v>27</v>
      </c>
      <c r="B4" s="96" t="n">
        <v>45820</v>
      </c>
      <c r="O4" s="97"/>
    </row>
    <row r="5" customFormat="false" ht="15.8" hidden="false" customHeight="false" outlineLevel="0" collapsed="false">
      <c r="A5" s="5" t="s">
        <v>118</v>
      </c>
      <c r="B5" s="98" t="s">
        <v>113</v>
      </c>
      <c r="O5" s="31"/>
    </row>
    <row r="6" customFormat="false" ht="15.8" hidden="false" customHeight="false" outlineLevel="0" collapsed="false">
      <c r="A6" s="0" t="s">
        <v>137</v>
      </c>
      <c r="B6" s="99" t="str">
        <f aca="true"> RIGHT(CELL("filename"),1)</f>
        <v>1</v>
      </c>
      <c r="C6" s="5"/>
      <c r="D6" s="5"/>
      <c r="E6" s="5"/>
      <c r="F6" s="5"/>
    </row>
    <row r="7" customFormat="false" ht="15.8" hidden="false" customHeight="false" outlineLevel="0" collapsed="false">
      <c r="B7" s="85" t="s">
        <v>40</v>
      </c>
      <c r="C7" s="85" t="s">
        <v>41</v>
      </c>
      <c r="D7" s="85" t="s">
        <v>42</v>
      </c>
      <c r="E7" s="85" t="s">
        <v>43</v>
      </c>
      <c r="F7" s="85" t="s">
        <v>44</v>
      </c>
      <c r="G7" s="85" t="s">
        <v>138</v>
      </c>
      <c r="H7" s="85" t="s">
        <v>139</v>
      </c>
      <c r="I7" s="85" t="s">
        <v>140</v>
      </c>
      <c r="J7" s="85" t="s">
        <v>141</v>
      </c>
      <c r="K7" s="85" t="s">
        <v>142</v>
      </c>
      <c r="L7" s="85" t="s">
        <v>143</v>
      </c>
      <c r="P7" s="85" t="s">
        <v>129</v>
      </c>
    </row>
    <row r="8" customFormat="false" ht="15.8" hidden="false" customHeight="false" outlineLevel="0" collapsed="false">
      <c r="A8" s="80" t="s">
        <v>144</v>
      </c>
      <c r="B8" s="39" t="n">
        <f aca="false">B52</f>
        <v>4.475147</v>
      </c>
      <c r="C8" s="39" t="n">
        <f aca="false">C52</f>
        <v>4.733991</v>
      </c>
      <c r="D8" s="39" t="n">
        <f aca="false">D52</f>
        <v>4.720532</v>
      </c>
      <c r="E8" s="39" t="n">
        <f aca="false">E52</f>
        <v>4.753982</v>
      </c>
      <c r="F8" s="39" t="n">
        <f aca="false">F52</f>
        <v>4.776061</v>
      </c>
      <c r="G8" s="100" t="n">
        <f aca="false">AVERAGE(B$8:F$8)*5</f>
        <v>23.459713</v>
      </c>
      <c r="I8" s="101"/>
      <c r="K8" s="101"/>
    </row>
    <row r="9" customFormat="false" ht="15.8" hidden="false" customHeight="false" outlineLevel="0" collapsed="false">
      <c r="A9" s="80" t="s">
        <v>145</v>
      </c>
      <c r="B9" s="102" t="n">
        <f aca="false">B53/B$8</f>
        <v>14502.093450785</v>
      </c>
      <c r="C9" s="102" t="n">
        <f aca="false">C53/C$8</f>
        <v>14559.3855163645</v>
      </c>
      <c r="D9" s="102" t="n">
        <f aca="false">D53/D$8</f>
        <v>14539.8866060012</v>
      </c>
      <c r="E9" s="102" t="n">
        <f aca="false">E53/E$8</f>
        <v>14410.0251115801</v>
      </c>
      <c r="F9" s="102" t="n">
        <f aca="false">F53/F$8</f>
        <v>14278.0839691955</v>
      </c>
      <c r="G9" s="15" t="n">
        <f aca="false">AVERAGE(B9:F9)</f>
        <v>14457.8949307853</v>
      </c>
      <c r="H9" s="103" t="n">
        <f aca="false">G9*G$8</f>
        <v>339178.065660377</v>
      </c>
      <c r="I9" s="101" t="n">
        <f aca="false">STDEVP(B9:F9)/AVERAGE(B9:F9)</f>
        <v>0.00716130655994382</v>
      </c>
      <c r="J9" s="101" t="n">
        <f aca="false">IF(H9&gt;$A$43, $C$43, IF(H9&gt;$A$44, $C$44, IF(H9&gt;$A$45,$C$45,IF(H9&gt;$A$46,$C$46, IF(H9&gt;$A$47,$C$47,IF(H9&gt;$A$48,$C$48,$C$49))))))/100</f>
        <v>0.11</v>
      </c>
      <c r="K9" s="101" t="n">
        <f aca="false">(MAX(B9:F9)-MIN(B9:F9))/G9</f>
        <v>0.0194566047488706</v>
      </c>
      <c r="L9" s="0" t="n">
        <f aca="false">COUNTA(B9:F9)</f>
        <v>5</v>
      </c>
      <c r="O9" s="0" t="n">
        <v>1</v>
      </c>
      <c r="P9" s="37" t="n">
        <f aca="false">'Clause 6 Sizing Calibration'!$E$19</f>
        <v>54</v>
      </c>
    </row>
    <row r="10" customFormat="false" ht="15.8" hidden="false" customHeight="false" outlineLevel="0" collapsed="false">
      <c r="A10" s="80" t="s">
        <v>146</v>
      </c>
      <c r="B10" s="102" t="n">
        <f aca="false">B54/B$8</f>
        <v>12570.9837017644</v>
      </c>
      <c r="C10" s="102" t="n">
        <f aca="false">C54/C$8</f>
        <v>12651.2703551823</v>
      </c>
      <c r="D10" s="102" t="n">
        <f aca="false">D54/D$8</f>
        <v>12567.651273204</v>
      </c>
      <c r="E10" s="102" t="n">
        <f aca="false">E54/E$8</f>
        <v>12472.7018318538</v>
      </c>
      <c r="F10" s="102" t="n">
        <f aca="false">F54/F$8</f>
        <v>12367.0949763833</v>
      </c>
      <c r="G10" s="15" t="n">
        <f aca="false">AVERAGE(B10:F10)</f>
        <v>12525.9404276776</v>
      </c>
      <c r="H10" s="103" t="n">
        <f aca="false">G10*G$8</f>
        <v>293854.967488413</v>
      </c>
      <c r="I10" s="101" t="n">
        <f aca="false">STDEVP(B10:F10)/AVERAGE(B10:F10)</f>
        <v>0.00778476841047432</v>
      </c>
      <c r="J10" s="101" t="n">
        <f aca="false">IF(H10&gt;$A$43, $C$43, IF(H10&gt;$A$44, $C$44, IF(H10&gt;$A$45,$C$45,IF(H10&gt;$A$46,$C$46, IF(H10&gt;$A$47,$C$47,IF(H10&gt;$A$48,$C$48,$C$49))))))/100</f>
        <v>0.11</v>
      </c>
      <c r="K10" s="101" t="n">
        <f aca="false">(MAX(B10:F10)-MIN(B10:F10))/G10</f>
        <v>0.0226869495699632</v>
      </c>
      <c r="L10" s="0" t="n">
        <f aca="false">COUNTA(B10:F10)</f>
        <v>5</v>
      </c>
      <c r="O10" s="0" t="n">
        <v>2</v>
      </c>
      <c r="P10" s="37" t="n">
        <f aca="false">'Clause 6 Sizing Calibration'!$E$20</f>
        <v>64.2928319386125</v>
      </c>
    </row>
    <row r="11" customFormat="false" ht="15.8" hidden="false" customHeight="false" outlineLevel="0" collapsed="false">
      <c r="A11" s="80" t="s">
        <v>147</v>
      </c>
      <c r="B11" s="102" t="n">
        <f aca="false">B55/B$8</f>
        <v>10856.1796964435</v>
      </c>
      <c r="C11" s="102" t="n">
        <f aca="false">C55/C$8</f>
        <v>10911.3008453121</v>
      </c>
      <c r="D11" s="102" t="n">
        <f aca="false">D55/D$8</f>
        <v>10867.4191807195</v>
      </c>
      <c r="E11" s="102" t="n">
        <f aca="false">E55/E$8</f>
        <v>10744.6767783303</v>
      </c>
      <c r="F11" s="102" t="n">
        <f aca="false">F55/F$8</f>
        <v>10661.5053702204</v>
      </c>
      <c r="G11" s="15" t="n">
        <f aca="false">AVERAGE(B11:F11)</f>
        <v>10808.2163742051</v>
      </c>
      <c r="H11" s="103" t="n">
        <f aca="false">G11*G$8</f>
        <v>253557.654180753</v>
      </c>
      <c r="I11" s="101" t="n">
        <f aca="false">STDEVP(B11:F11)/AVERAGE(B11:F11)</f>
        <v>0.0084791196028539</v>
      </c>
      <c r="J11" s="101" t="n">
        <f aca="false">IF(H11&gt;$A$43, $C$43, IF(H11&gt;$A$44, $C$44, IF(H11&gt;$A$45,$C$45,IF(H11&gt;$A$46,$C$46, IF(H11&gt;$A$47,$C$47,IF(H11&gt;$A$48,$C$48,$C$49))))))/100</f>
        <v>0.11</v>
      </c>
      <c r="K11" s="101" t="n">
        <f aca="false">(MAX(B11:F11)-MIN(B11:F11))/G11</f>
        <v>0.0231116278989319</v>
      </c>
      <c r="L11" s="0" t="n">
        <f aca="false">COUNTA(B11:F11)</f>
        <v>5</v>
      </c>
      <c r="O11" s="0" t="n">
        <v>3</v>
      </c>
      <c r="P11" s="37" t="n">
        <f aca="false">'Clause 6 Sizing Calibration'!$E$21</f>
        <v>76.5475599756791</v>
      </c>
    </row>
    <row r="12" customFormat="false" ht="15.8" hidden="false" customHeight="false" outlineLevel="0" collapsed="false">
      <c r="A12" s="80" t="s">
        <v>148</v>
      </c>
      <c r="B12" s="102" t="n">
        <f aca="false">B56/B$8</f>
        <v>9464.94048128475</v>
      </c>
      <c r="C12" s="102" t="n">
        <f aca="false">C56/C$8</f>
        <v>9504.4540642346</v>
      </c>
      <c r="D12" s="102" t="n">
        <f aca="false">D56/D$8</f>
        <v>9477.95714550818</v>
      </c>
      <c r="E12" s="102" t="n">
        <f aca="false">E56/E$8</f>
        <v>9379.29508357415</v>
      </c>
      <c r="F12" s="102" t="n">
        <f aca="false">F56/F$8</f>
        <v>9285.89479908234</v>
      </c>
      <c r="G12" s="15" t="n">
        <f aca="false">AVERAGE(B12:F12)</f>
        <v>9422.5083147368</v>
      </c>
      <c r="H12" s="103" t="n">
        <f aca="false">G12*G$8</f>
        <v>221049.340803839</v>
      </c>
      <c r="I12" s="101" t="n">
        <f aca="false">STDEVP(B12:F12)/AVERAGE(B12:F12)</f>
        <v>0.00850631906082943</v>
      </c>
      <c r="J12" s="101" t="n">
        <f aca="false">IF(H12&gt;$A$43, $C$43, IF(H12&gt;$A$44, $C$44, IF(H12&gt;$A$45,$C$45,IF(H12&gt;$A$46,$C$46, IF(H12&gt;$A$47,$C$47,IF(H12&gt;$A$48,$C$48,$C$49))))))/100</f>
        <v>0.11</v>
      </c>
      <c r="K12" s="101" t="n">
        <f aca="false">(MAX(B12:F12)-MIN(B12:F12))/G12</f>
        <v>0.0231954441271683</v>
      </c>
      <c r="L12" s="0" t="n">
        <f aca="false">COUNTA(B12:F12)</f>
        <v>5</v>
      </c>
      <c r="O12" s="0" t="n">
        <v>4</v>
      </c>
      <c r="P12" s="37" t="n">
        <f aca="false">'Clause 6 Sizing Calibration'!$E$22</f>
        <v>91.1381372005036</v>
      </c>
    </row>
    <row r="13" customFormat="false" ht="15.8" hidden="false" customHeight="false" outlineLevel="0" collapsed="false">
      <c r="A13" s="80" t="s">
        <v>149</v>
      </c>
      <c r="B13" s="102" t="n">
        <f aca="false">B57/B$8</f>
        <v>8066.3272066817</v>
      </c>
      <c r="C13" s="102" t="n">
        <f aca="false">C57/C$8</f>
        <v>8095.70613885831</v>
      </c>
      <c r="D13" s="102" t="n">
        <f aca="false">D57/D$8</f>
        <v>8100.35817996785</v>
      </c>
      <c r="E13" s="102" t="n">
        <f aca="false">E57/E$8</f>
        <v>8025.27228752654</v>
      </c>
      <c r="F13" s="102" t="n">
        <f aca="false">F57/F$8</f>
        <v>7902.956013334</v>
      </c>
      <c r="G13" s="15" t="n">
        <f aca="false">AVERAGE(B13:F13)</f>
        <v>8038.12396527368</v>
      </c>
      <c r="H13" s="103" t="n">
        <f aca="false">G13*G$8</f>
        <v>188572.081283743</v>
      </c>
      <c r="I13" s="101" t="n">
        <f aca="false">STDEVP(B13:F13)/AVERAGE(B13:F13)</f>
        <v>0.00904325541131335</v>
      </c>
      <c r="J13" s="101" t="n">
        <f aca="false">IF(H13&gt;$A$43, $C$43, IF(H13&gt;$A$44, $C$44, IF(H13&gt;$A$45,$C$45,IF(H13&gt;$A$46,$C$46, IF(H13&gt;$A$47,$C$47,IF(H13&gt;$A$48,$C$48,$C$49))))))/100</f>
        <v>0.11</v>
      </c>
      <c r="K13" s="101" t="n">
        <f aca="false">(MAX(B13:F13)-MIN(B13:F13))/G13</f>
        <v>0.024558238649549</v>
      </c>
      <c r="L13" s="0" t="n">
        <f aca="false">COUNTA(B13:F13)</f>
        <v>5</v>
      </c>
      <c r="O13" s="0" t="n">
        <v>5</v>
      </c>
      <c r="P13" s="37" t="n">
        <f aca="false">'Clause 6 Sizing Calibration'!$E$23</f>
        <v>108.509795152411</v>
      </c>
    </row>
    <row r="14" customFormat="false" ht="15.8" hidden="false" customHeight="false" outlineLevel="0" collapsed="false">
      <c r="A14" s="80" t="s">
        <v>150</v>
      </c>
      <c r="B14" s="102" t="n">
        <f aca="false">B58/B$8</f>
        <v>6870.83575131722</v>
      </c>
      <c r="C14" s="102" t="n">
        <f aca="false">C58/C$8</f>
        <v>6927.98106291288</v>
      </c>
      <c r="D14" s="102" t="n">
        <f aca="false">D58/D$8</f>
        <v>6964.89294003303</v>
      </c>
      <c r="E14" s="102" t="n">
        <f aca="false">E58/E$8</f>
        <v>6884.96506717947</v>
      </c>
      <c r="F14" s="102" t="n">
        <f aca="false">F58/F$8</f>
        <v>6773.15469798229</v>
      </c>
      <c r="G14" s="15" t="n">
        <f aca="false">AVERAGE(B14:F14)</f>
        <v>6884.36590388498</v>
      </c>
      <c r="H14" s="103" t="n">
        <f aca="false">G14*G$8</f>
        <v>161505.248292127</v>
      </c>
      <c r="I14" s="101" t="n">
        <f aca="false">STDEVP(B14:F14)/AVERAGE(B14:F14)</f>
        <v>0.00939985512769622</v>
      </c>
      <c r="J14" s="101" t="n">
        <f aca="false">IF(H14&gt;$A$43, $C$43, IF(H14&gt;$A$44, $C$44, IF(H14&gt;$A$45,$C$45,IF(H14&gt;$A$46,$C$46, IF(H14&gt;$A$47,$C$47,IF(H14&gt;$A$48,$C$48,$C$49))))))/100</f>
        <v>0.11</v>
      </c>
      <c r="K14" s="101" t="n">
        <f aca="false">(MAX(B14:F14)-MIN(B14:F14))/G14</f>
        <v>0.0278512567065237</v>
      </c>
      <c r="L14" s="0" t="n">
        <f aca="false">COUNTA(B14:F14)</f>
        <v>5</v>
      </c>
      <c r="O14" s="0" t="n">
        <v>6</v>
      </c>
      <c r="P14" s="37" t="n">
        <f aca="false">'Clause 6 Sizing Calibration'!$E$24</f>
        <v>129.192630063467</v>
      </c>
    </row>
    <row r="15" customFormat="false" ht="15.8" hidden="false" customHeight="false" outlineLevel="0" collapsed="false">
      <c r="A15" s="80" t="s">
        <v>151</v>
      </c>
      <c r="B15" s="102" t="n">
        <f aca="false">B59/B$8</f>
        <v>5810.75884211178</v>
      </c>
      <c r="C15" s="102" t="n">
        <f aca="false">C59/C$8</f>
        <v>5872.84597710473</v>
      </c>
      <c r="D15" s="102" t="n">
        <f aca="false">D59/D$8</f>
        <v>5891.92065640059</v>
      </c>
      <c r="E15" s="102" t="n">
        <f aca="false">E59/E$8</f>
        <v>5813.02158905945</v>
      </c>
      <c r="F15" s="102" t="n">
        <f aca="false">F59/F$8</f>
        <v>5742.5983462104</v>
      </c>
      <c r="G15" s="15" t="n">
        <f aca="false">AVERAGE(B15:F15)</f>
        <v>5826.22908217739</v>
      </c>
      <c r="H15" s="103" t="n">
        <f aca="false">G15*G$8</f>
        <v>136681.662140135</v>
      </c>
      <c r="I15" s="101" t="n">
        <f aca="false">STDEVP(B15:F15)/AVERAGE(B15:F15)</f>
        <v>0.00904853654289093</v>
      </c>
      <c r="J15" s="101" t="n">
        <f aca="false">IF(H15&gt;$A$43, $C$43, IF(H15&gt;$A$44, $C$44, IF(H15&gt;$A$45,$C$45,IF(H15&gt;$A$46,$C$46, IF(H15&gt;$A$47,$C$47,IF(H15&gt;$A$48,$C$48,$C$49))))))/100</f>
        <v>0.11</v>
      </c>
      <c r="K15" s="101" t="n">
        <f aca="false">(MAX(B15:F15)-MIN(B15:F15))/G15</f>
        <v>0.0256293235442751</v>
      </c>
      <c r="L15" s="0" t="n">
        <f aca="false">COUNTA(B15:F15)</f>
        <v>5</v>
      </c>
      <c r="O15" s="0" t="n">
        <v>7</v>
      </c>
      <c r="P15" s="37" t="n">
        <f aca="false">'Clause 6 Sizing Calibration'!$E$25</f>
        <v>153.817778747738</v>
      </c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</row>
    <row r="16" customFormat="false" ht="15.8" hidden="false" customHeight="false" outlineLevel="0" collapsed="false">
      <c r="A16" s="80" t="s">
        <v>152</v>
      </c>
      <c r="B16" s="102" t="n">
        <f aca="false">B60/B$8</f>
        <v>4868.44342766841</v>
      </c>
      <c r="C16" s="102" t="n">
        <f aca="false">C60/C$8</f>
        <v>4937.27174386263</v>
      </c>
      <c r="D16" s="102" t="n">
        <f aca="false">D60/D$8</f>
        <v>4950.92502285759</v>
      </c>
      <c r="E16" s="102" t="n">
        <f aca="false">E60/E$8</f>
        <v>4874.22964580009</v>
      </c>
      <c r="F16" s="102" t="n">
        <f aca="false">F60/F$8</f>
        <v>4801.02745756388</v>
      </c>
      <c r="G16" s="15" t="n">
        <f aca="false">AVERAGE(B16:F16)</f>
        <v>4886.37945955052</v>
      </c>
      <c r="H16" s="103" t="n">
        <f aca="false">G16*G$8</f>
        <v>114633.05973015</v>
      </c>
      <c r="I16" s="101" t="n">
        <f aca="false">STDEVP(B16:F16)/AVERAGE(B16:F16)</f>
        <v>0.011024732635348</v>
      </c>
      <c r="J16" s="101" t="n">
        <f aca="false">IF(H16&gt;$A$43, $C$43, IF(H16&gt;$A$44, $C$44, IF(H16&gt;$A$45,$C$45,IF(H16&gt;$A$46,$C$46, IF(H16&gt;$A$47,$C$47,IF(H16&gt;$A$48,$C$48,$C$49))))))/100</f>
        <v>0.11</v>
      </c>
      <c r="K16" s="101" t="n">
        <f aca="false">(MAX(B16:F16)-MIN(B16:F16))/G16</f>
        <v>0.0306766116988184</v>
      </c>
      <c r="L16" s="0" t="n">
        <f aca="false">COUNTA(B16:F16)</f>
        <v>5</v>
      </c>
      <c r="O16" s="0" t="n">
        <v>8</v>
      </c>
      <c r="P16" s="37" t="n">
        <f aca="false">'Clause 6 Sizing Calibration'!$E$26</f>
        <v>183.136677744425</v>
      </c>
      <c r="Q16" s="5"/>
      <c r="R16" s="80"/>
      <c r="S16" s="80"/>
      <c r="T16" s="80"/>
      <c r="U16" s="80"/>
      <c r="V16" s="80"/>
      <c r="W16" s="80"/>
      <c r="X16" s="80"/>
      <c r="Y16" s="80"/>
      <c r="Z16" s="80"/>
      <c r="AA16" s="80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</row>
    <row r="17" customFormat="false" ht="15.8" hidden="false" customHeight="false" outlineLevel="0" collapsed="false">
      <c r="A17" s="80" t="s">
        <v>153</v>
      </c>
      <c r="B17" s="102" t="n">
        <f aca="false">B61/B$8</f>
        <v>3994.28219899816</v>
      </c>
      <c r="C17" s="102" t="n">
        <f aca="false">C61/C$8</f>
        <v>4088.0939570861</v>
      </c>
      <c r="D17" s="102" t="n">
        <f aca="false">D61/D$8</f>
        <v>4083.01437210891</v>
      </c>
      <c r="E17" s="102" t="n">
        <f aca="false">E61/E$8</f>
        <v>4026.51924218476</v>
      </c>
      <c r="F17" s="102" t="n">
        <f aca="false">F61/F$8</f>
        <v>3979.42991096638</v>
      </c>
      <c r="G17" s="15" t="n">
        <f aca="false">AVERAGE(B17:F17)</f>
        <v>4034.26793626886</v>
      </c>
      <c r="H17" s="103" t="n">
        <f aca="false">G17*G$8</f>
        <v>94642.7679499698</v>
      </c>
      <c r="I17" s="101" t="n">
        <f aca="false">STDEVP(B17:F17)/AVERAGE(B17:F17)</f>
        <v>0.0110518242488222</v>
      </c>
      <c r="J17" s="101" t="n">
        <f aca="false">IF(H17&gt;$A$43, $C$43, IF(H17&gt;$A$44, $C$44, IF(H17&gt;$A$45,$C$45,IF(H17&gt;$A$46,$C$46, IF(H17&gt;$A$47,$C$47,IF(H17&gt;$A$48,$C$48,$C$49))))))/100</f>
        <v>0.11</v>
      </c>
      <c r="K17" s="101" t="n">
        <f aca="false">(MAX(B17:F17)-MIN(B17:F17))/G17</f>
        <v>0.0269352576071641</v>
      </c>
      <c r="L17" s="0" t="n">
        <f aca="false">COUNTA(B17:F17)</f>
        <v>5</v>
      </c>
      <c r="O17" s="0" t="n">
        <v>9</v>
      </c>
      <c r="P17" s="37" t="n">
        <f aca="false">'Clause 6 Sizing Calibration'!$E$27</f>
        <v>218.043993407744</v>
      </c>
      <c r="Q17" s="5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</row>
    <row r="18" customFormat="false" ht="15.8" hidden="false" customHeight="false" outlineLevel="0" collapsed="false">
      <c r="A18" s="80" t="s">
        <v>154</v>
      </c>
      <c r="B18" s="102" t="n">
        <f aca="false">B62/B$8</f>
        <v>3249.50219512342</v>
      </c>
      <c r="C18" s="102" t="n">
        <f aca="false">C62/C$8</f>
        <v>3331.86100269308</v>
      </c>
      <c r="D18" s="102" t="n">
        <f aca="false">D62/D$8</f>
        <v>3341.57251767386</v>
      </c>
      <c r="E18" s="102" t="n">
        <f aca="false">E62/E$8</f>
        <v>3273.46632780688</v>
      </c>
      <c r="F18" s="102" t="n">
        <f aca="false">F62/F$8</f>
        <v>3259.17110355165</v>
      </c>
      <c r="G18" s="15" t="n">
        <f aca="false">AVERAGE(B18:F18)</f>
        <v>3291.11462936978</v>
      </c>
      <c r="H18" s="103" t="n">
        <f aca="false">G18*G$8</f>
        <v>77208.6046551164</v>
      </c>
      <c r="I18" s="101" t="n">
        <f aca="false">STDEVP(B18:F18)/AVERAGE(B18:F18)</f>
        <v>0.011585921377314</v>
      </c>
      <c r="J18" s="101" t="n">
        <f aca="false">IF(H18&gt;$A$43, $C$43, IF(H18&gt;$A$44, $C$44, IF(H18&gt;$A$45,$C$45,IF(H18&gt;$A$46,$C$46, IF(H18&gt;$A$47,$C$47,IF(H18&gt;$A$48,$C$48,$C$49))))))/100</f>
        <v>0.11</v>
      </c>
      <c r="K18" s="101" t="n">
        <f aca="false">(MAX(B18:F18)-MIN(B18:F18))/G18</f>
        <v>0.0279754225905109</v>
      </c>
      <c r="L18" s="0" t="n">
        <f aca="false">COUNTA(B18:F18)</f>
        <v>5</v>
      </c>
      <c r="O18" s="0" t="n">
        <v>10</v>
      </c>
      <c r="P18" s="37" t="n">
        <f aca="false">'Clause 6 Sizing Calibration'!$E$28</f>
        <v>259.604922655334</v>
      </c>
      <c r="Q18" s="5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</row>
    <row r="19" customFormat="false" ht="15.8" hidden="false" customHeight="false" outlineLevel="0" collapsed="false">
      <c r="A19" s="80" t="s">
        <v>155</v>
      </c>
      <c r="B19" s="102" t="n">
        <f aca="false">B63/B$8</f>
        <v>2605.50100365418</v>
      </c>
      <c r="C19" s="102" t="n">
        <f aca="false">C63/C$8</f>
        <v>2669.84031021605</v>
      </c>
      <c r="D19" s="102" t="n">
        <f aca="false">D63/D$8</f>
        <v>2662.19993848151</v>
      </c>
      <c r="E19" s="102" t="n">
        <f aca="false">E63/E$8</f>
        <v>2619.2779021881</v>
      </c>
      <c r="F19" s="102" t="n">
        <f aca="false">F63/F$8</f>
        <v>2596.90988033863</v>
      </c>
      <c r="G19" s="15" t="n">
        <f aca="false">AVERAGE(B19:F19)</f>
        <v>2630.7458069757</v>
      </c>
      <c r="H19" s="103" t="n">
        <f aca="false">G19*G$8</f>
        <v>61716.5416076032</v>
      </c>
      <c r="I19" s="101" t="n">
        <f aca="false">STDEVP(B19:F19)/AVERAGE(B19:F19)</f>
        <v>0.011316388122062</v>
      </c>
      <c r="J19" s="101" t="n">
        <f aca="false">IF(H19&gt;$A$43, $C$43, IF(H19&gt;$A$44, $C$44, IF(H19&gt;$A$45,$C$45,IF(H19&gt;$A$46,$C$46, IF(H19&gt;$A$47,$C$47,IF(H19&gt;$A$48,$C$48,$C$49))))))/100</f>
        <v>0.11</v>
      </c>
      <c r="K19" s="101" t="n">
        <f aca="false">(MAX(B19:F19)-MIN(B19:F19))/G19</f>
        <v>0.0277223400619093</v>
      </c>
      <c r="L19" s="0" t="n">
        <f aca="false">COUNTA(B19:F19)</f>
        <v>5</v>
      </c>
      <c r="O19" s="0" t="n">
        <v>11</v>
      </c>
      <c r="P19" s="37" t="n">
        <f aca="false">'Clause 6 Sizing Calibration'!$E$29</f>
        <v>309.087697457701</v>
      </c>
      <c r="Q19" s="5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</row>
    <row r="20" customFormat="false" ht="15.8" hidden="false" customHeight="false" outlineLevel="0" collapsed="false">
      <c r="A20" s="80" t="s">
        <v>156</v>
      </c>
      <c r="B20" s="102" t="n">
        <f aca="false">B64/B$8</f>
        <v>2036.58114470877</v>
      </c>
      <c r="C20" s="102" t="n">
        <f aca="false">C64/C$8</f>
        <v>2099.91949710086</v>
      </c>
      <c r="D20" s="102" t="n">
        <f aca="false">D64/D$8</f>
        <v>2093.40811586491</v>
      </c>
      <c r="E20" s="102" t="n">
        <f aca="false">E64/E$8</f>
        <v>2042.28791779186</v>
      </c>
      <c r="F20" s="102" t="n">
        <f aca="false">F64/F$8</f>
        <v>2031.1717124216</v>
      </c>
      <c r="G20" s="15" t="n">
        <f aca="false">AVERAGE(B20:F20)</f>
        <v>2060.6736775776</v>
      </c>
      <c r="H20" s="103" t="n">
        <f aca="false">G20*G$8</f>
        <v>48342.813062625</v>
      </c>
      <c r="I20" s="101" t="n">
        <f aca="false">STDEVP(B20:F20)/AVERAGE(B20:F20)</f>
        <v>0.0143967082691366</v>
      </c>
      <c r="J20" s="101" t="n">
        <f aca="false">IF(H20&gt;$A$43, $C$43, IF(H20&gt;$A$44, $C$44, IF(H20&gt;$A$45,$C$45,IF(H20&gt;$A$46,$C$46, IF(H20&gt;$A$47,$C$47,IF(H20&gt;$A$48,$C$48,$C$49))))))/100</f>
        <v>0.11</v>
      </c>
      <c r="K20" s="101" t="n">
        <f aca="false">(MAX(B20:F20)-MIN(B20:F20))/G20</f>
        <v>0.0333618007680286</v>
      </c>
      <c r="L20" s="0" t="n">
        <f aca="false">COUNTA(B20:F20)</f>
        <v>5</v>
      </c>
      <c r="O20" s="0" t="n">
        <v>12</v>
      </c>
      <c r="P20" s="37" t="n">
        <f aca="false">'Clause 6 Sizing Calibration'!$E$30</f>
        <v>368.002284943346</v>
      </c>
      <c r="Q20" s="5"/>
      <c r="R20" s="80"/>
      <c r="S20" s="80"/>
      <c r="T20" s="80"/>
      <c r="U20" s="80"/>
      <c r="V20" s="80"/>
      <c r="W20" s="80"/>
      <c r="X20" s="80"/>
      <c r="Y20" s="80"/>
      <c r="Z20" s="80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</row>
    <row r="21" customFormat="false" ht="15.8" hidden="false" customHeight="false" outlineLevel="0" collapsed="false">
      <c r="A21" s="80" t="s">
        <v>157</v>
      </c>
      <c r="B21" s="102" t="n">
        <f aca="false">B65/B$8</f>
        <v>1578.04872108112</v>
      </c>
      <c r="C21" s="102" t="n">
        <f aca="false">C65/C$8</f>
        <v>1625.26713717876</v>
      </c>
      <c r="D21" s="102" t="n">
        <f aca="false">D65/D$8</f>
        <v>1627.35895022002</v>
      </c>
      <c r="E21" s="102" t="n">
        <f aca="false">E65/E$8</f>
        <v>1562.0589223939</v>
      </c>
      <c r="F21" s="102" t="n">
        <f aca="false">F65/F$8</f>
        <v>1567.19103880792</v>
      </c>
      <c r="G21" s="15" t="n">
        <f aca="false">AVERAGE(B21:F21)</f>
        <v>1591.98495393634</v>
      </c>
      <c r="H21" s="103" t="n">
        <f aca="false">G21*G$8</f>
        <v>37347.5101196648</v>
      </c>
      <c r="I21" s="101" t="n">
        <f aca="false">STDEVP(B21:F21)/AVERAGE(B21:F21)</f>
        <v>0.0179072422984126</v>
      </c>
      <c r="J21" s="101" t="n">
        <f aca="false">IF(H21&gt;$A$43, $C$43, IF(H21&gt;$A$44, $C$44, IF(H21&gt;$A$45,$C$45,IF(H21&gt;$A$46,$C$46, IF(H21&gt;$A$47,$C$47,IF(H21&gt;$A$48,$C$48,$C$49))))))/100</f>
        <v>0.11</v>
      </c>
      <c r="K21" s="101" t="n">
        <f aca="false">(MAX(B21:F21)-MIN(B21:F21))/G21</f>
        <v>0.0410179930813139</v>
      </c>
      <c r="L21" s="0" t="n">
        <f aca="false">COUNTA(B21:F21)</f>
        <v>5</v>
      </c>
      <c r="O21" s="0" t="n">
        <v>13</v>
      </c>
      <c r="P21" s="37" t="n">
        <f aca="false">'Clause 6 Sizing Calibration'!$E$31</f>
        <v>438.14646405348</v>
      </c>
      <c r="R21" s="85"/>
      <c r="S21" s="85"/>
      <c r="T21" s="80"/>
      <c r="U21" s="80"/>
      <c r="V21" s="80"/>
      <c r="W21" s="80"/>
      <c r="X21" s="80"/>
      <c r="Y21" s="80"/>
      <c r="Z21" s="80"/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</row>
    <row r="22" customFormat="false" ht="15.8" hidden="false" customHeight="false" outlineLevel="0" collapsed="false">
      <c r="A22" s="80" t="s">
        <v>158</v>
      </c>
      <c r="B22" s="102" t="n">
        <f aca="false">B66/B$8</f>
        <v>1203.53588384918</v>
      </c>
      <c r="C22" s="102" t="n">
        <f aca="false">C66/C$8</f>
        <v>1248.41808951475</v>
      </c>
      <c r="D22" s="102" t="n">
        <f aca="false">D66/D$8</f>
        <v>1251.7656908162</v>
      </c>
      <c r="E22" s="102" t="n">
        <f aca="false">E66/E$8</f>
        <v>1186.37386510929</v>
      </c>
      <c r="F22" s="102" t="n">
        <f aca="false">F66/F$8</f>
        <v>1193.03333856079</v>
      </c>
      <c r="G22" s="15" t="n">
        <f aca="false">AVERAGE(B22:F22)</f>
        <v>1216.62537357004</v>
      </c>
      <c r="H22" s="103" t="n">
        <f aca="false">G22*G$8</f>
        <v>28541.682092471</v>
      </c>
      <c r="I22" s="101" t="n">
        <f aca="false">STDEVP(B22:F22)/AVERAGE(B22:F22)</f>
        <v>0.0229223881667842</v>
      </c>
      <c r="J22" s="101" t="n">
        <f aca="false">IF(H22&gt;$A$43, $C$43, IF(H22&gt;$A$44, $C$44, IF(H22&gt;$A$45,$C$45,IF(H22&gt;$A$46,$C$46, IF(H22&gt;$A$47,$C$47,IF(H22&gt;$A$48,$C$48,$C$49))))))/100</f>
        <v>0.11</v>
      </c>
      <c r="K22" s="101" t="n">
        <f aca="false">(MAX(B22:F22)-MIN(B22:F22))/G22</f>
        <v>0.0537485302604109</v>
      </c>
      <c r="L22" s="0" t="n">
        <f aca="false">COUNTA(B22:F22)</f>
        <v>5</v>
      </c>
      <c r="O22" s="0" t="n">
        <v>14</v>
      </c>
      <c r="P22" s="37" t="n">
        <f aca="false">'Clause 6 Sizing Calibration'!$E$32</f>
        <v>521.660684775698</v>
      </c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</row>
    <row r="23" customFormat="false" ht="15.8" hidden="false" customHeight="false" outlineLevel="0" collapsed="false">
      <c r="A23" s="80" t="s">
        <v>159</v>
      </c>
      <c r="B23" s="102" t="n">
        <f aca="false">B67/B$8</f>
        <v>925.556188433587</v>
      </c>
      <c r="C23" s="102" t="n">
        <f aca="false">C67/C$8</f>
        <v>938.742807073355</v>
      </c>
      <c r="D23" s="102" t="n">
        <f aca="false">D67/D$8</f>
        <v>961.332324407503</v>
      </c>
      <c r="E23" s="102" t="n">
        <f aca="false">E67/E$8</f>
        <v>898.615097827463</v>
      </c>
      <c r="F23" s="102" t="n">
        <f aca="false">F67/F$8</f>
        <v>886.504590288943</v>
      </c>
      <c r="G23" s="15" t="n">
        <f aca="false">AVERAGE(B23:F23)</f>
        <v>922.15020160617</v>
      </c>
      <c r="H23" s="103" t="n">
        <f aca="false">G23*G$8</f>
        <v>21633.3790725729</v>
      </c>
      <c r="I23" s="101" t="n">
        <f aca="false">STDEVP(B23:F23)/AVERAGE(B23:F23)</f>
        <v>0.0292860805626928</v>
      </c>
      <c r="J23" s="101" t="n">
        <f aca="false">IF(H23&gt;$A$43, $C$43, IF(H23&gt;$A$44, $C$44, IF(H23&gt;$A$45,$C$45,IF(H23&gt;$A$46,$C$46, IF(H23&gt;$A$47,$C$47,IF(H23&gt;$A$48,$C$48,$C$49))))))/100</f>
        <v>0.11</v>
      </c>
      <c r="K23" s="101" t="n">
        <f aca="false">(MAX(B23:F23)-MIN(B23:F23))/G23</f>
        <v>0.0811448438532331</v>
      </c>
      <c r="L23" s="0" t="n">
        <f aca="false">COUNTA(B23:F23)</f>
        <v>5</v>
      </c>
      <c r="O23" s="0" t="n">
        <v>15</v>
      </c>
      <c r="P23" s="37" t="n">
        <f aca="false">'Clause 6 Sizing Calibration'!$E$33</f>
        <v>621.093383986398</v>
      </c>
      <c r="T23" s="79"/>
      <c r="U23" s="79"/>
      <c r="V23" s="79"/>
      <c r="W23" s="79"/>
      <c r="X23" s="79"/>
      <c r="Y23" s="79"/>
      <c r="Z23" s="79"/>
      <c r="AA23" s="79"/>
      <c r="AB23" s="79"/>
      <c r="AC23" s="79"/>
      <c r="AD23" s="79"/>
      <c r="AE23" s="79"/>
      <c r="AF23" s="79"/>
      <c r="AG23" s="79"/>
      <c r="AH23" s="79"/>
      <c r="AI23" s="79"/>
      <c r="AJ23" s="79"/>
      <c r="AK23" s="79"/>
      <c r="AL23" s="79"/>
      <c r="AM23" s="79"/>
      <c r="AN23" s="79"/>
      <c r="AO23" s="79"/>
      <c r="AP23" s="79"/>
      <c r="AQ23" s="79"/>
      <c r="AR23" s="79"/>
      <c r="AS23" s="79"/>
      <c r="AT23" s="79"/>
      <c r="AU23" s="79"/>
      <c r="AV23" s="79"/>
      <c r="AW23" s="79"/>
    </row>
    <row r="24" customFormat="false" ht="15.8" hidden="false" customHeight="false" outlineLevel="0" collapsed="false">
      <c r="A24" s="80" t="s">
        <v>160</v>
      </c>
      <c r="B24" s="102" t="n">
        <f aca="false">B68/B$8</f>
        <v>711.261551855168</v>
      </c>
      <c r="C24" s="102" t="n">
        <f aca="false">C68/C$8</f>
        <v>713.140350287949</v>
      </c>
      <c r="D24" s="102" t="n">
        <f aca="false">D68/D$8</f>
        <v>727.672219995543</v>
      </c>
      <c r="E24" s="102" t="n">
        <f aca="false">E68/E$8</f>
        <v>693.944571098502</v>
      </c>
      <c r="F24" s="102" t="n">
        <f aca="false">F68/F$8</f>
        <v>669.798815383639</v>
      </c>
      <c r="G24" s="15" t="n">
        <f aca="false">AVERAGE(B24:F24)</f>
        <v>703.16350172416</v>
      </c>
      <c r="H24" s="103" t="n">
        <f aca="false">G24*G$8</f>
        <v>16496.0139425238</v>
      </c>
      <c r="I24" s="101" t="n">
        <f aca="false">STDEVP(B24:F24)/AVERAGE(B24:F24)</f>
        <v>0.0281856249805337</v>
      </c>
      <c r="J24" s="101" t="n">
        <f aca="false">IF(H24&gt;$A$43, $C$43, IF(H24&gt;$A$44, $C$44, IF(H24&gt;$A$45,$C$45,IF(H24&gt;$A$46,$C$46, IF(H24&gt;$A$47,$C$47,IF(H24&gt;$A$48,$C$48,$C$49))))))/100</f>
        <v>0.11</v>
      </c>
      <c r="K24" s="101" t="n">
        <f aca="false">(MAX(B24:F24)-MIN(B24:F24))/G24</f>
        <v>0.082304335293282</v>
      </c>
      <c r="L24" s="0" t="n">
        <f aca="false">COUNTA(B24:F24)</f>
        <v>5</v>
      </c>
      <c r="O24" s="0" t="n">
        <v>16</v>
      </c>
      <c r="P24" s="37" t="n">
        <f aca="false">'Clause 6 Sizing Calibration'!$E$34</f>
        <v>739.478751015215</v>
      </c>
      <c r="T24" s="101"/>
      <c r="U24" s="101"/>
      <c r="V24" s="101"/>
      <c r="W24" s="101"/>
      <c r="X24" s="101"/>
      <c r="Y24" s="101"/>
      <c r="Z24" s="101"/>
      <c r="AA24" s="101"/>
      <c r="AB24" s="101"/>
      <c r="AC24" s="101"/>
      <c r="AD24" s="101"/>
      <c r="AE24" s="101"/>
      <c r="AF24" s="101"/>
      <c r="AG24" s="101"/>
      <c r="AH24" s="101"/>
      <c r="AI24" s="101"/>
      <c r="AJ24" s="101"/>
      <c r="AK24" s="101"/>
      <c r="AL24" s="101"/>
      <c r="AM24" s="101"/>
      <c r="AN24" s="101"/>
      <c r="AO24" s="101"/>
      <c r="AP24" s="101"/>
      <c r="AQ24" s="101"/>
      <c r="AR24" s="101"/>
      <c r="AS24" s="101"/>
      <c r="AT24" s="101"/>
      <c r="AU24" s="101"/>
      <c r="AV24" s="101"/>
      <c r="AW24" s="101"/>
    </row>
    <row r="25" customFormat="false" ht="15.8" hidden="false" customHeight="false" outlineLevel="0" collapsed="false">
      <c r="A25" s="80" t="s">
        <v>161</v>
      </c>
      <c r="B25" s="102" t="n">
        <f aca="false">B69/B$8</f>
        <v>553.724827363213</v>
      </c>
      <c r="C25" s="102" t="n">
        <f aca="false">C69/C$8</f>
        <v>542.88231642181</v>
      </c>
      <c r="D25" s="102" t="n">
        <f aca="false">D69/D$8</f>
        <v>558.199796124674</v>
      </c>
      <c r="E25" s="102" t="n">
        <f aca="false">E69/E$8</f>
        <v>522.298990614605</v>
      </c>
      <c r="F25" s="102" t="n">
        <f aca="false">F69/F$8</f>
        <v>508.7874715168</v>
      </c>
      <c r="G25" s="15" t="n">
        <f aca="false">AVERAGE(B25:F25)</f>
        <v>537.17868040822</v>
      </c>
      <c r="H25" s="103" t="n">
        <f aca="false">G25*G$8</f>
        <v>12602.0576720956</v>
      </c>
      <c r="I25" s="101" t="n">
        <f aca="false">STDEVP(B25:F25)/AVERAGE(B25:F25)</f>
        <v>0.0350813335532903</v>
      </c>
      <c r="J25" s="101" t="n">
        <f aca="false">IF(H25&gt;$A$43, $C$43, IF(H25&gt;$A$44, $C$44, IF(H25&gt;$A$45,$C$45,IF(H25&gt;$A$46,$C$46, IF(H25&gt;$A$47,$C$47,IF(H25&gt;$A$48,$C$48,$C$49))))))/100</f>
        <v>0.11</v>
      </c>
      <c r="K25" s="101" t="n">
        <f aca="false">(MAX(B25:F25)-MIN(B25:F25))/G25</f>
        <v>0.0919848951755192</v>
      </c>
      <c r="L25" s="0" t="n">
        <f aca="false">COUNTA(B25:F25)</f>
        <v>5</v>
      </c>
      <c r="O25" s="0" t="n">
        <v>17</v>
      </c>
      <c r="P25" s="37" t="n">
        <f aca="false">'Clause 6 Sizing Calibration'!$E$35</f>
        <v>880.429315948079</v>
      </c>
      <c r="T25" s="79"/>
      <c r="U25" s="79"/>
      <c r="V25" s="79"/>
      <c r="W25" s="79"/>
      <c r="X25" s="79"/>
      <c r="Y25" s="79"/>
      <c r="Z25" s="79"/>
      <c r="AA25" s="79"/>
      <c r="AB25" s="79"/>
      <c r="AC25" s="79"/>
      <c r="AD25" s="79"/>
      <c r="AE25" s="79"/>
      <c r="AF25" s="79"/>
      <c r="AG25" s="79"/>
      <c r="AH25" s="79"/>
      <c r="AI25" s="79"/>
      <c r="AJ25" s="79"/>
      <c r="AK25" s="79"/>
      <c r="AL25" s="79"/>
      <c r="AM25" s="79"/>
      <c r="AN25" s="79"/>
      <c r="AO25" s="79"/>
      <c r="AP25" s="79"/>
      <c r="AQ25" s="79"/>
      <c r="AR25" s="79"/>
      <c r="AS25" s="79"/>
      <c r="AT25" s="79"/>
      <c r="AU25" s="79"/>
      <c r="AV25" s="79"/>
      <c r="AW25" s="79"/>
    </row>
    <row r="26" customFormat="false" ht="15.8" hidden="false" customHeight="false" outlineLevel="0" collapsed="false">
      <c r="A26" s="80" t="s">
        <v>162</v>
      </c>
      <c r="B26" s="102" t="n">
        <f aca="false">B70/B$8</f>
        <v>428.36581681004</v>
      </c>
      <c r="C26" s="102" t="n">
        <f aca="false">C70/C$8</f>
        <v>410.647168530739</v>
      </c>
      <c r="D26" s="102" t="n">
        <f aca="false">D70/D$8</f>
        <v>430.248116102168</v>
      </c>
      <c r="E26" s="102" t="n">
        <f aca="false">E70/E$8</f>
        <v>403.030554175426</v>
      </c>
      <c r="F26" s="102" t="n">
        <f aca="false">F70/F$8</f>
        <v>382.742180219222</v>
      </c>
      <c r="G26" s="15" t="n">
        <f aca="false">AVERAGE(B26:F26)</f>
        <v>411.006767167519</v>
      </c>
      <c r="H26" s="103" t="n">
        <f aca="false">G26*G$8</f>
        <v>9642.10079880782</v>
      </c>
      <c r="I26" s="101" t="n">
        <f aca="false">STDEVP(B26:F26)/AVERAGE(B26:F26)</f>
        <v>0.0426194004824892</v>
      </c>
      <c r="J26" s="101" t="n">
        <f aca="false">IF(H26&gt;$A$43, $C$43, IF(H26&gt;$A$44, $C$44, IF(H26&gt;$A$45,$C$45,IF(H26&gt;$A$46,$C$46, IF(H26&gt;$A$47,$C$47,IF(H26&gt;$A$48,$C$48,$C$49))))))/100</f>
        <v>0.113</v>
      </c>
      <c r="K26" s="101" t="n">
        <f aca="false">(MAX(B26:F26)-MIN(B26:F26))/G26</f>
        <v>0.115584315582773</v>
      </c>
      <c r="L26" s="0" t="n">
        <f aca="false">COUNTA(B26:F26)</f>
        <v>5</v>
      </c>
      <c r="O26" s="0" t="n">
        <v>18</v>
      </c>
      <c r="P26" s="37" t="n">
        <f aca="false">'Clause 6 Sizing Calibration'!$E$36</f>
        <v>1048.24618600143</v>
      </c>
    </row>
    <row r="27" customFormat="false" ht="15.8" hidden="false" customHeight="false" outlineLevel="0" collapsed="false">
      <c r="A27" s="80" t="s">
        <v>163</v>
      </c>
      <c r="B27" s="102" t="n">
        <f aca="false">B71/B$8</f>
        <v>328.033917098142</v>
      </c>
      <c r="C27" s="102" t="n">
        <f aca="false">C71/C$8</f>
        <v>314.322524060565</v>
      </c>
      <c r="D27" s="102" t="n">
        <f aca="false">D71/D$8</f>
        <v>332.801472376419</v>
      </c>
      <c r="E27" s="102" t="n">
        <f aca="false">E71/E$8</f>
        <v>313.842164316146</v>
      </c>
      <c r="F27" s="102" t="n">
        <f aca="false">F71/F$8</f>
        <v>295.012982455626</v>
      </c>
      <c r="G27" s="15" t="n">
        <f aca="false">AVERAGE(B27:F27)</f>
        <v>316.80261206138</v>
      </c>
      <c r="H27" s="103" t="n">
        <f aca="false">G27*G$8</f>
        <v>7432.09835661031</v>
      </c>
      <c r="I27" s="101" t="n">
        <f aca="false">STDEVP(B27:F27)/AVERAGE(B27:F27)</f>
        <v>0.0416808786815478</v>
      </c>
      <c r="J27" s="101" t="n">
        <f aca="false">IF(H27&gt;$A$43, $C$43, IF(H27&gt;$A$44, $C$44, IF(H27&gt;$A$45,$C$45,IF(H27&gt;$A$46,$C$46, IF(H27&gt;$A$47,$C$47,IF(H27&gt;$A$48,$C$48,$C$49))))))/100</f>
        <v>0.113</v>
      </c>
      <c r="K27" s="101" t="n">
        <f aca="false">(MAX(B27:F27)-MIN(B27:F27))/G27</f>
        <v>0.119280866009625</v>
      </c>
      <c r="L27" s="0" t="n">
        <f aca="false">COUNTA(B27:F27)</f>
        <v>5</v>
      </c>
      <c r="O27" s="0" t="n">
        <v>19</v>
      </c>
      <c r="P27" s="37" t="n">
        <f aca="false">'Clause 6 Sizing Calibration'!$E$37</f>
        <v>1248.05029383114</v>
      </c>
    </row>
    <row r="28" customFormat="false" ht="15.8" hidden="false" customHeight="false" outlineLevel="0" collapsed="false">
      <c r="A28" s="80" t="s">
        <v>164</v>
      </c>
      <c r="B28" s="102" t="n">
        <f aca="false">B72/B$8</f>
        <v>253.176040921114</v>
      </c>
      <c r="C28" s="102" t="n">
        <f aca="false">C72/C$8</f>
        <v>239.755419898348</v>
      </c>
      <c r="D28" s="102" t="n">
        <f aca="false">D72/D$8</f>
        <v>251.66654944824</v>
      </c>
      <c r="E28" s="102" t="n">
        <f aca="false">E72/E$8</f>
        <v>242.323172447855</v>
      </c>
      <c r="F28" s="102" t="n">
        <f aca="false">F72/F$8</f>
        <v>222.568346593563</v>
      </c>
      <c r="G28" s="15" t="n">
        <f aca="false">AVERAGE(B28:F28)</f>
        <v>241.897905861824</v>
      </c>
      <c r="H28" s="103" t="n">
        <f aca="false">G28*G$8</f>
        <v>5674.85544681941</v>
      </c>
      <c r="I28" s="101" t="n">
        <f aca="false">STDEVP(B28:F28)/AVERAGE(B28:F28)</f>
        <v>0.0453241226429566</v>
      </c>
      <c r="J28" s="101" t="n">
        <f aca="false">IF(H28&gt;$A$43, $C$43, IF(H28&gt;$A$44, $C$44, IF(H28&gt;$A$45,$C$45,IF(H28&gt;$A$46,$C$46, IF(H28&gt;$A$47,$C$47,IF(H28&gt;$A$48,$C$48,$C$49))))))/100</f>
        <v>0.113</v>
      </c>
      <c r="K28" s="101" t="n">
        <f aca="false">(MAX(B28:F28)-MIN(B28:F28))/G28</f>
        <v>0.126531456394808</v>
      </c>
      <c r="L28" s="0" t="n">
        <f aca="false">COUNTA(B28:F28)</f>
        <v>5</v>
      </c>
      <c r="O28" s="0" t="n">
        <v>20</v>
      </c>
      <c r="P28" s="37" t="n">
        <f aca="false">'Clause 6 Sizing Calibration'!$E$38</f>
        <v>1485.93866281892</v>
      </c>
    </row>
    <row r="29" customFormat="false" ht="15.8" hidden="false" customHeight="false" outlineLevel="0" collapsed="false">
      <c r="A29" s="80" t="s">
        <v>165</v>
      </c>
      <c r="B29" s="102" t="n">
        <f aca="false">B73/B$8</f>
        <v>195.300847100665</v>
      </c>
      <c r="C29" s="102" t="n">
        <f aca="false">C73/C$8</f>
        <v>183.354805701997</v>
      </c>
      <c r="D29" s="102" t="n">
        <f aca="false">D73/D$8</f>
        <v>188.961752616019</v>
      </c>
      <c r="E29" s="102" t="n">
        <f aca="false">E73/E$8</f>
        <v>189.735678427053</v>
      </c>
      <c r="F29" s="102" t="n">
        <f aca="false">F73/F$8</f>
        <v>161.848854108019</v>
      </c>
      <c r="G29" s="15" t="n">
        <f aca="false">AVERAGE(B29:F29)</f>
        <v>183.840387590751</v>
      </c>
      <c r="H29" s="103" t="n">
        <f aca="false">G29*G$8</f>
        <v>4312.84273068777</v>
      </c>
      <c r="I29" s="101" t="n">
        <f aca="false">STDEVP(B29:F29)/AVERAGE(B29:F29)</f>
        <v>0.0632568988640586</v>
      </c>
      <c r="J29" s="101" t="n">
        <f aca="false">IF(H29&gt;$A$43, $C$43, IF(H29&gt;$A$44, $C$44, IF(H29&gt;$A$45,$C$45,IF(H29&gt;$A$46,$C$46, IF(H29&gt;$A$47,$C$47,IF(H29&gt;$A$48,$C$48,$C$49))))))/100</f>
        <v>0.119</v>
      </c>
      <c r="K29" s="101" t="n">
        <f aca="false">(MAX(B29:F29)-MIN(B29:F29))/G29</f>
        <v>0.181962154404906</v>
      </c>
      <c r="L29" s="0" t="n">
        <f aca="false">COUNTA(B29:F29)</f>
        <v>5</v>
      </c>
      <c r="O29" s="0" t="n">
        <v>21</v>
      </c>
      <c r="P29" s="37" t="n">
        <f aca="false">'Clause 6 Sizing Calibration'!$E$39</f>
        <v>1769.17045777228</v>
      </c>
    </row>
    <row r="30" customFormat="false" ht="15.8" hidden="false" customHeight="false" outlineLevel="0" collapsed="false">
      <c r="A30" s="80" t="s">
        <v>166</v>
      </c>
      <c r="B30" s="102" t="n">
        <f aca="false">B74/B$8</f>
        <v>148.375014273274</v>
      </c>
      <c r="C30" s="102" t="n">
        <f aca="false">C74/C$8</f>
        <v>138.994772064417</v>
      </c>
      <c r="D30" s="102" t="n">
        <f aca="false">D74/D$8</f>
        <v>143.416038700723</v>
      </c>
      <c r="E30" s="102" t="n">
        <f aca="false">E74/E$8</f>
        <v>140.934483975749</v>
      </c>
      <c r="F30" s="102" t="n">
        <f aca="false">F74/F$8</f>
        <v>122.695250332858</v>
      </c>
      <c r="G30" s="15" t="n">
        <f aca="false">AVERAGE(B30:F30)</f>
        <v>138.883111869404</v>
      </c>
      <c r="H30" s="103" t="n">
        <f aca="false">G30*G$8</f>
        <v>3258.15794500311</v>
      </c>
      <c r="I30" s="101" t="n">
        <f aca="false">STDEVP(B30:F30)/AVERAGE(B30:F30)</f>
        <v>0.062515112778033</v>
      </c>
      <c r="J30" s="101" t="n">
        <f aca="false">IF(H30&gt;$A$43, $C$43, IF(H30&gt;$A$44, $C$44, IF(H30&gt;$A$45,$C$45,IF(H30&gt;$A$46,$C$46, IF(H30&gt;$A$47,$C$47,IF(H30&gt;$A$48,$C$48,$C$49))))))/100</f>
        <v>0.119</v>
      </c>
      <c r="K30" s="101" t="n">
        <f aca="false">(MAX(B30:F30)-MIN(B30:F30))/G30</f>
        <v>0.184901991284323</v>
      </c>
      <c r="L30" s="0" t="n">
        <f aca="false">COUNTA(B30:F30)</f>
        <v>5</v>
      </c>
      <c r="O30" s="0" t="n">
        <v>22</v>
      </c>
      <c r="P30" s="37" t="n">
        <f aca="false">'Clause 6 Sizing Calibration'!$E$40</f>
        <v>2106.38849837614</v>
      </c>
    </row>
    <row r="31" customFormat="false" ht="15.8" hidden="false" customHeight="false" outlineLevel="0" collapsed="false">
      <c r="A31" s="80" t="s">
        <v>167</v>
      </c>
      <c r="B31" s="102" t="n">
        <f aca="false">B75/B$8</f>
        <v>110.834348011361</v>
      </c>
      <c r="C31" s="102" t="n">
        <f aca="false">C75/C$8</f>
        <v>107.097795496443</v>
      </c>
      <c r="D31" s="102" t="n">
        <f aca="false">D75/D$8</f>
        <v>108.886032337033</v>
      </c>
      <c r="E31" s="102" t="n">
        <f aca="false">E75/E$8</f>
        <v>102.861138304689</v>
      </c>
      <c r="F31" s="102" t="n">
        <f aca="false">F75/F$8</f>
        <v>90.6604836077261</v>
      </c>
      <c r="G31" s="15" t="n">
        <f aca="false">AVERAGE(B31:F31)</f>
        <v>104.06795955145</v>
      </c>
      <c r="H31" s="103" t="n">
        <f aca="false">G31*G$8</f>
        <v>2441.40446357264</v>
      </c>
      <c r="I31" s="101" t="n">
        <f aca="false">STDEVP(B31:F31)/AVERAGE(B31:F31)</f>
        <v>0.0692115221908392</v>
      </c>
      <c r="J31" s="101" t="n">
        <f aca="false">IF(H31&gt;$A$43, $C$43, IF(H31&gt;$A$44, $C$44, IF(H31&gt;$A$45,$C$45,IF(H31&gt;$A$46,$C$46, IF(H31&gt;$A$47,$C$47,IF(H31&gt;$A$48,$C$48,$C$49))))))/100</f>
        <v>0.119</v>
      </c>
      <c r="K31" s="101" t="n">
        <f aca="false">(MAX(B31:F31)-MIN(B31:F31))/G31</f>
        <v>0.193852790912668</v>
      </c>
      <c r="L31" s="0" t="n">
        <f aca="false">COUNTA(B31:F31)</f>
        <v>5</v>
      </c>
      <c r="O31" s="0" t="n">
        <v>23</v>
      </c>
      <c r="P31" s="37" t="n">
        <f aca="false">'Clause 6 Sizing Calibration'!$E$41</f>
        <v>2507.88299488007</v>
      </c>
    </row>
    <row r="32" customFormat="false" ht="15.8" hidden="false" customHeight="false" outlineLevel="0" collapsed="false">
      <c r="A32" s="80" t="s">
        <v>168</v>
      </c>
      <c r="B32" s="102" t="n">
        <f aca="false">B76/B$8</f>
        <v>84.2430427425066</v>
      </c>
      <c r="C32" s="102" t="n">
        <f aca="false">C76/C$8</f>
        <v>77.7356779934732</v>
      </c>
      <c r="D32" s="102" t="n">
        <f aca="false">D76/D$8</f>
        <v>78.5928365701154</v>
      </c>
      <c r="E32" s="102" t="n">
        <f aca="false">E76/E$8</f>
        <v>77.1984412225372</v>
      </c>
      <c r="F32" s="102" t="n">
        <f aca="false">F76/F$8</f>
        <v>65.7445539326236</v>
      </c>
      <c r="G32" s="15" t="n">
        <f aca="false">AVERAGE(B32:F32)</f>
        <v>76.7029104922512</v>
      </c>
      <c r="H32" s="103" t="n">
        <f aca="false">G32*G$8</f>
        <v>1799.4282664129</v>
      </c>
      <c r="I32" s="101" t="n">
        <f aca="false">STDEVP(B32:F32)/AVERAGE(B32:F32)</f>
        <v>0.0786190417975618</v>
      </c>
      <c r="J32" s="101" t="n">
        <f aca="false">IF(H32&gt;$A$43, $C$43, IF(H32&gt;$A$44, $C$44, IF(H32&gt;$A$45,$C$45,IF(H32&gt;$A$46,$C$46, IF(H32&gt;$A$47,$C$47,IF(H32&gt;$A$48,$C$48,$C$49))))))/100</f>
        <v>0.134</v>
      </c>
      <c r="K32" s="101" t="n">
        <f aca="false">(MAX(B32:F32)-MIN(B32:F32))/G32</f>
        <v>0.241170624310948</v>
      </c>
      <c r="L32" s="0" t="n">
        <f aca="false">COUNTA(B32:F32)</f>
        <v>5</v>
      </c>
      <c r="O32" s="0" t="n">
        <v>24</v>
      </c>
      <c r="P32" s="37" t="n">
        <f aca="false">'Clause 6 Sizing Calibration'!$E$42</f>
        <v>2985.90555391719</v>
      </c>
    </row>
    <row r="33" customFormat="false" ht="15.8" hidden="false" customHeight="false" outlineLevel="0" collapsed="false">
      <c r="A33" s="80" t="s">
        <v>169</v>
      </c>
      <c r="B33" s="102" t="n">
        <f aca="false">B77/B$8</f>
        <v>60.556669982014</v>
      </c>
      <c r="C33" s="102" t="n">
        <f aca="false">C77/C$8</f>
        <v>56.1893759409344</v>
      </c>
      <c r="D33" s="102" t="n">
        <f aca="false">D77/D$8</f>
        <v>58.4679862354497</v>
      </c>
      <c r="E33" s="102" t="n">
        <f aca="false">E77/E$8</f>
        <v>54.690993781634</v>
      </c>
      <c r="F33" s="102" t="n">
        <f aca="false">F77/F$8</f>
        <v>42.7130223001758</v>
      </c>
      <c r="G33" s="15" t="n">
        <f aca="false">AVERAGE(B33:F33)</f>
        <v>54.5236096480416</v>
      </c>
      <c r="H33" s="103" t="n">
        <f aca="false">G33*G$8</f>
        <v>1279.10823406709</v>
      </c>
      <c r="I33" s="101" t="n">
        <f aca="false">STDEVP(B33:F33)/AVERAGE(B33:F33)</f>
        <v>0.114316639546088</v>
      </c>
      <c r="J33" s="101" t="n">
        <f aca="false">IF(H33&gt;$A$43, $C$43, IF(H33&gt;$A$44, $C$44, IF(H33&gt;$A$45,$C$45,IF(H33&gt;$A$46,$C$46, IF(H33&gt;$A$47,$C$47,IF(H33&gt;$A$48,$C$48,$C$49))))))/100</f>
        <v>0.134</v>
      </c>
      <c r="K33" s="101" t="n">
        <f aca="false">(MAX(B33:F33)-MIN(B33:F33))/G33</f>
        <v>0.327264606966078</v>
      </c>
      <c r="L33" s="0" t="n">
        <f aca="false">COUNTA(B33:F33)</f>
        <v>5</v>
      </c>
      <c r="O33" s="0" t="n">
        <v>25</v>
      </c>
      <c r="P33" s="37" t="n">
        <f aca="false">'Clause 6 Sizing Calibration'!$E$43</f>
        <v>3555.04303634384</v>
      </c>
    </row>
    <row r="34" customFormat="false" ht="15.8" hidden="false" customHeight="false" outlineLevel="0" collapsed="false">
      <c r="A34" s="80" t="s">
        <v>170</v>
      </c>
      <c r="B34" s="102" t="n">
        <f aca="false">B78/B$8</f>
        <v>45.8085510934054</v>
      </c>
      <c r="C34" s="102" t="n">
        <f aca="false">C78/C$8</f>
        <v>40.1352685292389</v>
      </c>
      <c r="D34" s="102" t="n">
        <f aca="false">D78/D$8</f>
        <v>43.2154680870715</v>
      </c>
      <c r="E34" s="102" t="n">
        <f aca="false">E78/E$8</f>
        <v>39.3354455275599</v>
      </c>
      <c r="F34" s="102" t="n">
        <f aca="false">F78/F$8</f>
        <v>29.9409911221821</v>
      </c>
      <c r="G34" s="15" t="n">
        <f aca="false">AVERAGE(B34:F34)</f>
        <v>39.6871448718916</v>
      </c>
      <c r="H34" s="103" t="n">
        <f aca="false">G34*G$8</f>
        <v>931.049028483998</v>
      </c>
      <c r="I34" s="101" t="n">
        <f aca="false">STDEVP(B34:F34)/AVERAGE(B34:F34)</f>
        <v>0.135799241898107</v>
      </c>
      <c r="J34" s="101" t="n">
        <f aca="false">IF(H34&gt;$A$43, $C$43, IF(H34&gt;$A$44, $C$44, IF(H34&gt;$A$45,$C$45,IF(H34&gt;$A$46,$C$46, IF(H34&gt;$A$47,$C$47,IF(H34&gt;$A$48,$C$48,$C$49))))))/100</f>
        <v>0.156</v>
      </c>
      <c r="K34" s="101" t="n">
        <f aca="false">(MAX(B34:F34)-MIN(B34:F34))/G34</f>
        <v>0.399816112306471</v>
      </c>
      <c r="L34" s="0" t="n">
        <f aca="false">COUNTA(B34:F34)</f>
        <v>5</v>
      </c>
      <c r="O34" s="0" t="n">
        <v>26</v>
      </c>
      <c r="P34" s="37" t="n">
        <f aca="false">'Clause 6 Sizing Calibration'!$E$44</f>
        <v>4232.66267537388</v>
      </c>
    </row>
    <row r="35" customFormat="false" ht="15.8" hidden="false" customHeight="false" outlineLevel="0" collapsed="false">
      <c r="A35" s="80" t="s">
        <v>171</v>
      </c>
      <c r="B35" s="102" t="n">
        <f aca="false">B79/B$8</f>
        <v>34.1888210599563</v>
      </c>
      <c r="C35" s="102" t="n">
        <f aca="false">C79/C$8</f>
        <v>27.4609732042161</v>
      </c>
      <c r="D35" s="102" t="n">
        <f aca="false">D79/D$8</f>
        <v>28.8103120580477</v>
      </c>
      <c r="E35" s="102" t="n">
        <f aca="false">E79/E$8</f>
        <v>25.2419971299849</v>
      </c>
      <c r="F35" s="102" t="n">
        <f aca="false">F79/F$8</f>
        <v>19.0533579868431</v>
      </c>
      <c r="G35" s="15" t="n">
        <f aca="false">AVERAGE(B35:F35)</f>
        <v>26.9510922878096</v>
      </c>
      <c r="H35" s="103" t="n">
        <f aca="false">G35*G$8</f>
        <v>632.264890108527</v>
      </c>
      <c r="I35" s="101" t="n">
        <f aca="false">STDEVP(B35:F35)/AVERAGE(B35:F35)</f>
        <v>0.182827660668458</v>
      </c>
      <c r="J35" s="101" t="n">
        <f aca="false">IF(H35&gt;$A$43, $C$43, IF(H35&gt;$A$44, $C$44, IF(H35&gt;$A$45,$C$45,IF(H35&gt;$A$46,$C$46, IF(H35&gt;$A$47,$C$47,IF(H35&gt;$A$48,$C$48,$C$49))))))/100</f>
        <v>0.156</v>
      </c>
      <c r="K35" s="101" t="n">
        <f aca="false">(MAX(B35:F35)-MIN(B35:F35))/G35</f>
        <v>0.56158996865441</v>
      </c>
      <c r="L35" s="0" t="n">
        <f aca="false">COUNTA(B35:F35)</f>
        <v>5</v>
      </c>
      <c r="O35" s="0" t="n">
        <v>27</v>
      </c>
      <c r="P35" s="37" t="n">
        <f aca="false">'Clause 6 Sizing Calibration'!$E$45</f>
        <v>5039.44203778983</v>
      </c>
    </row>
    <row r="36" customFormat="false" ht="15.8" hidden="false" customHeight="false" outlineLevel="0" collapsed="false">
      <c r="A36" s="80" t="s">
        <v>172</v>
      </c>
      <c r="B36" s="102" t="n">
        <f aca="false">B80/B$8</f>
        <v>22.1221783329129</v>
      </c>
      <c r="C36" s="102" t="n">
        <f aca="false">C80/C$8</f>
        <v>19.6451577537853</v>
      </c>
      <c r="D36" s="102" t="n">
        <f aca="false">D80/D$8</f>
        <v>20.1248503346657</v>
      </c>
      <c r="E36" s="102" t="n">
        <f aca="false">E80/E$8</f>
        <v>16.4072981344902</v>
      </c>
      <c r="F36" s="102" t="n">
        <f aca="false">F80/F$8</f>
        <v>12.5626536176988</v>
      </c>
      <c r="G36" s="15" t="n">
        <f aca="false">AVERAGE(B36:F36)</f>
        <v>18.1724276347106</v>
      </c>
      <c r="H36" s="103" t="n">
        <f aca="false">G36*G$8</f>
        <v>426.319936823579</v>
      </c>
      <c r="I36" s="101" t="n">
        <f aca="false">STDEVP(B36:F36)/AVERAGE(B36:F36)</f>
        <v>0.184434163811146</v>
      </c>
      <c r="J36" s="101" t="n">
        <f aca="false">IF(H36&gt;$A$43, $C$43, IF(H36&gt;$A$44, $C$44, IF(H36&gt;$A$45,$C$45,IF(H36&gt;$A$46,$C$46, IF(H36&gt;$A$47,$C$47,IF(H36&gt;$A$48,$C$48,$C$49))))))/100</f>
        <v>0.193</v>
      </c>
      <c r="K36" s="101" t="n">
        <f aca="false">(MAX(B36:F36)-MIN(B36:F36))/G36</f>
        <v>0.526045551390985</v>
      </c>
      <c r="L36" s="0" t="n">
        <f aca="false">COUNTA(B36:F36)</f>
        <v>5</v>
      </c>
      <c r="O36" s="0" t="n">
        <v>28</v>
      </c>
      <c r="P36" s="37" t="n">
        <f aca="false">'Clause 6 Sizing Calibration'!$E$46</f>
        <v>6000.00000000001</v>
      </c>
    </row>
    <row r="37" customFormat="false" ht="15.8" hidden="false" customHeight="false" outlineLevel="0" collapsed="false">
      <c r="A37" s="80" t="s">
        <v>173</v>
      </c>
      <c r="B37" s="102" t="n">
        <f aca="false">B81/B$8</f>
        <v>14.3012061950144</v>
      </c>
      <c r="C37" s="102" t="n">
        <f aca="false">C81/C$8</f>
        <v>10.3506745154353</v>
      </c>
      <c r="D37" s="102" t="n">
        <f aca="false">D81/D$8</f>
        <v>9.95650490241354</v>
      </c>
      <c r="E37" s="102" t="n">
        <f aca="false">E81/E$8</f>
        <v>8.2036490672451</v>
      </c>
      <c r="F37" s="102" t="n">
        <f aca="false">F81/F$8</f>
        <v>7.1188370500293</v>
      </c>
      <c r="G37" s="15" t="n">
        <f aca="false">AVERAGE(B37:F37)</f>
        <v>9.98617434602752</v>
      </c>
      <c r="H37" s="103" t="n">
        <f aca="false">G37*G$8</f>
        <v>234.272784125768</v>
      </c>
      <c r="I37" s="101" t="n">
        <f aca="false">STDEVP(B37:F37)/AVERAGE(B37:F37)</f>
        <v>0.245909772944097</v>
      </c>
      <c r="J37" s="101" t="n">
        <f aca="false">IF(H37&gt;$A$43, $C$43, IF(H37&gt;$A$44, $C$44, IF(H37&gt;$A$45,$C$45,IF(H37&gt;$A$46,$C$46, IF(H37&gt;$A$47,$C$47,IF(H37&gt;$A$48,$C$48,$C$49))))))/100</f>
        <v>0.193</v>
      </c>
      <c r="K37" s="101" t="n">
        <f aca="false">(MAX(B37:F37)-MIN(B37:F37))/G37</f>
        <v>0.719231298804853</v>
      </c>
      <c r="L37" s="0" t="n">
        <f aca="false">COUNTA(B37:F37)</f>
        <v>5</v>
      </c>
      <c r="O37" s="0" t="n">
        <v>29</v>
      </c>
    </row>
    <row r="38" customFormat="false" ht="15.8" hidden="false" customHeight="false" outlineLevel="0" collapsed="false">
      <c r="A38" s="80" t="s">
        <v>174</v>
      </c>
      <c r="B38" s="102" t="n">
        <f aca="false">B82/B$8</f>
        <v>7.37405944430429</v>
      </c>
      <c r="C38" s="102" t="n">
        <f aca="false">C82/C$8</f>
        <v>4.43600336375798</v>
      </c>
      <c r="D38" s="102" t="n">
        <f aca="false">D82/D$8</f>
        <v>4.44865112661031</v>
      </c>
      <c r="E38" s="102" t="n">
        <f aca="false">E82/E$8</f>
        <v>2.10349976083208</v>
      </c>
      <c r="F38" s="102" t="n">
        <f aca="false">F82/F$8</f>
        <v>3.35004096471967</v>
      </c>
      <c r="G38" s="15" t="n">
        <f aca="false">AVERAGE(B38:F38)</f>
        <v>4.34245093204486</v>
      </c>
      <c r="H38" s="103" t="n">
        <f aca="false">G38*G$8</f>
        <v>101.872652582355</v>
      </c>
      <c r="I38" s="101" t="n">
        <f aca="false">STDEVP(B38:F38)/AVERAGE(B38:F38)</f>
        <v>0.401626819953628</v>
      </c>
      <c r="J38" s="101" t="n">
        <f aca="false">IF(H38&gt;$A$43, $C$43, IF(H38&gt;$A$44, $C$44, IF(H38&gt;$A$45,$C$45,IF(H38&gt;$A$46,$C$46, IF(H38&gt;$A$47,$C$47,IF(H38&gt;$A$48,$C$48,$C$49))))))/100</f>
        <v>0.275</v>
      </c>
      <c r="K38" s="101" t="n">
        <f aca="false">(MAX(B38:F38)-MIN(B38:F38))/G38</f>
        <v>1.21372924322033</v>
      </c>
      <c r="L38" s="0" t="n">
        <f aca="false">COUNTA(B38:F38)</f>
        <v>5</v>
      </c>
      <c r="O38" s="0" t="n">
        <v>30</v>
      </c>
    </row>
    <row r="39" customFormat="false" ht="15.8" hidden="false" customHeight="false" outlineLevel="0" collapsed="false"/>
    <row r="40" customFormat="false" ht="15.8" hidden="false" customHeight="false" outlineLevel="0" collapsed="false">
      <c r="A40" s="0" t="s">
        <v>175</v>
      </c>
    </row>
    <row r="41" customFormat="false" ht="15.8" hidden="false" customHeight="false" outlineLevel="0" collapsed="false">
      <c r="A41" s="104"/>
      <c r="B41" s="105" t="s">
        <v>176</v>
      </c>
      <c r="C41" s="104"/>
      <c r="D41" s="106" t="s">
        <v>177</v>
      </c>
      <c r="E41" s="107"/>
      <c r="F41" s="107"/>
      <c r="G41" s="107"/>
      <c r="H41" s="108"/>
    </row>
    <row r="42" customFormat="false" ht="15.8" hidden="false" customHeight="false" outlineLevel="0" collapsed="false">
      <c r="A42" s="109" t="s">
        <v>178</v>
      </c>
      <c r="B42" s="110" t="s">
        <v>179</v>
      </c>
      <c r="C42" s="109" t="s">
        <v>180</v>
      </c>
      <c r="D42" s="109" t="s">
        <v>181</v>
      </c>
      <c r="E42" s="110" t="s">
        <v>182</v>
      </c>
      <c r="F42" s="110" t="s">
        <v>183</v>
      </c>
      <c r="G42" s="110" t="s">
        <v>184</v>
      </c>
      <c r="H42" s="111" t="s">
        <v>185</v>
      </c>
    </row>
    <row r="43" customFormat="false" ht="15.8" hidden="false" customHeight="false" outlineLevel="0" collapsed="false">
      <c r="A43" s="112" t="n">
        <v>10000</v>
      </c>
      <c r="C43" s="112" t="n">
        <v>11</v>
      </c>
      <c r="D43" s="112" t="n">
        <v>7.8</v>
      </c>
      <c r="E43" s="0" t="n">
        <v>5.3</v>
      </c>
      <c r="F43" s="0" t="n">
        <v>4</v>
      </c>
      <c r="G43" s="0" t="n">
        <v>2.7</v>
      </c>
      <c r="H43" s="113" t="n">
        <v>1.8</v>
      </c>
    </row>
    <row r="44" customFormat="false" ht="15.8" hidden="false" customHeight="false" outlineLevel="0" collapsed="false">
      <c r="A44" s="112" t="n">
        <v>5000</v>
      </c>
      <c r="B44" s="0" t="n">
        <v>10000</v>
      </c>
      <c r="C44" s="112" t="n">
        <v>11.3</v>
      </c>
      <c r="D44" s="112" t="n">
        <v>7.8</v>
      </c>
      <c r="E44" s="0" t="n">
        <v>5.3</v>
      </c>
      <c r="F44" s="0" t="n">
        <v>4</v>
      </c>
      <c r="G44" s="0" t="n">
        <v>2.7</v>
      </c>
      <c r="H44" s="113" t="n">
        <v>1.9</v>
      </c>
    </row>
    <row r="45" customFormat="false" ht="15.8" hidden="false" customHeight="false" outlineLevel="0" collapsed="false">
      <c r="A45" s="112" t="n">
        <v>2000</v>
      </c>
      <c r="B45" s="0" t="n">
        <v>5000</v>
      </c>
      <c r="C45" s="112" t="n">
        <v>11.9</v>
      </c>
      <c r="D45" s="112" t="n">
        <v>7.9</v>
      </c>
      <c r="E45" s="0" t="n">
        <v>5.4</v>
      </c>
      <c r="F45" s="0" t="n">
        <v>4.1</v>
      </c>
      <c r="G45" s="0" t="n">
        <v>2.9</v>
      </c>
      <c r="H45" s="113" t="n">
        <v>2.1</v>
      </c>
    </row>
    <row r="46" customFormat="false" ht="15.8" hidden="false" customHeight="false" outlineLevel="0" collapsed="false">
      <c r="A46" s="112" t="n">
        <v>1000</v>
      </c>
      <c r="B46" s="0" t="n">
        <v>2000</v>
      </c>
      <c r="C46" s="112" t="n">
        <v>13.4</v>
      </c>
      <c r="D46" s="112" t="n">
        <v>8</v>
      </c>
      <c r="E46" s="0" t="n">
        <v>5.6</v>
      </c>
      <c r="F46" s="0" t="n">
        <v>4.3</v>
      </c>
      <c r="G46" s="0" t="n">
        <v>3.1</v>
      </c>
      <c r="H46" s="113" t="n">
        <v>2.4</v>
      </c>
    </row>
    <row r="47" customFormat="false" ht="15.8" hidden="false" customHeight="false" outlineLevel="0" collapsed="false">
      <c r="A47" s="112" t="n">
        <v>500</v>
      </c>
      <c r="B47" s="0" t="n">
        <v>1000</v>
      </c>
      <c r="C47" s="112" t="n">
        <v>15.6</v>
      </c>
      <c r="D47" s="112" t="n">
        <v>8.2</v>
      </c>
      <c r="E47" s="0" t="n">
        <v>5.9</v>
      </c>
      <c r="F47" s="0" t="n">
        <v>4.7</v>
      </c>
      <c r="G47" s="0" t="n">
        <v>3.6</v>
      </c>
      <c r="H47" s="113" t="n">
        <v>2.9</v>
      </c>
    </row>
    <row r="48" customFormat="false" ht="15.8" hidden="false" customHeight="false" outlineLevel="0" collapsed="false">
      <c r="A48" s="112" t="n">
        <v>200</v>
      </c>
      <c r="B48" s="0" t="n">
        <v>500</v>
      </c>
      <c r="C48" s="112" t="n">
        <v>19.3</v>
      </c>
      <c r="D48" s="112" t="n">
        <v>8.9</v>
      </c>
      <c r="E48" s="0" t="n">
        <v>6.8</v>
      </c>
      <c r="F48" s="0" t="n">
        <v>5.7</v>
      </c>
      <c r="G48" s="0" t="n">
        <v>4.7</v>
      </c>
      <c r="H48" s="113" t="n">
        <v>4.1</v>
      </c>
    </row>
    <row r="49" customFormat="false" ht="15.8" hidden="false" customHeight="false" outlineLevel="0" collapsed="false">
      <c r="A49" s="114" t="n">
        <v>100</v>
      </c>
      <c r="B49" s="115" t="n">
        <v>200</v>
      </c>
      <c r="C49" s="114" t="n">
        <v>27.5</v>
      </c>
      <c r="D49" s="114" t="n">
        <v>10</v>
      </c>
      <c r="E49" s="115" t="n">
        <v>8</v>
      </c>
      <c r="F49" s="115" t="n">
        <v>7</v>
      </c>
      <c r="G49" s="115" t="n">
        <v>6.1</v>
      </c>
      <c r="H49" s="116" t="n">
        <v>5.5</v>
      </c>
    </row>
    <row r="50" customFormat="false" ht="15.8" hidden="false" customHeight="false" outlineLevel="0" collapsed="false"/>
    <row r="51" customFormat="false" ht="15.8" hidden="false" customHeight="false" outlineLevel="0" collapsed="false">
      <c r="B51" s="85" t="s">
        <v>40</v>
      </c>
      <c r="C51" s="85" t="s">
        <v>41</v>
      </c>
      <c r="D51" s="85" t="s">
        <v>42</v>
      </c>
      <c r="E51" s="85" t="s">
        <v>43</v>
      </c>
      <c r="F51" s="85" t="s">
        <v>44</v>
      </c>
      <c r="G51" s="85" t="s">
        <v>40</v>
      </c>
      <c r="H51" s="85" t="s">
        <v>41</v>
      </c>
      <c r="I51" s="85" t="s">
        <v>42</v>
      </c>
      <c r="J51" s="85" t="s">
        <v>43</v>
      </c>
      <c r="K51" s="85" t="s">
        <v>44</v>
      </c>
      <c r="L51" s="85" t="s">
        <v>40</v>
      </c>
      <c r="M51" s="85" t="s">
        <v>41</v>
      </c>
      <c r="N51" s="85" t="s">
        <v>42</v>
      </c>
      <c r="O51" s="85" t="s">
        <v>43</v>
      </c>
      <c r="P51" s="85" t="s">
        <v>44</v>
      </c>
    </row>
    <row r="52" customFormat="false" ht="15.8" hidden="false" customHeight="false" outlineLevel="0" collapsed="false">
      <c r="A52" s="85" t="s">
        <v>186</v>
      </c>
      <c r="B52" s="0" t="n">
        <v>4.475147</v>
      </c>
      <c r="C52" s="0" t="n">
        <v>4.733991</v>
      </c>
      <c r="D52" s="0" t="n">
        <v>4.720532</v>
      </c>
      <c r="E52" s="0" t="n">
        <v>4.753982</v>
      </c>
      <c r="F52" s="0" t="n">
        <v>4.776061</v>
      </c>
      <c r="G52" s="0" t="n">
        <v>4.756581</v>
      </c>
      <c r="H52" s="0" t="n">
        <v>5.071365</v>
      </c>
      <c r="I52" s="0" t="n">
        <v>5.012042</v>
      </c>
      <c r="J52" s="0" t="n">
        <v>5.064873</v>
      </c>
      <c r="K52" s="0" t="n">
        <v>5.038718</v>
      </c>
      <c r="L52" s="0" t="n">
        <v>4.489153</v>
      </c>
      <c r="M52" s="0" t="n">
        <v>4.796755</v>
      </c>
      <c r="N52" s="0" t="n">
        <v>4.784308</v>
      </c>
      <c r="O52" s="0" t="n">
        <v>4.787062</v>
      </c>
      <c r="P52" s="0" t="n">
        <v>4.805943</v>
      </c>
    </row>
    <row r="53" customFormat="false" ht="15.8" hidden="false" customHeight="false" outlineLevel="0" collapsed="false">
      <c r="A53" s="5" t="n">
        <v>4</v>
      </c>
      <c r="B53" s="0" t="n">
        <v>64899</v>
      </c>
      <c r="C53" s="0" t="n">
        <v>68924</v>
      </c>
      <c r="D53" s="0" t="n">
        <v>68636</v>
      </c>
      <c r="E53" s="0" t="n">
        <v>68505</v>
      </c>
      <c r="F53" s="0" t="n">
        <v>68193</v>
      </c>
      <c r="G53" s="0" t="n">
        <v>51992</v>
      </c>
      <c r="H53" s="0" t="n">
        <v>53940</v>
      </c>
      <c r="I53" s="0" t="n">
        <v>53282</v>
      </c>
      <c r="J53" s="0" t="n">
        <v>53242</v>
      </c>
      <c r="K53" s="0" t="n">
        <v>53515</v>
      </c>
      <c r="L53" s="0" t="n">
        <v>48799</v>
      </c>
      <c r="M53" s="0" t="n">
        <v>51430</v>
      </c>
      <c r="N53" s="0" t="n">
        <v>51700</v>
      </c>
      <c r="O53" s="0" t="n">
        <v>51740</v>
      </c>
      <c r="P53" s="0" t="n">
        <v>51082</v>
      </c>
    </row>
    <row r="54" customFormat="false" ht="15.8" hidden="false" customHeight="false" outlineLevel="0" collapsed="false">
      <c r="A54" s="5" t="n">
        <v>5</v>
      </c>
      <c r="B54" s="0" t="n">
        <v>56257</v>
      </c>
      <c r="C54" s="0" t="n">
        <v>59891</v>
      </c>
      <c r="D54" s="0" t="n">
        <v>59326</v>
      </c>
      <c r="E54" s="0" t="n">
        <v>59295</v>
      </c>
      <c r="F54" s="0" t="n">
        <v>59066</v>
      </c>
      <c r="G54" s="0" t="n">
        <v>44162</v>
      </c>
      <c r="H54" s="0" t="n">
        <v>45794</v>
      </c>
      <c r="I54" s="0" t="n">
        <v>45123</v>
      </c>
      <c r="J54" s="0" t="n">
        <v>45104</v>
      </c>
      <c r="K54" s="0" t="n">
        <v>45370</v>
      </c>
      <c r="L54" s="0" t="n">
        <v>41290</v>
      </c>
      <c r="M54" s="0" t="n">
        <v>43593</v>
      </c>
      <c r="N54" s="0" t="n">
        <v>43713</v>
      </c>
      <c r="O54" s="0" t="n">
        <v>43834</v>
      </c>
      <c r="P54" s="0" t="n">
        <v>43237</v>
      </c>
    </row>
    <row r="55" customFormat="false" ht="15.8" hidden="false" customHeight="false" outlineLevel="0" collapsed="false">
      <c r="A55" s="5" t="n">
        <v>6</v>
      </c>
      <c r="B55" s="0" t="n">
        <v>48583</v>
      </c>
      <c r="C55" s="0" t="n">
        <v>51654</v>
      </c>
      <c r="D55" s="0" t="n">
        <v>51300</v>
      </c>
      <c r="E55" s="0" t="n">
        <v>51080</v>
      </c>
      <c r="F55" s="0" t="n">
        <v>50920</v>
      </c>
      <c r="G55" s="0" t="n">
        <v>37475</v>
      </c>
      <c r="H55" s="0" t="n">
        <v>38947</v>
      </c>
      <c r="I55" s="0" t="n">
        <v>38027</v>
      </c>
      <c r="J55" s="0" t="n">
        <v>38178</v>
      </c>
      <c r="K55" s="0" t="n">
        <v>38360</v>
      </c>
      <c r="L55" s="0" t="n">
        <v>34958</v>
      </c>
      <c r="M55" s="0" t="n">
        <v>36844</v>
      </c>
      <c r="N55" s="0" t="n">
        <v>36893</v>
      </c>
      <c r="O55" s="0" t="n">
        <v>36888</v>
      </c>
      <c r="P55" s="0" t="n">
        <v>36437</v>
      </c>
    </row>
    <row r="56" customFormat="false" ht="15.8" hidden="false" customHeight="false" outlineLevel="0" collapsed="false">
      <c r="A56" s="5" t="n">
        <v>7</v>
      </c>
      <c r="B56" s="0" t="n">
        <v>42357</v>
      </c>
      <c r="C56" s="0" t="n">
        <v>44994</v>
      </c>
      <c r="D56" s="0" t="n">
        <v>44741</v>
      </c>
      <c r="E56" s="0" t="n">
        <v>44589</v>
      </c>
      <c r="F56" s="0" t="n">
        <v>44350</v>
      </c>
      <c r="G56" s="0" t="n">
        <v>31043</v>
      </c>
      <c r="H56" s="0" t="n">
        <v>32225</v>
      </c>
      <c r="I56" s="0" t="n">
        <v>31585</v>
      </c>
      <c r="J56" s="0" t="n">
        <v>31520</v>
      </c>
      <c r="K56" s="0" t="n">
        <v>31829</v>
      </c>
      <c r="L56" s="0" t="n">
        <v>28935</v>
      </c>
      <c r="M56" s="0" t="n">
        <v>30427</v>
      </c>
      <c r="N56" s="0" t="n">
        <v>30431</v>
      </c>
      <c r="O56" s="0" t="n">
        <v>30572</v>
      </c>
      <c r="P56" s="0" t="n">
        <v>30152</v>
      </c>
    </row>
    <row r="57" customFormat="false" ht="15.8" hidden="false" customHeight="false" outlineLevel="0" collapsed="false">
      <c r="A57" s="5" t="n">
        <v>8</v>
      </c>
      <c r="B57" s="0" t="n">
        <v>36098</v>
      </c>
      <c r="C57" s="0" t="n">
        <v>38325</v>
      </c>
      <c r="D57" s="0" t="n">
        <v>38238</v>
      </c>
      <c r="E57" s="0" t="n">
        <v>38152</v>
      </c>
      <c r="F57" s="0" t="n">
        <v>37745</v>
      </c>
      <c r="G57" s="0" t="n">
        <v>25259</v>
      </c>
      <c r="H57" s="0" t="n">
        <v>26108</v>
      </c>
      <c r="I57" s="0" t="n">
        <v>25521</v>
      </c>
      <c r="J57" s="0" t="n">
        <v>25513</v>
      </c>
      <c r="K57" s="0" t="n">
        <v>25681</v>
      </c>
      <c r="L57" s="0" t="n">
        <v>23457</v>
      </c>
      <c r="M57" s="0" t="n">
        <v>24711</v>
      </c>
      <c r="N57" s="0" t="n">
        <v>24555</v>
      </c>
      <c r="O57" s="0" t="n">
        <v>24775</v>
      </c>
      <c r="P57" s="0" t="n">
        <v>24275</v>
      </c>
    </row>
    <row r="58" customFormat="false" ht="15.8" hidden="false" customHeight="false" outlineLevel="0" collapsed="false">
      <c r="A58" s="5" t="n">
        <v>9</v>
      </c>
      <c r="B58" s="0" t="n">
        <v>30748</v>
      </c>
      <c r="C58" s="0" t="n">
        <v>32797</v>
      </c>
      <c r="D58" s="0" t="n">
        <v>32878</v>
      </c>
      <c r="E58" s="0" t="n">
        <v>32731</v>
      </c>
      <c r="F58" s="0" t="n">
        <v>32349</v>
      </c>
      <c r="G58" s="0" t="n">
        <v>20297</v>
      </c>
      <c r="H58" s="0" t="n">
        <v>20964</v>
      </c>
      <c r="I58" s="0" t="n">
        <v>20399</v>
      </c>
      <c r="J58" s="0" t="n">
        <v>20516</v>
      </c>
      <c r="K58" s="0" t="n">
        <v>20586</v>
      </c>
      <c r="L58" s="0" t="n">
        <v>18805</v>
      </c>
      <c r="M58" s="0" t="n">
        <v>19755</v>
      </c>
      <c r="N58" s="0" t="n">
        <v>19605</v>
      </c>
      <c r="O58" s="0" t="n">
        <v>19787</v>
      </c>
      <c r="P58" s="0" t="n">
        <v>19480</v>
      </c>
    </row>
    <row r="59" customFormat="false" ht="15.8" hidden="false" customHeight="false" outlineLevel="0" collapsed="false">
      <c r="A59" s="5" t="n">
        <v>10</v>
      </c>
      <c r="B59" s="0" t="n">
        <v>26004</v>
      </c>
      <c r="C59" s="0" t="n">
        <v>27802</v>
      </c>
      <c r="D59" s="0" t="n">
        <v>27813</v>
      </c>
      <c r="E59" s="0" t="n">
        <v>27635</v>
      </c>
      <c r="F59" s="0" t="n">
        <v>27427</v>
      </c>
      <c r="G59" s="0" t="n">
        <v>16224</v>
      </c>
      <c r="H59" s="0" t="n">
        <v>16855</v>
      </c>
      <c r="I59" s="0" t="n">
        <v>16422</v>
      </c>
      <c r="J59" s="0" t="n">
        <v>16577</v>
      </c>
      <c r="K59" s="0" t="n">
        <v>16497</v>
      </c>
      <c r="L59" s="0" t="n">
        <v>15210</v>
      </c>
      <c r="M59" s="0" t="n">
        <v>15912</v>
      </c>
      <c r="N59" s="0" t="n">
        <v>15753</v>
      </c>
      <c r="O59" s="0" t="n">
        <v>15881</v>
      </c>
      <c r="P59" s="0" t="n">
        <v>15548</v>
      </c>
    </row>
    <row r="60" customFormat="false" ht="15.8" hidden="false" customHeight="false" outlineLevel="0" collapsed="false">
      <c r="A60" s="5" t="n">
        <v>11</v>
      </c>
      <c r="B60" s="0" t="n">
        <v>21787</v>
      </c>
      <c r="C60" s="0" t="n">
        <v>23373</v>
      </c>
      <c r="D60" s="0" t="n">
        <v>23371</v>
      </c>
      <c r="E60" s="0" t="n">
        <v>23172</v>
      </c>
      <c r="F60" s="0" t="n">
        <v>22930</v>
      </c>
      <c r="G60" s="0" t="n">
        <v>12946</v>
      </c>
      <c r="H60" s="0" t="n">
        <v>13488</v>
      </c>
      <c r="I60" s="0" t="n">
        <v>13079</v>
      </c>
      <c r="J60" s="0" t="n">
        <v>13247</v>
      </c>
      <c r="K60" s="0" t="n">
        <v>13212</v>
      </c>
      <c r="L60" s="0" t="n">
        <v>12182</v>
      </c>
      <c r="M60" s="0" t="n">
        <v>12725</v>
      </c>
      <c r="N60" s="0" t="n">
        <v>12592</v>
      </c>
      <c r="O60" s="0" t="n">
        <v>12734</v>
      </c>
      <c r="P60" s="0" t="n">
        <v>12308</v>
      </c>
    </row>
    <row r="61" customFormat="false" ht="15.8" hidden="false" customHeight="false" outlineLevel="0" collapsed="false">
      <c r="A61" s="5" t="n">
        <v>12</v>
      </c>
      <c r="B61" s="0" t="n">
        <v>17875</v>
      </c>
      <c r="C61" s="0" t="n">
        <v>19353</v>
      </c>
      <c r="D61" s="0" t="n">
        <v>19274</v>
      </c>
      <c r="E61" s="0" t="n">
        <v>19142</v>
      </c>
      <c r="F61" s="0" t="n">
        <v>19006</v>
      </c>
      <c r="G61" s="0" t="n">
        <v>10520</v>
      </c>
      <c r="H61" s="0" t="n">
        <v>10955</v>
      </c>
      <c r="I61" s="0" t="n">
        <v>10513</v>
      </c>
      <c r="J61" s="0" t="n">
        <v>10759</v>
      </c>
      <c r="K61" s="0" t="n">
        <v>10718</v>
      </c>
      <c r="L61" s="0" t="n">
        <v>9996</v>
      </c>
      <c r="M61" s="0" t="n">
        <v>10304</v>
      </c>
      <c r="N61" s="0" t="n">
        <v>10245</v>
      </c>
      <c r="O61" s="0" t="n">
        <v>10331</v>
      </c>
      <c r="P61" s="0" t="n">
        <v>10024</v>
      </c>
    </row>
    <row r="62" customFormat="false" ht="15.8" hidden="false" customHeight="false" outlineLevel="0" collapsed="false">
      <c r="A62" s="5" t="n">
        <v>13</v>
      </c>
      <c r="B62" s="0" t="n">
        <v>14542</v>
      </c>
      <c r="C62" s="0" t="n">
        <v>15773</v>
      </c>
      <c r="D62" s="0" t="n">
        <v>15774</v>
      </c>
      <c r="E62" s="0" t="n">
        <v>15562</v>
      </c>
      <c r="F62" s="0" t="n">
        <v>15566</v>
      </c>
      <c r="G62" s="0" t="n">
        <v>8652</v>
      </c>
      <c r="H62" s="0" t="n">
        <v>8885</v>
      </c>
      <c r="I62" s="0" t="n">
        <v>8628</v>
      </c>
      <c r="J62" s="0" t="n">
        <v>8836</v>
      </c>
      <c r="K62" s="0" t="n">
        <v>8798</v>
      </c>
      <c r="L62" s="0" t="n">
        <v>8154</v>
      </c>
      <c r="M62" s="0" t="n">
        <v>8488</v>
      </c>
      <c r="N62" s="0" t="n">
        <v>8383</v>
      </c>
      <c r="O62" s="0" t="n">
        <v>8478</v>
      </c>
      <c r="P62" s="0" t="n">
        <v>8259</v>
      </c>
    </row>
    <row r="63" customFormat="false" ht="15.8" hidden="false" customHeight="false" outlineLevel="0" collapsed="false">
      <c r="A63" s="5" t="n">
        <v>14</v>
      </c>
      <c r="B63" s="0" t="n">
        <v>11660</v>
      </c>
      <c r="C63" s="0" t="n">
        <v>12639</v>
      </c>
      <c r="D63" s="0" t="n">
        <v>12567</v>
      </c>
      <c r="E63" s="0" t="n">
        <v>12452</v>
      </c>
      <c r="F63" s="0" t="n">
        <v>12403</v>
      </c>
      <c r="G63" s="0" t="n">
        <v>7252</v>
      </c>
      <c r="H63" s="0" t="n">
        <v>7357</v>
      </c>
      <c r="I63" s="0" t="n">
        <v>7090</v>
      </c>
      <c r="J63" s="0" t="n">
        <v>7375</v>
      </c>
      <c r="K63" s="0" t="n">
        <v>7357</v>
      </c>
      <c r="L63" s="0" t="n">
        <v>6800</v>
      </c>
      <c r="M63" s="0" t="n">
        <v>7093</v>
      </c>
      <c r="N63" s="0" t="n">
        <v>7006</v>
      </c>
      <c r="O63" s="0" t="n">
        <v>7050</v>
      </c>
      <c r="P63" s="0" t="n">
        <v>6873</v>
      </c>
    </row>
    <row r="64" customFormat="false" ht="15.8" hidden="false" customHeight="false" outlineLevel="0" collapsed="false">
      <c r="A64" s="5" t="n">
        <v>15</v>
      </c>
      <c r="B64" s="0" t="n">
        <v>9114</v>
      </c>
      <c r="C64" s="0" t="n">
        <v>9941</v>
      </c>
      <c r="D64" s="0" t="n">
        <v>9882</v>
      </c>
      <c r="E64" s="0" t="n">
        <v>9709</v>
      </c>
      <c r="F64" s="0" t="n">
        <v>9701</v>
      </c>
      <c r="G64" s="0" t="n">
        <v>6112</v>
      </c>
      <c r="H64" s="0" t="n">
        <v>6162</v>
      </c>
      <c r="I64" s="0" t="n">
        <v>6017</v>
      </c>
      <c r="J64" s="0" t="n">
        <v>6229</v>
      </c>
      <c r="K64" s="0" t="n">
        <v>6203</v>
      </c>
      <c r="L64" s="0" t="n">
        <v>5768</v>
      </c>
      <c r="M64" s="0" t="n">
        <v>5971</v>
      </c>
      <c r="N64" s="0" t="n">
        <v>5927</v>
      </c>
      <c r="O64" s="0" t="n">
        <v>5962</v>
      </c>
      <c r="P64" s="0" t="n">
        <v>5781</v>
      </c>
    </row>
    <row r="65" customFormat="false" ht="15.8" hidden="false" customHeight="false" outlineLevel="0" collapsed="false">
      <c r="A65" s="5" t="n">
        <v>16</v>
      </c>
      <c r="B65" s="0" t="n">
        <v>7062</v>
      </c>
      <c r="C65" s="0" t="n">
        <v>7694</v>
      </c>
      <c r="D65" s="0" t="n">
        <v>7682</v>
      </c>
      <c r="E65" s="0" t="n">
        <v>7426</v>
      </c>
      <c r="F65" s="0" t="n">
        <v>7485</v>
      </c>
      <c r="G65" s="0" t="n">
        <v>5255</v>
      </c>
      <c r="H65" s="0" t="n">
        <v>5297</v>
      </c>
      <c r="I65" s="0" t="n">
        <v>5110</v>
      </c>
      <c r="J65" s="0" t="n">
        <v>5302</v>
      </c>
      <c r="K65" s="0" t="n">
        <v>5289</v>
      </c>
      <c r="L65" s="0" t="n">
        <v>4988</v>
      </c>
      <c r="M65" s="0" t="n">
        <v>5145</v>
      </c>
      <c r="N65" s="0" t="n">
        <v>5042</v>
      </c>
      <c r="O65" s="0" t="n">
        <v>5076</v>
      </c>
      <c r="P65" s="0" t="n">
        <v>4928</v>
      </c>
    </row>
    <row r="66" customFormat="false" ht="15.8" hidden="false" customHeight="false" outlineLevel="0" collapsed="false">
      <c r="A66" s="5" t="n">
        <v>17</v>
      </c>
      <c r="B66" s="0" t="n">
        <v>5386</v>
      </c>
      <c r="C66" s="0" t="n">
        <v>5910</v>
      </c>
      <c r="D66" s="0" t="n">
        <v>5909</v>
      </c>
      <c r="E66" s="0" t="n">
        <v>5640</v>
      </c>
      <c r="F66" s="0" t="n">
        <v>5698</v>
      </c>
      <c r="G66" s="0" t="n">
        <v>4528</v>
      </c>
      <c r="H66" s="0" t="n">
        <v>4590</v>
      </c>
      <c r="I66" s="0" t="n">
        <v>4442</v>
      </c>
      <c r="J66" s="0" t="n">
        <v>4576</v>
      </c>
      <c r="K66" s="0" t="n">
        <v>4562</v>
      </c>
      <c r="L66" s="0" t="n">
        <v>4285</v>
      </c>
      <c r="M66" s="0" t="n">
        <v>4466</v>
      </c>
      <c r="N66" s="0" t="n">
        <v>4373</v>
      </c>
      <c r="O66" s="0" t="n">
        <v>4357</v>
      </c>
      <c r="P66" s="0" t="n">
        <v>4289</v>
      </c>
    </row>
    <row r="67" customFormat="false" ht="15.8" hidden="false" customHeight="false" outlineLevel="0" collapsed="false">
      <c r="A67" s="5" t="n">
        <v>18</v>
      </c>
      <c r="B67" s="0" t="n">
        <v>4142</v>
      </c>
      <c r="C67" s="0" t="n">
        <v>4444</v>
      </c>
      <c r="D67" s="0" t="n">
        <v>4538</v>
      </c>
      <c r="E67" s="0" t="n">
        <v>4272</v>
      </c>
      <c r="F67" s="0" t="n">
        <v>4234</v>
      </c>
      <c r="G67" s="0" t="n">
        <v>3986</v>
      </c>
      <c r="H67" s="0" t="n">
        <v>4022</v>
      </c>
      <c r="I67" s="0" t="n">
        <v>3948</v>
      </c>
      <c r="J67" s="0" t="n">
        <v>4047</v>
      </c>
      <c r="K67" s="0" t="n">
        <v>3972</v>
      </c>
      <c r="L67" s="0" t="n">
        <v>3770</v>
      </c>
      <c r="M67" s="0" t="n">
        <v>3941</v>
      </c>
      <c r="N67" s="0" t="n">
        <v>3897</v>
      </c>
      <c r="O67" s="0" t="n">
        <v>3806</v>
      </c>
      <c r="P67" s="0" t="n">
        <v>3752</v>
      </c>
    </row>
    <row r="68" customFormat="false" ht="15.8" hidden="false" customHeight="false" outlineLevel="0" collapsed="false">
      <c r="A68" s="5" t="n">
        <v>19</v>
      </c>
      <c r="B68" s="0" t="n">
        <v>3183</v>
      </c>
      <c r="C68" s="0" t="n">
        <v>3376</v>
      </c>
      <c r="D68" s="0" t="n">
        <v>3435</v>
      </c>
      <c r="E68" s="0" t="n">
        <v>3299</v>
      </c>
      <c r="F68" s="0" t="n">
        <v>3199</v>
      </c>
      <c r="G68" s="0" t="n">
        <v>3507</v>
      </c>
      <c r="H68" s="0" t="n">
        <v>3560</v>
      </c>
      <c r="I68" s="0" t="n">
        <v>3513</v>
      </c>
      <c r="J68" s="0" t="n">
        <v>3608</v>
      </c>
      <c r="K68" s="0" t="n">
        <v>3481</v>
      </c>
      <c r="L68" s="0" t="n">
        <v>3320</v>
      </c>
      <c r="M68" s="0" t="n">
        <v>3511</v>
      </c>
      <c r="N68" s="0" t="n">
        <v>3460</v>
      </c>
      <c r="O68" s="0" t="n">
        <v>3351</v>
      </c>
      <c r="P68" s="0" t="n">
        <v>3335</v>
      </c>
    </row>
    <row r="69" customFormat="false" ht="15.8" hidden="false" customHeight="false" outlineLevel="0" collapsed="false">
      <c r="A69" s="5" t="n">
        <v>20</v>
      </c>
      <c r="B69" s="0" t="n">
        <v>2478</v>
      </c>
      <c r="C69" s="0" t="n">
        <v>2570</v>
      </c>
      <c r="D69" s="0" t="n">
        <v>2635</v>
      </c>
      <c r="E69" s="0" t="n">
        <v>2483</v>
      </c>
      <c r="F69" s="0" t="n">
        <v>2430</v>
      </c>
      <c r="G69" s="0" t="n">
        <v>3160</v>
      </c>
      <c r="H69" s="0" t="n">
        <v>3179</v>
      </c>
      <c r="I69" s="0" t="n">
        <v>3159</v>
      </c>
      <c r="J69" s="0" t="n">
        <v>3222</v>
      </c>
      <c r="K69" s="0" t="n">
        <v>3112</v>
      </c>
      <c r="L69" s="0" t="n">
        <v>2954</v>
      </c>
      <c r="M69" s="0" t="n">
        <v>3133</v>
      </c>
      <c r="N69" s="0" t="n">
        <v>3113</v>
      </c>
      <c r="O69" s="0" t="n">
        <v>3003</v>
      </c>
      <c r="P69" s="0" t="n">
        <v>2977</v>
      </c>
    </row>
    <row r="70" customFormat="false" ht="15.8" hidden="false" customHeight="false" outlineLevel="0" collapsed="false">
      <c r="A70" s="5" t="n">
        <v>21</v>
      </c>
      <c r="B70" s="0" t="n">
        <v>1917</v>
      </c>
      <c r="C70" s="0" t="n">
        <v>1944</v>
      </c>
      <c r="D70" s="0" t="n">
        <v>2031</v>
      </c>
      <c r="E70" s="0" t="n">
        <v>1916</v>
      </c>
      <c r="F70" s="0" t="n">
        <v>1828</v>
      </c>
      <c r="G70" s="0" t="n">
        <v>2868</v>
      </c>
      <c r="H70" s="0" t="n">
        <v>2904</v>
      </c>
      <c r="I70" s="0" t="n">
        <v>2876</v>
      </c>
      <c r="J70" s="0" t="n">
        <v>2918</v>
      </c>
      <c r="K70" s="0" t="n">
        <v>2825</v>
      </c>
      <c r="L70" s="0" t="n">
        <v>2697</v>
      </c>
      <c r="M70" s="0" t="n">
        <v>2852</v>
      </c>
      <c r="N70" s="0" t="n">
        <v>2841</v>
      </c>
      <c r="O70" s="0" t="n">
        <v>2723</v>
      </c>
      <c r="P70" s="0" t="n">
        <v>2692</v>
      </c>
    </row>
    <row r="71" customFormat="false" ht="15.8" hidden="false" customHeight="false" outlineLevel="0" collapsed="false">
      <c r="A71" s="5" t="n">
        <v>22</v>
      </c>
      <c r="B71" s="0" t="n">
        <v>1468</v>
      </c>
      <c r="C71" s="0" t="n">
        <v>1488</v>
      </c>
      <c r="D71" s="0" t="n">
        <v>1571</v>
      </c>
      <c r="E71" s="0" t="n">
        <v>1492</v>
      </c>
      <c r="F71" s="0" t="n">
        <v>1409</v>
      </c>
      <c r="G71" s="0" t="n">
        <v>2625</v>
      </c>
      <c r="H71" s="0" t="n">
        <v>2641</v>
      </c>
      <c r="I71" s="0" t="n">
        <v>2610</v>
      </c>
      <c r="J71" s="0" t="n">
        <v>2669</v>
      </c>
      <c r="K71" s="0" t="n">
        <v>2549</v>
      </c>
      <c r="L71" s="0" t="n">
        <v>2476</v>
      </c>
      <c r="M71" s="0" t="n">
        <v>2578</v>
      </c>
      <c r="N71" s="0" t="n">
        <v>2610</v>
      </c>
      <c r="O71" s="0" t="n">
        <v>2479</v>
      </c>
      <c r="P71" s="0" t="n">
        <v>2441</v>
      </c>
    </row>
    <row r="72" customFormat="false" ht="15.8" hidden="false" customHeight="false" outlineLevel="0" collapsed="false">
      <c r="A72" s="5" t="n">
        <v>23</v>
      </c>
      <c r="B72" s="0" t="n">
        <v>1133</v>
      </c>
      <c r="C72" s="0" t="n">
        <v>1135</v>
      </c>
      <c r="D72" s="0" t="n">
        <v>1188</v>
      </c>
      <c r="E72" s="0" t="n">
        <v>1152</v>
      </c>
      <c r="F72" s="0" t="n">
        <v>1063</v>
      </c>
      <c r="G72" s="0" t="n">
        <v>2319</v>
      </c>
      <c r="H72" s="0" t="n">
        <v>2356</v>
      </c>
      <c r="I72" s="0" t="n">
        <v>2337</v>
      </c>
      <c r="J72" s="0" t="n">
        <v>2372</v>
      </c>
      <c r="K72" s="0" t="n">
        <v>2277</v>
      </c>
      <c r="L72" s="0" t="n">
        <v>2216</v>
      </c>
      <c r="M72" s="0" t="n">
        <v>2302</v>
      </c>
      <c r="N72" s="0" t="n">
        <v>2326</v>
      </c>
      <c r="O72" s="0" t="n">
        <v>2173</v>
      </c>
      <c r="P72" s="0" t="n">
        <v>2152</v>
      </c>
    </row>
    <row r="73" customFormat="false" ht="15.8" hidden="false" customHeight="false" outlineLevel="0" collapsed="false">
      <c r="A73" s="5" t="n">
        <v>24</v>
      </c>
      <c r="B73" s="0" t="n">
        <v>874</v>
      </c>
      <c r="C73" s="0" t="n">
        <v>868</v>
      </c>
      <c r="D73" s="0" t="n">
        <v>892</v>
      </c>
      <c r="E73" s="0" t="n">
        <v>902</v>
      </c>
      <c r="F73" s="0" t="n">
        <v>773</v>
      </c>
      <c r="G73" s="0" t="n">
        <v>1976</v>
      </c>
      <c r="H73" s="0" t="n">
        <v>2002</v>
      </c>
      <c r="I73" s="0" t="n">
        <v>1977</v>
      </c>
      <c r="J73" s="0" t="n">
        <v>2040</v>
      </c>
      <c r="K73" s="0" t="n">
        <v>1938</v>
      </c>
      <c r="L73" s="0" t="n">
        <v>1894</v>
      </c>
      <c r="M73" s="0" t="n">
        <v>1908</v>
      </c>
      <c r="N73" s="0" t="n">
        <v>1970</v>
      </c>
      <c r="O73" s="0" t="n">
        <v>1854</v>
      </c>
      <c r="P73" s="0" t="n">
        <v>1818</v>
      </c>
    </row>
    <row r="74" customFormat="false" ht="15.8" hidden="false" customHeight="false" outlineLevel="0" collapsed="false">
      <c r="A74" s="5" t="n">
        <v>25</v>
      </c>
      <c r="B74" s="0" t="n">
        <v>664</v>
      </c>
      <c r="C74" s="0" t="n">
        <v>658</v>
      </c>
      <c r="D74" s="0" t="n">
        <v>677</v>
      </c>
      <c r="E74" s="0" t="n">
        <v>670</v>
      </c>
      <c r="F74" s="0" t="n">
        <v>586</v>
      </c>
      <c r="G74" s="0" t="n">
        <v>1553</v>
      </c>
      <c r="H74" s="0" t="n">
        <v>1563</v>
      </c>
      <c r="I74" s="0" t="n">
        <v>1540</v>
      </c>
      <c r="J74" s="0" t="n">
        <v>1620</v>
      </c>
      <c r="K74" s="0" t="n">
        <v>1480</v>
      </c>
      <c r="L74" s="0" t="n">
        <v>1474</v>
      </c>
      <c r="M74" s="0" t="n">
        <v>1477</v>
      </c>
      <c r="N74" s="0" t="n">
        <v>1550</v>
      </c>
      <c r="O74" s="0" t="n">
        <v>1434</v>
      </c>
      <c r="P74" s="0" t="n">
        <v>1431</v>
      </c>
    </row>
    <row r="75" customFormat="false" ht="15.8" hidden="false" customHeight="false" outlineLevel="0" collapsed="false">
      <c r="A75" s="5" t="n">
        <v>26</v>
      </c>
      <c r="B75" s="0" t="n">
        <v>496</v>
      </c>
      <c r="C75" s="0" t="n">
        <v>507</v>
      </c>
      <c r="D75" s="0" t="n">
        <v>514</v>
      </c>
      <c r="E75" s="0" t="n">
        <v>489</v>
      </c>
      <c r="F75" s="0" t="n">
        <v>433</v>
      </c>
      <c r="G75" s="0" t="n">
        <v>1105</v>
      </c>
      <c r="H75" s="0" t="n">
        <v>1165</v>
      </c>
      <c r="I75" s="0" t="n">
        <v>1134</v>
      </c>
      <c r="J75" s="0" t="n">
        <v>1177</v>
      </c>
      <c r="K75" s="0" t="n">
        <v>1034</v>
      </c>
      <c r="L75" s="0" t="n">
        <v>1079</v>
      </c>
      <c r="M75" s="0" t="n">
        <v>1076</v>
      </c>
      <c r="N75" s="0" t="n">
        <v>1130</v>
      </c>
      <c r="O75" s="0" t="n">
        <v>1000</v>
      </c>
      <c r="P75" s="0" t="n">
        <v>1004</v>
      </c>
    </row>
    <row r="76" customFormat="false" ht="15.8" hidden="false" customHeight="false" outlineLevel="0" collapsed="false">
      <c r="A76" s="5" t="n">
        <v>27</v>
      </c>
      <c r="B76" s="0" t="n">
        <v>377</v>
      </c>
      <c r="C76" s="0" t="n">
        <v>368</v>
      </c>
      <c r="D76" s="0" t="n">
        <v>371</v>
      </c>
      <c r="E76" s="0" t="n">
        <v>367</v>
      </c>
      <c r="F76" s="0" t="n">
        <v>314</v>
      </c>
      <c r="G76" s="0" t="n">
        <v>758</v>
      </c>
      <c r="H76" s="0" t="n">
        <v>805</v>
      </c>
      <c r="I76" s="0" t="n">
        <v>804</v>
      </c>
      <c r="J76" s="0" t="n">
        <v>826</v>
      </c>
      <c r="K76" s="0" t="n">
        <v>700</v>
      </c>
      <c r="L76" s="0" t="n">
        <v>730</v>
      </c>
      <c r="M76" s="0" t="n">
        <v>736</v>
      </c>
      <c r="N76" s="0" t="n">
        <v>809</v>
      </c>
      <c r="O76" s="0" t="n">
        <v>695</v>
      </c>
      <c r="P76" s="0" t="n">
        <v>702</v>
      </c>
    </row>
    <row r="77" customFormat="false" ht="15.8" hidden="false" customHeight="false" outlineLevel="0" collapsed="false">
      <c r="A77" s="5" t="n">
        <v>28</v>
      </c>
      <c r="B77" s="0" t="n">
        <v>271</v>
      </c>
      <c r="C77" s="0" t="n">
        <v>266</v>
      </c>
      <c r="D77" s="0" t="n">
        <v>276</v>
      </c>
      <c r="E77" s="0" t="n">
        <v>260</v>
      </c>
      <c r="F77" s="0" t="n">
        <v>204</v>
      </c>
      <c r="G77" s="0" t="n">
        <v>528</v>
      </c>
      <c r="H77" s="0" t="n">
        <v>574</v>
      </c>
      <c r="I77" s="0" t="n">
        <v>561</v>
      </c>
      <c r="J77" s="0" t="n">
        <v>575</v>
      </c>
      <c r="K77" s="0" t="n">
        <v>494</v>
      </c>
      <c r="L77" s="0" t="n">
        <v>530</v>
      </c>
      <c r="M77" s="0" t="n">
        <v>501</v>
      </c>
      <c r="N77" s="0" t="n">
        <v>553</v>
      </c>
      <c r="O77" s="0" t="n">
        <v>512</v>
      </c>
      <c r="P77" s="0" t="n">
        <v>483</v>
      </c>
    </row>
    <row r="78" customFormat="false" ht="15.8" hidden="false" customHeight="false" outlineLevel="0" collapsed="false">
      <c r="A78" s="5" t="n">
        <v>29</v>
      </c>
      <c r="B78" s="0" t="n">
        <v>205</v>
      </c>
      <c r="C78" s="0" t="n">
        <v>190</v>
      </c>
      <c r="D78" s="0" t="n">
        <v>204</v>
      </c>
      <c r="E78" s="0" t="n">
        <v>187</v>
      </c>
      <c r="F78" s="0" t="n">
        <v>143</v>
      </c>
      <c r="G78" s="0" t="n">
        <v>379</v>
      </c>
      <c r="H78" s="0" t="n">
        <v>404</v>
      </c>
      <c r="I78" s="0" t="n">
        <v>381</v>
      </c>
      <c r="J78" s="0" t="n">
        <v>411</v>
      </c>
      <c r="K78" s="0" t="n">
        <v>347</v>
      </c>
      <c r="L78" s="0" t="n">
        <v>376</v>
      </c>
      <c r="M78" s="0" t="n">
        <v>348</v>
      </c>
      <c r="N78" s="0" t="n">
        <v>395</v>
      </c>
      <c r="O78" s="0" t="n">
        <v>372</v>
      </c>
      <c r="P78" s="0" t="n">
        <v>327</v>
      </c>
    </row>
    <row r="79" customFormat="false" ht="15.8" hidden="false" customHeight="false" outlineLevel="0" collapsed="false">
      <c r="A79" s="5" t="n">
        <v>30</v>
      </c>
      <c r="B79" s="0" t="n">
        <v>153</v>
      </c>
      <c r="C79" s="0" t="n">
        <v>130</v>
      </c>
      <c r="D79" s="0" t="n">
        <v>136</v>
      </c>
      <c r="E79" s="0" t="n">
        <v>120</v>
      </c>
      <c r="F79" s="0" t="n">
        <v>91</v>
      </c>
      <c r="G79" s="0" t="n">
        <v>257</v>
      </c>
      <c r="H79" s="0" t="n">
        <v>304</v>
      </c>
      <c r="I79" s="0" t="n">
        <v>276</v>
      </c>
      <c r="J79" s="0" t="n">
        <v>307</v>
      </c>
      <c r="K79" s="0" t="n">
        <v>236</v>
      </c>
      <c r="L79" s="0" t="n">
        <v>275</v>
      </c>
      <c r="M79" s="0" t="n">
        <v>260</v>
      </c>
      <c r="N79" s="0" t="n">
        <v>295</v>
      </c>
      <c r="O79" s="0" t="n">
        <v>256</v>
      </c>
      <c r="P79" s="0" t="n">
        <v>236</v>
      </c>
    </row>
    <row r="80" customFormat="false" ht="15.8" hidden="false" customHeight="false" outlineLevel="0" collapsed="false">
      <c r="A80" s="5" t="n">
        <v>38</v>
      </c>
      <c r="B80" s="0" t="n">
        <v>99</v>
      </c>
      <c r="C80" s="0" t="n">
        <v>93</v>
      </c>
      <c r="D80" s="0" t="n">
        <v>95</v>
      </c>
      <c r="E80" s="0" t="n">
        <v>78</v>
      </c>
      <c r="F80" s="0" t="n">
        <v>60</v>
      </c>
      <c r="G80" s="0" t="n">
        <v>48</v>
      </c>
      <c r="H80" s="0" t="n">
        <v>52</v>
      </c>
      <c r="I80" s="0" t="n">
        <v>51</v>
      </c>
      <c r="J80" s="0" t="n">
        <v>59</v>
      </c>
      <c r="K80" s="0" t="n">
        <v>37</v>
      </c>
      <c r="L80" s="0" t="n">
        <v>58</v>
      </c>
      <c r="M80" s="0" t="n">
        <v>50</v>
      </c>
      <c r="N80" s="0" t="n">
        <v>52</v>
      </c>
      <c r="O80" s="0" t="n">
        <v>40</v>
      </c>
      <c r="P80" s="0" t="n">
        <v>37</v>
      </c>
    </row>
    <row r="81" customFormat="false" ht="15.8" hidden="false" customHeight="false" outlineLevel="0" collapsed="false">
      <c r="A81" s="5" t="n">
        <v>50</v>
      </c>
      <c r="B81" s="0" t="n">
        <v>64</v>
      </c>
      <c r="C81" s="0" t="n">
        <v>49</v>
      </c>
      <c r="D81" s="0" t="n">
        <v>47</v>
      </c>
      <c r="E81" s="0" t="n">
        <v>39</v>
      </c>
      <c r="F81" s="0" t="n">
        <v>34</v>
      </c>
      <c r="G81" s="0" t="n">
        <v>35</v>
      </c>
      <c r="H81" s="0" t="n">
        <v>34</v>
      </c>
      <c r="I81" s="0" t="n">
        <v>34</v>
      </c>
      <c r="J81" s="0" t="n">
        <v>33</v>
      </c>
      <c r="K81" s="0" t="n">
        <v>19</v>
      </c>
      <c r="L81" s="0" t="n">
        <v>36</v>
      </c>
      <c r="M81" s="0" t="n">
        <v>23</v>
      </c>
      <c r="N81" s="0" t="n">
        <v>30</v>
      </c>
      <c r="O81" s="0" t="n">
        <v>25</v>
      </c>
      <c r="P81" s="0" t="n">
        <v>20</v>
      </c>
    </row>
    <row r="82" customFormat="false" ht="15.8" hidden="false" customHeight="false" outlineLevel="0" collapsed="false">
      <c r="A82" s="5" t="n">
        <v>70</v>
      </c>
      <c r="B82" s="0" t="n">
        <v>33</v>
      </c>
      <c r="C82" s="0" t="n">
        <v>21</v>
      </c>
      <c r="D82" s="0" t="n">
        <v>21</v>
      </c>
      <c r="E82" s="0" t="n">
        <v>10</v>
      </c>
      <c r="F82" s="0" t="n">
        <v>16</v>
      </c>
      <c r="G82" s="0" t="n">
        <v>12</v>
      </c>
      <c r="H82" s="0" t="n">
        <v>9</v>
      </c>
      <c r="I82" s="0" t="n">
        <v>16</v>
      </c>
      <c r="J82" s="0" t="n">
        <v>8</v>
      </c>
      <c r="K82" s="0" t="n">
        <v>5</v>
      </c>
      <c r="L82" s="0" t="n">
        <v>15</v>
      </c>
      <c r="M82" s="0" t="n">
        <v>9</v>
      </c>
      <c r="N82" s="0" t="n">
        <v>9</v>
      </c>
      <c r="O82" s="0" t="n">
        <v>10</v>
      </c>
      <c r="P82" s="0" t="n">
        <v>2</v>
      </c>
    </row>
    <row r="83" customFormat="false" ht="15.8" hidden="false" customHeight="false" outlineLevel="0" collapsed="false"/>
    <row r="84" customFormat="false" ht="15.8" hidden="false" customHeight="false" outlineLevel="0" collapsed="false"/>
    <row r="85" customFormat="false" ht="15.8" hidden="false" customHeight="false" outlineLevel="0" collapsed="false"/>
    <row r="86" customFormat="false" ht="15.8" hidden="false" customHeight="false" outlineLevel="0" collapsed="false"/>
    <row r="87" customFormat="false" ht="15.8" hidden="false" customHeight="false" outlineLevel="0" collapsed="false"/>
    <row r="88" customFormat="false" ht="15.8" hidden="false" customHeight="false" outlineLevel="0" collapsed="false"/>
    <row r="89" customFormat="false" ht="15.8" hidden="false" customHeight="false" outlineLevel="0" collapsed="false"/>
    <row r="90" customFormat="false" ht="15.8" hidden="false" customHeight="false" outlineLevel="0" collapsed="false"/>
    <row r="91" customFormat="false" ht="15.8" hidden="false" customHeight="false" outlineLevel="0" collapsed="false"/>
    <row r="92" customFormat="false" ht="15.8" hidden="false" customHeight="false" outlineLevel="0" collapsed="false"/>
    <row r="93" customFormat="false" ht="15.8" hidden="false" customHeight="false" outlineLevel="0" collapsed="false"/>
    <row r="94" customFormat="false" ht="15.8" hidden="false" customHeight="false" outlineLevel="0" collapsed="false"/>
    <row r="95" customFormat="false" ht="15.8" hidden="false" customHeight="false" outlineLevel="0" collapsed="false"/>
    <row r="96" customFormat="false" ht="15.8" hidden="false" customHeight="false" outlineLevel="0" collapsed="false"/>
    <row r="97" customFormat="false" ht="15.8" hidden="false" customHeight="false" outlineLevel="0" collapsed="false"/>
    <row r="98" customFormat="false" ht="15.8" hidden="false" customHeight="false" outlineLevel="0" collapsed="false"/>
    <row r="99" customFormat="false" ht="15.8" hidden="false" customHeight="false" outlineLevel="0" collapsed="false"/>
    <row r="100" customFormat="false" ht="15.8" hidden="false" customHeight="false" outlineLevel="0" collapsed="false"/>
    <row r="101" customFormat="false" ht="15.8" hidden="false" customHeight="false" outlineLevel="0" collapsed="false"/>
  </sheetData>
  <mergeCells count="1">
    <mergeCell ref="A2:E2"/>
  </mergeCells>
  <conditionalFormatting sqref="H10:H40">
    <cfRule type="cellIs" priority="2" operator="greaterThan" aboveAverage="0" equalAverage="0" bottom="0" percent="0" rank="0" text="" dxfId="0">
      <formula>1000</formula>
    </cfRule>
  </conditionalFormatting>
  <conditionalFormatting sqref="K9:K40">
    <cfRule type="cellIs" priority="3" operator="lessThan" aboveAverage="0" equalAverage="0" bottom="0" percent="0" rank="0" text="" dxfId="0">
      <formula>J11</formula>
    </cfRule>
  </conditionalFormatting>
  <conditionalFormatting sqref="H9">
    <cfRule type="cellIs" priority="4" operator="greaterThan" aboveAverage="0" equalAverage="0" bottom="0" percent="0" rank="0" text="" dxfId="0">
      <formula>1000</formula>
    </cfRule>
  </conditionalFormatting>
  <printOptions headings="false" gridLines="false" gridLinesSet="true" horizontalCentered="false" verticalCentered="false"/>
  <pageMargins left="0.7875" right="0.7875" top="1.05277777777778" bottom="1.74166666666667" header="0.7875" footer="0.7875"/>
  <pageSetup paperSize="9" scale="110" fitToWidth="1" fitToHeight="1" pageOrder="downThenOver" orientation="landscape" blackAndWhite="false" draft="false" cellComments="none" horizontalDpi="300" verticalDpi="300" copies="1"/>
  <headerFooter differentFirst="false" differentOddEven="false">
    <oddHeader>&amp;C&amp;"Times New Roman,Regular"&amp;12&amp;Kffffff&amp;A</oddHeader>
    <oddFooter>&amp;C&amp;"Times New Roman,Regular"&amp;12&amp;KffffffPage &amp;P</oddFooter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W101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B8" activeCellId="0" sqref="B8"/>
    </sheetView>
  </sheetViews>
  <sheetFormatPr defaultColWidth="10.4921875" defaultRowHeight="12.8" zeroHeight="false" outlineLevelRow="0" outlineLevelCol="0"/>
  <sheetData>
    <row r="1" customFormat="false" ht="15.8" hidden="false" customHeight="false" outlineLevel="0" collapsed="false">
      <c r="A1" s="0" t="str">
        <f aca="false">'6 - B1'!$A$1</f>
        <v>Data Preprocessing and Quality Assessment per ISO 11171 Clause 6.6</v>
      </c>
    </row>
    <row r="2" customFormat="false" ht="40.6" hidden="false" customHeight="false" outlineLevel="0" collapsed="false">
      <c r="A2" s="97" t="s">
        <v>187</v>
      </c>
      <c r="O2" s="97"/>
    </row>
    <row r="3" customFormat="false" ht="15.8" hidden="false" customHeight="false" outlineLevel="0" collapsed="false">
      <c r="A3" s="0" t="str">
        <f aca="false">'6 - B1'!$A$3</f>
        <v>Serial #</v>
      </c>
      <c r="B3" s="95" t="str">
        <f aca="false">'6 - B1'!$B$3</f>
        <v>11171-00009</v>
      </c>
    </row>
    <row r="4" customFormat="false" ht="19.1" hidden="false" customHeight="true" outlineLevel="0" collapsed="false">
      <c r="A4" s="5" t="str">
        <f aca="false">'6 - B1'!$A$4</f>
        <v>Date</v>
      </c>
      <c r="B4" s="96" t="n">
        <f aca="false">'6 - B1'!$B$4</f>
        <v>45820</v>
      </c>
      <c r="O4" s="97"/>
    </row>
    <row r="5" customFormat="false" ht="15.8" hidden="false" customHeight="false" outlineLevel="0" collapsed="false">
      <c r="A5" s="5" t="str">
        <f aca="false">'6 - B1'!$A$5</f>
        <v>RM</v>
      </c>
      <c r="B5" s="117" t="str">
        <f aca="false">'6 - B1'!$B$5</f>
        <v>34D</v>
      </c>
      <c r="O5" s="31"/>
    </row>
    <row r="6" customFormat="false" ht="15.8" hidden="false" customHeight="false" outlineLevel="0" collapsed="false">
      <c r="B6" s="5"/>
      <c r="C6" s="5"/>
      <c r="D6" s="5"/>
      <c r="E6" s="5"/>
      <c r="F6" s="5"/>
    </row>
    <row r="7" customFormat="false" ht="15.8" hidden="false" customHeight="false" outlineLevel="0" collapsed="false">
      <c r="B7" s="85" t="s">
        <v>40</v>
      </c>
      <c r="C7" s="85" t="s">
        <v>41</v>
      </c>
      <c r="D7" s="85" t="s">
        <v>42</v>
      </c>
      <c r="E7" s="85" t="s">
        <v>43</v>
      </c>
      <c r="F7" s="85" t="s">
        <v>44</v>
      </c>
      <c r="G7" s="85" t="s">
        <v>138</v>
      </c>
      <c r="H7" s="85" t="s">
        <v>139</v>
      </c>
      <c r="I7" s="85" t="s">
        <v>140</v>
      </c>
      <c r="J7" s="85" t="s">
        <v>141</v>
      </c>
      <c r="K7" s="85" t="s">
        <v>142</v>
      </c>
      <c r="L7" s="85" t="s">
        <v>143</v>
      </c>
      <c r="O7" s="85" t="s">
        <v>129</v>
      </c>
    </row>
    <row r="8" customFormat="false" ht="15.8" hidden="false" customHeight="false" outlineLevel="0" collapsed="false">
      <c r="A8" s="80" t="s">
        <v>144</v>
      </c>
      <c r="B8" s="39" t="n">
        <f aca="false">G52</f>
        <v>4.756581</v>
      </c>
      <c r="C8" s="39" t="n">
        <f aca="false">H52</f>
        <v>5.071365</v>
      </c>
      <c r="D8" s="39" t="n">
        <f aca="false">I52</f>
        <v>5.012042</v>
      </c>
      <c r="E8" s="39" t="n">
        <f aca="false">J52</f>
        <v>5.064873</v>
      </c>
      <c r="F8" s="39" t="n">
        <f aca="false">K52</f>
        <v>5.038718</v>
      </c>
      <c r="G8" s="100" t="n">
        <f aca="false">AVERAGE(B$8:F$8)*5</f>
        <v>24.943579</v>
      </c>
      <c r="I8" s="101"/>
      <c r="K8" s="101"/>
    </row>
    <row r="9" customFormat="false" ht="15.8" hidden="false" customHeight="false" outlineLevel="0" collapsed="false">
      <c r="A9" s="80" t="s">
        <v>145</v>
      </c>
      <c r="B9" s="102" t="n">
        <f aca="false">G53/B$8</f>
        <v>10930.540234677</v>
      </c>
      <c r="C9" s="102" t="n">
        <f aca="false">H53/C$8</f>
        <v>10636.1896649127</v>
      </c>
      <c r="D9" s="102" t="n">
        <f aca="false">I53/D$8</f>
        <v>10630.7967890133</v>
      </c>
      <c r="E9" s="102" t="n">
        <f aca="false">J53/E$8</f>
        <v>10512.0108638459</v>
      </c>
      <c r="F9" s="102" t="n">
        <f aca="false">K53/F$8</f>
        <v>10620.7571052796</v>
      </c>
      <c r="G9" s="15" t="n">
        <f aca="false">AVERAGE(B9:F9)</f>
        <v>10666.0589315457</v>
      </c>
      <c r="H9" s="103" t="n">
        <f aca="false">G9*G$8</f>
        <v>266049.683577666</v>
      </c>
      <c r="I9" s="101" t="n">
        <f aca="false">STDEVP(B9:F9)/AVERAGE(B9:F9)</f>
        <v>0.013116973032698</v>
      </c>
      <c r="J9" s="101" t="n">
        <f aca="false">IF(H9&gt;$A$43, $C$43, IF(H9&gt;$A$44, $C$44, IF(H9&gt;$A$45,$C$45,IF(H9&gt;$A$46,$C$46, IF(H9&gt;$A$47,$C$47,IF(H9&gt;$A$48,$C$48,$C$49))))))/100</f>
        <v>0.11</v>
      </c>
      <c r="K9" s="101" t="n">
        <f aca="false">(MAX(B9:F9)-MIN(B9:F9))/G9</f>
        <v>0.039239364184759</v>
      </c>
      <c r="L9" s="0" t="n">
        <f aca="false">COUNTA(B9:F9)</f>
        <v>5</v>
      </c>
      <c r="N9" s="0" t="n">
        <v>1</v>
      </c>
      <c r="O9" s="37" t="n">
        <v>137.1</v>
      </c>
    </row>
    <row r="10" customFormat="false" ht="15.8" hidden="false" customHeight="false" outlineLevel="0" collapsed="false">
      <c r="A10" s="80" t="s">
        <v>146</v>
      </c>
      <c r="B10" s="102" t="n">
        <f aca="false">G54/B$8</f>
        <v>9284.39986620642</v>
      </c>
      <c r="C10" s="102" t="n">
        <f aca="false">H54/C$8</f>
        <v>9029.91600880631</v>
      </c>
      <c r="D10" s="102" t="n">
        <f aca="false">I54/D$8</f>
        <v>9002.91737379695</v>
      </c>
      <c r="E10" s="102" t="n">
        <f aca="false">J54/E$8</f>
        <v>8905.25784160827</v>
      </c>
      <c r="F10" s="102" t="n">
        <f aca="false">K54/F$8</f>
        <v>9004.27449998194</v>
      </c>
      <c r="G10" s="15" t="n">
        <f aca="false">AVERAGE(B10:F10)</f>
        <v>9045.35311807998</v>
      </c>
      <c r="H10" s="103" t="n">
        <f aca="false">G10*G$8</f>
        <v>225623.480083724</v>
      </c>
      <c r="I10" s="101" t="n">
        <f aca="false">STDEVP(B10:F10)/AVERAGE(B10:F10)</f>
        <v>0.0140274328088471</v>
      </c>
      <c r="J10" s="101" t="n">
        <f aca="false">IF(H10&gt;$A$43, $C$43, IF(H10&gt;$A$44, $C$44, IF(H10&gt;$A$45,$C$45,IF(H10&gt;$A$46,$C$46, IF(H10&gt;$A$47,$C$47,IF(H10&gt;$A$48,$C$48,$C$49))))))/100</f>
        <v>0.11</v>
      </c>
      <c r="K10" s="101" t="n">
        <f aca="false">(MAX(B10:F10)-MIN(B10:F10))/G10</f>
        <v>0.0419156687028965</v>
      </c>
      <c r="L10" s="0" t="n">
        <f aca="false">COUNTA(B10:F10)</f>
        <v>5</v>
      </c>
      <c r="N10" s="0" t="n">
        <v>2</v>
      </c>
      <c r="O10" s="37" t="n">
        <v>162.494327047856</v>
      </c>
    </row>
    <row r="11" customFormat="false" ht="15.8" hidden="false" customHeight="false" outlineLevel="0" collapsed="false">
      <c r="A11" s="80" t="s">
        <v>147</v>
      </c>
      <c r="B11" s="102" t="n">
        <f aca="false">G55/B$8</f>
        <v>7878.55814922525</v>
      </c>
      <c r="C11" s="102" t="n">
        <f aca="false">H55/C$8</f>
        <v>7679.78640859019</v>
      </c>
      <c r="D11" s="102" t="n">
        <f aca="false">I55/D$8</f>
        <v>7587.12716294077</v>
      </c>
      <c r="E11" s="102" t="n">
        <f aca="false">J55/E$8</f>
        <v>7537.80005934996</v>
      </c>
      <c r="F11" s="102" t="n">
        <f aca="false">K55/F$8</f>
        <v>7613.04760456926</v>
      </c>
      <c r="G11" s="15" t="n">
        <f aca="false">AVERAGE(B11:F11)</f>
        <v>7659.26387693509</v>
      </c>
      <c r="H11" s="103" t="n">
        <f aca="false">G11*G$8</f>
        <v>191049.453596177</v>
      </c>
      <c r="I11" s="101" t="n">
        <f aca="false">STDEVP(B11:F11)/AVERAGE(B11:F11)</f>
        <v>0.0155147013483978</v>
      </c>
      <c r="J11" s="101" t="n">
        <f aca="false">IF(H11&gt;$A$43, $C$43, IF(H11&gt;$A$44, $C$44, IF(H11&gt;$A$45,$C$45,IF(H11&gt;$A$46,$C$46, IF(H11&gt;$A$47,$C$47,IF(H11&gt;$A$48,$C$48,$C$49))))))/100</f>
        <v>0.11</v>
      </c>
      <c r="K11" s="101" t="n">
        <f aca="false">(MAX(B11:F11)-MIN(B11:F11))/G11</f>
        <v>0.0444896657629784</v>
      </c>
      <c r="L11" s="0" t="n">
        <f aca="false">COUNTA(B11:F11)</f>
        <v>5</v>
      </c>
      <c r="N11" s="0" t="n">
        <v>3</v>
      </c>
      <c r="O11" s="37" t="n">
        <v>192.592314534906</v>
      </c>
    </row>
    <row r="12" customFormat="false" ht="15.8" hidden="false" customHeight="false" outlineLevel="0" collapsed="false">
      <c r="A12" s="80" t="s">
        <v>148</v>
      </c>
      <c r="B12" s="102" t="n">
        <f aca="false">G56/B$8</f>
        <v>6526.32636761573</v>
      </c>
      <c r="C12" s="102" t="n">
        <f aca="false">H56/C$8</f>
        <v>6354.30500466837</v>
      </c>
      <c r="D12" s="102" t="n">
        <f aca="false">I56/D$8</f>
        <v>6301.82269023284</v>
      </c>
      <c r="E12" s="102" t="n">
        <f aca="false">J56/E$8</f>
        <v>6223.25574599797</v>
      </c>
      <c r="F12" s="102" t="n">
        <f aca="false">K56/F$8</f>
        <v>6316.88457262343</v>
      </c>
      <c r="G12" s="15" t="n">
        <f aca="false">AVERAGE(B12:F12)</f>
        <v>6344.51887622767</v>
      </c>
      <c r="H12" s="103" t="n">
        <f aca="false">G12*G$8</f>
        <v>158255.007806176</v>
      </c>
      <c r="I12" s="101" t="n">
        <f aca="false">STDEVP(B12:F12)/AVERAGE(B12:F12)</f>
        <v>0.015831008057781</v>
      </c>
      <c r="J12" s="101" t="n">
        <f aca="false">IF(H12&gt;$A$43, $C$43, IF(H12&gt;$A$44, $C$44, IF(H12&gt;$A$45,$C$45,IF(H12&gt;$A$46,$C$46, IF(H12&gt;$A$47,$C$47,IF(H12&gt;$A$48,$C$48,$C$49))))))/100</f>
        <v>0.11</v>
      </c>
      <c r="K12" s="101" t="n">
        <f aca="false">(MAX(B12:F12)-MIN(B12:F12))/G12</f>
        <v>0.0477688895770071</v>
      </c>
      <c r="L12" s="0" t="n">
        <f aca="false">COUNTA(B12:F12)</f>
        <v>5</v>
      </c>
      <c r="N12" s="0" t="n">
        <v>4</v>
      </c>
      <c r="O12" s="37" t="n">
        <v>228.265197264323</v>
      </c>
    </row>
    <row r="13" customFormat="false" ht="15.8" hidden="false" customHeight="false" outlineLevel="0" collapsed="false">
      <c r="A13" s="80" t="s">
        <v>149</v>
      </c>
      <c r="B13" s="102" t="n">
        <f aca="false">G57/B$8</f>
        <v>5310.32689236239</v>
      </c>
      <c r="C13" s="102" t="n">
        <f aca="false">H57/C$8</f>
        <v>5148.12087081092</v>
      </c>
      <c r="D13" s="102" t="n">
        <f aca="false">I57/D$8</f>
        <v>5091.93657994087</v>
      </c>
      <c r="E13" s="102" t="n">
        <f aca="false">J57/E$8</f>
        <v>5037.24377689233</v>
      </c>
      <c r="F13" s="102" t="n">
        <f aca="false">K57/F$8</f>
        <v>5096.73293881499</v>
      </c>
      <c r="G13" s="15" t="n">
        <f aca="false">AVERAGE(B13:F13)</f>
        <v>5136.8722117643</v>
      </c>
      <c r="H13" s="103" t="n">
        <f aca="false">G13*G$8</f>
        <v>128131.977827048</v>
      </c>
      <c r="I13" s="101" t="n">
        <f aca="false">STDEVP(B13:F13)/AVERAGE(B13:F13)</f>
        <v>0.0182138106405483</v>
      </c>
      <c r="J13" s="101" t="n">
        <f aca="false">IF(H13&gt;$A$43, $C$43, IF(H13&gt;$A$44, $C$44, IF(H13&gt;$A$45,$C$45,IF(H13&gt;$A$46,$C$46, IF(H13&gt;$A$47,$C$47,IF(H13&gt;$A$48,$C$48,$C$49))))))/100</f>
        <v>0.11</v>
      </c>
      <c r="K13" s="101" t="n">
        <f aca="false">(MAX(B13:F13)-MIN(B13:F13))/G13</f>
        <v>0.0531613604957222</v>
      </c>
      <c r="L13" s="0" t="n">
        <f aca="false">COUNTA(B13:F13)</f>
        <v>5</v>
      </c>
      <c r="N13" s="0" t="n">
        <v>5</v>
      </c>
      <c r="O13" s="37" t="n">
        <v>270.545584375728</v>
      </c>
    </row>
    <row r="14" customFormat="false" ht="15.8" hidden="false" customHeight="false" outlineLevel="0" collapsed="false">
      <c r="A14" s="80" t="s">
        <v>150</v>
      </c>
      <c r="B14" s="102" t="n">
        <f aca="false">G58/B$8</f>
        <v>4267.14062054236</v>
      </c>
      <c r="C14" s="102" t="n">
        <f aca="false">H58/C$8</f>
        <v>4133.79829690823</v>
      </c>
      <c r="D14" s="102" t="n">
        <f aca="false">I58/D$8</f>
        <v>4069.99781725692</v>
      </c>
      <c r="E14" s="102" t="n">
        <f aca="false">J58/E$8</f>
        <v>4050.64450776949</v>
      </c>
      <c r="F14" s="102" t="n">
        <f aca="false">K58/F$8</f>
        <v>4085.56303408923</v>
      </c>
      <c r="G14" s="15" t="n">
        <f aca="false">AVERAGE(B14:F14)</f>
        <v>4121.42885531325</v>
      </c>
      <c r="H14" s="103" t="n">
        <f aca="false">G14*G$8</f>
        <v>102803.186245386</v>
      </c>
      <c r="I14" s="101" t="n">
        <f aca="false">STDEVP(B14:F14)/AVERAGE(B14:F14)</f>
        <v>0.0188964782811009</v>
      </c>
      <c r="J14" s="101" t="n">
        <f aca="false">IF(H14&gt;$A$43, $C$43, IF(H14&gt;$A$44, $C$44, IF(H14&gt;$A$45,$C$45,IF(H14&gt;$A$46,$C$46, IF(H14&gt;$A$47,$C$47,IF(H14&gt;$A$48,$C$48,$C$49))))))/100</f>
        <v>0.11</v>
      </c>
      <c r="K14" s="101" t="n">
        <f aca="false">(MAX(B14:F14)-MIN(B14:F14))/G14</f>
        <v>0.0525293824965012</v>
      </c>
      <c r="L14" s="0" t="n">
        <f aca="false">COUNTA(B14:F14)</f>
        <v>5</v>
      </c>
      <c r="N14" s="0" t="n">
        <v>6</v>
      </c>
      <c r="O14" s="37" t="n">
        <v>320.657349882588</v>
      </c>
    </row>
    <row r="15" customFormat="false" ht="15.8" hidden="false" customHeight="false" outlineLevel="0" collapsed="false">
      <c r="A15" s="80" t="s">
        <v>151</v>
      </c>
      <c r="B15" s="102" t="n">
        <f aca="false">G59/B$8</f>
        <v>3410.85329988073</v>
      </c>
      <c r="C15" s="102" t="n">
        <f aca="false">H59/C$8</f>
        <v>3323.56278832228</v>
      </c>
      <c r="D15" s="102" t="n">
        <f aca="false">I59/D$8</f>
        <v>3276.50885607104</v>
      </c>
      <c r="E15" s="102" t="n">
        <f aca="false">J59/E$8</f>
        <v>3272.93497783656</v>
      </c>
      <c r="F15" s="102" t="n">
        <f aca="false">K59/F$8</f>
        <v>3274.04708896191</v>
      </c>
      <c r="G15" s="15" t="n">
        <f aca="false">AVERAGE(B15:F15)</f>
        <v>3311.5814022145</v>
      </c>
      <c r="H15" s="103" t="n">
        <f aca="false">G15*G$8</f>
        <v>82602.6923210683</v>
      </c>
      <c r="I15" s="101" t="n">
        <f aca="false">STDEVP(B15:F15)/AVERAGE(B15:F15)</f>
        <v>0.0160533156178031</v>
      </c>
      <c r="J15" s="101" t="n">
        <f aca="false">IF(H15&gt;$A$43, $C$43, IF(H15&gt;$A$44, $C$44, IF(H15&gt;$A$45,$C$45,IF(H15&gt;$A$46,$C$46, IF(H15&gt;$A$47,$C$47,IF(H15&gt;$A$48,$C$48,$C$49))))))/100</f>
        <v>0.11</v>
      </c>
      <c r="K15" s="101" t="n">
        <f aca="false">(MAX(B15:F15)-MIN(B15:F15))/G15</f>
        <v>0.0416472691723491</v>
      </c>
      <c r="L15" s="0" t="n">
        <f aca="false">COUNTA(B15:F15)</f>
        <v>5</v>
      </c>
      <c r="N15" s="0" t="n">
        <v>7</v>
      </c>
      <c r="O15" s="37" t="n">
        <v>380.051059679943</v>
      </c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</row>
    <row r="16" customFormat="false" ht="15.8" hidden="false" customHeight="false" outlineLevel="0" collapsed="false">
      <c r="A16" s="80" t="s">
        <v>152</v>
      </c>
      <c r="B16" s="102" t="n">
        <f aca="false">G60/B$8</f>
        <v>2721.70283655424</v>
      </c>
      <c r="C16" s="102" t="n">
        <f aca="false">H60/C$8</f>
        <v>2659.63897293924</v>
      </c>
      <c r="D16" s="102" t="n">
        <f aca="false">I60/D$8</f>
        <v>2609.51524348758</v>
      </c>
      <c r="E16" s="102" t="n">
        <f aca="false">J60/E$8</f>
        <v>2615.46538284376</v>
      </c>
      <c r="F16" s="102" t="n">
        <f aca="false">K60/F$8</f>
        <v>2622.09554096895</v>
      </c>
      <c r="G16" s="15" t="n">
        <f aca="false">AVERAGE(B16:F16)</f>
        <v>2645.68359535875</v>
      </c>
      <c r="H16" s="103" t="n">
        <f aca="false">G16*G$8</f>
        <v>65992.8177698351</v>
      </c>
      <c r="I16" s="101" t="n">
        <f aca="false">STDEVP(B16:F16)/AVERAGE(B16:F16)</f>
        <v>0.0158130253130011</v>
      </c>
      <c r="J16" s="101" t="n">
        <f aca="false">IF(H16&gt;$A$43, $C$43, IF(H16&gt;$A$44, $C$44, IF(H16&gt;$A$45,$C$45,IF(H16&gt;$A$46,$C$46, IF(H16&gt;$A$47,$C$47,IF(H16&gt;$A$48,$C$48,$C$49))))))/100</f>
        <v>0.11</v>
      </c>
      <c r="K16" s="101" t="n">
        <f aca="false">(MAX(B16:F16)-MIN(B16:F16))/G16</f>
        <v>0.0424040097853963</v>
      </c>
      <c r="L16" s="0" t="n">
        <f aca="false">COUNTA(B16:F16)</f>
        <v>5</v>
      </c>
      <c r="N16" s="0" t="n">
        <v>8</v>
      </c>
      <c r="O16" s="37" t="n">
        <v>450.445960514347</v>
      </c>
      <c r="P16" s="5"/>
      <c r="Q16" s="5"/>
      <c r="R16" s="80"/>
      <c r="S16" s="80"/>
      <c r="T16" s="80"/>
      <c r="U16" s="80"/>
      <c r="V16" s="80"/>
      <c r="W16" s="80"/>
      <c r="X16" s="80"/>
      <c r="Y16" s="80"/>
      <c r="Z16" s="80"/>
      <c r="AA16" s="80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</row>
    <row r="17" customFormat="false" ht="15.8" hidden="false" customHeight="false" outlineLevel="0" collapsed="false">
      <c r="A17" s="80" t="s">
        <v>153</v>
      </c>
      <c r="B17" s="102" t="n">
        <f aca="false">G61/B$8</f>
        <v>2211.67262788125</v>
      </c>
      <c r="C17" s="102" t="n">
        <f aca="false">H61/C$8</f>
        <v>2160.16792323171</v>
      </c>
      <c r="D17" s="102" t="n">
        <f aca="false">I61/D$8</f>
        <v>2097.54826475915</v>
      </c>
      <c r="E17" s="102" t="n">
        <f aca="false">J61/E$8</f>
        <v>2124.23885060889</v>
      </c>
      <c r="F17" s="102" t="n">
        <f aca="false">K61/F$8</f>
        <v>2127.12836876364</v>
      </c>
      <c r="G17" s="15" t="n">
        <f aca="false">AVERAGE(B17:F17)</f>
        <v>2144.15120704893</v>
      </c>
      <c r="H17" s="103" t="n">
        <f aca="false">G17*G$8</f>
        <v>53482.8050209703</v>
      </c>
      <c r="I17" s="101" t="n">
        <f aca="false">STDEVP(B17:F17)/AVERAGE(B17:F17)</f>
        <v>0.0182710944552102</v>
      </c>
      <c r="J17" s="101" t="n">
        <f aca="false">IF(H17&gt;$A$43, $C$43, IF(H17&gt;$A$44, $C$44, IF(H17&gt;$A$45,$C$45,IF(H17&gt;$A$46,$C$46, IF(H17&gt;$A$47,$C$47,IF(H17&gt;$A$48,$C$48,$C$49))))))/100</f>
        <v>0.11</v>
      </c>
      <c r="K17" s="101" t="n">
        <f aca="false">(MAX(B17:F17)-MIN(B17:F17))/G17</f>
        <v>0.0532258931865</v>
      </c>
      <c r="L17" s="0" t="n">
        <f aca="false">COUNTA(B17:F17)</f>
        <v>5</v>
      </c>
      <c r="N17" s="0" t="n">
        <v>9</v>
      </c>
      <c r="O17" s="37" t="n">
        <v>533.879746354515</v>
      </c>
      <c r="P17" s="5"/>
      <c r="Q17" s="5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</row>
    <row r="18" customFormat="false" ht="15.8" hidden="false" customHeight="false" outlineLevel="0" collapsed="false">
      <c r="A18" s="80" t="s">
        <v>154</v>
      </c>
      <c r="B18" s="102" t="n">
        <f aca="false">G62/B$8</f>
        <v>1818.95357190385</v>
      </c>
      <c r="C18" s="102" t="n">
        <f aca="false">H62/C$8</f>
        <v>1751.99379259825</v>
      </c>
      <c r="D18" s="102" t="n">
        <f aca="false">I62/D$8</f>
        <v>1721.45405006582</v>
      </c>
      <c r="E18" s="102" t="n">
        <f aca="false">J62/E$8</f>
        <v>1744.56496737431</v>
      </c>
      <c r="F18" s="102" t="n">
        <f aca="false">K62/F$8</f>
        <v>1746.07906217415</v>
      </c>
      <c r="G18" s="15" t="n">
        <f aca="false">AVERAGE(B18:F18)</f>
        <v>1756.60908882327</v>
      </c>
      <c r="H18" s="103" t="n">
        <f aca="false">G18*G$8</f>
        <v>43816.1175791814</v>
      </c>
      <c r="I18" s="101" t="n">
        <f aca="false">STDEVP(B18:F18)/AVERAGE(B18:F18)</f>
        <v>0.0187083258985484</v>
      </c>
      <c r="J18" s="101" t="n">
        <f aca="false">IF(H18&gt;$A$43, $C$43, IF(H18&gt;$A$44, $C$44, IF(H18&gt;$A$45,$C$45,IF(H18&gt;$A$46,$C$46, IF(H18&gt;$A$47,$C$47,IF(H18&gt;$A$48,$C$48,$C$49))))))/100</f>
        <v>0.11</v>
      </c>
      <c r="K18" s="101" t="n">
        <f aca="false">(MAX(B18:F18)-MIN(B18:F18))/G18</f>
        <v>0.0555043933555785</v>
      </c>
      <c r="L18" s="0" t="n">
        <f aca="false">COUNTA(B18:F18)</f>
        <v>5</v>
      </c>
      <c r="N18" s="0" t="n">
        <v>10</v>
      </c>
      <c r="O18" s="37" t="n">
        <v>632.76754273054</v>
      </c>
      <c r="P18" s="5"/>
      <c r="Q18" s="5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</row>
    <row r="19" customFormat="false" ht="15.8" hidden="false" customHeight="false" outlineLevel="0" collapsed="false">
      <c r="A19" s="80" t="s">
        <v>155</v>
      </c>
      <c r="B19" s="102" t="n">
        <f aca="false">G63/B$8</f>
        <v>1524.62451496148</v>
      </c>
      <c r="C19" s="102" t="n">
        <f aca="false">H63/C$8</f>
        <v>1450.69424109683</v>
      </c>
      <c r="D19" s="102" t="n">
        <f aca="false">I63/D$8</f>
        <v>1414.59309399243</v>
      </c>
      <c r="E19" s="102" t="n">
        <f aca="false">J63/E$8</f>
        <v>1456.10758650809</v>
      </c>
      <c r="F19" s="102" t="n">
        <f aca="false">K63/F$8</f>
        <v>1460.09361905151</v>
      </c>
      <c r="G19" s="15" t="n">
        <f aca="false">AVERAGE(B19:F19)</f>
        <v>1461.22261112207</v>
      </c>
      <c r="H19" s="103" t="n">
        <f aca="false">G19*G$8</f>
        <v>36448.1216371096</v>
      </c>
      <c r="I19" s="101" t="n">
        <f aca="false">STDEVP(B19:F19)/AVERAGE(B19:F19)</f>
        <v>0.0243546960481695</v>
      </c>
      <c r="J19" s="101" t="n">
        <f aca="false">IF(H19&gt;$A$43, $C$43, IF(H19&gt;$A$44, $C$44, IF(H19&gt;$A$45,$C$45,IF(H19&gt;$A$46,$C$46, IF(H19&gt;$A$47,$C$47,IF(H19&gt;$A$48,$C$48,$C$49))))))/100</f>
        <v>0.11</v>
      </c>
      <c r="K19" s="101" t="n">
        <f aca="false">(MAX(B19:F19)-MIN(B19:F19))/G19</f>
        <v>0.075300929599331</v>
      </c>
      <c r="L19" s="0" t="n">
        <f aca="false">COUNTA(B19:F19)</f>
        <v>5</v>
      </c>
      <c r="N19" s="0" t="n">
        <v>11</v>
      </c>
      <c r="O19" s="37" t="n">
        <v>749.971816438546</v>
      </c>
      <c r="P19" s="5"/>
      <c r="Q19" s="5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</row>
    <row r="20" customFormat="false" ht="15.8" hidden="false" customHeight="false" outlineLevel="0" collapsed="false">
      <c r="A20" s="80" t="s">
        <v>156</v>
      </c>
      <c r="B20" s="102" t="n">
        <f aca="false">G64/B$8</f>
        <v>1284.95656859412</v>
      </c>
      <c r="C20" s="102" t="n">
        <f aca="false">H64/C$8</f>
        <v>1215.0574845234</v>
      </c>
      <c r="D20" s="102" t="n">
        <f aca="false">I64/D$8</f>
        <v>1200.5086948593</v>
      </c>
      <c r="E20" s="102" t="n">
        <f aca="false">J64/E$8</f>
        <v>1229.8432754385</v>
      </c>
      <c r="F20" s="102" t="n">
        <f aca="false">K64/F$8</f>
        <v>1231.06710873679</v>
      </c>
      <c r="G20" s="15" t="n">
        <f aca="false">AVERAGE(B20:F20)</f>
        <v>1232.28662643042</v>
      </c>
      <c r="H20" s="103" t="n">
        <f aca="false">G20*G$8</f>
        <v>30737.6388170107</v>
      </c>
      <c r="I20" s="101" t="n">
        <f aca="false">STDEVP(B20:F20)/AVERAGE(B20:F20)</f>
        <v>0.0232045168521372</v>
      </c>
      <c r="J20" s="101" t="n">
        <f aca="false">IF(H20&gt;$A$43, $C$43, IF(H20&gt;$A$44, $C$44, IF(H20&gt;$A$45,$C$45,IF(H20&gt;$A$46,$C$46, IF(H20&gt;$A$47,$C$47,IF(H20&gt;$A$48,$C$48,$C$49))))))/100</f>
        <v>0.11</v>
      </c>
      <c r="K20" s="101" t="n">
        <f aca="false">(MAX(B20:F20)-MIN(B20:F20))/G20</f>
        <v>0.0685294085998831</v>
      </c>
      <c r="L20" s="0" t="n">
        <f aca="false">COUNTA(B20:F20)</f>
        <v>5</v>
      </c>
      <c r="N20" s="0" t="n">
        <v>12</v>
      </c>
      <c r="O20" s="37" t="n">
        <v>888.885234259955</v>
      </c>
      <c r="P20" s="5"/>
      <c r="Q20" s="5"/>
      <c r="R20" s="80"/>
      <c r="S20" s="80"/>
      <c r="T20" s="80"/>
      <c r="U20" s="80"/>
      <c r="V20" s="80"/>
      <c r="W20" s="80"/>
      <c r="X20" s="80"/>
      <c r="Y20" s="80"/>
      <c r="Z20" s="80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</row>
    <row r="21" customFormat="false" ht="15.8" hidden="false" customHeight="false" outlineLevel="0" collapsed="false">
      <c r="A21" s="80" t="s">
        <v>157</v>
      </c>
      <c r="B21" s="102" t="n">
        <f aca="false">G65/B$8</f>
        <v>1104.78513873726</v>
      </c>
      <c r="C21" s="102" t="n">
        <f aca="false">H65/C$8</f>
        <v>1044.4919661669</v>
      </c>
      <c r="D21" s="102" t="n">
        <f aca="false">I65/D$8</f>
        <v>1019.54452895646</v>
      </c>
      <c r="E21" s="102" t="n">
        <f aca="false">J65/E$8</f>
        <v>1046.81795575131</v>
      </c>
      <c r="F21" s="102" t="n">
        <f aca="false">K65/F$8</f>
        <v>1049.67176174575</v>
      </c>
      <c r="G21" s="15" t="n">
        <f aca="false">AVERAGE(B21:F21)</f>
        <v>1053.06227027153</v>
      </c>
      <c r="H21" s="103" t="n">
        <f aca="false">G21*G$8</f>
        <v>26267.1419304374</v>
      </c>
      <c r="I21" s="101" t="n">
        <f aca="false">STDEVP(B21:F21)/AVERAGE(B21:F21)</f>
        <v>0.0265980431192082</v>
      </c>
      <c r="J21" s="101" t="n">
        <f aca="false">IF(H21&gt;$A$43, $C$43, IF(H21&gt;$A$44, $C$44, IF(H21&gt;$A$45,$C$45,IF(H21&gt;$A$46,$C$46, IF(H21&gt;$A$47,$C$47,IF(H21&gt;$A$48,$C$48,$C$49))))))/100</f>
        <v>0.11</v>
      </c>
      <c r="K21" s="101" t="n">
        <f aca="false">(MAX(B21:F21)-MIN(B21:F21))/G21</f>
        <v>0.0809454599098077</v>
      </c>
      <c r="L21" s="0" t="n">
        <f aca="false">COUNTA(B21:F21)</f>
        <v>5</v>
      </c>
      <c r="N21" s="0" t="n">
        <v>13</v>
      </c>
      <c r="O21" s="37" t="n">
        <v>1053.52886917467</v>
      </c>
      <c r="R21" s="85"/>
      <c r="S21" s="85"/>
      <c r="T21" s="80"/>
      <c r="U21" s="80"/>
      <c r="V21" s="80"/>
      <c r="W21" s="80"/>
      <c r="X21" s="80"/>
      <c r="Y21" s="80"/>
      <c r="Z21" s="80"/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</row>
    <row r="22" customFormat="false" ht="15.8" hidden="false" customHeight="false" outlineLevel="0" collapsed="false">
      <c r="A22" s="80" t="s">
        <v>158</v>
      </c>
      <c r="B22" s="102" t="n">
        <f aca="false">G66/B$8</f>
        <v>951.944264167897</v>
      </c>
      <c r="C22" s="102" t="n">
        <f aca="false">H66/C$8</f>
        <v>905.081767926387</v>
      </c>
      <c r="D22" s="102" t="n">
        <f aca="false">I66/D$8</f>
        <v>886.265518126145</v>
      </c>
      <c r="E22" s="102" t="n">
        <f aca="false">J66/E$8</f>
        <v>903.477737743868</v>
      </c>
      <c r="F22" s="102" t="n">
        <f aca="false">K66/F$8</f>
        <v>905.389029511078</v>
      </c>
      <c r="G22" s="15" t="n">
        <f aca="false">AVERAGE(B22:F22)</f>
        <v>910.431663495075</v>
      </c>
      <c r="H22" s="103" t="n">
        <f aca="false">G22*G$8</f>
        <v>22709.4241224908</v>
      </c>
      <c r="I22" s="101" t="n">
        <f aca="false">STDEVP(B22:F22)/AVERAGE(B22:F22)</f>
        <v>0.0241129088029797</v>
      </c>
      <c r="J22" s="101" t="n">
        <f aca="false">IF(H22&gt;$A$43, $C$43, IF(H22&gt;$A$44, $C$44, IF(H22&gt;$A$45,$C$45,IF(H22&gt;$A$46,$C$46, IF(H22&gt;$A$47,$C$47,IF(H22&gt;$A$48,$C$48,$C$49))))))/100</f>
        <v>0.11</v>
      </c>
      <c r="K22" s="101" t="n">
        <f aca="false">(MAX(B22:F22)-MIN(B22:F22))/G22</f>
        <v>0.0721402260874986</v>
      </c>
      <c r="L22" s="0" t="n">
        <f aca="false">COUNTA(B22:F22)</f>
        <v>5</v>
      </c>
      <c r="N22" s="0" t="n">
        <v>14</v>
      </c>
      <c r="O22" s="37" t="n">
        <v>1248.66859680545</v>
      </c>
      <c r="P22" s="80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</row>
    <row r="23" customFormat="false" ht="15.8" hidden="false" customHeight="false" outlineLevel="0" collapsed="false">
      <c r="A23" s="80" t="s">
        <v>159</v>
      </c>
      <c r="B23" s="102" t="n">
        <f aca="false">G67/B$8</f>
        <v>837.996872123065</v>
      </c>
      <c r="C23" s="102" t="n">
        <f aca="false">H67/C$8</f>
        <v>793.080363965126</v>
      </c>
      <c r="D23" s="102" t="n">
        <f aca="false">I67/D$8</f>
        <v>787.702896344444</v>
      </c>
      <c r="E23" s="102" t="n">
        <f aca="false">J67/E$8</f>
        <v>799.032868148915</v>
      </c>
      <c r="F23" s="102" t="n">
        <f aca="false">K67/F$8</f>
        <v>788.295753007015</v>
      </c>
      <c r="G23" s="15" t="n">
        <f aca="false">AVERAGE(B23:F23)</f>
        <v>801.221750717713</v>
      </c>
      <c r="H23" s="103" t="n">
        <f aca="false">G23*G$8</f>
        <v>19985.3380355456</v>
      </c>
      <c r="I23" s="101" t="n">
        <f aca="false">STDEVP(B23:F23)/AVERAGE(B23:F23)</f>
        <v>0.0235047851743094</v>
      </c>
      <c r="J23" s="101" t="n">
        <f aca="false">IF(H23&gt;$A$43, $C$43, IF(H23&gt;$A$44, $C$44, IF(H23&gt;$A$45,$C$45,IF(H23&gt;$A$46,$C$46, IF(H23&gt;$A$47,$C$47,IF(H23&gt;$A$48,$C$48,$C$49))))))/100</f>
        <v>0.11</v>
      </c>
      <c r="K23" s="101" t="n">
        <f aca="false">(MAX(B23:F23)-MIN(B23:F23))/G23</f>
        <v>0.0627716056554491</v>
      </c>
      <c r="L23" s="0" t="n">
        <f aca="false">COUNTA(B23:F23)</f>
        <v>5</v>
      </c>
      <c r="N23" s="0" t="n">
        <v>15</v>
      </c>
      <c r="O23" s="37" t="n">
        <v>1479.95305137631</v>
      </c>
      <c r="T23" s="79"/>
      <c r="U23" s="79"/>
      <c r="V23" s="79"/>
      <c r="W23" s="79"/>
      <c r="X23" s="79"/>
      <c r="Y23" s="79"/>
      <c r="Z23" s="79"/>
      <c r="AA23" s="79"/>
      <c r="AB23" s="79"/>
      <c r="AC23" s="79"/>
      <c r="AD23" s="79"/>
      <c r="AE23" s="79"/>
      <c r="AF23" s="79"/>
      <c r="AG23" s="79"/>
      <c r="AH23" s="79"/>
      <c r="AI23" s="79"/>
      <c r="AJ23" s="79"/>
      <c r="AK23" s="79"/>
      <c r="AL23" s="79"/>
      <c r="AM23" s="79"/>
      <c r="AN23" s="79"/>
      <c r="AO23" s="79"/>
      <c r="AP23" s="79"/>
      <c r="AQ23" s="79"/>
      <c r="AR23" s="79"/>
      <c r="AS23" s="79"/>
      <c r="AT23" s="79"/>
      <c r="AU23" s="79"/>
      <c r="AV23" s="79"/>
      <c r="AW23" s="79"/>
    </row>
    <row r="24" customFormat="false" ht="15.8" hidden="false" customHeight="false" outlineLevel="0" collapsed="false">
      <c r="A24" s="80" t="s">
        <v>160</v>
      </c>
      <c r="B24" s="102" t="n">
        <f aca="false">G68/B$8</f>
        <v>737.294287640639</v>
      </c>
      <c r="C24" s="102" t="n">
        <f aca="false">H68/C$8</f>
        <v>701.980630461424</v>
      </c>
      <c r="D24" s="102" t="n">
        <f aca="false">I68/D$8</f>
        <v>700.911923722906</v>
      </c>
      <c r="E24" s="102" t="n">
        <f aca="false">J68/E$8</f>
        <v>712.357447067281</v>
      </c>
      <c r="F24" s="102" t="n">
        <f aca="false">K68/F$8</f>
        <v>690.850331373973</v>
      </c>
      <c r="G24" s="15" t="n">
        <f aca="false">AVERAGE(B24:F24)</f>
        <v>708.678924053245</v>
      </c>
      <c r="H24" s="103" t="n">
        <f aca="false">G24*G$8</f>
        <v>17676.9887277571</v>
      </c>
      <c r="I24" s="101" t="n">
        <f aca="false">STDEVP(B24:F24)/AVERAGE(B24:F24)</f>
        <v>0.0223594167901341</v>
      </c>
      <c r="J24" s="101" t="n">
        <f aca="false">IF(H24&gt;$A$43, $C$43, IF(H24&gt;$A$44, $C$44, IF(H24&gt;$A$45,$C$45,IF(H24&gt;$A$46,$C$46, IF(H24&gt;$A$47,$C$47,IF(H24&gt;$A$48,$C$48,$C$49))))))/100</f>
        <v>0.11</v>
      </c>
      <c r="K24" s="101" t="n">
        <f aca="false">(MAX(B24:F24)-MIN(B24:F24))/G24</f>
        <v>0.0655359637352182</v>
      </c>
      <c r="L24" s="0" t="n">
        <f aca="false">COUNTA(B24:F24)</f>
        <v>5</v>
      </c>
      <c r="N24" s="0" t="n">
        <v>16</v>
      </c>
      <c r="O24" s="37" t="n">
        <v>1754.07713454278</v>
      </c>
      <c r="T24" s="101"/>
      <c r="U24" s="101"/>
      <c r="V24" s="101"/>
      <c r="W24" s="101"/>
      <c r="X24" s="101"/>
      <c r="Y24" s="101"/>
      <c r="Z24" s="101"/>
      <c r="AA24" s="101"/>
      <c r="AB24" s="101"/>
      <c r="AC24" s="101"/>
      <c r="AD24" s="101"/>
      <c r="AE24" s="101"/>
      <c r="AF24" s="101"/>
      <c r="AG24" s="101"/>
      <c r="AH24" s="101"/>
      <c r="AI24" s="101"/>
      <c r="AJ24" s="101"/>
      <c r="AK24" s="101"/>
      <c r="AL24" s="101"/>
      <c r="AM24" s="101"/>
      <c r="AN24" s="101"/>
      <c r="AO24" s="101"/>
      <c r="AP24" s="101"/>
      <c r="AQ24" s="101"/>
      <c r="AR24" s="101"/>
      <c r="AS24" s="101"/>
      <c r="AT24" s="101"/>
      <c r="AU24" s="101"/>
      <c r="AV24" s="101"/>
      <c r="AW24" s="101"/>
    </row>
    <row r="25" customFormat="false" ht="15.8" hidden="false" customHeight="false" outlineLevel="0" collapsed="false">
      <c r="A25" s="80" t="s">
        <v>161</v>
      </c>
      <c r="B25" s="102" t="n">
        <f aca="false">G69/B$8</f>
        <v>664.342728527066</v>
      </c>
      <c r="C25" s="102" t="n">
        <f aca="false">H69/C$8</f>
        <v>626.852928156423</v>
      </c>
      <c r="D25" s="102" t="n">
        <f aca="false">I69/D$8</f>
        <v>630.28202876193</v>
      </c>
      <c r="E25" s="102" t="n">
        <f aca="false">J69/E$8</f>
        <v>636.146256776823</v>
      </c>
      <c r="F25" s="102" t="n">
        <f aca="false">K69/F$8</f>
        <v>617.617417763804</v>
      </c>
      <c r="G25" s="15" t="n">
        <f aca="false">AVERAGE(B25:F25)</f>
        <v>635.048271997209</v>
      </c>
      <c r="H25" s="103" t="n">
        <f aca="false">G25*G$8</f>
        <v>15840.3767413759</v>
      </c>
      <c r="I25" s="101" t="n">
        <f aca="false">STDEVP(B25:F25)/AVERAGE(B25:F25)</f>
        <v>0.0249286481196149</v>
      </c>
      <c r="J25" s="101" t="n">
        <f aca="false">IF(H25&gt;$A$43, $C$43, IF(H25&gt;$A$44, $C$44, IF(H25&gt;$A$45,$C$45,IF(H25&gt;$A$46,$C$46, IF(H25&gt;$A$47,$C$47,IF(H25&gt;$A$48,$C$48,$C$49))))))/100</f>
        <v>0.11</v>
      </c>
      <c r="K25" s="101" t="n">
        <f aca="false">(MAX(B25:F25)-MIN(B25:F25))/G25</f>
        <v>0.0735775732706303</v>
      </c>
      <c r="L25" s="0" t="n">
        <f aca="false">COUNTA(B25:F25)</f>
        <v>5</v>
      </c>
      <c r="N25" s="0" t="n">
        <v>17</v>
      </c>
      <c r="O25" s="37" t="n">
        <v>2078.97581012079</v>
      </c>
      <c r="T25" s="79"/>
      <c r="U25" s="79"/>
      <c r="V25" s="79"/>
      <c r="W25" s="79"/>
      <c r="X25" s="79"/>
      <c r="Y25" s="79"/>
      <c r="Z25" s="79"/>
      <c r="AA25" s="79"/>
      <c r="AB25" s="79"/>
      <c r="AC25" s="79"/>
      <c r="AD25" s="79"/>
      <c r="AE25" s="79"/>
      <c r="AF25" s="79"/>
      <c r="AG25" s="79"/>
      <c r="AH25" s="79"/>
      <c r="AI25" s="79"/>
      <c r="AJ25" s="79"/>
      <c r="AK25" s="79"/>
      <c r="AL25" s="79"/>
      <c r="AM25" s="79"/>
      <c r="AN25" s="79"/>
      <c r="AO25" s="79"/>
      <c r="AP25" s="79"/>
      <c r="AQ25" s="79"/>
      <c r="AR25" s="79"/>
      <c r="AS25" s="79"/>
      <c r="AT25" s="79"/>
      <c r="AU25" s="79"/>
      <c r="AV25" s="79"/>
      <c r="AW25" s="79"/>
    </row>
    <row r="26" customFormat="false" ht="15.8" hidden="false" customHeight="false" outlineLevel="0" collapsed="false">
      <c r="A26" s="80" t="s">
        <v>162</v>
      </c>
      <c r="B26" s="102" t="n">
        <f aca="false">G70/B$8</f>
        <v>602.954096650514</v>
      </c>
      <c r="C26" s="102" t="n">
        <f aca="false">H70/C$8</f>
        <v>572.626896308982</v>
      </c>
      <c r="D26" s="102" t="n">
        <f aca="false">I70/D$8</f>
        <v>573.818016688607</v>
      </c>
      <c r="E26" s="102" t="n">
        <f aca="false">J70/E$8</f>
        <v>576.125008465168</v>
      </c>
      <c r="F26" s="102" t="n">
        <f aca="false">K70/F$8</f>
        <v>560.658484955896</v>
      </c>
      <c r="G26" s="15" t="n">
        <f aca="false">AVERAGE(B26:F26)</f>
        <v>577.236500613833</v>
      </c>
      <c r="H26" s="103" t="n">
        <f aca="false">G26*G$8</f>
        <v>14398.3442547447</v>
      </c>
      <c r="I26" s="101" t="n">
        <f aca="false">STDEVP(B26:F26)/AVERAGE(B26:F26)</f>
        <v>0.0241343464749533</v>
      </c>
      <c r="J26" s="101" t="n">
        <f aca="false">IF(H26&gt;$A$43, $C$43, IF(H26&gt;$A$44, $C$44, IF(H26&gt;$A$45,$C$45,IF(H26&gt;$A$46,$C$46, IF(H26&gt;$A$47,$C$47,IF(H26&gt;$A$48,$C$48,$C$49))))))/100</f>
        <v>0.11</v>
      </c>
      <c r="K26" s="101" t="n">
        <f aca="false">(MAX(B26:F26)-MIN(B26:F26))/G26</f>
        <v>0.0732725869719633</v>
      </c>
      <c r="L26" s="0" t="n">
        <f aca="false">COUNTA(B26:F26)</f>
        <v>5</v>
      </c>
      <c r="N26" s="0" t="n">
        <v>18</v>
      </c>
      <c r="O26" s="37" t="n">
        <v>2464.05379441539</v>
      </c>
    </row>
    <row r="27" customFormat="false" ht="15.8" hidden="false" customHeight="false" outlineLevel="0" collapsed="false">
      <c r="A27" s="80" t="s">
        <v>163</v>
      </c>
      <c r="B27" s="102" t="n">
        <f aca="false">G71/B$8</f>
        <v>551.866981766946</v>
      </c>
      <c r="C27" s="102" t="n">
        <f aca="false">H71/C$8</f>
        <v>520.767091305792</v>
      </c>
      <c r="D27" s="102" t="n">
        <f aca="false">I71/D$8</f>
        <v>520.74583572923</v>
      </c>
      <c r="E27" s="102" t="n">
        <f aca="false">J71/E$8</f>
        <v>526.962867578318</v>
      </c>
      <c r="F27" s="102" t="n">
        <f aca="false">K71/F$8</f>
        <v>505.882647133656</v>
      </c>
      <c r="G27" s="15" t="n">
        <f aca="false">AVERAGE(B27:F27)</f>
        <v>525.245084702788</v>
      </c>
      <c r="H27" s="103" t="n">
        <f aca="false">G27*G$8</f>
        <v>13101.4922646457</v>
      </c>
      <c r="I27" s="101" t="n">
        <f aca="false">STDEVP(B27:F27)/AVERAGE(B27:F27)</f>
        <v>0.0285818959618158</v>
      </c>
      <c r="J27" s="101" t="n">
        <f aca="false">IF(H27&gt;$A$43, $C$43, IF(H27&gt;$A$44, $C$44, IF(H27&gt;$A$45,$C$45,IF(H27&gt;$A$46,$C$46, IF(H27&gt;$A$47,$C$47,IF(H27&gt;$A$48,$C$48,$C$49))))))/100</f>
        <v>0.11</v>
      </c>
      <c r="K27" s="101" t="n">
        <f aca="false">(MAX(B27:F27)-MIN(B27:F27))/G27</f>
        <v>0.0875483388089395</v>
      </c>
      <c r="L27" s="0" t="n">
        <f aca="false">COUNTA(B27:F27)</f>
        <v>5</v>
      </c>
      <c r="N27" s="0" t="n">
        <v>19</v>
      </c>
      <c r="O27" s="37" t="n">
        <v>2920.45779090624</v>
      </c>
    </row>
    <row r="28" customFormat="false" ht="15.8" hidden="false" customHeight="false" outlineLevel="0" collapsed="false">
      <c r="A28" s="80" t="s">
        <v>164</v>
      </c>
      <c r="B28" s="102" t="n">
        <f aca="false">G72/B$8</f>
        <v>487.53505932097</v>
      </c>
      <c r="C28" s="102" t="n">
        <f aca="false">H72/C$8</f>
        <v>464.569203754808</v>
      </c>
      <c r="D28" s="102" t="n">
        <f aca="false">I72/D$8</f>
        <v>466.277018428816</v>
      </c>
      <c r="E28" s="102" t="n">
        <f aca="false">J72/E$8</f>
        <v>468.323687484365</v>
      </c>
      <c r="F28" s="102" t="n">
        <f aca="false">K72/F$8</f>
        <v>451.900662033478</v>
      </c>
      <c r="G28" s="15" t="n">
        <f aca="false">AVERAGE(B28:F28)</f>
        <v>467.721126204487</v>
      </c>
      <c r="H28" s="103" t="n">
        <f aca="false">G28*G$8</f>
        <v>11666.6388614506</v>
      </c>
      <c r="I28" s="101" t="n">
        <f aca="false">STDEVP(B28:F28)/AVERAGE(B28:F28)</f>
        <v>0.0244757247471507</v>
      </c>
      <c r="J28" s="101" t="n">
        <f aca="false">IF(H28&gt;$A$43, $C$43, IF(H28&gt;$A$44, $C$44, IF(H28&gt;$A$45,$C$45,IF(H28&gt;$A$46,$C$46, IF(H28&gt;$A$47,$C$47,IF(H28&gt;$A$48,$C$48,$C$49))))))/100</f>
        <v>0.11</v>
      </c>
      <c r="K28" s="101" t="n">
        <f aca="false">(MAX(B28:F28)-MIN(B28:F28))/G28</f>
        <v>0.0761872733367049</v>
      </c>
      <c r="L28" s="0" t="n">
        <f aca="false">COUNTA(B28:F28)</f>
        <v>5</v>
      </c>
      <c r="N28" s="0" t="n">
        <v>20</v>
      </c>
      <c r="O28" s="37" t="n">
        <v>3461.3991495622</v>
      </c>
    </row>
    <row r="29" customFormat="false" ht="15.8" hidden="false" customHeight="false" outlineLevel="0" collapsed="false">
      <c r="A29" s="80" t="s">
        <v>165</v>
      </c>
      <c r="B29" s="102" t="n">
        <f aca="false">G73/B$8</f>
        <v>415.424440370089</v>
      </c>
      <c r="C29" s="102" t="n">
        <f aca="false">H73/C$8</f>
        <v>394.765511849374</v>
      </c>
      <c r="D29" s="102" t="n">
        <f aca="false">I73/D$8</f>
        <v>394.450006604095</v>
      </c>
      <c r="E29" s="102" t="n">
        <f aca="false">J73/E$8</f>
        <v>402.774166301899</v>
      </c>
      <c r="F29" s="102" t="n">
        <f aca="false">K73/F$8</f>
        <v>384.62164383877</v>
      </c>
      <c r="G29" s="15" t="n">
        <f aca="false">AVERAGE(B29:F29)</f>
        <v>398.407153792845</v>
      </c>
      <c r="H29" s="103" t="n">
        <f aca="false">G29*G$8</f>
        <v>9937.70031479699</v>
      </c>
      <c r="I29" s="101" t="n">
        <f aca="false">STDEVP(B29:F29)/AVERAGE(B29:F29)</f>
        <v>0.0257838858152451</v>
      </c>
      <c r="J29" s="101" t="n">
        <f aca="false">IF(H29&gt;$A$43, $C$43, IF(H29&gt;$A$44, $C$44, IF(H29&gt;$A$45,$C$45,IF(H29&gt;$A$46,$C$46, IF(H29&gt;$A$47,$C$47,IF(H29&gt;$A$48,$C$48,$C$49))))))/100</f>
        <v>0.113</v>
      </c>
      <c r="K29" s="101" t="n">
        <f aca="false">(MAX(B29:F29)-MIN(B29:F29))/G29</f>
        <v>0.07731486806418</v>
      </c>
      <c r="L29" s="0" t="n">
        <f aca="false">COUNTA(B29:F29)</f>
        <v>5</v>
      </c>
      <c r="N29" s="0" t="n">
        <v>21</v>
      </c>
      <c r="O29" s="37" t="n">
        <v>4102.5362906793</v>
      </c>
    </row>
    <row r="30" customFormat="false" ht="15.8" hidden="false" customHeight="false" outlineLevel="0" collapsed="false">
      <c r="A30" s="80" t="s">
        <v>166</v>
      </c>
      <c r="B30" s="102" t="n">
        <f aca="false">G74/B$8</f>
        <v>326.495018165359</v>
      </c>
      <c r="C30" s="102" t="n">
        <f aca="false">H74/C$8</f>
        <v>308.201046463822</v>
      </c>
      <c r="D30" s="102" t="n">
        <f aca="false">I74/D$8</f>
        <v>307.259995027975</v>
      </c>
      <c r="E30" s="102" t="n">
        <f aca="false">J74/E$8</f>
        <v>319.850073239744</v>
      </c>
      <c r="F30" s="102" t="n">
        <f aca="false">K74/F$8</f>
        <v>293.725507162735</v>
      </c>
      <c r="G30" s="15" t="n">
        <f aca="false">AVERAGE(B30:F30)</f>
        <v>311.106328011927</v>
      </c>
      <c r="H30" s="103" t="n">
        <f aca="false">G30*G$8</f>
        <v>7760.10527016541</v>
      </c>
      <c r="I30" s="101" t="n">
        <f aca="false">STDEVP(B30:F30)/AVERAGE(B30:F30)</f>
        <v>0.0363260469832094</v>
      </c>
      <c r="J30" s="101" t="n">
        <f aca="false">IF(H30&gt;$A$43, $C$43, IF(H30&gt;$A$44, $C$44, IF(H30&gt;$A$45,$C$45,IF(H30&gt;$A$46,$C$46, IF(H30&gt;$A$47,$C$47,IF(H30&gt;$A$48,$C$48,$C$49))))))/100</f>
        <v>0.113</v>
      </c>
      <c r="K30" s="101" t="n">
        <f aca="false">(MAX(B30:F30)-MIN(B30:F30))/G30</f>
        <v>0.105332190483017</v>
      </c>
      <c r="L30" s="0" t="n">
        <f aca="false">COUNTA(B30:F30)</f>
        <v>5</v>
      </c>
      <c r="N30" s="0" t="n">
        <v>22</v>
      </c>
      <c r="O30" s="37" t="n">
        <v>4862.427963117</v>
      </c>
    </row>
    <row r="31" customFormat="false" ht="15.8" hidden="false" customHeight="false" outlineLevel="0" collapsed="false">
      <c r="A31" s="80" t="s">
        <v>167</v>
      </c>
      <c r="B31" s="102" t="n">
        <f aca="false">G75/B$8</f>
        <v>232.3097199438</v>
      </c>
      <c r="C31" s="102" t="n">
        <f aca="false">H75/C$8</f>
        <v>229.721189462798</v>
      </c>
      <c r="D31" s="102" t="n">
        <f aca="false">I75/D$8</f>
        <v>226.255087247872</v>
      </c>
      <c r="E31" s="102" t="n">
        <f aca="false">J75/E$8</f>
        <v>232.384898890851</v>
      </c>
      <c r="F31" s="102" t="n">
        <f aca="false">K75/F$8</f>
        <v>205.210928652884</v>
      </c>
      <c r="G31" s="15" t="n">
        <f aca="false">AVERAGE(B31:F31)</f>
        <v>225.176364839641</v>
      </c>
      <c r="H31" s="103" t="n">
        <f aca="false">G31*G$8</f>
        <v>5616.7044453104</v>
      </c>
      <c r="I31" s="101" t="n">
        <f aca="false">STDEVP(B31:F31)/AVERAGE(B31:F31)</f>
        <v>0.0454319645452415</v>
      </c>
      <c r="J31" s="101" t="n">
        <f aca="false">IF(H31&gt;$A$43, $C$43, IF(H31&gt;$A$44, $C$44, IF(H31&gt;$A$45,$C$45,IF(H31&gt;$A$46,$C$46, IF(H31&gt;$A$47,$C$47,IF(H31&gt;$A$48,$C$48,$C$49))))))/100</f>
        <v>0.113</v>
      </c>
      <c r="K31" s="101" t="n">
        <f aca="false">(MAX(B31:F31)-MIN(B31:F31))/G31</f>
        <v>0.120678607887285</v>
      </c>
      <c r="L31" s="0" t="n">
        <f aca="false">COUNTA(B31:F31)</f>
        <v>5</v>
      </c>
      <c r="N31" s="0" t="n">
        <v>23</v>
      </c>
      <c r="O31" s="37" t="n">
        <v>5763.07045722374</v>
      </c>
    </row>
    <row r="32" customFormat="false" ht="15.8" hidden="false" customHeight="false" outlineLevel="0" collapsed="false">
      <c r="A32" s="80" t="s">
        <v>168</v>
      </c>
      <c r="B32" s="102" t="n">
        <f aca="false">G76/B$8</f>
        <v>159.358160830227</v>
      </c>
      <c r="C32" s="102" t="n">
        <f aca="false">H76/C$8</f>
        <v>158.734384135238</v>
      </c>
      <c r="D32" s="102" t="n">
        <f aca="false">I76/D$8</f>
        <v>160.413659741878</v>
      </c>
      <c r="E32" s="102" t="n">
        <f aca="false">J76/E$8</f>
        <v>163.084049688906</v>
      </c>
      <c r="F32" s="102" t="n">
        <f aca="false">K76/F$8</f>
        <v>138.924226360753</v>
      </c>
      <c r="G32" s="15" t="n">
        <f aca="false">AVERAGE(B32:F32)</f>
        <v>156.1028961514</v>
      </c>
      <c r="H32" s="103" t="n">
        <f aca="false">G32*G$8</f>
        <v>3893.76492228125</v>
      </c>
      <c r="I32" s="101" t="n">
        <f aca="false">STDEVP(B32:F32)/AVERAGE(B32:F32)</f>
        <v>0.0558426157555126</v>
      </c>
      <c r="J32" s="101" t="n">
        <f aca="false">IF(H32&gt;$A$43, $C$43, IF(H32&gt;$A$44, $C$44, IF(H32&gt;$A$45,$C$45,IF(H32&gt;$A$46,$C$46, IF(H32&gt;$A$47,$C$47,IF(H32&gt;$A$48,$C$48,$C$49))))))/100</f>
        <v>0.119</v>
      </c>
      <c r="K32" s="101" t="n">
        <f aca="false">(MAX(B32:F32)-MIN(B32:F32))/G32</f>
        <v>0.154768578442782</v>
      </c>
      <c r="L32" s="0" t="n">
        <f aca="false">COUNTA(B32:F32)</f>
        <v>5</v>
      </c>
      <c r="N32" s="0" t="n">
        <v>24</v>
      </c>
      <c r="O32" s="37" t="n">
        <v>6830.53432294641</v>
      </c>
    </row>
    <row r="33" customFormat="false" ht="15.8" hidden="false" customHeight="false" outlineLevel="0" collapsed="false">
      <c r="A33" s="80" t="s">
        <v>169</v>
      </c>
      <c r="B33" s="102" t="n">
        <f aca="false">G77/B$8</f>
        <v>111.004101475409</v>
      </c>
      <c r="C33" s="102" t="n">
        <f aca="false">H77/C$8</f>
        <v>113.184517383387</v>
      </c>
      <c r="D33" s="102" t="n">
        <f aca="false">I77/D$8</f>
        <v>111.930426760191</v>
      </c>
      <c r="E33" s="102" t="n">
        <f aca="false">J77/E$8</f>
        <v>113.527032168428</v>
      </c>
      <c r="F33" s="102" t="n">
        <f aca="false">K77/F$8</f>
        <v>98.0408111745885</v>
      </c>
      <c r="G33" s="15" t="n">
        <f aca="false">AVERAGE(B33:F33)</f>
        <v>109.5373777924</v>
      </c>
      <c r="H33" s="103" t="n">
        <f aca="false">G33*G$8</f>
        <v>2732.25423641759</v>
      </c>
      <c r="I33" s="101" t="n">
        <f aca="false">STDEVP(B33:F33)/AVERAGE(B33:F33)</f>
        <v>0.0531177972527213</v>
      </c>
      <c r="J33" s="101" t="n">
        <f aca="false">IF(H33&gt;$A$43, $C$43, IF(H33&gt;$A$44, $C$44, IF(H33&gt;$A$45,$C$45,IF(H33&gt;$A$46,$C$46, IF(H33&gt;$A$47,$C$47,IF(H33&gt;$A$48,$C$48,$C$49))))))/100</f>
        <v>0.119</v>
      </c>
      <c r="K33" s="101" t="n">
        <f aca="false">(MAX(B33:F33)-MIN(B33:F33))/G33</f>
        <v>0.141378416262521</v>
      </c>
      <c r="L33" s="0" t="n">
        <f aca="false">COUNTA(B33:F33)</f>
        <v>5</v>
      </c>
      <c r="N33" s="0" t="n">
        <v>25</v>
      </c>
      <c r="O33" s="37" t="n">
        <v>8095.71902395668</v>
      </c>
    </row>
    <row r="34" customFormat="false" ht="15.8" hidden="false" customHeight="false" outlineLevel="0" collapsed="false">
      <c r="A34" s="80" t="s">
        <v>170</v>
      </c>
      <c r="B34" s="102" t="n">
        <f aca="false">G78/B$8</f>
        <v>79.6790804151133</v>
      </c>
      <c r="C34" s="102" t="n">
        <f aca="false">H78/C$8</f>
        <v>79.6629704231504</v>
      </c>
      <c r="D34" s="102" t="n">
        <f aca="false">I78/D$8</f>
        <v>76.0169208478301</v>
      </c>
      <c r="E34" s="102" t="n">
        <f aca="false">J78/E$8</f>
        <v>81.1471482108238</v>
      </c>
      <c r="F34" s="102" t="n">
        <f aca="false">K78/F$8</f>
        <v>68.8667236388304</v>
      </c>
      <c r="G34" s="15" t="n">
        <f aca="false">AVERAGE(B34:F34)</f>
        <v>77.0745687071496</v>
      </c>
      <c r="H34" s="103" t="n">
        <f aca="false">G34*G$8</f>
        <v>1922.51559343771</v>
      </c>
      <c r="I34" s="101" t="n">
        <f aca="false">STDEVP(B34:F34)/AVERAGE(B34:F34)</f>
        <v>0.0576032035276882</v>
      </c>
      <c r="J34" s="101" t="n">
        <f aca="false">IF(H34&gt;$A$43, $C$43, IF(H34&gt;$A$44, $C$44, IF(H34&gt;$A$45,$C$45,IF(H34&gt;$A$46,$C$46, IF(H34&gt;$A$47,$C$47,IF(H34&gt;$A$48,$C$48,$C$49))))))/100</f>
        <v>0.134</v>
      </c>
      <c r="K34" s="101" t="n">
        <f aca="false">(MAX(B34:F34)-MIN(B34:F34))/G34</f>
        <v>0.1593317326063</v>
      </c>
      <c r="L34" s="0" t="n">
        <f aca="false">COUNTA(B34:F34)</f>
        <v>5</v>
      </c>
      <c r="N34" s="0" t="n">
        <v>26</v>
      </c>
      <c r="O34" s="37" t="n">
        <v>9595.24737247533</v>
      </c>
    </row>
    <row r="35" customFormat="false" ht="15.8" hidden="false" customHeight="false" outlineLevel="0" collapsed="false">
      <c r="A35" s="80" t="s">
        <v>171</v>
      </c>
      <c r="B35" s="102" t="n">
        <f aca="false">G79/B$8</f>
        <v>54.0304054529924</v>
      </c>
      <c r="C35" s="102" t="n">
        <f aca="false">H79/C$8</f>
        <v>59.9444133877171</v>
      </c>
      <c r="D35" s="102" t="n">
        <f aca="false">I79/D$8</f>
        <v>55.0673757322864</v>
      </c>
      <c r="E35" s="102" t="n">
        <f aca="false">J79/E$8</f>
        <v>60.6135632620996</v>
      </c>
      <c r="F35" s="102" t="n">
        <f aca="false">K79/F$8</f>
        <v>46.8373106016253</v>
      </c>
      <c r="G35" s="15" t="n">
        <f aca="false">AVERAGE(B35:F35)</f>
        <v>55.2986136873441</v>
      </c>
      <c r="H35" s="103" t="n">
        <f aca="false">G35*G$8</f>
        <v>1379.34533910075</v>
      </c>
      <c r="I35" s="101" t="n">
        <f aca="false">STDEVP(B35:F35)/AVERAGE(B35:F35)</f>
        <v>0.0897238572220067</v>
      </c>
      <c r="J35" s="101" t="n">
        <f aca="false">IF(H35&gt;$A$43, $C$43, IF(H35&gt;$A$44, $C$44, IF(H35&gt;$A$45,$C$45,IF(H35&gt;$A$46,$C$46, IF(H35&gt;$A$47,$C$47,IF(H35&gt;$A$48,$C$48,$C$49))))))/100</f>
        <v>0.134</v>
      </c>
      <c r="K35" s="101" t="n">
        <f aca="false">(MAX(B35:F35)-MIN(B35:F35))/G35</f>
        <v>0.249124738250485</v>
      </c>
      <c r="L35" s="0" t="n">
        <f aca="false">COUNTA(B35:F35)</f>
        <v>5</v>
      </c>
      <c r="N35" s="0" t="n">
        <v>27</v>
      </c>
      <c r="O35" s="37" t="n">
        <v>11372.5256356535</v>
      </c>
    </row>
    <row r="36" customFormat="false" ht="15.8" hidden="false" customHeight="false" outlineLevel="0" collapsed="false">
      <c r="A36" s="80" t="s">
        <v>172</v>
      </c>
      <c r="B36" s="102" t="n">
        <f aca="false">G80/B$8</f>
        <v>10.0912819523099</v>
      </c>
      <c r="C36" s="102" t="n">
        <f aca="false">H80/C$8</f>
        <v>10.2536496584253</v>
      </c>
      <c r="D36" s="102" t="n">
        <f aca="false">I80/D$8</f>
        <v>10.1754933418355</v>
      </c>
      <c r="E36" s="102" t="n">
        <f aca="false">J80/E$8</f>
        <v>11.6488606920647</v>
      </c>
      <c r="F36" s="102" t="n">
        <f aca="false">K80/F$8</f>
        <v>7.34313767906837</v>
      </c>
      <c r="G36" s="15" t="n">
        <f aca="false">AVERAGE(B36:F36)</f>
        <v>9.90248466474076</v>
      </c>
      <c r="H36" s="103" t="n">
        <f aca="false">G36*G$8</f>
        <v>247.00340853125</v>
      </c>
      <c r="I36" s="101" t="n">
        <f aca="false">STDEVP(B36:F36)/AVERAGE(B36:F36)</f>
        <v>0.141620679587741</v>
      </c>
      <c r="J36" s="101" t="n">
        <f aca="false">IF(H36&gt;$A$43, $C$43, IF(H36&gt;$A$44, $C$44, IF(H36&gt;$A$45,$C$45,IF(H36&gt;$A$46,$C$46, IF(H36&gt;$A$47,$C$47,IF(H36&gt;$A$48,$C$48,$C$49))))))/100</f>
        <v>0.193</v>
      </c>
      <c r="K36" s="101" t="n">
        <f aca="false">(MAX(B36:F36)-MIN(B36:F36))/G36</f>
        <v>0.434812388887359</v>
      </c>
      <c r="L36" s="0" t="n">
        <f aca="false">COUNTA(B36:F36)</f>
        <v>5</v>
      </c>
      <c r="N36" s="0" t="n">
        <v>28</v>
      </c>
      <c r="O36" s="37" t="n">
        <v>13479</v>
      </c>
    </row>
    <row r="37" customFormat="false" ht="15.8" hidden="false" customHeight="false" outlineLevel="0" collapsed="false">
      <c r="A37" s="80" t="s">
        <v>173</v>
      </c>
      <c r="B37" s="102" t="n">
        <f aca="false">G81/B$8</f>
        <v>7.35822642355928</v>
      </c>
      <c r="C37" s="102" t="n">
        <f aca="false">H81/C$8</f>
        <v>6.70430939204731</v>
      </c>
      <c r="D37" s="102" t="n">
        <f aca="false">I81/D$8</f>
        <v>6.78366222789035</v>
      </c>
      <c r="E37" s="102" t="n">
        <f aca="false">J81/E$8</f>
        <v>6.51546445488367</v>
      </c>
      <c r="F37" s="102" t="n">
        <f aca="false">K81/F$8</f>
        <v>3.77080042979186</v>
      </c>
      <c r="G37" s="15" t="n">
        <f aca="false">AVERAGE(B37:F37)</f>
        <v>6.22649258563449</v>
      </c>
      <c r="H37" s="103" t="n">
        <f aca="false">G37*G$8</f>
        <v>155.311009702688</v>
      </c>
      <c r="I37" s="101" t="n">
        <f aca="false">STDEVP(B37:F37)/AVERAGE(B37:F37)</f>
        <v>0.202303714114749</v>
      </c>
      <c r="J37" s="101" t="n">
        <f aca="false">IF(H37&gt;$A$43, $C$43, IF(H37&gt;$A$44, $C$44, IF(H37&gt;$A$45,$C$45,IF(H37&gt;$A$46,$C$46, IF(H37&gt;$A$47,$C$47,IF(H37&gt;$A$48,$C$48,$C$49))))))/100</f>
        <v>0.275</v>
      </c>
      <c r="K37" s="101" t="n">
        <f aca="false">(MAX(B37:F37)-MIN(B37:F37))/G37</f>
        <v>0.576155185994146</v>
      </c>
      <c r="L37" s="0" t="n">
        <f aca="false">COUNTA(B37:F37)</f>
        <v>5</v>
      </c>
      <c r="N37" s="0" t="n">
        <v>29</v>
      </c>
    </row>
    <row r="38" customFormat="false" ht="15.8" hidden="false" customHeight="false" outlineLevel="0" collapsed="false">
      <c r="A38" s="80" t="s">
        <v>174</v>
      </c>
      <c r="B38" s="102" t="n">
        <f aca="false">G82/B$8</f>
        <v>2.52282048807747</v>
      </c>
      <c r="C38" s="102" t="n">
        <f aca="false">H82/C$8</f>
        <v>1.77467013318899</v>
      </c>
      <c r="D38" s="102" t="n">
        <f aca="false">I82/D$8</f>
        <v>3.19231163665428</v>
      </c>
      <c r="E38" s="102" t="n">
        <f aca="false">J82/E$8</f>
        <v>1.57950653451725</v>
      </c>
      <c r="F38" s="102" t="n">
        <f aca="false">K82/F$8</f>
        <v>0.992315902576806</v>
      </c>
      <c r="G38" s="15" t="n">
        <f aca="false">AVERAGE(B38:F38)</f>
        <v>2.01232493900296</v>
      </c>
      <c r="H38" s="103" t="n">
        <f aca="false">G38*G$8</f>
        <v>50.1945860896905</v>
      </c>
      <c r="I38" s="101" t="n">
        <f aca="false">STDEVP(B38:F38)/AVERAGE(B38:F38)</f>
        <v>0.380876316018305</v>
      </c>
      <c r="J38" s="101" t="n">
        <f aca="false">IF(H38&gt;$A$43, $C$43, IF(H38&gt;$A$44, $C$44, IF(H38&gt;$A$45,$C$45,IF(H38&gt;$A$46,$C$46, IF(H38&gt;$A$47,$C$47,IF(H38&gt;$A$48,$C$48,$C$49))))))/100</f>
        <v>0.275</v>
      </c>
      <c r="K38" s="101" t="n">
        <f aca="false">(MAX(B38:F38)-MIN(B38:F38))/G38</f>
        <v>1.09326068143224</v>
      </c>
      <c r="L38" s="0" t="n">
        <f aca="false">COUNTA(B38:F38)</f>
        <v>5</v>
      </c>
      <c r="N38" s="0" t="n">
        <v>30</v>
      </c>
    </row>
    <row r="39" customFormat="false" ht="15.8" hidden="false" customHeight="false" outlineLevel="0" collapsed="false"/>
    <row r="40" customFormat="false" ht="15.8" hidden="false" customHeight="false" outlineLevel="0" collapsed="false">
      <c r="A40" s="0" t="s">
        <v>175</v>
      </c>
    </row>
    <row r="41" customFormat="false" ht="15.8" hidden="false" customHeight="false" outlineLevel="0" collapsed="false">
      <c r="A41" s="104"/>
      <c r="B41" s="105" t="s">
        <v>176</v>
      </c>
      <c r="C41" s="104"/>
      <c r="D41" s="106" t="s">
        <v>177</v>
      </c>
      <c r="E41" s="107"/>
      <c r="F41" s="107"/>
      <c r="G41" s="107"/>
      <c r="H41" s="108"/>
    </row>
    <row r="42" customFormat="false" ht="15.8" hidden="false" customHeight="false" outlineLevel="0" collapsed="false">
      <c r="A42" s="109" t="s">
        <v>178</v>
      </c>
      <c r="B42" s="110" t="s">
        <v>179</v>
      </c>
      <c r="C42" s="109" t="s">
        <v>180</v>
      </c>
      <c r="D42" s="109" t="s">
        <v>181</v>
      </c>
      <c r="E42" s="110" t="s">
        <v>182</v>
      </c>
      <c r="F42" s="110" t="s">
        <v>183</v>
      </c>
      <c r="G42" s="110" t="s">
        <v>184</v>
      </c>
      <c r="H42" s="111" t="s">
        <v>185</v>
      </c>
    </row>
    <row r="43" customFormat="false" ht="15.8" hidden="false" customHeight="false" outlineLevel="0" collapsed="false">
      <c r="A43" s="112" t="n">
        <v>10000</v>
      </c>
      <c r="C43" s="112" t="n">
        <v>11</v>
      </c>
      <c r="D43" s="112" t="n">
        <v>7.8</v>
      </c>
      <c r="E43" s="0" t="n">
        <v>5.3</v>
      </c>
      <c r="F43" s="0" t="n">
        <v>4</v>
      </c>
      <c r="G43" s="0" t="n">
        <v>2.7</v>
      </c>
      <c r="H43" s="113" t="n">
        <v>1.8</v>
      </c>
    </row>
    <row r="44" customFormat="false" ht="15.8" hidden="false" customHeight="false" outlineLevel="0" collapsed="false">
      <c r="A44" s="112" t="n">
        <v>5000</v>
      </c>
      <c r="B44" s="0" t="n">
        <v>10000</v>
      </c>
      <c r="C44" s="112" t="n">
        <v>11.3</v>
      </c>
      <c r="D44" s="112" t="n">
        <v>7.8</v>
      </c>
      <c r="E44" s="0" t="n">
        <v>5.3</v>
      </c>
      <c r="F44" s="0" t="n">
        <v>4</v>
      </c>
      <c r="G44" s="0" t="n">
        <v>2.7</v>
      </c>
      <c r="H44" s="113" t="n">
        <v>1.9</v>
      </c>
    </row>
    <row r="45" customFormat="false" ht="15.8" hidden="false" customHeight="false" outlineLevel="0" collapsed="false">
      <c r="A45" s="112" t="n">
        <v>2000</v>
      </c>
      <c r="B45" s="0" t="n">
        <v>5000</v>
      </c>
      <c r="C45" s="112" t="n">
        <v>11.9</v>
      </c>
      <c r="D45" s="112" t="n">
        <v>7.9</v>
      </c>
      <c r="E45" s="0" t="n">
        <v>5.4</v>
      </c>
      <c r="F45" s="0" t="n">
        <v>4.1</v>
      </c>
      <c r="G45" s="0" t="n">
        <v>2.9</v>
      </c>
      <c r="H45" s="113" t="n">
        <v>2.1</v>
      </c>
    </row>
    <row r="46" customFormat="false" ht="15.8" hidden="false" customHeight="false" outlineLevel="0" collapsed="false">
      <c r="A46" s="112" t="n">
        <v>1000</v>
      </c>
      <c r="B46" s="0" t="n">
        <v>2000</v>
      </c>
      <c r="C46" s="112" t="n">
        <v>13.4</v>
      </c>
      <c r="D46" s="112" t="n">
        <v>8</v>
      </c>
      <c r="E46" s="0" t="n">
        <v>5.6</v>
      </c>
      <c r="F46" s="0" t="n">
        <v>4.3</v>
      </c>
      <c r="G46" s="0" t="n">
        <v>3.1</v>
      </c>
      <c r="H46" s="113" t="n">
        <v>2.4</v>
      </c>
    </row>
    <row r="47" customFormat="false" ht="15.8" hidden="false" customHeight="false" outlineLevel="0" collapsed="false">
      <c r="A47" s="112" t="n">
        <v>500</v>
      </c>
      <c r="B47" s="0" t="n">
        <v>1000</v>
      </c>
      <c r="C47" s="112" t="n">
        <v>15.6</v>
      </c>
      <c r="D47" s="112" t="n">
        <v>8.2</v>
      </c>
      <c r="E47" s="0" t="n">
        <v>5.9</v>
      </c>
      <c r="F47" s="0" t="n">
        <v>4.7</v>
      </c>
      <c r="G47" s="0" t="n">
        <v>3.6</v>
      </c>
      <c r="H47" s="113" t="n">
        <v>2.9</v>
      </c>
    </row>
    <row r="48" customFormat="false" ht="15.8" hidden="false" customHeight="false" outlineLevel="0" collapsed="false">
      <c r="A48" s="112" t="n">
        <v>200</v>
      </c>
      <c r="B48" s="0" t="n">
        <v>500</v>
      </c>
      <c r="C48" s="112" t="n">
        <v>19.3</v>
      </c>
      <c r="D48" s="112" t="n">
        <v>8.9</v>
      </c>
      <c r="E48" s="0" t="n">
        <v>6.8</v>
      </c>
      <c r="F48" s="0" t="n">
        <v>5.7</v>
      </c>
      <c r="G48" s="0" t="n">
        <v>4.7</v>
      </c>
      <c r="H48" s="113" t="n">
        <v>4.1</v>
      </c>
    </row>
    <row r="49" customFormat="false" ht="15.8" hidden="false" customHeight="false" outlineLevel="0" collapsed="false">
      <c r="A49" s="114" t="n">
        <v>100</v>
      </c>
      <c r="B49" s="115" t="n">
        <v>200</v>
      </c>
      <c r="C49" s="114" t="n">
        <v>27.5</v>
      </c>
      <c r="D49" s="114" t="n">
        <v>10</v>
      </c>
      <c r="E49" s="115" t="n">
        <v>8</v>
      </c>
      <c r="F49" s="115" t="n">
        <v>7</v>
      </c>
      <c r="G49" s="115" t="n">
        <v>6.1</v>
      </c>
      <c r="H49" s="116" t="n">
        <v>5.5</v>
      </c>
    </row>
    <row r="50" customFormat="false" ht="15.8" hidden="false" customHeight="false" outlineLevel="0" collapsed="false"/>
    <row r="51" s="120" customFormat="true" ht="15.8" hidden="false" customHeight="false" outlineLevel="0" collapsed="false">
      <c r="A51" s="118"/>
      <c r="B51" s="119" t="s">
        <v>40</v>
      </c>
      <c r="C51" s="119" t="s">
        <v>41</v>
      </c>
      <c r="D51" s="119" t="s">
        <v>42</v>
      </c>
      <c r="E51" s="119" t="s">
        <v>43</v>
      </c>
      <c r="F51" s="119" t="s">
        <v>44</v>
      </c>
      <c r="G51" s="119" t="s">
        <v>40</v>
      </c>
      <c r="H51" s="119" t="s">
        <v>41</v>
      </c>
      <c r="I51" s="119" t="s">
        <v>42</v>
      </c>
      <c r="J51" s="119" t="s">
        <v>43</v>
      </c>
      <c r="K51" s="119" t="s">
        <v>44</v>
      </c>
      <c r="L51" s="119" t="s">
        <v>40</v>
      </c>
      <c r="M51" s="119" t="s">
        <v>41</v>
      </c>
      <c r="N51" s="119" t="s">
        <v>42</v>
      </c>
      <c r="O51" s="119" t="s">
        <v>43</v>
      </c>
      <c r="P51" s="119" t="s">
        <v>44</v>
      </c>
    </row>
    <row r="52" s="123" customFormat="true" ht="15.8" hidden="false" customHeight="false" outlineLevel="0" collapsed="false">
      <c r="A52" s="121" t="s">
        <v>188</v>
      </c>
      <c r="B52" s="122" t="n">
        <f aca="false">'6 - B1'!$B$52</f>
        <v>4.475147</v>
      </c>
      <c r="C52" s="122" t="n">
        <f aca="false">'6 - B1'!$C$52</f>
        <v>4.733991</v>
      </c>
      <c r="D52" s="122" t="n">
        <f aca="false">'6 - B1'!$D$52</f>
        <v>4.720532</v>
      </c>
      <c r="E52" s="122" t="n">
        <f aca="false">'6 - B1'!$E$52</f>
        <v>4.753982</v>
      </c>
      <c r="F52" s="122" t="n">
        <f aca="false">'6 - B1'!$F$52</f>
        <v>4.776061</v>
      </c>
      <c r="G52" s="122" t="n">
        <f aca="false">'6 - B1'!$G$52</f>
        <v>4.756581</v>
      </c>
      <c r="H52" s="122" t="n">
        <f aca="false">'6 - B1'!$H$52</f>
        <v>5.071365</v>
      </c>
      <c r="I52" s="122" t="n">
        <f aca="false">'6 - B1'!$I$52</f>
        <v>5.012042</v>
      </c>
      <c r="J52" s="122" t="n">
        <f aca="false">'6 - B1'!$J$52</f>
        <v>5.064873</v>
      </c>
      <c r="K52" s="122" t="n">
        <f aca="false">'6 - B1'!$K$52</f>
        <v>5.038718</v>
      </c>
      <c r="L52" s="122" t="n">
        <f aca="false">'6 - B1'!$L$52</f>
        <v>4.489153</v>
      </c>
      <c r="M52" s="122" t="n">
        <f aca="false">'6 - B1'!$M$52</f>
        <v>4.796755</v>
      </c>
      <c r="N52" s="122" t="n">
        <f aca="false">'6 - B1'!$N$52</f>
        <v>4.784308</v>
      </c>
      <c r="O52" s="122" t="n">
        <f aca="false">'6 - B1'!$O$52</f>
        <v>4.787062</v>
      </c>
      <c r="P52" s="122" t="n">
        <f aca="false">'6 - B1'!$P$52</f>
        <v>4.805943</v>
      </c>
    </row>
    <row r="53" s="123" customFormat="true" ht="15.8" hidden="false" customHeight="false" outlineLevel="0" collapsed="false">
      <c r="A53" s="121" t="n">
        <f aca="false">'6 - B1'!$A$53</f>
        <v>4</v>
      </c>
      <c r="B53" s="122" t="n">
        <f aca="false">'6 - B1'!$B$53</f>
        <v>64899</v>
      </c>
      <c r="C53" s="122" t="n">
        <f aca="false">'6 - B1'!$C$53</f>
        <v>68924</v>
      </c>
      <c r="D53" s="122" t="n">
        <f aca="false">'6 - B1'!$D$53</f>
        <v>68636</v>
      </c>
      <c r="E53" s="122" t="n">
        <f aca="false">'6 - B1'!$E$53</f>
        <v>68505</v>
      </c>
      <c r="F53" s="122" t="n">
        <f aca="false">'6 - B1'!$F$53</f>
        <v>68193</v>
      </c>
      <c r="G53" s="122" t="n">
        <f aca="false">'6 - B1'!$G$53</f>
        <v>51992</v>
      </c>
      <c r="H53" s="122" t="n">
        <f aca="false">'6 - B1'!$H$53</f>
        <v>53940</v>
      </c>
      <c r="I53" s="122" t="n">
        <f aca="false">'6 - B1'!$I$53</f>
        <v>53282</v>
      </c>
      <c r="J53" s="122" t="n">
        <f aca="false">'6 - B1'!$J$53</f>
        <v>53242</v>
      </c>
      <c r="K53" s="122" t="n">
        <f aca="false">'6 - B1'!$K$53</f>
        <v>53515</v>
      </c>
      <c r="L53" s="122" t="n">
        <f aca="false">'6 - B1'!$L$53</f>
        <v>48799</v>
      </c>
      <c r="M53" s="122" t="n">
        <f aca="false">'6 - B1'!$M$53</f>
        <v>51430</v>
      </c>
      <c r="N53" s="122" t="n">
        <f aca="false">'6 - B1'!$N$53</f>
        <v>51700</v>
      </c>
      <c r="O53" s="122" t="n">
        <f aca="false">'6 - B1'!$O$53</f>
        <v>51740</v>
      </c>
      <c r="P53" s="122" t="n">
        <f aca="false">'6 - B1'!$P$53</f>
        <v>51082</v>
      </c>
    </row>
    <row r="54" s="123" customFormat="true" ht="15.8" hidden="false" customHeight="false" outlineLevel="0" collapsed="false">
      <c r="A54" s="121" t="n">
        <f aca="false">'6 - B1'!$A$54</f>
        <v>5</v>
      </c>
      <c r="B54" s="122" t="n">
        <f aca="false">'6 - B1'!$B$54</f>
        <v>56257</v>
      </c>
      <c r="C54" s="122" t="n">
        <f aca="false">'6 - B1'!$C$54</f>
        <v>59891</v>
      </c>
      <c r="D54" s="122" t="n">
        <f aca="false">'6 - B1'!$D$54</f>
        <v>59326</v>
      </c>
      <c r="E54" s="122" t="n">
        <f aca="false">'6 - B1'!$E$54</f>
        <v>59295</v>
      </c>
      <c r="F54" s="122" t="n">
        <f aca="false">'6 - B1'!$F$54</f>
        <v>59066</v>
      </c>
      <c r="G54" s="122" t="n">
        <f aca="false">'6 - B1'!$G$54</f>
        <v>44162</v>
      </c>
      <c r="H54" s="122" t="n">
        <f aca="false">'6 - B1'!$H$54</f>
        <v>45794</v>
      </c>
      <c r="I54" s="122" t="n">
        <f aca="false">'6 - B1'!$I$54</f>
        <v>45123</v>
      </c>
      <c r="J54" s="122" t="n">
        <f aca="false">'6 - B1'!$J$54</f>
        <v>45104</v>
      </c>
      <c r="K54" s="122" t="n">
        <f aca="false">'6 - B1'!$K$54</f>
        <v>45370</v>
      </c>
      <c r="L54" s="122" t="n">
        <f aca="false">'6 - B1'!$L$54</f>
        <v>41290</v>
      </c>
      <c r="M54" s="122" t="n">
        <f aca="false">'6 - B1'!$M$54</f>
        <v>43593</v>
      </c>
      <c r="N54" s="122" t="n">
        <f aca="false">'6 - B1'!$N$54</f>
        <v>43713</v>
      </c>
      <c r="O54" s="122" t="n">
        <f aca="false">'6 - B1'!$O$54</f>
        <v>43834</v>
      </c>
      <c r="P54" s="122" t="n">
        <f aca="false">'6 - B1'!$P$54</f>
        <v>43237</v>
      </c>
    </row>
    <row r="55" s="123" customFormat="true" ht="15.8" hidden="false" customHeight="false" outlineLevel="0" collapsed="false">
      <c r="A55" s="121" t="n">
        <f aca="false">'6 - B1'!$A$55</f>
        <v>6</v>
      </c>
      <c r="B55" s="122" t="n">
        <f aca="false">'6 - B1'!$B$55</f>
        <v>48583</v>
      </c>
      <c r="C55" s="122" t="n">
        <f aca="false">'6 - B1'!$C$55</f>
        <v>51654</v>
      </c>
      <c r="D55" s="122" t="n">
        <f aca="false">'6 - B1'!$D$55</f>
        <v>51300</v>
      </c>
      <c r="E55" s="122" t="n">
        <f aca="false">'6 - B1'!$E$55</f>
        <v>51080</v>
      </c>
      <c r="F55" s="122" t="n">
        <f aca="false">'6 - B1'!$F$55</f>
        <v>50920</v>
      </c>
      <c r="G55" s="122" t="n">
        <f aca="false">'6 - B1'!$G$55</f>
        <v>37475</v>
      </c>
      <c r="H55" s="122" t="n">
        <f aca="false">'6 - B1'!$H$55</f>
        <v>38947</v>
      </c>
      <c r="I55" s="122" t="n">
        <f aca="false">'6 - B1'!$I$55</f>
        <v>38027</v>
      </c>
      <c r="J55" s="122" t="n">
        <f aca="false">'6 - B1'!$J$55</f>
        <v>38178</v>
      </c>
      <c r="K55" s="122" t="n">
        <f aca="false">'6 - B1'!$K$55</f>
        <v>38360</v>
      </c>
      <c r="L55" s="122" t="n">
        <f aca="false">'6 - B1'!$L$55</f>
        <v>34958</v>
      </c>
      <c r="M55" s="122" t="n">
        <f aca="false">'6 - B1'!$M$55</f>
        <v>36844</v>
      </c>
      <c r="N55" s="122" t="n">
        <f aca="false">'6 - B1'!$N$55</f>
        <v>36893</v>
      </c>
      <c r="O55" s="122" t="n">
        <f aca="false">'6 - B1'!$O$55</f>
        <v>36888</v>
      </c>
      <c r="P55" s="122" t="n">
        <f aca="false">'6 - B1'!$P$55</f>
        <v>36437</v>
      </c>
    </row>
    <row r="56" s="123" customFormat="true" ht="15.8" hidden="false" customHeight="false" outlineLevel="0" collapsed="false">
      <c r="A56" s="121" t="n">
        <f aca="false">'6 - B1'!$A$56</f>
        <v>7</v>
      </c>
      <c r="B56" s="122" t="n">
        <f aca="false">'6 - B1'!$B$56</f>
        <v>42357</v>
      </c>
      <c r="C56" s="122" t="n">
        <f aca="false">'6 - B1'!$C$56</f>
        <v>44994</v>
      </c>
      <c r="D56" s="122" t="n">
        <f aca="false">'6 - B1'!$D$56</f>
        <v>44741</v>
      </c>
      <c r="E56" s="122" t="n">
        <f aca="false">'6 - B1'!$E$56</f>
        <v>44589</v>
      </c>
      <c r="F56" s="122" t="n">
        <f aca="false">'6 - B1'!$F$56</f>
        <v>44350</v>
      </c>
      <c r="G56" s="122" t="n">
        <f aca="false">'6 - B1'!$G$56</f>
        <v>31043</v>
      </c>
      <c r="H56" s="122" t="n">
        <f aca="false">'6 - B1'!$H$56</f>
        <v>32225</v>
      </c>
      <c r="I56" s="122" t="n">
        <f aca="false">'6 - B1'!$I$56</f>
        <v>31585</v>
      </c>
      <c r="J56" s="122" t="n">
        <f aca="false">'6 - B1'!$J$56</f>
        <v>31520</v>
      </c>
      <c r="K56" s="122" t="n">
        <f aca="false">'6 - B1'!$K$56</f>
        <v>31829</v>
      </c>
      <c r="L56" s="122" t="n">
        <f aca="false">'6 - B1'!$L$56</f>
        <v>28935</v>
      </c>
      <c r="M56" s="122" t="n">
        <f aca="false">'6 - B1'!$M$56</f>
        <v>30427</v>
      </c>
      <c r="N56" s="122" t="n">
        <f aca="false">'6 - B1'!$N$56</f>
        <v>30431</v>
      </c>
      <c r="O56" s="122" t="n">
        <f aca="false">'6 - B1'!$O$56</f>
        <v>30572</v>
      </c>
      <c r="P56" s="122" t="n">
        <f aca="false">'6 - B1'!$P$56</f>
        <v>30152</v>
      </c>
    </row>
    <row r="57" s="123" customFormat="true" ht="15.8" hidden="false" customHeight="false" outlineLevel="0" collapsed="false">
      <c r="A57" s="121" t="n">
        <f aca="false">'6 - B1'!$A$57</f>
        <v>8</v>
      </c>
      <c r="B57" s="122" t="n">
        <f aca="false">'6 - B1'!$B$57</f>
        <v>36098</v>
      </c>
      <c r="C57" s="122" t="n">
        <f aca="false">'6 - B1'!$C$57</f>
        <v>38325</v>
      </c>
      <c r="D57" s="122" t="n">
        <f aca="false">'6 - B1'!$D$57</f>
        <v>38238</v>
      </c>
      <c r="E57" s="122" t="n">
        <f aca="false">'6 - B1'!$E$57</f>
        <v>38152</v>
      </c>
      <c r="F57" s="122" t="n">
        <f aca="false">'6 - B1'!$F$57</f>
        <v>37745</v>
      </c>
      <c r="G57" s="122" t="n">
        <f aca="false">'6 - B1'!$G$57</f>
        <v>25259</v>
      </c>
      <c r="H57" s="122" t="n">
        <f aca="false">'6 - B1'!$H$57</f>
        <v>26108</v>
      </c>
      <c r="I57" s="122" t="n">
        <f aca="false">'6 - B1'!$I$57</f>
        <v>25521</v>
      </c>
      <c r="J57" s="122" t="n">
        <f aca="false">'6 - B1'!$J$57</f>
        <v>25513</v>
      </c>
      <c r="K57" s="122" t="n">
        <f aca="false">'6 - B1'!$K$57</f>
        <v>25681</v>
      </c>
      <c r="L57" s="122" t="n">
        <f aca="false">'6 - B1'!$L$57</f>
        <v>23457</v>
      </c>
      <c r="M57" s="122" t="n">
        <f aca="false">'6 - B1'!$M$57</f>
        <v>24711</v>
      </c>
      <c r="N57" s="122" t="n">
        <f aca="false">'6 - B1'!$N$57</f>
        <v>24555</v>
      </c>
      <c r="O57" s="122" t="n">
        <f aca="false">'6 - B1'!$O$57</f>
        <v>24775</v>
      </c>
      <c r="P57" s="122" t="n">
        <f aca="false">'6 - B1'!$P$57</f>
        <v>24275</v>
      </c>
    </row>
    <row r="58" s="123" customFormat="true" ht="15.8" hidden="false" customHeight="false" outlineLevel="0" collapsed="false">
      <c r="A58" s="121" t="n">
        <f aca="false">'6 - B1'!$A$58</f>
        <v>9</v>
      </c>
      <c r="B58" s="122" t="n">
        <f aca="false">'6 - B1'!$B$58</f>
        <v>30748</v>
      </c>
      <c r="C58" s="122" t="n">
        <f aca="false">'6 - B1'!$C$58</f>
        <v>32797</v>
      </c>
      <c r="D58" s="122" t="n">
        <f aca="false">'6 - B1'!$D$58</f>
        <v>32878</v>
      </c>
      <c r="E58" s="122" t="n">
        <f aca="false">'6 - B1'!$E$58</f>
        <v>32731</v>
      </c>
      <c r="F58" s="122" t="n">
        <f aca="false">'6 - B1'!$F$58</f>
        <v>32349</v>
      </c>
      <c r="G58" s="122" t="n">
        <f aca="false">'6 - B1'!$G$58</f>
        <v>20297</v>
      </c>
      <c r="H58" s="122" t="n">
        <f aca="false">'6 - B1'!$H$58</f>
        <v>20964</v>
      </c>
      <c r="I58" s="122" t="n">
        <f aca="false">'6 - B1'!$I$58</f>
        <v>20399</v>
      </c>
      <c r="J58" s="122" t="n">
        <f aca="false">'6 - B1'!$J$58</f>
        <v>20516</v>
      </c>
      <c r="K58" s="122" t="n">
        <f aca="false">'6 - B1'!$K$58</f>
        <v>20586</v>
      </c>
      <c r="L58" s="122" t="n">
        <f aca="false">'6 - B1'!$L$58</f>
        <v>18805</v>
      </c>
      <c r="M58" s="122" t="n">
        <f aca="false">'6 - B1'!$M$58</f>
        <v>19755</v>
      </c>
      <c r="N58" s="122" t="n">
        <f aca="false">'6 - B1'!$N$58</f>
        <v>19605</v>
      </c>
      <c r="O58" s="122" t="n">
        <f aca="false">'6 - B1'!$O$58</f>
        <v>19787</v>
      </c>
      <c r="P58" s="122" t="n">
        <f aca="false">'6 - B1'!$P$58</f>
        <v>19480</v>
      </c>
    </row>
    <row r="59" s="123" customFormat="true" ht="15.8" hidden="false" customHeight="false" outlineLevel="0" collapsed="false">
      <c r="A59" s="121" t="n">
        <f aca="false">'6 - B1'!$A$59</f>
        <v>10</v>
      </c>
      <c r="B59" s="122" t="n">
        <f aca="false">'6 - B1'!$B$59</f>
        <v>26004</v>
      </c>
      <c r="C59" s="122" t="n">
        <f aca="false">'6 - B1'!$C$59</f>
        <v>27802</v>
      </c>
      <c r="D59" s="122" t="n">
        <f aca="false">'6 - B1'!$D$59</f>
        <v>27813</v>
      </c>
      <c r="E59" s="122" t="n">
        <f aca="false">'6 - B1'!$E$59</f>
        <v>27635</v>
      </c>
      <c r="F59" s="122" t="n">
        <f aca="false">'6 - B1'!$F$59</f>
        <v>27427</v>
      </c>
      <c r="G59" s="122" t="n">
        <f aca="false">'6 - B1'!$G$59</f>
        <v>16224</v>
      </c>
      <c r="H59" s="122" t="n">
        <f aca="false">'6 - B1'!$H$59</f>
        <v>16855</v>
      </c>
      <c r="I59" s="122" t="n">
        <f aca="false">'6 - B1'!$I$59</f>
        <v>16422</v>
      </c>
      <c r="J59" s="122" t="n">
        <f aca="false">'6 - B1'!$J$59</f>
        <v>16577</v>
      </c>
      <c r="K59" s="122" t="n">
        <f aca="false">'6 - B1'!$K$59</f>
        <v>16497</v>
      </c>
      <c r="L59" s="122" t="n">
        <f aca="false">'6 - B1'!$L$59</f>
        <v>15210</v>
      </c>
      <c r="M59" s="122" t="n">
        <f aca="false">'6 - B1'!$M$59</f>
        <v>15912</v>
      </c>
      <c r="N59" s="122" t="n">
        <f aca="false">'6 - B1'!$N$59</f>
        <v>15753</v>
      </c>
      <c r="O59" s="122" t="n">
        <f aca="false">'6 - B1'!$O$59</f>
        <v>15881</v>
      </c>
      <c r="P59" s="122" t="n">
        <f aca="false">'6 - B1'!$P$59</f>
        <v>15548</v>
      </c>
    </row>
    <row r="60" s="123" customFormat="true" ht="15.8" hidden="false" customHeight="false" outlineLevel="0" collapsed="false">
      <c r="A60" s="121" t="n">
        <f aca="false">'6 - B1'!$A$60</f>
        <v>11</v>
      </c>
      <c r="B60" s="122" t="n">
        <f aca="false">'6 - B1'!$B$60</f>
        <v>21787</v>
      </c>
      <c r="C60" s="122" t="n">
        <f aca="false">'6 - B1'!$C$60</f>
        <v>23373</v>
      </c>
      <c r="D60" s="122" t="n">
        <f aca="false">'6 - B1'!$D$60</f>
        <v>23371</v>
      </c>
      <c r="E60" s="122" t="n">
        <f aca="false">'6 - B1'!$E$60</f>
        <v>23172</v>
      </c>
      <c r="F60" s="122" t="n">
        <f aca="false">'6 - B1'!$F$60</f>
        <v>22930</v>
      </c>
      <c r="G60" s="122" t="n">
        <f aca="false">'6 - B1'!$G$60</f>
        <v>12946</v>
      </c>
      <c r="H60" s="122" t="n">
        <f aca="false">'6 - B1'!$H$60</f>
        <v>13488</v>
      </c>
      <c r="I60" s="122" t="n">
        <f aca="false">'6 - B1'!$I$60</f>
        <v>13079</v>
      </c>
      <c r="J60" s="122" t="n">
        <f aca="false">'6 - B1'!$J$60</f>
        <v>13247</v>
      </c>
      <c r="K60" s="122" t="n">
        <f aca="false">'6 - B1'!$K$60</f>
        <v>13212</v>
      </c>
      <c r="L60" s="122" t="n">
        <f aca="false">'6 - B1'!$L$60</f>
        <v>12182</v>
      </c>
      <c r="M60" s="122" t="n">
        <f aca="false">'6 - B1'!$M$60</f>
        <v>12725</v>
      </c>
      <c r="N60" s="122" t="n">
        <f aca="false">'6 - B1'!$N$60</f>
        <v>12592</v>
      </c>
      <c r="O60" s="122" t="n">
        <f aca="false">'6 - B1'!$O$60</f>
        <v>12734</v>
      </c>
      <c r="P60" s="122" t="n">
        <f aca="false">'6 - B1'!$P$60</f>
        <v>12308</v>
      </c>
    </row>
    <row r="61" s="123" customFormat="true" ht="15.8" hidden="false" customHeight="false" outlineLevel="0" collapsed="false">
      <c r="A61" s="121" t="n">
        <f aca="false">'6 - B1'!$A$61</f>
        <v>12</v>
      </c>
      <c r="B61" s="122" t="n">
        <f aca="false">'6 - B1'!$B$61</f>
        <v>17875</v>
      </c>
      <c r="C61" s="122" t="n">
        <f aca="false">'6 - B1'!$C$61</f>
        <v>19353</v>
      </c>
      <c r="D61" s="122" t="n">
        <f aca="false">'6 - B1'!$D$61</f>
        <v>19274</v>
      </c>
      <c r="E61" s="122" t="n">
        <f aca="false">'6 - B1'!$E$61</f>
        <v>19142</v>
      </c>
      <c r="F61" s="122" t="n">
        <f aca="false">'6 - B1'!$F$61</f>
        <v>19006</v>
      </c>
      <c r="G61" s="122" t="n">
        <f aca="false">'6 - B1'!$G$61</f>
        <v>10520</v>
      </c>
      <c r="H61" s="122" t="n">
        <f aca="false">'6 - B1'!$H$61</f>
        <v>10955</v>
      </c>
      <c r="I61" s="122" t="n">
        <f aca="false">'6 - B1'!$I$61</f>
        <v>10513</v>
      </c>
      <c r="J61" s="122" t="n">
        <f aca="false">'6 - B1'!$J$61</f>
        <v>10759</v>
      </c>
      <c r="K61" s="122" t="n">
        <f aca="false">'6 - B1'!$K$61</f>
        <v>10718</v>
      </c>
      <c r="L61" s="122" t="n">
        <f aca="false">'6 - B1'!$L$61</f>
        <v>9996</v>
      </c>
      <c r="M61" s="122" t="n">
        <f aca="false">'6 - B1'!$M$61</f>
        <v>10304</v>
      </c>
      <c r="N61" s="122" t="n">
        <f aca="false">'6 - B1'!$N$61</f>
        <v>10245</v>
      </c>
      <c r="O61" s="122" t="n">
        <f aca="false">'6 - B1'!$O$61</f>
        <v>10331</v>
      </c>
      <c r="P61" s="122" t="n">
        <f aca="false">'6 - B1'!$P$61</f>
        <v>10024</v>
      </c>
    </row>
    <row r="62" s="123" customFormat="true" ht="15.8" hidden="false" customHeight="false" outlineLevel="0" collapsed="false">
      <c r="A62" s="121" t="n">
        <f aca="false">'6 - B1'!$A$62</f>
        <v>13</v>
      </c>
      <c r="B62" s="122" t="n">
        <f aca="false">'6 - B1'!$B$62</f>
        <v>14542</v>
      </c>
      <c r="C62" s="122" t="n">
        <f aca="false">'6 - B1'!$C$62</f>
        <v>15773</v>
      </c>
      <c r="D62" s="122" t="n">
        <f aca="false">'6 - B1'!$D$62</f>
        <v>15774</v>
      </c>
      <c r="E62" s="122" t="n">
        <f aca="false">'6 - B1'!$E$62</f>
        <v>15562</v>
      </c>
      <c r="F62" s="122" t="n">
        <f aca="false">'6 - B1'!$F$62</f>
        <v>15566</v>
      </c>
      <c r="G62" s="122" t="n">
        <f aca="false">'6 - B1'!$G$62</f>
        <v>8652</v>
      </c>
      <c r="H62" s="122" t="n">
        <f aca="false">'6 - B1'!$H$62</f>
        <v>8885</v>
      </c>
      <c r="I62" s="122" t="n">
        <f aca="false">'6 - B1'!$I$62</f>
        <v>8628</v>
      </c>
      <c r="J62" s="122" t="n">
        <f aca="false">'6 - B1'!$J$62</f>
        <v>8836</v>
      </c>
      <c r="K62" s="122" t="n">
        <f aca="false">'6 - B1'!$K$62</f>
        <v>8798</v>
      </c>
      <c r="L62" s="122" t="n">
        <f aca="false">'6 - B1'!$L$62</f>
        <v>8154</v>
      </c>
      <c r="M62" s="122" t="n">
        <f aca="false">'6 - B1'!$M$62</f>
        <v>8488</v>
      </c>
      <c r="N62" s="122" t="n">
        <f aca="false">'6 - B1'!$N$62</f>
        <v>8383</v>
      </c>
      <c r="O62" s="122" t="n">
        <f aca="false">'6 - B1'!$O$62</f>
        <v>8478</v>
      </c>
      <c r="P62" s="122" t="n">
        <f aca="false">'6 - B1'!$P$62</f>
        <v>8259</v>
      </c>
    </row>
    <row r="63" s="123" customFormat="true" ht="15.8" hidden="false" customHeight="false" outlineLevel="0" collapsed="false">
      <c r="A63" s="121" t="n">
        <f aca="false">'6 - B1'!$A$63</f>
        <v>14</v>
      </c>
      <c r="B63" s="122" t="n">
        <f aca="false">'6 - B1'!$B$63</f>
        <v>11660</v>
      </c>
      <c r="C63" s="122" t="n">
        <f aca="false">'6 - B1'!$C$63</f>
        <v>12639</v>
      </c>
      <c r="D63" s="122" t="n">
        <f aca="false">'6 - B1'!$D$63</f>
        <v>12567</v>
      </c>
      <c r="E63" s="122" t="n">
        <f aca="false">'6 - B1'!$E$63</f>
        <v>12452</v>
      </c>
      <c r="F63" s="122" t="n">
        <f aca="false">'6 - B1'!$F$63</f>
        <v>12403</v>
      </c>
      <c r="G63" s="122" t="n">
        <f aca="false">'6 - B1'!$G$63</f>
        <v>7252</v>
      </c>
      <c r="H63" s="122" t="n">
        <f aca="false">'6 - B1'!$H$63</f>
        <v>7357</v>
      </c>
      <c r="I63" s="122" t="n">
        <f aca="false">'6 - B1'!$I$63</f>
        <v>7090</v>
      </c>
      <c r="J63" s="122" t="n">
        <f aca="false">'6 - B1'!$J$63</f>
        <v>7375</v>
      </c>
      <c r="K63" s="122" t="n">
        <f aca="false">'6 - B1'!$K$63</f>
        <v>7357</v>
      </c>
      <c r="L63" s="122" t="n">
        <f aca="false">'6 - B1'!$L$63</f>
        <v>6800</v>
      </c>
      <c r="M63" s="122" t="n">
        <f aca="false">'6 - B1'!$M$63</f>
        <v>7093</v>
      </c>
      <c r="N63" s="122" t="n">
        <f aca="false">'6 - B1'!$N$63</f>
        <v>7006</v>
      </c>
      <c r="O63" s="122" t="n">
        <f aca="false">'6 - B1'!$O$63</f>
        <v>7050</v>
      </c>
      <c r="P63" s="122" t="n">
        <f aca="false">'6 - B1'!$P$63</f>
        <v>6873</v>
      </c>
    </row>
    <row r="64" s="123" customFormat="true" ht="15.8" hidden="false" customHeight="false" outlineLevel="0" collapsed="false">
      <c r="A64" s="121" t="n">
        <f aca="false">'6 - B1'!$A$64</f>
        <v>15</v>
      </c>
      <c r="B64" s="122" t="n">
        <f aca="false">'6 - B1'!$B$64</f>
        <v>9114</v>
      </c>
      <c r="C64" s="122" t="n">
        <f aca="false">'6 - B1'!$C$64</f>
        <v>9941</v>
      </c>
      <c r="D64" s="122" t="n">
        <f aca="false">'6 - B1'!$D$64</f>
        <v>9882</v>
      </c>
      <c r="E64" s="122" t="n">
        <f aca="false">'6 - B1'!$E$64</f>
        <v>9709</v>
      </c>
      <c r="F64" s="122" t="n">
        <f aca="false">'6 - B1'!$F$64</f>
        <v>9701</v>
      </c>
      <c r="G64" s="122" t="n">
        <f aca="false">'6 - B1'!$G$64</f>
        <v>6112</v>
      </c>
      <c r="H64" s="122" t="n">
        <f aca="false">'6 - B1'!$H$64</f>
        <v>6162</v>
      </c>
      <c r="I64" s="122" t="n">
        <f aca="false">'6 - B1'!$I$64</f>
        <v>6017</v>
      </c>
      <c r="J64" s="122" t="n">
        <f aca="false">'6 - B1'!$J$64</f>
        <v>6229</v>
      </c>
      <c r="K64" s="122" t="n">
        <f aca="false">'6 - B1'!$K$64</f>
        <v>6203</v>
      </c>
      <c r="L64" s="122" t="n">
        <f aca="false">'6 - B1'!$L$64</f>
        <v>5768</v>
      </c>
      <c r="M64" s="122" t="n">
        <f aca="false">'6 - B1'!$M$64</f>
        <v>5971</v>
      </c>
      <c r="N64" s="122" t="n">
        <f aca="false">'6 - B1'!$N$64</f>
        <v>5927</v>
      </c>
      <c r="O64" s="122" t="n">
        <f aca="false">'6 - B1'!$O$64</f>
        <v>5962</v>
      </c>
      <c r="P64" s="122" t="n">
        <f aca="false">'6 - B1'!$P$64</f>
        <v>5781</v>
      </c>
    </row>
    <row r="65" s="123" customFormat="true" ht="15.8" hidden="false" customHeight="false" outlineLevel="0" collapsed="false">
      <c r="A65" s="121" t="n">
        <f aca="false">'6 - B1'!$A$65</f>
        <v>16</v>
      </c>
      <c r="B65" s="122" t="n">
        <f aca="false">'6 - B1'!$B$65</f>
        <v>7062</v>
      </c>
      <c r="C65" s="122" t="n">
        <f aca="false">'6 - B1'!$C$65</f>
        <v>7694</v>
      </c>
      <c r="D65" s="122" t="n">
        <f aca="false">'6 - B1'!$D$65</f>
        <v>7682</v>
      </c>
      <c r="E65" s="122" t="n">
        <f aca="false">'6 - B1'!$E$65</f>
        <v>7426</v>
      </c>
      <c r="F65" s="122" t="n">
        <f aca="false">'6 - B1'!$F$65</f>
        <v>7485</v>
      </c>
      <c r="G65" s="122" t="n">
        <f aca="false">'6 - B1'!$G$65</f>
        <v>5255</v>
      </c>
      <c r="H65" s="122" t="n">
        <f aca="false">'6 - B1'!$H$65</f>
        <v>5297</v>
      </c>
      <c r="I65" s="122" t="n">
        <f aca="false">'6 - B1'!$I$65</f>
        <v>5110</v>
      </c>
      <c r="J65" s="122" t="n">
        <f aca="false">'6 - B1'!$J$65</f>
        <v>5302</v>
      </c>
      <c r="K65" s="122" t="n">
        <f aca="false">'6 - B1'!$K$65</f>
        <v>5289</v>
      </c>
      <c r="L65" s="122" t="n">
        <f aca="false">'6 - B1'!$L$65</f>
        <v>4988</v>
      </c>
      <c r="M65" s="122" t="n">
        <f aca="false">'6 - B1'!$M$65</f>
        <v>5145</v>
      </c>
      <c r="N65" s="122" t="n">
        <f aca="false">'6 - B1'!$N$65</f>
        <v>5042</v>
      </c>
      <c r="O65" s="122" t="n">
        <f aca="false">'6 - B1'!$O$65</f>
        <v>5076</v>
      </c>
      <c r="P65" s="122" t="n">
        <f aca="false">'6 - B1'!$P$65</f>
        <v>4928</v>
      </c>
    </row>
    <row r="66" s="123" customFormat="true" ht="15.8" hidden="false" customHeight="false" outlineLevel="0" collapsed="false">
      <c r="A66" s="121" t="n">
        <f aca="false">'6 - B1'!$A$66</f>
        <v>17</v>
      </c>
      <c r="B66" s="122" t="n">
        <f aca="false">'6 - B1'!$B$66</f>
        <v>5386</v>
      </c>
      <c r="C66" s="122" t="n">
        <f aca="false">'6 - B1'!$C$66</f>
        <v>5910</v>
      </c>
      <c r="D66" s="122" t="n">
        <f aca="false">'6 - B1'!$D$66</f>
        <v>5909</v>
      </c>
      <c r="E66" s="122" t="n">
        <f aca="false">'6 - B1'!$E$66</f>
        <v>5640</v>
      </c>
      <c r="F66" s="122" t="n">
        <f aca="false">'6 - B1'!$F$66</f>
        <v>5698</v>
      </c>
      <c r="G66" s="122" t="n">
        <f aca="false">'6 - B1'!$G$66</f>
        <v>4528</v>
      </c>
      <c r="H66" s="122" t="n">
        <f aca="false">'6 - B1'!$H$66</f>
        <v>4590</v>
      </c>
      <c r="I66" s="122" t="n">
        <f aca="false">'6 - B1'!$I$66</f>
        <v>4442</v>
      </c>
      <c r="J66" s="122" t="n">
        <f aca="false">'6 - B1'!$J$66</f>
        <v>4576</v>
      </c>
      <c r="K66" s="122" t="n">
        <f aca="false">'6 - B1'!$K$66</f>
        <v>4562</v>
      </c>
      <c r="L66" s="122" t="n">
        <f aca="false">'6 - B1'!$L$66</f>
        <v>4285</v>
      </c>
      <c r="M66" s="122" t="n">
        <f aca="false">'6 - B1'!$M$66</f>
        <v>4466</v>
      </c>
      <c r="N66" s="122" t="n">
        <f aca="false">'6 - B1'!$N$66</f>
        <v>4373</v>
      </c>
      <c r="O66" s="122" t="n">
        <f aca="false">'6 - B1'!$O$66</f>
        <v>4357</v>
      </c>
      <c r="P66" s="122" t="n">
        <f aca="false">'6 - B1'!$P$66</f>
        <v>4289</v>
      </c>
    </row>
    <row r="67" s="123" customFormat="true" ht="15.8" hidden="false" customHeight="false" outlineLevel="0" collapsed="false">
      <c r="A67" s="121" t="n">
        <f aca="false">'6 - B1'!$A$67</f>
        <v>18</v>
      </c>
      <c r="B67" s="122" t="n">
        <f aca="false">'6 - B1'!$B$67</f>
        <v>4142</v>
      </c>
      <c r="C67" s="122" t="n">
        <f aca="false">'6 - B1'!$C$67</f>
        <v>4444</v>
      </c>
      <c r="D67" s="122" t="n">
        <f aca="false">'6 - B1'!$D$67</f>
        <v>4538</v>
      </c>
      <c r="E67" s="122" t="n">
        <f aca="false">'6 - B1'!$E$67</f>
        <v>4272</v>
      </c>
      <c r="F67" s="122" t="n">
        <f aca="false">'6 - B1'!$F$67</f>
        <v>4234</v>
      </c>
      <c r="G67" s="122" t="n">
        <f aca="false">'6 - B1'!$G$67</f>
        <v>3986</v>
      </c>
      <c r="H67" s="122" t="n">
        <f aca="false">'6 - B1'!$H$67</f>
        <v>4022</v>
      </c>
      <c r="I67" s="122" t="n">
        <f aca="false">'6 - B1'!$I$67</f>
        <v>3948</v>
      </c>
      <c r="J67" s="122" t="n">
        <f aca="false">'6 - B1'!$J$67</f>
        <v>4047</v>
      </c>
      <c r="K67" s="122" t="n">
        <f aca="false">'6 - B1'!$K$67</f>
        <v>3972</v>
      </c>
      <c r="L67" s="122" t="n">
        <f aca="false">'6 - B1'!$L$67</f>
        <v>3770</v>
      </c>
      <c r="M67" s="122" t="n">
        <f aca="false">'6 - B1'!$M$67</f>
        <v>3941</v>
      </c>
      <c r="N67" s="122" t="n">
        <f aca="false">'6 - B1'!$N$67</f>
        <v>3897</v>
      </c>
      <c r="O67" s="122" t="n">
        <f aca="false">'6 - B1'!$O$67</f>
        <v>3806</v>
      </c>
      <c r="P67" s="122" t="n">
        <f aca="false">'6 - B1'!$P$67</f>
        <v>3752</v>
      </c>
    </row>
    <row r="68" customFormat="false" ht="15.8" hidden="false" customHeight="false" outlineLevel="0" collapsed="false">
      <c r="A68" s="121" t="n">
        <f aca="false">'6 - B1'!$A$68</f>
        <v>19</v>
      </c>
      <c r="B68" s="122" t="n">
        <f aca="false">'6 - B1'!$B$68</f>
        <v>3183</v>
      </c>
      <c r="C68" s="122" t="n">
        <f aca="false">'6 - B1'!$C$68</f>
        <v>3376</v>
      </c>
      <c r="D68" s="122" t="n">
        <f aca="false">'6 - B1'!$D$68</f>
        <v>3435</v>
      </c>
      <c r="E68" s="122" t="n">
        <f aca="false">'6 - B1'!$E$68</f>
        <v>3299</v>
      </c>
      <c r="F68" s="122" t="n">
        <f aca="false">'6 - B1'!$F$68</f>
        <v>3199</v>
      </c>
      <c r="G68" s="122" t="n">
        <f aca="false">'6 - B1'!$G$68</f>
        <v>3507</v>
      </c>
      <c r="H68" s="122" t="n">
        <f aca="false">'6 - B1'!$H$68</f>
        <v>3560</v>
      </c>
      <c r="I68" s="122" t="n">
        <f aca="false">'6 - B1'!$I$68</f>
        <v>3513</v>
      </c>
      <c r="J68" s="122" t="n">
        <f aca="false">'6 - B1'!$J$68</f>
        <v>3608</v>
      </c>
      <c r="K68" s="122" t="n">
        <f aca="false">'6 - B1'!$K$68</f>
        <v>3481</v>
      </c>
      <c r="L68" s="122" t="n">
        <f aca="false">'6 - B1'!$L$68</f>
        <v>3320</v>
      </c>
      <c r="M68" s="122" t="n">
        <f aca="false">'6 - B1'!$M$68</f>
        <v>3511</v>
      </c>
      <c r="N68" s="122" t="n">
        <f aca="false">'6 - B1'!$N$68</f>
        <v>3460</v>
      </c>
      <c r="O68" s="122" t="n">
        <f aca="false">'6 - B1'!$O$68</f>
        <v>3351</v>
      </c>
      <c r="P68" s="122" t="n">
        <f aca="false">'6 - B1'!$P$68</f>
        <v>3335</v>
      </c>
    </row>
    <row r="69" customFormat="false" ht="15.8" hidden="false" customHeight="false" outlineLevel="0" collapsed="false">
      <c r="A69" s="121" t="n">
        <f aca="false">'6 - B1'!$A$69</f>
        <v>20</v>
      </c>
      <c r="B69" s="122" t="n">
        <f aca="false">'6 - B1'!$B$69</f>
        <v>2478</v>
      </c>
      <c r="C69" s="122" t="n">
        <f aca="false">'6 - B1'!$C$69</f>
        <v>2570</v>
      </c>
      <c r="D69" s="122" t="n">
        <f aca="false">'6 - B1'!$D$69</f>
        <v>2635</v>
      </c>
      <c r="E69" s="122" t="n">
        <f aca="false">'6 - B1'!$E$69</f>
        <v>2483</v>
      </c>
      <c r="F69" s="122" t="n">
        <f aca="false">'6 - B1'!$F$69</f>
        <v>2430</v>
      </c>
      <c r="G69" s="122" t="n">
        <f aca="false">'6 - B1'!$G$69</f>
        <v>3160</v>
      </c>
      <c r="H69" s="122" t="n">
        <f aca="false">'6 - B1'!$H$69</f>
        <v>3179</v>
      </c>
      <c r="I69" s="122" t="n">
        <f aca="false">'6 - B1'!$I$69</f>
        <v>3159</v>
      </c>
      <c r="J69" s="122" t="n">
        <f aca="false">'6 - B1'!$J$69</f>
        <v>3222</v>
      </c>
      <c r="K69" s="122" t="n">
        <f aca="false">'6 - B1'!$K$69</f>
        <v>3112</v>
      </c>
      <c r="L69" s="122" t="n">
        <f aca="false">'6 - B1'!$L$69</f>
        <v>2954</v>
      </c>
      <c r="M69" s="122" t="n">
        <f aca="false">'6 - B1'!$M$69</f>
        <v>3133</v>
      </c>
      <c r="N69" s="122" t="n">
        <f aca="false">'6 - B1'!$N$69</f>
        <v>3113</v>
      </c>
      <c r="O69" s="122" t="n">
        <f aca="false">'6 - B1'!$O$69</f>
        <v>3003</v>
      </c>
      <c r="P69" s="122" t="n">
        <f aca="false">'6 - B1'!$P$69</f>
        <v>2977</v>
      </c>
    </row>
    <row r="70" customFormat="false" ht="15.8" hidden="false" customHeight="false" outlineLevel="0" collapsed="false">
      <c r="A70" s="121" t="n">
        <f aca="false">'6 - B1'!$A$70</f>
        <v>21</v>
      </c>
      <c r="B70" s="122" t="n">
        <f aca="false">'6 - B1'!$B$70</f>
        <v>1917</v>
      </c>
      <c r="C70" s="122" t="n">
        <f aca="false">'6 - B1'!$C$70</f>
        <v>1944</v>
      </c>
      <c r="D70" s="122" t="n">
        <f aca="false">'6 - B1'!$D$70</f>
        <v>2031</v>
      </c>
      <c r="E70" s="122" t="n">
        <f aca="false">'6 - B1'!$E$70</f>
        <v>1916</v>
      </c>
      <c r="F70" s="122" t="n">
        <f aca="false">'6 - B1'!$F$70</f>
        <v>1828</v>
      </c>
      <c r="G70" s="122" t="n">
        <f aca="false">'6 - B1'!$G$70</f>
        <v>2868</v>
      </c>
      <c r="H70" s="122" t="n">
        <f aca="false">'6 - B1'!$H$70</f>
        <v>2904</v>
      </c>
      <c r="I70" s="122" t="n">
        <f aca="false">'6 - B1'!$I$70</f>
        <v>2876</v>
      </c>
      <c r="J70" s="122" t="n">
        <f aca="false">'6 - B1'!$J$70</f>
        <v>2918</v>
      </c>
      <c r="K70" s="122" t="n">
        <f aca="false">'6 - B1'!$K$70</f>
        <v>2825</v>
      </c>
      <c r="L70" s="122" t="n">
        <f aca="false">'6 - B1'!$L$70</f>
        <v>2697</v>
      </c>
      <c r="M70" s="122" t="n">
        <f aca="false">'6 - B1'!$M$70</f>
        <v>2852</v>
      </c>
      <c r="N70" s="122" t="n">
        <f aca="false">'6 - B1'!$N$70</f>
        <v>2841</v>
      </c>
      <c r="O70" s="122" t="n">
        <f aca="false">'6 - B1'!$O$70</f>
        <v>2723</v>
      </c>
      <c r="P70" s="122" t="n">
        <f aca="false">'6 - B1'!$P$70</f>
        <v>2692</v>
      </c>
    </row>
    <row r="71" customFormat="false" ht="15.8" hidden="false" customHeight="false" outlineLevel="0" collapsed="false">
      <c r="A71" s="121" t="n">
        <f aca="false">'6 - B1'!$A$71</f>
        <v>22</v>
      </c>
      <c r="B71" s="122" t="n">
        <f aca="false">'6 - B1'!$B$71</f>
        <v>1468</v>
      </c>
      <c r="C71" s="122" t="n">
        <f aca="false">'6 - B1'!$C$71</f>
        <v>1488</v>
      </c>
      <c r="D71" s="122" t="n">
        <f aca="false">'6 - B1'!$D$71</f>
        <v>1571</v>
      </c>
      <c r="E71" s="122" t="n">
        <f aca="false">'6 - B1'!$E$71</f>
        <v>1492</v>
      </c>
      <c r="F71" s="122" t="n">
        <f aca="false">'6 - B1'!$F$71</f>
        <v>1409</v>
      </c>
      <c r="G71" s="122" t="n">
        <f aca="false">'6 - B1'!$G$71</f>
        <v>2625</v>
      </c>
      <c r="H71" s="122" t="n">
        <f aca="false">'6 - B1'!$H$71</f>
        <v>2641</v>
      </c>
      <c r="I71" s="122" t="n">
        <f aca="false">'6 - B1'!$I$71</f>
        <v>2610</v>
      </c>
      <c r="J71" s="122" t="n">
        <f aca="false">'6 - B1'!$J$71</f>
        <v>2669</v>
      </c>
      <c r="K71" s="122" t="n">
        <f aca="false">'6 - B1'!$K$71</f>
        <v>2549</v>
      </c>
      <c r="L71" s="122" t="n">
        <f aca="false">'6 - B1'!$L$71</f>
        <v>2476</v>
      </c>
      <c r="M71" s="122" t="n">
        <f aca="false">'6 - B1'!$M$71</f>
        <v>2578</v>
      </c>
      <c r="N71" s="122" t="n">
        <f aca="false">'6 - B1'!$N$71</f>
        <v>2610</v>
      </c>
      <c r="O71" s="122" t="n">
        <f aca="false">'6 - B1'!$O$71</f>
        <v>2479</v>
      </c>
      <c r="P71" s="122" t="n">
        <f aca="false">'6 - B1'!$P$71</f>
        <v>2441</v>
      </c>
    </row>
    <row r="72" customFormat="false" ht="15.8" hidden="false" customHeight="false" outlineLevel="0" collapsed="false">
      <c r="A72" s="121" t="n">
        <f aca="false">'6 - B1'!$A$72</f>
        <v>23</v>
      </c>
      <c r="B72" s="122" t="n">
        <f aca="false">'6 - B1'!$B$72</f>
        <v>1133</v>
      </c>
      <c r="C72" s="122" t="n">
        <f aca="false">'6 - B1'!$C$72</f>
        <v>1135</v>
      </c>
      <c r="D72" s="122" t="n">
        <f aca="false">'6 - B1'!$D$72</f>
        <v>1188</v>
      </c>
      <c r="E72" s="122" t="n">
        <f aca="false">'6 - B1'!$E$72</f>
        <v>1152</v>
      </c>
      <c r="F72" s="122" t="n">
        <f aca="false">'6 - B1'!$F$72</f>
        <v>1063</v>
      </c>
      <c r="G72" s="122" t="n">
        <f aca="false">'6 - B1'!$G$72</f>
        <v>2319</v>
      </c>
      <c r="H72" s="122" t="n">
        <f aca="false">'6 - B1'!$H$72</f>
        <v>2356</v>
      </c>
      <c r="I72" s="122" t="n">
        <f aca="false">'6 - B1'!$I$72</f>
        <v>2337</v>
      </c>
      <c r="J72" s="122" t="n">
        <f aca="false">'6 - B1'!$J$72</f>
        <v>2372</v>
      </c>
      <c r="K72" s="122" t="n">
        <f aca="false">'6 - B1'!$K$72</f>
        <v>2277</v>
      </c>
      <c r="L72" s="122" t="n">
        <f aca="false">'6 - B1'!$L$72</f>
        <v>2216</v>
      </c>
      <c r="M72" s="122" t="n">
        <f aca="false">'6 - B1'!$M$72</f>
        <v>2302</v>
      </c>
      <c r="N72" s="122" t="n">
        <f aca="false">'6 - B1'!$N$72</f>
        <v>2326</v>
      </c>
      <c r="O72" s="122" t="n">
        <f aca="false">'6 - B1'!$O$72</f>
        <v>2173</v>
      </c>
      <c r="P72" s="122" t="n">
        <f aca="false">'6 - B1'!$P$72</f>
        <v>2152</v>
      </c>
    </row>
    <row r="73" customFormat="false" ht="15.8" hidden="false" customHeight="false" outlineLevel="0" collapsed="false">
      <c r="A73" s="121" t="n">
        <f aca="false">'6 - B1'!$A$73</f>
        <v>24</v>
      </c>
      <c r="B73" s="122" t="n">
        <f aca="false">'6 - B1'!$B$73</f>
        <v>874</v>
      </c>
      <c r="C73" s="122" t="n">
        <f aca="false">'6 - B1'!$C$73</f>
        <v>868</v>
      </c>
      <c r="D73" s="122" t="n">
        <f aca="false">'6 - B1'!$D$73</f>
        <v>892</v>
      </c>
      <c r="E73" s="122" t="n">
        <f aca="false">'6 - B1'!$E$73</f>
        <v>902</v>
      </c>
      <c r="F73" s="122" t="n">
        <f aca="false">'6 - B1'!$F$73</f>
        <v>773</v>
      </c>
      <c r="G73" s="122" t="n">
        <f aca="false">'6 - B1'!$G$73</f>
        <v>1976</v>
      </c>
      <c r="H73" s="122" t="n">
        <f aca="false">'6 - B1'!$H$73</f>
        <v>2002</v>
      </c>
      <c r="I73" s="122" t="n">
        <f aca="false">'6 - B1'!$I$73</f>
        <v>1977</v>
      </c>
      <c r="J73" s="122" t="n">
        <f aca="false">'6 - B1'!$J$73</f>
        <v>2040</v>
      </c>
      <c r="K73" s="122" t="n">
        <f aca="false">'6 - B1'!$K$73</f>
        <v>1938</v>
      </c>
      <c r="L73" s="122" t="n">
        <f aca="false">'6 - B1'!$L$73</f>
        <v>1894</v>
      </c>
      <c r="M73" s="122" t="n">
        <f aca="false">'6 - B1'!$M$73</f>
        <v>1908</v>
      </c>
      <c r="N73" s="122" t="n">
        <f aca="false">'6 - B1'!$N$73</f>
        <v>1970</v>
      </c>
      <c r="O73" s="122" t="n">
        <f aca="false">'6 - B1'!$O$73</f>
        <v>1854</v>
      </c>
      <c r="P73" s="122" t="n">
        <f aca="false">'6 - B1'!$P$73</f>
        <v>1818</v>
      </c>
    </row>
    <row r="74" customFormat="false" ht="15.8" hidden="false" customHeight="false" outlineLevel="0" collapsed="false">
      <c r="A74" s="121" t="n">
        <f aca="false">'6 - B1'!$A$74</f>
        <v>25</v>
      </c>
      <c r="B74" s="122" t="n">
        <f aca="false">'6 - B1'!$B$74</f>
        <v>664</v>
      </c>
      <c r="C74" s="122" t="n">
        <f aca="false">'6 - B1'!$C$74</f>
        <v>658</v>
      </c>
      <c r="D74" s="122" t="n">
        <f aca="false">'6 - B1'!$D$74</f>
        <v>677</v>
      </c>
      <c r="E74" s="122" t="n">
        <f aca="false">'6 - B1'!$E$74</f>
        <v>670</v>
      </c>
      <c r="F74" s="122" t="n">
        <f aca="false">'6 - B1'!$F$74</f>
        <v>586</v>
      </c>
      <c r="G74" s="122" t="n">
        <f aca="false">'6 - B1'!$G$74</f>
        <v>1553</v>
      </c>
      <c r="H74" s="122" t="n">
        <f aca="false">'6 - B1'!$H$74</f>
        <v>1563</v>
      </c>
      <c r="I74" s="122" t="n">
        <f aca="false">'6 - B1'!$I$74</f>
        <v>1540</v>
      </c>
      <c r="J74" s="122" t="n">
        <f aca="false">'6 - B1'!$J$74</f>
        <v>1620</v>
      </c>
      <c r="K74" s="122" t="n">
        <f aca="false">'6 - B1'!$K$74</f>
        <v>1480</v>
      </c>
      <c r="L74" s="122" t="n">
        <f aca="false">'6 - B1'!$L$74</f>
        <v>1474</v>
      </c>
      <c r="M74" s="122" t="n">
        <f aca="false">'6 - B1'!$M$74</f>
        <v>1477</v>
      </c>
      <c r="N74" s="122" t="n">
        <f aca="false">'6 - B1'!$N$74</f>
        <v>1550</v>
      </c>
      <c r="O74" s="122" t="n">
        <f aca="false">'6 - B1'!$O$74</f>
        <v>1434</v>
      </c>
      <c r="P74" s="122" t="n">
        <f aca="false">'6 - B1'!$P$74</f>
        <v>1431</v>
      </c>
    </row>
    <row r="75" customFormat="false" ht="15.8" hidden="false" customHeight="false" outlineLevel="0" collapsed="false">
      <c r="A75" s="121" t="n">
        <f aca="false">'6 - B1'!$A$75</f>
        <v>26</v>
      </c>
      <c r="B75" s="122" t="n">
        <f aca="false">'6 - B1'!$B$75</f>
        <v>496</v>
      </c>
      <c r="C75" s="122" t="n">
        <f aca="false">'6 - B1'!$C$75</f>
        <v>507</v>
      </c>
      <c r="D75" s="122" t="n">
        <f aca="false">'6 - B1'!$D$75</f>
        <v>514</v>
      </c>
      <c r="E75" s="122" t="n">
        <f aca="false">'6 - B1'!$E$75</f>
        <v>489</v>
      </c>
      <c r="F75" s="122" t="n">
        <f aca="false">'6 - B1'!$F$75</f>
        <v>433</v>
      </c>
      <c r="G75" s="122" t="n">
        <f aca="false">'6 - B1'!$G$75</f>
        <v>1105</v>
      </c>
      <c r="H75" s="122" t="n">
        <f aca="false">'6 - B1'!$H$75</f>
        <v>1165</v>
      </c>
      <c r="I75" s="122" t="n">
        <f aca="false">'6 - B1'!$I$75</f>
        <v>1134</v>
      </c>
      <c r="J75" s="122" t="n">
        <f aca="false">'6 - B1'!$J$75</f>
        <v>1177</v>
      </c>
      <c r="K75" s="122" t="n">
        <f aca="false">'6 - B1'!$K$75</f>
        <v>1034</v>
      </c>
      <c r="L75" s="122" t="n">
        <f aca="false">'6 - B1'!$L$75</f>
        <v>1079</v>
      </c>
      <c r="M75" s="122" t="n">
        <f aca="false">'6 - B1'!$M$75</f>
        <v>1076</v>
      </c>
      <c r="N75" s="122" t="n">
        <f aca="false">'6 - B1'!$N$75</f>
        <v>1130</v>
      </c>
      <c r="O75" s="122" t="n">
        <f aca="false">'6 - B1'!$O$75</f>
        <v>1000</v>
      </c>
      <c r="P75" s="122" t="n">
        <f aca="false">'6 - B1'!$P$75</f>
        <v>1004</v>
      </c>
    </row>
    <row r="76" customFormat="false" ht="15.8" hidden="false" customHeight="false" outlineLevel="0" collapsed="false">
      <c r="A76" s="121" t="n">
        <f aca="false">'6 - B1'!$A$76</f>
        <v>27</v>
      </c>
      <c r="B76" s="122" t="n">
        <f aca="false">'6 - B1'!$B$76</f>
        <v>377</v>
      </c>
      <c r="C76" s="122" t="n">
        <f aca="false">'6 - B1'!$C$76</f>
        <v>368</v>
      </c>
      <c r="D76" s="122" t="n">
        <f aca="false">'6 - B1'!$D$76</f>
        <v>371</v>
      </c>
      <c r="E76" s="122" t="n">
        <f aca="false">'6 - B1'!$E$76</f>
        <v>367</v>
      </c>
      <c r="F76" s="122" t="n">
        <f aca="false">'6 - B1'!$F$76</f>
        <v>314</v>
      </c>
      <c r="G76" s="122" t="n">
        <f aca="false">'6 - B1'!$G$76</f>
        <v>758</v>
      </c>
      <c r="H76" s="122" t="n">
        <f aca="false">'6 - B1'!$H$76</f>
        <v>805</v>
      </c>
      <c r="I76" s="122" t="n">
        <f aca="false">'6 - B1'!$I$76</f>
        <v>804</v>
      </c>
      <c r="J76" s="122" t="n">
        <f aca="false">'6 - B1'!$J$76</f>
        <v>826</v>
      </c>
      <c r="K76" s="122" t="n">
        <f aca="false">'6 - B1'!$K$76</f>
        <v>700</v>
      </c>
      <c r="L76" s="122" t="n">
        <f aca="false">'6 - B1'!$L$76</f>
        <v>730</v>
      </c>
      <c r="M76" s="122" t="n">
        <f aca="false">'6 - B1'!$M$76</f>
        <v>736</v>
      </c>
      <c r="N76" s="122" t="n">
        <f aca="false">'6 - B1'!$N$76</f>
        <v>809</v>
      </c>
      <c r="O76" s="122" t="n">
        <f aca="false">'6 - B1'!$O$76</f>
        <v>695</v>
      </c>
      <c r="P76" s="122" t="n">
        <f aca="false">'6 - B1'!$P$76</f>
        <v>702</v>
      </c>
    </row>
    <row r="77" customFormat="false" ht="15.8" hidden="false" customHeight="false" outlineLevel="0" collapsed="false">
      <c r="A77" s="121" t="n">
        <f aca="false">'6 - B1'!$A$77</f>
        <v>28</v>
      </c>
      <c r="B77" s="122" t="n">
        <f aca="false">'6 - B1'!$B$77</f>
        <v>271</v>
      </c>
      <c r="C77" s="122" t="n">
        <f aca="false">'6 - B1'!$C$77</f>
        <v>266</v>
      </c>
      <c r="D77" s="122" t="n">
        <f aca="false">'6 - B1'!$D$77</f>
        <v>276</v>
      </c>
      <c r="E77" s="122" t="n">
        <f aca="false">'6 - B1'!$E$77</f>
        <v>260</v>
      </c>
      <c r="F77" s="122" t="n">
        <f aca="false">'6 - B1'!$F$77</f>
        <v>204</v>
      </c>
      <c r="G77" s="122" t="n">
        <f aca="false">'6 - B1'!$G$77</f>
        <v>528</v>
      </c>
      <c r="H77" s="122" t="n">
        <f aca="false">'6 - B1'!$H$77</f>
        <v>574</v>
      </c>
      <c r="I77" s="122" t="n">
        <f aca="false">'6 - B1'!$I$77</f>
        <v>561</v>
      </c>
      <c r="J77" s="122" t="n">
        <f aca="false">'6 - B1'!$J$77</f>
        <v>575</v>
      </c>
      <c r="K77" s="122" t="n">
        <f aca="false">'6 - B1'!$K$77</f>
        <v>494</v>
      </c>
      <c r="L77" s="122" t="n">
        <f aca="false">'6 - B1'!$L$77</f>
        <v>530</v>
      </c>
      <c r="M77" s="122" t="n">
        <f aca="false">'6 - B1'!$M$77</f>
        <v>501</v>
      </c>
      <c r="N77" s="122" t="n">
        <f aca="false">'6 - B1'!$N$77</f>
        <v>553</v>
      </c>
      <c r="O77" s="122" t="n">
        <f aca="false">'6 - B1'!$O$77</f>
        <v>512</v>
      </c>
      <c r="P77" s="122" t="n">
        <f aca="false">'6 - B1'!$P$77</f>
        <v>483</v>
      </c>
    </row>
    <row r="78" customFormat="false" ht="15.8" hidden="false" customHeight="false" outlineLevel="0" collapsed="false">
      <c r="A78" s="121" t="n">
        <f aca="false">'6 - B1'!$A$78</f>
        <v>29</v>
      </c>
      <c r="B78" s="122" t="n">
        <f aca="false">'6 - B1'!$B$78</f>
        <v>205</v>
      </c>
      <c r="C78" s="122" t="n">
        <f aca="false">'6 - B1'!$C$78</f>
        <v>190</v>
      </c>
      <c r="D78" s="122" t="n">
        <f aca="false">'6 - B1'!$D$78</f>
        <v>204</v>
      </c>
      <c r="E78" s="122" t="n">
        <f aca="false">'6 - B1'!$E$78</f>
        <v>187</v>
      </c>
      <c r="F78" s="122" t="n">
        <f aca="false">'6 - B1'!$F$78</f>
        <v>143</v>
      </c>
      <c r="G78" s="122" t="n">
        <f aca="false">'6 - B1'!$G$78</f>
        <v>379</v>
      </c>
      <c r="H78" s="122" t="n">
        <f aca="false">'6 - B1'!$H$78</f>
        <v>404</v>
      </c>
      <c r="I78" s="122" t="n">
        <f aca="false">'6 - B1'!$I$78</f>
        <v>381</v>
      </c>
      <c r="J78" s="122" t="n">
        <f aca="false">'6 - B1'!$J$78</f>
        <v>411</v>
      </c>
      <c r="K78" s="122" t="n">
        <f aca="false">'6 - B1'!$K$78</f>
        <v>347</v>
      </c>
      <c r="L78" s="122" t="n">
        <f aca="false">'6 - B1'!$L$78</f>
        <v>376</v>
      </c>
      <c r="M78" s="122" t="n">
        <f aca="false">'6 - B1'!$M$78</f>
        <v>348</v>
      </c>
      <c r="N78" s="122" t="n">
        <f aca="false">'6 - B1'!$N$78</f>
        <v>395</v>
      </c>
      <c r="O78" s="122" t="n">
        <f aca="false">'6 - B1'!$O$78</f>
        <v>372</v>
      </c>
      <c r="P78" s="122" t="n">
        <f aca="false">'6 - B1'!$P$78</f>
        <v>327</v>
      </c>
    </row>
    <row r="79" customFormat="false" ht="15.8" hidden="false" customHeight="false" outlineLevel="0" collapsed="false">
      <c r="A79" s="121" t="n">
        <f aca="false">'6 - B1'!$A$79</f>
        <v>30</v>
      </c>
      <c r="B79" s="122" t="n">
        <f aca="false">'6 - B1'!$B$79</f>
        <v>153</v>
      </c>
      <c r="C79" s="122" t="n">
        <f aca="false">'6 - B1'!$C$79</f>
        <v>130</v>
      </c>
      <c r="D79" s="122" t="n">
        <f aca="false">'6 - B1'!$D$79</f>
        <v>136</v>
      </c>
      <c r="E79" s="122" t="n">
        <f aca="false">'6 - B1'!$E$79</f>
        <v>120</v>
      </c>
      <c r="F79" s="122" t="n">
        <f aca="false">'6 - B1'!$F$79</f>
        <v>91</v>
      </c>
      <c r="G79" s="122" t="n">
        <f aca="false">'6 - B1'!$G$79</f>
        <v>257</v>
      </c>
      <c r="H79" s="122" t="n">
        <f aca="false">'6 - B1'!$H$79</f>
        <v>304</v>
      </c>
      <c r="I79" s="122" t="n">
        <f aca="false">'6 - B1'!$I$79</f>
        <v>276</v>
      </c>
      <c r="J79" s="122" t="n">
        <f aca="false">'6 - B1'!$J$79</f>
        <v>307</v>
      </c>
      <c r="K79" s="124" t="n">
        <f aca="false">'6 - B1'!$K$79</f>
        <v>236</v>
      </c>
      <c r="L79" s="122" t="n">
        <f aca="false">'6 - B1'!$L$79</f>
        <v>275</v>
      </c>
      <c r="M79" s="122" t="n">
        <f aca="false">'6 - B1'!$M$79</f>
        <v>260</v>
      </c>
      <c r="N79" s="122" t="n">
        <f aca="false">'6 - B1'!$N$79</f>
        <v>295</v>
      </c>
      <c r="O79" s="122" t="n">
        <f aca="false">'6 - B1'!$O$79</f>
        <v>256</v>
      </c>
      <c r="P79" s="122" t="n">
        <f aca="false">'6 - B1'!$P$79</f>
        <v>236</v>
      </c>
    </row>
    <row r="80" customFormat="false" ht="15.8" hidden="false" customHeight="false" outlineLevel="0" collapsed="false">
      <c r="A80" s="121" t="n">
        <f aca="false">'6 - B1'!$A$80</f>
        <v>38</v>
      </c>
      <c r="B80" s="122" t="n">
        <f aca="false">'6 - B1'!$B$80</f>
        <v>99</v>
      </c>
      <c r="C80" s="122" t="n">
        <f aca="false">'6 - B1'!$C$80</f>
        <v>93</v>
      </c>
      <c r="D80" s="122" t="n">
        <f aca="false">'6 - B1'!$D$80</f>
        <v>95</v>
      </c>
      <c r="E80" s="122" t="n">
        <f aca="false">'6 - B1'!$E$80</f>
        <v>78</v>
      </c>
      <c r="F80" s="122" t="n">
        <f aca="false">'6 - B1'!$F$80</f>
        <v>60</v>
      </c>
      <c r="G80" s="122" t="n">
        <f aca="false">'6 - B1'!$G$80</f>
        <v>48</v>
      </c>
      <c r="H80" s="122" t="n">
        <f aca="false">'6 - B1'!$H$80</f>
        <v>52</v>
      </c>
      <c r="I80" s="122" t="n">
        <f aca="false">'6 - B1'!$I$80</f>
        <v>51</v>
      </c>
      <c r="J80" s="122" t="n">
        <f aca="false">'6 - B1'!$J$80</f>
        <v>59</v>
      </c>
      <c r="K80" s="122" t="n">
        <f aca="false">'6 - B1'!$K$80</f>
        <v>37</v>
      </c>
      <c r="L80" s="122" t="n">
        <f aca="false">'6 - B1'!$L$80</f>
        <v>58</v>
      </c>
      <c r="M80" s="122" t="n">
        <f aca="false">'6 - B1'!$M$80</f>
        <v>50</v>
      </c>
      <c r="N80" s="122" t="n">
        <f aca="false">'6 - B1'!$N$80</f>
        <v>52</v>
      </c>
      <c r="O80" s="122" t="n">
        <f aca="false">'6 - B1'!$O$80</f>
        <v>40</v>
      </c>
      <c r="P80" s="122" t="n">
        <f aca="false">'6 - B1'!$P$80</f>
        <v>37</v>
      </c>
    </row>
    <row r="81" customFormat="false" ht="15.8" hidden="false" customHeight="false" outlineLevel="0" collapsed="false">
      <c r="A81" s="121" t="n">
        <f aca="false">'6 - B1'!$A$81</f>
        <v>50</v>
      </c>
      <c r="B81" s="122" t="n">
        <f aca="false">'6 - B1'!$B$81</f>
        <v>64</v>
      </c>
      <c r="C81" s="122" t="n">
        <f aca="false">'6 - B1'!$C$81</f>
        <v>49</v>
      </c>
      <c r="D81" s="122" t="n">
        <f aca="false">'6 - B1'!$D$81</f>
        <v>47</v>
      </c>
      <c r="E81" s="122" t="n">
        <f aca="false">'6 - B1'!$E$81</f>
        <v>39</v>
      </c>
      <c r="F81" s="122" t="n">
        <f aca="false">'6 - B1'!$F$81</f>
        <v>34</v>
      </c>
      <c r="G81" s="122" t="n">
        <f aca="false">'6 - B1'!$G$81</f>
        <v>35</v>
      </c>
      <c r="H81" s="122" t="n">
        <f aca="false">'6 - B1'!$H$81</f>
        <v>34</v>
      </c>
      <c r="I81" s="122" t="n">
        <f aca="false">'6 - B1'!$I$81</f>
        <v>34</v>
      </c>
      <c r="J81" s="122" t="n">
        <f aca="false">'6 - B1'!$J$81</f>
        <v>33</v>
      </c>
      <c r="K81" s="122" t="n">
        <f aca="false">'6 - B1'!$K$81</f>
        <v>19</v>
      </c>
      <c r="L81" s="122" t="n">
        <f aca="false">'6 - B1'!$L$81</f>
        <v>36</v>
      </c>
      <c r="M81" s="122" t="n">
        <f aca="false">'6 - B1'!$M$81</f>
        <v>23</v>
      </c>
      <c r="N81" s="122" t="n">
        <f aca="false">'6 - B1'!$N$81</f>
        <v>30</v>
      </c>
      <c r="O81" s="122" t="n">
        <f aca="false">'6 - B1'!$O$81</f>
        <v>25</v>
      </c>
      <c r="P81" s="122" t="n">
        <f aca="false">'6 - B1'!$P$81</f>
        <v>20</v>
      </c>
    </row>
    <row r="82" customFormat="false" ht="15.8" hidden="false" customHeight="false" outlineLevel="0" collapsed="false">
      <c r="A82" s="121" t="n">
        <f aca="false">'6 - B1'!$A$82</f>
        <v>70</v>
      </c>
      <c r="B82" s="122" t="n">
        <f aca="false">'6 - B1'!$B$82</f>
        <v>33</v>
      </c>
      <c r="C82" s="122" t="n">
        <f aca="false">'6 - B1'!$C$82</f>
        <v>21</v>
      </c>
      <c r="D82" s="122" t="n">
        <f aca="false">'6 - B1'!$D$82</f>
        <v>21</v>
      </c>
      <c r="E82" s="122" t="n">
        <f aca="false">'6 - B1'!$E$82</f>
        <v>10</v>
      </c>
      <c r="F82" s="122" t="n">
        <f aca="false">'6 - B1'!$F$82</f>
        <v>16</v>
      </c>
      <c r="G82" s="122" t="n">
        <f aca="false">'6 - B1'!$G$82</f>
        <v>12</v>
      </c>
      <c r="H82" s="122" t="n">
        <f aca="false">'6 - B1'!$H$82</f>
        <v>9</v>
      </c>
      <c r="I82" s="122" t="n">
        <f aca="false">'6 - B1'!$I$82</f>
        <v>16</v>
      </c>
      <c r="J82" s="122" t="n">
        <f aca="false">'6 - B1'!$J$82</f>
        <v>8</v>
      </c>
      <c r="K82" s="122" t="n">
        <f aca="false">'6 - B1'!$K$82</f>
        <v>5</v>
      </c>
      <c r="L82" s="122" t="n">
        <f aca="false">'6 - B1'!$L$82</f>
        <v>15</v>
      </c>
      <c r="M82" s="122" t="n">
        <f aca="false">'6 - B1'!$M$82</f>
        <v>9</v>
      </c>
      <c r="N82" s="122" t="n">
        <f aca="false">'6 - B1'!$N$82</f>
        <v>9</v>
      </c>
      <c r="O82" s="122" t="n">
        <f aca="false">'6 - B1'!$O$82</f>
        <v>10</v>
      </c>
      <c r="P82" s="122" t="n">
        <f aca="false">'6 - B1'!$P$82</f>
        <v>2</v>
      </c>
    </row>
    <row r="83" customFormat="false" ht="15.8" hidden="false" customHeight="false" outlineLevel="0" collapsed="false"/>
    <row r="84" customFormat="false" ht="15.8" hidden="false" customHeight="false" outlineLevel="0" collapsed="false"/>
    <row r="85" customFormat="false" ht="15.8" hidden="false" customHeight="false" outlineLevel="0" collapsed="false"/>
    <row r="86" customFormat="false" ht="15.8" hidden="false" customHeight="false" outlineLevel="0" collapsed="false"/>
    <row r="87" customFormat="false" ht="15.8" hidden="false" customHeight="false" outlineLevel="0" collapsed="false"/>
    <row r="88" customFormat="false" ht="15.8" hidden="false" customHeight="false" outlineLevel="0" collapsed="false"/>
    <row r="89" customFormat="false" ht="15.8" hidden="false" customHeight="false" outlineLevel="0" collapsed="false"/>
    <row r="90" customFormat="false" ht="15.8" hidden="false" customHeight="false" outlineLevel="0" collapsed="false"/>
    <row r="91" customFormat="false" ht="15.8" hidden="false" customHeight="false" outlineLevel="0" collapsed="false"/>
    <row r="92" customFormat="false" ht="15.8" hidden="false" customHeight="false" outlineLevel="0" collapsed="false"/>
    <row r="93" customFormat="false" ht="15.8" hidden="false" customHeight="false" outlineLevel="0" collapsed="false"/>
    <row r="94" customFormat="false" ht="15.8" hidden="false" customHeight="false" outlineLevel="0" collapsed="false"/>
    <row r="95" customFormat="false" ht="15.8" hidden="false" customHeight="false" outlineLevel="0" collapsed="false"/>
    <row r="96" customFormat="false" ht="15.8" hidden="false" customHeight="false" outlineLevel="0" collapsed="false"/>
    <row r="97" customFormat="false" ht="15.8" hidden="false" customHeight="false" outlineLevel="0" collapsed="false"/>
    <row r="98" customFormat="false" ht="15.8" hidden="false" customHeight="false" outlineLevel="0" collapsed="false"/>
    <row r="99" customFormat="false" ht="15.8" hidden="false" customHeight="false" outlineLevel="0" collapsed="false"/>
    <row r="100" customFormat="false" ht="15.8" hidden="false" customHeight="false" outlineLevel="0" collapsed="false"/>
    <row r="101" customFormat="false" ht="15.8" hidden="false" customHeight="false" outlineLevel="0" collapsed="false"/>
  </sheetData>
  <conditionalFormatting sqref="H9:H40">
    <cfRule type="cellIs" priority="2" operator="greaterThan" aboveAverage="0" equalAverage="0" bottom="0" percent="0" rank="0" text="" dxfId="0">
      <formula>1000</formula>
    </cfRule>
  </conditionalFormatting>
  <conditionalFormatting sqref="K9:K40">
    <cfRule type="cellIs" priority="3" operator="lessThan" aboveAverage="0" equalAverage="0" bottom="0" percent="0" rank="0" text="" dxfId="0">
      <formula>J11</formula>
    </cfRule>
  </conditionalFormatting>
  <printOptions headings="false" gridLines="false" gridLinesSet="true" horizontalCentered="false" verticalCentered="false"/>
  <pageMargins left="0.7875" right="0.7875" top="1.05277777777778" bottom="1.74166666666667" header="0.7875" footer="0.7875"/>
  <pageSetup paperSize="9" scale="110" fitToWidth="1" fitToHeight="1" pageOrder="downThenOver" orientation="landscape" blackAndWhite="false" draft="false" cellComments="none" horizontalDpi="300" verticalDpi="300" copies="1"/>
  <headerFooter differentFirst="false" differentOddEven="false">
    <oddHeader>&amp;C&amp;"Times New Roman,Regular"&amp;12&amp;Kffffff&amp;A</oddHeader>
    <oddFooter>&amp;C&amp;"Times New Roman,Regular"&amp;12&amp;KffffffPage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W101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B8" activeCellId="0" sqref="B8"/>
    </sheetView>
  </sheetViews>
  <sheetFormatPr defaultColWidth="10.4921875" defaultRowHeight="12.8" zeroHeight="false" outlineLevelRow="0" outlineLevelCol="0"/>
  <sheetData>
    <row r="1" customFormat="false" ht="15.8" hidden="false" customHeight="false" outlineLevel="0" collapsed="false">
      <c r="A1" s="0" t="str">
        <f aca="false">'6 - B1'!$A$1</f>
        <v>Data Preprocessing and Quality Assessment per ISO 11171 Clause 6.6</v>
      </c>
    </row>
    <row r="2" customFormat="false" ht="40.6" hidden="false" customHeight="false" outlineLevel="0" collapsed="false">
      <c r="A2" s="97" t="s">
        <v>189</v>
      </c>
      <c r="O2" s="97"/>
    </row>
    <row r="3" customFormat="false" ht="15.8" hidden="false" customHeight="false" outlineLevel="0" collapsed="false">
      <c r="A3" s="0" t="str">
        <f aca="false">'6 - B1'!$A$3</f>
        <v>Serial #</v>
      </c>
      <c r="B3" s="95" t="str">
        <f aca="false">'6 - B1'!$B$3</f>
        <v>11171-00009</v>
      </c>
    </row>
    <row r="4" customFormat="false" ht="17.05" hidden="false" customHeight="true" outlineLevel="0" collapsed="false">
      <c r="A4" s="5" t="str">
        <f aca="false">'6 - B1'!$A$4</f>
        <v>Date</v>
      </c>
      <c r="B4" s="96" t="n">
        <f aca="false">'6 - B1'!$B$4</f>
        <v>45820</v>
      </c>
      <c r="O4" s="97"/>
    </row>
    <row r="5" customFormat="false" ht="15.8" hidden="false" customHeight="false" outlineLevel="0" collapsed="false">
      <c r="A5" s="5" t="str">
        <f aca="false">'6 - B1'!$A$5</f>
        <v>RM</v>
      </c>
      <c r="B5" s="117" t="str">
        <f aca="false">'6 - B1'!$B$5</f>
        <v>34D</v>
      </c>
    </row>
    <row r="6" customFormat="false" ht="15.8" hidden="false" customHeight="false" outlineLevel="0" collapsed="false">
      <c r="B6" s="5"/>
      <c r="C6" s="5"/>
      <c r="D6" s="5"/>
      <c r="E6" s="5"/>
      <c r="F6" s="5"/>
    </row>
    <row r="7" customFormat="false" ht="15.8" hidden="false" customHeight="false" outlineLevel="0" collapsed="false">
      <c r="B7" s="85" t="s">
        <v>40</v>
      </c>
      <c r="C7" s="85" t="s">
        <v>41</v>
      </c>
      <c r="D7" s="85" t="s">
        <v>42</v>
      </c>
      <c r="E7" s="85" t="s">
        <v>43</v>
      </c>
      <c r="F7" s="85" t="s">
        <v>44</v>
      </c>
      <c r="G7" s="85" t="s">
        <v>138</v>
      </c>
      <c r="H7" s="85" t="s">
        <v>139</v>
      </c>
      <c r="I7" s="85" t="s">
        <v>140</v>
      </c>
      <c r="J7" s="85" t="s">
        <v>141</v>
      </c>
      <c r="K7" s="85" t="s">
        <v>142</v>
      </c>
      <c r="L7" s="85" t="s">
        <v>143</v>
      </c>
      <c r="O7" s="85" t="s">
        <v>129</v>
      </c>
    </row>
    <row r="8" customFormat="false" ht="15.8" hidden="false" customHeight="false" outlineLevel="0" collapsed="false">
      <c r="A8" s="80" t="s">
        <v>144</v>
      </c>
      <c r="B8" s="39" t="n">
        <f aca="false">L52</f>
        <v>4.489153</v>
      </c>
      <c r="C8" s="39" t="n">
        <f aca="false">M52</f>
        <v>4.796755</v>
      </c>
      <c r="D8" s="39" t="n">
        <f aca="false">N52</f>
        <v>4.784308</v>
      </c>
      <c r="E8" s="39" t="n">
        <f aca="false">O52</f>
        <v>4.787062</v>
      </c>
      <c r="F8" s="39" t="n">
        <f aca="false">P52</f>
        <v>4.805943</v>
      </c>
      <c r="G8" s="100" t="n">
        <f aca="false">AVERAGE(B$8:F$8)*5</f>
        <v>23.663221</v>
      </c>
      <c r="I8" s="101"/>
      <c r="K8" s="101"/>
    </row>
    <row r="9" customFormat="false" ht="15.8" hidden="false" customHeight="false" outlineLevel="0" collapsed="false">
      <c r="A9" s="80" t="s">
        <v>145</v>
      </c>
      <c r="B9" s="102" t="n">
        <f aca="false">L53/B$8</f>
        <v>10870.4247772353</v>
      </c>
      <c r="C9" s="102" t="n">
        <f aca="false">M53/C$8</f>
        <v>10721.8317383314</v>
      </c>
      <c r="D9" s="102" t="n">
        <f aca="false">N53/D$8</f>
        <v>10806.1604729461</v>
      </c>
      <c r="E9" s="102" t="n">
        <f aca="false">O53/E$8</f>
        <v>10808.299537378</v>
      </c>
      <c r="F9" s="102" t="n">
        <f aca="false">P53/F$8</f>
        <v>10628.9233975517</v>
      </c>
      <c r="G9" s="38" t="n">
        <f aca="false">AVERAGE(B9:F9)</f>
        <v>10767.1279846885</v>
      </c>
      <c r="H9" s="103" t="n">
        <f aca="false">G9*G$8</f>
        <v>254784.929036969</v>
      </c>
      <c r="I9" s="101" t="n">
        <f aca="false">STDEVP(B9:F9)/G9</f>
        <v>0.00777506616979094</v>
      </c>
      <c r="J9" s="101" t="n">
        <f aca="false">IF(H9&gt;$A$43, $C$43, IF(H9&gt;$A$44, $C$44, IF(H9&gt;$A$45,$C$45,IF(H9&gt;$A$46,$C$46, IF(H9&gt;$A$47,$C$47,IF(H9&gt;$A$48,$C$48,$C$49))))))/100</f>
        <v>0.11</v>
      </c>
      <c r="K9" s="101" t="n">
        <f aca="false">(MAX(B9:F9)-MIN(B9:F9))/G9</f>
        <v>0.0224295076669424</v>
      </c>
      <c r="L9" s="0" t="n">
        <f aca="false">COUNTA(B9:F9)</f>
        <v>5</v>
      </c>
      <c r="N9" s="0" t="n">
        <v>1</v>
      </c>
      <c r="O9" s="37" t="n">
        <v>137.1</v>
      </c>
    </row>
    <row r="10" customFormat="false" ht="15.8" hidden="false" customHeight="false" outlineLevel="0" collapsed="false">
      <c r="A10" s="80" t="s">
        <v>146</v>
      </c>
      <c r="B10" s="102" t="n">
        <f aca="false">L54/B$8</f>
        <v>9197.72616348786</v>
      </c>
      <c r="C10" s="102" t="n">
        <f aca="false">M54/C$8</f>
        <v>9088.01887942995</v>
      </c>
      <c r="D10" s="102" t="n">
        <f aca="false">N54/D$8</f>
        <v>9136.74454069429</v>
      </c>
      <c r="E10" s="102" t="n">
        <f aca="false">O54/E$8</f>
        <v>9156.76462932797</v>
      </c>
      <c r="F10" s="102" t="n">
        <f aca="false">P54/F$8</f>
        <v>8996.5694557759</v>
      </c>
      <c r="G10" s="38" t="n">
        <f aca="false">AVERAGE(B10:F10)</f>
        <v>9115.16473374319</v>
      </c>
      <c r="H10" s="103" t="n">
        <f aca="false">G10*G$8</f>
        <v>215694.157545971</v>
      </c>
      <c r="I10" s="101" t="n">
        <f aca="false">STDEVP(B10:F10)/G10</f>
        <v>0.00757129193047952</v>
      </c>
      <c r="J10" s="101" t="n">
        <f aca="false">IF(H10&gt;$A$43, $C$43, IF(H10&gt;$A$44, $C$44, IF(H10&gt;$A$45,$C$45,IF(H10&gt;$A$46,$C$46, IF(H10&gt;$A$47,$C$47,IF(H10&gt;$A$48,$C$48,$C$49))))))/100</f>
        <v>0.11</v>
      </c>
      <c r="K10" s="101" t="n">
        <f aca="false">(MAX(B10:F10)-MIN(B10:F10))/G10</f>
        <v>0.0220683568084403</v>
      </c>
      <c r="L10" s="0" t="n">
        <f aca="false">COUNTA(B10:F10)</f>
        <v>5</v>
      </c>
      <c r="N10" s="0" t="n">
        <v>2</v>
      </c>
      <c r="O10" s="37" t="n">
        <v>162.494327047856</v>
      </c>
    </row>
    <row r="11" customFormat="false" ht="15.8" hidden="false" customHeight="false" outlineLevel="0" collapsed="false">
      <c r="A11" s="80" t="s">
        <v>147</v>
      </c>
      <c r="B11" s="102" t="n">
        <f aca="false">L55/B$8</f>
        <v>7787.215093805</v>
      </c>
      <c r="C11" s="102" t="n">
        <f aca="false">M55/C$8</f>
        <v>7681.02602697032</v>
      </c>
      <c r="D11" s="102" t="n">
        <f aca="false">N55/D$8</f>
        <v>7711.25103149714</v>
      </c>
      <c r="E11" s="102" t="n">
        <f aca="false">O55/E$8</f>
        <v>7705.7702615926</v>
      </c>
      <c r="F11" s="102" t="n">
        <f aca="false">P55/F$8</f>
        <v>7581.65463052725</v>
      </c>
      <c r="G11" s="38" t="n">
        <f aca="false">AVERAGE(B11:F11)</f>
        <v>7693.38340887846</v>
      </c>
      <c r="H11" s="103" t="n">
        <f aca="false">G11*G$8</f>
        <v>182050.231842024</v>
      </c>
      <c r="I11" s="101" t="n">
        <f aca="false">STDEVP(B11:F11)/G11</f>
        <v>0.00860497259428865</v>
      </c>
      <c r="J11" s="101" t="n">
        <f aca="false">IF(H11&gt;$A$43, $C$43, IF(H11&gt;$A$44, $C$44, IF(H11&gt;$A$45,$C$45,IF(H11&gt;$A$46,$C$46, IF(H11&gt;$A$47,$C$47,IF(H11&gt;$A$48,$C$48,$C$49))))))/100</f>
        <v>0.11</v>
      </c>
      <c r="K11" s="101" t="n">
        <f aca="false">(MAX(B11:F11)-MIN(B11:F11))/G11</f>
        <v>0.0267191237395671</v>
      </c>
      <c r="L11" s="0" t="n">
        <f aca="false">COUNTA(B11:F11)</f>
        <v>5</v>
      </c>
      <c r="N11" s="0" t="n">
        <v>3</v>
      </c>
      <c r="O11" s="37" t="n">
        <v>192.592314534906</v>
      </c>
    </row>
    <row r="12" customFormat="false" ht="15.8" hidden="false" customHeight="false" outlineLevel="0" collapsed="false">
      <c r="A12" s="80" t="s">
        <v>148</v>
      </c>
      <c r="B12" s="102" t="n">
        <f aca="false">L56/B$8</f>
        <v>6445.536607908</v>
      </c>
      <c r="C12" s="102" t="n">
        <f aca="false">M56/C$8</f>
        <v>6343.24663235875</v>
      </c>
      <c r="D12" s="102" t="n">
        <f aca="false">N56/D$8</f>
        <v>6360.58548070066</v>
      </c>
      <c r="E12" s="102" t="n">
        <f aca="false">O56/E$8</f>
        <v>6386.38062343876</v>
      </c>
      <c r="F12" s="102" t="n">
        <f aca="false">P56/F$8</f>
        <v>6273.89879572022</v>
      </c>
      <c r="G12" s="38" t="n">
        <f aca="false">AVERAGE(B12:F12)</f>
        <v>6361.92962802528</v>
      </c>
      <c r="H12" s="103" t="n">
        <f aca="false">G12*G$8</f>
        <v>150543.74677441</v>
      </c>
      <c r="I12" s="101" t="n">
        <f aca="false">STDEVP(B12:F12)/G12</f>
        <v>0.00880468087458401</v>
      </c>
      <c r="J12" s="101" t="n">
        <f aca="false">IF(H12&gt;$A$43, $C$43, IF(H12&gt;$A$44, $C$44, IF(H12&gt;$A$45,$C$45,IF(H12&gt;$A$46,$C$46, IF(H12&gt;$A$47,$C$47,IF(H12&gt;$A$48,$C$48,$C$49))))))/100</f>
        <v>0.11</v>
      </c>
      <c r="K12" s="101" t="n">
        <f aca="false">(MAX(B12:F12)-MIN(B12:F12))/G12</f>
        <v>0.0269788919751153</v>
      </c>
      <c r="L12" s="0" t="n">
        <f aca="false">COUNTA(B12:F12)</f>
        <v>5</v>
      </c>
      <c r="N12" s="0" t="n">
        <v>4</v>
      </c>
      <c r="O12" s="37" t="n">
        <v>228.265197264323</v>
      </c>
    </row>
    <row r="13" customFormat="false" ht="15.8" hidden="false" customHeight="false" outlineLevel="0" collapsed="false">
      <c r="A13" s="80" t="s">
        <v>149</v>
      </c>
      <c r="B13" s="102" t="n">
        <f aca="false">L57/B$8</f>
        <v>5225.26187011225</v>
      </c>
      <c r="C13" s="102" t="n">
        <f aca="false">M57/C$8</f>
        <v>5151.60770145651</v>
      </c>
      <c r="D13" s="102" t="n">
        <f aca="false">N57/D$8</f>
        <v>5132.40368304047</v>
      </c>
      <c r="E13" s="102" t="n">
        <f aca="false">O57/E$8</f>
        <v>5175.40821489256</v>
      </c>
      <c r="F13" s="102" t="n">
        <f aca="false">P57/F$8</f>
        <v>5051.03785042811</v>
      </c>
      <c r="G13" s="38" t="n">
        <f aca="false">AVERAGE(B13:F13)</f>
        <v>5147.14386398598</v>
      </c>
      <c r="H13" s="103" t="n">
        <f aca="false">G13*G$8</f>
        <v>121798.002772294</v>
      </c>
      <c r="I13" s="101" t="n">
        <f aca="false">STDEVP(B13:F13)/G13</f>
        <v>0.0111182773191704</v>
      </c>
      <c r="J13" s="101" t="n">
        <f aca="false">IF(H13&gt;$A$43, $C$43, IF(H13&gt;$A$44, $C$44, IF(H13&gt;$A$45,$C$45,IF(H13&gt;$A$46,$C$46, IF(H13&gt;$A$47,$C$47,IF(H13&gt;$A$48,$C$48,$C$49))))))/100</f>
        <v>0.11</v>
      </c>
      <c r="K13" s="101" t="n">
        <f aca="false">(MAX(B13:F13)-MIN(B13:F13))/G13</f>
        <v>0.0338486788572529</v>
      </c>
      <c r="L13" s="0" t="n">
        <f aca="false">COUNTA(B13:F13)</f>
        <v>5</v>
      </c>
      <c r="N13" s="0" t="n">
        <v>5</v>
      </c>
      <c r="O13" s="37" t="n">
        <v>270.545584375728</v>
      </c>
    </row>
    <row r="14" customFormat="false" ht="15.8" hidden="false" customHeight="false" outlineLevel="0" collapsed="false">
      <c r="A14" s="80" t="s">
        <v>150</v>
      </c>
      <c r="B14" s="102" t="n">
        <f aca="false">L58/B$8</f>
        <v>4188.98620742042</v>
      </c>
      <c r="C14" s="102" t="n">
        <f aca="false">M58/C$8</f>
        <v>4118.40921623056</v>
      </c>
      <c r="D14" s="102" t="n">
        <f aca="false">N58/D$8</f>
        <v>4097.77129733286</v>
      </c>
      <c r="E14" s="102" t="n">
        <f aca="false">O58/E$8</f>
        <v>4133.43299084073</v>
      </c>
      <c r="F14" s="102" t="n">
        <f aca="false">P58/F$8</f>
        <v>4053.31482291821</v>
      </c>
      <c r="G14" s="38" t="n">
        <f aca="false">AVERAGE(B14:F14)</f>
        <v>4118.38290694856</v>
      </c>
      <c r="H14" s="103" t="n">
        <f aca="false">G14*G$8</f>
        <v>97454.2048897461</v>
      </c>
      <c r="I14" s="101" t="n">
        <f aca="false">STDEVP(B14:F14)/G14</f>
        <v>0.0107881609791399</v>
      </c>
      <c r="J14" s="101" t="n">
        <f aca="false">IF(H14&gt;$A$43, $C$43, IF(H14&gt;$A$44, $C$44, IF(H14&gt;$A$45,$C$45,IF(H14&gt;$A$46,$C$46, IF(H14&gt;$A$47,$C$47,IF(H14&gt;$A$48,$C$48,$C$49))))))/100</f>
        <v>0.11</v>
      </c>
      <c r="K14" s="101" t="n">
        <f aca="false">(MAX(B14:F14)-MIN(B14:F14))/G14</f>
        <v>0.0329428777186568</v>
      </c>
      <c r="L14" s="0" t="n">
        <f aca="false">COUNTA(B14:F14)</f>
        <v>5</v>
      </c>
      <c r="N14" s="0" t="n">
        <v>6</v>
      </c>
      <c r="O14" s="37" t="n">
        <v>320.657349882588</v>
      </c>
    </row>
    <row r="15" customFormat="false" ht="15.8" hidden="false" customHeight="false" outlineLevel="0" collapsed="false">
      <c r="A15" s="80" t="s">
        <v>151</v>
      </c>
      <c r="B15" s="102" t="n">
        <f aca="false">L59/B$8</f>
        <v>3388.16698829378</v>
      </c>
      <c r="C15" s="102" t="n">
        <f aca="false">M59/C$8</f>
        <v>3317.24259421213</v>
      </c>
      <c r="D15" s="102" t="n">
        <f aca="false">N59/D$8</f>
        <v>3292.63918627312</v>
      </c>
      <c r="E15" s="102" t="n">
        <f aca="false">O59/E$8</f>
        <v>3317.48366743527</v>
      </c>
      <c r="F15" s="102" t="n">
        <f aca="false">P59/F$8</f>
        <v>3235.16113278913</v>
      </c>
      <c r="G15" s="38" t="n">
        <f aca="false">AVERAGE(B15:F15)</f>
        <v>3310.13871380069</v>
      </c>
      <c r="H15" s="103" t="n">
        <f aca="false">G15*G$8</f>
        <v>78328.5439253214</v>
      </c>
      <c r="I15" s="101" t="n">
        <f aca="false">STDEVP(B15:F15)/G15</f>
        <v>0.0148741647390007</v>
      </c>
      <c r="J15" s="101" t="n">
        <f aca="false">IF(H15&gt;$A$43, $C$43, IF(H15&gt;$A$44, $C$44, IF(H15&gt;$A$45,$C$45,IF(H15&gt;$A$46,$C$46, IF(H15&gt;$A$47,$C$47,IF(H15&gt;$A$48,$C$48,$C$49))))))/100</f>
        <v>0.11</v>
      </c>
      <c r="K15" s="101" t="n">
        <f aca="false">(MAX(B15:F15)-MIN(B15:F15))/G15</f>
        <v>0.0462233968826551</v>
      </c>
      <c r="L15" s="0" t="n">
        <f aca="false">COUNTA(B15:F15)</f>
        <v>5</v>
      </c>
      <c r="N15" s="0" t="n">
        <v>7</v>
      </c>
      <c r="O15" s="37" t="n">
        <v>380.051059679943</v>
      </c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</row>
    <row r="16" customFormat="false" ht="15.8" hidden="false" customHeight="false" outlineLevel="0" collapsed="false">
      <c r="A16" s="80" t="s">
        <v>152</v>
      </c>
      <c r="B16" s="102" t="n">
        <f aca="false">L60/B$8</f>
        <v>2713.65221902662</v>
      </c>
      <c r="C16" s="102" t="n">
        <f aca="false">M60/C$8</f>
        <v>2652.83509372482</v>
      </c>
      <c r="D16" s="102" t="n">
        <f aca="false">N60/D$8</f>
        <v>2631.9375759253</v>
      </c>
      <c r="E16" s="102" t="n">
        <f aca="false">O60/E$8</f>
        <v>2660.08670871612</v>
      </c>
      <c r="F16" s="102" t="n">
        <f aca="false">P60/F$8</f>
        <v>2560.99583370007</v>
      </c>
      <c r="G16" s="38" t="n">
        <f aca="false">AVERAGE(B16:F16)</f>
        <v>2643.90148621858</v>
      </c>
      <c r="H16" s="103" t="n">
        <f aca="false">G16*G$8</f>
        <v>62563.2251706188</v>
      </c>
      <c r="I16" s="101" t="n">
        <f aca="false">STDEVP(B16:F16)/G16</f>
        <v>0.0187010528780393</v>
      </c>
      <c r="J16" s="101" t="n">
        <f aca="false">IF(H16&gt;$A$43, $C$43, IF(H16&gt;$A$44, $C$44, IF(H16&gt;$A$45,$C$45,IF(H16&gt;$A$46,$C$46, IF(H16&gt;$A$47,$C$47,IF(H16&gt;$A$48,$C$48,$C$49))))))/100</f>
        <v>0.11</v>
      </c>
      <c r="K16" s="101" t="n">
        <f aca="false">(MAX(B16:F16)-MIN(B16:F16))/G16</f>
        <v>0.0577390595384426</v>
      </c>
      <c r="L16" s="0" t="n">
        <f aca="false">COUNTA(B16:F16)</f>
        <v>5</v>
      </c>
      <c r="N16" s="0" t="n">
        <v>8</v>
      </c>
      <c r="O16" s="37" t="n">
        <v>450.445960514347</v>
      </c>
      <c r="P16" s="5"/>
      <c r="Q16" s="5"/>
      <c r="R16" s="80"/>
      <c r="S16" s="80"/>
      <c r="T16" s="80"/>
      <c r="U16" s="80"/>
      <c r="V16" s="80"/>
      <c r="W16" s="80"/>
      <c r="X16" s="80"/>
      <c r="Y16" s="80"/>
      <c r="Z16" s="80"/>
      <c r="AA16" s="80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</row>
    <row r="17" customFormat="false" ht="15.8" hidden="false" customHeight="false" outlineLevel="0" collapsed="false">
      <c r="A17" s="80" t="s">
        <v>153</v>
      </c>
      <c r="B17" s="102" t="n">
        <f aca="false">L61/B$8</f>
        <v>2226.70067159662</v>
      </c>
      <c r="C17" s="102" t="n">
        <f aca="false">M61/C$8</f>
        <v>2148.11888453757</v>
      </c>
      <c r="D17" s="102" t="n">
        <f aca="false">N61/D$8</f>
        <v>2141.37551344939</v>
      </c>
      <c r="E17" s="102" t="n">
        <f aca="false">O61/E$8</f>
        <v>2158.10866874087</v>
      </c>
      <c r="F17" s="102" t="n">
        <f aca="false">P61/F$8</f>
        <v>2085.75091298419</v>
      </c>
      <c r="G17" s="38" t="n">
        <f aca="false">AVERAGE(B17:F17)</f>
        <v>2152.01093026173</v>
      </c>
      <c r="H17" s="103" t="n">
        <f aca="false">G17*G$8</f>
        <v>50923.5102371989</v>
      </c>
      <c r="I17" s="101" t="n">
        <f aca="false">STDEVP(B17:F17)/G17</f>
        <v>0.0209203684430251</v>
      </c>
      <c r="J17" s="101" t="n">
        <f aca="false">IF(H17&gt;$A$43, $C$43, IF(H17&gt;$A$44, $C$44, IF(H17&gt;$A$45,$C$45,IF(H17&gt;$A$46,$C$46, IF(H17&gt;$A$47,$C$47,IF(H17&gt;$A$48,$C$48,$C$49))))))/100</f>
        <v>0.11</v>
      </c>
      <c r="K17" s="101" t="n">
        <f aca="false">(MAX(B17:F17)-MIN(B17:F17))/G17</f>
        <v>0.0654967670611631</v>
      </c>
      <c r="L17" s="0" t="n">
        <f aca="false">COUNTA(B17:F17)</f>
        <v>5</v>
      </c>
      <c r="N17" s="0" t="n">
        <v>9</v>
      </c>
      <c r="O17" s="37" t="n">
        <v>533.879746354515</v>
      </c>
      <c r="P17" s="5"/>
      <c r="Q17" s="5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</row>
    <row r="18" customFormat="false" ht="15.8" hidden="false" customHeight="false" outlineLevel="0" collapsed="false">
      <c r="A18" s="80" t="s">
        <v>154</v>
      </c>
      <c r="B18" s="102" t="n">
        <f aca="false">L62/B$8</f>
        <v>1816.37827893146</v>
      </c>
      <c r="C18" s="102" t="n">
        <f aca="false">M62/C$8</f>
        <v>1769.52960907947</v>
      </c>
      <c r="D18" s="102" t="n">
        <f aca="false">N62/D$8</f>
        <v>1752.18652310846</v>
      </c>
      <c r="E18" s="102" t="n">
        <f aca="false">O62/E$8</f>
        <v>1771.02364665425</v>
      </c>
      <c r="F18" s="102" t="n">
        <f aca="false">P62/F$8</f>
        <v>1718.49728554833</v>
      </c>
      <c r="G18" s="38" t="n">
        <f aca="false">AVERAGE(B18:F18)</f>
        <v>1765.5230686644</v>
      </c>
      <c r="H18" s="103" t="n">
        <f aca="false">G18*G$8</f>
        <v>41777.9625544038</v>
      </c>
      <c r="I18" s="101" t="n">
        <f aca="false">STDEVP(B18:F18)/G18</f>
        <v>0.0179503706371129</v>
      </c>
      <c r="J18" s="101" t="n">
        <f aca="false">IF(H18&gt;$A$43, $C$43, IF(H18&gt;$A$44, $C$44, IF(H18&gt;$A$45,$C$45,IF(H18&gt;$A$46,$C$46, IF(H18&gt;$A$47,$C$47,IF(H18&gt;$A$48,$C$48,$C$49))))))/100</f>
        <v>0.11</v>
      </c>
      <c r="K18" s="101" t="n">
        <f aca="false">(MAX(B18:F18)-MIN(B18:F18))/G18</f>
        <v>0.0554402234218189</v>
      </c>
      <c r="L18" s="0" t="n">
        <f aca="false">COUNTA(B18:F18)</f>
        <v>5</v>
      </c>
      <c r="N18" s="0" t="n">
        <v>10</v>
      </c>
      <c r="O18" s="37" t="n">
        <v>632.76754273054</v>
      </c>
      <c r="P18" s="5"/>
      <c r="Q18" s="5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</row>
    <row r="19" customFormat="false" ht="15.8" hidden="false" customHeight="false" outlineLevel="0" collapsed="false">
      <c r="A19" s="80" t="s">
        <v>155</v>
      </c>
      <c r="B19" s="102" t="n">
        <f aca="false">L63/B$8</f>
        <v>1514.76236163036</v>
      </c>
      <c r="C19" s="102" t="n">
        <f aca="false">M63/C$8</f>
        <v>1478.70800155522</v>
      </c>
      <c r="D19" s="102" t="n">
        <f aca="false">N63/D$8</f>
        <v>1464.37060490253</v>
      </c>
      <c r="E19" s="102" t="n">
        <f aca="false">O63/E$8</f>
        <v>1472.71959293613</v>
      </c>
      <c r="F19" s="102" t="n">
        <f aca="false">P63/F$8</f>
        <v>1430.10435204912</v>
      </c>
      <c r="G19" s="38" t="n">
        <f aca="false">AVERAGE(B19:F19)</f>
        <v>1472.13298261467</v>
      </c>
      <c r="H19" s="103" t="n">
        <f aca="false">G19*G$8</f>
        <v>34835.4081090001</v>
      </c>
      <c r="I19" s="101" t="n">
        <f aca="false">STDEVP(B19:F19)/G19</f>
        <v>0.0184473473084966</v>
      </c>
      <c r="J19" s="101" t="n">
        <f aca="false">IF(H19&gt;$A$43, $C$43, IF(H19&gt;$A$44, $C$44, IF(H19&gt;$A$45,$C$45,IF(H19&gt;$A$46,$C$46, IF(H19&gt;$A$47,$C$47,IF(H19&gt;$A$48,$C$48,$C$49))))))/100</f>
        <v>0.11</v>
      </c>
      <c r="K19" s="101" t="n">
        <f aca="false">(MAX(B19:F19)-MIN(B19:F19))/G19</f>
        <v>0.0575070395005181</v>
      </c>
      <c r="L19" s="0" t="n">
        <f aca="false">COUNTA(B19:F19)</f>
        <v>5</v>
      </c>
      <c r="N19" s="0" t="n">
        <v>11</v>
      </c>
      <c r="O19" s="37" t="n">
        <v>749.971816438546</v>
      </c>
      <c r="P19" s="5"/>
      <c r="Q19" s="5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</row>
    <row r="20" customFormat="false" ht="15.8" hidden="false" customHeight="false" outlineLevel="0" collapsed="false">
      <c r="A20" s="80" t="s">
        <v>156</v>
      </c>
      <c r="B20" s="102" t="n">
        <f aca="false">L64/B$8</f>
        <v>1284.87489733587</v>
      </c>
      <c r="C20" s="102" t="n">
        <f aca="false">M64/C$8</f>
        <v>1244.79986991206</v>
      </c>
      <c r="D20" s="102" t="n">
        <f aca="false">N64/D$8</f>
        <v>1238.84164648263</v>
      </c>
      <c r="E20" s="102" t="n">
        <f aca="false">O64/E$8</f>
        <v>1245.44031391279</v>
      </c>
      <c r="F20" s="102" t="n">
        <f aca="false">P64/F$8</f>
        <v>1202.88567717095</v>
      </c>
      <c r="G20" s="38" t="n">
        <f aca="false">AVERAGE(B20:F20)</f>
        <v>1243.36848096286</v>
      </c>
      <c r="H20" s="103" t="n">
        <f aca="false">G20*G$8</f>
        <v>29422.1031494584</v>
      </c>
      <c r="I20" s="101" t="n">
        <f aca="false">STDEVP(B20:F20)/G20</f>
        <v>0.0209371322864489</v>
      </c>
      <c r="J20" s="101" t="n">
        <f aca="false">IF(H20&gt;$A$43, $C$43, IF(H20&gt;$A$44, $C$44, IF(H20&gt;$A$45,$C$45,IF(H20&gt;$A$46,$C$46, IF(H20&gt;$A$47,$C$47,IF(H20&gt;$A$48,$C$48,$C$49))))))/100</f>
        <v>0.11</v>
      </c>
      <c r="K20" s="101" t="n">
        <f aca="false">(MAX(B20:F20)-MIN(B20:F20))/G20</f>
        <v>0.0659412084351877</v>
      </c>
      <c r="L20" s="0" t="n">
        <f aca="false">COUNTA(B20:F20)</f>
        <v>5</v>
      </c>
      <c r="N20" s="0" t="n">
        <v>12</v>
      </c>
      <c r="O20" s="37" t="n">
        <v>888.885234259955</v>
      </c>
      <c r="P20" s="5"/>
      <c r="Q20" s="5"/>
      <c r="R20" s="80"/>
      <c r="S20" s="80"/>
      <c r="T20" s="80"/>
      <c r="U20" s="80"/>
      <c r="V20" s="80"/>
      <c r="W20" s="80"/>
      <c r="X20" s="80"/>
      <c r="Y20" s="80"/>
      <c r="Z20" s="80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</row>
    <row r="21" customFormat="false" ht="15.8" hidden="false" customHeight="false" outlineLevel="0" collapsed="false">
      <c r="A21" s="80" t="s">
        <v>157</v>
      </c>
      <c r="B21" s="102" t="n">
        <f aca="false">L65/B$8</f>
        <v>1111.12274409003</v>
      </c>
      <c r="C21" s="102" t="n">
        <f aca="false">M65/C$8</f>
        <v>1072.6001223744</v>
      </c>
      <c r="D21" s="102" t="n">
        <f aca="false">N65/D$8</f>
        <v>1053.86191691672</v>
      </c>
      <c r="E21" s="102" t="n">
        <f aca="false">O65/E$8</f>
        <v>1060.35810691401</v>
      </c>
      <c r="F21" s="102" t="n">
        <f aca="false">P65/F$8</f>
        <v>1025.39709688608</v>
      </c>
      <c r="G21" s="38" t="n">
        <f aca="false">AVERAGE(B21:F21)</f>
        <v>1064.66799743625</v>
      </c>
      <c r="H21" s="103" t="n">
        <f aca="false">G21*G$8</f>
        <v>25193.4741149614</v>
      </c>
      <c r="I21" s="101" t="n">
        <f aca="false">STDEVP(B21:F21)/G21</f>
        <v>0.0262270986503449</v>
      </c>
      <c r="J21" s="101" t="n">
        <f aca="false">IF(H21&gt;$A$43, $C$43, IF(H21&gt;$A$44, $C$44, IF(H21&gt;$A$45,$C$45,IF(H21&gt;$A$46,$C$46, IF(H21&gt;$A$47,$C$47,IF(H21&gt;$A$48,$C$48,$C$49))))))/100</f>
        <v>0.11</v>
      </c>
      <c r="K21" s="101" t="n">
        <f aca="false">(MAX(B21:F21)-MIN(B21:F21))/G21</f>
        <v>0.0805186662982051</v>
      </c>
      <c r="L21" s="0" t="n">
        <f aca="false">COUNTA(B21:F21)</f>
        <v>5</v>
      </c>
      <c r="N21" s="0" t="n">
        <v>13</v>
      </c>
      <c r="O21" s="37" t="n">
        <v>1053.52886917467</v>
      </c>
      <c r="R21" s="85"/>
      <c r="S21" s="85"/>
      <c r="T21" s="80"/>
      <c r="U21" s="80"/>
      <c r="V21" s="80"/>
      <c r="W21" s="80"/>
      <c r="X21" s="80"/>
      <c r="Y21" s="80"/>
      <c r="Z21" s="80"/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</row>
    <row r="22" customFormat="false" ht="15.8" hidden="false" customHeight="false" outlineLevel="0" collapsed="false">
      <c r="A22" s="80" t="s">
        <v>158</v>
      </c>
      <c r="B22" s="102" t="n">
        <f aca="false">L66/B$8</f>
        <v>954.523046997953</v>
      </c>
      <c r="C22" s="102" t="n">
        <f aca="false">M66/C$8</f>
        <v>931.046092618864</v>
      </c>
      <c r="D22" s="102" t="n">
        <f aca="false">N66/D$8</f>
        <v>914.02978236351</v>
      </c>
      <c r="E22" s="102" t="n">
        <f aca="false">O66/E$8</f>
        <v>910.161598074142</v>
      </c>
      <c r="F22" s="102" t="n">
        <f aca="false">P66/F$8</f>
        <v>892.43671845463</v>
      </c>
      <c r="G22" s="38" t="n">
        <f aca="false">AVERAGE(B22:F22)</f>
        <v>920.43944770182</v>
      </c>
      <c r="H22" s="103" t="n">
        <f aca="false">G22*G$8</f>
        <v>21780.5620680861</v>
      </c>
      <c r="I22" s="101" t="n">
        <f aca="false">STDEVP(B22:F22)/G22</f>
        <v>0.0228155175844033</v>
      </c>
      <c r="J22" s="101" t="n">
        <f aca="false">IF(H22&gt;$A$43, $C$43, IF(H22&gt;$A$44, $C$44, IF(H22&gt;$A$45,$C$45,IF(H22&gt;$A$46,$C$46, IF(H22&gt;$A$47,$C$47,IF(H22&gt;$A$48,$C$48,$C$49))))))/100</f>
        <v>0.11</v>
      </c>
      <c r="K22" s="101" t="n">
        <f aca="false">(MAX(B22:F22)-MIN(B22:F22))/G22</f>
        <v>0.0674529201223845</v>
      </c>
      <c r="L22" s="0" t="n">
        <f aca="false">COUNTA(B22:F22)</f>
        <v>5</v>
      </c>
      <c r="N22" s="0" t="n">
        <v>14</v>
      </c>
      <c r="O22" s="37" t="n">
        <v>1248.66859680545</v>
      </c>
      <c r="P22" s="80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</row>
    <row r="23" customFormat="false" ht="15.8" hidden="false" customHeight="false" outlineLevel="0" collapsed="false">
      <c r="A23" s="80" t="s">
        <v>159</v>
      </c>
      <c r="B23" s="102" t="n">
        <f aca="false">L67/B$8</f>
        <v>839.802074021536</v>
      </c>
      <c r="C23" s="102" t="n">
        <f aca="false">M67/C$8</f>
        <v>821.597100539844</v>
      </c>
      <c r="D23" s="102" t="n">
        <f aca="false">N67/D$8</f>
        <v>814.537860020718</v>
      </c>
      <c r="E23" s="102" t="n">
        <f aca="false">O67/E$8</f>
        <v>795.059683789347</v>
      </c>
      <c r="F23" s="102" t="n">
        <f aca="false">P67/F$8</f>
        <v>780.700062401905</v>
      </c>
      <c r="G23" s="38" t="n">
        <f aca="false">AVERAGE(B23:F23)</f>
        <v>810.33935615467</v>
      </c>
      <c r="H23" s="103" t="n">
        <f aca="false">G23*G$8</f>
        <v>19175.2392696857</v>
      </c>
      <c r="I23" s="101" t="n">
        <f aca="false">STDEVP(B23:F23)/G23</f>
        <v>0.0254368518927525</v>
      </c>
      <c r="J23" s="101" t="n">
        <f aca="false">IF(H23&gt;$A$43, $C$43, IF(H23&gt;$A$44, $C$44, IF(H23&gt;$A$45,$C$45,IF(H23&gt;$A$46,$C$46, IF(H23&gt;$A$47,$C$47,IF(H23&gt;$A$48,$C$48,$C$49))))))/100</f>
        <v>0.11</v>
      </c>
      <c r="K23" s="101" t="n">
        <f aca="false">(MAX(B23:F23)-MIN(B23:F23))/G23</f>
        <v>0.0729348897727112</v>
      </c>
      <c r="L23" s="0" t="n">
        <f aca="false">COUNTA(B23:F23)</f>
        <v>5</v>
      </c>
      <c r="N23" s="0" t="n">
        <v>15</v>
      </c>
      <c r="O23" s="37" t="n">
        <v>1479.95305137631</v>
      </c>
      <c r="T23" s="79"/>
      <c r="U23" s="79"/>
      <c r="V23" s="79"/>
      <c r="W23" s="79"/>
      <c r="X23" s="79"/>
      <c r="Y23" s="79"/>
      <c r="Z23" s="79"/>
      <c r="AA23" s="79"/>
      <c r="AB23" s="79"/>
      <c r="AC23" s="79"/>
      <c r="AD23" s="79"/>
      <c r="AE23" s="79"/>
      <c r="AF23" s="79"/>
      <c r="AG23" s="79"/>
      <c r="AH23" s="79"/>
      <c r="AI23" s="79"/>
      <c r="AJ23" s="79"/>
      <c r="AK23" s="79"/>
      <c r="AL23" s="79"/>
      <c r="AM23" s="79"/>
      <c r="AN23" s="79"/>
      <c r="AO23" s="79"/>
      <c r="AP23" s="79"/>
      <c r="AQ23" s="79"/>
      <c r="AR23" s="79"/>
      <c r="AS23" s="79"/>
      <c r="AT23" s="79"/>
      <c r="AU23" s="79"/>
      <c r="AV23" s="79"/>
      <c r="AW23" s="79"/>
    </row>
    <row r="24" customFormat="false" ht="15.8" hidden="false" customHeight="false" outlineLevel="0" collapsed="false">
      <c r="A24" s="80" t="s">
        <v>160</v>
      </c>
      <c r="B24" s="102" t="n">
        <f aca="false">L68/B$8</f>
        <v>739.560447148939</v>
      </c>
      <c r="C24" s="102" t="n">
        <f aca="false">M68/C$8</f>
        <v>731.953164170361</v>
      </c>
      <c r="D24" s="102" t="n">
        <f aca="false">N68/D$8</f>
        <v>723.19758677744</v>
      </c>
      <c r="E24" s="102" t="n">
        <f aca="false">O68/E$8</f>
        <v>700.011823536023</v>
      </c>
      <c r="F24" s="102" t="n">
        <f aca="false">P68/F$8</f>
        <v>693.932491500627</v>
      </c>
      <c r="G24" s="38" t="n">
        <f aca="false">AVERAGE(B24:F24)</f>
        <v>717.731102626678</v>
      </c>
      <c r="H24" s="103" t="n">
        <f aca="false">G24*G$8</f>
        <v>16983.8297000288</v>
      </c>
      <c r="I24" s="101" t="n">
        <f aca="false">STDEVP(B24:F24)/G24</f>
        <v>0.0248380465010892</v>
      </c>
      <c r="J24" s="101" t="n">
        <f aca="false">IF(H24&gt;$A$43, $C$43, IF(H24&gt;$A$44, $C$44, IF(H24&gt;$A$45,$C$45,IF(H24&gt;$A$46,$C$46, IF(H24&gt;$A$47,$C$47,IF(H24&gt;$A$48,$C$48,$C$49))))))/100</f>
        <v>0.11</v>
      </c>
      <c r="K24" s="101" t="n">
        <f aca="false">(MAX(B24:F24)-MIN(B24:F24))/G24</f>
        <v>0.0635724932099597</v>
      </c>
      <c r="L24" s="0" t="n">
        <f aca="false">COUNTA(B24:F24)</f>
        <v>5</v>
      </c>
      <c r="N24" s="0" t="n">
        <v>16</v>
      </c>
      <c r="O24" s="37" t="n">
        <v>1754.07713454278</v>
      </c>
      <c r="T24" s="101"/>
      <c r="U24" s="101"/>
      <c r="V24" s="101"/>
      <c r="W24" s="101"/>
      <c r="X24" s="101"/>
      <c r="Y24" s="101"/>
      <c r="Z24" s="101"/>
      <c r="AA24" s="101"/>
      <c r="AB24" s="101"/>
      <c r="AC24" s="101"/>
      <c r="AD24" s="101"/>
      <c r="AE24" s="101"/>
      <c r="AF24" s="101"/>
      <c r="AG24" s="101"/>
      <c r="AH24" s="101"/>
      <c r="AI24" s="101"/>
      <c r="AJ24" s="101"/>
      <c r="AK24" s="101"/>
      <c r="AL24" s="101"/>
      <c r="AM24" s="101"/>
      <c r="AN24" s="101"/>
      <c r="AO24" s="101"/>
      <c r="AP24" s="101"/>
      <c r="AQ24" s="101"/>
      <c r="AR24" s="101"/>
      <c r="AS24" s="101"/>
      <c r="AT24" s="101"/>
      <c r="AU24" s="101"/>
      <c r="AV24" s="101"/>
      <c r="AW24" s="101"/>
    </row>
    <row r="25" customFormat="false" ht="15.8" hidden="false" customHeight="false" outlineLevel="0" collapsed="false">
      <c r="A25" s="80" t="s">
        <v>161</v>
      </c>
      <c r="B25" s="102" t="n">
        <f aca="false">L69/B$8</f>
        <v>658.030590625893</v>
      </c>
      <c r="C25" s="102" t="n">
        <f aca="false">M69/C$8</f>
        <v>653.149889873467</v>
      </c>
      <c r="D25" s="102" t="n">
        <f aca="false">N69/D$8</f>
        <v>650.668811456119</v>
      </c>
      <c r="E25" s="102" t="n">
        <f aca="false">O69/E$8</f>
        <v>627.315877671942</v>
      </c>
      <c r="F25" s="102" t="n">
        <f aca="false">P69/F$8</f>
        <v>619.441387465478</v>
      </c>
      <c r="G25" s="38" t="n">
        <f aca="false">AVERAGE(B25:F25)</f>
        <v>641.72131141858</v>
      </c>
      <c r="H25" s="103" t="n">
        <f aca="false">G25*G$8</f>
        <v>15185.1932125077</v>
      </c>
      <c r="I25" s="101" t="n">
        <f aca="false">STDEVP(B25:F25)/G25</f>
        <v>0.0239450194883038</v>
      </c>
      <c r="J25" s="101" t="n">
        <f aca="false">IF(H25&gt;$A$43, $C$43, IF(H25&gt;$A$44, $C$44, IF(H25&gt;$A$45,$C$45,IF(H25&gt;$A$46,$C$46, IF(H25&gt;$A$47,$C$47,IF(H25&gt;$A$48,$C$48,$C$49))))))/100</f>
        <v>0.11</v>
      </c>
      <c r="K25" s="101" t="n">
        <f aca="false">(MAX(B25:F25)-MIN(B25:F25))/G25</f>
        <v>0.0601338968704512</v>
      </c>
      <c r="L25" s="0" t="n">
        <f aca="false">COUNTA(B25:F25)</f>
        <v>5</v>
      </c>
      <c r="N25" s="0" t="n">
        <v>17</v>
      </c>
      <c r="O25" s="37" t="n">
        <v>2078.97581012079</v>
      </c>
      <c r="T25" s="79"/>
      <c r="U25" s="79"/>
      <c r="V25" s="79"/>
      <c r="W25" s="79"/>
      <c r="X25" s="79"/>
      <c r="Y25" s="79"/>
      <c r="Z25" s="79"/>
      <c r="AA25" s="79"/>
      <c r="AB25" s="79"/>
      <c r="AC25" s="79"/>
      <c r="AD25" s="79"/>
      <c r="AE25" s="79"/>
      <c r="AF25" s="79"/>
      <c r="AG25" s="79"/>
      <c r="AH25" s="79"/>
      <c r="AI25" s="79"/>
      <c r="AJ25" s="79"/>
      <c r="AK25" s="79"/>
      <c r="AL25" s="79"/>
      <c r="AM25" s="79"/>
      <c r="AN25" s="79"/>
      <c r="AO25" s="79"/>
      <c r="AP25" s="79"/>
      <c r="AQ25" s="79"/>
      <c r="AR25" s="79"/>
      <c r="AS25" s="79"/>
      <c r="AT25" s="79"/>
      <c r="AU25" s="79"/>
      <c r="AV25" s="79"/>
      <c r="AW25" s="79"/>
    </row>
    <row r="26" customFormat="false" ht="15.8" hidden="false" customHeight="false" outlineLevel="0" collapsed="false">
      <c r="A26" s="80" t="s">
        <v>162</v>
      </c>
      <c r="B26" s="102" t="n">
        <f aca="false">L70/B$8</f>
        <v>600.781483723099</v>
      </c>
      <c r="C26" s="102" t="n">
        <f aca="false">M70/C$8</f>
        <v>594.568619827363</v>
      </c>
      <c r="D26" s="102" t="n">
        <f aca="false">N70/D$8</f>
        <v>593.816284403094</v>
      </c>
      <c r="E26" s="102" t="n">
        <f aca="false">O70/E$8</f>
        <v>568.824886746819</v>
      </c>
      <c r="F26" s="102" t="n">
        <f aca="false">P70/F$8</f>
        <v>560.139810230791</v>
      </c>
      <c r="G26" s="38" t="n">
        <f aca="false">AVERAGE(B26:F26)</f>
        <v>583.626216986233</v>
      </c>
      <c r="H26" s="103" t="n">
        <f aca="false">G26*G$8</f>
        <v>13810.4761539392</v>
      </c>
      <c r="I26" s="101" t="n">
        <f aca="false">STDEVP(B26:F26)/G26</f>
        <v>0.0275064024980761</v>
      </c>
      <c r="J26" s="101" t="n">
        <f aca="false">IF(H26&gt;$A$43, $C$43, IF(H26&gt;$A$44, $C$44, IF(H26&gt;$A$45,$C$45,IF(H26&gt;$A$46,$C$46, IF(H26&gt;$A$47,$C$47,IF(H26&gt;$A$48,$C$48,$C$49))))))/100</f>
        <v>0.11</v>
      </c>
      <c r="K26" s="101" t="n">
        <f aca="false">(MAX(B26:F26)-MIN(B26:F26))/G26</f>
        <v>0.0696364767542067</v>
      </c>
      <c r="L26" s="0" t="n">
        <f aca="false">COUNTA(B26:F26)</f>
        <v>5</v>
      </c>
      <c r="N26" s="0" t="n">
        <v>18</v>
      </c>
      <c r="O26" s="37" t="n">
        <v>2464.05379441539</v>
      </c>
    </row>
    <row r="27" customFormat="false" ht="15.8" hidden="false" customHeight="false" outlineLevel="0" collapsed="false">
      <c r="A27" s="80" t="s">
        <v>163</v>
      </c>
      <c r="B27" s="102" t="n">
        <f aca="false">L71/B$8</f>
        <v>551.551706970112</v>
      </c>
      <c r="C27" s="102" t="n">
        <f aca="false">M71/C$8</f>
        <v>537.446669675645</v>
      </c>
      <c r="D27" s="102" t="n">
        <f aca="false">N71/D$8</f>
        <v>545.533439736739</v>
      </c>
      <c r="E27" s="102" t="n">
        <f aca="false">O71/E$8</f>
        <v>517.854166083498</v>
      </c>
      <c r="F27" s="102" t="n">
        <f aca="false">P71/F$8</f>
        <v>507.912807122348</v>
      </c>
      <c r="G27" s="38" t="n">
        <f aca="false">AVERAGE(B27:F27)</f>
        <v>532.059757917669</v>
      </c>
      <c r="H27" s="103" t="n">
        <f aca="false">G27*G$8</f>
        <v>12590.2476368123</v>
      </c>
      <c r="I27" s="101" t="n">
        <f aca="false">STDEVP(B27:F27)/G27</f>
        <v>0.0311719673051439</v>
      </c>
      <c r="J27" s="101" t="n">
        <f aca="false">IF(H27&gt;$A$43, $C$43, IF(H27&gt;$A$44, $C$44, IF(H27&gt;$A$45,$C$45,IF(H27&gt;$A$46,$C$46, IF(H27&gt;$A$47,$C$47,IF(H27&gt;$A$48,$C$48,$C$49))))))/100</f>
        <v>0.11</v>
      </c>
      <c r="K27" s="101" t="n">
        <f aca="false">(MAX(B27:F27)-MIN(B27:F27))/G27</f>
        <v>0.0820187943146728</v>
      </c>
      <c r="L27" s="0" t="n">
        <f aca="false">COUNTA(B27:F27)</f>
        <v>5</v>
      </c>
      <c r="N27" s="0" t="n">
        <v>19</v>
      </c>
      <c r="O27" s="37" t="n">
        <v>2920.45779090624</v>
      </c>
    </row>
    <row r="28" customFormat="false" ht="15.8" hidden="false" customHeight="false" outlineLevel="0" collapsed="false">
      <c r="A28" s="80" t="s">
        <v>164</v>
      </c>
      <c r="B28" s="102" t="n">
        <f aca="false">L72/B$8</f>
        <v>493.634322554834</v>
      </c>
      <c r="C28" s="102" t="n">
        <f aca="false">M72/C$8</f>
        <v>479.907770982675</v>
      </c>
      <c r="D28" s="102" t="n">
        <f aca="false">N72/D$8</f>
        <v>486.172712960788</v>
      </c>
      <c r="E28" s="102" t="n">
        <f aca="false">O72/E$8</f>
        <v>453.931868858185</v>
      </c>
      <c r="F28" s="102" t="n">
        <f aca="false">P72/F$8</f>
        <v>447.77892704928</v>
      </c>
      <c r="G28" s="38" t="n">
        <f aca="false">AVERAGE(B28:F28)</f>
        <v>472.285120481152</v>
      </c>
      <c r="H28" s="103" t="n">
        <f aca="false">G28*G$8</f>
        <v>11175.7871809571</v>
      </c>
      <c r="I28" s="101" t="n">
        <f aca="false">STDEVP(B28:F28)/G28</f>
        <v>0.0383956440706521</v>
      </c>
      <c r="J28" s="101" t="n">
        <f aca="false">IF(H28&gt;$A$43, $C$43, IF(H28&gt;$A$44, $C$44, IF(H28&gt;$A$45,$C$45,IF(H28&gt;$A$46,$C$46, IF(H28&gt;$A$47,$C$47,IF(H28&gt;$A$48,$C$48,$C$49))))))/100</f>
        <v>0.11</v>
      </c>
      <c r="K28" s="101" t="n">
        <f aca="false">(MAX(B28:F28)-MIN(B28:F28))/G28</f>
        <v>0.0970926110457113</v>
      </c>
      <c r="L28" s="0" t="n">
        <f aca="false">COUNTA(B28:F28)</f>
        <v>5</v>
      </c>
      <c r="N28" s="0" t="n">
        <v>20</v>
      </c>
      <c r="O28" s="37" t="n">
        <v>3461.3991495622</v>
      </c>
    </row>
    <row r="29" customFormat="false" ht="15.8" hidden="false" customHeight="false" outlineLevel="0" collapsed="false">
      <c r="A29" s="80" t="s">
        <v>165</v>
      </c>
      <c r="B29" s="102" t="n">
        <f aca="false">L73/B$8</f>
        <v>421.90586954822</v>
      </c>
      <c r="C29" s="102" t="n">
        <f aca="false">M73/C$8</f>
        <v>397.768908355753</v>
      </c>
      <c r="D29" s="102" t="n">
        <f aca="false">N73/D$8</f>
        <v>411.762787847271</v>
      </c>
      <c r="E29" s="102" t="n">
        <f aca="false">O73/E$8</f>
        <v>387.293918482777</v>
      </c>
      <c r="F29" s="102" t="n">
        <f aca="false">P73/F$8</f>
        <v>378.28164004442</v>
      </c>
      <c r="G29" s="38" t="n">
        <f aca="false">AVERAGE(B29:F29)</f>
        <v>399.402624855688</v>
      </c>
      <c r="H29" s="103" t="n">
        <f aca="false">G29*G$8</f>
        <v>9451.15257994024</v>
      </c>
      <c r="I29" s="101" t="n">
        <f aca="false">STDEVP(B29:F29)/G29</f>
        <v>0.0396596624761095</v>
      </c>
      <c r="J29" s="101" t="n">
        <f aca="false">IF(H29&gt;$A$43, $C$43, IF(H29&gt;$A$44, $C$44, IF(H29&gt;$A$45,$C$45,IF(H29&gt;$A$46,$C$46, IF(H29&gt;$A$47,$C$47,IF(H29&gt;$A$48,$C$48,$C$49))))))/100</f>
        <v>0.113</v>
      </c>
      <c r="K29" s="101" t="n">
        <f aca="false">(MAX(B29:F29)-MIN(B29:F29))/G29</f>
        <v>0.109223692557259</v>
      </c>
      <c r="L29" s="0" t="n">
        <f aca="false">COUNTA(B29:F29)</f>
        <v>5</v>
      </c>
      <c r="N29" s="0" t="n">
        <v>21</v>
      </c>
      <c r="O29" s="37" t="n">
        <v>4102.5362906793</v>
      </c>
    </row>
    <row r="30" customFormat="false" ht="15.8" hidden="false" customHeight="false" outlineLevel="0" collapsed="false">
      <c r="A30" s="80" t="s">
        <v>166</v>
      </c>
      <c r="B30" s="102" t="n">
        <f aca="false">L74/B$8</f>
        <v>328.347017800463</v>
      </c>
      <c r="C30" s="102" t="n">
        <f aca="false">M74/C$8</f>
        <v>307.916497715643</v>
      </c>
      <c r="D30" s="102" t="n">
        <f aca="false">N74/D$8</f>
        <v>323.975797544807</v>
      </c>
      <c r="E30" s="102" t="n">
        <f aca="false">O74/E$8</f>
        <v>299.557432095093</v>
      </c>
      <c r="F30" s="102" t="n">
        <f aca="false">P74/F$8</f>
        <v>297.756340431004</v>
      </c>
      <c r="G30" s="38" t="n">
        <f aca="false">AVERAGE(B30:F30)</f>
        <v>311.510617117402</v>
      </c>
      <c r="H30" s="103" t="n">
        <f aca="false">G30*G$8</f>
        <v>7371.34457669547</v>
      </c>
      <c r="I30" s="101" t="n">
        <f aca="false">STDEVP(B30:F30)/G30</f>
        <v>0.0401930301183765</v>
      </c>
      <c r="J30" s="101" t="n">
        <f aca="false">IF(H30&gt;$A$43, $C$43, IF(H30&gt;$A$44, $C$44, IF(H30&gt;$A$45,$C$45,IF(H30&gt;$A$46,$C$46, IF(H30&gt;$A$47,$C$47,IF(H30&gt;$A$48,$C$48,$C$49))))))/100</f>
        <v>0.113</v>
      </c>
      <c r="K30" s="101" t="n">
        <f aca="false">(MAX(B30:F30)-MIN(B30:F30))/G30</f>
        <v>0.0982010746617016</v>
      </c>
      <c r="L30" s="0" t="n">
        <f aca="false">COUNTA(B30:F30)</f>
        <v>5</v>
      </c>
      <c r="N30" s="0" t="n">
        <v>22</v>
      </c>
      <c r="O30" s="37" t="n">
        <v>4862.427963117</v>
      </c>
    </row>
    <row r="31" customFormat="false" ht="15.8" hidden="false" customHeight="false" outlineLevel="0" collapsed="false">
      <c r="A31" s="80" t="s">
        <v>167</v>
      </c>
      <c r="B31" s="102" t="n">
        <f aca="false">L75/B$8</f>
        <v>240.357145323405</v>
      </c>
      <c r="C31" s="102" t="n">
        <f aca="false">M75/C$8</f>
        <v>224.318315194335</v>
      </c>
      <c r="D31" s="102" t="n">
        <f aca="false">N75/D$8</f>
        <v>236.188807242343</v>
      </c>
      <c r="E31" s="102" t="n">
        <f aca="false">O75/E$8</f>
        <v>208.896396161153</v>
      </c>
      <c r="F31" s="102" t="n">
        <f aca="false">P75/F$8</f>
        <v>208.908012433772</v>
      </c>
      <c r="G31" s="38" t="n">
        <f aca="false">AVERAGE(B31:F31)</f>
        <v>223.733735271001</v>
      </c>
      <c r="H31" s="103" t="n">
        <f aca="false">G31*G$8</f>
        <v>5294.2608228732</v>
      </c>
      <c r="I31" s="101" t="n">
        <f aca="false">STDEVP(B31:F31)/G31</f>
        <v>0.0590175595457107</v>
      </c>
      <c r="J31" s="101" t="n">
        <f aca="false">IF(H31&gt;$A$43, $C$43, IF(H31&gt;$A$44, $C$44, IF(H31&gt;$A$45,$C$45,IF(H31&gt;$A$46,$C$46, IF(H31&gt;$A$47,$C$47,IF(H31&gt;$A$48,$C$48,$C$49))))))/100</f>
        <v>0.113</v>
      </c>
      <c r="K31" s="101" t="n">
        <f aca="false">(MAX(B31:F31)-MIN(B31:F31))/G31</f>
        <v>0.140616921825155</v>
      </c>
      <c r="L31" s="0" t="n">
        <f aca="false">COUNTA(B31:F31)</f>
        <v>5</v>
      </c>
      <c r="N31" s="0" t="n">
        <v>23</v>
      </c>
      <c r="O31" s="37" t="n">
        <v>5763.07045722374</v>
      </c>
    </row>
    <row r="32" customFormat="false" ht="15.8" hidden="false" customHeight="false" outlineLevel="0" collapsed="false">
      <c r="A32" s="80" t="s">
        <v>168</v>
      </c>
      <c r="B32" s="102" t="n">
        <f aca="false">L76/B$8</f>
        <v>162.614194704435</v>
      </c>
      <c r="C32" s="102" t="n">
        <f aca="false">M76/C$8</f>
        <v>153.437063181255</v>
      </c>
      <c r="D32" s="102" t="n">
        <f aca="false">N76/D$8</f>
        <v>169.094464654031</v>
      </c>
      <c r="E32" s="102" t="n">
        <f aca="false">O76/E$8</f>
        <v>145.182995332001</v>
      </c>
      <c r="F32" s="102" t="n">
        <f aca="false">P76/F$8</f>
        <v>146.069148135964</v>
      </c>
      <c r="G32" s="38" t="n">
        <f aca="false">AVERAGE(B32:F32)</f>
        <v>155.279573201537</v>
      </c>
      <c r="H32" s="103" t="n">
        <f aca="false">G32*G$8</f>
        <v>3674.41485745366</v>
      </c>
      <c r="I32" s="101" t="n">
        <f aca="false">STDEVP(B32:F32)/G32</f>
        <v>0.0600555578933015</v>
      </c>
      <c r="J32" s="101" t="n">
        <f aca="false">IF(H32&gt;$A$43, $C$43, IF(H32&gt;$A$44, $C$44, IF(H32&gt;$A$45,$C$45,IF(H32&gt;$A$46,$C$46, IF(H32&gt;$A$47,$C$47,IF(H32&gt;$A$48,$C$48,$C$49))))))/100</f>
        <v>0.119</v>
      </c>
      <c r="K32" s="101" t="n">
        <f aca="false">(MAX(B32:F32)-MIN(B32:F32))/G32</f>
        <v>0.153989792920126</v>
      </c>
      <c r="L32" s="0" t="n">
        <f aca="false">COUNTA(B32:F32)</f>
        <v>5</v>
      </c>
      <c r="N32" s="0" t="n">
        <v>24</v>
      </c>
      <c r="O32" s="37" t="n">
        <v>6830.53432294641</v>
      </c>
    </row>
    <row r="33" customFormat="false" ht="15.8" hidden="false" customHeight="false" outlineLevel="0" collapsed="false">
      <c r="A33" s="80" t="s">
        <v>169</v>
      </c>
      <c r="B33" s="102" t="n">
        <f aca="false">L77/B$8</f>
        <v>118.062360538837</v>
      </c>
      <c r="C33" s="102" t="n">
        <f aca="false">M77/C$8</f>
        <v>104.445609583979</v>
      </c>
      <c r="D33" s="102" t="n">
        <f aca="false">N77/D$8</f>
        <v>115.586203898244</v>
      </c>
      <c r="E33" s="102" t="n">
        <f aca="false">O77/E$8</f>
        <v>106.95495483451</v>
      </c>
      <c r="F33" s="102" t="n">
        <f aca="false">P77/F$8</f>
        <v>100.500567734574</v>
      </c>
      <c r="G33" s="38" t="n">
        <f aca="false">AVERAGE(B33:F33)</f>
        <v>109.109939318029</v>
      </c>
      <c r="H33" s="103" t="n">
        <f aca="false">G33*G$8</f>
        <v>2581.8926073791</v>
      </c>
      <c r="I33" s="101" t="n">
        <f aca="false">STDEVP(B33:F33)/G33</f>
        <v>0.0611536099942743</v>
      </c>
      <c r="J33" s="101" t="n">
        <f aca="false">IF(H33&gt;$A$43, $C$43, IF(H33&gt;$A$44, $C$44, IF(H33&gt;$A$45,$C$45,IF(H33&gt;$A$46,$C$46, IF(H33&gt;$A$47,$C$47,IF(H33&gt;$A$48,$C$48,$C$49))))))/100</f>
        <v>0.119</v>
      </c>
      <c r="K33" s="101" t="n">
        <f aca="false">(MAX(B33:F33)-MIN(B33:F33))/G33</f>
        <v>0.160955023108158</v>
      </c>
      <c r="L33" s="0" t="n">
        <f aca="false">COUNTA(B33:F33)</f>
        <v>5</v>
      </c>
      <c r="N33" s="0" t="n">
        <v>25</v>
      </c>
      <c r="O33" s="37" t="n">
        <v>8095.71902395668</v>
      </c>
    </row>
    <row r="34" customFormat="false" ht="15.8" hidden="false" customHeight="false" outlineLevel="0" collapsed="false">
      <c r="A34" s="80" t="s">
        <v>170</v>
      </c>
      <c r="B34" s="102" t="n">
        <f aca="false">L78/B$8</f>
        <v>83.7574482313256</v>
      </c>
      <c r="C34" s="102" t="n">
        <f aca="false">M78/C$8</f>
        <v>72.5490461780933</v>
      </c>
      <c r="D34" s="102" t="n">
        <f aca="false">N78/D$8</f>
        <v>82.5615742130314</v>
      </c>
      <c r="E34" s="102" t="n">
        <f aca="false">O78/E$8</f>
        <v>77.7094593719488</v>
      </c>
      <c r="F34" s="102" t="n">
        <f aca="false">P78/F$8</f>
        <v>68.0407570376927</v>
      </c>
      <c r="G34" s="38" t="n">
        <f aca="false">AVERAGE(B34:F34)</f>
        <v>76.9236570064184</v>
      </c>
      <c r="H34" s="103" t="n">
        <f aca="false">G34*G$8</f>
        <v>1820.26149587108</v>
      </c>
      <c r="I34" s="101" t="n">
        <f aca="false">STDEVP(B34:F34)/G34</f>
        <v>0.0773788913776539</v>
      </c>
      <c r="J34" s="101" t="n">
        <f aca="false">IF(H34&gt;$A$43, $C$43, IF(H34&gt;$A$44, $C$44, IF(H34&gt;$A$45,$C$45,IF(H34&gt;$A$46,$C$46, IF(H34&gt;$A$47,$C$47,IF(H34&gt;$A$48,$C$48,$C$49))))))/100</f>
        <v>0.134</v>
      </c>
      <c r="K34" s="101" t="n">
        <f aca="false">(MAX(B34:F34)-MIN(B34:F34))/G34</f>
        <v>0.204315444757411</v>
      </c>
      <c r="L34" s="0" t="n">
        <f aca="false">COUNTA(B34:F34)</f>
        <v>5</v>
      </c>
      <c r="N34" s="0" t="n">
        <v>26</v>
      </c>
      <c r="O34" s="37" t="n">
        <v>9595.24737247533</v>
      </c>
    </row>
    <row r="35" customFormat="false" ht="15.8" hidden="false" customHeight="false" outlineLevel="0" collapsed="false">
      <c r="A35" s="80" t="s">
        <v>171</v>
      </c>
      <c r="B35" s="102" t="n">
        <f aca="false">L79/B$8</f>
        <v>61.2587719776982</v>
      </c>
      <c r="C35" s="102" t="n">
        <f aca="false">M79/C$8</f>
        <v>54.2033103629433</v>
      </c>
      <c r="D35" s="102" t="n">
        <f aca="false">N79/D$8</f>
        <v>61.659909855302</v>
      </c>
      <c r="E35" s="102" t="n">
        <f aca="false">O79/E$8</f>
        <v>53.4774774172551</v>
      </c>
      <c r="F35" s="102" t="n">
        <f aca="false">P79/F$8</f>
        <v>49.1058674645122</v>
      </c>
      <c r="G35" s="38" t="n">
        <f aca="false">AVERAGE(B35:F35)</f>
        <v>55.9410674155422</v>
      </c>
      <c r="H35" s="103" t="n">
        <f aca="false">G35*G$8</f>
        <v>1323.74584122987</v>
      </c>
      <c r="I35" s="101" t="n">
        <f aca="false">STDEVP(B35:F35)/G35</f>
        <v>0.0863954996717247</v>
      </c>
      <c r="J35" s="101" t="n">
        <f aca="false">IF(H35&gt;$A$43, $C$43, IF(H35&gt;$A$44, $C$44, IF(H35&gt;$A$45,$C$45,IF(H35&gt;$A$46,$C$46, IF(H35&gt;$A$47,$C$47,IF(H35&gt;$A$48,$C$48,$C$49))))))/100</f>
        <v>0.134</v>
      </c>
      <c r="K35" s="101" t="n">
        <f aca="false">(MAX(B35:F35)-MIN(B35:F35))/G35</f>
        <v>0.224415495999311</v>
      </c>
      <c r="L35" s="0" t="n">
        <f aca="false">COUNTA(B35:F35)</f>
        <v>5</v>
      </c>
      <c r="N35" s="0" t="n">
        <v>27</v>
      </c>
      <c r="O35" s="37" t="n">
        <v>11372.5256356535</v>
      </c>
    </row>
    <row r="36" customFormat="false" ht="15.8" hidden="false" customHeight="false" outlineLevel="0" collapsed="false">
      <c r="A36" s="80" t="s">
        <v>172</v>
      </c>
      <c r="B36" s="102" t="n">
        <f aca="false">L80/B$8</f>
        <v>12.9200319080236</v>
      </c>
      <c r="C36" s="102" t="n">
        <f aca="false">M80/C$8</f>
        <v>10.4237135313352</v>
      </c>
      <c r="D36" s="102" t="n">
        <f aca="false">N80/D$8</f>
        <v>10.8688654660193</v>
      </c>
      <c r="E36" s="102" t="n">
        <f aca="false">O80/E$8</f>
        <v>8.35585584644611</v>
      </c>
      <c r="F36" s="102" t="n">
        <f aca="false">P80/F$8</f>
        <v>7.69880125502945</v>
      </c>
      <c r="G36" s="38" t="n">
        <f aca="false">AVERAGE(B36:F36)</f>
        <v>10.0534536013708</v>
      </c>
      <c r="H36" s="103" t="n">
        <f aca="false">G36*G$8</f>
        <v>237.897094382482</v>
      </c>
      <c r="I36" s="101" t="n">
        <f aca="false">STDEVP(B36:F36)/G36</f>
        <v>0.185798094330369</v>
      </c>
      <c r="J36" s="101" t="n">
        <f aca="false">IF(H36&gt;$A$43, $C$43, IF(H36&gt;$A$44, $C$44, IF(H36&gt;$A$45,$C$45,IF(H36&gt;$A$46,$C$46, IF(H36&gt;$A$47,$C$47,IF(H36&gt;$A$48,$C$48,$C$49))))))/100</f>
        <v>0.193</v>
      </c>
      <c r="K36" s="101" t="n">
        <f aca="false">(MAX(B36:F36)-MIN(B36:F36))/G36</f>
        <v>0.519346968715535</v>
      </c>
      <c r="L36" s="0" t="n">
        <f aca="false">COUNTA(B36:F36)</f>
        <v>5</v>
      </c>
      <c r="N36" s="0" t="n">
        <v>28</v>
      </c>
      <c r="O36" s="37" t="n">
        <v>13479</v>
      </c>
    </row>
    <row r="37" customFormat="false" ht="15.8" hidden="false" customHeight="false" outlineLevel="0" collapsed="false">
      <c r="A37" s="80" t="s">
        <v>173</v>
      </c>
      <c r="B37" s="102" t="n">
        <f aca="false">L81/B$8</f>
        <v>8.01933014980777</v>
      </c>
      <c r="C37" s="102" t="n">
        <f aca="false">M81/C$8</f>
        <v>4.79490822441421</v>
      </c>
      <c r="D37" s="102" t="n">
        <f aca="false">N81/D$8</f>
        <v>6.27049930731884</v>
      </c>
      <c r="E37" s="102" t="n">
        <f aca="false">O81/E$8</f>
        <v>5.22240990402882</v>
      </c>
      <c r="F37" s="102" t="n">
        <f aca="false">P81/F$8</f>
        <v>4.16151419190781</v>
      </c>
      <c r="G37" s="38" t="n">
        <f aca="false">AVERAGE(B37:F37)</f>
        <v>5.69373235549549</v>
      </c>
      <c r="H37" s="103" t="n">
        <f aca="false">G37*G$8</f>
        <v>134.73204704294</v>
      </c>
      <c r="I37" s="101" t="n">
        <f aca="false">STDEVP(B37:F37)/G37</f>
        <v>0.237184603699363</v>
      </c>
      <c r="J37" s="101" t="n">
        <f aca="false">IF(H37&gt;$A$43, $C$43, IF(H37&gt;$A$44, $C$44, IF(H37&gt;$A$45,$C$45,IF(H37&gt;$A$46,$C$46, IF(H37&gt;$A$47,$C$47,IF(H37&gt;$A$48,$C$48,$C$49))))))/100</f>
        <v>0.275</v>
      </c>
      <c r="K37" s="101" t="n">
        <f aca="false">(MAX(B37:F37)-MIN(B37:F37))/G37</f>
        <v>0.677554847511661</v>
      </c>
      <c r="L37" s="0" t="n">
        <f aca="false">COUNTA(B37:F37)</f>
        <v>5</v>
      </c>
      <c r="N37" s="0" t="n">
        <v>29</v>
      </c>
    </row>
    <row r="38" customFormat="false" ht="15.8" hidden="false" customHeight="false" outlineLevel="0" collapsed="false">
      <c r="A38" s="80" t="s">
        <v>174</v>
      </c>
      <c r="B38" s="102" t="n">
        <f aca="false">L82/B$8</f>
        <v>3.3413875624199</v>
      </c>
      <c r="C38" s="102" t="n">
        <f aca="false">M82/C$8</f>
        <v>1.87626843564034</v>
      </c>
      <c r="D38" s="102" t="n">
        <f aca="false">N82/D$8</f>
        <v>1.88114979219565</v>
      </c>
      <c r="E38" s="102" t="n">
        <f aca="false">O82/E$8</f>
        <v>2.08896396161153</v>
      </c>
      <c r="F38" s="102" t="n">
        <f aca="false">P82/F$8</f>
        <v>0.416151419190781</v>
      </c>
      <c r="G38" s="38" t="n">
        <f aca="false">AVERAGE(B38:F38)</f>
        <v>1.92078423421164</v>
      </c>
      <c r="H38" s="103" t="n">
        <f aca="false">G38*G$8</f>
        <v>45.4519418274658</v>
      </c>
      <c r="I38" s="101" t="n">
        <f aca="false">STDEVP(B38:F38)/G38</f>
        <v>0.483581832741831</v>
      </c>
      <c r="J38" s="101" t="n">
        <f aca="false">IF(H38&gt;$A$43, $C$43, IF(H38&gt;$A$44, $C$44, IF(H38&gt;$A$45,$C$45,IF(H38&gt;$A$46,$C$46, IF(H38&gt;$A$47,$C$47,IF(H38&gt;$A$48,$C$48,$C$49))))))/100</f>
        <v>0.275</v>
      </c>
      <c r="K38" s="101" t="n">
        <f aca="false">(MAX(B38:F38)-MIN(B38:F38))/G38</f>
        <v>1.52293843895993</v>
      </c>
      <c r="L38" s="0" t="n">
        <f aca="false">COUNTA(B38:F38)</f>
        <v>5</v>
      </c>
      <c r="N38" s="0" t="n">
        <v>30</v>
      </c>
    </row>
    <row r="39" customFormat="false" ht="15.8" hidden="false" customHeight="false" outlineLevel="0" collapsed="false"/>
    <row r="40" customFormat="false" ht="15.8" hidden="false" customHeight="false" outlineLevel="0" collapsed="false">
      <c r="A40" s="0" t="s">
        <v>175</v>
      </c>
    </row>
    <row r="41" customFormat="false" ht="15.8" hidden="false" customHeight="false" outlineLevel="0" collapsed="false">
      <c r="A41" s="104"/>
      <c r="B41" s="105" t="s">
        <v>176</v>
      </c>
      <c r="C41" s="104"/>
      <c r="D41" s="106" t="s">
        <v>177</v>
      </c>
      <c r="E41" s="107"/>
      <c r="F41" s="107"/>
      <c r="G41" s="107"/>
      <c r="H41" s="108"/>
    </row>
    <row r="42" customFormat="false" ht="15.8" hidden="false" customHeight="false" outlineLevel="0" collapsed="false">
      <c r="A42" s="109" t="s">
        <v>178</v>
      </c>
      <c r="B42" s="110" t="s">
        <v>179</v>
      </c>
      <c r="C42" s="109" t="s">
        <v>180</v>
      </c>
      <c r="D42" s="109" t="s">
        <v>181</v>
      </c>
      <c r="E42" s="110" t="s">
        <v>182</v>
      </c>
      <c r="F42" s="110" t="s">
        <v>183</v>
      </c>
      <c r="G42" s="110" t="s">
        <v>184</v>
      </c>
      <c r="H42" s="111" t="s">
        <v>185</v>
      </c>
    </row>
    <row r="43" customFormat="false" ht="15.8" hidden="false" customHeight="false" outlineLevel="0" collapsed="false">
      <c r="A43" s="112" t="n">
        <v>10000</v>
      </c>
      <c r="C43" s="112" t="n">
        <v>11</v>
      </c>
      <c r="D43" s="112" t="n">
        <v>7.8</v>
      </c>
      <c r="E43" s="0" t="n">
        <v>5.3</v>
      </c>
      <c r="F43" s="0" t="n">
        <v>4</v>
      </c>
      <c r="G43" s="0" t="n">
        <v>2.7</v>
      </c>
      <c r="H43" s="113" t="n">
        <v>1.8</v>
      </c>
    </row>
    <row r="44" customFormat="false" ht="15.8" hidden="false" customHeight="false" outlineLevel="0" collapsed="false">
      <c r="A44" s="112" t="n">
        <v>5000</v>
      </c>
      <c r="B44" s="0" t="n">
        <v>10000</v>
      </c>
      <c r="C44" s="112" t="n">
        <v>11.3</v>
      </c>
      <c r="D44" s="112" t="n">
        <v>7.8</v>
      </c>
      <c r="E44" s="0" t="n">
        <v>5.3</v>
      </c>
      <c r="F44" s="0" t="n">
        <v>4</v>
      </c>
      <c r="G44" s="0" t="n">
        <v>2.7</v>
      </c>
      <c r="H44" s="113" t="n">
        <v>1.9</v>
      </c>
    </row>
    <row r="45" customFormat="false" ht="15.8" hidden="false" customHeight="false" outlineLevel="0" collapsed="false">
      <c r="A45" s="112" t="n">
        <v>2000</v>
      </c>
      <c r="B45" s="0" t="n">
        <v>5000</v>
      </c>
      <c r="C45" s="112" t="n">
        <v>11.9</v>
      </c>
      <c r="D45" s="112" t="n">
        <v>7.9</v>
      </c>
      <c r="E45" s="0" t="n">
        <v>5.4</v>
      </c>
      <c r="F45" s="0" t="n">
        <v>4.1</v>
      </c>
      <c r="G45" s="0" t="n">
        <v>2.9</v>
      </c>
      <c r="H45" s="113" t="n">
        <v>2.1</v>
      </c>
    </row>
    <row r="46" customFormat="false" ht="15.8" hidden="false" customHeight="false" outlineLevel="0" collapsed="false">
      <c r="A46" s="112" t="n">
        <v>1000</v>
      </c>
      <c r="B46" s="0" t="n">
        <v>2000</v>
      </c>
      <c r="C46" s="112" t="n">
        <v>13.4</v>
      </c>
      <c r="D46" s="112" t="n">
        <v>8</v>
      </c>
      <c r="E46" s="0" t="n">
        <v>5.6</v>
      </c>
      <c r="F46" s="0" t="n">
        <v>4.3</v>
      </c>
      <c r="G46" s="0" t="n">
        <v>3.1</v>
      </c>
      <c r="H46" s="113" t="n">
        <v>2.4</v>
      </c>
    </row>
    <row r="47" customFormat="false" ht="15.8" hidden="false" customHeight="false" outlineLevel="0" collapsed="false">
      <c r="A47" s="112" t="n">
        <v>500</v>
      </c>
      <c r="B47" s="0" t="n">
        <v>1000</v>
      </c>
      <c r="C47" s="112" t="n">
        <v>15.6</v>
      </c>
      <c r="D47" s="112" t="n">
        <v>8.2</v>
      </c>
      <c r="E47" s="0" t="n">
        <v>5.9</v>
      </c>
      <c r="F47" s="0" t="n">
        <v>4.7</v>
      </c>
      <c r="G47" s="0" t="n">
        <v>3.6</v>
      </c>
      <c r="H47" s="113" t="n">
        <v>2.9</v>
      </c>
    </row>
    <row r="48" customFormat="false" ht="15.8" hidden="false" customHeight="false" outlineLevel="0" collapsed="false">
      <c r="A48" s="112" t="n">
        <v>200</v>
      </c>
      <c r="B48" s="0" t="n">
        <v>500</v>
      </c>
      <c r="C48" s="112" t="n">
        <v>19.3</v>
      </c>
      <c r="D48" s="112" t="n">
        <v>8.9</v>
      </c>
      <c r="E48" s="0" t="n">
        <v>6.8</v>
      </c>
      <c r="F48" s="0" t="n">
        <v>5.7</v>
      </c>
      <c r="G48" s="0" t="n">
        <v>4.7</v>
      </c>
      <c r="H48" s="113" t="n">
        <v>4.1</v>
      </c>
    </row>
    <row r="49" customFormat="false" ht="15.8" hidden="false" customHeight="false" outlineLevel="0" collapsed="false">
      <c r="A49" s="114" t="n">
        <v>100</v>
      </c>
      <c r="B49" s="115" t="n">
        <v>200</v>
      </c>
      <c r="C49" s="114" t="n">
        <v>27.5</v>
      </c>
      <c r="D49" s="114" t="n">
        <v>10</v>
      </c>
      <c r="E49" s="115" t="n">
        <v>8</v>
      </c>
      <c r="F49" s="115" t="n">
        <v>7</v>
      </c>
      <c r="G49" s="115" t="n">
        <v>6.1</v>
      </c>
      <c r="H49" s="116" t="n">
        <v>5.5</v>
      </c>
    </row>
    <row r="50" customFormat="false" ht="15.8" hidden="false" customHeight="false" outlineLevel="0" collapsed="false"/>
    <row r="51" customFormat="false" ht="15.8" hidden="false" customHeight="false" outlineLevel="0" collapsed="false">
      <c r="A51" s="118"/>
      <c r="B51" s="119" t="s">
        <v>40</v>
      </c>
      <c r="C51" s="119" t="s">
        <v>41</v>
      </c>
      <c r="D51" s="119" t="s">
        <v>42</v>
      </c>
      <c r="E51" s="119" t="s">
        <v>43</v>
      </c>
      <c r="F51" s="119" t="s">
        <v>44</v>
      </c>
      <c r="G51" s="119" t="s">
        <v>40</v>
      </c>
      <c r="H51" s="119" t="s">
        <v>41</v>
      </c>
      <c r="I51" s="119" t="s">
        <v>42</v>
      </c>
      <c r="J51" s="119" t="s">
        <v>43</v>
      </c>
      <c r="K51" s="119" t="s">
        <v>44</v>
      </c>
      <c r="L51" s="119" t="s">
        <v>40</v>
      </c>
      <c r="M51" s="119" t="s">
        <v>41</v>
      </c>
      <c r="N51" s="119" t="s">
        <v>42</v>
      </c>
      <c r="O51" s="119" t="s">
        <v>43</v>
      </c>
      <c r="P51" s="119" t="s">
        <v>44</v>
      </c>
    </row>
    <row r="52" customFormat="false" ht="15.8" hidden="false" customHeight="false" outlineLevel="0" collapsed="false">
      <c r="A52" s="122" t="s">
        <v>188</v>
      </c>
      <c r="B52" s="122" t="n">
        <f aca="false">'6 - B1'!$B$52</f>
        <v>4.475147</v>
      </c>
      <c r="C52" s="122" t="n">
        <f aca="false">'6 - B1'!$C$52</f>
        <v>4.733991</v>
      </c>
      <c r="D52" s="122" t="n">
        <f aca="false">'6 - B1'!$D$52</f>
        <v>4.720532</v>
      </c>
      <c r="E52" s="122" t="n">
        <f aca="false">'6 - B1'!$E$52</f>
        <v>4.753982</v>
      </c>
      <c r="F52" s="122" t="n">
        <f aca="false">'6 - B1'!$F$52</f>
        <v>4.776061</v>
      </c>
      <c r="G52" s="122" t="n">
        <f aca="false">'6 - B1'!$G$52</f>
        <v>4.756581</v>
      </c>
      <c r="H52" s="122" t="n">
        <f aca="false">'6 - B1'!$H$52</f>
        <v>5.071365</v>
      </c>
      <c r="I52" s="122" t="n">
        <f aca="false">'6 - B1'!$I$52</f>
        <v>5.012042</v>
      </c>
      <c r="J52" s="122" t="n">
        <f aca="false">'6 - B1'!$J$52</f>
        <v>5.064873</v>
      </c>
      <c r="K52" s="122" t="n">
        <f aca="false">'6 - B1'!$K$52</f>
        <v>5.038718</v>
      </c>
      <c r="L52" s="122" t="n">
        <f aca="false">'6 - B1'!$L$52</f>
        <v>4.489153</v>
      </c>
      <c r="M52" s="122" t="n">
        <f aca="false">'6 - B1'!$M$52</f>
        <v>4.796755</v>
      </c>
      <c r="N52" s="122" t="n">
        <f aca="false">'6 - B1'!$N$52</f>
        <v>4.784308</v>
      </c>
      <c r="O52" s="122" t="n">
        <f aca="false">'6 - B1'!$O$52</f>
        <v>4.787062</v>
      </c>
      <c r="P52" s="122" t="n">
        <f aca="false">'6 - B1'!$P$52</f>
        <v>4.805943</v>
      </c>
    </row>
    <row r="53" customFormat="false" ht="15.8" hidden="false" customHeight="false" outlineLevel="0" collapsed="false">
      <c r="A53" s="122" t="n">
        <f aca="false">'6 - B1'!$A$53</f>
        <v>4</v>
      </c>
      <c r="B53" s="122" t="n">
        <f aca="false">'6 - B1'!$B$53</f>
        <v>64899</v>
      </c>
      <c r="C53" s="122" t="n">
        <f aca="false">'6 - B1'!$C$53</f>
        <v>68924</v>
      </c>
      <c r="D53" s="122" t="n">
        <f aca="false">'6 - B1'!$D$53</f>
        <v>68636</v>
      </c>
      <c r="E53" s="122" t="n">
        <f aca="false">'6 - B1'!$E$53</f>
        <v>68505</v>
      </c>
      <c r="F53" s="122" t="n">
        <f aca="false">'6 - B1'!$F$53</f>
        <v>68193</v>
      </c>
      <c r="G53" s="122" t="n">
        <f aca="false">'6 - B1'!$G$53</f>
        <v>51992</v>
      </c>
      <c r="H53" s="122" t="n">
        <f aca="false">'6 - B1'!$H$53</f>
        <v>53940</v>
      </c>
      <c r="I53" s="122" t="n">
        <f aca="false">'6 - B1'!$I$53</f>
        <v>53282</v>
      </c>
      <c r="J53" s="122" t="n">
        <f aca="false">'6 - B1'!$J$53</f>
        <v>53242</v>
      </c>
      <c r="K53" s="122" t="n">
        <f aca="false">'6 - B1'!$K$53</f>
        <v>53515</v>
      </c>
      <c r="L53" s="122" t="n">
        <f aca="false">'6 - B1'!$L$53</f>
        <v>48799</v>
      </c>
      <c r="M53" s="122" t="n">
        <f aca="false">'6 - B1'!$M$53</f>
        <v>51430</v>
      </c>
      <c r="N53" s="122" t="n">
        <f aca="false">'6 - B1'!$N$53</f>
        <v>51700</v>
      </c>
      <c r="O53" s="122" t="n">
        <f aca="false">'6 - B1'!$O$53</f>
        <v>51740</v>
      </c>
      <c r="P53" s="122" t="n">
        <f aca="false">'6 - B1'!$P$53</f>
        <v>51082</v>
      </c>
    </row>
    <row r="54" customFormat="false" ht="15.8" hidden="false" customHeight="false" outlineLevel="0" collapsed="false">
      <c r="A54" s="122" t="n">
        <f aca="false">'6 - B1'!$A$54</f>
        <v>5</v>
      </c>
      <c r="B54" s="122" t="n">
        <f aca="false">'6 - B1'!$B$54</f>
        <v>56257</v>
      </c>
      <c r="C54" s="122" t="n">
        <f aca="false">'6 - B1'!$C$54</f>
        <v>59891</v>
      </c>
      <c r="D54" s="122" t="n">
        <f aca="false">'6 - B1'!$D$54</f>
        <v>59326</v>
      </c>
      <c r="E54" s="122" t="n">
        <f aca="false">'6 - B1'!$E$54</f>
        <v>59295</v>
      </c>
      <c r="F54" s="122" t="n">
        <f aca="false">'6 - B1'!$F$54</f>
        <v>59066</v>
      </c>
      <c r="G54" s="122" t="n">
        <f aca="false">'6 - B1'!$G$54</f>
        <v>44162</v>
      </c>
      <c r="H54" s="122" t="n">
        <f aca="false">'6 - B1'!$H$54</f>
        <v>45794</v>
      </c>
      <c r="I54" s="122" t="n">
        <f aca="false">'6 - B1'!$I$54</f>
        <v>45123</v>
      </c>
      <c r="J54" s="122" t="n">
        <f aca="false">'6 - B1'!$J$54</f>
        <v>45104</v>
      </c>
      <c r="K54" s="122" t="n">
        <f aca="false">'6 - B1'!$K$54</f>
        <v>45370</v>
      </c>
      <c r="L54" s="122" t="n">
        <f aca="false">'6 - B1'!$L$54</f>
        <v>41290</v>
      </c>
      <c r="M54" s="122" t="n">
        <f aca="false">'6 - B1'!$M$54</f>
        <v>43593</v>
      </c>
      <c r="N54" s="122" t="n">
        <f aca="false">'6 - B1'!$N$54</f>
        <v>43713</v>
      </c>
      <c r="O54" s="122" t="n">
        <f aca="false">'6 - B1'!$O$54</f>
        <v>43834</v>
      </c>
      <c r="P54" s="122" t="n">
        <f aca="false">'6 - B1'!$P$54</f>
        <v>43237</v>
      </c>
    </row>
    <row r="55" customFormat="false" ht="15.8" hidden="false" customHeight="false" outlineLevel="0" collapsed="false">
      <c r="A55" s="122" t="n">
        <f aca="false">'6 - B1'!$A$55</f>
        <v>6</v>
      </c>
      <c r="B55" s="122" t="n">
        <f aca="false">'6 - B1'!$B$55</f>
        <v>48583</v>
      </c>
      <c r="C55" s="122" t="n">
        <f aca="false">'6 - B1'!$C$55</f>
        <v>51654</v>
      </c>
      <c r="D55" s="122" t="n">
        <f aca="false">'6 - B1'!$D$55</f>
        <v>51300</v>
      </c>
      <c r="E55" s="122" t="n">
        <f aca="false">'6 - B1'!$E$55</f>
        <v>51080</v>
      </c>
      <c r="F55" s="122" t="n">
        <f aca="false">'6 - B1'!$F$55</f>
        <v>50920</v>
      </c>
      <c r="G55" s="122" t="n">
        <f aca="false">'6 - B1'!$G$55</f>
        <v>37475</v>
      </c>
      <c r="H55" s="122" t="n">
        <f aca="false">'6 - B1'!$H$55</f>
        <v>38947</v>
      </c>
      <c r="I55" s="122" t="n">
        <f aca="false">'6 - B1'!$I$55</f>
        <v>38027</v>
      </c>
      <c r="J55" s="122" t="n">
        <f aca="false">'6 - B1'!$J$55</f>
        <v>38178</v>
      </c>
      <c r="K55" s="122" t="n">
        <f aca="false">'6 - B1'!$K$55</f>
        <v>38360</v>
      </c>
      <c r="L55" s="122" t="n">
        <f aca="false">'6 - B1'!$L$55</f>
        <v>34958</v>
      </c>
      <c r="M55" s="122" t="n">
        <f aca="false">'6 - B1'!$M$55</f>
        <v>36844</v>
      </c>
      <c r="N55" s="122" t="n">
        <f aca="false">'6 - B1'!$N$55</f>
        <v>36893</v>
      </c>
      <c r="O55" s="122" t="n">
        <f aca="false">'6 - B1'!$O$55</f>
        <v>36888</v>
      </c>
      <c r="P55" s="122" t="n">
        <f aca="false">'6 - B1'!$P$55</f>
        <v>36437</v>
      </c>
    </row>
    <row r="56" customFormat="false" ht="15.8" hidden="false" customHeight="false" outlineLevel="0" collapsed="false">
      <c r="A56" s="122" t="n">
        <f aca="false">'6 - B1'!$A$56</f>
        <v>7</v>
      </c>
      <c r="B56" s="122" t="n">
        <f aca="false">'6 - B1'!$B$56</f>
        <v>42357</v>
      </c>
      <c r="C56" s="122" t="n">
        <f aca="false">'6 - B1'!$C$56</f>
        <v>44994</v>
      </c>
      <c r="D56" s="122" t="n">
        <f aca="false">'6 - B1'!$D$56</f>
        <v>44741</v>
      </c>
      <c r="E56" s="122" t="n">
        <f aca="false">'6 - B1'!$E$56</f>
        <v>44589</v>
      </c>
      <c r="F56" s="122" t="n">
        <f aca="false">'6 - B1'!$F$56</f>
        <v>44350</v>
      </c>
      <c r="G56" s="122" t="n">
        <f aca="false">'6 - B1'!$G$56</f>
        <v>31043</v>
      </c>
      <c r="H56" s="122" t="n">
        <f aca="false">'6 - B1'!$H$56</f>
        <v>32225</v>
      </c>
      <c r="I56" s="122" t="n">
        <f aca="false">'6 - B1'!$I$56</f>
        <v>31585</v>
      </c>
      <c r="J56" s="122" t="n">
        <f aca="false">'6 - B1'!$J$56</f>
        <v>31520</v>
      </c>
      <c r="K56" s="122" t="n">
        <f aca="false">'6 - B1'!$K$56</f>
        <v>31829</v>
      </c>
      <c r="L56" s="122" t="n">
        <f aca="false">'6 - B1'!$L$56</f>
        <v>28935</v>
      </c>
      <c r="M56" s="122" t="n">
        <f aca="false">'6 - B1'!$M$56</f>
        <v>30427</v>
      </c>
      <c r="N56" s="122" t="n">
        <f aca="false">'6 - B1'!$N$56</f>
        <v>30431</v>
      </c>
      <c r="O56" s="122" t="n">
        <f aca="false">'6 - B1'!$O$56</f>
        <v>30572</v>
      </c>
      <c r="P56" s="122" t="n">
        <f aca="false">'6 - B1'!$P$56</f>
        <v>30152</v>
      </c>
    </row>
    <row r="57" customFormat="false" ht="15.8" hidden="false" customHeight="false" outlineLevel="0" collapsed="false">
      <c r="A57" s="122" t="n">
        <f aca="false">'6 - B1'!$A$57</f>
        <v>8</v>
      </c>
      <c r="B57" s="122" t="n">
        <f aca="false">'6 - B1'!$B$57</f>
        <v>36098</v>
      </c>
      <c r="C57" s="122" t="n">
        <f aca="false">'6 - B1'!$C$57</f>
        <v>38325</v>
      </c>
      <c r="D57" s="122" t="n">
        <f aca="false">'6 - B1'!$D$57</f>
        <v>38238</v>
      </c>
      <c r="E57" s="122" t="n">
        <f aca="false">'6 - B1'!$E$57</f>
        <v>38152</v>
      </c>
      <c r="F57" s="122" t="n">
        <f aca="false">'6 - B1'!$F$57</f>
        <v>37745</v>
      </c>
      <c r="G57" s="122" t="n">
        <f aca="false">'6 - B1'!$G$57</f>
        <v>25259</v>
      </c>
      <c r="H57" s="122" t="n">
        <f aca="false">'6 - B1'!$H$57</f>
        <v>26108</v>
      </c>
      <c r="I57" s="122" t="n">
        <f aca="false">'6 - B1'!$I$57</f>
        <v>25521</v>
      </c>
      <c r="J57" s="122" t="n">
        <f aca="false">'6 - B1'!$J$57</f>
        <v>25513</v>
      </c>
      <c r="K57" s="122" t="n">
        <f aca="false">'6 - B1'!$K$57</f>
        <v>25681</v>
      </c>
      <c r="L57" s="122" t="n">
        <f aca="false">'6 - B1'!$L$57</f>
        <v>23457</v>
      </c>
      <c r="M57" s="122" t="n">
        <f aca="false">'6 - B1'!$M$57</f>
        <v>24711</v>
      </c>
      <c r="N57" s="122" t="n">
        <f aca="false">'6 - B1'!$N$57</f>
        <v>24555</v>
      </c>
      <c r="O57" s="122" t="n">
        <f aca="false">'6 - B1'!$O$57</f>
        <v>24775</v>
      </c>
      <c r="P57" s="122" t="n">
        <f aca="false">'6 - B1'!$P$57</f>
        <v>24275</v>
      </c>
    </row>
    <row r="58" customFormat="false" ht="15.8" hidden="false" customHeight="false" outlineLevel="0" collapsed="false">
      <c r="A58" s="122" t="n">
        <f aca="false">'6 - B1'!$A$58</f>
        <v>9</v>
      </c>
      <c r="B58" s="122" t="n">
        <f aca="false">'6 - B1'!$B$58</f>
        <v>30748</v>
      </c>
      <c r="C58" s="122" t="n">
        <f aca="false">'6 - B1'!$C$58</f>
        <v>32797</v>
      </c>
      <c r="D58" s="122" t="n">
        <f aca="false">'6 - B1'!$D$58</f>
        <v>32878</v>
      </c>
      <c r="E58" s="122" t="n">
        <f aca="false">'6 - B1'!$E$58</f>
        <v>32731</v>
      </c>
      <c r="F58" s="122" t="n">
        <f aca="false">'6 - B1'!$F$58</f>
        <v>32349</v>
      </c>
      <c r="G58" s="122" t="n">
        <f aca="false">'6 - B1'!$G$58</f>
        <v>20297</v>
      </c>
      <c r="H58" s="122" t="n">
        <f aca="false">'6 - B1'!$H$58</f>
        <v>20964</v>
      </c>
      <c r="I58" s="122" t="n">
        <f aca="false">'6 - B1'!$I$58</f>
        <v>20399</v>
      </c>
      <c r="J58" s="122" t="n">
        <f aca="false">'6 - B1'!$J$58</f>
        <v>20516</v>
      </c>
      <c r="K58" s="122" t="n">
        <f aca="false">'6 - B1'!$K$58</f>
        <v>20586</v>
      </c>
      <c r="L58" s="122" t="n">
        <f aca="false">'6 - B1'!$L$58</f>
        <v>18805</v>
      </c>
      <c r="M58" s="122" t="n">
        <f aca="false">'6 - B1'!$M$58</f>
        <v>19755</v>
      </c>
      <c r="N58" s="122" t="n">
        <f aca="false">'6 - B1'!$N$58</f>
        <v>19605</v>
      </c>
      <c r="O58" s="122" t="n">
        <f aca="false">'6 - B1'!$O$58</f>
        <v>19787</v>
      </c>
      <c r="P58" s="122" t="n">
        <f aca="false">'6 - B1'!$P$58</f>
        <v>19480</v>
      </c>
    </row>
    <row r="59" customFormat="false" ht="15.8" hidden="false" customHeight="false" outlineLevel="0" collapsed="false">
      <c r="A59" s="122" t="n">
        <f aca="false">'6 - B1'!$A$59</f>
        <v>10</v>
      </c>
      <c r="B59" s="122" t="n">
        <f aca="false">'6 - B1'!$B$59</f>
        <v>26004</v>
      </c>
      <c r="C59" s="122" t="n">
        <f aca="false">'6 - B1'!$C$59</f>
        <v>27802</v>
      </c>
      <c r="D59" s="122" t="n">
        <f aca="false">'6 - B1'!$D$59</f>
        <v>27813</v>
      </c>
      <c r="E59" s="122" t="n">
        <f aca="false">'6 - B1'!$E$59</f>
        <v>27635</v>
      </c>
      <c r="F59" s="122" t="n">
        <f aca="false">'6 - B1'!$F$59</f>
        <v>27427</v>
      </c>
      <c r="G59" s="122" t="n">
        <f aca="false">'6 - B1'!$G$59</f>
        <v>16224</v>
      </c>
      <c r="H59" s="122" t="n">
        <f aca="false">'6 - B1'!$H$59</f>
        <v>16855</v>
      </c>
      <c r="I59" s="122" t="n">
        <f aca="false">'6 - B1'!$I$59</f>
        <v>16422</v>
      </c>
      <c r="J59" s="122" t="n">
        <f aca="false">'6 - B1'!$J$59</f>
        <v>16577</v>
      </c>
      <c r="K59" s="122" t="n">
        <f aca="false">'6 - B1'!$K$59</f>
        <v>16497</v>
      </c>
      <c r="L59" s="122" t="n">
        <f aca="false">'6 - B1'!$L$59</f>
        <v>15210</v>
      </c>
      <c r="M59" s="122" t="n">
        <f aca="false">'6 - B1'!$M$59</f>
        <v>15912</v>
      </c>
      <c r="N59" s="122" t="n">
        <f aca="false">'6 - B1'!$N$59</f>
        <v>15753</v>
      </c>
      <c r="O59" s="122" t="n">
        <f aca="false">'6 - B1'!$O$59</f>
        <v>15881</v>
      </c>
      <c r="P59" s="122" t="n">
        <f aca="false">'6 - B1'!$P$59</f>
        <v>15548</v>
      </c>
    </row>
    <row r="60" customFormat="false" ht="15.8" hidden="false" customHeight="false" outlineLevel="0" collapsed="false">
      <c r="A60" s="122" t="n">
        <f aca="false">'6 - B1'!$A$60</f>
        <v>11</v>
      </c>
      <c r="B60" s="122" t="n">
        <f aca="false">'6 - B1'!$B$60</f>
        <v>21787</v>
      </c>
      <c r="C60" s="122" t="n">
        <f aca="false">'6 - B1'!$C$60</f>
        <v>23373</v>
      </c>
      <c r="D60" s="122" t="n">
        <f aca="false">'6 - B1'!$D$60</f>
        <v>23371</v>
      </c>
      <c r="E60" s="122" t="n">
        <f aca="false">'6 - B1'!$E$60</f>
        <v>23172</v>
      </c>
      <c r="F60" s="122" t="n">
        <f aca="false">'6 - B1'!$F$60</f>
        <v>22930</v>
      </c>
      <c r="G60" s="122" t="n">
        <f aca="false">'6 - B1'!$G$60</f>
        <v>12946</v>
      </c>
      <c r="H60" s="122" t="n">
        <f aca="false">'6 - B1'!$H$60</f>
        <v>13488</v>
      </c>
      <c r="I60" s="122" t="n">
        <f aca="false">'6 - B1'!$I$60</f>
        <v>13079</v>
      </c>
      <c r="J60" s="122" t="n">
        <f aca="false">'6 - B1'!$J$60</f>
        <v>13247</v>
      </c>
      <c r="K60" s="122" t="n">
        <f aca="false">'6 - B1'!$K$60</f>
        <v>13212</v>
      </c>
      <c r="L60" s="122" t="n">
        <f aca="false">'6 - B1'!$L$60</f>
        <v>12182</v>
      </c>
      <c r="M60" s="122" t="n">
        <f aca="false">'6 - B1'!$M$60</f>
        <v>12725</v>
      </c>
      <c r="N60" s="122" t="n">
        <f aca="false">'6 - B1'!$N$60</f>
        <v>12592</v>
      </c>
      <c r="O60" s="122" t="n">
        <f aca="false">'6 - B1'!$O$60</f>
        <v>12734</v>
      </c>
      <c r="P60" s="122" t="n">
        <f aca="false">'6 - B1'!$P$60</f>
        <v>12308</v>
      </c>
    </row>
    <row r="61" customFormat="false" ht="15.8" hidden="false" customHeight="false" outlineLevel="0" collapsed="false">
      <c r="A61" s="122" t="n">
        <f aca="false">'6 - B1'!$A$61</f>
        <v>12</v>
      </c>
      <c r="B61" s="122" t="n">
        <f aca="false">'6 - B1'!$B$61</f>
        <v>17875</v>
      </c>
      <c r="C61" s="122" t="n">
        <f aca="false">'6 - B1'!$C$61</f>
        <v>19353</v>
      </c>
      <c r="D61" s="122" t="n">
        <f aca="false">'6 - B1'!$D$61</f>
        <v>19274</v>
      </c>
      <c r="E61" s="122" t="n">
        <f aca="false">'6 - B1'!$E$61</f>
        <v>19142</v>
      </c>
      <c r="F61" s="122" t="n">
        <f aca="false">'6 - B1'!$F$61</f>
        <v>19006</v>
      </c>
      <c r="G61" s="122" t="n">
        <f aca="false">'6 - B1'!$G$61</f>
        <v>10520</v>
      </c>
      <c r="H61" s="122" t="n">
        <f aca="false">'6 - B1'!$H$61</f>
        <v>10955</v>
      </c>
      <c r="I61" s="122" t="n">
        <f aca="false">'6 - B1'!$I$61</f>
        <v>10513</v>
      </c>
      <c r="J61" s="122" t="n">
        <f aca="false">'6 - B1'!$J$61</f>
        <v>10759</v>
      </c>
      <c r="K61" s="122" t="n">
        <f aca="false">'6 - B1'!$K$61</f>
        <v>10718</v>
      </c>
      <c r="L61" s="122" t="n">
        <f aca="false">'6 - B1'!$L$61</f>
        <v>9996</v>
      </c>
      <c r="M61" s="122" t="n">
        <f aca="false">'6 - B1'!$M$61</f>
        <v>10304</v>
      </c>
      <c r="N61" s="122" t="n">
        <f aca="false">'6 - B1'!$N$61</f>
        <v>10245</v>
      </c>
      <c r="O61" s="122" t="n">
        <f aca="false">'6 - B1'!$O$61</f>
        <v>10331</v>
      </c>
      <c r="P61" s="122" t="n">
        <f aca="false">'6 - B1'!$P$61</f>
        <v>10024</v>
      </c>
    </row>
    <row r="62" customFormat="false" ht="15.8" hidden="false" customHeight="false" outlineLevel="0" collapsed="false">
      <c r="A62" s="122" t="n">
        <f aca="false">'6 - B1'!$A$62</f>
        <v>13</v>
      </c>
      <c r="B62" s="122" t="n">
        <f aca="false">'6 - B1'!$B$62</f>
        <v>14542</v>
      </c>
      <c r="C62" s="122" t="n">
        <f aca="false">'6 - B1'!$C$62</f>
        <v>15773</v>
      </c>
      <c r="D62" s="122" t="n">
        <f aca="false">'6 - B1'!$D$62</f>
        <v>15774</v>
      </c>
      <c r="E62" s="122" t="n">
        <f aca="false">'6 - B1'!$E$62</f>
        <v>15562</v>
      </c>
      <c r="F62" s="122" t="n">
        <f aca="false">'6 - B1'!$F$62</f>
        <v>15566</v>
      </c>
      <c r="G62" s="122" t="n">
        <f aca="false">'6 - B1'!$G$62</f>
        <v>8652</v>
      </c>
      <c r="H62" s="122" t="n">
        <f aca="false">'6 - B1'!$H$62</f>
        <v>8885</v>
      </c>
      <c r="I62" s="122" t="n">
        <f aca="false">'6 - B1'!$I$62</f>
        <v>8628</v>
      </c>
      <c r="J62" s="122" t="n">
        <f aca="false">'6 - B1'!$J$62</f>
        <v>8836</v>
      </c>
      <c r="K62" s="122" t="n">
        <f aca="false">'6 - B1'!$K$62</f>
        <v>8798</v>
      </c>
      <c r="L62" s="122" t="n">
        <f aca="false">'6 - B1'!$L$62</f>
        <v>8154</v>
      </c>
      <c r="M62" s="122" t="n">
        <f aca="false">'6 - B1'!$M$62</f>
        <v>8488</v>
      </c>
      <c r="N62" s="122" t="n">
        <f aca="false">'6 - B1'!$N$62</f>
        <v>8383</v>
      </c>
      <c r="O62" s="122" t="n">
        <f aca="false">'6 - B1'!$O$62</f>
        <v>8478</v>
      </c>
      <c r="P62" s="122" t="n">
        <f aca="false">'6 - B1'!$P$62</f>
        <v>8259</v>
      </c>
    </row>
    <row r="63" customFormat="false" ht="15.8" hidden="false" customHeight="false" outlineLevel="0" collapsed="false">
      <c r="A63" s="122" t="n">
        <f aca="false">'6 - B1'!$A$63</f>
        <v>14</v>
      </c>
      <c r="B63" s="122" t="n">
        <f aca="false">'6 - B1'!$B$63</f>
        <v>11660</v>
      </c>
      <c r="C63" s="122" t="n">
        <f aca="false">'6 - B1'!$C$63</f>
        <v>12639</v>
      </c>
      <c r="D63" s="122" t="n">
        <f aca="false">'6 - B1'!$D$63</f>
        <v>12567</v>
      </c>
      <c r="E63" s="122" t="n">
        <f aca="false">'6 - B1'!$E$63</f>
        <v>12452</v>
      </c>
      <c r="F63" s="122" t="n">
        <f aca="false">'6 - B1'!$F$63</f>
        <v>12403</v>
      </c>
      <c r="G63" s="122" t="n">
        <f aca="false">'6 - B1'!$G$63</f>
        <v>7252</v>
      </c>
      <c r="H63" s="122" t="n">
        <f aca="false">'6 - B1'!$H$63</f>
        <v>7357</v>
      </c>
      <c r="I63" s="122" t="n">
        <f aca="false">'6 - B1'!$I$63</f>
        <v>7090</v>
      </c>
      <c r="J63" s="122" t="n">
        <f aca="false">'6 - B1'!$J$63</f>
        <v>7375</v>
      </c>
      <c r="K63" s="122" t="n">
        <f aca="false">'6 - B1'!$K$63</f>
        <v>7357</v>
      </c>
      <c r="L63" s="122" t="n">
        <f aca="false">'6 - B1'!$L$63</f>
        <v>6800</v>
      </c>
      <c r="M63" s="122" t="n">
        <f aca="false">'6 - B1'!$M$63</f>
        <v>7093</v>
      </c>
      <c r="N63" s="122" t="n">
        <f aca="false">'6 - B1'!$N$63</f>
        <v>7006</v>
      </c>
      <c r="O63" s="122" t="n">
        <f aca="false">'6 - B1'!$O$63</f>
        <v>7050</v>
      </c>
      <c r="P63" s="122" t="n">
        <f aca="false">'6 - B1'!$P$63</f>
        <v>6873</v>
      </c>
    </row>
    <row r="64" customFormat="false" ht="15.8" hidden="false" customHeight="false" outlineLevel="0" collapsed="false">
      <c r="A64" s="122" t="n">
        <f aca="false">'6 - B1'!$A$64</f>
        <v>15</v>
      </c>
      <c r="B64" s="122" t="n">
        <f aca="false">'6 - B1'!$B$64</f>
        <v>9114</v>
      </c>
      <c r="C64" s="122" t="n">
        <f aca="false">'6 - B1'!$C$64</f>
        <v>9941</v>
      </c>
      <c r="D64" s="122" t="n">
        <f aca="false">'6 - B1'!$D$64</f>
        <v>9882</v>
      </c>
      <c r="E64" s="122" t="n">
        <f aca="false">'6 - B1'!$E$64</f>
        <v>9709</v>
      </c>
      <c r="F64" s="122" t="n">
        <f aca="false">'6 - B1'!$F$64</f>
        <v>9701</v>
      </c>
      <c r="G64" s="122" t="n">
        <f aca="false">'6 - B1'!$G$64</f>
        <v>6112</v>
      </c>
      <c r="H64" s="122" t="n">
        <f aca="false">'6 - B1'!$H$64</f>
        <v>6162</v>
      </c>
      <c r="I64" s="122" t="n">
        <f aca="false">'6 - B1'!$I$64</f>
        <v>6017</v>
      </c>
      <c r="J64" s="122" t="n">
        <f aca="false">'6 - B1'!$J$64</f>
        <v>6229</v>
      </c>
      <c r="K64" s="122" t="n">
        <f aca="false">'6 - B1'!$K$64</f>
        <v>6203</v>
      </c>
      <c r="L64" s="122" t="n">
        <f aca="false">'6 - B1'!$L$64</f>
        <v>5768</v>
      </c>
      <c r="M64" s="122" t="n">
        <f aca="false">'6 - B1'!$M$64</f>
        <v>5971</v>
      </c>
      <c r="N64" s="122" t="n">
        <f aca="false">'6 - B1'!$N$64</f>
        <v>5927</v>
      </c>
      <c r="O64" s="122" t="n">
        <f aca="false">'6 - B1'!$O$64</f>
        <v>5962</v>
      </c>
      <c r="P64" s="122" t="n">
        <f aca="false">'6 - B1'!$P$64</f>
        <v>5781</v>
      </c>
    </row>
    <row r="65" customFormat="false" ht="15.8" hidden="false" customHeight="false" outlineLevel="0" collapsed="false">
      <c r="A65" s="122" t="n">
        <f aca="false">'6 - B1'!$A$65</f>
        <v>16</v>
      </c>
      <c r="B65" s="122" t="n">
        <f aca="false">'6 - B1'!$B$65</f>
        <v>7062</v>
      </c>
      <c r="C65" s="122" t="n">
        <f aca="false">'6 - B1'!$C$65</f>
        <v>7694</v>
      </c>
      <c r="D65" s="122" t="n">
        <f aca="false">'6 - B1'!$D$65</f>
        <v>7682</v>
      </c>
      <c r="E65" s="122" t="n">
        <f aca="false">'6 - B1'!$E$65</f>
        <v>7426</v>
      </c>
      <c r="F65" s="122" t="n">
        <f aca="false">'6 - B1'!$F$65</f>
        <v>7485</v>
      </c>
      <c r="G65" s="122" t="n">
        <f aca="false">'6 - B1'!$G$65</f>
        <v>5255</v>
      </c>
      <c r="H65" s="122" t="n">
        <f aca="false">'6 - B1'!$H$65</f>
        <v>5297</v>
      </c>
      <c r="I65" s="122" t="n">
        <f aca="false">'6 - B1'!$I$65</f>
        <v>5110</v>
      </c>
      <c r="J65" s="122" t="n">
        <f aca="false">'6 - B1'!$J$65</f>
        <v>5302</v>
      </c>
      <c r="K65" s="122" t="n">
        <f aca="false">'6 - B1'!$K$65</f>
        <v>5289</v>
      </c>
      <c r="L65" s="122" t="n">
        <f aca="false">'6 - B1'!$L$65</f>
        <v>4988</v>
      </c>
      <c r="M65" s="122" t="n">
        <f aca="false">'6 - B1'!$M$65</f>
        <v>5145</v>
      </c>
      <c r="N65" s="122" t="n">
        <f aca="false">'6 - B1'!$N$65</f>
        <v>5042</v>
      </c>
      <c r="O65" s="122" t="n">
        <f aca="false">'6 - B1'!$O$65</f>
        <v>5076</v>
      </c>
      <c r="P65" s="122" t="n">
        <f aca="false">'6 - B1'!$P$65</f>
        <v>4928</v>
      </c>
    </row>
    <row r="66" customFormat="false" ht="15.8" hidden="false" customHeight="false" outlineLevel="0" collapsed="false">
      <c r="A66" s="122" t="n">
        <f aca="false">'6 - B1'!$A$66</f>
        <v>17</v>
      </c>
      <c r="B66" s="122" t="n">
        <f aca="false">'6 - B1'!$B$66</f>
        <v>5386</v>
      </c>
      <c r="C66" s="122" t="n">
        <f aca="false">'6 - B1'!$C$66</f>
        <v>5910</v>
      </c>
      <c r="D66" s="122" t="n">
        <f aca="false">'6 - B1'!$D$66</f>
        <v>5909</v>
      </c>
      <c r="E66" s="122" t="n">
        <f aca="false">'6 - B1'!$E$66</f>
        <v>5640</v>
      </c>
      <c r="F66" s="122" t="n">
        <f aca="false">'6 - B1'!$F$66</f>
        <v>5698</v>
      </c>
      <c r="G66" s="122" t="n">
        <f aca="false">'6 - B1'!$G$66</f>
        <v>4528</v>
      </c>
      <c r="H66" s="122" t="n">
        <f aca="false">'6 - B1'!$H$66</f>
        <v>4590</v>
      </c>
      <c r="I66" s="122" t="n">
        <f aca="false">'6 - B1'!$I$66</f>
        <v>4442</v>
      </c>
      <c r="J66" s="122" t="n">
        <f aca="false">'6 - B1'!$J$66</f>
        <v>4576</v>
      </c>
      <c r="K66" s="122" t="n">
        <f aca="false">'6 - B1'!$K$66</f>
        <v>4562</v>
      </c>
      <c r="L66" s="122" t="n">
        <f aca="false">'6 - B1'!$L$66</f>
        <v>4285</v>
      </c>
      <c r="M66" s="122" t="n">
        <f aca="false">'6 - B1'!$M$66</f>
        <v>4466</v>
      </c>
      <c r="N66" s="122" t="n">
        <f aca="false">'6 - B1'!$N$66</f>
        <v>4373</v>
      </c>
      <c r="O66" s="122" t="n">
        <f aca="false">'6 - B1'!$O$66</f>
        <v>4357</v>
      </c>
      <c r="P66" s="122" t="n">
        <f aca="false">'6 - B1'!$P$66</f>
        <v>4289</v>
      </c>
    </row>
    <row r="67" customFormat="false" ht="15.8" hidden="false" customHeight="false" outlineLevel="0" collapsed="false">
      <c r="A67" s="122" t="n">
        <f aca="false">'6 - B1'!$A$67</f>
        <v>18</v>
      </c>
      <c r="B67" s="122" t="n">
        <f aca="false">'6 - B1'!$B$67</f>
        <v>4142</v>
      </c>
      <c r="C67" s="122" t="n">
        <f aca="false">'6 - B1'!$C$67</f>
        <v>4444</v>
      </c>
      <c r="D67" s="122" t="n">
        <f aca="false">'6 - B1'!$D$67</f>
        <v>4538</v>
      </c>
      <c r="E67" s="122" t="n">
        <f aca="false">'6 - B1'!$E$67</f>
        <v>4272</v>
      </c>
      <c r="F67" s="122" t="n">
        <f aca="false">'6 - B1'!$F$67</f>
        <v>4234</v>
      </c>
      <c r="G67" s="122" t="n">
        <f aca="false">'6 - B1'!$G$67</f>
        <v>3986</v>
      </c>
      <c r="H67" s="122" t="n">
        <f aca="false">'6 - B1'!$H$67</f>
        <v>4022</v>
      </c>
      <c r="I67" s="122" t="n">
        <f aca="false">'6 - B1'!$I$67</f>
        <v>3948</v>
      </c>
      <c r="J67" s="122" t="n">
        <f aca="false">'6 - B1'!$J$67</f>
        <v>4047</v>
      </c>
      <c r="K67" s="122" t="n">
        <f aca="false">'6 - B1'!$K$67</f>
        <v>3972</v>
      </c>
      <c r="L67" s="122" t="n">
        <f aca="false">'6 - B1'!$L$67</f>
        <v>3770</v>
      </c>
      <c r="M67" s="122" t="n">
        <f aca="false">'6 - B1'!$M$67</f>
        <v>3941</v>
      </c>
      <c r="N67" s="122" t="n">
        <f aca="false">'6 - B1'!$N$67</f>
        <v>3897</v>
      </c>
      <c r="O67" s="122" t="n">
        <f aca="false">'6 - B1'!$O$67</f>
        <v>3806</v>
      </c>
      <c r="P67" s="122" t="n">
        <f aca="false">'6 - B1'!$P$67</f>
        <v>3752</v>
      </c>
    </row>
    <row r="68" customFormat="false" ht="15.8" hidden="false" customHeight="false" outlineLevel="0" collapsed="false">
      <c r="A68" s="122" t="n">
        <f aca="false">'6 - B1'!$A$68</f>
        <v>19</v>
      </c>
      <c r="B68" s="122" t="n">
        <f aca="false">'6 - B1'!$B$68</f>
        <v>3183</v>
      </c>
      <c r="C68" s="122" t="n">
        <f aca="false">'6 - B1'!$C$68</f>
        <v>3376</v>
      </c>
      <c r="D68" s="122" t="n">
        <f aca="false">'6 - B1'!$D$68</f>
        <v>3435</v>
      </c>
      <c r="E68" s="122" t="n">
        <f aca="false">'6 - B1'!$E$68</f>
        <v>3299</v>
      </c>
      <c r="F68" s="122" t="n">
        <f aca="false">'6 - B1'!$F$68</f>
        <v>3199</v>
      </c>
      <c r="G68" s="122" t="n">
        <f aca="false">'6 - B1'!$G$68</f>
        <v>3507</v>
      </c>
      <c r="H68" s="122" t="n">
        <f aca="false">'6 - B1'!$H$68</f>
        <v>3560</v>
      </c>
      <c r="I68" s="122" t="n">
        <f aca="false">'6 - B1'!$I$68</f>
        <v>3513</v>
      </c>
      <c r="J68" s="122" t="n">
        <f aca="false">'6 - B1'!$J$68</f>
        <v>3608</v>
      </c>
      <c r="K68" s="122" t="n">
        <f aca="false">'6 - B1'!$K$68</f>
        <v>3481</v>
      </c>
      <c r="L68" s="122" t="n">
        <f aca="false">'6 - B1'!$L$68</f>
        <v>3320</v>
      </c>
      <c r="M68" s="122" t="n">
        <f aca="false">'6 - B1'!$M$68</f>
        <v>3511</v>
      </c>
      <c r="N68" s="122" t="n">
        <f aca="false">'6 - B1'!$N$68</f>
        <v>3460</v>
      </c>
      <c r="O68" s="122" t="n">
        <f aca="false">'6 - B1'!$O$68</f>
        <v>3351</v>
      </c>
      <c r="P68" s="122" t="n">
        <f aca="false">'6 - B1'!$P$68</f>
        <v>3335</v>
      </c>
    </row>
    <row r="69" customFormat="false" ht="15.8" hidden="false" customHeight="false" outlineLevel="0" collapsed="false">
      <c r="A69" s="122" t="n">
        <f aca="false">'6 - B1'!$A$69</f>
        <v>20</v>
      </c>
      <c r="B69" s="122" t="n">
        <f aca="false">'6 - B1'!$B$69</f>
        <v>2478</v>
      </c>
      <c r="C69" s="122" t="n">
        <f aca="false">'6 - B1'!$C$69</f>
        <v>2570</v>
      </c>
      <c r="D69" s="122" t="n">
        <f aca="false">'6 - B1'!$D$69</f>
        <v>2635</v>
      </c>
      <c r="E69" s="122" t="n">
        <f aca="false">'6 - B1'!$E$69</f>
        <v>2483</v>
      </c>
      <c r="F69" s="122" t="n">
        <f aca="false">'6 - B1'!$F$69</f>
        <v>2430</v>
      </c>
      <c r="G69" s="122" t="n">
        <f aca="false">'6 - B1'!$G$69</f>
        <v>3160</v>
      </c>
      <c r="H69" s="122" t="n">
        <f aca="false">'6 - B1'!$H$69</f>
        <v>3179</v>
      </c>
      <c r="I69" s="122" t="n">
        <f aca="false">'6 - B1'!$I$69</f>
        <v>3159</v>
      </c>
      <c r="J69" s="122" t="n">
        <f aca="false">'6 - B1'!$J$69</f>
        <v>3222</v>
      </c>
      <c r="K69" s="122" t="n">
        <f aca="false">'6 - B1'!$K$69</f>
        <v>3112</v>
      </c>
      <c r="L69" s="122" t="n">
        <f aca="false">'6 - B1'!$L$69</f>
        <v>2954</v>
      </c>
      <c r="M69" s="122" t="n">
        <f aca="false">'6 - B1'!$M$69</f>
        <v>3133</v>
      </c>
      <c r="N69" s="122" t="n">
        <f aca="false">'6 - B1'!$N$69</f>
        <v>3113</v>
      </c>
      <c r="O69" s="122" t="n">
        <f aca="false">'6 - B1'!$O$69</f>
        <v>3003</v>
      </c>
      <c r="P69" s="122" t="n">
        <f aca="false">'6 - B1'!$P$69</f>
        <v>2977</v>
      </c>
    </row>
    <row r="70" customFormat="false" ht="15.8" hidden="false" customHeight="false" outlineLevel="0" collapsed="false">
      <c r="A70" s="122" t="n">
        <f aca="false">'6 - B1'!$A$70</f>
        <v>21</v>
      </c>
      <c r="B70" s="122" t="n">
        <f aca="false">'6 - B1'!$B$70</f>
        <v>1917</v>
      </c>
      <c r="C70" s="122" t="n">
        <f aca="false">'6 - B1'!$C$70</f>
        <v>1944</v>
      </c>
      <c r="D70" s="122" t="n">
        <f aca="false">'6 - B1'!$D$70</f>
        <v>2031</v>
      </c>
      <c r="E70" s="122" t="n">
        <f aca="false">'6 - B1'!$E$70</f>
        <v>1916</v>
      </c>
      <c r="F70" s="122" t="n">
        <f aca="false">'6 - B1'!$F$70</f>
        <v>1828</v>
      </c>
      <c r="G70" s="122" t="n">
        <f aca="false">'6 - B1'!$G$70</f>
        <v>2868</v>
      </c>
      <c r="H70" s="122" t="n">
        <f aca="false">'6 - B1'!$H$70</f>
        <v>2904</v>
      </c>
      <c r="I70" s="122" t="n">
        <f aca="false">'6 - B1'!$I$70</f>
        <v>2876</v>
      </c>
      <c r="J70" s="122" t="n">
        <f aca="false">'6 - B1'!$J$70</f>
        <v>2918</v>
      </c>
      <c r="K70" s="122" t="n">
        <f aca="false">'6 - B1'!$K$70</f>
        <v>2825</v>
      </c>
      <c r="L70" s="122" t="n">
        <f aca="false">'6 - B1'!$L$70</f>
        <v>2697</v>
      </c>
      <c r="M70" s="122" t="n">
        <f aca="false">'6 - B1'!$M$70</f>
        <v>2852</v>
      </c>
      <c r="N70" s="122" t="n">
        <f aca="false">'6 - B1'!$N$70</f>
        <v>2841</v>
      </c>
      <c r="O70" s="122" t="n">
        <f aca="false">'6 - B1'!$O$70</f>
        <v>2723</v>
      </c>
      <c r="P70" s="122" t="n">
        <f aca="false">'6 - B1'!$P$70</f>
        <v>2692</v>
      </c>
    </row>
    <row r="71" customFormat="false" ht="15.8" hidden="false" customHeight="false" outlineLevel="0" collapsed="false">
      <c r="A71" s="122" t="n">
        <f aca="false">'6 - B1'!$A$71</f>
        <v>22</v>
      </c>
      <c r="B71" s="122" t="n">
        <f aca="false">'6 - B1'!$B$71</f>
        <v>1468</v>
      </c>
      <c r="C71" s="122" t="n">
        <f aca="false">'6 - B1'!$C$71</f>
        <v>1488</v>
      </c>
      <c r="D71" s="122" t="n">
        <f aca="false">'6 - B1'!$D$71</f>
        <v>1571</v>
      </c>
      <c r="E71" s="122" t="n">
        <f aca="false">'6 - B1'!$E$71</f>
        <v>1492</v>
      </c>
      <c r="F71" s="122" t="n">
        <f aca="false">'6 - B1'!$F$71</f>
        <v>1409</v>
      </c>
      <c r="G71" s="122" t="n">
        <f aca="false">'6 - B1'!$G$71</f>
        <v>2625</v>
      </c>
      <c r="H71" s="122" t="n">
        <f aca="false">'6 - B1'!$H$71</f>
        <v>2641</v>
      </c>
      <c r="I71" s="122" t="n">
        <f aca="false">'6 - B1'!$I$71</f>
        <v>2610</v>
      </c>
      <c r="J71" s="122" t="n">
        <f aca="false">'6 - B1'!$J$71</f>
        <v>2669</v>
      </c>
      <c r="K71" s="122" t="n">
        <f aca="false">'6 - B1'!$K$71</f>
        <v>2549</v>
      </c>
      <c r="L71" s="122" t="n">
        <f aca="false">'6 - B1'!$L$71</f>
        <v>2476</v>
      </c>
      <c r="M71" s="122" t="n">
        <f aca="false">'6 - B1'!$M$71</f>
        <v>2578</v>
      </c>
      <c r="N71" s="122" t="n">
        <f aca="false">'6 - B1'!$N$71</f>
        <v>2610</v>
      </c>
      <c r="O71" s="122" t="n">
        <f aca="false">'6 - B1'!$O$71</f>
        <v>2479</v>
      </c>
      <c r="P71" s="122" t="n">
        <f aca="false">'6 - B1'!$P$71</f>
        <v>2441</v>
      </c>
    </row>
    <row r="72" customFormat="false" ht="15.8" hidden="false" customHeight="false" outlineLevel="0" collapsed="false">
      <c r="A72" s="122" t="n">
        <f aca="false">'6 - B1'!$A$72</f>
        <v>23</v>
      </c>
      <c r="B72" s="122" t="n">
        <f aca="false">'6 - B1'!$B$72</f>
        <v>1133</v>
      </c>
      <c r="C72" s="122" t="n">
        <f aca="false">'6 - B1'!$C$72</f>
        <v>1135</v>
      </c>
      <c r="D72" s="122" t="n">
        <f aca="false">'6 - B1'!$D$72</f>
        <v>1188</v>
      </c>
      <c r="E72" s="122" t="n">
        <f aca="false">'6 - B1'!$E$72</f>
        <v>1152</v>
      </c>
      <c r="F72" s="122" t="n">
        <f aca="false">'6 - B1'!$F$72</f>
        <v>1063</v>
      </c>
      <c r="G72" s="122" t="n">
        <f aca="false">'6 - B1'!$G$72</f>
        <v>2319</v>
      </c>
      <c r="H72" s="122" t="n">
        <f aca="false">'6 - B1'!$H$72</f>
        <v>2356</v>
      </c>
      <c r="I72" s="122" t="n">
        <f aca="false">'6 - B1'!$I$72</f>
        <v>2337</v>
      </c>
      <c r="J72" s="122" t="n">
        <f aca="false">'6 - B1'!$J$72</f>
        <v>2372</v>
      </c>
      <c r="K72" s="122" t="n">
        <f aca="false">'6 - B1'!$K$72</f>
        <v>2277</v>
      </c>
      <c r="L72" s="122" t="n">
        <f aca="false">'6 - B1'!$L$72</f>
        <v>2216</v>
      </c>
      <c r="M72" s="122" t="n">
        <f aca="false">'6 - B1'!$M$72</f>
        <v>2302</v>
      </c>
      <c r="N72" s="122" t="n">
        <f aca="false">'6 - B1'!$N$72</f>
        <v>2326</v>
      </c>
      <c r="O72" s="122" t="n">
        <f aca="false">'6 - B1'!$O$72</f>
        <v>2173</v>
      </c>
      <c r="P72" s="122" t="n">
        <f aca="false">'6 - B1'!$P$72</f>
        <v>2152</v>
      </c>
    </row>
    <row r="73" customFormat="false" ht="15.8" hidden="false" customHeight="false" outlineLevel="0" collapsed="false">
      <c r="A73" s="122" t="n">
        <f aca="false">'6 - B1'!$A$73</f>
        <v>24</v>
      </c>
      <c r="B73" s="122" t="n">
        <f aca="false">'6 - B1'!$B$73</f>
        <v>874</v>
      </c>
      <c r="C73" s="122" t="n">
        <f aca="false">'6 - B1'!$C$73</f>
        <v>868</v>
      </c>
      <c r="D73" s="122" t="n">
        <f aca="false">'6 - B1'!$D$73</f>
        <v>892</v>
      </c>
      <c r="E73" s="122" t="n">
        <f aca="false">'6 - B1'!$E$73</f>
        <v>902</v>
      </c>
      <c r="F73" s="122" t="n">
        <f aca="false">'6 - B1'!$F$73</f>
        <v>773</v>
      </c>
      <c r="G73" s="122" t="n">
        <f aca="false">'6 - B1'!$G$73</f>
        <v>1976</v>
      </c>
      <c r="H73" s="122" t="n">
        <f aca="false">'6 - B1'!$H$73</f>
        <v>2002</v>
      </c>
      <c r="I73" s="122" t="n">
        <f aca="false">'6 - B1'!$I$73</f>
        <v>1977</v>
      </c>
      <c r="J73" s="122" t="n">
        <f aca="false">'6 - B1'!$J$73</f>
        <v>2040</v>
      </c>
      <c r="K73" s="122" t="n">
        <f aca="false">'6 - B1'!$K$73</f>
        <v>1938</v>
      </c>
      <c r="L73" s="122" t="n">
        <f aca="false">'6 - B1'!$L$73</f>
        <v>1894</v>
      </c>
      <c r="M73" s="122" t="n">
        <f aca="false">'6 - B1'!$M$73</f>
        <v>1908</v>
      </c>
      <c r="N73" s="122" t="n">
        <f aca="false">'6 - B1'!$N$73</f>
        <v>1970</v>
      </c>
      <c r="O73" s="122" t="n">
        <f aca="false">'6 - B1'!$O$73</f>
        <v>1854</v>
      </c>
      <c r="P73" s="122" t="n">
        <f aca="false">'6 - B1'!$P$73</f>
        <v>1818</v>
      </c>
    </row>
    <row r="74" customFormat="false" ht="15.8" hidden="false" customHeight="false" outlineLevel="0" collapsed="false">
      <c r="A74" s="122" t="n">
        <f aca="false">'6 - B1'!$A$74</f>
        <v>25</v>
      </c>
      <c r="B74" s="122" t="n">
        <f aca="false">'6 - B1'!$B$74</f>
        <v>664</v>
      </c>
      <c r="C74" s="122" t="n">
        <f aca="false">'6 - B1'!$C$74</f>
        <v>658</v>
      </c>
      <c r="D74" s="122" t="n">
        <f aca="false">'6 - B1'!$D$74</f>
        <v>677</v>
      </c>
      <c r="E74" s="122" t="n">
        <f aca="false">'6 - B1'!$E$74</f>
        <v>670</v>
      </c>
      <c r="F74" s="122" t="n">
        <f aca="false">'6 - B1'!$F$74</f>
        <v>586</v>
      </c>
      <c r="G74" s="122" t="n">
        <f aca="false">'6 - B1'!$G$74</f>
        <v>1553</v>
      </c>
      <c r="H74" s="122" t="n">
        <f aca="false">'6 - B1'!$H$74</f>
        <v>1563</v>
      </c>
      <c r="I74" s="122" t="n">
        <f aca="false">'6 - B1'!$I$74</f>
        <v>1540</v>
      </c>
      <c r="J74" s="122" t="n">
        <f aca="false">'6 - B1'!$J$74</f>
        <v>1620</v>
      </c>
      <c r="K74" s="122" t="n">
        <f aca="false">'6 - B1'!$K$74</f>
        <v>1480</v>
      </c>
      <c r="L74" s="122" t="n">
        <f aca="false">'6 - B1'!$L$74</f>
        <v>1474</v>
      </c>
      <c r="M74" s="122" t="n">
        <f aca="false">'6 - B1'!$M$74</f>
        <v>1477</v>
      </c>
      <c r="N74" s="122" t="n">
        <f aca="false">'6 - B1'!$N$74</f>
        <v>1550</v>
      </c>
      <c r="O74" s="122" t="n">
        <f aca="false">'6 - B1'!$O$74</f>
        <v>1434</v>
      </c>
      <c r="P74" s="122" t="n">
        <f aca="false">'6 - B1'!$P$74</f>
        <v>1431</v>
      </c>
    </row>
    <row r="75" customFormat="false" ht="15.8" hidden="false" customHeight="false" outlineLevel="0" collapsed="false">
      <c r="A75" s="122" t="n">
        <f aca="false">'6 - B1'!$A$75</f>
        <v>26</v>
      </c>
      <c r="B75" s="122" t="n">
        <f aca="false">'6 - B1'!$B$75</f>
        <v>496</v>
      </c>
      <c r="C75" s="122" t="n">
        <f aca="false">'6 - B1'!$C$75</f>
        <v>507</v>
      </c>
      <c r="D75" s="122" t="n">
        <f aca="false">'6 - B1'!$D$75</f>
        <v>514</v>
      </c>
      <c r="E75" s="122" t="n">
        <f aca="false">'6 - B1'!$E$75</f>
        <v>489</v>
      </c>
      <c r="F75" s="122" t="n">
        <f aca="false">'6 - B1'!$F$75</f>
        <v>433</v>
      </c>
      <c r="G75" s="122" t="n">
        <f aca="false">'6 - B1'!$G$75</f>
        <v>1105</v>
      </c>
      <c r="H75" s="122" t="n">
        <f aca="false">'6 - B1'!$H$75</f>
        <v>1165</v>
      </c>
      <c r="I75" s="122" t="n">
        <f aca="false">'6 - B1'!$I$75</f>
        <v>1134</v>
      </c>
      <c r="J75" s="122" t="n">
        <f aca="false">'6 - B1'!$J$75</f>
        <v>1177</v>
      </c>
      <c r="K75" s="122" t="n">
        <f aca="false">'6 - B1'!$K$75</f>
        <v>1034</v>
      </c>
      <c r="L75" s="122" t="n">
        <f aca="false">'6 - B1'!$L$75</f>
        <v>1079</v>
      </c>
      <c r="M75" s="122" t="n">
        <f aca="false">'6 - B1'!$M$75</f>
        <v>1076</v>
      </c>
      <c r="N75" s="122" t="n">
        <f aca="false">'6 - B1'!$N$75</f>
        <v>1130</v>
      </c>
      <c r="O75" s="122" t="n">
        <f aca="false">'6 - B1'!$O$75</f>
        <v>1000</v>
      </c>
      <c r="P75" s="122" t="n">
        <f aca="false">'6 - B1'!$P$75</f>
        <v>1004</v>
      </c>
    </row>
    <row r="76" customFormat="false" ht="15.8" hidden="false" customHeight="false" outlineLevel="0" collapsed="false">
      <c r="A76" s="122" t="n">
        <f aca="false">'6 - B1'!$A$76</f>
        <v>27</v>
      </c>
      <c r="B76" s="122" t="n">
        <f aca="false">'6 - B1'!$B$76</f>
        <v>377</v>
      </c>
      <c r="C76" s="122" t="n">
        <f aca="false">'6 - B1'!$C$76</f>
        <v>368</v>
      </c>
      <c r="D76" s="122" t="n">
        <f aca="false">'6 - B1'!$D$76</f>
        <v>371</v>
      </c>
      <c r="E76" s="122" t="n">
        <f aca="false">'6 - B1'!$E$76</f>
        <v>367</v>
      </c>
      <c r="F76" s="122" t="n">
        <f aca="false">'6 - B1'!$F$76</f>
        <v>314</v>
      </c>
      <c r="G76" s="122" t="n">
        <f aca="false">'6 - B1'!$G$76</f>
        <v>758</v>
      </c>
      <c r="H76" s="122" t="n">
        <f aca="false">'6 - B1'!$H$76</f>
        <v>805</v>
      </c>
      <c r="I76" s="122" t="n">
        <f aca="false">'6 - B1'!$I$76</f>
        <v>804</v>
      </c>
      <c r="J76" s="122" t="n">
        <f aca="false">'6 - B1'!$J$76</f>
        <v>826</v>
      </c>
      <c r="K76" s="122" t="n">
        <f aca="false">'6 - B1'!$K$76</f>
        <v>700</v>
      </c>
      <c r="L76" s="122" t="n">
        <f aca="false">'6 - B1'!$L$76</f>
        <v>730</v>
      </c>
      <c r="M76" s="122" t="n">
        <f aca="false">'6 - B1'!$M$76</f>
        <v>736</v>
      </c>
      <c r="N76" s="122" t="n">
        <f aca="false">'6 - B1'!$N$76</f>
        <v>809</v>
      </c>
      <c r="O76" s="122" t="n">
        <f aca="false">'6 - B1'!$O$76</f>
        <v>695</v>
      </c>
      <c r="P76" s="122" t="n">
        <f aca="false">'6 - B1'!$P$76</f>
        <v>702</v>
      </c>
    </row>
    <row r="77" customFormat="false" ht="15.8" hidden="false" customHeight="false" outlineLevel="0" collapsed="false">
      <c r="A77" s="122" t="n">
        <f aca="false">'6 - B1'!$A$77</f>
        <v>28</v>
      </c>
      <c r="B77" s="122" t="n">
        <f aca="false">'6 - B1'!$B$77</f>
        <v>271</v>
      </c>
      <c r="C77" s="122" t="n">
        <f aca="false">'6 - B1'!$C$77</f>
        <v>266</v>
      </c>
      <c r="D77" s="122" t="n">
        <f aca="false">'6 - B1'!$D$77</f>
        <v>276</v>
      </c>
      <c r="E77" s="122" t="n">
        <f aca="false">'6 - B1'!$E$77</f>
        <v>260</v>
      </c>
      <c r="F77" s="122" t="n">
        <f aca="false">'6 - B1'!$F$77</f>
        <v>204</v>
      </c>
      <c r="G77" s="122" t="n">
        <f aca="false">'6 - B1'!$G$77</f>
        <v>528</v>
      </c>
      <c r="H77" s="122" t="n">
        <f aca="false">'6 - B1'!$H$77</f>
        <v>574</v>
      </c>
      <c r="I77" s="122" t="n">
        <f aca="false">'6 - B1'!$I$77</f>
        <v>561</v>
      </c>
      <c r="J77" s="122" t="n">
        <f aca="false">'6 - B1'!$J$77</f>
        <v>575</v>
      </c>
      <c r="K77" s="122" t="n">
        <f aca="false">'6 - B1'!$K$77</f>
        <v>494</v>
      </c>
      <c r="L77" s="122" t="n">
        <f aca="false">'6 - B1'!$L$77</f>
        <v>530</v>
      </c>
      <c r="M77" s="122" t="n">
        <f aca="false">'6 - B1'!$M$77</f>
        <v>501</v>
      </c>
      <c r="N77" s="122" t="n">
        <f aca="false">'6 - B1'!$N$77</f>
        <v>553</v>
      </c>
      <c r="O77" s="122" t="n">
        <f aca="false">'6 - B1'!$O$77</f>
        <v>512</v>
      </c>
      <c r="P77" s="122" t="n">
        <f aca="false">'6 - B1'!$P$77</f>
        <v>483</v>
      </c>
    </row>
    <row r="78" customFormat="false" ht="15.8" hidden="false" customHeight="false" outlineLevel="0" collapsed="false">
      <c r="A78" s="122" t="n">
        <f aca="false">'6 - B1'!$A$78</f>
        <v>29</v>
      </c>
      <c r="B78" s="122" t="n">
        <f aca="false">'6 - B1'!$B$78</f>
        <v>205</v>
      </c>
      <c r="C78" s="122" t="n">
        <f aca="false">'6 - B1'!$C$78</f>
        <v>190</v>
      </c>
      <c r="D78" s="122" t="n">
        <f aca="false">'6 - B1'!$D$78</f>
        <v>204</v>
      </c>
      <c r="E78" s="122" t="n">
        <f aca="false">'6 - B1'!$E$78</f>
        <v>187</v>
      </c>
      <c r="F78" s="122" t="n">
        <f aca="false">'6 - B1'!$F$78</f>
        <v>143</v>
      </c>
      <c r="G78" s="122" t="n">
        <f aca="false">'6 - B1'!$G$78</f>
        <v>379</v>
      </c>
      <c r="H78" s="122" t="n">
        <f aca="false">'6 - B1'!$H$78</f>
        <v>404</v>
      </c>
      <c r="I78" s="122" t="n">
        <f aca="false">'6 - B1'!$I$78</f>
        <v>381</v>
      </c>
      <c r="J78" s="122" t="n">
        <f aca="false">'6 - B1'!$J$78</f>
        <v>411</v>
      </c>
      <c r="K78" s="122" t="n">
        <f aca="false">'6 - B1'!$K$78</f>
        <v>347</v>
      </c>
      <c r="L78" s="122" t="n">
        <f aca="false">'6 - B1'!$L$78</f>
        <v>376</v>
      </c>
      <c r="M78" s="122" t="n">
        <f aca="false">'6 - B1'!$M$78</f>
        <v>348</v>
      </c>
      <c r="N78" s="122" t="n">
        <f aca="false">'6 - B1'!$N$78</f>
        <v>395</v>
      </c>
      <c r="O78" s="122" t="n">
        <f aca="false">'6 - B1'!$O$78</f>
        <v>372</v>
      </c>
      <c r="P78" s="122" t="n">
        <f aca="false">'6 - B1'!$P$78</f>
        <v>327</v>
      </c>
    </row>
    <row r="79" customFormat="false" ht="15.8" hidden="false" customHeight="false" outlineLevel="0" collapsed="false">
      <c r="A79" s="122" t="n">
        <f aca="false">'6 - B1'!$A$79</f>
        <v>30</v>
      </c>
      <c r="B79" s="122" t="n">
        <f aca="false">'6 - B1'!$B$79</f>
        <v>153</v>
      </c>
      <c r="C79" s="122" t="n">
        <f aca="false">'6 - B1'!$C$79</f>
        <v>130</v>
      </c>
      <c r="D79" s="122" t="n">
        <f aca="false">'6 - B1'!$D$79</f>
        <v>136</v>
      </c>
      <c r="E79" s="122" t="n">
        <f aca="false">'6 - B1'!$E$79</f>
        <v>120</v>
      </c>
      <c r="F79" s="122" t="n">
        <f aca="false">'6 - B1'!$F$79</f>
        <v>91</v>
      </c>
      <c r="G79" s="122" t="n">
        <f aca="false">'6 - B1'!$G$79</f>
        <v>257</v>
      </c>
      <c r="H79" s="122" t="n">
        <f aca="false">'6 - B1'!$H$79</f>
        <v>304</v>
      </c>
      <c r="I79" s="122" t="n">
        <f aca="false">'6 - B1'!$I$79</f>
        <v>276</v>
      </c>
      <c r="J79" s="122" t="n">
        <f aca="false">'6 - B1'!$J$79</f>
        <v>307</v>
      </c>
      <c r="K79" s="124" t="n">
        <f aca="false">'6 - B1'!$K$79</f>
        <v>236</v>
      </c>
      <c r="L79" s="122" t="n">
        <f aca="false">'6 - B1'!$L$79</f>
        <v>275</v>
      </c>
      <c r="M79" s="122" t="n">
        <f aca="false">'6 - B1'!$M$79</f>
        <v>260</v>
      </c>
      <c r="N79" s="122" t="n">
        <f aca="false">'6 - B1'!$N$79</f>
        <v>295</v>
      </c>
      <c r="O79" s="122" t="n">
        <f aca="false">'6 - B1'!$O$79</f>
        <v>256</v>
      </c>
      <c r="P79" s="122" t="n">
        <f aca="false">'6 - B1'!$P$79</f>
        <v>236</v>
      </c>
    </row>
    <row r="80" customFormat="false" ht="15.8" hidden="false" customHeight="false" outlineLevel="0" collapsed="false">
      <c r="A80" s="122" t="n">
        <f aca="false">'6 - B1'!$A$80</f>
        <v>38</v>
      </c>
      <c r="B80" s="122" t="n">
        <f aca="false">'6 - B1'!$B$80</f>
        <v>99</v>
      </c>
      <c r="C80" s="122" t="n">
        <f aca="false">'6 - B1'!$C$80</f>
        <v>93</v>
      </c>
      <c r="D80" s="122" t="n">
        <f aca="false">'6 - B1'!$D$80</f>
        <v>95</v>
      </c>
      <c r="E80" s="122" t="n">
        <f aca="false">'6 - B1'!$E$80</f>
        <v>78</v>
      </c>
      <c r="F80" s="122" t="n">
        <f aca="false">'6 - B1'!$F$80</f>
        <v>60</v>
      </c>
      <c r="G80" s="122" t="n">
        <f aca="false">'6 - B1'!$G$80</f>
        <v>48</v>
      </c>
      <c r="H80" s="122" t="n">
        <f aca="false">'6 - B1'!$H$80</f>
        <v>52</v>
      </c>
      <c r="I80" s="122" t="n">
        <f aca="false">'6 - B1'!$I$80</f>
        <v>51</v>
      </c>
      <c r="J80" s="122" t="n">
        <f aca="false">'6 - B1'!$J$80</f>
        <v>59</v>
      </c>
      <c r="K80" s="122" t="n">
        <f aca="false">'6 - B1'!$K$80</f>
        <v>37</v>
      </c>
      <c r="L80" s="122" t="n">
        <f aca="false">'6 - B1'!$L$80</f>
        <v>58</v>
      </c>
      <c r="M80" s="122" t="n">
        <f aca="false">'6 - B1'!$M$80</f>
        <v>50</v>
      </c>
      <c r="N80" s="122" t="n">
        <f aca="false">'6 - B1'!$N$80</f>
        <v>52</v>
      </c>
      <c r="O80" s="122" t="n">
        <f aca="false">'6 - B1'!$O$80</f>
        <v>40</v>
      </c>
      <c r="P80" s="122" t="n">
        <f aca="false">'6 - B1'!$P$80</f>
        <v>37</v>
      </c>
    </row>
    <row r="81" customFormat="false" ht="15.8" hidden="false" customHeight="false" outlineLevel="0" collapsed="false">
      <c r="A81" s="122" t="n">
        <f aca="false">'6 - B1'!$A$81</f>
        <v>50</v>
      </c>
      <c r="B81" s="122" t="n">
        <f aca="false">'6 - B1'!$B$81</f>
        <v>64</v>
      </c>
      <c r="C81" s="122" t="n">
        <f aca="false">'6 - B1'!$C$81</f>
        <v>49</v>
      </c>
      <c r="D81" s="122" t="n">
        <f aca="false">'6 - B1'!$D$81</f>
        <v>47</v>
      </c>
      <c r="E81" s="122" t="n">
        <f aca="false">'6 - B1'!$E$81</f>
        <v>39</v>
      </c>
      <c r="F81" s="122" t="n">
        <f aca="false">'6 - B1'!$F$81</f>
        <v>34</v>
      </c>
      <c r="G81" s="122" t="n">
        <f aca="false">'6 - B1'!$G$81</f>
        <v>35</v>
      </c>
      <c r="H81" s="122" t="n">
        <f aca="false">'6 - B1'!$H$81</f>
        <v>34</v>
      </c>
      <c r="I81" s="122" t="n">
        <f aca="false">'6 - B1'!$I$81</f>
        <v>34</v>
      </c>
      <c r="J81" s="122" t="n">
        <f aca="false">'6 - B1'!$J$81</f>
        <v>33</v>
      </c>
      <c r="K81" s="122" t="n">
        <f aca="false">'6 - B1'!$K$81</f>
        <v>19</v>
      </c>
      <c r="L81" s="122" t="n">
        <f aca="false">'6 - B1'!$L$81</f>
        <v>36</v>
      </c>
      <c r="M81" s="122" t="n">
        <f aca="false">'6 - B1'!$M$81</f>
        <v>23</v>
      </c>
      <c r="N81" s="122" t="n">
        <f aca="false">'6 - B1'!$N$81</f>
        <v>30</v>
      </c>
      <c r="O81" s="122" t="n">
        <f aca="false">'6 - B1'!$O$81</f>
        <v>25</v>
      </c>
      <c r="P81" s="122" t="n">
        <f aca="false">'6 - B1'!$P$81</f>
        <v>20</v>
      </c>
    </row>
    <row r="82" customFormat="false" ht="15.8" hidden="false" customHeight="false" outlineLevel="0" collapsed="false">
      <c r="A82" s="122" t="n">
        <f aca="false">'6 - B1'!$A$82</f>
        <v>70</v>
      </c>
      <c r="B82" s="122" t="n">
        <f aca="false">'6 - B1'!$B$82</f>
        <v>33</v>
      </c>
      <c r="C82" s="122" t="n">
        <f aca="false">'6 - B1'!$C$82</f>
        <v>21</v>
      </c>
      <c r="D82" s="122" t="n">
        <f aca="false">'6 - B1'!$D$82</f>
        <v>21</v>
      </c>
      <c r="E82" s="122" t="n">
        <f aca="false">'6 - B1'!$E$82</f>
        <v>10</v>
      </c>
      <c r="F82" s="122" t="n">
        <f aca="false">'6 - B1'!$F$82</f>
        <v>16</v>
      </c>
      <c r="G82" s="122" t="n">
        <f aca="false">'6 - B1'!$G$82</f>
        <v>12</v>
      </c>
      <c r="H82" s="122" t="n">
        <f aca="false">'6 - B1'!$H$82</f>
        <v>9</v>
      </c>
      <c r="I82" s="122" t="n">
        <f aca="false">'6 - B1'!$I$82</f>
        <v>16</v>
      </c>
      <c r="J82" s="122" t="n">
        <f aca="false">'6 - B1'!$J$82</f>
        <v>8</v>
      </c>
      <c r="K82" s="122" t="n">
        <f aca="false">'6 - B1'!$K$82</f>
        <v>5</v>
      </c>
      <c r="L82" s="122" t="n">
        <f aca="false">'6 - B1'!$L$82</f>
        <v>15</v>
      </c>
      <c r="M82" s="122" t="n">
        <f aca="false">'6 - B1'!$M$82</f>
        <v>9</v>
      </c>
      <c r="N82" s="122" t="n">
        <f aca="false">'6 - B1'!$N$82</f>
        <v>9</v>
      </c>
      <c r="O82" s="122" t="n">
        <f aca="false">'6 - B1'!$O$82</f>
        <v>10</v>
      </c>
      <c r="P82" s="122" t="n">
        <f aca="false">'6 - B1'!$P$82</f>
        <v>2</v>
      </c>
    </row>
    <row r="83" customFormat="false" ht="15.8" hidden="false" customHeight="false" outlineLevel="0" collapsed="false"/>
    <row r="84" customFormat="false" ht="15.8" hidden="false" customHeight="false" outlineLevel="0" collapsed="false"/>
    <row r="85" customFormat="false" ht="15.8" hidden="false" customHeight="false" outlineLevel="0" collapsed="false"/>
    <row r="86" customFormat="false" ht="15.8" hidden="false" customHeight="false" outlineLevel="0" collapsed="false"/>
    <row r="87" customFormat="false" ht="15.8" hidden="false" customHeight="false" outlineLevel="0" collapsed="false"/>
    <row r="88" customFormat="false" ht="15.8" hidden="false" customHeight="false" outlineLevel="0" collapsed="false"/>
    <row r="89" customFormat="false" ht="15.8" hidden="false" customHeight="false" outlineLevel="0" collapsed="false"/>
    <row r="90" customFormat="false" ht="15.8" hidden="false" customHeight="false" outlineLevel="0" collapsed="false"/>
    <row r="91" customFormat="false" ht="15.8" hidden="false" customHeight="false" outlineLevel="0" collapsed="false"/>
    <row r="92" customFormat="false" ht="15.8" hidden="false" customHeight="false" outlineLevel="0" collapsed="false"/>
    <row r="93" customFormat="false" ht="15.8" hidden="false" customHeight="false" outlineLevel="0" collapsed="false"/>
    <row r="94" customFormat="false" ht="15.8" hidden="false" customHeight="false" outlineLevel="0" collapsed="false"/>
    <row r="95" customFormat="false" ht="15.8" hidden="false" customHeight="false" outlineLevel="0" collapsed="false"/>
    <row r="96" customFormat="false" ht="15.8" hidden="false" customHeight="false" outlineLevel="0" collapsed="false"/>
    <row r="97" customFormat="false" ht="15.8" hidden="false" customHeight="false" outlineLevel="0" collapsed="false"/>
    <row r="98" customFormat="false" ht="15.8" hidden="false" customHeight="false" outlineLevel="0" collapsed="false"/>
    <row r="99" customFormat="false" ht="15.8" hidden="false" customHeight="false" outlineLevel="0" collapsed="false"/>
    <row r="100" customFormat="false" ht="15.8" hidden="false" customHeight="false" outlineLevel="0" collapsed="false"/>
    <row r="101" customFormat="false" ht="15.8" hidden="false" customHeight="false" outlineLevel="0" collapsed="false"/>
  </sheetData>
  <conditionalFormatting sqref="H9:H40">
    <cfRule type="cellIs" priority="2" operator="greaterThan" aboveAverage="0" equalAverage="0" bottom="0" percent="0" rank="0" text="" dxfId="0">
      <formula>1000</formula>
    </cfRule>
  </conditionalFormatting>
  <conditionalFormatting sqref="K9:K40">
    <cfRule type="cellIs" priority="3" operator="lessThan" aboveAverage="0" equalAverage="0" bottom="0" percent="0" rank="0" text="" dxfId="0">
      <formula>J11</formula>
    </cfRule>
  </conditionalFormatting>
  <printOptions headings="false" gridLines="false" gridLinesSet="true" horizontalCentered="false" verticalCentered="false"/>
  <pageMargins left="0.7875" right="0.7875" top="1.05277777777778" bottom="1.74166666666667" header="0.7875" footer="0.7875"/>
  <pageSetup paperSize="9" scale="110" fitToWidth="1" fitToHeight="1" pageOrder="downThenOver" orientation="landscape" blackAndWhite="false" draft="false" cellComments="none" horizontalDpi="300" verticalDpi="300" copies="1"/>
  <headerFooter differentFirst="false" differentOddEven="false">
    <oddHeader>&amp;C&amp;"Times New Roman,Regular"&amp;12&amp;Kffffff&amp;A</oddHeader>
    <oddFooter>&amp;C&amp;"Times New Roman,Regular"&amp;12&amp;KffffffPage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N72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B4" activeCellId="0" sqref="B4"/>
    </sheetView>
  </sheetViews>
  <sheetFormatPr defaultColWidth="10.4921875" defaultRowHeight="15.8" zeroHeight="false" outlineLevelRow="0" outlineLevelCol="0"/>
  <cols>
    <col collapsed="false" customWidth="true" hidden="false" outlineLevel="0" max="11" min="11" style="0" width="25.15"/>
  </cols>
  <sheetData>
    <row r="1" customFormat="false" ht="36.45" hidden="false" customHeight="true" outlineLevel="0" collapsed="false">
      <c r="H1" s="0" t="s">
        <v>190</v>
      </c>
      <c r="K1" s="125" t="s">
        <v>191</v>
      </c>
      <c r="L1" s="125" t="s">
        <v>192</v>
      </c>
      <c r="M1" s="125"/>
      <c r="N1" s="125"/>
      <c r="O1" s="125"/>
    </row>
    <row r="2" customFormat="false" ht="47.35" hidden="false" customHeight="false" outlineLevel="0" collapsed="false">
      <c r="B2" s="126" t="s">
        <v>193</v>
      </c>
      <c r="C2" s="126" t="s">
        <v>194</v>
      </c>
      <c r="D2" s="126" t="s">
        <v>195</v>
      </c>
      <c r="E2" s="126" t="s">
        <v>196</v>
      </c>
      <c r="F2" s="127" t="s">
        <v>197</v>
      </c>
      <c r="G2" s="85" t="s">
        <v>143</v>
      </c>
      <c r="H2" s="128" t="s">
        <v>198</v>
      </c>
      <c r="K2" s="129" t="s">
        <v>199</v>
      </c>
      <c r="L2" s="127" t="s">
        <v>200</v>
      </c>
      <c r="M2" s="127" t="s">
        <v>201</v>
      </c>
      <c r="O2" s="80" t="s">
        <v>113</v>
      </c>
      <c r="P2" s="80" t="s">
        <v>202</v>
      </c>
    </row>
    <row r="3" customFormat="false" ht="25.55" hidden="false" customHeight="false" outlineLevel="0" collapsed="false">
      <c r="B3" s="127" t="s">
        <v>203</v>
      </c>
      <c r="C3" s="127" t="s">
        <v>203</v>
      </c>
      <c r="D3" s="127" t="s">
        <v>203</v>
      </c>
      <c r="E3" s="127" t="s">
        <v>203</v>
      </c>
      <c r="F3" s="127" t="s">
        <v>204</v>
      </c>
      <c r="G3" s="80" t="s">
        <v>205</v>
      </c>
      <c r="H3" s="80" t="s">
        <v>38</v>
      </c>
      <c r="K3" s="130" t="s">
        <v>206</v>
      </c>
      <c r="L3" s="127" t="s">
        <v>203</v>
      </c>
      <c r="M3" s="127" t="s">
        <v>204</v>
      </c>
      <c r="O3" s="131" t="s">
        <v>207</v>
      </c>
      <c r="P3" s="132" t="n">
        <v>0.1</v>
      </c>
    </row>
    <row r="4" customFormat="false" ht="15.8" hidden="false" customHeight="false" outlineLevel="0" collapsed="false">
      <c r="A4" s="0" t="n">
        <v>1</v>
      </c>
      <c r="B4" s="38" t="n">
        <f aca="false">'6 - B1'!$G$9</f>
        <v>14457.8949307853</v>
      </c>
      <c r="C4" s="38" t="n">
        <f aca="false">'6 - B2'!$G$9</f>
        <v>10666.0589315457</v>
      </c>
      <c r="D4" s="38" t="n">
        <f aca="false">'6 - B3'!$G$9</f>
        <v>10767.1279846885</v>
      </c>
      <c r="E4" s="133" t="n">
        <f aca="false">AVERAGE(B4:D4)</f>
        <v>11963.6939490065</v>
      </c>
      <c r="F4" s="37" t="n">
        <v>54</v>
      </c>
      <c r="G4" s="0" t="n">
        <f aca="false">'6 - B1'!$L9+'6 - B2'!$L9+'6 - B3'!$L9</f>
        <v>15</v>
      </c>
      <c r="H4" s="38" t="n">
        <f aca="false">STDEVP('6 - B1'!$B9:F9,'6 - B2'!B9:F9,'6 - B3'!B9:F9)/SQRT(G4)</f>
        <v>456.410324796478</v>
      </c>
      <c r="K4" s="134" t="n">
        <v>4</v>
      </c>
      <c r="L4" s="0" t="n">
        <f aca="false">P4</f>
        <v>1075.03</v>
      </c>
      <c r="M4" s="69" t="n">
        <f aca="false">ASTROS.MONTEZUMA.CALCTOOLS.CALCFUNCTIONS.PYTHON.INTERPOLATIONIMPL.INTERPO($L4,$E$4:$E$31,$F$4:$F$31)</f>
        <v>458.034113890536</v>
      </c>
      <c r="O4" s="0" t="n">
        <v>10750.3</v>
      </c>
      <c r="P4" s="0" t="n">
        <f aca="false">O4*P$3</f>
        <v>1075.03</v>
      </c>
    </row>
    <row r="5" customFormat="false" ht="15.8" hidden="false" customHeight="false" outlineLevel="0" collapsed="false">
      <c r="A5" s="0" t="n">
        <v>2</v>
      </c>
      <c r="B5" s="38" t="n">
        <f aca="false">'6 - B1'!$G$10</f>
        <v>12525.9404276776</v>
      </c>
      <c r="C5" s="38" t="n">
        <f aca="false">'6 - B2'!$G$10</f>
        <v>9045.35311807998</v>
      </c>
      <c r="D5" s="38" t="n">
        <f aca="false">'6 - B3'!$G$10</f>
        <v>9115.16473374319</v>
      </c>
      <c r="E5" s="133" t="n">
        <f aca="false">AVERAGE(B5:D5)</f>
        <v>10228.8194265002</v>
      </c>
      <c r="F5" s="37" t="n">
        <v>63.8601474584642</v>
      </c>
      <c r="G5" s="0" t="n">
        <f aca="false">'6 - B1'!$L10+'6 - B2'!$L10+'6 - B3'!$L10</f>
        <v>15</v>
      </c>
      <c r="H5" s="38" t="n">
        <f aca="false">STDEVP('6 - B1'!$B10:F10,'6 - B2'!B10:F10,'6 - B3'!B10:F10)/SQRT(G5)</f>
        <v>420.263273660521</v>
      </c>
      <c r="K5" s="134" t="n">
        <v>5</v>
      </c>
      <c r="L5" s="0" t="n">
        <f aca="false">P5</f>
        <v>712.11</v>
      </c>
      <c r="M5" s="37" t="n">
        <f aca="false">ASTROS.MONTEZUMA.CALCTOOLS.CALCFUNCTIONS.PYTHON.INTERPOLATIONIMPL.INTERPO($L5,$E$4:$E$31,$F$4:$F$31)</f>
        <v>666.520651103108</v>
      </c>
      <c r="O5" s="0" t="n">
        <v>7121.1</v>
      </c>
      <c r="P5" s="0" t="n">
        <f aca="false">O5*P$3</f>
        <v>712.11</v>
      </c>
    </row>
    <row r="6" customFormat="false" ht="15.8" hidden="false" customHeight="false" outlineLevel="0" collapsed="false">
      <c r="A6" s="0" t="n">
        <v>3</v>
      </c>
      <c r="B6" s="38" t="n">
        <f aca="false">'6 - B1'!$G$11</f>
        <v>10808.2163742051</v>
      </c>
      <c r="C6" s="38" t="n">
        <f aca="false">'6 - B2'!$G$11</f>
        <v>7659.26387693509</v>
      </c>
      <c r="D6" s="38" t="n">
        <f aca="false">'6 - B3'!$G$11</f>
        <v>7693.38340887846</v>
      </c>
      <c r="E6" s="133" t="n">
        <f aca="false">AVERAGE(B6:D6)</f>
        <v>8720.2878866729</v>
      </c>
      <c r="F6" s="37" t="n">
        <v>75.5207117299405</v>
      </c>
      <c r="G6" s="0" t="n">
        <f aca="false">'6 - B1'!$L11+'6 - B2'!$L11+'6 - B3'!$L11</f>
        <v>15</v>
      </c>
      <c r="H6" s="38" t="n">
        <f aca="false">STDEVP('6 - B1'!$B11:F11,'6 - B2'!B11:F11,'6 - B3'!B11:F11)/SQRT(G6)</f>
        <v>382.002101449428</v>
      </c>
      <c r="K6" s="134" t="n">
        <v>6</v>
      </c>
      <c r="L6" s="0" t="n">
        <f aca="false">P6</f>
        <v>472.91</v>
      </c>
      <c r="M6" s="69" t="n">
        <f aca="false">ASTROS.MONTEZUMA.CALCTOOLS.CALCFUNCTIONS.PYTHON.INTERPOLATIONIMPL.INTERPO($L6,$E$4:$E$31,$F$4:$F$31)</f>
        <v>1066.70512497996</v>
      </c>
      <c r="O6" s="0" t="n">
        <v>4729.1</v>
      </c>
      <c r="P6" s="0" t="n">
        <f aca="false">O6*P$3</f>
        <v>472.91</v>
      </c>
    </row>
    <row r="7" customFormat="false" ht="15.8" hidden="false" customHeight="false" outlineLevel="0" collapsed="false">
      <c r="A7" s="0" t="n">
        <v>4</v>
      </c>
      <c r="B7" s="38" t="n">
        <f aca="false">'6 - B1'!$G$12</f>
        <v>9422.5083147368</v>
      </c>
      <c r="C7" s="38" t="n">
        <f aca="false">'6 - B2'!$G$12</f>
        <v>6344.51887622767</v>
      </c>
      <c r="D7" s="38" t="n">
        <f aca="false">'6 - B3'!$G$12</f>
        <v>6361.92962802528</v>
      </c>
      <c r="E7" s="133" t="n">
        <f aca="false">AVERAGE(B7:D7)</f>
        <v>7376.31893966325</v>
      </c>
      <c r="F7" s="37" t="n">
        <v>89.3104405044846</v>
      </c>
      <c r="G7" s="0" t="n">
        <f aca="false">'6 - B1'!$L12+'6 - B2'!$L12+'6 - B3'!$L12</f>
        <v>15</v>
      </c>
      <c r="H7" s="38" t="n">
        <f aca="false">STDEVP('6 - B1'!$B12:F12,'6 - B2'!B12:F12,'6 - B3'!B12:F12)/SQRT(G7)</f>
        <v>374.169837812328</v>
      </c>
      <c r="K7" s="134" t="n">
        <v>7</v>
      </c>
      <c r="L7" s="0" t="n">
        <f aca="false">P7</f>
        <v>319.93</v>
      </c>
      <c r="M7" s="37" t="n">
        <f aca="false">ASTROS.MONTEZUMA.CALCTOOLS.CALCFUNCTIONS.PYTHON.INTERPOLATIONIMPL.INTERPO($L7,$E$4:$E$31,$F$4:$F$31)</f>
        <v>1573.69515778153</v>
      </c>
      <c r="O7" s="0" t="n">
        <v>3199.3</v>
      </c>
      <c r="P7" s="0" t="n">
        <f aca="false">O7*P$3</f>
        <v>319.93</v>
      </c>
    </row>
    <row r="8" customFormat="false" ht="15.8" hidden="false" customHeight="false" outlineLevel="0" collapsed="false">
      <c r="A8" s="0" t="n">
        <v>5</v>
      </c>
      <c r="B8" s="38" t="n">
        <f aca="false">'6 - B1'!$G$13</f>
        <v>8038.12396527368</v>
      </c>
      <c r="C8" s="38" t="n">
        <f aca="false">'6 - B2'!$G$13</f>
        <v>5136.8722117643</v>
      </c>
      <c r="D8" s="38" t="n">
        <f aca="false">'6 - B3'!$G$13</f>
        <v>5147.14386398598</v>
      </c>
      <c r="E8" s="133" t="n">
        <f aca="false">AVERAGE(B8:D8)</f>
        <v>6107.38001367465</v>
      </c>
      <c r="F8" s="37" t="n">
        <v>105.618109262903</v>
      </c>
      <c r="G8" s="0" t="n">
        <f aca="false">'6 - B1'!$L13+'6 - B2'!$L13+'6 - B3'!$L13</f>
        <v>15</v>
      </c>
      <c r="H8" s="38" t="n">
        <f aca="false">STDEVP('6 - B1'!$B13:F13,'6 - B2'!B13:F13,'6 - B3'!B13:F13)/SQRT(G8)</f>
        <v>353.050951321971</v>
      </c>
      <c r="K8" s="134" t="n">
        <v>8</v>
      </c>
      <c r="L8" s="0" t="n">
        <f aca="false">P8</f>
        <v>228.06</v>
      </c>
      <c r="M8" s="37" t="n">
        <f aca="false">ASTROS.MONTEZUMA.CALCTOOLS.CALCFUNCTIONS.PYTHON.INTERPOLATIONIMPL.INTERPO($L8,$E$4:$E$31,$F$4:$F$31)</f>
        <v>1951.66341366557</v>
      </c>
      <c r="O8" s="0" t="n">
        <v>2280.6</v>
      </c>
      <c r="P8" s="0" t="n">
        <f aca="false">O8*P$3</f>
        <v>228.06</v>
      </c>
    </row>
    <row r="9" customFormat="false" ht="15.8" hidden="false" customHeight="false" outlineLevel="0" collapsed="false">
      <c r="A9" s="0" t="n">
        <v>6</v>
      </c>
      <c r="B9" s="38" t="n">
        <f aca="false">'6 - B1'!$G$14</f>
        <v>6884.36590388498</v>
      </c>
      <c r="C9" s="38" t="n">
        <f aca="false">'6 - B2'!$G$14</f>
        <v>4121.42885531325</v>
      </c>
      <c r="D9" s="38" t="n">
        <f aca="false">'6 - B3'!$G$14</f>
        <v>4118.38290694856</v>
      </c>
      <c r="E9" s="133" t="n">
        <f aca="false">AVERAGE(B9:D9)</f>
        <v>5041.39255538226</v>
      </c>
      <c r="F9" s="37" t="n">
        <v>124.903482070615</v>
      </c>
      <c r="G9" s="0" t="n">
        <f aca="false">'6 - B1'!$L14+'6 - B2'!$L14+'6 - B3'!$L14</f>
        <v>15</v>
      </c>
      <c r="H9" s="38" t="n">
        <f aca="false">STDEVP('6 - B1'!$B14:F14,'6 - B2'!B14:F14,'6 - B3'!B14:F14)/SQRT(G9)</f>
        <v>336.883026459541</v>
      </c>
      <c r="K9" s="134" t="n">
        <v>9</v>
      </c>
      <c r="L9" s="0" t="n">
        <f aca="false">P9</f>
        <v>161.5</v>
      </c>
      <c r="M9" s="37" t="n">
        <f aca="false">ASTROS.MONTEZUMA.CALCTOOLS.CALCFUNCTIONS.PYTHON.INTERPOLATIONIMPL.INTERPO($L9,$E$4:$E$31,$F$4:$F$31)</f>
        <v>2325.58798359556</v>
      </c>
      <c r="O9" s="0" t="n">
        <v>1615</v>
      </c>
      <c r="P9" s="0" t="n">
        <f aca="false">O9*P$3</f>
        <v>161.5</v>
      </c>
    </row>
    <row r="10" customFormat="false" ht="15.8" hidden="false" customHeight="false" outlineLevel="0" collapsed="false">
      <c r="A10" s="0" t="n">
        <v>7</v>
      </c>
      <c r="B10" s="38" t="n">
        <f aca="false">'6 - B1'!$G$15</f>
        <v>5826.22908217739</v>
      </c>
      <c r="C10" s="38" t="n">
        <f aca="false">'6 - B2'!$G$15</f>
        <v>3311.5814022145</v>
      </c>
      <c r="D10" s="38" t="n">
        <f aca="false">'6 - B3'!$G$15</f>
        <v>3310.13871380069</v>
      </c>
      <c r="E10" s="133" t="n">
        <f aca="false">AVERAGE(B10:D10)</f>
        <v>4149.31639939753</v>
      </c>
      <c r="F10" s="37" t="n">
        <v>147.710273761205</v>
      </c>
      <c r="G10" s="0" t="n">
        <f aca="false">'6 - B1'!$L15+'6 - B2'!$L15+'6 - B3'!$L15</f>
        <v>15</v>
      </c>
      <c r="H10" s="38" t="n">
        <f aca="false">STDEVP('6 - B1'!$B15:F15,'6 - B2'!B15:F15,'6 - B3'!B15:F15)/SQRT(G10)</f>
        <v>306.452275013121</v>
      </c>
      <c r="K10" s="134" t="n">
        <v>10</v>
      </c>
      <c r="L10" s="0" t="n">
        <f aca="false">P10</f>
        <v>113.05</v>
      </c>
      <c r="M10" s="69" t="n">
        <f aca="false">ASTROS.MONTEZUMA.CALCTOOLS.CALCFUNCTIONS.PYTHON.INTERPOLATIONIMPL.INTERPO($L10,$E$4:$E$31,$F$4:$F$31)</f>
        <v>2755.15551003563</v>
      </c>
      <c r="O10" s="0" t="n">
        <v>1130.5</v>
      </c>
      <c r="P10" s="0" t="n">
        <f aca="false">O10*P$3</f>
        <v>113.05</v>
      </c>
    </row>
    <row r="11" customFormat="false" ht="15.8" hidden="false" customHeight="false" outlineLevel="0" collapsed="false">
      <c r="A11" s="0" t="n">
        <v>8</v>
      </c>
      <c r="B11" s="38" t="n">
        <f aca="false">'6 - B1'!$G$16</f>
        <v>4886.37945955052</v>
      </c>
      <c r="C11" s="38" t="n">
        <f aca="false">'6 - B2'!$G$16</f>
        <v>2645.68359535875</v>
      </c>
      <c r="D11" s="38" t="n">
        <f aca="false">'6 - B3'!$G$16</f>
        <v>2643.90148621858</v>
      </c>
      <c r="E11" s="133" t="n">
        <f aca="false">AVERAGE(B11:D11)</f>
        <v>3391.98818037595</v>
      </c>
      <c r="F11" s="37" t="n">
        <v>174.681478954087</v>
      </c>
      <c r="G11" s="0" t="n">
        <f aca="false">'6 - B1'!$L16+'6 - B2'!$L16+'6 - B3'!$L16</f>
        <v>15</v>
      </c>
      <c r="H11" s="38" t="n">
        <f aca="false">STDEVP('6 - B1'!$B16:F16,'6 - B2'!B16:F16,'6 - B3'!B16:F16)/SQRT(G11)</f>
        <v>273.126205048538</v>
      </c>
      <c r="K11" s="134" t="n">
        <v>11</v>
      </c>
      <c r="L11" s="0" t="n">
        <f aca="false">P11</f>
        <v>81.62</v>
      </c>
      <c r="M11" s="37" t="n">
        <f aca="false">ASTROS.MONTEZUMA.CALCTOOLS.CALCFUNCTIONS.PYTHON.INTERPOLATIONIMPL.INTERPO($L11,$E$4:$E$31,$F$4:$F$31)</f>
        <v>3219.77796737989</v>
      </c>
      <c r="O11" s="0" t="n">
        <v>816.2</v>
      </c>
      <c r="P11" s="0" t="n">
        <f aca="false">O11*P$3</f>
        <v>81.62</v>
      </c>
    </row>
    <row r="12" customFormat="false" ht="15.8" hidden="false" customHeight="false" outlineLevel="0" collapsed="false">
      <c r="A12" s="0" t="n">
        <v>9</v>
      </c>
      <c r="B12" s="38" t="n">
        <f aca="false">'6 - B1'!$G$17</f>
        <v>4034.26793626886</v>
      </c>
      <c r="C12" s="38" t="n">
        <f aca="false">'6 - B2'!$G$17</f>
        <v>2144.15120704893</v>
      </c>
      <c r="D12" s="38" t="n">
        <f aca="false">'6 - B3'!$G$17</f>
        <v>2152.01093026173</v>
      </c>
      <c r="E12" s="133" t="n">
        <f aca="false">AVERAGE(B12:D12)</f>
        <v>2776.81002452651</v>
      </c>
      <c r="F12" s="37" t="n">
        <v>206.577500079085</v>
      </c>
      <c r="G12" s="0" t="n">
        <f aca="false">'6 - B1'!$L17+'6 - B2'!$L17+'6 - B3'!$L17</f>
        <v>15</v>
      </c>
      <c r="H12" s="38" t="n">
        <f aca="false">STDEVP('6 - B1'!$B17:F17,'6 - B2'!B17:F17,'6 - B3'!B17:F17)/SQRT(G12)</f>
        <v>229.849276054964</v>
      </c>
      <c r="K12" s="134" t="n">
        <v>12</v>
      </c>
      <c r="L12" s="0" t="n">
        <f aca="false">P12</f>
        <v>61.86</v>
      </c>
      <c r="M12" s="37" t="n">
        <f aca="false">ASTROS.MONTEZUMA.CALCTOOLS.CALCFUNCTIONS.PYTHON.INTERPOLATIONIMPL.INTERPO($L12,$E$4:$E$31,$F$4:$F$31)</f>
        <v>3670.52571491568</v>
      </c>
      <c r="O12" s="0" t="n">
        <v>618.6</v>
      </c>
      <c r="P12" s="0" t="n">
        <f aca="false">O12*P$3</f>
        <v>61.86</v>
      </c>
    </row>
    <row r="13" customFormat="false" ht="15.8" hidden="false" customHeight="false" outlineLevel="0" collapsed="false">
      <c r="A13" s="0" t="n">
        <v>10</v>
      </c>
      <c r="B13" s="38" t="n">
        <f aca="false">'6 - B1'!$G$18</f>
        <v>3291.11462936978</v>
      </c>
      <c r="C13" s="38" t="n">
        <f aca="false">'6 - B2'!$G$18</f>
        <v>1756.60908882327</v>
      </c>
      <c r="D13" s="38" t="n">
        <f aca="false">'6 - B3'!$G$18</f>
        <v>1765.5230686644</v>
      </c>
      <c r="E13" s="133" t="n">
        <f aca="false">AVERAGE(B13:D13)</f>
        <v>2271.08226228582</v>
      </c>
      <c r="F13" s="37" t="n">
        <v>244.297585493542</v>
      </c>
      <c r="G13" s="0" t="n">
        <f aca="false">'6 - B1'!$L18+'6 - B2'!$L18+'6 - B3'!$L18</f>
        <v>15</v>
      </c>
      <c r="H13" s="38" t="n">
        <f aca="false">STDEVP('6 - B1'!$B18:F18,'6 - B2'!B18:F18,'6 - B3'!B18:F18)/SQRT(G13)</f>
        <v>186.444932433757</v>
      </c>
      <c r="K13" s="134" t="n">
        <v>13</v>
      </c>
      <c r="L13" s="0" t="n">
        <f aca="false">P13</f>
        <v>48.19</v>
      </c>
      <c r="M13" s="37" t="n">
        <f aca="false">ASTROS.MONTEZUMA.CALCTOOLS.CALCFUNCTIONS.PYTHON.INTERPOLATIONIMPL.INTERPO($L13,$E$4:$E$31,$F$4:$F$31)</f>
        <v>4152.94693846192</v>
      </c>
      <c r="O13" s="0" t="n">
        <v>481.9</v>
      </c>
      <c r="P13" s="0" t="n">
        <f aca="false">O13*P$3</f>
        <v>48.19</v>
      </c>
    </row>
    <row r="14" customFormat="false" ht="15.8" hidden="false" customHeight="false" outlineLevel="0" collapsed="false">
      <c r="A14" s="0" t="n">
        <v>11</v>
      </c>
      <c r="B14" s="38" t="n">
        <f aca="false">'6 - B1'!$G$19</f>
        <v>2630.7458069757</v>
      </c>
      <c r="C14" s="38" t="n">
        <f aca="false">'6 - B2'!$G$19</f>
        <v>1461.22261112207</v>
      </c>
      <c r="D14" s="38" t="n">
        <f aca="false">'6 - B3'!$G$19</f>
        <v>1472.13298261467</v>
      </c>
      <c r="E14" s="133" t="n">
        <f aca="false">AVERAGE(B14:D14)</f>
        <v>1854.70046690414</v>
      </c>
      <c r="F14" s="37" t="n">
        <v>288.90518209934</v>
      </c>
      <c r="G14" s="0" t="n">
        <f aca="false">'6 - B1'!$L19+'6 - B2'!$L19+'6 - B3'!$L19</f>
        <v>15</v>
      </c>
      <c r="H14" s="38" t="n">
        <f aca="false">STDEVP('6 - B1'!$B19:F19,'6 - B2'!B19:F19,'6 - B3'!B19:F19)/SQRT(G14)</f>
        <v>141.91698178856</v>
      </c>
      <c r="K14" s="134" t="n">
        <v>14</v>
      </c>
      <c r="L14" s="0" t="n">
        <f aca="false">P14</f>
        <v>38.47</v>
      </c>
      <c r="M14" s="69" t="n">
        <f aca="false">ASTROS.MONTEZUMA.CALCTOOLS.CALCFUNCTIONS.PYTHON.INTERPOLATIONIMPL.INTERPO($L14,$E$4:$E$31,$F$4:$F$31)</f>
        <v>4403.74937680776</v>
      </c>
      <c r="O14" s="0" t="n">
        <v>384.7</v>
      </c>
      <c r="P14" s="0" t="n">
        <f aca="false">O14*P$3</f>
        <v>38.47</v>
      </c>
    </row>
    <row r="15" customFormat="false" ht="15.8" hidden="false" customHeight="false" outlineLevel="0" collapsed="false">
      <c r="A15" s="0" t="n">
        <v>12</v>
      </c>
      <c r="B15" s="38" t="n">
        <f aca="false">'6 - B1'!$G$20</f>
        <v>2060.6736775776</v>
      </c>
      <c r="C15" s="38" t="n">
        <f aca="false">'6 - B2'!$G$20</f>
        <v>1232.28662643042</v>
      </c>
      <c r="D15" s="38" t="n">
        <f aca="false">'6 - B3'!$G$20</f>
        <v>1243.36848096286</v>
      </c>
      <c r="E15" s="133" t="n">
        <f aca="false">AVERAGE(B15:D15)</f>
        <v>1512.10959499029</v>
      </c>
      <c r="F15" s="37" t="n">
        <v>341.657917229227</v>
      </c>
      <c r="G15" s="0" t="n">
        <f aca="false">'6 - B1'!$L20+'6 - B2'!$L20+'6 - B3'!$L20</f>
        <v>15</v>
      </c>
      <c r="H15" s="38" t="n">
        <f aca="false">STDEVP('6 - B1'!$B20:F20,'6 - B2'!B20:F20,'6 - B3'!B20:F20)/SQRT(G15)</f>
        <v>100.423625550242</v>
      </c>
      <c r="K15" s="134" t="n">
        <v>15</v>
      </c>
      <c r="L15" s="0" t="n">
        <f aca="false">P15</f>
        <v>31.46</v>
      </c>
      <c r="M15" s="37" t="n">
        <f aca="false">ASTROS.MONTEZUMA.CALCTOOLS.CALCFUNCTIONS.PYTHON.INTERPOLATIONIMPL.INTERPO($L15,$E$4:$E$31,$F$4:$F$31)</f>
        <v>4566.00203556548</v>
      </c>
      <c r="O15" s="0" t="n">
        <v>314.6</v>
      </c>
      <c r="P15" s="0" t="n">
        <f aca="false">O15*P$3</f>
        <v>31.46</v>
      </c>
    </row>
    <row r="16" customFormat="false" ht="15.8" hidden="false" customHeight="false" outlineLevel="0" collapsed="false">
      <c r="A16" s="0" t="n">
        <v>13</v>
      </c>
      <c r="B16" s="38" t="n">
        <f aca="false">'6 - B1'!$G$21</f>
        <v>1591.98495393634</v>
      </c>
      <c r="C16" s="38" t="n">
        <f aca="false">'6 - B2'!$G$21</f>
        <v>1053.06227027153</v>
      </c>
      <c r="D16" s="38" t="n">
        <f aca="false">'6 - B3'!$G$21</f>
        <v>1064.66799743625</v>
      </c>
      <c r="E16" s="133" t="n">
        <f aca="false">AVERAGE(B16:D16)</f>
        <v>1236.57174054804</v>
      </c>
      <c r="F16" s="37" t="n">
        <v>404.043055085374</v>
      </c>
      <c r="G16" s="0" t="n">
        <f aca="false">'6 - B1'!$L21+'6 - B2'!$L21+'6 - B3'!$L21</f>
        <v>15</v>
      </c>
      <c r="H16" s="38" t="n">
        <f aca="false">STDEVP('6 - B1'!$B21:F21,'6 - B2'!B21:F21,'6 - B3'!B21:F21)/SQRT(G16)</f>
        <v>65.3064762872113</v>
      </c>
      <c r="K16" s="134" t="n">
        <v>16</v>
      </c>
      <c r="L16" s="0" t="n">
        <f aca="false">P16</f>
        <v>26.18</v>
      </c>
      <c r="M16" s="37" t="n">
        <f aca="false">ASTROS.MONTEZUMA.CALCTOOLS.CALCFUNCTIONS.PYTHON.INTERPOLATIONIMPL.INTERPO($L16,$E$4:$E$31,$F$4:$F$31)</f>
        <v>4688.21231206202</v>
      </c>
      <c r="O16" s="0" t="n">
        <v>261.8</v>
      </c>
      <c r="P16" s="0" t="n">
        <f aca="false">O16*P$3</f>
        <v>26.18</v>
      </c>
    </row>
    <row r="17" customFormat="false" ht="15.8" hidden="false" customHeight="false" outlineLevel="0" collapsed="false">
      <c r="A17" s="0" t="n">
        <v>14</v>
      </c>
      <c r="B17" s="38" t="n">
        <f aca="false">'6 - B1'!$G$22</f>
        <v>1216.62537357004</v>
      </c>
      <c r="C17" s="38" t="n">
        <f aca="false">'6 - B2'!$G$22</f>
        <v>910.431663495075</v>
      </c>
      <c r="D17" s="38" t="n">
        <f aca="false">'6 - B3'!$G$22</f>
        <v>920.43944770182</v>
      </c>
      <c r="E17" s="133" t="n">
        <f aca="false">AVERAGE(B17:D17)</f>
        <v>1015.83216158898</v>
      </c>
      <c r="F17" s="37" t="n">
        <v>477.819427357784</v>
      </c>
      <c r="G17" s="0" t="n">
        <f aca="false">'6 - B1'!$L22+'6 - B2'!$L22+'6 - B3'!$L22</f>
        <v>15</v>
      </c>
      <c r="H17" s="38" t="n">
        <f aca="false">STDEVP('6 - B1'!$B22:F22,'6 - B2'!B22:F22,'6 - B3'!B22:F22)/SQRT(G17)</f>
        <v>37.1865091561318</v>
      </c>
      <c r="K17" s="134" t="n">
        <v>17</v>
      </c>
      <c r="L17" s="0" t="n">
        <f aca="false">P17</f>
        <v>22.12</v>
      </c>
      <c r="M17" s="37" t="n">
        <f aca="false">ASTROS.MONTEZUMA.CALCTOOLS.CALCFUNCTIONS.PYTHON.INTERPOLATIONIMPL.INTERPO($L17,$E$4:$E$31,$F$4:$F$31)</f>
        <v>4782.18460800444</v>
      </c>
      <c r="O17" s="0" t="n">
        <v>221.2</v>
      </c>
      <c r="P17" s="0" t="n">
        <f aca="false">O17*P$3</f>
        <v>22.12</v>
      </c>
    </row>
    <row r="18" customFormat="false" ht="15.8" hidden="false" customHeight="false" outlineLevel="0" collapsed="false">
      <c r="A18" s="0" t="n">
        <v>15</v>
      </c>
      <c r="B18" s="38" t="n">
        <f aca="false">'6 - B1'!$G$23</f>
        <v>922.15020160617</v>
      </c>
      <c r="C18" s="38" t="n">
        <f aca="false">'6 - B2'!$G$23</f>
        <v>801.221750717713</v>
      </c>
      <c r="D18" s="38" t="n">
        <f aca="false">'6 - B3'!$G$23</f>
        <v>810.33935615467</v>
      </c>
      <c r="E18" s="133" t="n">
        <f aca="false">AVERAGE(B18:D18)</f>
        <v>844.570436159518</v>
      </c>
      <c r="F18" s="37" t="n">
        <v>565.067020177538</v>
      </c>
      <c r="G18" s="0" t="n">
        <f aca="false">'6 - B1'!$L23+'6 - B2'!$L23+'6 - B3'!$L23</f>
        <v>15</v>
      </c>
      <c r="H18" s="38" t="n">
        <f aca="false">STDEVP('6 - B1'!$B23:F23,'6 - B2'!B23:F23,'6 - B3'!B23:F23)/SQRT(G18)</f>
        <v>15.3321503207114</v>
      </c>
      <c r="K18" s="134" t="n">
        <v>18</v>
      </c>
      <c r="L18" s="0" t="n">
        <f aca="false">P18</f>
        <v>18.87</v>
      </c>
      <c r="M18" s="37" t="n">
        <f aca="false">ASTROS.MONTEZUMA.CALCTOOLS.CALCFUNCTIONS.PYTHON.INTERPOLATIONIMPL.INTERPO($L18,$E$4:$E$31,$F$4:$F$31)</f>
        <v>4857.40873652978</v>
      </c>
      <c r="O18" s="0" t="n">
        <v>188.7</v>
      </c>
      <c r="P18" s="0" t="n">
        <f aca="false">O18*P$3</f>
        <v>18.87</v>
      </c>
    </row>
    <row r="19" customFormat="false" ht="15.8" hidden="false" customHeight="false" outlineLevel="0" collapsed="false">
      <c r="A19" s="0" t="n">
        <v>16</v>
      </c>
      <c r="B19" s="38" t="n">
        <f aca="false">'6 - B1'!$G$24</f>
        <v>703.16350172416</v>
      </c>
      <c r="C19" s="38" t="n">
        <f aca="false">'6 - B2'!$G$24</f>
        <v>708.678924053245</v>
      </c>
      <c r="D19" s="38" t="n">
        <f aca="false">'6 - B3'!$G$24</f>
        <v>717.731102626678</v>
      </c>
      <c r="E19" s="133" t="n">
        <f aca="false">AVERAGE(B19:D19)</f>
        <v>709.857842801361</v>
      </c>
      <c r="F19" s="37" t="n">
        <v>668.245615415787</v>
      </c>
      <c r="G19" s="0" t="n">
        <f aca="false">'6 - B1'!$L24+'6 - B2'!$L24+'6 - B3'!$L24</f>
        <v>15</v>
      </c>
      <c r="H19" s="38" t="n">
        <f aca="false">STDEVP('6 - B1'!$B24:F24,'6 - B2'!B24:F24,'6 - B3'!B24:F24)/SQRT(G19)</f>
        <v>4.87596588878838</v>
      </c>
      <c r="K19" s="134" t="n">
        <v>19</v>
      </c>
      <c r="L19" s="0" t="n">
        <f aca="false">P19</f>
        <v>16.1</v>
      </c>
      <c r="M19" s="37" t="n">
        <f aca="false">ASTROS.MONTEZUMA.CALCTOOLS.CALCFUNCTIONS.PYTHON.INTERPOLATIONIMPL.INTERPO($L19,$E$4:$E$31,$F$4:$F$31)</f>
        <v>4921.52283991906</v>
      </c>
      <c r="O19" s="0" t="n">
        <v>161</v>
      </c>
      <c r="P19" s="0" t="n">
        <f aca="false">O19*P$3</f>
        <v>16.1</v>
      </c>
    </row>
    <row r="20" customFormat="false" ht="15.8" hidden="false" customHeight="false" outlineLevel="0" collapsed="false">
      <c r="A20" s="0" t="n">
        <v>17</v>
      </c>
      <c r="B20" s="38" t="n">
        <f aca="false">'6 - B1'!$G$25</f>
        <v>537.17868040822</v>
      </c>
      <c r="C20" s="38" t="n">
        <f aca="false">'6 - B2'!$G$25</f>
        <v>635.048271997209</v>
      </c>
      <c r="D20" s="38" t="n">
        <f aca="false">'6 - B3'!$G$25</f>
        <v>641.72131141858</v>
      </c>
      <c r="E20" s="133" t="n">
        <f aca="false">AVERAGE(B20:D20)</f>
        <v>604.64942127467</v>
      </c>
      <c r="F20" s="37" t="n">
        <v>790.264139609709</v>
      </c>
      <c r="G20" s="0" t="n">
        <f aca="false">'6 - B1'!$L25+'6 - B2'!$L25+'6 - B3'!$L25</f>
        <v>15</v>
      </c>
      <c r="H20" s="38" t="n">
        <f aca="false">STDEVP('6 - B1'!$B25:F25,'6 - B2'!B25:F25,'6 - B3'!B25:F25)/SQRT(G20)</f>
        <v>13.0746404747253</v>
      </c>
      <c r="K20" s="134" t="n">
        <v>20</v>
      </c>
      <c r="L20" s="0" t="n">
        <f aca="false">P20</f>
        <v>13.64</v>
      </c>
      <c r="M20" s="37" t="n">
        <f aca="false">ASTROS.MONTEZUMA.CALCTOOLS.CALCFUNCTIONS.PYTHON.INTERPOLATIONIMPL.INTERPO($L20,$E$4:$E$31,$F$4:$F$31)</f>
        <v>4978.46171874132</v>
      </c>
      <c r="O20" s="0" t="n">
        <v>136.4</v>
      </c>
      <c r="P20" s="0" t="n">
        <f aca="false">O20*P$3</f>
        <v>13.64</v>
      </c>
    </row>
    <row r="21" customFormat="false" ht="15.8" hidden="false" customHeight="false" outlineLevel="0" collapsed="false">
      <c r="A21" s="0" t="n">
        <v>18</v>
      </c>
      <c r="B21" s="38" t="n">
        <f aca="false">'6 - B1'!$G$26</f>
        <v>411.006767167519</v>
      </c>
      <c r="C21" s="38" t="n">
        <f aca="false">'6 - B2'!$G$26</f>
        <v>577.236500613833</v>
      </c>
      <c r="D21" s="38" t="n">
        <f aca="false">'6 - B3'!$G$26</f>
        <v>583.626216986233</v>
      </c>
      <c r="E21" s="133" t="n">
        <f aca="false">AVERAGE(B21:D21)</f>
        <v>523.956494922529</v>
      </c>
      <c r="F21" s="37" t="n">
        <v>934.562675678007</v>
      </c>
      <c r="G21" s="0" t="n">
        <f aca="false">'6 - B1'!$L26+'6 - B2'!$L26+'6 - B3'!$L26</f>
        <v>15</v>
      </c>
      <c r="H21" s="38" t="n">
        <f aca="false">STDEVP('6 - B1'!$B26:F26,'6 - B2'!B26:F26,'6 - B3'!B26:F26)/SQRT(G21)</f>
        <v>21.0372731354221</v>
      </c>
      <c r="K21" s="134" t="n">
        <v>21</v>
      </c>
      <c r="L21" s="0" t="n">
        <f aca="false">P21</f>
        <v>11.44</v>
      </c>
      <c r="M21" s="37" t="n">
        <f aca="false">ASTROS.MONTEZUMA.CALCTOOLS.CALCFUNCTIONS.PYTHON.INTERPOLATIONIMPL.INTERPO($L21,$E$4:$E$31,$F$4:$F$31)</f>
        <v>5029.38266728154</v>
      </c>
      <c r="O21" s="0" t="n">
        <v>114.4</v>
      </c>
      <c r="P21" s="0" t="n">
        <f aca="false">O21*P$3</f>
        <v>11.44</v>
      </c>
    </row>
    <row r="22" customFormat="false" ht="15.8" hidden="false" customHeight="false" outlineLevel="0" collapsed="false">
      <c r="A22" s="0" t="n">
        <v>19</v>
      </c>
      <c r="B22" s="38" t="n">
        <f aca="false">'6 - B1'!$G$27</f>
        <v>316.80261206138</v>
      </c>
      <c r="C22" s="38" t="n">
        <f aca="false">'6 - B2'!$G$27</f>
        <v>525.245084702788</v>
      </c>
      <c r="D22" s="38" t="n">
        <f aca="false">'6 - B3'!$G$27</f>
        <v>532.059757917669</v>
      </c>
      <c r="E22" s="133" t="n">
        <f aca="false">AVERAGE(B22:D22)</f>
        <v>458.035818227279</v>
      </c>
      <c r="F22" s="37" t="n">
        <v>1105.20944959212</v>
      </c>
      <c r="G22" s="0" t="n">
        <f aca="false">'6 - B1'!$L27+'6 - B2'!$L27+'6 - B3'!$L27</f>
        <v>15</v>
      </c>
      <c r="H22" s="38" t="n">
        <f aca="false">STDEVP('6 - B1'!$B27:F27,'6 - B2'!B27:F27,'6 - B3'!B27:F27)/SQRT(G22)</f>
        <v>26.0845882171244</v>
      </c>
      <c r="K22" s="134" t="n">
        <v>22</v>
      </c>
      <c r="L22" s="0" t="n">
        <f aca="false">P22</f>
        <v>9.53</v>
      </c>
      <c r="M22" s="37" t="n">
        <f aca="false">ASTROS.MONTEZUMA.CALCTOOLS.CALCFUNCTIONS.PYTHON.INTERPOLATIONIMPL.INTERPO($L22,$E$4:$E$31,$F$4:$F$31)</f>
        <v>5073.59130896874</v>
      </c>
      <c r="O22" s="0" t="n">
        <v>95.3</v>
      </c>
      <c r="P22" s="0" t="n">
        <f aca="false">O22*P$3</f>
        <v>9.53</v>
      </c>
    </row>
    <row r="23" customFormat="false" ht="15.8" hidden="false" customHeight="false" outlineLevel="0" collapsed="false">
      <c r="A23" s="0" t="n">
        <v>20</v>
      </c>
      <c r="B23" s="38" t="n">
        <f aca="false">'6 - B1'!$G$28</f>
        <v>241.897905861824</v>
      </c>
      <c r="C23" s="38" t="n">
        <f aca="false">'6 - B2'!$G$28</f>
        <v>467.721126204487</v>
      </c>
      <c r="D23" s="38" t="n">
        <f aca="false">'6 - B3'!$G$28</f>
        <v>472.285120481152</v>
      </c>
      <c r="E23" s="133" t="n">
        <f aca="false">AVERAGE(B23:D23)</f>
        <v>393.968050849155</v>
      </c>
      <c r="F23" s="37" t="n">
        <v>1307.01552636001</v>
      </c>
      <c r="G23" s="0" t="n">
        <f aca="false">'6 - B1'!$L28+'6 - B2'!$L28+'6 - B3'!$L28</f>
        <v>15</v>
      </c>
      <c r="H23" s="38" t="n">
        <f aca="false">STDEVP('6 - B1'!$B28:F28,'6 - B2'!B28:F28,'6 - B3'!B28:F28)/SQRT(G23)</f>
        <v>27.999403506434</v>
      </c>
      <c r="K23" s="134" t="n">
        <v>23</v>
      </c>
      <c r="L23" s="0" t="n">
        <f aca="false">P23</f>
        <v>7.9</v>
      </c>
      <c r="M23" s="37" t="n">
        <f aca="false">ASTROS.MONTEZUMA.CALCTOOLS.CALCFUNCTIONS.PYTHON.INTERPOLATIONIMPL.INTERPO($L23,$E$4:$E$31,$F$4:$F$31)</f>
        <v>5111.31910265991</v>
      </c>
      <c r="O23" s="0" t="n">
        <v>79</v>
      </c>
      <c r="P23" s="0" t="n">
        <f aca="false">O23*P$3</f>
        <v>7.9</v>
      </c>
    </row>
    <row r="24" customFormat="false" ht="15.8" hidden="false" customHeight="false" outlineLevel="0" collapsed="false">
      <c r="A24" s="0" t="n">
        <v>21</v>
      </c>
      <c r="B24" s="38" t="n">
        <f aca="false">'6 - B1'!$G$29</f>
        <v>183.840387590751</v>
      </c>
      <c r="C24" s="38" t="n">
        <f aca="false">'6 - B2'!$G$29</f>
        <v>398.407153792845</v>
      </c>
      <c r="D24" s="38" t="n">
        <f aca="false">'6 - B3'!$G$29</f>
        <v>399.402624855688</v>
      </c>
      <c r="E24" s="133" t="n">
        <f aca="false">AVERAGE(B24:D24)</f>
        <v>327.216722079761</v>
      </c>
      <c r="F24" s="37" t="n">
        <v>1545.67044896023</v>
      </c>
      <c r="G24" s="0" t="n">
        <f aca="false">'6 - B1'!$L29+'6 - B2'!$L29+'6 - B3'!$L29</f>
        <v>15</v>
      </c>
      <c r="H24" s="38" t="n">
        <f aca="false">STDEVP('6 - B1'!$B29:F29,'6 - B2'!B29:F29,'6 - B3'!B29:F29)/SQRT(G24)</f>
        <v>26.3848980827821</v>
      </c>
      <c r="K24" s="134" t="n">
        <v>24</v>
      </c>
      <c r="L24" s="0" t="n">
        <f aca="false">P24</f>
        <v>6.53</v>
      </c>
      <c r="M24" s="37" t="n">
        <f aca="false">ASTROS.MONTEZUMA.CALCTOOLS.CALCFUNCTIONS.PYTHON.INTERPOLATIONIMPL.INTERPO($L24,$E$4:$E$31,$F$4:$F$31)</f>
        <v>5143.02896606905</v>
      </c>
      <c r="O24" s="0" t="n">
        <v>65.3</v>
      </c>
      <c r="P24" s="0" t="n">
        <f aca="false">O24*P$3</f>
        <v>6.53</v>
      </c>
    </row>
    <row r="25" customFormat="false" ht="15.8" hidden="false" customHeight="false" outlineLevel="0" collapsed="false">
      <c r="A25" s="0" t="n">
        <v>22</v>
      </c>
      <c r="B25" s="38" t="n">
        <f aca="false">'6 - B1'!$G$30</f>
        <v>138.883111869404</v>
      </c>
      <c r="C25" s="38" t="n">
        <f aca="false">'6 - B2'!$G$30</f>
        <v>311.106328011927</v>
      </c>
      <c r="D25" s="38" t="n">
        <f aca="false">'6 - B3'!$G$30</f>
        <v>311.510617117402</v>
      </c>
      <c r="E25" s="133" t="n">
        <f aca="false">AVERAGE(B25:D25)</f>
        <v>253.833352332911</v>
      </c>
      <c r="F25" s="37" t="n">
        <v>1827.90264431094</v>
      </c>
      <c r="G25" s="0" t="n">
        <f aca="false">'6 - B1'!$L30+'6 - B2'!$L30+'6 - B3'!$L30</f>
        <v>15</v>
      </c>
      <c r="H25" s="38" t="n">
        <f aca="false">STDEVP('6 - B1'!$B30:F30,'6 - B2'!B30:F30,'6 - B3'!B30:F30)/SQRT(G25)</f>
        <v>21.1766556365978</v>
      </c>
      <c r="K25" s="134" t="n">
        <v>25</v>
      </c>
      <c r="L25" s="0" t="n">
        <f aca="false">P25</f>
        <v>5.38</v>
      </c>
      <c r="M25" s="37" t="n">
        <f aca="false">ASTROS.MONTEZUMA.CALCTOOLS.CALCFUNCTIONS.PYTHON.INTERPOLATIONIMPL.INTERPO($L25,$E$4:$E$31,$F$4:$F$31)</f>
        <v>5169.64673462417</v>
      </c>
      <c r="O25" s="0" t="n">
        <v>53.8</v>
      </c>
      <c r="P25" s="0" t="n">
        <f aca="false">O25*P$3</f>
        <v>5.38</v>
      </c>
    </row>
    <row r="26" customFormat="false" ht="15.8" hidden="false" customHeight="false" outlineLevel="0" collapsed="false">
      <c r="A26" s="0" t="n">
        <v>23</v>
      </c>
      <c r="B26" s="38" t="n">
        <f aca="false">'6 - B1'!$G$31</f>
        <v>104.06795955145</v>
      </c>
      <c r="C26" s="38" t="n">
        <f aca="false">'6 - B2'!$G$31</f>
        <v>225.176364839641</v>
      </c>
      <c r="D26" s="38" t="n">
        <f aca="false">'6 - B3'!$G$31</f>
        <v>223.733735271001</v>
      </c>
      <c r="E26" s="133" t="n">
        <f aca="false">AVERAGE(B26:D26)</f>
        <v>184.326019887364</v>
      </c>
      <c r="F26" s="37" t="n">
        <v>2161.66911861877</v>
      </c>
      <c r="G26" s="0" t="n">
        <f aca="false">'6 - B1'!$L31+'6 - B2'!$L31+'6 - B3'!$L31</f>
        <v>15</v>
      </c>
      <c r="H26" s="38" t="n">
        <f aca="false">STDEVP('6 - B1'!$B31:F31,'6 - B2'!B31:F31,'6 - B3'!B31:F31)/SQRT(G26)</f>
        <v>14.9026189831811</v>
      </c>
      <c r="K26" s="134" t="n">
        <v>26</v>
      </c>
      <c r="L26" s="0" t="n">
        <f aca="false">P26</f>
        <v>4.46</v>
      </c>
      <c r="M26" s="37" t="n">
        <f aca="false">ASTROS.MONTEZUMA.CALCTOOLS.CALCFUNCTIONS.PYTHON.INTERPOLATIONIMPL.INTERPO($L26,$E$4:$E$31,$F$4:$F$31)</f>
        <v>5190.94094946826</v>
      </c>
      <c r="O26" s="0" t="n">
        <v>44.6</v>
      </c>
      <c r="P26" s="0" t="n">
        <f aca="false">O26*P$3</f>
        <v>4.46</v>
      </c>
    </row>
    <row r="27" customFormat="false" ht="15.8" hidden="false" customHeight="false" outlineLevel="0" collapsed="false">
      <c r="A27" s="0" t="n">
        <v>24</v>
      </c>
      <c r="B27" s="38" t="n">
        <f aca="false">'6 - B1'!$G$32</f>
        <v>76.7029104922512</v>
      </c>
      <c r="C27" s="38" t="n">
        <f aca="false">'6 - B2'!$G$32</f>
        <v>156.1028961514</v>
      </c>
      <c r="D27" s="38" t="n">
        <f aca="false">'6 - B3'!$G$32</f>
        <v>155.279573201537</v>
      </c>
      <c r="E27" s="133" t="n">
        <f aca="false">AVERAGE(B27:D27)</f>
        <v>129.36179328173</v>
      </c>
      <c r="F27" s="37" t="n">
        <v>2556.37979021116</v>
      </c>
      <c r="G27" s="0" t="n">
        <f aca="false">'6 - B1'!$L32+'6 - B2'!$L32+'6 - B3'!$L32</f>
        <v>15</v>
      </c>
      <c r="H27" s="38" t="n">
        <f aca="false">STDEVP('6 - B1'!$B32:F32,'6 - B2'!B32:F32,'6 - B3'!B32:F32)/SQRT(G27)</f>
        <v>9.84219154588844</v>
      </c>
      <c r="K27" s="134" t="n">
        <v>27</v>
      </c>
      <c r="L27" s="0" t="n">
        <f aca="false">P27</f>
        <v>3.7</v>
      </c>
      <c r="M27" s="37" t="n">
        <f aca="false">ASTROS.MONTEZUMA.CALCTOOLS.CALCFUNCTIONS.PYTHON.INTERPOLATIONIMPL.INTERPO($L27,$E$4:$E$31,$F$4:$F$31)</f>
        <v>5208.53182260034</v>
      </c>
      <c r="O27" s="0" t="n">
        <v>37</v>
      </c>
      <c r="P27" s="0" t="n">
        <f aca="false">O27*P$3</f>
        <v>3.7</v>
      </c>
    </row>
    <row r="28" customFormat="false" ht="15.8" hidden="false" customHeight="false" outlineLevel="0" collapsed="false">
      <c r="A28" s="0" t="n">
        <v>25</v>
      </c>
      <c r="B28" s="38" t="n">
        <f aca="false">'6 - B1'!$G$33</f>
        <v>54.5236096480416</v>
      </c>
      <c r="C28" s="38" t="n">
        <f aca="false">'6 - B2'!$G$33</f>
        <v>109.5373777924</v>
      </c>
      <c r="D28" s="38" t="n">
        <f aca="false">'6 - B3'!$G$33</f>
        <v>109.109939318029</v>
      </c>
      <c r="E28" s="133" t="n">
        <f aca="false">AVERAGE(B28:D28)</f>
        <v>91.0569755861569</v>
      </c>
      <c r="F28" s="37" t="n">
        <v>3023.16278449486</v>
      </c>
      <c r="G28" s="0" t="n">
        <f aca="false">'6 - B1'!$L33+'6 - B2'!$L33+'6 - B3'!$L33</f>
        <v>15</v>
      </c>
      <c r="H28" s="38" t="n">
        <f aca="false">STDEVP('6 - B1'!$B33:F33,'6 - B2'!B33:F33,'6 - B3'!B33:F33)/SQRT(G28)</f>
        <v>6.8626958371489</v>
      </c>
      <c r="K28" s="134" t="n">
        <v>28</v>
      </c>
      <c r="L28" s="0" t="n">
        <f aca="false">P28</f>
        <v>3.07</v>
      </c>
      <c r="M28" s="37" t="n">
        <f aca="false">ASTROS.MONTEZUMA.CALCTOOLS.CALCFUNCTIONS.PYTHON.INTERPOLATIONIMPL.INTERPO($L28,$E$4:$E$31,$F$4:$F$31)</f>
        <v>5223.1137305914</v>
      </c>
      <c r="O28" s="0" t="n">
        <v>30.7</v>
      </c>
      <c r="P28" s="0" t="n">
        <f aca="false">O28*P$3</f>
        <v>3.07</v>
      </c>
    </row>
    <row r="29" customFormat="false" ht="15.8" hidden="false" customHeight="false" outlineLevel="0" collapsed="false">
      <c r="A29" s="0" t="n">
        <v>26</v>
      </c>
      <c r="B29" s="38" t="n">
        <f aca="false">'6 - B1'!$G$34</f>
        <v>39.6871448718916</v>
      </c>
      <c r="C29" s="38" t="n">
        <f aca="false">'6 - B2'!$G$34</f>
        <v>77.0745687071496</v>
      </c>
      <c r="D29" s="38" t="n">
        <f aca="false">'6 - B3'!$G$34</f>
        <v>76.9236570064184</v>
      </c>
      <c r="E29" s="133" t="n">
        <f aca="false">AVERAGE(B29:D29)</f>
        <v>64.5617901951532</v>
      </c>
      <c r="F29" s="37" t="n">
        <v>3575.17817053302</v>
      </c>
      <c r="G29" s="0" t="n">
        <f aca="false">'6 - B1'!$L34+'6 - B2'!$L34+'6 - B3'!$L34</f>
        <v>15</v>
      </c>
      <c r="H29" s="38" t="n">
        <f aca="false">STDEVP('6 - B1'!$B34:F34,'6 - B2'!B34:F34,'6 - B3'!B34:F34)/SQRT(G29)</f>
        <v>4.74299645687414</v>
      </c>
      <c r="K29" s="134" t="n">
        <v>29</v>
      </c>
      <c r="L29" s="0" t="n">
        <f aca="false">P29</f>
        <v>2.52</v>
      </c>
      <c r="M29" s="37" t="n">
        <f aca="false">ASTROS.MONTEZUMA.CALCTOOLS.CALCFUNCTIONS.PYTHON.INTERPOLATIONIMPL.INTERPO($L29,$E$4:$E$31,$F$4:$F$31)</f>
        <v>5235.84396772646</v>
      </c>
      <c r="O29" s="0" t="n">
        <v>25.2</v>
      </c>
      <c r="P29" s="0" t="n">
        <f aca="false">O29*P$3</f>
        <v>2.52</v>
      </c>
    </row>
    <row r="30" customFormat="false" ht="15.8" hidden="false" customHeight="false" outlineLevel="0" collapsed="false">
      <c r="A30" s="0" t="n">
        <v>27</v>
      </c>
      <c r="B30" s="38" t="n">
        <f aca="false">'6 - B1'!$G$35</f>
        <v>26.9510922878096</v>
      </c>
      <c r="C30" s="38" t="n">
        <f aca="false">'6 - B2'!$G$35</f>
        <v>55.2986136873441</v>
      </c>
      <c r="D30" s="38" t="n">
        <f aca="false">'6 - B3'!$G$35</f>
        <v>55.9410674155422</v>
      </c>
      <c r="E30" s="133" t="n">
        <f aca="false">AVERAGE(B30:D30)</f>
        <v>46.063591130232</v>
      </c>
      <c r="F30" s="37" t="n">
        <v>4227.98898445409</v>
      </c>
      <c r="G30" s="0" t="n">
        <f aca="false">'6 - B1'!$L35+'6 - B2'!$L35+'6 - B3'!$L35</f>
        <v>15</v>
      </c>
      <c r="H30" s="38" t="n">
        <f aca="false">STDEVP('6 - B1'!$B35:F35,'6 - B2'!B35:F35,'6 - B3'!B35:F35)/SQRT(G30)</f>
        <v>3.71301934996472</v>
      </c>
      <c r="K30" s="134" t="n">
        <v>30</v>
      </c>
      <c r="L30" s="0" t="n">
        <f aca="false">P30</f>
        <v>2.01</v>
      </c>
      <c r="M30" s="37" t="n">
        <f aca="false">ASTROS.MONTEZUMA.CALCTOOLS.CALCFUNCTIONS.PYTHON.INTERPOLATIONIMPL.INTERPO($L30,$E$4:$E$31,$F$4:$F$31)</f>
        <v>5247.64836943351</v>
      </c>
      <c r="O30" s="0" t="n">
        <v>20.1</v>
      </c>
      <c r="P30" s="0" t="n">
        <f aca="false">O30*P$3</f>
        <v>2.01</v>
      </c>
    </row>
    <row r="31" customFormat="false" ht="15.8" hidden="false" customHeight="false" outlineLevel="0" collapsed="false">
      <c r="A31" s="0" t="n">
        <v>28</v>
      </c>
      <c r="B31" s="38" t="n">
        <f aca="false">'6 - B1'!$G$36</f>
        <v>18.1724276347106</v>
      </c>
      <c r="C31" s="38" t="n">
        <f aca="false">'6 - B2'!$G$36</f>
        <v>9.90248466474076</v>
      </c>
      <c r="D31" s="38" t="n">
        <f aca="false">'6 - B3'!$G$36</f>
        <v>10.0534536013708</v>
      </c>
      <c r="E31" s="133" t="n">
        <f aca="false">AVERAGE(B31:D31)</f>
        <v>12.709455300274</v>
      </c>
      <c r="F31" s="37" t="n">
        <v>5000.00000000001</v>
      </c>
      <c r="G31" s="0" t="n">
        <f aca="false">'6 - B1'!$L36+'6 - B2'!$L36+'6 - B3'!$L36</f>
        <v>15</v>
      </c>
      <c r="H31" s="38" t="n">
        <f aca="false">STDEVP('6 - B1'!$B36:F36,'6 - B2'!B36:F36,'6 - B3'!B36:F36)/SQRT(G31)</f>
        <v>1.16872810697382</v>
      </c>
      <c r="K31" s="134"/>
    </row>
    <row r="32" customFormat="false" ht="15.8" hidden="false" customHeight="false" outlineLevel="0" collapsed="false">
      <c r="B32" s="38"/>
    </row>
    <row r="33" customFormat="false" ht="15.8" hidden="false" customHeight="false" outlineLevel="0" collapsed="false">
      <c r="B33" s="38"/>
    </row>
    <row r="42" customFormat="false" ht="15.8" hidden="false" customHeight="false" outlineLevel="0" collapsed="false">
      <c r="M42" s="135"/>
      <c r="N42" s="135"/>
      <c r="O42" s="135"/>
      <c r="P42" s="135"/>
      <c r="Q42" s="135"/>
      <c r="R42" s="135"/>
      <c r="S42" s="135"/>
      <c r="T42" s="135"/>
      <c r="U42" s="135"/>
      <c r="V42" s="135"/>
      <c r="W42" s="135"/>
      <c r="X42" s="135"/>
      <c r="Y42" s="135"/>
      <c r="Z42" s="135"/>
      <c r="AA42" s="135"/>
      <c r="AB42" s="135"/>
      <c r="AC42" s="135"/>
      <c r="AD42" s="135"/>
      <c r="AE42" s="135"/>
      <c r="AF42" s="135"/>
      <c r="AG42" s="135"/>
      <c r="AH42" s="135"/>
      <c r="AI42" s="135"/>
      <c r="AJ42" s="135"/>
      <c r="AK42" s="135"/>
      <c r="AL42" s="135"/>
      <c r="AM42" s="135"/>
      <c r="AN42" s="135"/>
    </row>
    <row r="45" customFormat="false" ht="15.8" hidden="false" customHeight="false" outlineLevel="0" collapsed="false">
      <c r="M45" s="135"/>
    </row>
    <row r="46" customFormat="false" ht="15.8" hidden="false" customHeight="false" outlineLevel="0" collapsed="false">
      <c r="M46" s="135"/>
    </row>
    <row r="47" customFormat="false" ht="15.8" hidden="false" customHeight="false" outlineLevel="0" collapsed="false">
      <c r="M47" s="135"/>
    </row>
    <row r="48" customFormat="false" ht="15.8" hidden="false" customHeight="false" outlineLevel="0" collapsed="false">
      <c r="M48" s="135"/>
    </row>
    <row r="49" customFormat="false" ht="15.8" hidden="false" customHeight="false" outlineLevel="0" collapsed="false">
      <c r="M49" s="135"/>
    </row>
    <row r="50" customFormat="false" ht="15.8" hidden="false" customHeight="false" outlineLevel="0" collapsed="false">
      <c r="M50" s="135"/>
    </row>
    <row r="51" customFormat="false" ht="15.8" hidden="false" customHeight="false" outlineLevel="0" collapsed="false">
      <c r="M51" s="135"/>
    </row>
    <row r="52" customFormat="false" ht="15.8" hidden="false" customHeight="false" outlineLevel="0" collapsed="false">
      <c r="M52" s="135"/>
    </row>
    <row r="53" customFormat="false" ht="15.8" hidden="false" customHeight="false" outlineLevel="0" collapsed="false">
      <c r="M53" s="135"/>
    </row>
    <row r="54" customFormat="false" ht="15.8" hidden="false" customHeight="false" outlineLevel="0" collapsed="false">
      <c r="M54" s="135"/>
    </row>
    <row r="55" customFormat="false" ht="15.8" hidden="false" customHeight="false" outlineLevel="0" collapsed="false">
      <c r="M55" s="135"/>
    </row>
    <row r="56" customFormat="false" ht="15.8" hidden="false" customHeight="false" outlineLevel="0" collapsed="false">
      <c r="M56" s="135"/>
    </row>
    <row r="57" customFormat="false" ht="15.8" hidden="false" customHeight="false" outlineLevel="0" collapsed="false">
      <c r="M57" s="135"/>
    </row>
    <row r="58" customFormat="false" ht="15.8" hidden="false" customHeight="false" outlineLevel="0" collapsed="false">
      <c r="M58" s="135"/>
    </row>
    <row r="59" customFormat="false" ht="15.8" hidden="false" customHeight="false" outlineLevel="0" collapsed="false">
      <c r="M59" s="135"/>
    </row>
    <row r="60" customFormat="false" ht="15.8" hidden="false" customHeight="false" outlineLevel="0" collapsed="false">
      <c r="M60" s="135"/>
    </row>
    <row r="61" customFormat="false" ht="15.8" hidden="false" customHeight="false" outlineLevel="0" collapsed="false">
      <c r="M61" s="135"/>
    </row>
    <row r="62" customFormat="false" ht="15.8" hidden="false" customHeight="false" outlineLevel="0" collapsed="false">
      <c r="M62" s="135"/>
    </row>
    <row r="63" customFormat="false" ht="15.8" hidden="false" customHeight="false" outlineLevel="0" collapsed="false">
      <c r="M63" s="135"/>
    </row>
    <row r="64" customFormat="false" ht="15.8" hidden="false" customHeight="false" outlineLevel="0" collapsed="false">
      <c r="M64" s="135"/>
    </row>
    <row r="65" customFormat="false" ht="15.8" hidden="false" customHeight="false" outlineLevel="0" collapsed="false">
      <c r="M65" s="135"/>
    </row>
    <row r="66" customFormat="false" ht="15.8" hidden="false" customHeight="false" outlineLevel="0" collapsed="false">
      <c r="M66" s="135"/>
    </row>
    <row r="67" customFormat="false" ht="15.8" hidden="false" customHeight="false" outlineLevel="0" collapsed="false">
      <c r="M67" s="135"/>
    </row>
    <row r="68" customFormat="false" ht="15.8" hidden="false" customHeight="false" outlineLevel="0" collapsed="false">
      <c r="M68" s="135"/>
    </row>
    <row r="69" customFormat="false" ht="15.8" hidden="false" customHeight="false" outlineLevel="0" collapsed="false">
      <c r="M69" s="135"/>
    </row>
    <row r="70" customFormat="false" ht="15.8" hidden="false" customHeight="false" outlineLevel="0" collapsed="false">
      <c r="M70" s="135"/>
    </row>
    <row r="71" customFormat="false" ht="15.8" hidden="false" customHeight="false" outlineLevel="0" collapsed="false">
      <c r="M71" s="135"/>
    </row>
    <row r="72" customFormat="false" ht="15.8" hidden="false" customHeight="false" outlineLevel="0" collapsed="false">
      <c r="M72" s="135"/>
    </row>
  </sheetData>
  <mergeCells count="1">
    <mergeCell ref="K1:O1"/>
  </mergeCells>
  <printOptions headings="false" gridLines="false" gridLinesSet="true" horizontalCentered="false" verticalCentered="false"/>
  <pageMargins left="0.7875" right="0.7875" top="1.05277777777778" bottom="1.74166666666667" header="0.7875" footer="0.7875"/>
  <pageSetup paperSize="9" scale="110" fitToWidth="1" fitToHeight="1" pageOrder="downThenOver" orientation="landscape" blackAndWhite="false" draft="false" cellComments="none" horizontalDpi="300" verticalDpi="300" copies="1"/>
  <headerFooter differentFirst="false" differentOddEven="false">
    <oddHeader>&amp;C&amp;"Times New Roman,Regular"&amp;12&amp;Kffffff&amp;A</oddHeader>
    <oddFooter>&amp;C&amp;"Times New Roman,Regular"&amp;12&amp;KffffffPage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55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G42" activeCellId="0" sqref="G42"/>
    </sheetView>
  </sheetViews>
  <sheetFormatPr defaultColWidth="10.4921875" defaultRowHeight="12.8" zeroHeight="false" outlineLevelRow="0" outlineLevelCol="0"/>
  <cols>
    <col collapsed="false" customWidth="true" hidden="false" outlineLevel="0" max="1" min="1" style="0" width="27.57"/>
    <col collapsed="false" customWidth="true" hidden="false" outlineLevel="0" max="10" min="10" style="0" width="5.93"/>
    <col collapsed="false" customWidth="true" hidden="false" outlineLevel="0" max="11" min="11" style="0" width="13.41"/>
  </cols>
  <sheetData>
    <row r="1" customFormat="false" ht="15.8" hidden="false" customHeight="false" outlineLevel="0" collapsed="false">
      <c r="A1" s="9" t="s">
        <v>21</v>
      </c>
      <c r="B1" s="9"/>
      <c r="C1" s="17"/>
      <c r="D1" s="14" t="s">
        <v>208</v>
      </c>
    </row>
    <row r="2" customFormat="false" ht="15.8" hidden="false" customHeight="false" outlineLevel="0" collapsed="false">
      <c r="A2" s="9" t="s">
        <v>23</v>
      </c>
      <c r="B2" s="9"/>
      <c r="C2" s="9"/>
      <c r="D2" s="9" t="n">
        <v>61110029</v>
      </c>
    </row>
    <row r="3" customFormat="false" ht="15.8" hidden="false" customHeight="false" outlineLevel="0" collapsed="false">
      <c r="A3" s="9" t="s">
        <v>27</v>
      </c>
      <c r="B3" s="9"/>
      <c r="C3" s="9"/>
      <c r="D3" s="136"/>
    </row>
    <row r="4" customFormat="false" ht="15.8" hidden="false" customHeight="false" outlineLevel="0" collapsed="false">
      <c r="A4" s="9" t="s">
        <v>26</v>
      </c>
      <c r="B4" s="9"/>
      <c r="C4" s="9"/>
      <c r="D4" s="9" t="n">
        <v>61110029</v>
      </c>
    </row>
    <row r="5" customFormat="false" ht="15.8" hidden="false" customHeight="false" outlineLevel="0" collapsed="false">
      <c r="A5" s="9" t="s">
        <v>25</v>
      </c>
      <c r="B5" s="9"/>
      <c r="C5" s="9"/>
      <c r="D5" s="14" t="s">
        <v>209</v>
      </c>
    </row>
    <row r="6" customFormat="false" ht="15.8" hidden="false" customHeight="false" outlineLevel="0" collapsed="false">
      <c r="A6" s="17" t="s">
        <v>120</v>
      </c>
      <c r="B6" s="9"/>
      <c r="C6" s="9"/>
      <c r="D6" s="11" t="s">
        <v>210</v>
      </c>
    </row>
    <row r="7" customFormat="false" ht="15.8" hidden="false" customHeight="false" outlineLevel="0" collapsed="false">
      <c r="A7" s="9" t="s">
        <v>28</v>
      </c>
      <c r="B7" s="9"/>
      <c r="C7" s="9"/>
      <c r="D7" s="13" t="s">
        <v>29</v>
      </c>
    </row>
    <row r="8" customFormat="false" ht="15.8" hidden="false" customHeight="false" outlineLevel="0" collapsed="false"/>
    <row r="9" customFormat="false" ht="15.8" hidden="false" customHeight="false" outlineLevel="0" collapsed="false"/>
    <row r="10" customFormat="false" ht="15.8" hidden="false" customHeight="false" outlineLevel="0" collapsed="false">
      <c r="A10" s="26" t="s">
        <v>211</v>
      </c>
      <c r="B10" s="26"/>
      <c r="C10" s="26"/>
      <c r="D10" s="26"/>
    </row>
    <row r="11" customFormat="false" ht="15.8" hidden="false" customHeight="false" outlineLevel="0" collapsed="false">
      <c r="A11" s="26"/>
      <c r="B11" s="26"/>
      <c r="C11" s="26"/>
      <c r="D11" s="26"/>
      <c r="H11" s="5"/>
    </row>
    <row r="12" customFormat="false" ht="15.8" hidden="false" customHeight="false" outlineLevel="0" collapsed="false">
      <c r="A12" s="137" t="n">
        <v>49.4</v>
      </c>
      <c r="B12" s="138" t="s">
        <v>212</v>
      </c>
      <c r="C12" s="138" t="s">
        <v>213</v>
      </c>
      <c r="D12" s="139"/>
      <c r="F12" s="140" t="n">
        <v>39</v>
      </c>
      <c r="G12" s="138" t="s">
        <v>212</v>
      </c>
      <c r="H12" s="138" t="s">
        <v>213</v>
      </c>
      <c r="I12" s="107"/>
      <c r="J12" s="108"/>
      <c r="M12" s="137" t="n">
        <v>69.7</v>
      </c>
      <c r="N12" s="138" t="s">
        <v>212</v>
      </c>
      <c r="O12" s="138" t="s">
        <v>213</v>
      </c>
      <c r="P12" s="107"/>
      <c r="Q12" s="108"/>
    </row>
    <row r="13" customFormat="false" ht="15.8" hidden="false" customHeight="false" outlineLevel="0" collapsed="false">
      <c r="A13" s="141" t="n">
        <f aca="false">(4/3)*(3.1415936)*((A12*0.000001/2)^3)</f>
        <v>6.3121832711697E-014</v>
      </c>
      <c r="B13" s="26" t="s">
        <v>214</v>
      </c>
      <c r="C13" s="26" t="s">
        <v>215</v>
      </c>
      <c r="D13" s="142"/>
      <c r="F13" s="141" t="n">
        <f aca="false">(4/3)*(3.1415936)*((F12*0.000001/2)^3)</f>
        <v>3.10593651264E-014</v>
      </c>
      <c r="G13" s="26" t="s">
        <v>214</v>
      </c>
      <c r="H13" s="26" t="s">
        <v>215</v>
      </c>
      <c r="J13" s="113"/>
      <c r="M13" s="141" t="n">
        <f aca="false">(4/3)*(3.1415936)*((M12*0.000001/2)^3)</f>
        <v>1.77295244720002E-013</v>
      </c>
      <c r="N13" s="26" t="s">
        <v>214</v>
      </c>
      <c r="O13" s="26" t="s">
        <v>215</v>
      </c>
      <c r="Q13" s="113"/>
    </row>
    <row r="14" customFormat="false" ht="15.8" hidden="false" customHeight="false" outlineLevel="0" collapsed="false">
      <c r="A14" s="141" t="n">
        <f aca="false">A13*1.05*1000</f>
        <v>6.62779243472819E-011</v>
      </c>
      <c r="B14" s="26" t="s">
        <v>216</v>
      </c>
      <c r="C14" s="26" t="s">
        <v>217</v>
      </c>
      <c r="D14" s="142"/>
      <c r="F14" s="141" t="n">
        <f aca="false">F13*1.05*1000</f>
        <v>3.261233338272E-011</v>
      </c>
      <c r="G14" s="26" t="s">
        <v>216</v>
      </c>
      <c r="H14" s="26" t="s">
        <v>217</v>
      </c>
      <c r="J14" s="113"/>
      <c r="M14" s="141" t="n">
        <f aca="false">M13*1.05*1000</f>
        <v>1.86160006956002E-010</v>
      </c>
      <c r="N14" s="26" t="s">
        <v>216</v>
      </c>
      <c r="O14" s="26" t="s">
        <v>217</v>
      </c>
      <c r="Q14" s="113"/>
    </row>
    <row r="15" customFormat="false" ht="15.8" hidden="false" customHeight="false" outlineLevel="0" collapsed="false">
      <c r="A15" s="141" t="n">
        <f aca="false">0.000001/A14</f>
        <v>15087.980045365</v>
      </c>
      <c r="B15" s="26" t="s">
        <v>218</v>
      </c>
      <c r="C15" s="26" t="s">
        <v>219</v>
      </c>
      <c r="D15" s="142"/>
      <c r="F15" s="141" t="n">
        <f aca="false">0.000001/F14</f>
        <v>30663.2459647877</v>
      </c>
      <c r="G15" s="26" t="s">
        <v>218</v>
      </c>
      <c r="H15" s="26" t="s">
        <v>219</v>
      </c>
      <c r="J15" s="113"/>
      <c r="M15" s="141" t="n">
        <f aca="false">0.000001/M14</f>
        <v>5371.72304809993</v>
      </c>
      <c r="N15" s="26" t="s">
        <v>218</v>
      </c>
      <c r="O15" s="26" t="s">
        <v>219</v>
      </c>
      <c r="Q15" s="113"/>
    </row>
    <row r="16" customFormat="false" ht="15.8" hidden="false" customHeight="false" outlineLevel="0" collapsed="false">
      <c r="A16" s="143" t="n">
        <v>5000</v>
      </c>
      <c r="B16" s="26"/>
      <c r="C16" s="26" t="s">
        <v>220</v>
      </c>
      <c r="D16" s="142"/>
      <c r="F16" s="143" t="n">
        <v>3000</v>
      </c>
      <c r="G16" s="26"/>
      <c r="H16" s="26" t="s">
        <v>220</v>
      </c>
      <c r="J16" s="113"/>
      <c r="M16" s="143" t="n">
        <v>2000</v>
      </c>
      <c r="N16" s="26"/>
      <c r="O16" s="26" t="s">
        <v>220</v>
      </c>
      <c r="Q16" s="113"/>
    </row>
    <row r="17" customFormat="false" ht="15.8" hidden="false" customHeight="false" outlineLevel="0" collapsed="false">
      <c r="A17" s="144" t="n">
        <f aca="false">A16/A15*1000</f>
        <v>331.38962173641</v>
      </c>
      <c r="B17" s="26" t="s">
        <v>62</v>
      </c>
      <c r="C17" s="26" t="s">
        <v>221</v>
      </c>
      <c r="D17" s="142"/>
      <c r="F17" s="144" t="n">
        <f aca="false">F16/F15*1000</f>
        <v>97.83700014816</v>
      </c>
      <c r="G17" s="26" t="s">
        <v>62</v>
      </c>
      <c r="H17" s="26" t="s">
        <v>221</v>
      </c>
      <c r="J17" s="113"/>
      <c r="M17" s="144" t="n">
        <f aca="false">M16/M15*1000</f>
        <v>372.320013912004</v>
      </c>
      <c r="N17" s="26" t="s">
        <v>62</v>
      </c>
      <c r="O17" s="26" t="s">
        <v>221</v>
      </c>
      <c r="Q17" s="113"/>
    </row>
    <row r="18" customFormat="false" ht="15.8" hidden="false" customHeight="false" outlineLevel="0" collapsed="false">
      <c r="A18" s="145" t="n">
        <v>0.2028</v>
      </c>
      <c r="B18" s="26" t="s">
        <v>222</v>
      </c>
      <c r="C18" s="26" t="s">
        <v>223</v>
      </c>
      <c r="D18" s="142"/>
      <c r="F18" s="145" t="n">
        <v>0.1</v>
      </c>
      <c r="G18" s="26" t="s">
        <v>222</v>
      </c>
      <c r="H18" s="26" t="s">
        <v>223</v>
      </c>
      <c r="J18" s="113"/>
      <c r="M18" s="145" t="n">
        <v>0.2</v>
      </c>
      <c r="N18" s="26" t="s">
        <v>222</v>
      </c>
      <c r="O18" s="26" t="s">
        <v>223</v>
      </c>
      <c r="Q18" s="113"/>
    </row>
    <row r="19" customFormat="false" ht="15.8" hidden="false" customHeight="false" outlineLevel="0" collapsed="false">
      <c r="A19" s="144" t="n">
        <f aca="false">A18*A17</f>
        <v>67.2058152881439</v>
      </c>
      <c r="B19" s="26" t="s">
        <v>60</v>
      </c>
      <c r="C19" s="26" t="s">
        <v>224</v>
      </c>
      <c r="D19" s="142"/>
      <c r="F19" s="144" t="n">
        <f aca="false">F18*F17</f>
        <v>9.783700014816</v>
      </c>
      <c r="G19" s="26" t="s">
        <v>60</v>
      </c>
      <c r="H19" s="26" t="s">
        <v>224</v>
      </c>
      <c r="J19" s="113"/>
      <c r="M19" s="144" t="n">
        <f aca="false">M18*M17</f>
        <v>74.4640027824009</v>
      </c>
      <c r="N19" s="26" t="s">
        <v>60</v>
      </c>
      <c r="O19" s="26" t="s">
        <v>224</v>
      </c>
      <c r="Q19" s="113"/>
    </row>
    <row r="20" customFormat="false" ht="15.8" hidden="false" customHeight="false" outlineLevel="0" collapsed="false">
      <c r="A20" s="145" t="n">
        <v>67.2</v>
      </c>
      <c r="B20" s="26" t="s">
        <v>60</v>
      </c>
      <c r="C20" s="26" t="s">
        <v>225</v>
      </c>
      <c r="D20" s="142"/>
      <c r="F20" s="145" t="n">
        <v>13.46</v>
      </c>
      <c r="G20" s="26" t="s">
        <v>60</v>
      </c>
      <c r="H20" s="26" t="s">
        <v>225</v>
      </c>
      <c r="J20" s="113"/>
      <c r="M20" s="145" t="n">
        <v>77.57</v>
      </c>
      <c r="N20" s="26" t="s">
        <v>60</v>
      </c>
      <c r="O20" s="26" t="s">
        <v>225</v>
      </c>
      <c r="Q20" s="113"/>
    </row>
    <row r="21" customFormat="false" ht="15.8" hidden="false" customHeight="false" outlineLevel="0" collapsed="false">
      <c r="A21" s="146" t="n">
        <f aca="false">A20/A19*A16</f>
        <v>4999.56735231029</v>
      </c>
      <c r="B21" s="26" t="s">
        <v>226</v>
      </c>
      <c r="C21" s="26" t="s">
        <v>227</v>
      </c>
      <c r="D21" s="142"/>
      <c r="F21" s="146" t="n">
        <f aca="false">F20/F19*F16</f>
        <v>4127.27290686042</v>
      </c>
      <c r="G21" s="26" t="s">
        <v>226</v>
      </c>
      <c r="H21" s="26" t="s">
        <v>227</v>
      </c>
      <c r="J21" s="113"/>
      <c r="M21" s="146" t="n">
        <f aca="false">M20/M19*M16</f>
        <v>2083.42278420556</v>
      </c>
      <c r="N21" s="26" t="s">
        <v>226</v>
      </c>
      <c r="O21" s="26" t="s">
        <v>227</v>
      </c>
      <c r="Q21" s="113"/>
    </row>
    <row r="22" customFormat="false" ht="15.8" hidden="false" customHeight="false" outlineLevel="0" collapsed="false">
      <c r="A22" s="112"/>
      <c r="D22" s="113"/>
      <c r="F22" s="147" t="n">
        <f aca="false">F20*F15</f>
        <v>412727.290686042</v>
      </c>
      <c r="H22" s="0" t="s">
        <v>228</v>
      </c>
      <c r="J22" s="113"/>
      <c r="M22" s="147" t="n">
        <f aca="false">M20*M15</f>
        <v>416684.556841111</v>
      </c>
      <c r="O22" s="0" t="s">
        <v>228</v>
      </c>
      <c r="Q22" s="113"/>
    </row>
    <row r="23" customFormat="false" ht="15.8" hidden="false" customHeight="false" outlineLevel="0" collapsed="false">
      <c r="A23" s="112"/>
      <c r="D23" s="113"/>
      <c r="F23" s="147" t="n">
        <f aca="false">F21/F16*F18*1000</f>
        <v>137.575763562014</v>
      </c>
      <c r="G23" s="0" t="s">
        <v>64</v>
      </c>
      <c r="H23" s="0" t="s">
        <v>229</v>
      </c>
      <c r="J23" s="113"/>
      <c r="M23" s="147" t="n">
        <f aca="false">M21/M16*M18*1000</f>
        <v>208.342278420556</v>
      </c>
      <c r="N23" s="0" t="s">
        <v>64</v>
      </c>
      <c r="O23" s="0" t="s">
        <v>229</v>
      </c>
      <c r="Q23" s="113"/>
    </row>
    <row r="24" customFormat="false" ht="15.8" hidden="false" customHeight="false" outlineLevel="0" collapsed="false">
      <c r="A24" s="112"/>
      <c r="D24" s="113"/>
      <c r="F24" s="147" t="n">
        <f aca="false">F23-F18*1000</f>
        <v>37.5757635620141</v>
      </c>
      <c r="G24" s="0" t="s">
        <v>64</v>
      </c>
      <c r="H24" s="0" t="s">
        <v>230</v>
      </c>
      <c r="J24" s="113"/>
      <c r="M24" s="147" t="n">
        <f aca="false">M23-M18*1000</f>
        <v>8.34227842055566</v>
      </c>
      <c r="N24" s="0" t="s">
        <v>64</v>
      </c>
      <c r="O24" s="0" t="s">
        <v>230</v>
      </c>
      <c r="Q24" s="113"/>
    </row>
    <row r="25" customFormat="false" ht="15.8" hidden="false" customHeight="false" outlineLevel="0" collapsed="false">
      <c r="A25" s="112"/>
      <c r="D25" s="113"/>
      <c r="F25" s="112"/>
      <c r="J25" s="113"/>
      <c r="M25" s="112"/>
      <c r="Q25" s="113"/>
    </row>
    <row r="26" customFormat="false" ht="15.8" hidden="false" customHeight="false" outlineLevel="0" collapsed="false">
      <c r="A26" s="112"/>
      <c r="D26" s="113"/>
      <c r="F26" s="112"/>
      <c r="J26" s="113"/>
      <c r="M26" s="112"/>
      <c r="Q26" s="113"/>
    </row>
    <row r="27" customFormat="false" ht="15.8" hidden="false" customHeight="false" outlineLevel="0" collapsed="false">
      <c r="A27" s="112" t="s">
        <v>202</v>
      </c>
      <c r="D27" s="113"/>
      <c r="F27" s="112" t="s">
        <v>202</v>
      </c>
      <c r="J27" s="113"/>
      <c r="M27" s="112" t="s">
        <v>202</v>
      </c>
      <c r="Q27" s="113"/>
    </row>
    <row r="28" customFormat="false" ht="15.8" hidden="false" customHeight="false" outlineLevel="0" collapsed="false">
      <c r="A28" s="112" t="n">
        <v>100</v>
      </c>
      <c r="B28" s="0" t="s">
        <v>64</v>
      </c>
      <c r="C28" s="0" t="s">
        <v>231</v>
      </c>
      <c r="D28" s="113"/>
      <c r="F28" s="112" t="n">
        <v>100</v>
      </c>
      <c r="G28" s="0" t="s">
        <v>64</v>
      </c>
      <c r="H28" s="0" t="s">
        <v>231</v>
      </c>
      <c r="J28" s="113"/>
      <c r="M28" s="112" t="n">
        <v>100</v>
      </c>
      <c r="N28" s="0" t="s">
        <v>64</v>
      </c>
      <c r="O28" s="0" t="s">
        <v>231</v>
      </c>
      <c r="Q28" s="113"/>
    </row>
    <row r="29" customFormat="false" ht="15.8" hidden="false" customHeight="false" outlineLevel="0" collapsed="false">
      <c r="A29" s="112" t="n">
        <v>300</v>
      </c>
      <c r="B29" s="0" t="s">
        <v>38</v>
      </c>
      <c r="C29" s="0" t="s">
        <v>232</v>
      </c>
      <c r="D29" s="113"/>
      <c r="F29" s="112" t="n">
        <v>300</v>
      </c>
      <c r="G29" s="0" t="s">
        <v>38</v>
      </c>
      <c r="H29" s="0" t="s">
        <v>233</v>
      </c>
      <c r="J29" s="113"/>
      <c r="M29" s="112" t="n">
        <v>300</v>
      </c>
      <c r="N29" s="0" t="s">
        <v>38</v>
      </c>
      <c r="O29" s="0" t="s">
        <v>233</v>
      </c>
      <c r="Q29" s="113"/>
    </row>
    <row r="30" customFormat="false" ht="15.8" hidden="false" customHeight="false" outlineLevel="0" collapsed="false">
      <c r="A30" s="112" t="n">
        <f aca="false">A28*A29</f>
        <v>30000</v>
      </c>
      <c r="B30" s="0" t="s">
        <v>234</v>
      </c>
      <c r="C30" s="0" t="s">
        <v>235</v>
      </c>
      <c r="D30" s="113"/>
      <c r="F30" s="112" t="n">
        <f aca="false">F28*F29</f>
        <v>30000</v>
      </c>
      <c r="G30" s="0" t="s">
        <v>234</v>
      </c>
      <c r="H30" s="0" t="s">
        <v>235</v>
      </c>
      <c r="J30" s="113"/>
      <c r="M30" s="112" t="n">
        <f aca="false">M28*M29</f>
        <v>30000</v>
      </c>
      <c r="N30" s="0" t="s">
        <v>234</v>
      </c>
      <c r="O30" s="0" t="s">
        <v>235</v>
      </c>
      <c r="Q30" s="113"/>
    </row>
    <row r="31" customFormat="false" ht="15.8" hidden="false" customHeight="false" outlineLevel="0" collapsed="false">
      <c r="A31" s="147" t="n">
        <f aca="false">A30/A21</f>
        <v>6.0005192221557</v>
      </c>
      <c r="B31" s="0" t="s">
        <v>64</v>
      </c>
      <c r="C31" s="0" t="s">
        <v>236</v>
      </c>
      <c r="D31" s="113"/>
      <c r="F31" s="147" t="n">
        <f aca="false">F30/F21</f>
        <v>7.26872215068053</v>
      </c>
      <c r="G31" s="0" t="s">
        <v>64</v>
      </c>
      <c r="H31" s="0" t="s">
        <v>236</v>
      </c>
      <c r="J31" s="113"/>
      <c r="M31" s="147" t="n">
        <f aca="false">M30/M21</f>
        <v>14.399381742117</v>
      </c>
      <c r="N31" s="0" t="s">
        <v>64</v>
      </c>
      <c r="O31" s="0" t="s">
        <v>236</v>
      </c>
      <c r="Q31" s="113"/>
    </row>
    <row r="32" customFormat="false" ht="15.8" hidden="false" customHeight="false" outlineLevel="0" collapsed="false">
      <c r="A32" s="147" t="n">
        <f aca="false">A28-A31</f>
        <v>93.9994807778443</v>
      </c>
      <c r="B32" s="0" t="s">
        <v>64</v>
      </c>
      <c r="C32" s="0" t="s">
        <v>237</v>
      </c>
      <c r="D32" s="113"/>
      <c r="F32" s="147" t="n">
        <f aca="false">F28-F31</f>
        <v>92.7312778493195</v>
      </c>
      <c r="G32" s="0" t="s">
        <v>64</v>
      </c>
      <c r="H32" s="0" t="s">
        <v>237</v>
      </c>
      <c r="J32" s="113"/>
      <c r="M32" s="147" t="n">
        <f aca="false">M28-M31</f>
        <v>85.600618257883</v>
      </c>
      <c r="N32" s="0" t="s">
        <v>64</v>
      </c>
      <c r="O32" s="0" t="s">
        <v>237</v>
      </c>
      <c r="Q32" s="113"/>
    </row>
    <row r="33" customFormat="false" ht="15.8" hidden="false" customHeight="false" outlineLevel="0" collapsed="false">
      <c r="A33" s="112"/>
      <c r="D33" s="113"/>
      <c r="F33" s="112"/>
      <c r="J33" s="113"/>
      <c r="M33" s="112"/>
      <c r="Q33" s="113"/>
    </row>
    <row r="34" customFormat="false" ht="15.8" hidden="false" customHeight="false" outlineLevel="0" collapsed="false">
      <c r="A34" s="114"/>
      <c r="B34" s="115"/>
      <c r="C34" s="115"/>
      <c r="D34" s="116"/>
      <c r="F34" s="114"/>
      <c r="G34" s="115"/>
      <c r="H34" s="115"/>
      <c r="I34" s="115"/>
      <c r="J34" s="116"/>
      <c r="M34" s="114"/>
      <c r="N34" s="115"/>
      <c r="O34" s="115"/>
      <c r="P34" s="115"/>
      <c r="Q34" s="116"/>
    </row>
    <row r="35" customFormat="false" ht="15.8" hidden="false" customHeight="false" outlineLevel="0" collapsed="false"/>
    <row r="36" customFormat="false" ht="15.8" hidden="false" customHeight="false" outlineLevel="0" collapsed="false"/>
    <row r="37" customFormat="false" ht="15.8" hidden="false" customHeight="false" outlineLevel="0" collapsed="false">
      <c r="A37" s="5" t="s">
        <v>238</v>
      </c>
    </row>
    <row r="38" customFormat="false" ht="15.8" hidden="false" customHeight="false" outlineLevel="0" collapsed="false"/>
    <row r="39" customFormat="false" ht="15.8" hidden="false" customHeight="false" outlineLevel="0" collapsed="false">
      <c r="F39" s="31"/>
    </row>
    <row r="40" customFormat="false" ht="15.8" hidden="false" customHeight="false" outlineLevel="0" collapsed="false">
      <c r="A40" s="0" t="s">
        <v>239</v>
      </c>
      <c r="C40" s="5" t="n">
        <f aca="false">A12</f>
        <v>49.4</v>
      </c>
      <c r="D40" s="0" t="s">
        <v>240</v>
      </c>
      <c r="G40" s="5" t="n">
        <f aca="false">F12</f>
        <v>39</v>
      </c>
      <c r="H40" s="0" t="s">
        <v>240</v>
      </c>
      <c r="N40" s="5" t="n">
        <f aca="false">M12</f>
        <v>69.7</v>
      </c>
    </row>
    <row r="41" customFormat="false" ht="15.8" hidden="false" customHeight="false" outlineLevel="0" collapsed="false"/>
    <row r="42" customFormat="false" ht="15.8" hidden="false" customHeight="false" outlineLevel="0" collapsed="false">
      <c r="A42" s="0" t="s">
        <v>241</v>
      </c>
      <c r="B42" s="148" t="n">
        <f aca="false">0.56*C42</f>
        <v>691.04</v>
      </c>
      <c r="C42" s="149" t="n">
        <v>1234</v>
      </c>
      <c r="D42" s="150" t="n">
        <f aca="false">1.56*C42</f>
        <v>1925.04</v>
      </c>
      <c r="F42" s="148" t="n">
        <f aca="false">0.56*G42</f>
        <v>0</v>
      </c>
      <c r="G42" s="149"/>
      <c r="H42" s="150" t="n">
        <f aca="false">1.56*G42</f>
        <v>0</v>
      </c>
      <c r="M42" s="148" t="n">
        <f aca="false">0.56*N42</f>
        <v>0</v>
      </c>
      <c r="N42" s="149"/>
      <c r="O42" s="150" t="n">
        <f aca="false">1.56*N42</f>
        <v>0</v>
      </c>
    </row>
    <row r="43" customFormat="false" ht="15.8" hidden="false" customHeight="false" outlineLevel="0" collapsed="false">
      <c r="A43" s="0" t="s">
        <v>242</v>
      </c>
      <c r="B43" s="114" t="n">
        <v>41252</v>
      </c>
      <c r="C43" s="115" t="n">
        <v>20600</v>
      </c>
      <c r="D43" s="116" t="n">
        <v>92</v>
      </c>
      <c r="F43" s="114" t="n">
        <v>43502</v>
      </c>
      <c r="G43" s="115" t="n">
        <v>21877</v>
      </c>
      <c r="H43" s="116" t="n">
        <v>134</v>
      </c>
      <c r="M43" s="114" t="n">
        <v>20135</v>
      </c>
      <c r="N43" s="115" t="n">
        <v>10070</v>
      </c>
      <c r="O43" s="116" t="n">
        <v>0</v>
      </c>
    </row>
    <row r="44" customFormat="false" ht="15.8" hidden="false" customHeight="false" outlineLevel="0" collapsed="false">
      <c r="A44" s="0" t="s">
        <v>243</v>
      </c>
      <c r="B44" s="151" t="n">
        <f aca="false">B43-C43</f>
        <v>20652</v>
      </c>
      <c r="C44" s="151" t="n">
        <f aca="false">C43-D43</f>
        <v>20508</v>
      </c>
      <c r="D44" s="151" t="n">
        <f aca="false">D43-L43</f>
        <v>92</v>
      </c>
      <c r="F44" s="151" t="n">
        <f aca="false">F43-G43</f>
        <v>21625</v>
      </c>
      <c r="G44" s="151" t="n">
        <f aca="false">G43-H43</f>
        <v>21743</v>
      </c>
      <c r="H44" s="151" t="n">
        <f aca="false">H43-P43</f>
        <v>134</v>
      </c>
      <c r="M44" s="151" t="n">
        <f aca="false">M43-N43</f>
        <v>10065</v>
      </c>
      <c r="N44" s="151" t="n">
        <f aca="false">N43-O43</f>
        <v>10070</v>
      </c>
      <c r="O44" s="151" t="n">
        <f aca="false">O43-B43</f>
        <v>-41252</v>
      </c>
    </row>
    <row r="45" customFormat="false" ht="15.8" hidden="false" customHeight="false" outlineLevel="0" collapsed="false"/>
    <row r="46" customFormat="false" ht="15.8" hidden="false" customHeight="false" outlineLevel="0" collapsed="false">
      <c r="A46" s="0" t="s">
        <v>244</v>
      </c>
      <c r="B46" s="152" t="n">
        <f aca="false">(1-B44/C44)</f>
        <v>-0.00702165008777067</v>
      </c>
      <c r="F46" s="152" t="n">
        <f aca="false">(1-F44/G44)</f>
        <v>0.00542703398795019</v>
      </c>
      <c r="M46" s="152" t="n">
        <f aca="false">(1-M44/N44)</f>
        <v>0.000496524329692161</v>
      </c>
    </row>
    <row r="47" customFormat="false" ht="15.8" hidden="false" customHeight="false" outlineLevel="0" collapsed="false"/>
    <row r="48" customFormat="false" ht="15.8" hidden="false" customHeight="false" outlineLevel="0" collapsed="false"/>
    <row r="49" customFormat="false" ht="15.8" hidden="false" customHeight="false" outlineLevel="0" collapsed="false"/>
    <row r="50" customFormat="false" ht="15.8" hidden="false" customHeight="false" outlineLevel="0" collapsed="false"/>
    <row r="51" customFormat="false" ht="15.8" hidden="false" customHeight="false" outlineLevel="0" collapsed="false"/>
    <row r="52" customFormat="false" ht="15.8" hidden="false" customHeight="false" outlineLevel="0" collapsed="false"/>
    <row r="53" customFormat="false" ht="15.8" hidden="false" customHeight="false" outlineLevel="0" collapsed="false"/>
    <row r="54" customFormat="false" ht="15.8" hidden="false" customHeight="false" outlineLevel="0" collapsed="false"/>
    <row r="55" customFormat="false" ht="15.8" hidden="false" customHeight="false" outlineLevel="0" collapsed="false"/>
  </sheetData>
  <printOptions headings="false" gridLines="false" gridLinesSet="true" horizontalCentered="false" verticalCentered="false"/>
  <pageMargins left="0.7875" right="0.7875" top="1.05277777777778" bottom="1.74166666666667" header="0.7875" footer="0.7875"/>
  <pageSetup paperSize="9" scale="110" fitToWidth="1" fitToHeight="1" pageOrder="downThenOver" orientation="landscape" blackAndWhite="false" draft="false" cellComments="none" horizontalDpi="300" verticalDpi="300" copies="1"/>
  <headerFooter differentFirst="false" differentOddEven="false">
    <oddHeader>&amp;C&amp;"Times New Roman,Regular"&amp;12&amp;Kffffff&amp;A</oddHeader>
    <oddFooter>&amp;C&amp;"Times New Roman,Regular"&amp;12&amp;KffffffPage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J107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D31" activeCellId="0" sqref="D31"/>
    </sheetView>
  </sheetViews>
  <sheetFormatPr defaultColWidth="10.4921875" defaultRowHeight="12.8" zeroHeight="false" outlineLevelRow="0" outlineLevelCol="0"/>
  <sheetData>
    <row r="1" customFormat="false" ht="15.8" hidden="false" customHeight="false" outlineLevel="0" collapsed="false">
      <c r="A1" s="130" t="s">
        <v>245</v>
      </c>
      <c r="B1" s="130"/>
      <c r="C1" s="130" t="s">
        <v>246</v>
      </c>
      <c r="D1" s="130"/>
    </row>
    <row r="2" customFormat="false" ht="90.95" hidden="false" customHeight="true" outlineLevel="0" collapsed="false">
      <c r="A2" s="153" t="s">
        <v>247</v>
      </c>
      <c r="B2" s="153"/>
      <c r="C2" s="153" t="s">
        <v>248</v>
      </c>
      <c r="D2" s="153"/>
    </row>
    <row r="3" customFormat="false" ht="47.35" hidden="false" customHeight="false" outlineLevel="0" collapsed="false">
      <c r="A3" s="154" t="s">
        <v>249</v>
      </c>
      <c r="B3" s="155" t="s">
        <v>250</v>
      </c>
      <c r="C3" s="154" t="s">
        <v>199</v>
      </c>
      <c r="D3" s="156" t="s">
        <v>201</v>
      </c>
    </row>
    <row r="4" customFormat="false" ht="15.8" hidden="false" customHeight="false" outlineLevel="0" collapsed="false">
      <c r="A4" s="130" t="s">
        <v>206</v>
      </c>
      <c r="B4" s="156" t="s">
        <v>204</v>
      </c>
      <c r="C4" s="130" t="s">
        <v>206</v>
      </c>
      <c r="D4" s="156" t="s">
        <v>204</v>
      </c>
    </row>
    <row r="5" customFormat="false" ht="15.8" hidden="false" customHeight="false" outlineLevel="0" collapsed="false">
      <c r="A5" s="0" t="n">
        <v>4</v>
      </c>
      <c r="B5" s="37" t="n">
        <f aca="false">'6 - Interpolated Thresholds'!$M$4</f>
        <v>458.034113890536</v>
      </c>
      <c r="C5" s="5" t="n">
        <v>4</v>
      </c>
      <c r="D5" s="69" t="n">
        <f aca="false">ASTROS.MONTEZUMA.CALCTOOLS.CALCFUNCTIONS.PYTHON.INTERPOLATIONIMPL.INTERPO(C5,A$5:A$34,B$5:B$34)</f>
        <v>458.034113890536</v>
      </c>
    </row>
    <row r="6" customFormat="false" ht="15.8" hidden="false" customHeight="false" outlineLevel="0" collapsed="false">
      <c r="A6" s="0" t="n">
        <v>5</v>
      </c>
      <c r="B6" s="37" t="n">
        <f aca="false">'6 - Interpolated Thresholds'!$M$5</f>
        <v>666.520651103108</v>
      </c>
      <c r="C6" s="0" t="n">
        <v>5</v>
      </c>
      <c r="D6" s="37" t="n">
        <f aca="false">ASTROS.MONTEZUMA.CALCTOOLS.CALCFUNCTIONS.PYTHON.INTERPOLATIONIMPL.INTERPO(C6,A$5:A$34,B$5:B$34)</f>
        <v>666.520651103108</v>
      </c>
    </row>
    <row r="7" customFormat="false" ht="15.8" hidden="false" customHeight="false" outlineLevel="0" collapsed="false">
      <c r="A7" s="0" t="n">
        <v>6</v>
      </c>
      <c r="B7" s="37" t="n">
        <f aca="false">'6 - Interpolated Thresholds'!$M$6</f>
        <v>1066.70512497996</v>
      </c>
      <c r="C7" s="5" t="n">
        <v>6</v>
      </c>
      <c r="D7" s="69" t="n">
        <f aca="false">ASTROS.MONTEZUMA.CALCTOOLS.CALCFUNCTIONS.PYTHON.INTERPOLATIONIMPL.INTERPO(C7,A$5:A$34,B$5:B$34)</f>
        <v>1066.70512497996</v>
      </c>
    </row>
    <row r="8" customFormat="false" ht="15.8" hidden="false" customHeight="false" outlineLevel="0" collapsed="false">
      <c r="A8" s="0" t="n">
        <v>7</v>
      </c>
      <c r="B8" s="37" t="n">
        <f aca="false">'6 - Interpolated Thresholds'!$M$7</f>
        <v>1573.69515778153</v>
      </c>
      <c r="C8" s="0" t="n">
        <v>7</v>
      </c>
      <c r="D8" s="37" t="n">
        <f aca="false">ASTROS.MONTEZUMA.CALCTOOLS.CALCFUNCTIONS.PYTHON.INTERPOLATIONIMPL.INTERPO(C8,A$5:A$34,B$5:B$34)</f>
        <v>1573.69515778153</v>
      </c>
    </row>
    <row r="9" customFormat="false" ht="15.8" hidden="false" customHeight="false" outlineLevel="0" collapsed="false">
      <c r="A9" s="0" t="n">
        <v>8</v>
      </c>
      <c r="B9" s="37" t="n">
        <f aca="false">'6 - Interpolated Thresholds'!$M$8</f>
        <v>1951.66341366557</v>
      </c>
      <c r="C9" s="0" t="n">
        <v>8</v>
      </c>
      <c r="D9" s="37" t="n">
        <f aca="false">ASTROS.MONTEZUMA.CALCTOOLS.CALCFUNCTIONS.PYTHON.INTERPOLATIONIMPL.INTERPO(C9,A$5:A$34,B$5:B$34)</f>
        <v>1951.66341366557</v>
      </c>
    </row>
    <row r="10" customFormat="false" ht="15.8" hidden="false" customHeight="false" outlineLevel="0" collapsed="false">
      <c r="A10" s="0" t="n">
        <v>9</v>
      </c>
      <c r="B10" s="37" t="n">
        <f aca="false">'6 - Interpolated Thresholds'!$M$9</f>
        <v>2325.58798359556</v>
      </c>
      <c r="C10" s="0" t="n">
        <v>9</v>
      </c>
      <c r="D10" s="37" t="n">
        <f aca="false">ASTROS.MONTEZUMA.CALCTOOLS.CALCFUNCTIONS.PYTHON.INTERPOLATIONIMPL.INTERPO(C10,A$5:A$34,B$5:B$34)</f>
        <v>2325.58798359556</v>
      </c>
    </row>
    <row r="11" customFormat="false" ht="15.8" hidden="false" customHeight="false" outlineLevel="0" collapsed="false">
      <c r="A11" s="0" t="n">
        <v>10</v>
      </c>
      <c r="B11" s="37" t="n">
        <f aca="false">'6 - Interpolated Thresholds'!$M$10</f>
        <v>2755.15551003563</v>
      </c>
      <c r="C11" s="0" t="n">
        <v>10</v>
      </c>
      <c r="D11" s="37" t="n">
        <f aca="false">ASTROS.MONTEZUMA.CALCTOOLS.CALCFUNCTIONS.PYTHON.INTERPOLATIONIMPL.INTERPO(C11,A$5:A$34,B$5:B$34)</f>
        <v>2755.15551003563</v>
      </c>
    </row>
    <row r="12" customFormat="false" ht="15.8" hidden="false" customHeight="false" outlineLevel="0" collapsed="false">
      <c r="A12" s="0" t="n">
        <v>11</v>
      </c>
      <c r="B12" s="37" t="n">
        <f aca="false">'6 - Interpolated Thresholds'!$M$11</f>
        <v>3219.77796737989</v>
      </c>
      <c r="C12" s="0" t="n">
        <v>11</v>
      </c>
      <c r="D12" s="37" t="n">
        <f aca="false">ASTROS.MONTEZUMA.CALCTOOLS.CALCFUNCTIONS.PYTHON.INTERPOLATIONIMPL.INTERPO(C12,A$5:A$34,B$5:B$34)</f>
        <v>3219.77796737989</v>
      </c>
    </row>
    <row r="13" customFormat="false" ht="15.8" hidden="false" customHeight="false" outlineLevel="0" collapsed="false">
      <c r="A13" s="0" t="n">
        <v>12</v>
      </c>
      <c r="B13" s="37" t="n">
        <f aca="false">'6 - Interpolated Thresholds'!$M$12</f>
        <v>3670.52571491568</v>
      </c>
      <c r="C13" s="0" t="n">
        <v>12</v>
      </c>
      <c r="D13" s="37" t="n">
        <f aca="false">ASTROS.MONTEZUMA.CALCTOOLS.CALCFUNCTIONS.PYTHON.INTERPOLATIONIMPL.INTERPO(C13,A$5:A$34,B$5:B$34)</f>
        <v>3670.52571491568</v>
      </c>
    </row>
    <row r="14" customFormat="false" ht="15.8" hidden="false" customHeight="false" outlineLevel="0" collapsed="false">
      <c r="A14" s="0" t="n">
        <v>13</v>
      </c>
      <c r="B14" s="37" t="n">
        <f aca="false">'6 - Interpolated Thresholds'!$M$13</f>
        <v>4152.94693846192</v>
      </c>
      <c r="C14" s="0" t="n">
        <v>13</v>
      </c>
      <c r="D14" s="37" t="n">
        <f aca="false">ASTROS.MONTEZUMA.CALCTOOLS.CALCFUNCTIONS.PYTHON.INTERPOLATIONIMPL.INTERPO(C14,A$5:A$34,B$5:B$34)</f>
        <v>4152.94693846192</v>
      </c>
    </row>
    <row r="15" customFormat="false" ht="15.8" hidden="false" customHeight="false" outlineLevel="0" collapsed="false">
      <c r="A15" s="0" t="n">
        <v>14</v>
      </c>
      <c r="B15" s="37" t="n">
        <f aca="false">'6 - Interpolated Thresholds'!$M$14</f>
        <v>4403.74937680776</v>
      </c>
      <c r="C15" s="5" t="n">
        <v>14</v>
      </c>
      <c r="D15" s="69" t="n">
        <f aca="false">ASTROS.MONTEZUMA.CALCTOOLS.CALCFUNCTIONS.PYTHON.INTERPOLATIONIMPL.INTERPO(C15,A$5:A$34,B$5:B$34)</f>
        <v>4403.74937680776</v>
      </c>
    </row>
    <row r="16" customFormat="false" ht="15.8" hidden="false" customHeight="false" outlineLevel="0" collapsed="false">
      <c r="A16" s="0" t="n">
        <v>15</v>
      </c>
      <c r="B16" s="37" t="n">
        <f aca="false">'6 - Interpolated Thresholds'!$M$15</f>
        <v>4566.00203556548</v>
      </c>
      <c r="C16" s="0" t="n">
        <v>15</v>
      </c>
      <c r="D16" s="37" t="n">
        <f aca="false">ASTROS.MONTEZUMA.CALCTOOLS.CALCFUNCTIONS.PYTHON.INTERPOLATIONIMPL.INTERPO(C16,A$5:A$34,B$5:B$34)</f>
        <v>4566.00203556548</v>
      </c>
    </row>
    <row r="17" customFormat="false" ht="15.8" hidden="false" customHeight="false" outlineLevel="0" collapsed="false">
      <c r="A17" s="0" t="n">
        <v>16</v>
      </c>
      <c r="B17" s="37" t="n">
        <f aca="false">'6 - Interpolated Thresholds'!$M$16</f>
        <v>4688.21231206202</v>
      </c>
      <c r="C17" s="0" t="n">
        <v>16</v>
      </c>
      <c r="D17" s="37" t="n">
        <f aca="false">ASTROS.MONTEZUMA.CALCTOOLS.CALCFUNCTIONS.PYTHON.INTERPOLATIONIMPL.INTERPO(C17,A$5:A$34,B$5:B$34)</f>
        <v>4688.21231206202</v>
      </c>
    </row>
    <row r="18" customFormat="false" ht="15.8" hidden="false" customHeight="false" outlineLevel="0" collapsed="false">
      <c r="A18" s="0" t="n">
        <v>17</v>
      </c>
      <c r="B18" s="37" t="n">
        <f aca="false">'6 - Interpolated Thresholds'!$M$17</f>
        <v>4782.18460800444</v>
      </c>
      <c r="C18" s="0" t="n">
        <v>17</v>
      </c>
      <c r="D18" s="37" t="n">
        <f aca="false">ASTROS.MONTEZUMA.CALCTOOLS.CALCFUNCTIONS.PYTHON.INTERPOLATIONIMPL.INTERPO(C18,A$5:A$34,B$5:B$34)</f>
        <v>4782.18460800444</v>
      </c>
    </row>
    <row r="19" customFormat="false" ht="15.8" hidden="false" customHeight="false" outlineLevel="0" collapsed="false">
      <c r="A19" s="0" t="n">
        <v>18</v>
      </c>
      <c r="B19" s="37" t="n">
        <f aca="false">'6 - Interpolated Thresholds'!$M$18</f>
        <v>4857.40873652978</v>
      </c>
      <c r="C19" s="0" t="n">
        <v>18</v>
      </c>
      <c r="D19" s="37" t="n">
        <f aca="false">ASTROS.MONTEZUMA.CALCTOOLS.CALCFUNCTIONS.PYTHON.INTERPOLATIONIMPL.INTERPO(C19,A$5:A$34,B$5:B$34)</f>
        <v>4857.40873652978</v>
      </c>
    </row>
    <row r="20" customFormat="false" ht="15.8" hidden="false" customHeight="false" outlineLevel="0" collapsed="false">
      <c r="A20" s="0" t="n">
        <v>19</v>
      </c>
      <c r="B20" s="37" t="n">
        <f aca="false">'6 - Interpolated Thresholds'!$M$19</f>
        <v>4921.52283991906</v>
      </c>
      <c r="C20" s="0" t="n">
        <v>19</v>
      </c>
      <c r="D20" s="37" t="n">
        <f aca="false">ASTROS.MONTEZUMA.CALCTOOLS.CALCFUNCTIONS.PYTHON.INTERPOLATIONIMPL.INTERPO(C20,A$5:A$34,B$5:B$34)</f>
        <v>4921.52283991906</v>
      </c>
    </row>
    <row r="21" customFormat="false" ht="15.8" hidden="false" customHeight="false" outlineLevel="0" collapsed="false">
      <c r="A21" s="0" t="n">
        <v>20</v>
      </c>
      <c r="B21" s="37" t="n">
        <f aca="false">'6 - Interpolated Thresholds'!$M$20</f>
        <v>4978.46171874132</v>
      </c>
      <c r="C21" s="0" t="n">
        <v>20</v>
      </c>
      <c r="D21" s="37" t="n">
        <f aca="false">ASTROS.MONTEZUMA.CALCTOOLS.CALCFUNCTIONS.PYTHON.INTERPOLATIONIMPL.INTERPO(C21,A$5:A$34,B$5:B$34)</f>
        <v>4978.46171874132</v>
      </c>
    </row>
    <row r="22" customFormat="false" ht="15.8" hidden="false" customHeight="false" outlineLevel="0" collapsed="false">
      <c r="A22" s="0" t="n">
        <v>21</v>
      </c>
      <c r="B22" s="37" t="n">
        <f aca="false">'6 - Interpolated Thresholds'!$M$21</f>
        <v>5029.38266728154</v>
      </c>
      <c r="C22" s="5" t="n">
        <v>21</v>
      </c>
      <c r="D22" s="69" t="n">
        <f aca="false">ASTROS.MONTEZUMA.CALCTOOLS.CALCFUNCTIONS.PYTHON.INTERPOLATIONIMPL.INTERPO(C22,A$5:A$34,B$5:B$34)</f>
        <v>5029.38266728154</v>
      </c>
      <c r="G22" s="37" t="n">
        <f aca="false">'6 - Calibration Curve'!$D$5</f>
        <v>458.034113890536</v>
      </c>
      <c r="H22" s="37" t="n">
        <f aca="false">'6 - Calibration Curve'!$D$6</f>
        <v>666.520651103108</v>
      </c>
      <c r="I22" s="37" t="n">
        <f aca="false">'6 - Calibration Curve'!$D$7</f>
        <v>1066.70512497996</v>
      </c>
      <c r="J22" s="37" t="n">
        <f aca="false">'6 - Calibration Curve'!$D$8</f>
        <v>1573.69515778153</v>
      </c>
      <c r="K22" s="37" t="n">
        <f aca="false">'6 - Calibration Curve'!$D$9</f>
        <v>1951.66341366557</v>
      </c>
      <c r="L22" s="37" t="n">
        <f aca="false">'6 - Calibration Curve'!$D$10</f>
        <v>2325.58798359556</v>
      </c>
      <c r="M22" s="37" t="n">
        <f aca="false">'6 - Calibration Curve'!$D$11</f>
        <v>2755.15551003563</v>
      </c>
      <c r="N22" s="37" t="n">
        <f aca="false">'6 - Calibration Curve'!$D$12</f>
        <v>3219.77796737989</v>
      </c>
      <c r="O22" s="37" t="n">
        <f aca="false">'6 - Calibration Curve'!$D$13</f>
        <v>3670.52571491568</v>
      </c>
      <c r="P22" s="37" t="n">
        <f aca="false">'6 - Calibration Curve'!$D$14</f>
        <v>4152.94693846192</v>
      </c>
      <c r="Q22" s="37" t="n">
        <f aca="false">'6 - Calibration Curve'!$D$15</f>
        <v>4403.74937680776</v>
      </c>
      <c r="R22" s="37" t="n">
        <f aca="false">'6 - Calibration Curve'!$D$16</f>
        <v>4566.00203556548</v>
      </c>
      <c r="S22" s="37" t="n">
        <f aca="false">'6 - Calibration Curve'!$D$17</f>
        <v>4688.21231206202</v>
      </c>
      <c r="T22" s="37" t="n">
        <f aca="false">'6 - Calibration Curve'!$D$18</f>
        <v>4782.18460800444</v>
      </c>
      <c r="U22" s="37" t="n">
        <f aca="false">'6 - Calibration Curve'!$D$19</f>
        <v>4857.40873652978</v>
      </c>
      <c r="V22" s="37" t="n">
        <f aca="false">'6 - Calibration Curve'!$D$20</f>
        <v>4921.52283991906</v>
      </c>
      <c r="W22" s="37" t="n">
        <f aca="false">'6 - Calibration Curve'!$D$21</f>
        <v>4978.46171874132</v>
      </c>
      <c r="X22" s="37" t="n">
        <f aca="false">'6 - Calibration Curve'!$D$22</f>
        <v>5029.38266728154</v>
      </c>
      <c r="Y22" s="37" t="n">
        <f aca="false">'6 - Calibration Curve'!$D$23</f>
        <v>5073.59130896874</v>
      </c>
      <c r="Z22" s="37" t="n">
        <f aca="false">'6 - Calibration Curve'!$D$24</f>
        <v>5111.31910265991</v>
      </c>
      <c r="AA22" s="37" t="n">
        <f aca="false">'6 - Calibration Curve'!$D$25</f>
        <v>5143.02896606905</v>
      </c>
      <c r="AB22" s="37" t="n">
        <f aca="false">'6 - Calibration Curve'!$D$26</f>
        <v>5169.64673462417</v>
      </c>
      <c r="AC22" s="37" t="n">
        <f aca="false">'6 - Calibration Curve'!$D$27</f>
        <v>5190.94094946826</v>
      </c>
      <c r="AD22" s="37" t="n">
        <f aca="false">'6 - Calibration Curve'!$D$28</f>
        <v>5208.53182260034</v>
      </c>
      <c r="AE22" s="37" t="n">
        <f aca="false">'6 - Calibration Curve'!$D$29</f>
        <v>5223.1137305914</v>
      </c>
      <c r="AF22" s="37" t="n">
        <f aca="false">'6 - Calibration Curve'!$D$30</f>
        <v>5235.84396772646</v>
      </c>
      <c r="AG22" s="37" t="n">
        <f aca="false">'6 - Calibration Curve'!$D$31</f>
        <v>5247.64836943351</v>
      </c>
      <c r="AH22" s="37" t="n">
        <f aca="false">'6 - Calibration Curve'!$D$32</f>
        <v>9521.73870771483</v>
      </c>
      <c r="AI22" s="37" t="n">
        <f aca="false">'6 - Calibration Curve'!$D$33</f>
        <v>15586.6995073892</v>
      </c>
      <c r="AJ22" s="37" t="n">
        <f aca="false">'6 - Calibration Curve'!$D$34</f>
        <v>25143.3497536946</v>
      </c>
    </row>
    <row r="23" customFormat="false" ht="15.8" hidden="false" customHeight="false" outlineLevel="0" collapsed="false">
      <c r="A23" s="0" t="n">
        <v>22</v>
      </c>
      <c r="B23" s="37" t="n">
        <f aca="false">'6 - Interpolated Thresholds'!$M$22</f>
        <v>5073.59130896874</v>
      </c>
      <c r="C23" s="0" t="n">
        <v>22</v>
      </c>
      <c r="D23" s="37" t="n">
        <f aca="false">ASTROS.MONTEZUMA.CALCTOOLS.CALCFUNCTIONS.PYTHON.INTERPOLATIONIMPL.INTERPO(C23,A$5:A$34,B$5:B$34)</f>
        <v>5073.59130896874</v>
      </c>
      <c r="F23" s="0" t="s">
        <v>251</v>
      </c>
      <c r="G23" s="0" t="n">
        <f aca="false">INT(G22+0.5)</f>
        <v>458</v>
      </c>
      <c r="H23" s="0" t="n">
        <f aca="false">INT(H22+0.5)</f>
        <v>667</v>
      </c>
      <c r="I23" s="0" t="n">
        <f aca="false">INT(I22+0.5)</f>
        <v>1067</v>
      </c>
      <c r="J23" s="0" t="n">
        <f aca="false">INT(J22+0.5)</f>
        <v>1574</v>
      </c>
      <c r="K23" s="0" t="n">
        <f aca="false">INT(K22+0.5)</f>
        <v>1952</v>
      </c>
      <c r="L23" s="0" t="n">
        <f aca="false">INT(L22+0.5)</f>
        <v>2326</v>
      </c>
      <c r="M23" s="0" t="n">
        <f aca="false">INT(M22+0.5)</f>
        <v>2755</v>
      </c>
      <c r="N23" s="0" t="n">
        <f aca="false">INT(N22+0.5)</f>
        <v>3220</v>
      </c>
      <c r="O23" s="0" t="n">
        <f aca="false">INT(O22+0.5)</f>
        <v>3671</v>
      </c>
      <c r="P23" s="0" t="n">
        <f aca="false">INT(P22+0.5)</f>
        <v>4153</v>
      </c>
      <c r="Q23" s="0" t="n">
        <f aca="false">INT(Q22+0.5)</f>
        <v>4404</v>
      </c>
      <c r="R23" s="0" t="n">
        <f aca="false">INT(R22+0.5)</f>
        <v>4566</v>
      </c>
      <c r="S23" s="0" t="n">
        <f aca="false">INT(S22+0.5)</f>
        <v>4688</v>
      </c>
      <c r="T23" s="0" t="n">
        <f aca="false">INT(T22+0.5)</f>
        <v>4782</v>
      </c>
      <c r="U23" s="0" t="n">
        <f aca="false">INT(U22+0.5)</f>
        <v>4857</v>
      </c>
      <c r="V23" s="0" t="n">
        <f aca="false">INT(V22+0.5)</f>
        <v>4922</v>
      </c>
      <c r="W23" s="0" t="n">
        <f aca="false">INT(W22+0.5)</f>
        <v>4978</v>
      </c>
      <c r="X23" s="0" t="n">
        <f aca="false">INT(X22+0.5)</f>
        <v>5029</v>
      </c>
      <c r="Y23" s="0" t="n">
        <f aca="false">INT(Y22+0.5)</f>
        <v>5074</v>
      </c>
      <c r="Z23" s="0" t="n">
        <f aca="false">INT(Z22+0.5)</f>
        <v>5111</v>
      </c>
      <c r="AA23" s="0" t="n">
        <f aca="false">INT(AA22+0.5)</f>
        <v>5143</v>
      </c>
      <c r="AB23" s="0" t="n">
        <f aca="false">INT(AB22+0.5)</f>
        <v>5170</v>
      </c>
      <c r="AC23" s="0" t="n">
        <f aca="false">INT(AC22+0.5)</f>
        <v>5191</v>
      </c>
      <c r="AD23" s="0" t="n">
        <f aca="false">INT(AD22+0.5)</f>
        <v>5209</v>
      </c>
      <c r="AE23" s="0" t="n">
        <f aca="false">INT(AE22+0.5)</f>
        <v>5223</v>
      </c>
      <c r="AF23" s="0" t="n">
        <f aca="false">INT(AF22+0.5)</f>
        <v>5236</v>
      </c>
      <c r="AG23" s="0" t="n">
        <f aca="false">INT(AG22+0.5)</f>
        <v>5248</v>
      </c>
      <c r="AH23" s="0" t="n">
        <f aca="false">INT(AH22+0.5)</f>
        <v>9522</v>
      </c>
      <c r="AI23" s="0" t="n">
        <f aca="false">INT(AI22+0.5)</f>
        <v>15587</v>
      </c>
      <c r="AJ23" s="0" t="n">
        <f aca="false">INT(AJ22+0.5)</f>
        <v>25143</v>
      </c>
    </row>
    <row r="24" customFormat="false" ht="15.8" hidden="false" customHeight="false" outlineLevel="0" collapsed="false">
      <c r="A24" s="0" t="n">
        <v>23</v>
      </c>
      <c r="B24" s="37" t="n">
        <f aca="false">'6 - Interpolated Thresholds'!$M$23</f>
        <v>5111.31910265991</v>
      </c>
      <c r="C24" s="0" t="n">
        <v>23</v>
      </c>
      <c r="D24" s="37" t="n">
        <f aca="false">ASTROS.MONTEZUMA.CALCTOOLS.CALCFUNCTIONS.PYTHON.INTERPOLATIONIMPL.INTERPO(C24,A$5:A$34,B$5:B$34)</f>
        <v>5111.31910265991</v>
      </c>
    </row>
    <row r="25" customFormat="false" ht="15.8" hidden="false" customHeight="false" outlineLevel="0" collapsed="false">
      <c r="A25" s="0" t="n">
        <v>24</v>
      </c>
      <c r="B25" s="37" t="n">
        <f aca="false">'6 - Interpolated Thresholds'!$M$24</f>
        <v>5143.02896606905</v>
      </c>
      <c r="C25" s="0" t="n">
        <v>24</v>
      </c>
      <c r="D25" s="37" t="n">
        <f aca="false">ASTROS.MONTEZUMA.CALCTOOLS.CALCFUNCTIONS.PYTHON.INTERPOLATIONIMPL.INTERPO(C25,A$5:A$34,B$5:B$34)</f>
        <v>5143.02896606905</v>
      </c>
    </row>
    <row r="26" customFormat="false" ht="15.8" hidden="false" customHeight="false" outlineLevel="0" collapsed="false">
      <c r="A26" s="0" t="n">
        <v>25</v>
      </c>
      <c r="B26" s="37" t="n">
        <f aca="false">'6 - Interpolated Thresholds'!$M$25</f>
        <v>5169.64673462417</v>
      </c>
      <c r="C26" s="5" t="n">
        <v>25</v>
      </c>
      <c r="D26" s="69" t="n">
        <f aca="false">ASTROS.MONTEZUMA.CALCTOOLS.CALCFUNCTIONS.PYTHON.INTERPOLATIONIMPL.INTERPO(C26,A$5:A$34,B$5:B$34)</f>
        <v>5169.64673462417</v>
      </c>
    </row>
    <row r="27" customFormat="false" ht="15.8" hidden="false" customHeight="false" outlineLevel="0" collapsed="false">
      <c r="A27" s="0" t="n">
        <v>26</v>
      </c>
      <c r="B27" s="37" t="n">
        <f aca="false">'6 - Interpolated Thresholds'!$M$26</f>
        <v>5190.94094946826</v>
      </c>
      <c r="C27" s="0" t="n">
        <v>26</v>
      </c>
      <c r="D27" s="37" t="n">
        <f aca="false">ASTROS.MONTEZUMA.CALCTOOLS.CALCFUNCTIONS.PYTHON.INTERPOLATIONIMPL.INTERPO(C27,A$5:A$34,B$5:B$34)</f>
        <v>5190.94094946826</v>
      </c>
    </row>
    <row r="28" customFormat="false" ht="15.8" hidden="false" customHeight="false" outlineLevel="0" collapsed="false">
      <c r="A28" s="0" t="n">
        <v>27</v>
      </c>
      <c r="B28" s="37" t="n">
        <f aca="false">'6 - Interpolated Thresholds'!$M$27</f>
        <v>5208.53182260034</v>
      </c>
      <c r="C28" s="0" t="n">
        <v>27</v>
      </c>
      <c r="D28" s="37" t="n">
        <f aca="false">ASTROS.MONTEZUMA.CALCTOOLS.CALCFUNCTIONS.PYTHON.INTERPOLATIONIMPL.INTERPO(C28,A$5:A$34,B$5:B$34)</f>
        <v>5208.53182260034</v>
      </c>
    </row>
    <row r="29" customFormat="false" ht="15.8" hidden="false" customHeight="false" outlineLevel="0" collapsed="false">
      <c r="A29" s="0" t="n">
        <v>28</v>
      </c>
      <c r="B29" s="37" t="n">
        <f aca="false">'6 - Interpolated Thresholds'!$M$28</f>
        <v>5223.1137305914</v>
      </c>
      <c r="C29" s="0" t="n">
        <v>28</v>
      </c>
      <c r="D29" s="37" t="n">
        <f aca="false">ASTROS.MONTEZUMA.CALCTOOLS.CALCFUNCTIONS.PYTHON.INTERPOLATIONIMPL.INTERPO(C29,A$5:A$34,B$5:B$34)</f>
        <v>5223.1137305914</v>
      </c>
    </row>
    <row r="30" customFormat="false" ht="15.8" hidden="false" customHeight="false" outlineLevel="0" collapsed="false">
      <c r="A30" s="0" t="n">
        <v>29</v>
      </c>
      <c r="B30" s="37" t="n">
        <f aca="false">'6 - Interpolated Thresholds'!$M$29</f>
        <v>5235.84396772646</v>
      </c>
      <c r="C30" s="0" t="n">
        <v>29</v>
      </c>
      <c r="D30" s="37" t="n">
        <f aca="false">ASTROS.MONTEZUMA.CALCTOOLS.CALCFUNCTIONS.PYTHON.INTERPOLATIONIMPL.INTERPO(C30,A$5:A$34,B$5:B$34)</f>
        <v>5235.84396772646</v>
      </c>
    </row>
    <row r="31" customFormat="false" ht="15.8" hidden="false" customHeight="false" outlineLevel="0" collapsed="false">
      <c r="A31" s="0" t="n">
        <v>30</v>
      </c>
      <c r="B31" s="37" t="n">
        <f aca="false">'6 - Interpolated Thresholds'!$M$30</f>
        <v>5247.64836943351</v>
      </c>
      <c r="C31" s="0" t="n">
        <v>30</v>
      </c>
      <c r="D31" s="37" t="n">
        <f aca="false">ASTROS.MONTEZUMA.CALCTOOLS.CALCFUNCTIONS.PYTHON.INTERPOLATIONIMPL.INTERPO(C31,A$5:A$34,B$5:B$34)</f>
        <v>5247.64836943351</v>
      </c>
    </row>
    <row r="32" customFormat="false" ht="15.8" hidden="false" customHeight="false" outlineLevel="0" collapsed="false">
      <c r="A32" s="0" t="n">
        <v>39</v>
      </c>
      <c r="B32" s="0" t="n">
        <v>10056</v>
      </c>
      <c r="C32" s="5" t="n">
        <v>38</v>
      </c>
      <c r="D32" s="69" t="n">
        <f aca="false">ASTROS.MONTEZUMA.CALCTOOLS.CALCFUNCTIONS.PYTHON.INTERPOLATIONIMPL.INTERPO(C32,A$5:A$34,B$5:B$34)</f>
        <v>9521.73870771483</v>
      </c>
    </row>
    <row r="33" customFormat="false" ht="15.8" hidden="false" customHeight="false" outlineLevel="0" collapsed="false">
      <c r="A33" s="0" t="n">
        <v>49.4</v>
      </c>
      <c r="B33" s="0" t="n">
        <v>15300</v>
      </c>
      <c r="C33" s="5" t="n">
        <v>50</v>
      </c>
      <c r="D33" s="69" t="n">
        <f aca="false">ASTROS.MONTEZUMA.CALCTOOLS.CALCFUNCTIONS.PYTHON.INTERPOLATIONIMPL.INTERPO(C33,A$5:A$34,B$5:B$34)</f>
        <v>15586.6995073892</v>
      </c>
    </row>
    <row r="34" customFormat="false" ht="15.8" hidden="false" customHeight="false" outlineLevel="0" collapsed="false">
      <c r="A34" s="0" t="n">
        <v>69.7</v>
      </c>
      <c r="B34" s="0" t="n">
        <v>25000</v>
      </c>
      <c r="C34" s="5" t="n">
        <v>70</v>
      </c>
      <c r="D34" s="69" t="n">
        <f aca="false">ASTROS.MONTEZUMA.CALCTOOLS.CALCFUNCTIONS.PYTHON.INTERPOLATIONIMPL.INTERPO(C34,A$5:A$34,B$5:B$34)</f>
        <v>25143.3497536946</v>
      </c>
    </row>
    <row r="35" customFormat="false" ht="15.8" hidden="false" customHeight="false" outlineLevel="0" collapsed="false"/>
    <row r="36" customFormat="false" ht="40.6" hidden="false" customHeight="false" outlineLevel="0" collapsed="false">
      <c r="A36" s="157" t="s">
        <v>252</v>
      </c>
    </row>
    <row r="37" customFormat="false" ht="15.8" hidden="false" customHeight="false" outlineLevel="0" collapsed="false"/>
    <row r="38" customFormat="false" ht="15.8" hidden="false" customHeight="false" outlineLevel="0" collapsed="false"/>
    <row r="39" customFormat="false" ht="15.8" hidden="false" customHeight="false" outlineLevel="0" collapsed="false">
      <c r="A39" s="0" t="s">
        <v>253</v>
      </c>
    </row>
    <row r="40" customFormat="false" ht="15.8" hidden="false" customHeight="false" outlineLevel="0" collapsed="false">
      <c r="A40" s="0" t="s">
        <v>254</v>
      </c>
    </row>
    <row r="41" customFormat="false" ht="15.8" hidden="false" customHeight="false" outlineLevel="0" collapsed="false">
      <c r="A41" s="0" t="s">
        <v>255</v>
      </c>
    </row>
    <row r="42" customFormat="false" ht="15.8" hidden="false" customHeight="false" outlineLevel="0" collapsed="false">
      <c r="A42" s="0" t="s">
        <v>256</v>
      </c>
    </row>
    <row r="43" customFormat="false" ht="15.8" hidden="false" customHeight="false" outlineLevel="0" collapsed="false"/>
    <row r="44" customFormat="false" ht="15.8" hidden="false" customHeight="false" outlineLevel="0" collapsed="false">
      <c r="A44" s="0" t="s">
        <v>257</v>
      </c>
    </row>
    <row r="45" customFormat="false" ht="15.8" hidden="false" customHeight="false" outlineLevel="0" collapsed="false"/>
    <row r="46" customFormat="false" ht="15.8" hidden="false" customHeight="false" outlineLevel="0" collapsed="false"/>
    <row r="47" customFormat="false" ht="15.8" hidden="false" customHeight="false" outlineLevel="0" collapsed="false"/>
    <row r="48" customFormat="false" ht="15.8" hidden="false" customHeight="false" outlineLevel="0" collapsed="false"/>
    <row r="49" customFormat="false" ht="15.8" hidden="false" customHeight="false" outlineLevel="0" collapsed="false"/>
    <row r="50" customFormat="false" ht="15.8" hidden="false" customHeight="false" outlineLevel="0" collapsed="false"/>
    <row r="51" customFormat="false" ht="15.8" hidden="false" customHeight="false" outlineLevel="0" collapsed="false"/>
    <row r="52" customFormat="false" ht="15.8" hidden="false" customHeight="false" outlineLevel="0" collapsed="false"/>
    <row r="53" customFormat="false" ht="15.8" hidden="false" customHeight="false" outlineLevel="0" collapsed="false"/>
    <row r="54" customFormat="false" ht="15.8" hidden="false" customHeight="false" outlineLevel="0" collapsed="false"/>
    <row r="55" customFormat="false" ht="15.8" hidden="false" customHeight="false" outlineLevel="0" collapsed="false"/>
    <row r="56" customFormat="false" ht="15.8" hidden="false" customHeight="false" outlineLevel="0" collapsed="false"/>
    <row r="57" customFormat="false" ht="15.8" hidden="false" customHeight="false" outlineLevel="0" collapsed="false"/>
    <row r="58" customFormat="false" ht="15.8" hidden="false" customHeight="false" outlineLevel="0" collapsed="false"/>
    <row r="59" customFormat="false" ht="15.8" hidden="false" customHeight="false" outlineLevel="0" collapsed="false"/>
    <row r="60" customFormat="false" ht="15.8" hidden="false" customHeight="false" outlineLevel="0" collapsed="false"/>
    <row r="61" customFormat="false" ht="15.8" hidden="false" customHeight="false" outlineLevel="0" collapsed="false"/>
    <row r="62" customFormat="false" ht="15.8" hidden="false" customHeight="false" outlineLevel="0" collapsed="false"/>
    <row r="63" customFormat="false" ht="15.8" hidden="false" customHeight="false" outlineLevel="0" collapsed="false"/>
    <row r="64" customFormat="false" ht="15.8" hidden="false" customHeight="false" outlineLevel="0" collapsed="false"/>
    <row r="65" customFormat="false" ht="15.8" hidden="false" customHeight="false" outlineLevel="0" collapsed="false"/>
    <row r="66" customFormat="false" ht="15.8" hidden="false" customHeight="false" outlineLevel="0" collapsed="false"/>
    <row r="67" customFormat="false" ht="15.8" hidden="false" customHeight="false" outlineLevel="0" collapsed="false"/>
    <row r="68" customFormat="false" ht="15.8" hidden="false" customHeight="false" outlineLevel="0" collapsed="false"/>
    <row r="69" customFormat="false" ht="15.8" hidden="false" customHeight="false" outlineLevel="0" collapsed="false"/>
    <row r="70" customFormat="false" ht="15.8" hidden="false" customHeight="false" outlineLevel="0" collapsed="false"/>
    <row r="71" customFormat="false" ht="15.8" hidden="false" customHeight="false" outlineLevel="0" collapsed="false"/>
    <row r="72" customFormat="false" ht="15.8" hidden="false" customHeight="false" outlineLevel="0" collapsed="false"/>
    <row r="73" customFormat="false" ht="15.8" hidden="false" customHeight="false" outlineLevel="0" collapsed="false"/>
    <row r="74" customFormat="false" ht="15.8" hidden="false" customHeight="false" outlineLevel="0" collapsed="false"/>
    <row r="75" customFormat="false" ht="15.8" hidden="false" customHeight="false" outlineLevel="0" collapsed="false"/>
    <row r="76" customFormat="false" ht="15.8" hidden="false" customHeight="false" outlineLevel="0" collapsed="false"/>
    <row r="77" customFormat="false" ht="15.8" hidden="false" customHeight="false" outlineLevel="0" collapsed="false"/>
    <row r="78" customFormat="false" ht="15.8" hidden="false" customHeight="false" outlineLevel="0" collapsed="false"/>
    <row r="79" customFormat="false" ht="15.8" hidden="false" customHeight="false" outlineLevel="0" collapsed="false"/>
    <row r="80" customFormat="false" ht="15.8" hidden="false" customHeight="false" outlineLevel="0" collapsed="false"/>
    <row r="81" customFormat="false" ht="15.8" hidden="false" customHeight="false" outlineLevel="0" collapsed="false"/>
    <row r="82" customFormat="false" ht="15.8" hidden="false" customHeight="false" outlineLevel="0" collapsed="false"/>
    <row r="83" customFormat="false" ht="15.8" hidden="false" customHeight="false" outlineLevel="0" collapsed="false"/>
    <row r="84" customFormat="false" ht="15.8" hidden="false" customHeight="false" outlineLevel="0" collapsed="false"/>
    <row r="85" customFormat="false" ht="15.8" hidden="false" customHeight="false" outlineLevel="0" collapsed="false"/>
    <row r="86" customFormat="false" ht="15.8" hidden="false" customHeight="false" outlineLevel="0" collapsed="false"/>
    <row r="87" customFormat="false" ht="15.8" hidden="false" customHeight="false" outlineLevel="0" collapsed="false"/>
    <row r="88" customFormat="false" ht="15.8" hidden="false" customHeight="false" outlineLevel="0" collapsed="false"/>
    <row r="89" customFormat="false" ht="15.8" hidden="false" customHeight="false" outlineLevel="0" collapsed="false"/>
    <row r="90" customFormat="false" ht="15.8" hidden="false" customHeight="false" outlineLevel="0" collapsed="false"/>
    <row r="91" customFormat="false" ht="15.8" hidden="false" customHeight="false" outlineLevel="0" collapsed="false"/>
    <row r="92" customFormat="false" ht="15.8" hidden="false" customHeight="false" outlineLevel="0" collapsed="false"/>
    <row r="93" customFormat="false" ht="15.8" hidden="false" customHeight="false" outlineLevel="0" collapsed="false"/>
    <row r="94" customFormat="false" ht="15.8" hidden="false" customHeight="false" outlineLevel="0" collapsed="false"/>
    <row r="95" customFormat="false" ht="15.8" hidden="false" customHeight="false" outlineLevel="0" collapsed="false"/>
    <row r="96" customFormat="false" ht="15.8" hidden="false" customHeight="false" outlineLevel="0" collapsed="false"/>
    <row r="97" customFormat="false" ht="15.8" hidden="false" customHeight="false" outlineLevel="0" collapsed="false"/>
    <row r="98" customFormat="false" ht="15.8" hidden="false" customHeight="false" outlineLevel="0" collapsed="false"/>
    <row r="99" customFormat="false" ht="15.8" hidden="false" customHeight="false" outlineLevel="0" collapsed="false"/>
    <row r="100" customFormat="false" ht="15.8" hidden="false" customHeight="false" outlineLevel="0" collapsed="false"/>
    <row r="101" customFormat="false" ht="15.8" hidden="false" customHeight="false" outlineLevel="0" collapsed="false"/>
    <row r="102" customFormat="false" ht="15.8" hidden="false" customHeight="false" outlineLevel="0" collapsed="false"/>
    <row r="103" customFormat="false" ht="15.8" hidden="false" customHeight="false" outlineLevel="0" collapsed="false"/>
    <row r="104" customFormat="false" ht="15.8" hidden="false" customHeight="false" outlineLevel="0" collapsed="false"/>
    <row r="105" customFormat="false" ht="15.8" hidden="false" customHeight="false" outlineLevel="0" collapsed="false"/>
    <row r="106" customFormat="false" ht="15.8" hidden="false" customHeight="false" outlineLevel="0" collapsed="false"/>
    <row r="107" customFormat="false" ht="15.8" hidden="false" customHeight="false" outlineLevel="0" collapsed="false"/>
  </sheetData>
  <mergeCells count="4">
    <mergeCell ref="A1:B1"/>
    <mergeCell ref="C1:D1"/>
    <mergeCell ref="A2:B2"/>
    <mergeCell ref="C2:D2"/>
  </mergeCells>
  <printOptions headings="false" gridLines="false" gridLinesSet="true" horizontalCentered="false" verticalCentered="false"/>
  <pageMargins left="0.7875" right="0.7875" top="1.05277777777778" bottom="1.74166666666667" header="0.7875" footer="0.7875"/>
  <pageSetup paperSize="9" scale="110" fitToWidth="1" fitToHeight="1" pageOrder="downThenOver" orientation="landscape" blackAndWhite="false" draft="false" cellComments="none" horizontalDpi="300" verticalDpi="300" copies="1"/>
  <headerFooter differentFirst="false" differentOddEven="false">
    <oddHeader>&amp;C&amp;"Times New Roman,Regular"&amp;12&amp;Kffffff&amp;A</oddHeader>
    <oddFooter>&amp;C&amp;"Times New Roman,Regular"&amp;12&amp;KffffffPage &amp;P</oddFooter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34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E4" activeCellId="0" sqref="E4"/>
    </sheetView>
  </sheetViews>
  <sheetFormatPr defaultColWidth="10.4921875" defaultRowHeight="12.8" zeroHeight="false" outlineLevelRow="0" outlineLevelCol="0"/>
  <cols>
    <col collapsed="false" customWidth="true" hidden="false" outlineLevel="0" max="2" min="2" style="0" width="13.81"/>
  </cols>
  <sheetData>
    <row r="1" customFormat="false" ht="29.05" hidden="false" customHeight="false" outlineLevel="0" collapsed="false">
      <c r="A1" s="158" t="str">
        <f aca="true">RIGHT(CELL("filename"),19)</f>
        <v>Annex C - Flow Rate</v>
      </c>
      <c r="B1" s="158"/>
      <c r="C1" s="158"/>
      <c r="D1" s="158"/>
      <c r="E1" s="158"/>
      <c r="F1" s="9"/>
      <c r="G1" s="9"/>
      <c r="H1" s="9"/>
      <c r="I1" s="9"/>
      <c r="J1" s="9"/>
      <c r="K1" s="9"/>
      <c r="L1" s="9"/>
      <c r="M1" s="9"/>
      <c r="N1" s="9"/>
      <c r="O1" s="9"/>
    </row>
    <row r="2" customFormat="false" ht="15.8" hidden="false" customHeight="false" outlineLevel="0" collapsed="false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</row>
    <row r="3" customFormat="false" ht="17" hidden="false" customHeight="false" outlineLevel="0" collapsed="false">
      <c r="A3" s="10" t="s">
        <v>258</v>
      </c>
      <c r="B3" s="9"/>
      <c r="C3" s="9"/>
      <c r="D3" s="9"/>
      <c r="E3" s="9"/>
      <c r="F3" s="9"/>
      <c r="G3" s="10"/>
      <c r="H3" s="9"/>
      <c r="I3" s="9"/>
      <c r="J3" s="9"/>
      <c r="K3" s="9"/>
      <c r="L3" s="10"/>
      <c r="M3" s="9"/>
      <c r="N3" s="9"/>
      <c r="O3" s="9"/>
    </row>
    <row r="4" customFormat="false" ht="15.8" hidden="false" customHeight="false" outlineLevel="0" collapsed="false">
      <c r="A4" s="9"/>
      <c r="B4" s="9"/>
      <c r="C4" s="9"/>
      <c r="E4" s="9"/>
      <c r="F4" s="9"/>
      <c r="G4" s="9"/>
      <c r="H4" s="9"/>
      <c r="I4" s="9"/>
      <c r="J4" s="9"/>
      <c r="K4" s="9"/>
      <c r="L4" s="9"/>
      <c r="M4" s="9"/>
      <c r="N4" s="9"/>
      <c r="O4" s="9"/>
    </row>
    <row r="5" customFormat="false" ht="15.8" hidden="false" customHeight="false" outlineLevel="0" collapsed="false">
      <c r="A5" s="9" t="s">
        <v>120</v>
      </c>
      <c r="B5" s="9"/>
      <c r="C5" s="11" t="s">
        <v>259</v>
      </c>
      <c r="E5" s="9"/>
      <c r="K5" s="9"/>
      <c r="L5" s="9"/>
      <c r="M5" s="9"/>
      <c r="N5" s="9"/>
      <c r="O5" s="9"/>
    </row>
    <row r="6" customFormat="false" ht="15.8" hidden="false" customHeight="false" outlineLevel="0" collapsed="false">
      <c r="A6" s="9" t="s">
        <v>21</v>
      </c>
      <c r="B6" s="9"/>
      <c r="C6" s="11" t="s">
        <v>22</v>
      </c>
      <c r="E6" s="9"/>
      <c r="K6" s="9"/>
      <c r="L6" s="9"/>
      <c r="M6" s="9"/>
      <c r="N6" s="9"/>
      <c r="O6" s="9"/>
    </row>
    <row r="7" customFormat="false" ht="15.8" hidden="false" customHeight="false" outlineLevel="0" collapsed="false">
      <c r="A7" s="9" t="s">
        <v>23</v>
      </c>
      <c r="B7" s="9"/>
      <c r="C7" s="11" t="s">
        <v>24</v>
      </c>
      <c r="E7" s="9"/>
      <c r="K7" s="9"/>
      <c r="L7" s="9"/>
      <c r="M7" s="9"/>
      <c r="N7" s="9"/>
      <c r="O7" s="9"/>
    </row>
    <row r="8" customFormat="false" ht="15.8" hidden="false" customHeight="false" outlineLevel="0" collapsed="false">
      <c r="A8" s="9" t="s">
        <v>25</v>
      </c>
      <c r="B8" s="9"/>
      <c r="C8" s="11" t="s">
        <v>22</v>
      </c>
      <c r="E8" s="9"/>
      <c r="K8" s="9"/>
      <c r="L8" s="9"/>
      <c r="M8" s="9"/>
      <c r="N8" s="9"/>
      <c r="O8" s="9"/>
    </row>
    <row r="9" customFormat="false" ht="15.8" hidden="false" customHeight="false" outlineLevel="0" collapsed="false">
      <c r="A9" s="9" t="s">
        <v>26</v>
      </c>
      <c r="B9" s="9"/>
      <c r="C9" s="11" t="s">
        <v>24</v>
      </c>
      <c r="E9" s="9"/>
      <c r="K9" s="9"/>
      <c r="L9" s="9"/>
      <c r="M9" s="9"/>
      <c r="N9" s="9"/>
      <c r="O9" s="9"/>
    </row>
    <row r="10" customFormat="false" ht="15.8" hidden="false" customHeight="false" outlineLevel="0" collapsed="false">
      <c r="A10" s="9" t="s">
        <v>27</v>
      </c>
      <c r="B10" s="9"/>
      <c r="C10" s="136" t="n">
        <v>45820</v>
      </c>
      <c r="E10" s="9"/>
      <c r="K10" s="9"/>
      <c r="L10" s="9"/>
      <c r="M10" s="9"/>
      <c r="N10" s="9"/>
      <c r="O10" s="9"/>
    </row>
    <row r="11" customFormat="false" ht="15.8" hidden="false" customHeight="false" outlineLevel="0" collapsed="false">
      <c r="A11" s="9" t="s">
        <v>28</v>
      </c>
      <c r="B11" s="9"/>
      <c r="C11" s="13" t="s">
        <v>29</v>
      </c>
      <c r="E11" s="9"/>
      <c r="K11" s="9"/>
      <c r="L11" s="9"/>
      <c r="M11" s="9"/>
      <c r="N11" s="9"/>
      <c r="O11" s="9"/>
    </row>
    <row r="12" customFormat="false" ht="15.8" hidden="false" customHeight="false" outlineLevel="0" collapsed="false">
      <c r="A12" s="9" t="s">
        <v>30</v>
      </c>
      <c r="B12" s="9"/>
      <c r="C12" s="14" t="n">
        <v>36</v>
      </c>
      <c r="E12" s="9"/>
      <c r="F12" s="39"/>
      <c r="K12" s="9"/>
      <c r="L12" s="9"/>
      <c r="M12" s="9"/>
      <c r="N12" s="9"/>
      <c r="O12" s="9"/>
    </row>
    <row r="13" customFormat="false" ht="15.8" hidden="false" customHeight="false" outlineLevel="0" collapsed="false">
      <c r="A13" s="9"/>
      <c r="B13" s="9"/>
      <c r="C13" s="9"/>
      <c r="D13" s="11"/>
      <c r="E13" s="9"/>
      <c r="F13" s="40"/>
      <c r="K13" s="9"/>
      <c r="L13" s="9"/>
      <c r="M13" s="9"/>
      <c r="N13" s="9"/>
      <c r="O13" s="9"/>
    </row>
    <row r="14" customFormat="false" ht="15.8" hidden="false" customHeight="false" outlineLevel="0" collapsed="false">
      <c r="A14" s="5" t="s">
        <v>260</v>
      </c>
      <c r="E14" s="9"/>
      <c r="I14" s="9"/>
      <c r="J14" s="11"/>
      <c r="K14" s="9"/>
      <c r="L14" s="9"/>
      <c r="M14" s="9"/>
      <c r="N14" s="9"/>
      <c r="O14" s="9"/>
    </row>
    <row r="15" customFormat="false" ht="15.8" hidden="false" customHeight="false" outlineLevel="0" collapsed="false">
      <c r="E15" s="9"/>
      <c r="F15" s="40"/>
      <c r="I15" s="9"/>
      <c r="J15" s="9"/>
      <c r="K15" s="9"/>
      <c r="L15" s="9"/>
      <c r="M15" s="9"/>
      <c r="N15" s="9"/>
      <c r="O15" s="9"/>
    </row>
    <row r="16" customFormat="false" ht="15.8" hidden="false" customHeight="false" outlineLevel="0" collapsed="false">
      <c r="A16" s="9"/>
      <c r="E16" s="9"/>
      <c r="F16" s="39"/>
      <c r="I16" s="9"/>
      <c r="M16" s="9"/>
      <c r="N16" s="11"/>
      <c r="O16" s="9"/>
    </row>
    <row r="17" customFormat="false" ht="15.8" hidden="false" customHeight="false" outlineLevel="0" collapsed="false">
      <c r="A17" s="9"/>
      <c r="E17" s="9"/>
      <c r="I17" s="9"/>
      <c r="M17" s="9"/>
      <c r="N17" s="21"/>
      <c r="O17" s="9"/>
    </row>
    <row r="18" customFormat="false" ht="15.8" hidden="false" customHeight="false" outlineLevel="0" collapsed="false">
      <c r="A18" s="9"/>
      <c r="B18" s="11" t="s">
        <v>261</v>
      </c>
      <c r="C18" s="11" t="s">
        <v>39</v>
      </c>
      <c r="E18" s="9"/>
      <c r="I18" s="9"/>
      <c r="M18" s="9"/>
      <c r="N18" s="21"/>
      <c r="O18" s="9"/>
    </row>
    <row r="19" customFormat="false" ht="15.8" hidden="false" customHeight="false" outlineLevel="0" collapsed="false">
      <c r="A19" s="9"/>
      <c r="B19" s="9"/>
      <c r="C19" s="9"/>
      <c r="F19" s="9"/>
      <c r="G19" s="9"/>
      <c r="H19" s="29"/>
      <c r="I19" s="26"/>
      <c r="J19" s="26"/>
    </row>
    <row r="20" customFormat="false" ht="15.8" hidden="false" customHeight="false" outlineLevel="0" collapsed="false">
      <c r="A20" s="9" t="s">
        <v>262</v>
      </c>
      <c r="B20" s="23" t="n">
        <v>9105</v>
      </c>
      <c r="C20" s="20" t="n">
        <f aca="false">(B20-$B$26)/$B$26</f>
        <v>-0.00293479927287055</v>
      </c>
      <c r="F20" s="9"/>
      <c r="G20" s="9"/>
      <c r="H20" s="30"/>
      <c r="I20" s="26"/>
      <c r="J20" s="26"/>
    </row>
    <row r="21" customFormat="false" ht="15.8" hidden="false" customHeight="false" outlineLevel="0" collapsed="false">
      <c r="A21" s="9" t="s">
        <v>263</v>
      </c>
      <c r="B21" s="24" t="n">
        <v>9129</v>
      </c>
      <c r="C21" s="20" t="n">
        <f aca="false">(B21-$B$26)/$B$26</f>
        <v>-0.000306620819553568</v>
      </c>
      <c r="E21" s="9"/>
      <c r="F21" s="9"/>
      <c r="G21" s="9"/>
      <c r="H21" s="32"/>
      <c r="I21" s="26"/>
      <c r="J21" s="26"/>
    </row>
    <row r="22" customFormat="false" ht="15.8" hidden="false" customHeight="false" outlineLevel="0" collapsed="false">
      <c r="A22" s="9" t="s">
        <v>264</v>
      </c>
      <c r="B22" s="24" t="n">
        <v>9164</v>
      </c>
      <c r="C22" s="20" t="n">
        <f aca="false">(B22-$B$26)/$B$26</f>
        <v>0.00352613942486703</v>
      </c>
      <c r="E22" s="9"/>
      <c r="F22" s="9"/>
      <c r="G22" s="9"/>
      <c r="H22" s="30"/>
      <c r="I22" s="26"/>
      <c r="J22" s="26"/>
    </row>
    <row r="23" customFormat="false" ht="15.8" hidden="false" customHeight="false" outlineLevel="0" collapsed="false">
      <c r="A23" s="9" t="s">
        <v>265</v>
      </c>
      <c r="B23" s="24" t="n">
        <v>9170</v>
      </c>
      <c r="C23" s="20" t="n">
        <f aca="false">(B23-$B$26)/$B$26</f>
        <v>0.00418318403819627</v>
      </c>
      <c r="E23" s="9"/>
      <c r="F23" s="9"/>
      <c r="G23" s="9"/>
      <c r="H23" s="32"/>
      <c r="I23" s="26"/>
      <c r="J23" s="26"/>
    </row>
    <row r="24" customFormat="false" ht="15.8" hidden="false" customHeight="false" outlineLevel="0" collapsed="false">
      <c r="A24" s="9" t="s">
        <v>266</v>
      </c>
      <c r="B24" s="25" t="n">
        <v>9091</v>
      </c>
      <c r="C24" s="20" t="n">
        <f aca="false">(B24-$B$26)/$B$26</f>
        <v>-0.00446790337063879</v>
      </c>
      <c r="E24" s="33"/>
      <c r="F24" s="9"/>
      <c r="G24" s="9"/>
      <c r="H24" s="34"/>
      <c r="I24" s="26"/>
      <c r="J24" s="26"/>
    </row>
    <row r="25" customFormat="false" ht="15.8" hidden="false" customHeight="false" outlineLevel="0" collapsed="false">
      <c r="A25" s="9"/>
      <c r="B25" s="9"/>
      <c r="C25" s="9"/>
      <c r="E25" s="9"/>
      <c r="F25" s="9"/>
      <c r="G25" s="9"/>
      <c r="H25" s="9"/>
      <c r="I25" s="9"/>
    </row>
    <row r="26" customFormat="false" ht="15.8" hidden="false" customHeight="false" outlineLevel="0" collapsed="false">
      <c r="A26" s="9" t="s">
        <v>45</v>
      </c>
      <c r="B26" s="22" t="n">
        <f aca="false">AVERAGE(B20:B24)</f>
        <v>9131.8</v>
      </c>
      <c r="C26" s="9"/>
      <c r="E26" s="9"/>
      <c r="F26" s="9"/>
      <c r="G26" s="9"/>
      <c r="H26" s="9"/>
      <c r="I26" s="20"/>
    </row>
    <row r="27" customFormat="false" ht="15.8" hidden="false" customHeight="false" outlineLevel="0" collapsed="false">
      <c r="A27" s="9" t="s">
        <v>46</v>
      </c>
      <c r="B27" s="22" t="n">
        <f aca="false">STDEVP(B20:B24)</f>
        <v>31.2627573959816</v>
      </c>
      <c r="C27" s="9"/>
      <c r="E27" s="9"/>
      <c r="F27" s="9"/>
      <c r="G27" s="9"/>
      <c r="H27" s="9"/>
      <c r="I27" s="9"/>
    </row>
    <row r="28" customFormat="false" ht="15.8" hidden="false" customHeight="false" outlineLevel="0" collapsed="false">
      <c r="A28" s="9"/>
      <c r="B28" s="22"/>
      <c r="C28" s="9"/>
      <c r="E28" s="9"/>
      <c r="F28" s="9"/>
      <c r="G28" s="9"/>
      <c r="H28" s="9"/>
      <c r="I28" s="9"/>
    </row>
    <row r="29" customFormat="false" ht="15.8" hidden="false" customHeight="false" outlineLevel="0" collapsed="false">
      <c r="A29" s="9"/>
      <c r="B29" s="9"/>
      <c r="C29" s="9"/>
      <c r="E29" s="9"/>
      <c r="F29" s="9"/>
      <c r="G29" s="9"/>
      <c r="H29" s="9"/>
      <c r="I29" s="9"/>
    </row>
    <row r="30" customFormat="false" ht="15.8" hidden="false" customHeight="false" outlineLevel="0" collapsed="false">
      <c r="A30" s="9"/>
      <c r="B30" s="20"/>
      <c r="C30" s="9"/>
      <c r="E30" s="9"/>
      <c r="F30" s="9"/>
      <c r="G30" s="9"/>
      <c r="H30" s="9"/>
      <c r="I30" s="20"/>
    </row>
    <row r="31" customFormat="false" ht="15.8" hidden="false" customHeight="false" outlineLevel="0" collapsed="false">
      <c r="A31" s="9"/>
      <c r="B31" s="9"/>
      <c r="C31" s="9"/>
    </row>
    <row r="32" customFormat="false" ht="15.8" hidden="false" customHeight="false" outlineLevel="0" collapsed="false">
      <c r="A32" s="9"/>
      <c r="B32" s="9"/>
      <c r="C32" s="9"/>
    </row>
    <row r="33" customFormat="false" ht="15.8" hidden="false" customHeight="false" outlineLevel="0" collapsed="false">
      <c r="A33" s="9"/>
      <c r="B33" s="9"/>
      <c r="C33" s="9"/>
    </row>
    <row r="34" customFormat="false" ht="15.8" hidden="false" customHeight="false" outlineLevel="0" collapsed="false">
      <c r="A34" s="9" t="s">
        <v>47</v>
      </c>
      <c r="B34" s="20" t="n">
        <f aca="false">B27/B26</f>
        <v>0.00342350439080812</v>
      </c>
      <c r="C34" s="9" t="str">
        <f aca="false">IF(B34&lt;0.03,"&lt;3% = PASS","&gt;3% = FAIL")</f>
        <v>&lt;3% = PASS</v>
      </c>
    </row>
  </sheetData>
  <mergeCells count="1">
    <mergeCell ref="A1:E1"/>
  </mergeCells>
  <conditionalFormatting sqref="B34">
    <cfRule type="cellIs" priority="2" operator="equal" aboveAverage="0" equalAverage="0" bottom="0" percent="0" rank="0" text="" dxfId="0">
      <formula>"&lt;3% = PASS"</formula>
    </cfRule>
    <cfRule type="cellIs" priority="3" operator="notEqual" aboveAverage="0" equalAverage="0" bottom="0" percent="0" rank="0" text="" dxfId="1">
      <formula>"&lt;3% = PASS"</formula>
    </cfRule>
  </conditionalFormatting>
  <conditionalFormatting sqref="A34">
    <cfRule type="cellIs" priority="4" operator="lessThan" aboveAverage="0" equalAverage="0" bottom="0" percent="0" rank="0" text="" dxfId="0">
      <formula>0.03</formula>
    </cfRule>
    <cfRule type="cellIs" priority="5" operator="greaterThanOrEqual" aboveAverage="0" equalAverage="0" bottom="0" percent="0" rank="0" text="" dxfId="1">
      <formula>0.03</formula>
    </cfRule>
  </conditionalFormatting>
  <printOptions headings="false" gridLines="false" gridLinesSet="true" horizontalCentered="false" verticalCentered="false"/>
  <pageMargins left="0.7875" right="0.7875" top="1.05277777777778" bottom="1.74166666666667" header="0.7875" footer="0.7875"/>
  <pageSetup paperSize="9" scale="110" fitToWidth="1" fitToHeight="1" pageOrder="downThenOver" orientation="landscape" blackAndWhite="false" draft="false" cellComments="none" horizontalDpi="300" verticalDpi="300" copies="1"/>
  <headerFooter differentFirst="false" differentOddEven="false">
    <oddHeader>&amp;C&amp;"Times New Roman,Regular"&amp;12&amp;Kffffff&amp;A</oddHeader>
    <oddFooter>&amp;C&amp;"Times New Roman,Regular"&amp;12&amp;KffffffPage &amp;P</oddFooter>
  </headerFooter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MJ1051"/>
  <sheetViews>
    <sheetView showFormulas="false" showGridLines="true" showRowColHeaders="true" showZeros="true" rightToLeft="false" tabSelected="true" showOutlineSymbols="true" defaultGridColor="true" view="normal" topLeftCell="A1" colorId="64" zoomScale="90" zoomScaleNormal="90" zoomScalePageLayoutView="100" workbookViewId="0">
      <selection pane="topLeft" activeCell="A9" activeCellId="0" sqref="A9"/>
    </sheetView>
  </sheetViews>
  <sheetFormatPr defaultColWidth="10.4921875" defaultRowHeight="12.8" zeroHeight="false" outlineLevelRow="0" outlineLevelCol="0"/>
  <cols>
    <col collapsed="false" customWidth="true" hidden="false" outlineLevel="0" max="1" min="1" style="0" width="20.99"/>
    <col collapsed="false" customWidth="true" hidden="false" outlineLevel="0" max="2" min="2" style="0" width="14.31"/>
    <col collapsed="false" customWidth="true" hidden="false" outlineLevel="0" max="12" min="12" style="0" width="4.94"/>
    <col collapsed="false" customWidth="true" hidden="false" outlineLevel="0" max="13" min="13" style="0" width="8.94"/>
  </cols>
  <sheetData>
    <row r="1" customFormat="false" ht="44.75" hidden="false" customHeight="true" outlineLevel="0" collapsed="false">
      <c r="A1" s="159" t="s">
        <v>267</v>
      </c>
      <c r="B1" s="7" t="s">
        <v>15</v>
      </c>
      <c r="C1" s="6" t="s">
        <v>16</v>
      </c>
      <c r="D1" s="6"/>
      <c r="E1" s="6"/>
      <c r="F1" s="6"/>
      <c r="G1" s="6"/>
      <c r="H1" s="6"/>
      <c r="I1" s="7"/>
      <c r="J1" s="7"/>
      <c r="K1" s="7"/>
      <c r="L1" s="0" t="s">
        <v>268</v>
      </c>
      <c r="M1" s="0" t="s">
        <v>269</v>
      </c>
      <c r="N1" s="7" t="s">
        <v>270</v>
      </c>
      <c r="O1" s="7" t="s">
        <v>271</v>
      </c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  <c r="CO1" s="7"/>
      <c r="CP1" s="7"/>
      <c r="CQ1" s="7"/>
      <c r="CR1" s="7"/>
      <c r="CS1" s="7"/>
      <c r="CT1" s="7"/>
      <c r="CU1" s="7"/>
      <c r="CV1" s="7"/>
      <c r="CW1" s="7"/>
      <c r="CX1" s="7"/>
      <c r="CY1" s="7"/>
      <c r="CZ1" s="7"/>
      <c r="DA1" s="7"/>
      <c r="DB1" s="7"/>
      <c r="DC1" s="7"/>
      <c r="DD1" s="7"/>
      <c r="DE1" s="7"/>
      <c r="DF1" s="7"/>
      <c r="DG1" s="7"/>
      <c r="DH1" s="7"/>
      <c r="DI1" s="7"/>
      <c r="DJ1" s="7"/>
      <c r="DK1" s="7"/>
      <c r="DL1" s="7"/>
      <c r="DM1" s="7"/>
      <c r="DN1" s="7"/>
      <c r="DO1" s="7"/>
      <c r="DP1" s="7"/>
      <c r="DQ1" s="7"/>
      <c r="DR1" s="7"/>
      <c r="DS1" s="7"/>
      <c r="DT1" s="7"/>
      <c r="DU1" s="7"/>
      <c r="DV1" s="7"/>
      <c r="DW1" s="7"/>
      <c r="DX1" s="7"/>
      <c r="DY1" s="7"/>
      <c r="DZ1" s="7"/>
      <c r="EA1" s="7"/>
      <c r="EB1" s="7"/>
      <c r="EC1" s="7"/>
      <c r="ED1" s="7"/>
      <c r="EE1" s="7"/>
      <c r="EF1" s="7"/>
      <c r="EG1" s="7"/>
      <c r="EH1" s="7"/>
      <c r="EI1" s="7"/>
      <c r="EJ1" s="7"/>
      <c r="EK1" s="7"/>
      <c r="EL1" s="7"/>
      <c r="EM1" s="7"/>
      <c r="EN1" s="7"/>
      <c r="EO1" s="7"/>
      <c r="EP1" s="7"/>
      <c r="EQ1" s="7"/>
      <c r="ER1" s="7"/>
      <c r="ES1" s="7"/>
      <c r="ET1" s="7"/>
      <c r="EU1" s="7"/>
      <c r="EV1" s="7"/>
      <c r="EW1" s="7"/>
      <c r="EX1" s="7"/>
      <c r="EY1" s="7"/>
      <c r="EZ1" s="7"/>
      <c r="FA1" s="7"/>
      <c r="FB1" s="7"/>
      <c r="FC1" s="7"/>
      <c r="FD1" s="7"/>
      <c r="FE1" s="7"/>
      <c r="FF1" s="7"/>
      <c r="FG1" s="7"/>
      <c r="FH1" s="7"/>
      <c r="FI1" s="7"/>
      <c r="FJ1" s="7"/>
      <c r="FK1" s="7"/>
      <c r="FL1" s="7"/>
      <c r="FM1" s="7"/>
      <c r="FN1" s="7"/>
      <c r="FO1" s="7"/>
      <c r="FP1" s="7"/>
      <c r="FQ1" s="7"/>
      <c r="FR1" s="7"/>
      <c r="FS1" s="7"/>
      <c r="FT1" s="7"/>
      <c r="FU1" s="7"/>
      <c r="FV1" s="7"/>
      <c r="FW1" s="7"/>
      <c r="FX1" s="7"/>
      <c r="FY1" s="7"/>
      <c r="FZ1" s="7"/>
      <c r="GA1" s="7"/>
      <c r="GB1" s="7"/>
      <c r="GC1" s="7"/>
      <c r="GD1" s="7"/>
      <c r="GE1" s="7"/>
      <c r="GF1" s="7"/>
      <c r="GG1" s="7"/>
      <c r="GH1" s="7"/>
      <c r="GI1" s="7"/>
      <c r="GJ1" s="7"/>
      <c r="GK1" s="7"/>
      <c r="GL1" s="7"/>
      <c r="GM1" s="7"/>
      <c r="GN1" s="7"/>
      <c r="GO1" s="7"/>
      <c r="GP1" s="7"/>
      <c r="GQ1" s="7"/>
      <c r="GR1" s="7"/>
      <c r="GS1" s="7"/>
      <c r="GT1" s="7"/>
      <c r="GU1" s="7"/>
      <c r="GV1" s="7"/>
      <c r="GW1" s="7"/>
      <c r="GX1" s="7"/>
      <c r="GY1" s="7"/>
      <c r="GZ1" s="7"/>
      <c r="HA1" s="7"/>
      <c r="HB1" s="7"/>
      <c r="HC1" s="7"/>
      <c r="HD1" s="7"/>
      <c r="HE1" s="7"/>
      <c r="HF1" s="7"/>
      <c r="HG1" s="7"/>
      <c r="HH1" s="7"/>
      <c r="HI1" s="7"/>
      <c r="HJ1" s="7"/>
      <c r="HK1" s="7"/>
      <c r="HL1" s="7"/>
      <c r="HM1" s="7"/>
      <c r="HN1" s="7"/>
      <c r="HO1" s="7"/>
      <c r="HP1" s="7"/>
      <c r="HQ1" s="7"/>
      <c r="HR1" s="7"/>
      <c r="HS1" s="7"/>
      <c r="HT1" s="7"/>
      <c r="HU1" s="7"/>
      <c r="HV1" s="7"/>
      <c r="HW1" s="7"/>
      <c r="HX1" s="7"/>
      <c r="HY1" s="7"/>
      <c r="HZ1" s="7"/>
      <c r="IA1" s="7"/>
      <c r="IB1" s="7"/>
      <c r="IC1" s="7"/>
      <c r="ID1" s="7"/>
      <c r="IE1" s="7"/>
      <c r="IF1" s="7"/>
      <c r="IG1" s="7"/>
      <c r="IH1" s="7"/>
      <c r="II1" s="7"/>
      <c r="IJ1" s="7"/>
      <c r="IK1" s="7"/>
      <c r="IL1" s="7"/>
      <c r="IM1" s="7"/>
      <c r="IN1" s="7"/>
      <c r="IO1" s="7"/>
      <c r="IP1" s="7"/>
      <c r="IQ1" s="7"/>
      <c r="IR1" s="7"/>
      <c r="IS1" s="7"/>
      <c r="IT1" s="7"/>
      <c r="IU1" s="7"/>
      <c r="IV1" s="7"/>
      <c r="IW1" s="7"/>
      <c r="IX1" s="7"/>
      <c r="IY1" s="7"/>
      <c r="IZ1" s="7"/>
      <c r="JA1" s="7"/>
      <c r="JB1" s="7"/>
      <c r="JC1" s="7"/>
      <c r="JD1" s="7"/>
      <c r="JE1" s="7"/>
      <c r="JF1" s="7"/>
      <c r="JG1" s="7"/>
      <c r="JH1" s="7"/>
      <c r="JI1" s="7"/>
      <c r="JJ1" s="7"/>
      <c r="JK1" s="7"/>
      <c r="JL1" s="7"/>
      <c r="JM1" s="7"/>
      <c r="JN1" s="7"/>
      <c r="JO1" s="7"/>
      <c r="JP1" s="7"/>
      <c r="JQ1" s="7"/>
      <c r="JR1" s="7"/>
      <c r="JS1" s="7"/>
      <c r="JT1" s="7"/>
      <c r="JU1" s="7"/>
      <c r="JV1" s="7"/>
      <c r="JW1" s="7"/>
      <c r="JX1" s="7"/>
      <c r="JY1" s="7"/>
      <c r="JZ1" s="7"/>
      <c r="KA1" s="7"/>
      <c r="KB1" s="7"/>
      <c r="KC1" s="7"/>
      <c r="KD1" s="7"/>
      <c r="KE1" s="7"/>
      <c r="KF1" s="7"/>
      <c r="KG1" s="7"/>
      <c r="KH1" s="7"/>
      <c r="KI1" s="7"/>
      <c r="KJ1" s="7"/>
      <c r="KK1" s="7"/>
      <c r="KL1" s="7"/>
      <c r="KM1" s="7"/>
      <c r="KN1" s="7"/>
      <c r="KO1" s="7"/>
      <c r="KP1" s="7"/>
      <c r="KQ1" s="7"/>
      <c r="KR1" s="7"/>
      <c r="KS1" s="7"/>
      <c r="KT1" s="7"/>
      <c r="KU1" s="7"/>
      <c r="KV1" s="7"/>
      <c r="KW1" s="7"/>
      <c r="KX1" s="7"/>
      <c r="KY1" s="7"/>
      <c r="KZ1" s="7"/>
      <c r="LA1" s="7"/>
      <c r="LB1" s="7"/>
      <c r="LC1" s="7"/>
      <c r="LD1" s="7"/>
      <c r="LE1" s="7"/>
      <c r="LF1" s="7"/>
      <c r="LG1" s="7"/>
      <c r="LH1" s="7"/>
      <c r="LI1" s="7"/>
      <c r="LJ1" s="7"/>
      <c r="LK1" s="7"/>
      <c r="LL1" s="7"/>
      <c r="LM1" s="7"/>
      <c r="LN1" s="7"/>
      <c r="LO1" s="7"/>
      <c r="LP1" s="7"/>
      <c r="LQ1" s="7"/>
      <c r="LR1" s="7"/>
      <c r="LS1" s="7"/>
      <c r="LT1" s="7"/>
      <c r="LU1" s="7"/>
      <c r="LV1" s="7"/>
      <c r="LW1" s="7"/>
      <c r="LX1" s="7"/>
      <c r="LY1" s="7"/>
      <c r="LZ1" s="7"/>
      <c r="MA1" s="7"/>
      <c r="MB1" s="7"/>
      <c r="MC1" s="7"/>
      <c r="MD1" s="7"/>
      <c r="ME1" s="7"/>
      <c r="MF1" s="7"/>
      <c r="MG1" s="7"/>
      <c r="MH1" s="7"/>
      <c r="MI1" s="7"/>
      <c r="MJ1" s="7"/>
      <c r="MK1" s="7"/>
      <c r="ML1" s="7"/>
      <c r="MM1" s="7"/>
      <c r="MN1" s="7"/>
      <c r="MO1" s="7"/>
      <c r="MP1" s="7"/>
      <c r="MQ1" s="7"/>
      <c r="MR1" s="7"/>
      <c r="MS1" s="7"/>
      <c r="MT1" s="7"/>
      <c r="MU1" s="7"/>
      <c r="MV1" s="7"/>
      <c r="MW1" s="7"/>
      <c r="MX1" s="7"/>
      <c r="MY1" s="7"/>
      <c r="MZ1" s="7"/>
      <c r="NA1" s="7"/>
      <c r="NB1" s="7"/>
      <c r="NC1" s="7"/>
      <c r="ND1" s="7"/>
      <c r="NE1" s="7"/>
      <c r="NF1" s="7"/>
      <c r="NG1" s="7"/>
      <c r="NH1" s="7"/>
      <c r="NI1" s="7"/>
      <c r="NJ1" s="7"/>
      <c r="NK1" s="7"/>
      <c r="NL1" s="7"/>
      <c r="NM1" s="7"/>
      <c r="NN1" s="7"/>
      <c r="NO1" s="7"/>
      <c r="NP1" s="7"/>
      <c r="NQ1" s="7"/>
      <c r="NR1" s="7"/>
      <c r="NS1" s="7"/>
      <c r="NT1" s="7"/>
      <c r="NU1" s="7"/>
      <c r="NV1" s="7"/>
      <c r="NW1" s="7"/>
      <c r="NX1" s="7"/>
      <c r="NY1" s="7"/>
      <c r="NZ1" s="7"/>
      <c r="OA1" s="7"/>
      <c r="OB1" s="7"/>
      <c r="OC1" s="7"/>
      <c r="OD1" s="7"/>
      <c r="OE1" s="7"/>
      <c r="OF1" s="7"/>
      <c r="OG1" s="7"/>
      <c r="OH1" s="7"/>
      <c r="OI1" s="7"/>
      <c r="OJ1" s="7"/>
      <c r="OK1" s="7"/>
      <c r="OL1" s="7"/>
      <c r="OM1" s="7"/>
      <c r="ON1" s="7"/>
      <c r="OO1" s="7"/>
      <c r="OP1" s="7"/>
      <c r="OQ1" s="7"/>
      <c r="OR1" s="7"/>
      <c r="OS1" s="7"/>
      <c r="OT1" s="7"/>
      <c r="OU1" s="7"/>
      <c r="OV1" s="7"/>
      <c r="OW1" s="7"/>
      <c r="OX1" s="7"/>
      <c r="OY1" s="7"/>
      <c r="OZ1" s="7"/>
      <c r="PA1" s="7"/>
      <c r="PB1" s="7"/>
      <c r="PC1" s="7"/>
      <c r="PD1" s="7"/>
      <c r="PE1" s="7"/>
      <c r="PF1" s="7"/>
      <c r="PG1" s="7"/>
      <c r="PH1" s="7"/>
      <c r="PI1" s="7"/>
      <c r="PJ1" s="7"/>
      <c r="PK1" s="7"/>
      <c r="PL1" s="7"/>
      <c r="PM1" s="7"/>
      <c r="PN1" s="7"/>
      <c r="PO1" s="7"/>
      <c r="PP1" s="7"/>
      <c r="PQ1" s="7"/>
      <c r="PR1" s="7"/>
      <c r="PS1" s="7"/>
      <c r="PT1" s="7"/>
      <c r="PU1" s="7"/>
      <c r="PV1" s="7"/>
      <c r="PW1" s="7"/>
      <c r="PX1" s="7"/>
      <c r="PY1" s="7"/>
      <c r="PZ1" s="7"/>
      <c r="QA1" s="7"/>
      <c r="QB1" s="7"/>
      <c r="QC1" s="7"/>
      <c r="QD1" s="7"/>
      <c r="QE1" s="7"/>
      <c r="QF1" s="7"/>
      <c r="QG1" s="7"/>
      <c r="QH1" s="7"/>
      <c r="QI1" s="7"/>
      <c r="QJ1" s="7"/>
      <c r="QK1" s="7"/>
      <c r="QL1" s="7"/>
      <c r="QM1" s="7"/>
      <c r="QN1" s="7"/>
      <c r="QO1" s="7"/>
      <c r="QP1" s="7"/>
      <c r="QQ1" s="7"/>
      <c r="QR1" s="7"/>
      <c r="QS1" s="7"/>
      <c r="QT1" s="7"/>
      <c r="QU1" s="7"/>
      <c r="QV1" s="7"/>
      <c r="QW1" s="7"/>
      <c r="QX1" s="7"/>
      <c r="QY1" s="7"/>
      <c r="QZ1" s="7"/>
      <c r="RA1" s="7"/>
      <c r="RB1" s="7"/>
      <c r="RC1" s="7"/>
      <c r="RD1" s="7"/>
      <c r="RE1" s="7"/>
      <c r="RF1" s="7"/>
      <c r="RG1" s="7"/>
      <c r="RH1" s="7"/>
      <c r="RI1" s="7"/>
      <c r="RJ1" s="7"/>
      <c r="RK1" s="7"/>
      <c r="RL1" s="7"/>
      <c r="RM1" s="7"/>
      <c r="RN1" s="7"/>
      <c r="RO1" s="7"/>
      <c r="RP1" s="7"/>
      <c r="RQ1" s="7"/>
      <c r="RR1" s="7"/>
      <c r="RS1" s="7"/>
      <c r="RT1" s="7"/>
      <c r="RU1" s="7"/>
      <c r="RV1" s="7"/>
      <c r="RW1" s="7"/>
      <c r="RX1" s="7"/>
      <c r="RY1" s="7"/>
      <c r="RZ1" s="7"/>
      <c r="SA1" s="7"/>
      <c r="SB1" s="7"/>
      <c r="SC1" s="7"/>
      <c r="SD1" s="7"/>
      <c r="SE1" s="7"/>
      <c r="SF1" s="7"/>
      <c r="SG1" s="7"/>
      <c r="SH1" s="7"/>
      <c r="SI1" s="7"/>
      <c r="SJ1" s="7"/>
      <c r="SK1" s="7"/>
      <c r="SL1" s="7"/>
      <c r="SM1" s="7"/>
      <c r="SN1" s="7"/>
      <c r="SO1" s="7"/>
      <c r="SP1" s="7"/>
      <c r="SQ1" s="7"/>
      <c r="SR1" s="7"/>
      <c r="SS1" s="7"/>
      <c r="ST1" s="7"/>
      <c r="SU1" s="7"/>
      <c r="SV1" s="7"/>
      <c r="SW1" s="7"/>
      <c r="SX1" s="7"/>
      <c r="SY1" s="7"/>
      <c r="SZ1" s="7"/>
      <c r="TA1" s="7"/>
      <c r="TB1" s="7"/>
      <c r="TC1" s="7"/>
      <c r="TD1" s="7"/>
      <c r="TE1" s="7"/>
      <c r="TF1" s="7"/>
      <c r="TG1" s="7"/>
      <c r="TH1" s="7"/>
      <c r="TI1" s="7"/>
      <c r="TJ1" s="7"/>
      <c r="TK1" s="7"/>
      <c r="TL1" s="7"/>
      <c r="TM1" s="7"/>
      <c r="TN1" s="7"/>
      <c r="TO1" s="7"/>
      <c r="TP1" s="7"/>
      <c r="TQ1" s="7"/>
      <c r="TR1" s="7"/>
      <c r="TS1" s="7"/>
      <c r="TT1" s="7"/>
      <c r="TU1" s="7"/>
      <c r="TV1" s="7"/>
      <c r="TW1" s="7"/>
      <c r="TX1" s="7"/>
      <c r="TY1" s="7"/>
      <c r="TZ1" s="7"/>
      <c r="UA1" s="7"/>
      <c r="UB1" s="7"/>
      <c r="UC1" s="7"/>
      <c r="UD1" s="7"/>
      <c r="UE1" s="7"/>
      <c r="UF1" s="7"/>
      <c r="UG1" s="7"/>
      <c r="UH1" s="7"/>
      <c r="UI1" s="7"/>
      <c r="UJ1" s="7"/>
      <c r="UK1" s="7"/>
      <c r="UL1" s="7"/>
      <c r="UM1" s="7"/>
      <c r="UN1" s="7"/>
      <c r="UO1" s="7"/>
      <c r="UP1" s="7"/>
      <c r="UQ1" s="7"/>
      <c r="UR1" s="7"/>
      <c r="US1" s="7"/>
      <c r="UT1" s="7"/>
      <c r="UU1" s="7"/>
      <c r="UV1" s="7"/>
      <c r="UW1" s="7"/>
      <c r="UX1" s="7"/>
      <c r="UY1" s="7"/>
      <c r="UZ1" s="7"/>
      <c r="VA1" s="7"/>
      <c r="VB1" s="7"/>
      <c r="VC1" s="7"/>
      <c r="VD1" s="7"/>
      <c r="VE1" s="7"/>
      <c r="VF1" s="7"/>
      <c r="VG1" s="7"/>
      <c r="VH1" s="7"/>
      <c r="VI1" s="7"/>
      <c r="VJ1" s="7"/>
      <c r="VK1" s="7"/>
      <c r="VL1" s="7"/>
      <c r="VM1" s="7"/>
      <c r="VN1" s="7"/>
      <c r="VO1" s="7"/>
      <c r="VP1" s="7"/>
      <c r="VQ1" s="7"/>
      <c r="VR1" s="7"/>
      <c r="VS1" s="7"/>
      <c r="VT1" s="7"/>
      <c r="VU1" s="7"/>
      <c r="VV1" s="7"/>
      <c r="VW1" s="7"/>
      <c r="VX1" s="7"/>
      <c r="VY1" s="7"/>
      <c r="VZ1" s="7"/>
      <c r="WA1" s="7"/>
      <c r="WB1" s="7"/>
      <c r="WC1" s="7"/>
      <c r="WD1" s="7"/>
      <c r="WE1" s="7"/>
      <c r="WF1" s="7"/>
      <c r="WG1" s="7"/>
      <c r="WH1" s="7"/>
      <c r="WI1" s="7"/>
      <c r="WJ1" s="7"/>
      <c r="WK1" s="7"/>
      <c r="WL1" s="7"/>
      <c r="WM1" s="7"/>
      <c r="WN1" s="7"/>
      <c r="WO1" s="7"/>
      <c r="WP1" s="7"/>
      <c r="WQ1" s="7"/>
      <c r="WR1" s="7"/>
      <c r="WS1" s="7"/>
      <c r="WT1" s="7"/>
      <c r="WU1" s="7"/>
      <c r="WV1" s="7"/>
      <c r="WW1" s="7"/>
      <c r="WX1" s="7"/>
      <c r="WY1" s="7"/>
      <c r="WZ1" s="7"/>
      <c r="XA1" s="7"/>
      <c r="XB1" s="7"/>
      <c r="XC1" s="7"/>
      <c r="XD1" s="7"/>
      <c r="XE1" s="7"/>
      <c r="XF1" s="7"/>
      <c r="XG1" s="7"/>
      <c r="XH1" s="7"/>
      <c r="XI1" s="7"/>
      <c r="XJ1" s="7"/>
      <c r="XK1" s="7"/>
      <c r="XL1" s="7"/>
      <c r="XM1" s="7"/>
      <c r="XN1" s="7"/>
      <c r="XO1" s="7"/>
      <c r="XP1" s="7"/>
      <c r="XQ1" s="7"/>
      <c r="XR1" s="7"/>
      <c r="XS1" s="7"/>
      <c r="XT1" s="7"/>
      <c r="XU1" s="7"/>
      <c r="XV1" s="7"/>
      <c r="XW1" s="7"/>
      <c r="XX1" s="7"/>
      <c r="XY1" s="7"/>
      <c r="XZ1" s="7"/>
      <c r="YA1" s="7"/>
      <c r="YB1" s="7"/>
      <c r="YC1" s="7"/>
      <c r="YD1" s="7"/>
      <c r="YE1" s="7"/>
      <c r="YF1" s="7"/>
      <c r="YG1" s="7"/>
      <c r="YH1" s="7"/>
      <c r="YI1" s="7"/>
      <c r="YJ1" s="7"/>
      <c r="YK1" s="7"/>
      <c r="YL1" s="7"/>
      <c r="YM1" s="7"/>
      <c r="YN1" s="7"/>
      <c r="YO1" s="7"/>
      <c r="YP1" s="7"/>
      <c r="YQ1" s="7"/>
      <c r="YR1" s="7"/>
      <c r="YS1" s="7"/>
      <c r="YT1" s="7"/>
      <c r="YU1" s="7"/>
      <c r="YV1" s="7"/>
      <c r="YW1" s="7"/>
      <c r="YX1" s="7"/>
      <c r="YY1" s="7"/>
      <c r="YZ1" s="7"/>
      <c r="ZA1" s="7"/>
      <c r="ZB1" s="7"/>
      <c r="ZC1" s="7"/>
      <c r="ZD1" s="7"/>
      <c r="ZE1" s="7"/>
      <c r="ZF1" s="7"/>
      <c r="ZG1" s="7"/>
      <c r="ZH1" s="7"/>
      <c r="ZI1" s="7"/>
      <c r="ZJ1" s="7"/>
      <c r="ZK1" s="7"/>
      <c r="ZL1" s="7"/>
      <c r="ZM1" s="7"/>
      <c r="ZN1" s="7"/>
      <c r="ZO1" s="7"/>
      <c r="ZP1" s="7"/>
      <c r="ZQ1" s="7"/>
      <c r="ZR1" s="7"/>
      <c r="ZS1" s="7"/>
      <c r="ZT1" s="7"/>
      <c r="ZU1" s="7"/>
      <c r="ZV1" s="7"/>
      <c r="ZW1" s="7"/>
      <c r="ZX1" s="7"/>
      <c r="ZY1" s="7"/>
      <c r="ZZ1" s="7"/>
      <c r="AAA1" s="7"/>
      <c r="AAB1" s="7"/>
      <c r="AAC1" s="7"/>
      <c r="AAD1" s="7"/>
      <c r="AAE1" s="7"/>
      <c r="AAF1" s="7"/>
      <c r="AAG1" s="7"/>
      <c r="AAH1" s="7"/>
      <c r="AAI1" s="7"/>
      <c r="AAJ1" s="7"/>
      <c r="AAK1" s="7"/>
      <c r="AAL1" s="7"/>
      <c r="AAM1" s="7"/>
      <c r="AAN1" s="7"/>
      <c r="AAO1" s="7"/>
      <c r="AAP1" s="7"/>
      <c r="AAQ1" s="7"/>
      <c r="AAR1" s="7"/>
      <c r="AAS1" s="7"/>
      <c r="AAT1" s="7"/>
      <c r="AAU1" s="7"/>
      <c r="AAV1" s="7"/>
      <c r="AAW1" s="7"/>
      <c r="AAX1" s="7"/>
      <c r="AAY1" s="7"/>
      <c r="AAZ1" s="7"/>
      <c r="ABA1" s="7"/>
      <c r="ABB1" s="7"/>
      <c r="ABC1" s="7"/>
      <c r="ABD1" s="7"/>
      <c r="ABE1" s="7"/>
      <c r="ABF1" s="7"/>
      <c r="ABG1" s="7"/>
      <c r="ABH1" s="7"/>
      <c r="ABI1" s="7"/>
      <c r="ABJ1" s="7"/>
      <c r="ABK1" s="7"/>
      <c r="ABL1" s="7"/>
      <c r="ABM1" s="7"/>
      <c r="ABN1" s="7"/>
      <c r="ABO1" s="7"/>
      <c r="ABP1" s="7"/>
      <c r="ABQ1" s="7"/>
      <c r="ABR1" s="7"/>
      <c r="ABS1" s="7"/>
      <c r="ABT1" s="7"/>
      <c r="ABU1" s="7"/>
      <c r="ABV1" s="7"/>
      <c r="ABW1" s="7"/>
      <c r="ABX1" s="7"/>
      <c r="ABY1" s="7"/>
      <c r="ABZ1" s="7"/>
      <c r="ACA1" s="7"/>
      <c r="ACB1" s="7"/>
      <c r="ACC1" s="7"/>
      <c r="ACD1" s="7"/>
      <c r="ACE1" s="7"/>
      <c r="ACF1" s="7"/>
      <c r="ACG1" s="7"/>
      <c r="ACH1" s="7"/>
      <c r="ACI1" s="7"/>
      <c r="ACJ1" s="7"/>
      <c r="ACK1" s="7"/>
      <c r="ACL1" s="7"/>
      <c r="ACM1" s="7"/>
      <c r="ACN1" s="7"/>
      <c r="ACO1" s="7"/>
      <c r="ACP1" s="7"/>
      <c r="ACQ1" s="7"/>
      <c r="ACR1" s="7"/>
      <c r="ACS1" s="7"/>
      <c r="ACT1" s="7"/>
      <c r="ACU1" s="7"/>
      <c r="ACV1" s="7"/>
      <c r="ACW1" s="7"/>
      <c r="ACX1" s="7"/>
      <c r="ACY1" s="7"/>
      <c r="ACZ1" s="7"/>
      <c r="ADA1" s="7"/>
      <c r="ADB1" s="7"/>
      <c r="ADC1" s="7"/>
      <c r="ADD1" s="7"/>
      <c r="ADE1" s="7"/>
      <c r="ADF1" s="7"/>
      <c r="ADG1" s="7"/>
      <c r="ADH1" s="7"/>
      <c r="ADI1" s="7"/>
      <c r="ADJ1" s="7"/>
      <c r="ADK1" s="7"/>
      <c r="ADL1" s="7"/>
      <c r="ADM1" s="7"/>
      <c r="ADN1" s="7"/>
      <c r="ADO1" s="7"/>
      <c r="ADP1" s="7"/>
      <c r="ADQ1" s="7"/>
      <c r="ADR1" s="7"/>
      <c r="ADS1" s="7"/>
      <c r="ADT1" s="7"/>
      <c r="ADU1" s="7"/>
      <c r="ADV1" s="7"/>
      <c r="ADW1" s="7"/>
      <c r="ADX1" s="7"/>
      <c r="ADY1" s="7"/>
      <c r="ADZ1" s="7"/>
      <c r="AEA1" s="7"/>
      <c r="AEB1" s="7"/>
      <c r="AEC1" s="7"/>
      <c r="AED1" s="7"/>
      <c r="AEE1" s="7"/>
      <c r="AEF1" s="7"/>
      <c r="AEG1" s="7"/>
      <c r="AEH1" s="7"/>
      <c r="AEI1" s="7"/>
      <c r="AEJ1" s="7"/>
      <c r="AEK1" s="7"/>
      <c r="AEL1" s="7"/>
      <c r="AEM1" s="7"/>
      <c r="AEN1" s="7"/>
      <c r="AEO1" s="7"/>
      <c r="AEP1" s="7"/>
      <c r="AEQ1" s="7"/>
      <c r="AER1" s="7"/>
      <c r="AES1" s="7"/>
      <c r="AET1" s="7"/>
      <c r="AEU1" s="7"/>
      <c r="AEV1" s="7"/>
      <c r="AEW1" s="7"/>
      <c r="AEX1" s="7"/>
      <c r="AEY1" s="7"/>
      <c r="AEZ1" s="7"/>
      <c r="AFA1" s="7"/>
      <c r="AFB1" s="7"/>
      <c r="AFC1" s="7"/>
      <c r="AFD1" s="7"/>
      <c r="AFE1" s="7"/>
      <c r="AFF1" s="7"/>
      <c r="AFG1" s="7"/>
      <c r="AFH1" s="7"/>
      <c r="AFI1" s="7"/>
      <c r="AFJ1" s="7"/>
      <c r="AFK1" s="7"/>
      <c r="AFL1" s="7"/>
      <c r="AFM1" s="7"/>
      <c r="AFN1" s="7"/>
      <c r="AFO1" s="7"/>
      <c r="AFP1" s="7"/>
      <c r="AFQ1" s="7"/>
      <c r="AFR1" s="7"/>
      <c r="AFS1" s="7"/>
      <c r="AFT1" s="7"/>
      <c r="AFU1" s="7"/>
      <c r="AFV1" s="7"/>
      <c r="AFW1" s="7"/>
      <c r="AFX1" s="7"/>
      <c r="AFY1" s="7"/>
      <c r="AFZ1" s="7"/>
      <c r="AGA1" s="7"/>
      <c r="AGB1" s="7"/>
      <c r="AGC1" s="7"/>
      <c r="AGD1" s="7"/>
      <c r="AGE1" s="7"/>
      <c r="AGF1" s="7"/>
      <c r="AGG1" s="7"/>
      <c r="AGH1" s="7"/>
      <c r="AGI1" s="7"/>
      <c r="AGJ1" s="7"/>
      <c r="AGK1" s="7"/>
      <c r="AGL1" s="7"/>
      <c r="AGM1" s="7"/>
      <c r="AGN1" s="7"/>
      <c r="AGO1" s="7"/>
      <c r="AGP1" s="7"/>
      <c r="AGQ1" s="7"/>
      <c r="AGR1" s="7"/>
      <c r="AGS1" s="7"/>
      <c r="AGT1" s="7"/>
      <c r="AGU1" s="7"/>
      <c r="AGV1" s="7"/>
      <c r="AGW1" s="7"/>
      <c r="AGX1" s="7"/>
      <c r="AGY1" s="7"/>
      <c r="AGZ1" s="7"/>
      <c r="AHA1" s="7"/>
      <c r="AHB1" s="7"/>
      <c r="AHC1" s="7"/>
      <c r="AHD1" s="7"/>
      <c r="AHE1" s="7"/>
      <c r="AHF1" s="7"/>
      <c r="AHG1" s="7"/>
      <c r="AHH1" s="7"/>
      <c r="AHI1" s="7"/>
      <c r="AHJ1" s="7"/>
      <c r="AHK1" s="7"/>
      <c r="AHL1" s="7"/>
      <c r="AHM1" s="7"/>
      <c r="AHN1" s="7"/>
      <c r="AHO1" s="7"/>
      <c r="AHP1" s="7"/>
      <c r="AHQ1" s="7"/>
      <c r="AHR1" s="7"/>
      <c r="AHS1" s="7"/>
      <c r="AHT1" s="7"/>
      <c r="AHU1" s="7"/>
      <c r="AHV1" s="7"/>
      <c r="AHW1" s="7"/>
      <c r="AHX1" s="7"/>
      <c r="AHY1" s="7"/>
      <c r="AHZ1" s="7"/>
      <c r="AIA1" s="7"/>
      <c r="AIB1" s="7"/>
      <c r="AIC1" s="7"/>
      <c r="AID1" s="7"/>
      <c r="AIE1" s="7"/>
      <c r="AIF1" s="7"/>
      <c r="AIG1" s="7"/>
      <c r="AIH1" s="7"/>
      <c r="AII1" s="7"/>
      <c r="AIJ1" s="7"/>
      <c r="AIK1" s="7"/>
      <c r="AIL1" s="7"/>
      <c r="AIM1" s="7"/>
      <c r="AIN1" s="7"/>
      <c r="AIO1" s="7"/>
      <c r="AIP1" s="7"/>
      <c r="AIQ1" s="7"/>
      <c r="AIR1" s="7"/>
      <c r="AIS1" s="7"/>
      <c r="AIT1" s="7"/>
      <c r="AIU1" s="7"/>
      <c r="AIV1" s="7"/>
      <c r="AIW1" s="7"/>
      <c r="AIX1" s="7"/>
      <c r="AIY1" s="7"/>
      <c r="AIZ1" s="7"/>
      <c r="AJA1" s="7"/>
      <c r="AJB1" s="7"/>
      <c r="AJC1" s="7"/>
      <c r="AJD1" s="7"/>
      <c r="AJE1" s="7"/>
      <c r="AJF1" s="7"/>
      <c r="AJG1" s="7"/>
      <c r="AJH1" s="7"/>
      <c r="AJI1" s="7"/>
      <c r="AJJ1" s="7"/>
      <c r="AJK1" s="7"/>
      <c r="AJL1" s="7"/>
      <c r="AJM1" s="7"/>
      <c r="AJN1" s="7"/>
      <c r="AJO1" s="7"/>
      <c r="AJP1" s="7"/>
      <c r="AJQ1" s="7"/>
      <c r="AJR1" s="7"/>
      <c r="AJS1" s="7"/>
      <c r="AJT1" s="7"/>
      <c r="AJU1" s="7"/>
      <c r="AJV1" s="7"/>
      <c r="AJW1" s="7"/>
      <c r="AJX1" s="7"/>
      <c r="AJY1" s="7"/>
      <c r="AJZ1" s="7"/>
      <c r="AKA1" s="7"/>
      <c r="AKB1" s="7"/>
      <c r="AKC1" s="7"/>
      <c r="AKD1" s="7"/>
      <c r="AKE1" s="7"/>
      <c r="AKF1" s="7"/>
      <c r="AKG1" s="7"/>
      <c r="AKH1" s="7"/>
      <c r="AKI1" s="7"/>
      <c r="AKJ1" s="7"/>
      <c r="AKK1" s="7"/>
      <c r="AKL1" s="7"/>
      <c r="AKM1" s="7"/>
      <c r="AKN1" s="7"/>
      <c r="AKO1" s="7"/>
      <c r="AKP1" s="7"/>
      <c r="AKQ1" s="7"/>
      <c r="AKR1" s="7"/>
      <c r="AKS1" s="7"/>
      <c r="AKT1" s="7"/>
      <c r="AKU1" s="7"/>
      <c r="AKV1" s="7"/>
      <c r="AKW1" s="7"/>
      <c r="AKX1" s="7"/>
      <c r="AKY1" s="7"/>
      <c r="AKZ1" s="7"/>
      <c r="ALA1" s="7"/>
      <c r="ALB1" s="7"/>
      <c r="ALC1" s="7"/>
      <c r="ALD1" s="7"/>
      <c r="ALE1" s="7"/>
      <c r="ALF1" s="7"/>
      <c r="ALG1" s="7"/>
      <c r="ALH1" s="7"/>
      <c r="ALI1" s="7"/>
      <c r="ALJ1" s="7"/>
      <c r="ALK1" s="7"/>
      <c r="ALL1" s="7"/>
      <c r="ALM1" s="7"/>
      <c r="ALN1" s="7"/>
      <c r="ALO1" s="7"/>
      <c r="ALP1" s="7"/>
      <c r="ALQ1" s="7"/>
      <c r="ALR1" s="7"/>
      <c r="ALS1" s="7"/>
      <c r="ALT1" s="7"/>
      <c r="ALU1" s="7"/>
      <c r="ALV1" s="7"/>
      <c r="ALW1" s="7"/>
      <c r="ALX1" s="7"/>
      <c r="ALY1" s="7"/>
      <c r="ALZ1" s="7"/>
      <c r="AMA1" s="7"/>
      <c r="AMB1" s="7"/>
      <c r="AMC1" s="7"/>
      <c r="AMD1" s="7"/>
      <c r="AME1" s="7"/>
      <c r="AMF1" s="7"/>
      <c r="AMG1" s="7"/>
      <c r="AMH1" s="7"/>
      <c r="AMI1" s="7"/>
      <c r="AMJ1" s="7"/>
    </row>
    <row r="2" customFormat="false" ht="15.8" hidden="false" customHeight="false" outlineLevel="0" collapsed="false">
      <c r="A2" s="0" t="s">
        <v>27</v>
      </c>
      <c r="B2" s="31" t="n">
        <v>45798</v>
      </c>
      <c r="L2" s="0" t="n">
        <v>0</v>
      </c>
      <c r="M2" s="0" t="n">
        <v>0</v>
      </c>
      <c r="N2" s="0" t="n">
        <v>0</v>
      </c>
      <c r="O2" s="0" t="n">
        <f aca="false">MAX($A$23)/2</f>
        <v>965.1875</v>
      </c>
    </row>
    <row r="3" customFormat="false" ht="15.8" hidden="false" customHeight="false" outlineLevel="0" collapsed="false">
      <c r="A3" s="0" t="s">
        <v>28</v>
      </c>
      <c r="B3" s="80" t="s">
        <v>29</v>
      </c>
      <c r="L3" s="0" t="n">
        <v>1</v>
      </c>
      <c r="M3" s="0" t="n">
        <v>0</v>
      </c>
      <c r="N3" s="0" t="n">
        <v>0</v>
      </c>
      <c r="O3" s="0" t="n">
        <f aca="false">MAX($A$23)/2</f>
        <v>965.1875</v>
      </c>
    </row>
    <row r="4" customFormat="false" ht="15.8" hidden="false" customHeight="false" outlineLevel="0" collapsed="false">
      <c r="A4" s="0" t="s">
        <v>272</v>
      </c>
      <c r="B4" s="0" t="n">
        <v>61110029</v>
      </c>
      <c r="L4" s="0" t="n">
        <v>2</v>
      </c>
      <c r="M4" s="0" t="n">
        <v>0</v>
      </c>
      <c r="N4" s="0" t="n">
        <v>0</v>
      </c>
      <c r="O4" s="0" t="n">
        <f aca="false">MAX($A$23)/2</f>
        <v>965.1875</v>
      </c>
    </row>
    <row r="5" customFormat="false" ht="15.8" hidden="false" customHeight="false" outlineLevel="0" collapsed="false">
      <c r="A5" s="0" t="s">
        <v>273</v>
      </c>
      <c r="B5" s="0" t="n">
        <v>5.1</v>
      </c>
      <c r="L5" s="0" t="n">
        <v>3</v>
      </c>
      <c r="M5" s="0" t="n">
        <v>0</v>
      </c>
      <c r="N5" s="0" t="n">
        <f aca="false">AVERAGE(M2:M9)</f>
        <v>0</v>
      </c>
      <c r="O5" s="0" t="n">
        <f aca="false">MAX($A$23)/2</f>
        <v>965.1875</v>
      </c>
    </row>
    <row r="6" customFormat="false" ht="15.8" hidden="false" customHeight="false" outlineLevel="0" collapsed="false">
      <c r="A6" s="26" t="s">
        <v>274</v>
      </c>
      <c r="B6" s="160" t="n">
        <v>5060</v>
      </c>
      <c r="C6" s="26"/>
      <c r="L6" s="0" t="n">
        <v>4</v>
      </c>
      <c r="M6" s="0" t="n">
        <v>0</v>
      </c>
      <c r="N6" s="0" t="n">
        <f aca="false">AVERAGE(M3:M10)</f>
        <v>0</v>
      </c>
      <c r="O6" s="0" t="n">
        <f aca="false">MAX($A$23)/2</f>
        <v>965.1875</v>
      </c>
    </row>
    <row r="7" customFormat="false" ht="15.8" hidden="false" customHeight="false" outlineLevel="0" collapsed="false">
      <c r="A7" s="26"/>
      <c r="B7" s="26"/>
      <c r="C7" s="26"/>
      <c r="L7" s="0" t="n">
        <v>5</v>
      </c>
      <c r="M7" s="0" t="n">
        <v>0</v>
      </c>
      <c r="N7" s="0" t="n">
        <f aca="false">AVERAGE(M4:M11)</f>
        <v>0</v>
      </c>
      <c r="O7" s="0" t="n">
        <f aca="false">MAX($A$23)/2</f>
        <v>965.1875</v>
      </c>
    </row>
    <row r="8" customFormat="false" ht="15.8" hidden="false" customHeight="false" outlineLevel="0" collapsed="false">
      <c r="A8" s="26" t="n">
        <v>10.2</v>
      </c>
      <c r="B8" s="26" t="s">
        <v>212</v>
      </c>
      <c r="C8" s="26" t="s">
        <v>213</v>
      </c>
      <c r="F8" s="0" t="s">
        <v>275</v>
      </c>
      <c r="L8" s="0" t="n">
        <v>6</v>
      </c>
      <c r="M8" s="0" t="n">
        <v>0</v>
      </c>
      <c r="N8" s="0" t="n">
        <f aca="false">AVERAGE(M5:M12)</f>
        <v>0</v>
      </c>
      <c r="O8" s="0" t="n">
        <f aca="false">MAX($A$23)/2</f>
        <v>965.1875</v>
      </c>
    </row>
    <row r="9" customFormat="false" ht="15.8" hidden="false" customHeight="false" outlineLevel="0" collapsed="false">
      <c r="A9" s="161" t="n">
        <f aca="false">(4/3)*(3.1415936)*((A8*0.000001/2)^3)</f>
        <v>5.556473768448E-016</v>
      </c>
      <c r="B9" s="26" t="s">
        <v>214</v>
      </c>
      <c r="C9" s="26" t="s">
        <v>215</v>
      </c>
      <c r="F9" s="80" t="s">
        <v>276</v>
      </c>
      <c r="G9" s="0" t="s">
        <v>277</v>
      </c>
      <c r="L9" s="0" t="n">
        <v>7</v>
      </c>
      <c r="M9" s="0" t="n">
        <v>0</v>
      </c>
      <c r="N9" s="0" t="n">
        <f aca="false">AVERAGE(M6:M13)</f>
        <v>0</v>
      </c>
      <c r="O9" s="0" t="n">
        <f aca="false">MAX($A$23)/2</f>
        <v>965.1875</v>
      </c>
    </row>
    <row r="10" customFormat="false" ht="15.8" hidden="false" customHeight="false" outlineLevel="0" collapsed="false">
      <c r="A10" s="161" t="n">
        <f aca="false">A9*1.05*1000</f>
        <v>5.8342974568704E-013</v>
      </c>
      <c r="B10" s="26" t="s">
        <v>216</v>
      </c>
      <c r="C10" s="26" t="s">
        <v>217</v>
      </c>
      <c r="F10" s="79" t="n">
        <v>0.069</v>
      </c>
      <c r="G10" s="0" t="s">
        <v>140</v>
      </c>
      <c r="L10" s="0" t="n">
        <v>8</v>
      </c>
      <c r="M10" s="0" t="n">
        <v>0</v>
      </c>
      <c r="N10" s="0" t="n">
        <f aca="false">AVERAGE(M7:M14)</f>
        <v>0</v>
      </c>
      <c r="O10" s="0" t="n">
        <f aca="false">MAX($A$23)/2</f>
        <v>965.1875</v>
      </c>
    </row>
    <row r="11" customFormat="false" ht="15.8" hidden="false" customHeight="false" outlineLevel="0" collapsed="false">
      <c r="A11" s="161" t="n">
        <f aca="false">0.000001/A10</f>
        <v>1714002.42684303</v>
      </c>
      <c r="B11" s="26" t="s">
        <v>218</v>
      </c>
      <c r="C11" s="26" t="s">
        <v>219</v>
      </c>
      <c r="F11" s="0" t="s">
        <v>278</v>
      </c>
      <c r="L11" s="0" t="n">
        <v>9</v>
      </c>
      <c r="M11" s="0" t="n">
        <v>0</v>
      </c>
      <c r="N11" s="0" t="n">
        <f aca="false">AVERAGE(M8:M15)</f>
        <v>0</v>
      </c>
      <c r="O11" s="0" t="n">
        <f aca="false">MAX($A$23)/2</f>
        <v>965.1875</v>
      </c>
    </row>
    <row r="12" customFormat="false" ht="15.8" hidden="false" customHeight="false" outlineLevel="0" collapsed="false">
      <c r="A12" s="162" t="n">
        <v>250000</v>
      </c>
      <c r="B12" s="26"/>
      <c r="C12" s="26" t="s">
        <v>220</v>
      </c>
      <c r="L12" s="0" t="n">
        <v>10</v>
      </c>
      <c r="M12" s="0" t="n">
        <v>0</v>
      </c>
      <c r="N12" s="0" t="n">
        <f aca="false">AVERAGE(M9:M16)</f>
        <v>0</v>
      </c>
      <c r="O12" s="0" t="n">
        <f aca="false">MAX($A$23)/2</f>
        <v>965.1875</v>
      </c>
    </row>
    <row r="13" customFormat="false" ht="15.8" hidden="false" customHeight="false" outlineLevel="0" collapsed="false">
      <c r="A13" s="30" t="n">
        <f aca="false">A12/A11*10</f>
        <v>1.4585743642176</v>
      </c>
      <c r="B13" s="26" t="s">
        <v>62</v>
      </c>
      <c r="C13" s="26" t="s">
        <v>221</v>
      </c>
      <c r="L13" s="0" t="n">
        <v>11</v>
      </c>
      <c r="M13" s="0" t="n">
        <v>0</v>
      </c>
      <c r="N13" s="0" t="n">
        <f aca="false">AVERAGE(M10:M17)</f>
        <v>0</v>
      </c>
      <c r="O13" s="0" t="n">
        <f aca="false">MAX($A$23)/2</f>
        <v>965.1875</v>
      </c>
    </row>
    <row r="14" customFormat="false" ht="15.8" hidden="false" customHeight="false" outlineLevel="0" collapsed="false">
      <c r="A14" s="32" t="n">
        <v>0.2</v>
      </c>
      <c r="B14" s="26" t="s">
        <v>222</v>
      </c>
      <c r="C14" s="26" t="s">
        <v>279</v>
      </c>
      <c r="L14" s="0" t="n">
        <v>12</v>
      </c>
      <c r="M14" s="0" t="n">
        <v>0</v>
      </c>
      <c r="N14" s="0" t="n">
        <f aca="false">AVERAGE(M11:M18)</f>
        <v>0</v>
      </c>
      <c r="O14" s="0" t="n">
        <f aca="false">MAX($A$23)/2</f>
        <v>965.1875</v>
      </c>
    </row>
    <row r="15" customFormat="false" ht="15.8" hidden="false" customHeight="false" outlineLevel="0" collapsed="false">
      <c r="A15" s="30" t="n">
        <f aca="false">A14*A13</f>
        <v>0.29171487284352</v>
      </c>
      <c r="B15" s="26" t="s">
        <v>60</v>
      </c>
      <c r="C15" s="26" t="s">
        <v>224</v>
      </c>
      <c r="L15" s="0" t="n">
        <v>13</v>
      </c>
      <c r="M15" s="0" t="n">
        <v>0</v>
      </c>
      <c r="N15" s="0" t="n">
        <f aca="false">AVERAGE(M12:M19)</f>
        <v>0</v>
      </c>
      <c r="O15" s="0" t="n">
        <f aca="false">MAX($A$23)/2</f>
        <v>965.1875</v>
      </c>
    </row>
    <row r="16" customFormat="false" ht="15.8" hidden="false" customHeight="false" outlineLevel="0" collapsed="false">
      <c r="A16" s="32" t="n">
        <v>29.56</v>
      </c>
      <c r="B16" s="26" t="s">
        <v>60</v>
      </c>
      <c r="C16" s="26" t="s">
        <v>225</v>
      </c>
      <c r="L16" s="0" t="n">
        <v>14</v>
      </c>
      <c r="M16" s="0" t="n">
        <v>0</v>
      </c>
      <c r="N16" s="0" t="n">
        <f aca="false">AVERAGE(M13:M20)</f>
        <v>0</v>
      </c>
      <c r="O16" s="0" t="n">
        <f aca="false">MAX($A$23)/2</f>
        <v>965.1875</v>
      </c>
    </row>
    <row r="17" customFormat="false" ht="15.8" hidden="false" customHeight="false" outlineLevel="0" collapsed="false">
      <c r="A17" s="160" t="n">
        <v>5066</v>
      </c>
      <c r="B17" s="26" t="s">
        <v>226</v>
      </c>
      <c r="C17" s="26" t="s">
        <v>227</v>
      </c>
      <c r="L17" s="0" t="n">
        <v>15</v>
      </c>
      <c r="M17" s="0" t="n">
        <v>0</v>
      </c>
      <c r="N17" s="0" t="n">
        <f aca="false">AVERAGE(M14:M21)</f>
        <v>0</v>
      </c>
      <c r="O17" s="0" t="n">
        <f aca="false">MAX($A$23)/2</f>
        <v>965.1875</v>
      </c>
    </row>
    <row r="18" customFormat="false" ht="15.8" hidden="false" customHeight="false" outlineLevel="0" collapsed="false">
      <c r="A18" s="26" t="n">
        <f aca="false">SUM(M200:M1000)</f>
        <v>94457</v>
      </c>
      <c r="B18" s="26" t="s">
        <v>280</v>
      </c>
      <c r="C18" s="26" t="s">
        <v>281</v>
      </c>
      <c r="L18" s="0" t="n">
        <v>16</v>
      </c>
      <c r="M18" s="0" t="n">
        <v>0</v>
      </c>
      <c r="N18" s="0" t="n">
        <f aca="false">AVERAGE(M15:M22)</f>
        <v>0</v>
      </c>
      <c r="O18" s="0" t="n">
        <f aca="false">MAX($A$23)/2</f>
        <v>965.1875</v>
      </c>
    </row>
    <row r="19" customFormat="false" ht="15.8" hidden="false" customHeight="false" outlineLevel="0" collapsed="false">
      <c r="A19" s="26"/>
      <c r="B19" s="26"/>
      <c r="C19" s="26"/>
      <c r="L19" s="0" t="n">
        <v>17</v>
      </c>
      <c r="M19" s="0" t="n">
        <v>0</v>
      </c>
      <c r="N19" s="0" t="n">
        <f aca="false">AVERAGE(M16:M23)</f>
        <v>0</v>
      </c>
      <c r="O19" s="0" t="n">
        <f aca="false">MAX($A$23)/2</f>
        <v>965.1875</v>
      </c>
    </row>
    <row r="20" customFormat="false" ht="15.8" hidden="false" customHeight="false" outlineLevel="0" collapsed="false">
      <c r="A20" s="26"/>
      <c r="B20" s="26"/>
      <c r="C20" s="26"/>
      <c r="L20" s="0" t="n">
        <v>18</v>
      </c>
      <c r="M20" s="0" t="n">
        <v>0</v>
      </c>
      <c r="N20" s="0" t="n">
        <f aca="false">AVERAGE(M17:M24)</f>
        <v>0</v>
      </c>
      <c r="O20" s="0" t="n">
        <f aca="false">MAX($A$23)/2</f>
        <v>965.1875</v>
      </c>
    </row>
    <row r="21" customFormat="false" ht="15.8" hidden="false" customHeight="false" outlineLevel="0" collapsed="false">
      <c r="L21" s="0" t="n">
        <v>19</v>
      </c>
      <c r="M21" s="0" t="n">
        <v>0</v>
      </c>
      <c r="N21" s="0" t="n">
        <f aca="false">AVERAGE(M18:M25)</f>
        <v>0</v>
      </c>
      <c r="O21" s="0" t="n">
        <f aca="false">MAX($A$23)/2</f>
        <v>965.1875</v>
      </c>
    </row>
    <row r="22" customFormat="false" ht="15.8" hidden="false" customHeight="false" outlineLevel="0" collapsed="false">
      <c r="L22" s="0" t="n">
        <v>20</v>
      </c>
      <c r="M22" s="0" t="n">
        <v>0</v>
      </c>
      <c r="N22" s="0" t="n">
        <f aca="false">AVERAGE(M19:M26)</f>
        <v>0</v>
      </c>
      <c r="O22" s="0" t="n">
        <f aca="false">MAX($A$23)/2</f>
        <v>965.1875</v>
      </c>
    </row>
    <row r="23" customFormat="false" ht="15.8" hidden="false" customHeight="false" outlineLevel="0" collapsed="false">
      <c r="A23" s="40" t="n">
        <f aca="false">MAX($N$2:$N$1000)</f>
        <v>1930.375</v>
      </c>
      <c r="B23" s="0" t="s">
        <v>282</v>
      </c>
      <c r="L23" s="0" t="n">
        <v>21</v>
      </c>
      <c r="M23" s="0" t="n">
        <v>0</v>
      </c>
      <c r="N23" s="0" t="n">
        <f aca="false">AVERAGE(M20:M27)</f>
        <v>0</v>
      </c>
      <c r="O23" s="0" t="n">
        <f aca="false">MAX($A$23)/2</f>
        <v>965.1875</v>
      </c>
    </row>
    <row r="24" customFormat="false" ht="15.8" hidden="false" customHeight="false" outlineLevel="0" collapsed="false">
      <c r="A24" s="40" t="n">
        <f aca="false">MATCH(A23, N3:N1000, 0)</f>
        <v>218</v>
      </c>
      <c r="B24" s="0" t="s">
        <v>283</v>
      </c>
      <c r="L24" s="0" t="n">
        <v>22</v>
      </c>
      <c r="M24" s="0" t="n">
        <v>0</v>
      </c>
      <c r="N24" s="0" t="n">
        <f aca="false">AVERAGE(M21:M28)</f>
        <v>0</v>
      </c>
      <c r="O24" s="0" t="n">
        <f aca="false">MAX($A$23)/2</f>
        <v>965.1875</v>
      </c>
    </row>
    <row r="25" customFormat="false" ht="15.8" hidden="false" customHeight="false" outlineLevel="0" collapsed="false">
      <c r="A25" s="40" t="n">
        <f aca="false">MAX($A$23)/2</f>
        <v>965.1875</v>
      </c>
      <c r="B25" s="0" t="s">
        <v>284</v>
      </c>
      <c r="L25" s="0" t="n">
        <v>23</v>
      </c>
      <c r="M25" s="0" t="n">
        <v>0</v>
      </c>
      <c r="N25" s="0" t="n">
        <f aca="false">AVERAGE(M22:M29)</f>
        <v>0</v>
      </c>
      <c r="O25" s="0" t="n">
        <f aca="false">MAX($A$23)/2</f>
        <v>965.1875</v>
      </c>
    </row>
    <row r="26" customFormat="false" ht="15.8" hidden="false" customHeight="false" outlineLevel="0" collapsed="false">
      <c r="A26" s="40" t="n">
        <f aca="false">MATCH(A25, N2:N1000, 1)</f>
        <v>195</v>
      </c>
      <c r="B26" s="0" t="s">
        <v>285</v>
      </c>
      <c r="L26" s="0" t="n">
        <v>24</v>
      </c>
      <c r="M26" s="0" t="n">
        <v>0</v>
      </c>
      <c r="N26" s="0" t="n">
        <f aca="false">AVERAGE(M23:M30)</f>
        <v>0</v>
      </c>
      <c r="O26" s="0" t="n">
        <f aca="false">MAX($A$23)/2</f>
        <v>965.1875</v>
      </c>
    </row>
    <row r="27" customFormat="false" ht="15.8" hidden="false" customHeight="false" outlineLevel="0" collapsed="false">
      <c r="A27" s="40" t="n">
        <f aca="false">INDEX(L2:L1000,A26)</f>
        <v>194</v>
      </c>
      <c r="B27" s="0" t="s">
        <v>286</v>
      </c>
      <c r="L27" s="0" t="n">
        <v>25</v>
      </c>
      <c r="M27" s="0" t="n">
        <v>0</v>
      </c>
      <c r="N27" s="0" t="n">
        <f aca="false">AVERAGE(M24:M31)</f>
        <v>0</v>
      </c>
      <c r="O27" s="0" t="n">
        <f aca="false">MAX($A$23)/2</f>
        <v>965.1875</v>
      </c>
    </row>
    <row r="28" customFormat="false" ht="15.8" hidden="false" customHeight="false" outlineLevel="0" collapsed="false">
      <c r="A28" s="40" t="n">
        <f aca="false">A24-A27</f>
        <v>24</v>
      </c>
      <c r="B28" s="0" t="s">
        <v>287</v>
      </c>
      <c r="L28" s="0" t="n">
        <v>26</v>
      </c>
      <c r="M28" s="0" t="n">
        <v>0</v>
      </c>
      <c r="N28" s="0" t="n">
        <f aca="false">AVERAGE(M25:M32)</f>
        <v>0</v>
      </c>
      <c r="O28" s="0" t="n">
        <f aca="false">MAX($A$23)/2</f>
        <v>965.1875</v>
      </c>
    </row>
    <row r="29" customFormat="false" ht="15.8" hidden="false" customHeight="false" outlineLevel="0" collapsed="false">
      <c r="A29" s="40" t="n">
        <f aca="false">A28*2</f>
        <v>48</v>
      </c>
      <c r="B29" s="0" t="s">
        <v>288</v>
      </c>
      <c r="L29" s="0" t="n">
        <v>27</v>
      </c>
      <c r="M29" s="0" t="n">
        <v>0</v>
      </c>
      <c r="N29" s="0" t="n">
        <f aca="false">AVERAGE(M26:M33)</f>
        <v>0</v>
      </c>
      <c r="O29" s="0" t="n">
        <f aca="false">MAX($A$23)/2</f>
        <v>965.1875</v>
      </c>
    </row>
    <row r="30" customFormat="false" ht="15.8" hidden="false" customHeight="false" outlineLevel="0" collapsed="false">
      <c r="A30" s="40" t="n">
        <f aca="false">A29 / (2 * SQRT(2 * LN(2)))</f>
        <v>20.3837232069125</v>
      </c>
      <c r="B30" s="0" t="s">
        <v>289</v>
      </c>
      <c r="L30" s="0" t="n">
        <v>28</v>
      </c>
      <c r="M30" s="0" t="n">
        <v>0</v>
      </c>
      <c r="N30" s="0" t="n">
        <f aca="false">AVERAGE(M27:M34)</f>
        <v>0</v>
      </c>
      <c r="O30" s="0" t="n">
        <f aca="false">MAX($A$23)/2</f>
        <v>965.1875</v>
      </c>
    </row>
    <row r="31" customFormat="false" ht="15.8" hidden="false" customHeight="false" outlineLevel="0" collapsed="false">
      <c r="A31" s="79" t="n">
        <f aca="false">A30/A24</f>
        <v>0.0935033174629012</v>
      </c>
      <c r="B31" s="163" t="s">
        <v>290</v>
      </c>
      <c r="L31" s="0" t="n">
        <v>29</v>
      </c>
      <c r="M31" s="0" t="n">
        <v>0</v>
      </c>
      <c r="N31" s="0" t="n">
        <f aca="false">AVERAGE(M28:M35)</f>
        <v>0</v>
      </c>
      <c r="O31" s="0" t="n">
        <f aca="false">MAX($A$23)/2</f>
        <v>965.1875</v>
      </c>
    </row>
    <row r="32" customFormat="false" ht="15.8" hidden="false" customHeight="false" outlineLevel="0" collapsed="false">
      <c r="A32" s="40"/>
      <c r="L32" s="0" t="n">
        <v>30</v>
      </c>
      <c r="M32" s="0" t="n">
        <v>0</v>
      </c>
      <c r="N32" s="0" t="n">
        <f aca="false">AVERAGE(M29:M36)</f>
        <v>0</v>
      </c>
      <c r="O32" s="0" t="n">
        <f aca="false">MAX($A$23)/2</f>
        <v>965.1875</v>
      </c>
    </row>
    <row r="33" customFormat="false" ht="15.8" hidden="false" customHeight="false" outlineLevel="0" collapsed="false">
      <c r="A33" s="79" t="n">
        <f aca="false">A31/2</f>
        <v>0.0467516587314506</v>
      </c>
      <c r="B33" s="163" t="s">
        <v>291</v>
      </c>
      <c r="L33" s="0" t="n">
        <v>31</v>
      </c>
      <c r="M33" s="0" t="n">
        <v>0</v>
      </c>
      <c r="N33" s="0" t="n">
        <f aca="false">AVERAGE(M30:M37)</f>
        <v>0</v>
      </c>
      <c r="O33" s="0" t="n">
        <f aca="false">MAX($A$23)/2</f>
        <v>965.1875</v>
      </c>
    </row>
    <row r="34" customFormat="false" ht="15.8" hidden="false" customHeight="false" outlineLevel="0" collapsed="false">
      <c r="L34" s="0" t="n">
        <v>32</v>
      </c>
      <c r="M34" s="0" t="n">
        <v>0</v>
      </c>
      <c r="N34" s="0" t="n">
        <f aca="false">AVERAGE(M31:M38)</f>
        <v>0</v>
      </c>
      <c r="O34" s="0" t="n">
        <f aca="false">MAX($A$23)/2</f>
        <v>965.1875</v>
      </c>
    </row>
    <row r="35" customFormat="false" ht="15.8" hidden="false" customHeight="false" outlineLevel="0" collapsed="false">
      <c r="L35" s="0" t="n">
        <v>33</v>
      </c>
      <c r="M35" s="0" t="n">
        <v>0</v>
      </c>
      <c r="N35" s="0" t="n">
        <f aca="false">AVERAGE(M32:M39)</f>
        <v>0</v>
      </c>
      <c r="O35" s="0" t="n">
        <f aca="false">MAX($A$23)/2</f>
        <v>965.1875</v>
      </c>
    </row>
    <row r="36" customFormat="false" ht="15.8" hidden="false" customHeight="false" outlineLevel="0" collapsed="false">
      <c r="L36" s="0" t="n">
        <v>34</v>
      </c>
      <c r="M36" s="0" t="n">
        <v>0</v>
      </c>
      <c r="N36" s="0" t="n">
        <f aca="false">AVERAGE(M33:M40)</f>
        <v>0</v>
      </c>
      <c r="O36" s="0" t="n">
        <f aca="false">MAX($A$23)/2</f>
        <v>965.1875</v>
      </c>
    </row>
    <row r="37" customFormat="false" ht="15.8" hidden="false" customHeight="false" outlineLevel="0" collapsed="false">
      <c r="L37" s="0" t="n">
        <v>35</v>
      </c>
      <c r="M37" s="0" t="n">
        <v>0</v>
      </c>
      <c r="N37" s="0" t="n">
        <f aca="false">AVERAGE(M34:M41)</f>
        <v>0</v>
      </c>
      <c r="O37" s="0" t="n">
        <f aca="false">MAX($A$23)/2</f>
        <v>965.1875</v>
      </c>
    </row>
    <row r="38" customFormat="false" ht="15.8" hidden="false" customHeight="false" outlineLevel="0" collapsed="false">
      <c r="L38" s="0" t="n">
        <v>36</v>
      </c>
      <c r="M38" s="0" t="n">
        <v>0</v>
      </c>
      <c r="N38" s="0" t="n">
        <f aca="false">AVERAGE(M35:M42)</f>
        <v>0</v>
      </c>
      <c r="O38" s="0" t="n">
        <f aca="false">MAX($A$23)/2</f>
        <v>965.1875</v>
      </c>
    </row>
    <row r="39" customFormat="false" ht="15.8" hidden="false" customHeight="false" outlineLevel="0" collapsed="false">
      <c r="L39" s="0" t="n">
        <v>37</v>
      </c>
      <c r="M39" s="0" t="n">
        <v>0</v>
      </c>
      <c r="N39" s="0" t="n">
        <f aca="false">AVERAGE(M36:M43)</f>
        <v>0</v>
      </c>
      <c r="O39" s="0" t="n">
        <f aca="false">MAX($A$23)/2</f>
        <v>965.1875</v>
      </c>
    </row>
    <row r="40" customFormat="false" ht="15.8" hidden="false" customHeight="false" outlineLevel="0" collapsed="false">
      <c r="L40" s="0" t="n">
        <v>38</v>
      </c>
      <c r="M40" s="0" t="n">
        <v>0</v>
      </c>
      <c r="N40" s="0" t="n">
        <f aca="false">AVERAGE(M37:M44)</f>
        <v>0</v>
      </c>
      <c r="O40" s="0" t="n">
        <f aca="false">MAX($A$23)/2</f>
        <v>965.1875</v>
      </c>
    </row>
    <row r="41" customFormat="false" ht="15.8" hidden="false" customHeight="false" outlineLevel="0" collapsed="false">
      <c r="L41" s="0" t="n">
        <v>39</v>
      </c>
      <c r="M41" s="0" t="n">
        <v>0</v>
      </c>
      <c r="N41" s="0" t="n">
        <f aca="false">AVERAGE(M38:M45)</f>
        <v>0</v>
      </c>
      <c r="O41" s="0" t="n">
        <f aca="false">MAX($A$23)/2</f>
        <v>965.1875</v>
      </c>
    </row>
    <row r="42" customFormat="false" ht="15.8" hidden="false" customHeight="false" outlineLevel="0" collapsed="false">
      <c r="L42" s="0" t="n">
        <v>40</v>
      </c>
      <c r="M42" s="0" t="n">
        <v>0</v>
      </c>
      <c r="N42" s="0" t="n">
        <f aca="false">AVERAGE(M39:M46)</f>
        <v>0</v>
      </c>
      <c r="O42" s="0" t="n">
        <f aca="false">MAX($A$23)/2</f>
        <v>965.1875</v>
      </c>
    </row>
    <row r="43" customFormat="false" ht="15.8" hidden="false" customHeight="false" outlineLevel="0" collapsed="false">
      <c r="A43" s="0" t="s">
        <v>292</v>
      </c>
      <c r="D43" s="0" t="n">
        <v>8</v>
      </c>
      <c r="L43" s="0" t="n">
        <v>41</v>
      </c>
      <c r="M43" s="0" t="n">
        <v>0</v>
      </c>
      <c r="N43" s="0" t="n">
        <f aca="false">AVERAGE(M40:M47)</f>
        <v>0</v>
      </c>
      <c r="O43" s="0" t="n">
        <f aca="false">MAX($A$23)/2</f>
        <v>965.1875</v>
      </c>
    </row>
    <row r="44" customFormat="false" ht="15.8" hidden="false" customHeight="false" outlineLevel="0" collapsed="false">
      <c r="A44" s="0" t="s">
        <v>293</v>
      </c>
      <c r="D44" s="0" t="n">
        <v>20</v>
      </c>
      <c r="E44" s="0" t="s">
        <v>294</v>
      </c>
      <c r="L44" s="0" t="n">
        <v>42</v>
      </c>
      <c r="M44" s="0" t="n">
        <v>0</v>
      </c>
      <c r="N44" s="0" t="n">
        <f aca="false">AVERAGE(M41:M48)</f>
        <v>0</v>
      </c>
      <c r="O44" s="0" t="n">
        <f aca="false">MAX($A$23)/2</f>
        <v>965.1875</v>
      </c>
    </row>
    <row r="45" customFormat="false" ht="15.8" hidden="false" customHeight="false" outlineLevel="0" collapsed="false">
      <c r="A45" s="0" t="s">
        <v>295</v>
      </c>
      <c r="D45" s="0" t="n">
        <v>10</v>
      </c>
      <c r="E45" s="0" t="s">
        <v>296</v>
      </c>
      <c r="L45" s="0" t="n">
        <v>43</v>
      </c>
      <c r="M45" s="0" t="n">
        <v>0</v>
      </c>
      <c r="N45" s="0" t="n">
        <f aca="false">AVERAGE(M42:M49)</f>
        <v>0</v>
      </c>
      <c r="O45" s="0" t="n">
        <f aca="false">MAX($A$23)/2</f>
        <v>965.1875</v>
      </c>
    </row>
    <row r="46" customFormat="false" ht="15.8" hidden="false" customHeight="false" outlineLevel="0" collapsed="false">
      <c r="L46" s="0" t="n">
        <v>44</v>
      </c>
      <c r="M46" s="0" t="n">
        <v>0</v>
      </c>
      <c r="N46" s="0" t="n">
        <f aca="false">AVERAGE(M43:M50)</f>
        <v>0</v>
      </c>
      <c r="O46" s="0" t="n">
        <f aca="false">MAX($A$23)/2</f>
        <v>965.1875</v>
      </c>
    </row>
    <row r="47" customFormat="false" ht="15.8" hidden="false" customHeight="false" outlineLevel="0" collapsed="false">
      <c r="A47" s="0" t="s">
        <v>297</v>
      </c>
      <c r="B47" s="0" t="n">
        <v>24.87</v>
      </c>
      <c r="C47" s="0" t="s">
        <v>64</v>
      </c>
      <c r="L47" s="0" t="n">
        <v>45</v>
      </c>
      <c r="M47" s="0" t="n">
        <v>0</v>
      </c>
      <c r="N47" s="0" t="n">
        <f aca="false">AVERAGE(M44:M51)</f>
        <v>0</v>
      </c>
      <c r="O47" s="0" t="n">
        <f aca="false">MAX($A$23)/2</f>
        <v>965.1875</v>
      </c>
    </row>
    <row r="48" customFormat="false" ht="15.8" hidden="false" customHeight="false" outlineLevel="0" collapsed="false">
      <c r="A48" s="0" t="s">
        <v>298</v>
      </c>
      <c r="B48" s="0" t="n">
        <v>50</v>
      </c>
      <c r="C48" s="0" t="s">
        <v>64</v>
      </c>
      <c r="L48" s="0" t="n">
        <v>46</v>
      </c>
      <c r="M48" s="0" t="n">
        <v>0</v>
      </c>
      <c r="N48" s="0" t="n">
        <f aca="false">AVERAGE(M45:M52)</f>
        <v>0</v>
      </c>
      <c r="O48" s="0" t="n">
        <f aca="false">MAX($A$23)/2</f>
        <v>965.1875</v>
      </c>
    </row>
    <row r="49" customFormat="false" ht="15.8" hidden="false" customHeight="false" outlineLevel="0" collapsed="false">
      <c r="A49" s="0" t="s">
        <v>299</v>
      </c>
      <c r="B49" s="79" t="n">
        <f aca="false">B47/B48</f>
        <v>0.4974</v>
      </c>
      <c r="L49" s="0" t="n">
        <v>47</v>
      </c>
      <c r="M49" s="0" t="n">
        <v>0</v>
      </c>
      <c r="N49" s="0" t="n">
        <f aca="false">AVERAGE(M46:M53)</f>
        <v>0</v>
      </c>
      <c r="O49" s="0" t="n">
        <f aca="false">MAX($A$23)/2</f>
        <v>965.1875</v>
      </c>
    </row>
    <row r="50" customFormat="false" ht="15.8" hidden="false" customHeight="false" outlineLevel="0" collapsed="false">
      <c r="L50" s="0" t="n">
        <v>48</v>
      </c>
      <c r="M50" s="0" t="n">
        <v>0</v>
      </c>
      <c r="N50" s="0" t="n">
        <f aca="false">AVERAGE(M47:M54)</f>
        <v>0</v>
      </c>
      <c r="O50" s="0" t="n">
        <f aca="false">MAX($A$23)/2</f>
        <v>965.1875</v>
      </c>
    </row>
    <row r="51" customFormat="false" ht="15.8" hidden="false" customHeight="false" outlineLevel="0" collapsed="false">
      <c r="L51" s="0" t="n">
        <v>49</v>
      </c>
      <c r="M51" s="0" t="n">
        <v>0</v>
      </c>
      <c r="N51" s="0" t="n">
        <f aca="false">AVERAGE(M48:M55)</f>
        <v>0</v>
      </c>
      <c r="O51" s="0" t="n">
        <f aca="false">MAX($A$23)/2</f>
        <v>965.1875</v>
      </c>
    </row>
    <row r="52" customFormat="false" ht="15.8" hidden="false" customHeight="false" outlineLevel="0" collapsed="false">
      <c r="L52" s="0" t="n">
        <v>50</v>
      </c>
      <c r="M52" s="0" t="n">
        <v>0</v>
      </c>
      <c r="N52" s="0" t="n">
        <f aca="false">AVERAGE(M49:M56)</f>
        <v>0</v>
      </c>
      <c r="O52" s="0" t="n">
        <f aca="false">MAX($A$23)/2</f>
        <v>965.1875</v>
      </c>
    </row>
    <row r="53" customFormat="false" ht="15.8" hidden="false" customHeight="false" outlineLevel="0" collapsed="false">
      <c r="L53" s="0" t="n">
        <v>51</v>
      </c>
      <c r="M53" s="0" t="n">
        <v>0</v>
      </c>
      <c r="N53" s="0" t="n">
        <f aca="false">AVERAGE(M50:M57)</f>
        <v>0</v>
      </c>
      <c r="O53" s="0" t="n">
        <f aca="false">MAX($A$23)/2</f>
        <v>965.1875</v>
      </c>
    </row>
    <row r="54" customFormat="false" ht="15.8" hidden="false" customHeight="false" outlineLevel="0" collapsed="false">
      <c r="L54" s="0" t="n">
        <v>52</v>
      </c>
      <c r="M54" s="0" t="n">
        <v>0</v>
      </c>
      <c r="N54" s="0" t="n">
        <f aca="false">AVERAGE(M51:M58)</f>
        <v>0</v>
      </c>
      <c r="O54" s="0" t="n">
        <f aca="false">MAX($A$23)/2</f>
        <v>965.1875</v>
      </c>
    </row>
    <row r="55" customFormat="false" ht="15.8" hidden="false" customHeight="false" outlineLevel="0" collapsed="false">
      <c r="L55" s="0" t="n">
        <v>53</v>
      </c>
      <c r="M55" s="0" t="n">
        <v>0</v>
      </c>
      <c r="N55" s="0" t="n">
        <f aca="false">AVERAGE(M52:M59)</f>
        <v>0</v>
      </c>
      <c r="O55" s="0" t="n">
        <f aca="false">MAX($A$23)/2</f>
        <v>965.1875</v>
      </c>
    </row>
    <row r="56" customFormat="false" ht="15.8" hidden="false" customHeight="false" outlineLevel="0" collapsed="false">
      <c r="L56" s="0" t="n">
        <v>54</v>
      </c>
      <c r="M56" s="0" t="n">
        <v>0</v>
      </c>
      <c r="N56" s="0" t="n">
        <f aca="false">AVERAGE(M53:M60)</f>
        <v>0</v>
      </c>
      <c r="O56" s="0" t="n">
        <f aca="false">MAX($A$23)/2</f>
        <v>965.1875</v>
      </c>
    </row>
    <row r="57" customFormat="false" ht="15.8" hidden="false" customHeight="false" outlineLevel="0" collapsed="false">
      <c r="L57" s="0" t="n">
        <v>55</v>
      </c>
      <c r="M57" s="0" t="n">
        <v>0</v>
      </c>
      <c r="N57" s="0" t="n">
        <f aca="false">AVERAGE(M54:M61)</f>
        <v>0</v>
      </c>
      <c r="O57" s="0" t="n">
        <f aca="false">MAX($A$23)/2</f>
        <v>965.1875</v>
      </c>
    </row>
    <row r="58" customFormat="false" ht="15.8" hidden="false" customHeight="false" outlineLevel="0" collapsed="false">
      <c r="L58" s="0" t="n">
        <v>56</v>
      </c>
      <c r="M58" s="0" t="n">
        <v>0</v>
      </c>
      <c r="N58" s="0" t="n">
        <f aca="false">AVERAGE(M55:M62)</f>
        <v>0</v>
      </c>
      <c r="O58" s="0" t="n">
        <f aca="false">MAX($A$23)/2</f>
        <v>965.1875</v>
      </c>
    </row>
    <row r="59" customFormat="false" ht="15.8" hidden="false" customHeight="false" outlineLevel="0" collapsed="false">
      <c r="L59" s="0" t="n">
        <v>57</v>
      </c>
      <c r="M59" s="0" t="n">
        <v>0</v>
      </c>
      <c r="N59" s="0" t="n">
        <f aca="false">AVERAGE(M56:M63)</f>
        <v>0</v>
      </c>
      <c r="O59" s="0" t="n">
        <f aca="false">MAX($A$23)/2</f>
        <v>965.1875</v>
      </c>
    </row>
    <row r="60" customFormat="false" ht="15.8" hidden="false" customHeight="false" outlineLevel="0" collapsed="false">
      <c r="L60" s="0" t="n">
        <v>58</v>
      </c>
      <c r="M60" s="0" t="n">
        <v>0</v>
      </c>
      <c r="N60" s="0" t="n">
        <f aca="false">AVERAGE(M57:M64)</f>
        <v>0</v>
      </c>
      <c r="O60" s="0" t="n">
        <f aca="false">MAX($A$23)/2</f>
        <v>965.1875</v>
      </c>
    </row>
    <row r="61" customFormat="false" ht="15.8" hidden="false" customHeight="false" outlineLevel="0" collapsed="false">
      <c r="L61" s="0" t="n">
        <v>59</v>
      </c>
      <c r="M61" s="0" t="n">
        <v>0</v>
      </c>
      <c r="N61" s="0" t="n">
        <f aca="false">AVERAGE(M58:M65)</f>
        <v>0</v>
      </c>
      <c r="O61" s="0" t="n">
        <f aca="false">MAX($A$23)/2</f>
        <v>965.1875</v>
      </c>
    </row>
    <row r="62" customFormat="false" ht="15.8" hidden="false" customHeight="false" outlineLevel="0" collapsed="false">
      <c r="L62" s="0" t="n">
        <v>60</v>
      </c>
      <c r="M62" s="0" t="n">
        <v>0</v>
      </c>
      <c r="N62" s="0" t="n">
        <f aca="false">AVERAGE(M59:M66)</f>
        <v>0</v>
      </c>
      <c r="O62" s="0" t="n">
        <f aca="false">MAX($A$23)/2</f>
        <v>965.1875</v>
      </c>
    </row>
    <row r="63" customFormat="false" ht="15.8" hidden="false" customHeight="false" outlineLevel="0" collapsed="false">
      <c r="L63" s="0" t="n">
        <v>61</v>
      </c>
      <c r="M63" s="0" t="n">
        <v>0</v>
      </c>
      <c r="N63" s="0" t="n">
        <f aca="false">AVERAGE(M60:M67)</f>
        <v>0</v>
      </c>
      <c r="O63" s="0" t="n">
        <f aca="false">MAX($A$23)/2</f>
        <v>965.1875</v>
      </c>
    </row>
    <row r="64" customFormat="false" ht="15.8" hidden="false" customHeight="false" outlineLevel="0" collapsed="false">
      <c r="L64" s="0" t="n">
        <v>62</v>
      </c>
      <c r="M64" s="0" t="n">
        <v>0</v>
      </c>
      <c r="N64" s="0" t="n">
        <f aca="false">AVERAGE(M61:M68)</f>
        <v>0</v>
      </c>
      <c r="O64" s="0" t="n">
        <f aca="false">MAX($A$23)/2</f>
        <v>965.1875</v>
      </c>
    </row>
    <row r="65" customFormat="false" ht="15.8" hidden="false" customHeight="false" outlineLevel="0" collapsed="false">
      <c r="L65" s="0" t="n">
        <v>63</v>
      </c>
      <c r="M65" s="0" t="n">
        <v>0</v>
      </c>
      <c r="N65" s="0" t="n">
        <f aca="false">AVERAGE(M62:M69)</f>
        <v>0</v>
      </c>
      <c r="O65" s="0" t="n">
        <f aca="false">MAX($A$23)/2</f>
        <v>965.1875</v>
      </c>
    </row>
    <row r="66" customFormat="false" ht="15.8" hidden="false" customHeight="false" outlineLevel="0" collapsed="false">
      <c r="L66" s="0" t="n">
        <v>64</v>
      </c>
      <c r="M66" s="0" t="n">
        <v>0</v>
      </c>
      <c r="N66" s="0" t="n">
        <f aca="false">AVERAGE(M63:M70)</f>
        <v>0</v>
      </c>
      <c r="O66" s="0" t="n">
        <f aca="false">MAX($A$23)/2</f>
        <v>965.1875</v>
      </c>
    </row>
    <row r="67" customFormat="false" ht="15.8" hidden="false" customHeight="false" outlineLevel="0" collapsed="false">
      <c r="L67" s="0" t="n">
        <v>65</v>
      </c>
      <c r="M67" s="0" t="n">
        <v>0</v>
      </c>
      <c r="N67" s="0" t="n">
        <f aca="false">AVERAGE(M64:M71)</f>
        <v>0</v>
      </c>
      <c r="O67" s="0" t="n">
        <f aca="false">MAX($A$23)/2</f>
        <v>965.1875</v>
      </c>
    </row>
    <row r="68" customFormat="false" ht="15.8" hidden="false" customHeight="false" outlineLevel="0" collapsed="false">
      <c r="L68" s="0" t="n">
        <v>66</v>
      </c>
      <c r="M68" s="0" t="n">
        <v>0</v>
      </c>
      <c r="N68" s="0" t="n">
        <f aca="false">AVERAGE(M65:M72)</f>
        <v>0</v>
      </c>
      <c r="O68" s="0" t="n">
        <f aca="false">MAX($A$23)/2</f>
        <v>965.1875</v>
      </c>
    </row>
    <row r="69" customFormat="false" ht="15.8" hidden="false" customHeight="false" outlineLevel="0" collapsed="false">
      <c r="L69" s="0" t="n">
        <v>67</v>
      </c>
      <c r="M69" s="0" t="n">
        <v>0</v>
      </c>
      <c r="N69" s="0" t="n">
        <f aca="false">AVERAGE(M66:M73)</f>
        <v>0</v>
      </c>
      <c r="O69" s="0" t="n">
        <f aca="false">MAX($A$23)/2</f>
        <v>965.1875</v>
      </c>
    </row>
    <row r="70" customFormat="false" ht="15.8" hidden="false" customHeight="false" outlineLevel="0" collapsed="false">
      <c r="L70" s="0" t="n">
        <v>68</v>
      </c>
      <c r="M70" s="0" t="n">
        <v>0</v>
      </c>
      <c r="N70" s="0" t="n">
        <f aca="false">AVERAGE(M67:M74)</f>
        <v>0</v>
      </c>
      <c r="O70" s="0" t="n">
        <f aca="false">MAX($A$23)/2</f>
        <v>965.1875</v>
      </c>
    </row>
    <row r="71" customFormat="false" ht="15.8" hidden="false" customHeight="false" outlineLevel="0" collapsed="false">
      <c r="L71" s="0" t="n">
        <v>69</v>
      </c>
      <c r="M71" s="0" t="n">
        <v>0</v>
      </c>
      <c r="N71" s="0" t="n">
        <f aca="false">AVERAGE(M68:M75)</f>
        <v>0</v>
      </c>
      <c r="O71" s="0" t="n">
        <f aca="false">MAX($A$23)/2</f>
        <v>965.1875</v>
      </c>
    </row>
    <row r="72" customFormat="false" ht="15.8" hidden="false" customHeight="false" outlineLevel="0" collapsed="false">
      <c r="L72" s="0" t="n">
        <v>70</v>
      </c>
      <c r="M72" s="0" t="n">
        <v>0</v>
      </c>
      <c r="N72" s="0" t="n">
        <f aca="false">AVERAGE(M69:M76)</f>
        <v>0</v>
      </c>
      <c r="O72" s="0" t="n">
        <f aca="false">MAX($A$23)/2</f>
        <v>965.1875</v>
      </c>
    </row>
    <row r="73" customFormat="false" ht="15.8" hidden="false" customHeight="false" outlineLevel="0" collapsed="false">
      <c r="L73" s="0" t="n">
        <v>71</v>
      </c>
      <c r="M73" s="0" t="n">
        <v>0</v>
      </c>
      <c r="N73" s="0" t="n">
        <f aca="false">AVERAGE(M70:M77)</f>
        <v>0</v>
      </c>
      <c r="O73" s="0" t="n">
        <f aca="false">MAX($A$23)/2</f>
        <v>965.1875</v>
      </c>
    </row>
    <row r="74" customFormat="false" ht="15.8" hidden="false" customHeight="false" outlineLevel="0" collapsed="false">
      <c r="L74" s="0" t="n">
        <v>72</v>
      </c>
      <c r="M74" s="0" t="n">
        <v>0</v>
      </c>
      <c r="N74" s="0" t="n">
        <f aca="false">AVERAGE(M71:M78)</f>
        <v>0</v>
      </c>
      <c r="O74" s="0" t="n">
        <f aca="false">MAX($A$23)/2</f>
        <v>965.1875</v>
      </c>
    </row>
    <row r="75" customFormat="false" ht="15.8" hidden="false" customHeight="false" outlineLevel="0" collapsed="false">
      <c r="L75" s="0" t="n">
        <v>73</v>
      </c>
      <c r="M75" s="0" t="n">
        <v>0</v>
      </c>
      <c r="N75" s="0" t="n">
        <f aca="false">AVERAGE(M72:M79)</f>
        <v>0</v>
      </c>
      <c r="O75" s="0" t="n">
        <f aca="false">MAX($A$23)/2</f>
        <v>965.1875</v>
      </c>
    </row>
    <row r="76" customFormat="false" ht="15.8" hidden="false" customHeight="false" outlineLevel="0" collapsed="false">
      <c r="L76" s="0" t="n">
        <v>74</v>
      </c>
      <c r="M76" s="0" t="n">
        <v>0</v>
      </c>
      <c r="N76" s="0" t="n">
        <f aca="false">AVERAGE(M73:M80)</f>
        <v>0</v>
      </c>
      <c r="O76" s="0" t="n">
        <f aca="false">MAX($A$23)/2</f>
        <v>965.1875</v>
      </c>
    </row>
    <row r="77" customFormat="false" ht="15.8" hidden="false" customHeight="false" outlineLevel="0" collapsed="false">
      <c r="L77" s="0" t="n">
        <v>75</v>
      </c>
      <c r="M77" s="0" t="n">
        <v>0</v>
      </c>
      <c r="N77" s="0" t="n">
        <f aca="false">AVERAGE(M74:M81)</f>
        <v>0</v>
      </c>
      <c r="O77" s="0" t="n">
        <f aca="false">MAX($A$23)/2</f>
        <v>965.1875</v>
      </c>
    </row>
    <row r="78" customFormat="false" ht="15.8" hidden="false" customHeight="false" outlineLevel="0" collapsed="false">
      <c r="L78" s="0" t="n">
        <v>76</v>
      </c>
      <c r="M78" s="0" t="n">
        <v>0</v>
      </c>
      <c r="N78" s="0" t="n">
        <f aca="false">AVERAGE(M75:M82)</f>
        <v>0</v>
      </c>
      <c r="O78" s="0" t="n">
        <f aca="false">MAX($A$23)/2</f>
        <v>965.1875</v>
      </c>
    </row>
    <row r="79" customFormat="false" ht="15.8" hidden="false" customHeight="false" outlineLevel="0" collapsed="false">
      <c r="L79" s="0" t="n">
        <v>77</v>
      </c>
      <c r="M79" s="0" t="n">
        <v>0</v>
      </c>
      <c r="N79" s="0" t="n">
        <f aca="false">AVERAGE(M76:M83)</f>
        <v>0</v>
      </c>
      <c r="O79" s="0" t="n">
        <f aca="false">MAX($A$23)/2</f>
        <v>965.1875</v>
      </c>
    </row>
    <row r="80" customFormat="false" ht="15.8" hidden="false" customHeight="false" outlineLevel="0" collapsed="false">
      <c r="L80" s="0" t="n">
        <v>78</v>
      </c>
      <c r="M80" s="0" t="n">
        <v>0</v>
      </c>
      <c r="N80" s="0" t="n">
        <f aca="false">AVERAGE(M77:M84)</f>
        <v>0</v>
      </c>
      <c r="O80" s="0" t="n">
        <f aca="false">MAX($A$23)/2</f>
        <v>965.1875</v>
      </c>
    </row>
    <row r="81" customFormat="false" ht="15.8" hidden="false" customHeight="false" outlineLevel="0" collapsed="false">
      <c r="L81" s="0" t="n">
        <v>79</v>
      </c>
      <c r="M81" s="0" t="n">
        <v>0</v>
      </c>
      <c r="N81" s="0" t="n">
        <f aca="false">AVERAGE(M78:M85)</f>
        <v>0</v>
      </c>
      <c r="O81" s="0" t="n">
        <f aca="false">MAX($A$23)/2</f>
        <v>965.1875</v>
      </c>
    </row>
    <row r="82" customFormat="false" ht="15.8" hidden="false" customHeight="false" outlineLevel="0" collapsed="false">
      <c r="L82" s="0" t="n">
        <v>80</v>
      </c>
      <c r="M82" s="0" t="n">
        <v>0</v>
      </c>
      <c r="N82" s="0" t="n">
        <f aca="false">AVERAGE(M79:M86)</f>
        <v>0</v>
      </c>
      <c r="O82" s="0" t="n">
        <f aca="false">MAX($A$23)/2</f>
        <v>965.1875</v>
      </c>
    </row>
    <row r="83" customFormat="false" ht="15.8" hidden="false" customHeight="false" outlineLevel="0" collapsed="false">
      <c r="L83" s="0" t="n">
        <v>81</v>
      </c>
      <c r="M83" s="0" t="n">
        <v>0</v>
      </c>
      <c r="N83" s="0" t="n">
        <f aca="false">AVERAGE(M80:M87)</f>
        <v>0</v>
      </c>
      <c r="O83" s="0" t="n">
        <f aca="false">MAX($A$23)/2</f>
        <v>965.1875</v>
      </c>
    </row>
    <row r="84" customFormat="false" ht="15.8" hidden="false" customHeight="false" outlineLevel="0" collapsed="false">
      <c r="L84" s="0" t="n">
        <v>82</v>
      </c>
      <c r="M84" s="0" t="n">
        <v>0</v>
      </c>
      <c r="N84" s="0" t="n">
        <f aca="false">AVERAGE(M81:M88)</f>
        <v>0</v>
      </c>
      <c r="O84" s="0" t="n">
        <f aca="false">MAX($A$23)/2</f>
        <v>965.1875</v>
      </c>
    </row>
    <row r="85" customFormat="false" ht="15.8" hidden="false" customHeight="false" outlineLevel="0" collapsed="false">
      <c r="L85" s="0" t="n">
        <v>83</v>
      </c>
      <c r="M85" s="0" t="n">
        <v>0</v>
      </c>
      <c r="N85" s="0" t="n">
        <f aca="false">AVERAGE(M82:M89)</f>
        <v>0</v>
      </c>
      <c r="O85" s="0" t="n">
        <f aca="false">MAX($A$23)/2</f>
        <v>965.1875</v>
      </c>
    </row>
    <row r="86" customFormat="false" ht="15.8" hidden="false" customHeight="false" outlineLevel="0" collapsed="false">
      <c r="L86" s="0" t="n">
        <v>84</v>
      </c>
      <c r="M86" s="0" t="n">
        <v>0</v>
      </c>
      <c r="N86" s="0" t="n">
        <f aca="false">AVERAGE(M83:M90)</f>
        <v>0</v>
      </c>
      <c r="O86" s="0" t="n">
        <f aca="false">MAX($A$23)/2</f>
        <v>965.1875</v>
      </c>
    </row>
    <row r="87" customFormat="false" ht="15.8" hidden="false" customHeight="false" outlineLevel="0" collapsed="false">
      <c r="L87" s="0" t="n">
        <v>85</v>
      </c>
      <c r="M87" s="0" t="n">
        <v>0</v>
      </c>
      <c r="N87" s="0" t="n">
        <f aca="false">AVERAGE(M84:M91)</f>
        <v>0</v>
      </c>
      <c r="O87" s="0" t="n">
        <f aca="false">MAX($A$23)/2</f>
        <v>965.1875</v>
      </c>
    </row>
    <row r="88" customFormat="false" ht="15.8" hidden="false" customHeight="false" outlineLevel="0" collapsed="false">
      <c r="L88" s="0" t="n">
        <v>86</v>
      </c>
      <c r="M88" s="0" t="n">
        <v>0</v>
      </c>
      <c r="N88" s="0" t="n">
        <f aca="false">AVERAGE(M85:M92)</f>
        <v>0</v>
      </c>
      <c r="O88" s="0" t="n">
        <f aca="false">MAX($A$23)/2</f>
        <v>965.1875</v>
      </c>
    </row>
    <row r="89" customFormat="false" ht="15.8" hidden="false" customHeight="false" outlineLevel="0" collapsed="false">
      <c r="L89" s="0" t="n">
        <v>87</v>
      </c>
      <c r="M89" s="0" t="n">
        <v>0</v>
      </c>
      <c r="N89" s="0" t="n">
        <f aca="false">AVERAGE(M86:M93)</f>
        <v>0</v>
      </c>
      <c r="O89" s="0" t="n">
        <f aca="false">MAX($A$23)/2</f>
        <v>965.1875</v>
      </c>
    </row>
    <row r="90" customFormat="false" ht="15.8" hidden="false" customHeight="false" outlineLevel="0" collapsed="false">
      <c r="L90" s="0" t="n">
        <v>88</v>
      </c>
      <c r="M90" s="0" t="n">
        <v>0</v>
      </c>
      <c r="N90" s="0" t="n">
        <f aca="false">AVERAGE(M87:M94)</f>
        <v>0</v>
      </c>
      <c r="O90" s="0" t="n">
        <f aca="false">MAX($A$23)/2</f>
        <v>965.1875</v>
      </c>
    </row>
    <row r="91" customFormat="false" ht="15.8" hidden="false" customHeight="false" outlineLevel="0" collapsed="false">
      <c r="L91" s="0" t="n">
        <v>89</v>
      </c>
      <c r="M91" s="0" t="n">
        <v>0</v>
      </c>
      <c r="N91" s="0" t="n">
        <f aca="false">AVERAGE(M88:M95)</f>
        <v>0</v>
      </c>
      <c r="O91" s="0" t="n">
        <f aca="false">MAX($A$23)/2</f>
        <v>965.1875</v>
      </c>
    </row>
    <row r="92" customFormat="false" ht="15.8" hidden="false" customHeight="false" outlineLevel="0" collapsed="false">
      <c r="L92" s="0" t="n">
        <v>90</v>
      </c>
      <c r="M92" s="0" t="n">
        <v>0</v>
      </c>
      <c r="N92" s="0" t="n">
        <f aca="false">AVERAGE(M89:M96)</f>
        <v>0</v>
      </c>
      <c r="O92" s="0" t="n">
        <f aca="false">MAX($A$23)/2</f>
        <v>965.1875</v>
      </c>
    </row>
    <row r="93" customFormat="false" ht="15.8" hidden="false" customHeight="false" outlineLevel="0" collapsed="false">
      <c r="L93" s="0" t="n">
        <v>91</v>
      </c>
      <c r="M93" s="0" t="n">
        <v>0</v>
      </c>
      <c r="N93" s="0" t="n">
        <f aca="false">AVERAGE(M90:M97)</f>
        <v>0</v>
      </c>
      <c r="O93" s="0" t="n">
        <f aca="false">MAX($A$23)/2</f>
        <v>965.1875</v>
      </c>
    </row>
    <row r="94" customFormat="false" ht="15.8" hidden="false" customHeight="false" outlineLevel="0" collapsed="false">
      <c r="L94" s="0" t="n">
        <v>92</v>
      </c>
      <c r="M94" s="0" t="n">
        <v>0</v>
      </c>
      <c r="N94" s="0" t="n">
        <f aca="false">AVERAGE(M91:M98)</f>
        <v>0</v>
      </c>
      <c r="O94" s="0" t="n">
        <f aca="false">MAX($A$23)/2</f>
        <v>965.1875</v>
      </c>
    </row>
    <row r="95" customFormat="false" ht="15.8" hidden="false" customHeight="false" outlineLevel="0" collapsed="false">
      <c r="L95" s="0" t="n">
        <v>93</v>
      </c>
      <c r="M95" s="0" t="n">
        <v>0</v>
      </c>
      <c r="N95" s="0" t="n">
        <f aca="false">AVERAGE(M92:M99)</f>
        <v>0</v>
      </c>
      <c r="O95" s="0" t="n">
        <f aca="false">MAX($A$23)/2</f>
        <v>965.1875</v>
      </c>
    </row>
    <row r="96" customFormat="false" ht="15.8" hidden="false" customHeight="false" outlineLevel="0" collapsed="false">
      <c r="L96" s="0" t="n">
        <v>94</v>
      </c>
      <c r="M96" s="0" t="n">
        <v>0</v>
      </c>
      <c r="N96" s="0" t="n">
        <f aca="false">AVERAGE(M93:M100)</f>
        <v>0</v>
      </c>
      <c r="O96" s="0" t="n">
        <f aca="false">MAX($A$23)/2</f>
        <v>965.1875</v>
      </c>
    </row>
    <row r="97" customFormat="false" ht="15.8" hidden="false" customHeight="false" outlineLevel="0" collapsed="false">
      <c r="L97" s="0" t="n">
        <v>95</v>
      </c>
      <c r="M97" s="0" t="n">
        <v>0</v>
      </c>
      <c r="N97" s="0" t="n">
        <f aca="false">AVERAGE(M94:M101)</f>
        <v>0</v>
      </c>
      <c r="O97" s="0" t="n">
        <f aca="false">MAX($A$23)/2</f>
        <v>965.1875</v>
      </c>
    </row>
    <row r="98" customFormat="false" ht="15.8" hidden="false" customHeight="false" outlineLevel="0" collapsed="false">
      <c r="L98" s="0" t="n">
        <v>96</v>
      </c>
      <c r="M98" s="0" t="n">
        <v>0</v>
      </c>
      <c r="N98" s="0" t="n">
        <f aca="false">AVERAGE(M95:M102)</f>
        <v>8.125</v>
      </c>
      <c r="O98" s="0" t="n">
        <f aca="false">MAX($A$23)/2</f>
        <v>965.1875</v>
      </c>
    </row>
    <row r="99" customFormat="false" ht="15.8" hidden="false" customHeight="false" outlineLevel="0" collapsed="false">
      <c r="L99" s="0" t="n">
        <v>97</v>
      </c>
      <c r="M99" s="0" t="n">
        <v>0</v>
      </c>
      <c r="N99" s="0" t="n">
        <f aca="false">AVERAGE(M96:M103)</f>
        <v>14.75</v>
      </c>
      <c r="O99" s="0" t="n">
        <f aca="false">MAX($A$23)/2</f>
        <v>965.1875</v>
      </c>
    </row>
    <row r="100" customFormat="false" ht="15.8" hidden="false" customHeight="false" outlineLevel="0" collapsed="false">
      <c r="L100" s="0" t="n">
        <v>98</v>
      </c>
      <c r="M100" s="0" t="n">
        <v>0</v>
      </c>
      <c r="N100" s="0" t="n">
        <f aca="false">AVERAGE(M97:M104)</f>
        <v>21.125</v>
      </c>
      <c r="O100" s="0" t="n">
        <f aca="false">MAX($A$23)/2</f>
        <v>965.1875</v>
      </c>
    </row>
    <row r="101" customFormat="false" ht="15.8" hidden="false" customHeight="false" outlineLevel="0" collapsed="false">
      <c r="L101" s="0" t="n">
        <v>99</v>
      </c>
      <c r="M101" s="0" t="n">
        <v>0</v>
      </c>
      <c r="N101" s="0" t="n">
        <f aca="false">AVERAGE(M98:M105)</f>
        <v>28.25</v>
      </c>
      <c r="O101" s="0" t="n">
        <f aca="false">MAX($A$23)/2</f>
        <v>965.1875</v>
      </c>
    </row>
    <row r="102" customFormat="false" ht="15.8" hidden="false" customHeight="false" outlineLevel="0" collapsed="false">
      <c r="L102" s="0" t="n">
        <v>100</v>
      </c>
      <c r="M102" s="0" t="n">
        <v>65</v>
      </c>
      <c r="N102" s="0" t="n">
        <f aca="false">AVERAGE(M99:M106)</f>
        <v>36.5</v>
      </c>
      <c r="O102" s="0" t="n">
        <f aca="false">MAX($A$23)/2</f>
        <v>965.1875</v>
      </c>
    </row>
    <row r="103" customFormat="false" ht="15.8" hidden="false" customHeight="false" outlineLevel="0" collapsed="false">
      <c r="L103" s="0" t="n">
        <v>101</v>
      </c>
      <c r="M103" s="0" t="n">
        <v>53</v>
      </c>
      <c r="N103" s="0" t="n">
        <f aca="false">AVERAGE(M100:M107)</f>
        <v>44.125</v>
      </c>
      <c r="O103" s="0" t="n">
        <f aca="false">MAX($A$23)/2</f>
        <v>965.1875</v>
      </c>
    </row>
    <row r="104" customFormat="false" ht="15.8" hidden="false" customHeight="false" outlineLevel="0" collapsed="false">
      <c r="L104" s="0" t="n">
        <v>102</v>
      </c>
      <c r="M104" s="0" t="n">
        <v>51</v>
      </c>
      <c r="N104" s="0" t="n">
        <f aca="false">AVERAGE(M101:M108)</f>
        <v>52.75</v>
      </c>
      <c r="O104" s="0" t="n">
        <f aca="false">MAX($A$23)/2</f>
        <v>965.1875</v>
      </c>
    </row>
    <row r="105" customFormat="false" ht="15.8" hidden="false" customHeight="false" outlineLevel="0" collapsed="false">
      <c r="L105" s="0" t="n">
        <v>103</v>
      </c>
      <c r="M105" s="0" t="n">
        <v>57</v>
      </c>
      <c r="N105" s="0" t="n">
        <f aca="false">AVERAGE(M102:M109)</f>
        <v>60.375</v>
      </c>
      <c r="O105" s="0" t="n">
        <f aca="false">MAX($A$23)/2</f>
        <v>965.1875</v>
      </c>
    </row>
    <row r="106" customFormat="false" ht="15.8" hidden="false" customHeight="false" outlineLevel="0" collapsed="false">
      <c r="L106" s="0" t="n">
        <v>104</v>
      </c>
      <c r="M106" s="0" t="n">
        <v>66</v>
      </c>
      <c r="N106" s="0" t="n">
        <f aca="false">AVERAGE(M103:M110)</f>
        <v>61.625</v>
      </c>
      <c r="O106" s="0" t="n">
        <f aca="false">MAX($A$23)/2</f>
        <v>965.1875</v>
      </c>
    </row>
    <row r="107" customFormat="false" ht="15.8" hidden="false" customHeight="false" outlineLevel="0" collapsed="false">
      <c r="L107" s="0" t="n">
        <v>105</v>
      </c>
      <c r="M107" s="0" t="n">
        <v>61</v>
      </c>
      <c r="N107" s="0" t="n">
        <f aca="false">AVERAGE(M104:M111)</f>
        <v>62.125</v>
      </c>
      <c r="O107" s="0" t="n">
        <f aca="false">MAX($A$23)/2</f>
        <v>965.1875</v>
      </c>
    </row>
    <row r="108" customFormat="false" ht="15.8" hidden="false" customHeight="false" outlineLevel="0" collapsed="false">
      <c r="L108" s="0" t="n">
        <v>106</v>
      </c>
      <c r="M108" s="0" t="n">
        <v>69</v>
      </c>
      <c r="N108" s="0" t="n">
        <f aca="false">AVERAGE(M105:M112)</f>
        <v>64.25</v>
      </c>
      <c r="O108" s="0" t="n">
        <f aca="false">MAX($A$23)/2</f>
        <v>965.1875</v>
      </c>
    </row>
    <row r="109" customFormat="false" ht="15.8" hidden="false" customHeight="false" outlineLevel="0" collapsed="false">
      <c r="L109" s="0" t="n">
        <v>107</v>
      </c>
      <c r="M109" s="0" t="n">
        <v>61</v>
      </c>
      <c r="N109" s="0" t="n">
        <f aca="false">AVERAGE(M106:M113)</f>
        <v>65.75</v>
      </c>
      <c r="O109" s="0" t="n">
        <f aca="false">MAX($A$23)/2</f>
        <v>965.1875</v>
      </c>
    </row>
    <row r="110" customFormat="false" ht="15.8" hidden="false" customHeight="false" outlineLevel="0" collapsed="false">
      <c r="L110" s="0" t="n">
        <v>108</v>
      </c>
      <c r="M110" s="0" t="n">
        <v>75</v>
      </c>
      <c r="N110" s="0" t="n">
        <f aca="false">AVERAGE(M107:M114)</f>
        <v>64.125</v>
      </c>
      <c r="O110" s="0" t="n">
        <f aca="false">MAX($A$23)/2</f>
        <v>965.1875</v>
      </c>
    </row>
    <row r="111" customFormat="false" ht="15.8" hidden="false" customHeight="false" outlineLevel="0" collapsed="false">
      <c r="L111" s="0" t="n">
        <v>109</v>
      </c>
      <c r="M111" s="0" t="n">
        <v>57</v>
      </c>
      <c r="N111" s="0" t="n">
        <f aca="false">AVERAGE(M108:M115)</f>
        <v>63.5</v>
      </c>
      <c r="O111" s="0" t="n">
        <f aca="false">MAX($A$23)/2</f>
        <v>965.1875</v>
      </c>
    </row>
    <row r="112" customFormat="false" ht="15.8" hidden="false" customHeight="false" outlineLevel="0" collapsed="false">
      <c r="L112" s="0" t="n">
        <v>110</v>
      </c>
      <c r="M112" s="0" t="n">
        <v>68</v>
      </c>
      <c r="N112" s="0" t="n">
        <f aca="false">AVERAGE(M109:M116)</f>
        <v>62.875</v>
      </c>
      <c r="O112" s="0" t="n">
        <f aca="false">MAX($A$23)/2</f>
        <v>965.1875</v>
      </c>
    </row>
    <row r="113" customFormat="false" ht="15.8" hidden="false" customHeight="false" outlineLevel="0" collapsed="false">
      <c r="L113" s="0" t="n">
        <v>111</v>
      </c>
      <c r="M113" s="0" t="n">
        <v>69</v>
      </c>
      <c r="N113" s="0" t="n">
        <f aca="false">AVERAGE(M110:M117)</f>
        <v>63.125</v>
      </c>
      <c r="O113" s="0" t="n">
        <f aca="false">MAX($A$23)/2</f>
        <v>965.1875</v>
      </c>
    </row>
    <row r="114" customFormat="false" ht="15.8" hidden="false" customHeight="false" outlineLevel="0" collapsed="false">
      <c r="L114" s="0" t="n">
        <v>112</v>
      </c>
      <c r="M114" s="0" t="n">
        <v>53</v>
      </c>
      <c r="N114" s="0" t="n">
        <f aca="false">AVERAGE(M111:M118)</f>
        <v>60.5</v>
      </c>
      <c r="O114" s="0" t="n">
        <f aca="false">MAX($A$23)/2</f>
        <v>965.1875</v>
      </c>
    </row>
    <row r="115" customFormat="false" ht="15.8" hidden="false" customHeight="false" outlineLevel="0" collapsed="false">
      <c r="L115" s="0" t="n">
        <v>113</v>
      </c>
      <c r="M115" s="0" t="n">
        <v>56</v>
      </c>
      <c r="N115" s="0" t="n">
        <f aca="false">AVERAGE(M112:M119)</f>
        <v>60.625</v>
      </c>
      <c r="O115" s="0" t="n">
        <f aca="false">MAX($A$23)/2</f>
        <v>965.1875</v>
      </c>
    </row>
    <row r="116" customFormat="false" ht="15.8" hidden="false" customHeight="false" outlineLevel="0" collapsed="false">
      <c r="L116" s="0" t="n">
        <v>114</v>
      </c>
      <c r="M116" s="0" t="n">
        <v>64</v>
      </c>
      <c r="N116" s="0" t="n">
        <f aca="false">AVERAGE(M113:M120)</f>
        <v>60</v>
      </c>
      <c r="O116" s="0" t="n">
        <f aca="false">MAX($A$23)/2</f>
        <v>965.1875</v>
      </c>
    </row>
    <row r="117" customFormat="false" ht="15.8" hidden="false" customHeight="false" outlineLevel="0" collapsed="false">
      <c r="L117" s="0" t="n">
        <v>115</v>
      </c>
      <c r="M117" s="0" t="n">
        <v>63</v>
      </c>
      <c r="N117" s="0" t="n">
        <f aca="false">AVERAGE(M114:M121)</f>
        <v>60.875</v>
      </c>
      <c r="O117" s="0" t="n">
        <f aca="false">MAX($A$23)/2</f>
        <v>965.1875</v>
      </c>
    </row>
    <row r="118" customFormat="false" ht="15.8" hidden="false" customHeight="false" outlineLevel="0" collapsed="false">
      <c r="L118" s="0" t="n">
        <v>116</v>
      </c>
      <c r="M118" s="0" t="n">
        <v>54</v>
      </c>
      <c r="N118" s="0" t="n">
        <f aca="false">AVERAGE(M115:M122)</f>
        <v>61.125</v>
      </c>
      <c r="O118" s="0" t="n">
        <f aca="false">MAX($A$23)/2</f>
        <v>965.1875</v>
      </c>
    </row>
    <row r="119" customFormat="false" ht="15.8" hidden="false" customHeight="false" outlineLevel="0" collapsed="false">
      <c r="L119" s="0" t="n">
        <v>117</v>
      </c>
      <c r="M119" s="0" t="n">
        <v>58</v>
      </c>
      <c r="N119" s="0" t="n">
        <f aca="false">AVERAGE(M116:M123)</f>
        <v>62</v>
      </c>
      <c r="O119" s="0" t="n">
        <f aca="false">MAX($A$23)/2</f>
        <v>965.1875</v>
      </c>
    </row>
    <row r="120" customFormat="false" ht="15.8" hidden="false" customHeight="false" outlineLevel="0" collapsed="false">
      <c r="L120" s="0" t="n">
        <v>118</v>
      </c>
      <c r="M120" s="0" t="n">
        <v>63</v>
      </c>
      <c r="N120" s="0" t="n">
        <f aca="false">AVERAGE(M117:M124)</f>
        <v>60.875</v>
      </c>
      <c r="O120" s="0" t="n">
        <f aca="false">MAX($A$23)/2</f>
        <v>965.1875</v>
      </c>
    </row>
    <row r="121" customFormat="false" ht="15.8" hidden="false" customHeight="false" outlineLevel="0" collapsed="false">
      <c r="L121" s="0" t="n">
        <v>119</v>
      </c>
      <c r="M121" s="0" t="n">
        <v>76</v>
      </c>
      <c r="N121" s="0" t="n">
        <f aca="false">AVERAGE(M118:M125)</f>
        <v>60</v>
      </c>
      <c r="O121" s="0" t="n">
        <f aca="false">MAX($A$23)/2</f>
        <v>965.1875</v>
      </c>
    </row>
    <row r="122" customFormat="false" ht="15.8" hidden="false" customHeight="false" outlineLevel="0" collapsed="false">
      <c r="L122" s="0" t="n">
        <v>120</v>
      </c>
      <c r="M122" s="0" t="n">
        <v>55</v>
      </c>
      <c r="N122" s="0" t="n">
        <f aca="false">AVERAGE(M119:M126)</f>
        <v>62.375</v>
      </c>
      <c r="O122" s="0" t="n">
        <f aca="false">MAX($A$23)/2</f>
        <v>965.1875</v>
      </c>
    </row>
    <row r="123" customFormat="false" ht="15.8" hidden="false" customHeight="false" outlineLevel="0" collapsed="false">
      <c r="L123" s="0" t="n">
        <v>121</v>
      </c>
      <c r="M123" s="0" t="n">
        <v>63</v>
      </c>
      <c r="N123" s="0" t="n">
        <f aca="false">AVERAGE(M120:M127)</f>
        <v>64.375</v>
      </c>
      <c r="O123" s="0" t="n">
        <f aca="false">MAX($A$23)/2</f>
        <v>965.1875</v>
      </c>
    </row>
    <row r="124" customFormat="false" ht="15.8" hidden="false" customHeight="false" outlineLevel="0" collapsed="false">
      <c r="L124" s="0" t="n">
        <v>122</v>
      </c>
      <c r="M124" s="0" t="n">
        <v>55</v>
      </c>
      <c r="N124" s="0" t="n">
        <f aca="false">AVERAGE(M121:M128)</f>
        <v>64.875</v>
      </c>
      <c r="O124" s="0" t="n">
        <f aca="false">MAX($A$23)/2</f>
        <v>965.1875</v>
      </c>
    </row>
    <row r="125" customFormat="false" ht="15.8" hidden="false" customHeight="false" outlineLevel="0" collapsed="false">
      <c r="L125" s="0" t="n">
        <v>123</v>
      </c>
      <c r="M125" s="0" t="n">
        <v>56</v>
      </c>
      <c r="N125" s="0" t="n">
        <f aca="false">AVERAGE(M122:M129)</f>
        <v>63</v>
      </c>
      <c r="O125" s="0" t="n">
        <f aca="false">MAX($A$23)/2</f>
        <v>965.1875</v>
      </c>
    </row>
    <row r="126" customFormat="false" ht="15.8" hidden="false" customHeight="false" outlineLevel="0" collapsed="false">
      <c r="L126" s="0" t="n">
        <v>124</v>
      </c>
      <c r="M126" s="0" t="n">
        <v>73</v>
      </c>
      <c r="N126" s="0" t="n">
        <f aca="false">AVERAGE(M123:M130)</f>
        <v>62.75</v>
      </c>
      <c r="O126" s="0" t="n">
        <f aca="false">MAX($A$23)/2</f>
        <v>965.1875</v>
      </c>
    </row>
    <row r="127" customFormat="false" ht="15.8" hidden="false" customHeight="false" outlineLevel="0" collapsed="false">
      <c r="L127" s="0" t="n">
        <v>125</v>
      </c>
      <c r="M127" s="0" t="n">
        <v>74</v>
      </c>
      <c r="N127" s="0" t="n">
        <f aca="false">AVERAGE(M124:M131)</f>
        <v>62</v>
      </c>
      <c r="O127" s="0" t="n">
        <f aca="false">MAX($A$23)/2</f>
        <v>965.1875</v>
      </c>
    </row>
    <row r="128" customFormat="false" ht="15.8" hidden="false" customHeight="false" outlineLevel="0" collapsed="false">
      <c r="L128" s="0" t="n">
        <v>126</v>
      </c>
      <c r="M128" s="0" t="n">
        <v>67</v>
      </c>
      <c r="N128" s="0" t="n">
        <f aca="false">AVERAGE(M125:M132)</f>
        <v>63.75</v>
      </c>
      <c r="O128" s="0" t="n">
        <f aca="false">MAX($A$23)/2</f>
        <v>965.1875</v>
      </c>
    </row>
    <row r="129" customFormat="false" ht="15.8" hidden="false" customHeight="false" outlineLevel="0" collapsed="false">
      <c r="L129" s="0" t="n">
        <v>127</v>
      </c>
      <c r="M129" s="0" t="n">
        <v>61</v>
      </c>
      <c r="N129" s="0" t="n">
        <f aca="false">AVERAGE(M126:M133)</f>
        <v>62.375</v>
      </c>
      <c r="O129" s="0" t="n">
        <f aca="false">MAX($A$23)/2</f>
        <v>965.1875</v>
      </c>
    </row>
    <row r="130" customFormat="false" ht="15.8" hidden="false" customHeight="false" outlineLevel="0" collapsed="false">
      <c r="L130" s="0" t="n">
        <v>128</v>
      </c>
      <c r="M130" s="0" t="n">
        <v>53</v>
      </c>
      <c r="N130" s="0" t="n">
        <f aca="false">AVERAGE(M127:M134)</f>
        <v>60.5</v>
      </c>
      <c r="O130" s="0" t="n">
        <f aca="false">MAX($A$23)/2</f>
        <v>965.1875</v>
      </c>
    </row>
    <row r="131" customFormat="false" ht="15.8" hidden="false" customHeight="false" outlineLevel="0" collapsed="false">
      <c r="L131" s="0" t="n">
        <v>129</v>
      </c>
      <c r="M131" s="0" t="n">
        <v>57</v>
      </c>
      <c r="N131" s="0" t="n">
        <f aca="false">AVERAGE(M128:M135)</f>
        <v>58.75</v>
      </c>
      <c r="O131" s="0" t="n">
        <f aca="false">MAX($A$23)/2</f>
        <v>965.1875</v>
      </c>
    </row>
    <row r="132" customFormat="false" ht="15.8" hidden="false" customHeight="false" outlineLevel="0" collapsed="false">
      <c r="L132" s="0" t="n">
        <v>130</v>
      </c>
      <c r="M132" s="0" t="n">
        <v>69</v>
      </c>
      <c r="N132" s="0" t="n">
        <f aca="false">AVERAGE(M129:M136)</f>
        <v>57.25</v>
      </c>
      <c r="O132" s="0" t="n">
        <f aca="false">MAX($A$23)/2</f>
        <v>965.1875</v>
      </c>
    </row>
    <row r="133" customFormat="false" ht="15.8" hidden="false" customHeight="false" outlineLevel="0" collapsed="false">
      <c r="L133" s="0" t="n">
        <v>131</v>
      </c>
      <c r="M133" s="0" t="n">
        <v>45</v>
      </c>
      <c r="N133" s="0" t="n">
        <f aca="false">AVERAGE(M130:M137)</f>
        <v>58</v>
      </c>
      <c r="O133" s="0" t="n">
        <f aca="false">MAX($A$23)/2</f>
        <v>965.1875</v>
      </c>
    </row>
    <row r="134" customFormat="false" ht="15.8" hidden="false" customHeight="false" outlineLevel="0" collapsed="false">
      <c r="L134" s="0" t="n">
        <v>132</v>
      </c>
      <c r="M134" s="0" t="n">
        <v>58</v>
      </c>
      <c r="N134" s="0" t="n">
        <f aca="false">AVERAGE(M131:M138)</f>
        <v>59</v>
      </c>
      <c r="O134" s="0" t="n">
        <f aca="false">MAX($A$23)/2</f>
        <v>965.1875</v>
      </c>
    </row>
    <row r="135" customFormat="false" ht="15.8" hidden="false" customHeight="false" outlineLevel="0" collapsed="false">
      <c r="L135" s="0" t="n">
        <v>133</v>
      </c>
      <c r="M135" s="0" t="n">
        <v>60</v>
      </c>
      <c r="N135" s="0" t="n">
        <f aca="false">AVERAGE(M132:M139)</f>
        <v>60.875</v>
      </c>
      <c r="O135" s="0" t="n">
        <f aca="false">MAX($A$23)/2</f>
        <v>965.1875</v>
      </c>
    </row>
    <row r="136" customFormat="false" ht="15.8" hidden="false" customHeight="false" outlineLevel="0" collapsed="false">
      <c r="L136" s="0" t="n">
        <v>134</v>
      </c>
      <c r="M136" s="0" t="n">
        <v>55</v>
      </c>
      <c r="N136" s="0" t="n">
        <f aca="false">AVERAGE(M133:M140)</f>
        <v>59.75</v>
      </c>
      <c r="O136" s="0" t="n">
        <f aca="false">MAX($A$23)/2</f>
        <v>965.1875</v>
      </c>
    </row>
    <row r="137" customFormat="false" ht="15.8" hidden="false" customHeight="false" outlineLevel="0" collapsed="false">
      <c r="L137" s="0" t="n">
        <v>135</v>
      </c>
      <c r="M137" s="0" t="n">
        <v>67</v>
      </c>
      <c r="N137" s="0" t="n">
        <f aca="false">AVERAGE(M134:M141)</f>
        <v>60.5</v>
      </c>
      <c r="O137" s="0" t="n">
        <f aca="false">MAX($A$23)/2</f>
        <v>965.1875</v>
      </c>
    </row>
    <row r="138" customFormat="false" ht="15.8" hidden="false" customHeight="false" outlineLevel="0" collapsed="false">
      <c r="L138" s="0" t="n">
        <v>136</v>
      </c>
      <c r="M138" s="0" t="n">
        <v>61</v>
      </c>
      <c r="N138" s="0" t="n">
        <f aca="false">AVERAGE(M135:M142)</f>
        <v>62.25</v>
      </c>
      <c r="O138" s="0" t="n">
        <f aca="false">MAX($A$23)/2</f>
        <v>965.1875</v>
      </c>
    </row>
    <row r="139" customFormat="false" ht="15.8" hidden="false" customHeight="false" outlineLevel="0" collapsed="false">
      <c r="L139" s="0" t="n">
        <v>137</v>
      </c>
      <c r="M139" s="0" t="n">
        <v>72</v>
      </c>
      <c r="N139" s="0" t="n">
        <f aca="false">AVERAGE(M136:M143)</f>
        <v>61.25</v>
      </c>
      <c r="O139" s="0" t="n">
        <f aca="false">MAX($A$23)/2</f>
        <v>965.1875</v>
      </c>
    </row>
    <row r="140" customFormat="false" ht="15.8" hidden="false" customHeight="false" outlineLevel="0" collapsed="false">
      <c r="L140" s="0" t="n">
        <v>138</v>
      </c>
      <c r="M140" s="0" t="n">
        <v>60</v>
      </c>
      <c r="N140" s="0" t="n">
        <f aca="false">AVERAGE(M137:M144)</f>
        <v>63.75</v>
      </c>
      <c r="O140" s="0" t="n">
        <f aca="false">MAX($A$23)/2</f>
        <v>965.1875</v>
      </c>
    </row>
    <row r="141" customFormat="false" ht="15.8" hidden="false" customHeight="false" outlineLevel="0" collapsed="false">
      <c r="L141" s="0" t="n">
        <v>139</v>
      </c>
      <c r="M141" s="0" t="n">
        <v>51</v>
      </c>
      <c r="N141" s="0" t="n">
        <f aca="false">AVERAGE(M138:M145)</f>
        <v>63.75</v>
      </c>
      <c r="O141" s="0" t="n">
        <f aca="false">MAX($A$23)/2</f>
        <v>965.1875</v>
      </c>
    </row>
    <row r="142" customFormat="false" ht="15.8" hidden="false" customHeight="false" outlineLevel="0" collapsed="false">
      <c r="L142" s="0" t="n">
        <v>140</v>
      </c>
      <c r="M142" s="0" t="n">
        <v>72</v>
      </c>
      <c r="N142" s="0" t="n">
        <f aca="false">AVERAGE(M139:M146)</f>
        <v>64.5</v>
      </c>
      <c r="O142" s="0" t="n">
        <f aca="false">MAX($A$23)/2</f>
        <v>965.1875</v>
      </c>
    </row>
    <row r="143" customFormat="false" ht="15.8" hidden="false" customHeight="false" outlineLevel="0" collapsed="false">
      <c r="L143" s="0" t="n">
        <v>141</v>
      </c>
      <c r="M143" s="0" t="n">
        <v>52</v>
      </c>
      <c r="N143" s="0" t="n">
        <f aca="false">AVERAGE(M140:M147)</f>
        <v>63.875</v>
      </c>
      <c r="O143" s="0" t="n">
        <f aca="false">MAX($A$23)/2</f>
        <v>965.1875</v>
      </c>
    </row>
    <row r="144" customFormat="false" ht="15.8" hidden="false" customHeight="false" outlineLevel="0" collapsed="false">
      <c r="L144" s="0" t="n">
        <v>142</v>
      </c>
      <c r="M144" s="0" t="n">
        <v>75</v>
      </c>
      <c r="N144" s="0" t="n">
        <f aca="false">AVERAGE(M141:M148)</f>
        <v>66</v>
      </c>
      <c r="O144" s="0" t="n">
        <f aca="false">MAX($A$23)/2</f>
        <v>965.1875</v>
      </c>
    </row>
    <row r="145" customFormat="false" ht="15.8" hidden="false" customHeight="false" outlineLevel="0" collapsed="false">
      <c r="L145" s="0" t="n">
        <v>143</v>
      </c>
      <c r="M145" s="0" t="n">
        <v>67</v>
      </c>
      <c r="N145" s="0" t="n">
        <f aca="false">AVERAGE(M142:M149)</f>
        <v>67</v>
      </c>
      <c r="O145" s="0" t="n">
        <f aca="false">MAX($A$23)/2</f>
        <v>965.1875</v>
      </c>
    </row>
    <row r="146" customFormat="false" ht="15.8" hidden="false" customHeight="false" outlineLevel="0" collapsed="false">
      <c r="L146" s="0" t="n">
        <v>144</v>
      </c>
      <c r="M146" s="0" t="n">
        <v>67</v>
      </c>
      <c r="N146" s="0" t="n">
        <f aca="false">AVERAGE(M143:M150)</f>
        <v>65.125</v>
      </c>
      <c r="O146" s="0" t="n">
        <f aca="false">MAX($A$23)/2</f>
        <v>965.1875</v>
      </c>
    </row>
    <row r="147" customFormat="false" ht="15.8" hidden="false" customHeight="false" outlineLevel="0" collapsed="false">
      <c r="L147" s="0" t="n">
        <v>145</v>
      </c>
      <c r="M147" s="0" t="n">
        <v>67</v>
      </c>
      <c r="N147" s="0" t="n">
        <f aca="false">AVERAGE(M144:M151)</f>
        <v>67.5</v>
      </c>
      <c r="O147" s="0" t="n">
        <f aca="false">MAX($A$23)/2</f>
        <v>965.1875</v>
      </c>
    </row>
    <row r="148" customFormat="false" ht="15.8" hidden="false" customHeight="false" outlineLevel="0" collapsed="false">
      <c r="L148" s="0" t="n">
        <v>146</v>
      </c>
      <c r="M148" s="0" t="n">
        <v>77</v>
      </c>
      <c r="N148" s="0" t="n">
        <f aca="false">AVERAGE(M145:M152)</f>
        <v>65.625</v>
      </c>
      <c r="O148" s="0" t="n">
        <f aca="false">MAX($A$23)/2</f>
        <v>965.1875</v>
      </c>
    </row>
    <row r="149" customFormat="false" ht="15.8" hidden="false" customHeight="false" outlineLevel="0" collapsed="false">
      <c r="L149" s="0" t="n">
        <v>147</v>
      </c>
      <c r="M149" s="0" t="n">
        <v>59</v>
      </c>
      <c r="N149" s="0" t="n">
        <f aca="false">AVERAGE(M146:M153)</f>
        <v>66.75</v>
      </c>
      <c r="O149" s="0" t="n">
        <f aca="false">MAX($A$23)/2</f>
        <v>965.1875</v>
      </c>
    </row>
    <row r="150" customFormat="false" ht="15.8" hidden="false" customHeight="false" outlineLevel="0" collapsed="false">
      <c r="L150" s="0" t="n">
        <v>148</v>
      </c>
      <c r="M150" s="0" t="n">
        <v>57</v>
      </c>
      <c r="N150" s="0" t="n">
        <f aca="false">AVERAGE(M147:M154)</f>
        <v>67.875</v>
      </c>
      <c r="O150" s="0" t="n">
        <f aca="false">MAX($A$23)/2</f>
        <v>965.1875</v>
      </c>
    </row>
    <row r="151" customFormat="false" ht="15.8" hidden="false" customHeight="false" outlineLevel="0" collapsed="false">
      <c r="L151" s="0" t="n">
        <v>149</v>
      </c>
      <c r="M151" s="0" t="n">
        <v>71</v>
      </c>
      <c r="N151" s="0" t="n">
        <f aca="false">AVERAGE(M148:M155)</f>
        <v>68.375</v>
      </c>
      <c r="O151" s="0" t="n">
        <f aca="false">MAX($A$23)/2</f>
        <v>965.1875</v>
      </c>
    </row>
    <row r="152" customFormat="false" ht="15.8" hidden="false" customHeight="false" outlineLevel="0" collapsed="false">
      <c r="L152" s="0" t="n">
        <v>150</v>
      </c>
      <c r="M152" s="0" t="n">
        <v>60</v>
      </c>
      <c r="N152" s="0" t="n">
        <f aca="false">AVERAGE(M149:M156)</f>
        <v>68.625</v>
      </c>
      <c r="O152" s="0" t="n">
        <f aca="false">MAX($A$23)/2</f>
        <v>965.1875</v>
      </c>
    </row>
    <row r="153" customFormat="false" ht="15.8" hidden="false" customHeight="false" outlineLevel="0" collapsed="false">
      <c r="L153" s="0" t="n">
        <v>151</v>
      </c>
      <c r="M153" s="0" t="n">
        <v>76</v>
      </c>
      <c r="N153" s="0" t="n">
        <f aca="false">AVERAGE(M150:M157)</f>
        <v>72.5</v>
      </c>
      <c r="O153" s="0" t="n">
        <f aca="false">MAX($A$23)/2</f>
        <v>965.1875</v>
      </c>
    </row>
    <row r="154" customFormat="false" ht="15.8" hidden="false" customHeight="false" outlineLevel="0" collapsed="false">
      <c r="L154" s="0" t="n">
        <v>152</v>
      </c>
      <c r="M154" s="0" t="n">
        <v>76</v>
      </c>
      <c r="N154" s="0" t="n">
        <f aca="false">AVERAGE(M151:M158)</f>
        <v>76.75</v>
      </c>
      <c r="O154" s="0" t="n">
        <f aca="false">MAX($A$23)/2</f>
        <v>965.1875</v>
      </c>
    </row>
    <row r="155" customFormat="false" ht="15.8" hidden="false" customHeight="false" outlineLevel="0" collapsed="false">
      <c r="L155" s="0" t="n">
        <v>153</v>
      </c>
      <c r="M155" s="0" t="n">
        <v>71</v>
      </c>
      <c r="N155" s="0" t="n">
        <f aca="false">AVERAGE(M152:M159)</f>
        <v>78</v>
      </c>
      <c r="O155" s="0" t="n">
        <f aca="false">MAX($A$23)/2</f>
        <v>965.1875</v>
      </c>
    </row>
    <row r="156" customFormat="false" ht="15.8" hidden="false" customHeight="false" outlineLevel="0" collapsed="false">
      <c r="L156" s="0" t="n">
        <v>154</v>
      </c>
      <c r="M156" s="0" t="n">
        <v>79</v>
      </c>
      <c r="N156" s="0" t="n">
        <f aca="false">AVERAGE(M153:M160)</f>
        <v>80.875</v>
      </c>
      <c r="O156" s="0" t="n">
        <f aca="false">MAX($A$23)/2</f>
        <v>965.1875</v>
      </c>
    </row>
    <row r="157" customFormat="false" ht="15.8" hidden="false" customHeight="false" outlineLevel="0" collapsed="false">
      <c r="L157" s="0" t="n">
        <v>155</v>
      </c>
      <c r="M157" s="0" t="n">
        <v>90</v>
      </c>
      <c r="N157" s="0" t="n">
        <f aca="false">AVERAGE(M154:M161)</f>
        <v>83</v>
      </c>
      <c r="O157" s="0" t="n">
        <f aca="false">MAX($A$23)/2</f>
        <v>965.1875</v>
      </c>
    </row>
    <row r="158" customFormat="false" ht="15.8" hidden="false" customHeight="false" outlineLevel="0" collapsed="false">
      <c r="L158" s="0" t="n">
        <v>156</v>
      </c>
      <c r="M158" s="0" t="n">
        <v>91</v>
      </c>
      <c r="N158" s="0" t="n">
        <f aca="false">AVERAGE(M155:M162)</f>
        <v>84.25</v>
      </c>
      <c r="O158" s="0" t="n">
        <f aca="false">MAX($A$23)/2</f>
        <v>965.1875</v>
      </c>
    </row>
    <row r="159" customFormat="false" ht="15.8" hidden="false" customHeight="false" outlineLevel="0" collapsed="false">
      <c r="L159" s="0" t="n">
        <v>157</v>
      </c>
      <c r="M159" s="0" t="n">
        <v>81</v>
      </c>
      <c r="N159" s="0" t="n">
        <f aca="false">AVERAGE(M156:M163)</f>
        <v>88.625</v>
      </c>
      <c r="O159" s="0" t="n">
        <f aca="false">MAX($A$23)/2</f>
        <v>965.1875</v>
      </c>
    </row>
    <row r="160" customFormat="false" ht="15.8" hidden="false" customHeight="false" outlineLevel="0" collapsed="false">
      <c r="L160" s="0" t="n">
        <v>158</v>
      </c>
      <c r="M160" s="0" t="n">
        <v>83</v>
      </c>
      <c r="N160" s="0" t="n">
        <f aca="false">AVERAGE(M157:M164)</f>
        <v>92.125</v>
      </c>
      <c r="O160" s="0" t="n">
        <f aca="false">MAX($A$23)/2</f>
        <v>965.1875</v>
      </c>
    </row>
    <row r="161" customFormat="false" ht="15.8" hidden="false" customHeight="false" outlineLevel="0" collapsed="false">
      <c r="L161" s="0" t="n">
        <v>159</v>
      </c>
      <c r="M161" s="0" t="n">
        <v>93</v>
      </c>
      <c r="N161" s="0" t="n">
        <f aca="false">AVERAGE(M158:M165)</f>
        <v>92.625</v>
      </c>
      <c r="O161" s="0" t="n">
        <f aca="false">MAX($A$23)/2</f>
        <v>965.1875</v>
      </c>
    </row>
    <row r="162" customFormat="false" ht="15.8" hidden="false" customHeight="false" outlineLevel="0" collapsed="false">
      <c r="L162" s="0" t="n">
        <v>160</v>
      </c>
      <c r="M162" s="0" t="n">
        <v>86</v>
      </c>
      <c r="N162" s="0" t="n">
        <f aca="false">AVERAGE(M159:M166)</f>
        <v>95.5</v>
      </c>
      <c r="O162" s="0" t="n">
        <f aca="false">MAX($A$23)/2</f>
        <v>965.1875</v>
      </c>
    </row>
    <row r="163" customFormat="false" ht="15.8" hidden="false" customHeight="false" outlineLevel="0" collapsed="false">
      <c r="L163" s="0" t="n">
        <v>161</v>
      </c>
      <c r="M163" s="0" t="n">
        <v>106</v>
      </c>
      <c r="N163" s="0" t="n">
        <f aca="false">AVERAGE(M160:M167)</f>
        <v>103.125</v>
      </c>
      <c r="O163" s="0" t="n">
        <f aca="false">MAX($A$23)/2</f>
        <v>965.1875</v>
      </c>
    </row>
    <row r="164" customFormat="false" ht="15.8" hidden="false" customHeight="false" outlineLevel="0" collapsed="false">
      <c r="L164" s="0" t="n">
        <v>162</v>
      </c>
      <c r="M164" s="0" t="n">
        <v>107</v>
      </c>
      <c r="N164" s="0" t="n">
        <f aca="false">AVERAGE(M161:M168)</f>
        <v>107.75</v>
      </c>
      <c r="O164" s="0" t="n">
        <f aca="false">MAX($A$23)/2</f>
        <v>965.1875</v>
      </c>
    </row>
    <row r="165" customFormat="false" ht="15.8" hidden="false" customHeight="false" outlineLevel="0" collapsed="false">
      <c r="L165" s="0" t="n">
        <v>163</v>
      </c>
      <c r="M165" s="0" t="n">
        <v>94</v>
      </c>
      <c r="N165" s="0" t="n">
        <f aca="false">AVERAGE(M162:M169)</f>
        <v>111.75</v>
      </c>
      <c r="O165" s="0" t="n">
        <f aca="false">MAX($A$23)/2</f>
        <v>965.1875</v>
      </c>
    </row>
    <row r="166" customFormat="false" ht="15.8" hidden="false" customHeight="false" outlineLevel="0" collapsed="false">
      <c r="L166" s="0" t="n">
        <v>164</v>
      </c>
      <c r="M166" s="0" t="n">
        <v>114</v>
      </c>
      <c r="N166" s="0" t="n">
        <f aca="false">AVERAGE(M163:M170)</f>
        <v>118.25</v>
      </c>
      <c r="O166" s="0" t="n">
        <f aca="false">MAX($A$23)/2</f>
        <v>965.1875</v>
      </c>
    </row>
    <row r="167" customFormat="false" ht="15.8" hidden="false" customHeight="false" outlineLevel="0" collapsed="false">
      <c r="L167" s="0" t="n">
        <v>165</v>
      </c>
      <c r="M167" s="0" t="n">
        <v>142</v>
      </c>
      <c r="N167" s="0" t="n">
        <f aca="false">AVERAGE(M164:M171)</f>
        <v>121.125</v>
      </c>
      <c r="O167" s="0" t="n">
        <f aca="false">MAX($A$23)/2</f>
        <v>965.1875</v>
      </c>
    </row>
    <row r="168" customFormat="false" ht="15.8" hidden="false" customHeight="false" outlineLevel="0" collapsed="false">
      <c r="L168" s="0" t="n">
        <v>166</v>
      </c>
      <c r="M168" s="0" t="n">
        <v>120</v>
      </c>
      <c r="N168" s="0" t="n">
        <f aca="false">AVERAGE(M165:M172)</f>
        <v>127</v>
      </c>
      <c r="O168" s="0" t="n">
        <f aca="false">MAX($A$23)/2</f>
        <v>965.1875</v>
      </c>
    </row>
    <row r="169" customFormat="false" ht="15.8" hidden="false" customHeight="false" outlineLevel="0" collapsed="false">
      <c r="L169" s="0" t="n">
        <v>167</v>
      </c>
      <c r="M169" s="0" t="n">
        <v>125</v>
      </c>
      <c r="N169" s="0" t="n">
        <f aca="false">AVERAGE(M166:M173)</f>
        <v>135.25</v>
      </c>
      <c r="O169" s="0" t="n">
        <f aca="false">MAX($A$23)/2</f>
        <v>965.1875</v>
      </c>
    </row>
    <row r="170" customFormat="false" ht="15.8" hidden="false" customHeight="false" outlineLevel="0" collapsed="false">
      <c r="L170" s="0" t="n">
        <v>168</v>
      </c>
      <c r="M170" s="0" t="n">
        <v>138</v>
      </c>
      <c r="N170" s="0" t="n">
        <f aca="false">AVERAGE(M167:M174)</f>
        <v>146</v>
      </c>
      <c r="O170" s="0" t="n">
        <f aca="false">MAX($A$23)/2</f>
        <v>965.1875</v>
      </c>
    </row>
    <row r="171" customFormat="false" ht="15.8" hidden="false" customHeight="false" outlineLevel="0" collapsed="false">
      <c r="L171" s="0" t="n">
        <v>169</v>
      </c>
      <c r="M171" s="0" t="n">
        <v>129</v>
      </c>
      <c r="N171" s="0" t="n">
        <f aca="false">AVERAGE(M168:M175)</f>
        <v>150.875</v>
      </c>
      <c r="O171" s="0" t="n">
        <f aca="false">MAX($A$23)/2</f>
        <v>965.1875</v>
      </c>
    </row>
    <row r="172" customFormat="false" ht="15.8" hidden="false" customHeight="false" outlineLevel="0" collapsed="false">
      <c r="L172" s="0" t="n">
        <v>170</v>
      </c>
      <c r="M172" s="0" t="n">
        <v>154</v>
      </c>
      <c r="N172" s="0" t="n">
        <f aca="false">AVERAGE(M169:M176)</f>
        <v>164.875</v>
      </c>
      <c r="O172" s="0" t="n">
        <f aca="false">MAX($A$23)/2</f>
        <v>965.1875</v>
      </c>
    </row>
    <row r="173" customFormat="false" ht="15.8" hidden="false" customHeight="false" outlineLevel="0" collapsed="false">
      <c r="L173" s="0" t="n">
        <v>171</v>
      </c>
      <c r="M173" s="0" t="n">
        <v>160</v>
      </c>
      <c r="N173" s="0" t="n">
        <f aca="false">AVERAGE(M170:M177)</f>
        <v>174.375</v>
      </c>
      <c r="O173" s="0" t="n">
        <f aca="false">MAX($A$23)/2</f>
        <v>965.1875</v>
      </c>
    </row>
    <row r="174" customFormat="false" ht="15.8" hidden="false" customHeight="false" outlineLevel="0" collapsed="false">
      <c r="L174" s="0" t="n">
        <v>172</v>
      </c>
      <c r="M174" s="0" t="n">
        <v>200</v>
      </c>
      <c r="N174" s="0" t="n">
        <f aca="false">AVERAGE(M171:M178)</f>
        <v>188.875</v>
      </c>
      <c r="O174" s="0" t="n">
        <f aca="false">MAX($A$23)/2</f>
        <v>965.1875</v>
      </c>
    </row>
    <row r="175" customFormat="false" ht="15.8" hidden="false" customHeight="false" outlineLevel="0" collapsed="false">
      <c r="L175" s="0" t="n">
        <v>173</v>
      </c>
      <c r="M175" s="0" t="n">
        <v>181</v>
      </c>
      <c r="N175" s="0" t="n">
        <f aca="false">AVERAGE(M172:M179)</f>
        <v>208.5</v>
      </c>
      <c r="O175" s="0" t="n">
        <f aca="false">MAX($A$23)/2</f>
        <v>965.1875</v>
      </c>
    </row>
    <row r="176" customFormat="false" ht="15.8" hidden="false" customHeight="false" outlineLevel="0" collapsed="false">
      <c r="L176" s="0" t="n">
        <v>174</v>
      </c>
      <c r="M176" s="0" t="n">
        <v>232</v>
      </c>
      <c r="N176" s="0" t="n">
        <f aca="false">AVERAGE(M173:M180)</f>
        <v>227.75</v>
      </c>
      <c r="O176" s="0" t="n">
        <f aca="false">MAX($A$23)/2</f>
        <v>965.1875</v>
      </c>
    </row>
    <row r="177" customFormat="false" ht="15.8" hidden="false" customHeight="false" outlineLevel="0" collapsed="false">
      <c r="L177" s="0" t="n">
        <v>175</v>
      </c>
      <c r="M177" s="0" t="n">
        <v>201</v>
      </c>
      <c r="N177" s="0" t="n">
        <f aca="false">AVERAGE(M174:M181)</f>
        <v>245</v>
      </c>
      <c r="O177" s="0" t="n">
        <f aca="false">MAX($A$23)/2</f>
        <v>965.1875</v>
      </c>
    </row>
    <row r="178" customFormat="false" ht="15.8" hidden="false" customHeight="false" outlineLevel="0" collapsed="false">
      <c r="L178" s="0" t="n">
        <v>176</v>
      </c>
      <c r="M178" s="0" t="n">
        <v>254</v>
      </c>
      <c r="N178" s="0" t="n">
        <f aca="false">AVERAGE(M175:M182)</f>
        <v>262</v>
      </c>
      <c r="O178" s="0" t="n">
        <f aca="false">MAX($A$23)/2</f>
        <v>965.1875</v>
      </c>
    </row>
    <row r="179" customFormat="false" ht="15.8" hidden="false" customHeight="false" outlineLevel="0" collapsed="false">
      <c r="L179" s="0" t="n">
        <v>177</v>
      </c>
      <c r="M179" s="0" t="n">
        <v>286</v>
      </c>
      <c r="N179" s="0" t="n">
        <f aca="false">AVERAGE(M176:M183)</f>
        <v>287.5</v>
      </c>
      <c r="O179" s="0" t="n">
        <f aca="false">MAX($A$23)/2</f>
        <v>965.1875</v>
      </c>
    </row>
    <row r="180" customFormat="false" ht="15.8" hidden="false" customHeight="false" outlineLevel="0" collapsed="false">
      <c r="L180" s="0" t="n">
        <v>178</v>
      </c>
      <c r="M180" s="0" t="n">
        <v>308</v>
      </c>
      <c r="N180" s="0" t="n">
        <f aca="false">AVERAGE(M177:M184)</f>
        <v>306.875</v>
      </c>
      <c r="O180" s="0" t="n">
        <f aca="false">MAX($A$23)/2</f>
        <v>965.1875</v>
      </c>
    </row>
    <row r="181" customFormat="false" ht="15.8" hidden="false" customHeight="false" outlineLevel="0" collapsed="false">
      <c r="L181" s="0" t="n">
        <v>179</v>
      </c>
      <c r="M181" s="0" t="n">
        <v>298</v>
      </c>
      <c r="N181" s="0" t="n">
        <f aca="false">AVERAGE(M178:M185)</f>
        <v>329</v>
      </c>
      <c r="O181" s="0" t="n">
        <f aca="false">MAX($A$23)/2</f>
        <v>965.1875</v>
      </c>
    </row>
    <row r="182" customFormat="false" ht="15.8" hidden="false" customHeight="false" outlineLevel="0" collapsed="false">
      <c r="L182" s="0" t="n">
        <v>180</v>
      </c>
      <c r="M182" s="0" t="n">
        <v>336</v>
      </c>
      <c r="N182" s="0" t="n">
        <f aca="false">AVERAGE(M179:M186)</f>
        <v>352.5</v>
      </c>
      <c r="O182" s="0" t="n">
        <f aca="false">MAX($A$23)/2</f>
        <v>965.1875</v>
      </c>
    </row>
    <row r="183" customFormat="false" ht="15.8" hidden="false" customHeight="false" outlineLevel="0" collapsed="false">
      <c r="L183" s="0" t="n">
        <v>181</v>
      </c>
      <c r="M183" s="0" t="n">
        <v>385</v>
      </c>
      <c r="N183" s="0" t="n">
        <f aca="false">AVERAGE(M180:M187)</f>
        <v>372.625</v>
      </c>
      <c r="O183" s="0" t="n">
        <f aca="false">MAX($A$23)/2</f>
        <v>965.1875</v>
      </c>
    </row>
    <row r="184" customFormat="false" ht="15.8" hidden="false" customHeight="false" outlineLevel="0" collapsed="false">
      <c r="L184" s="0" t="n">
        <v>182</v>
      </c>
      <c r="M184" s="0" t="n">
        <v>387</v>
      </c>
      <c r="N184" s="0" t="n">
        <f aca="false">AVERAGE(M181:M188)</f>
        <v>399.625</v>
      </c>
      <c r="O184" s="0" t="n">
        <f aca="false">MAX($A$23)/2</f>
        <v>965.1875</v>
      </c>
    </row>
    <row r="185" customFormat="false" ht="15.8" hidden="false" customHeight="false" outlineLevel="0" collapsed="false">
      <c r="L185" s="0" t="n">
        <v>183</v>
      </c>
      <c r="M185" s="0" t="n">
        <v>378</v>
      </c>
      <c r="N185" s="0" t="n">
        <f aca="false">AVERAGE(M182:M189)</f>
        <v>432.5</v>
      </c>
      <c r="O185" s="0" t="n">
        <f aca="false">MAX($A$23)/2</f>
        <v>965.1875</v>
      </c>
    </row>
    <row r="186" customFormat="false" ht="15.8" hidden="false" customHeight="false" outlineLevel="0" collapsed="false">
      <c r="L186" s="0" t="n">
        <v>184</v>
      </c>
      <c r="M186" s="0" t="n">
        <v>442</v>
      </c>
      <c r="N186" s="0" t="n">
        <f aca="false">AVERAGE(M183:M190)</f>
        <v>463.5</v>
      </c>
      <c r="O186" s="0" t="n">
        <f aca="false">MAX($A$23)/2</f>
        <v>965.1875</v>
      </c>
    </row>
    <row r="187" customFormat="false" ht="15.8" hidden="false" customHeight="false" outlineLevel="0" collapsed="false">
      <c r="L187" s="0" t="n">
        <v>185</v>
      </c>
      <c r="M187" s="0" t="n">
        <v>447</v>
      </c>
      <c r="N187" s="0" t="n">
        <f aca="false">AVERAGE(M184:M191)</f>
        <v>500.25</v>
      </c>
      <c r="O187" s="0" t="n">
        <f aca="false">MAX($A$23)/2</f>
        <v>965.1875</v>
      </c>
    </row>
    <row r="188" customFormat="false" ht="15.8" hidden="false" customHeight="false" outlineLevel="0" collapsed="false">
      <c r="L188" s="0" t="n">
        <v>186</v>
      </c>
      <c r="M188" s="0" t="n">
        <v>524</v>
      </c>
      <c r="N188" s="0" t="n">
        <f aca="false">AVERAGE(M185:M192)</f>
        <v>535.75</v>
      </c>
      <c r="O188" s="0" t="n">
        <f aca="false">MAX($A$23)/2</f>
        <v>965.1875</v>
      </c>
    </row>
    <row r="189" customFormat="false" ht="15.8" hidden="false" customHeight="false" outlineLevel="0" collapsed="false">
      <c r="L189" s="0" t="n">
        <v>187</v>
      </c>
      <c r="M189" s="0" t="n">
        <v>561</v>
      </c>
      <c r="N189" s="0" t="n">
        <f aca="false">AVERAGE(M186:M193)</f>
        <v>583.25</v>
      </c>
      <c r="O189" s="0" t="n">
        <f aca="false">MAX($A$23)/2</f>
        <v>965.1875</v>
      </c>
    </row>
    <row r="190" customFormat="false" ht="15.8" hidden="false" customHeight="false" outlineLevel="0" collapsed="false">
      <c r="L190" s="0" t="n">
        <v>188</v>
      </c>
      <c r="M190" s="0" t="n">
        <v>584</v>
      </c>
      <c r="N190" s="0" t="n">
        <f aca="false">AVERAGE(M187:M194)</f>
        <v>622.75</v>
      </c>
      <c r="O190" s="0" t="n">
        <f aca="false">MAX($A$23)/2</f>
        <v>965.1875</v>
      </c>
    </row>
    <row r="191" customFormat="false" ht="15.8" hidden="false" customHeight="false" outlineLevel="0" collapsed="false">
      <c r="L191" s="0" t="n">
        <v>189</v>
      </c>
      <c r="M191" s="0" t="n">
        <v>679</v>
      </c>
      <c r="N191" s="0" t="n">
        <f aca="false">AVERAGE(M188:M195)</f>
        <v>674.25</v>
      </c>
      <c r="O191" s="0" t="n">
        <f aca="false">MAX($A$23)/2</f>
        <v>965.1875</v>
      </c>
    </row>
    <row r="192" customFormat="false" ht="15.8" hidden="false" customHeight="false" outlineLevel="0" collapsed="false">
      <c r="L192" s="0" t="n">
        <v>190</v>
      </c>
      <c r="M192" s="0" t="n">
        <v>671</v>
      </c>
      <c r="N192" s="0" t="n">
        <f aca="false">AVERAGE(M189:M196)</f>
        <v>720.75</v>
      </c>
      <c r="O192" s="0" t="n">
        <f aca="false">MAX($A$23)/2</f>
        <v>965.1875</v>
      </c>
    </row>
    <row r="193" customFormat="false" ht="15.8" hidden="false" customHeight="false" outlineLevel="0" collapsed="false">
      <c r="L193" s="0" t="n">
        <v>191</v>
      </c>
      <c r="M193" s="0" t="n">
        <v>758</v>
      </c>
      <c r="N193" s="0" t="n">
        <f aca="false">AVERAGE(M190:M197)</f>
        <v>768.75</v>
      </c>
      <c r="O193" s="0" t="n">
        <f aca="false">MAX($A$23)/2</f>
        <v>965.1875</v>
      </c>
    </row>
    <row r="194" customFormat="false" ht="15.8" hidden="false" customHeight="false" outlineLevel="0" collapsed="false">
      <c r="L194" s="0" t="n">
        <v>192</v>
      </c>
      <c r="M194" s="0" t="n">
        <v>758</v>
      </c>
      <c r="N194" s="0" t="n">
        <f aca="false">AVERAGE(M191:M198)</f>
        <v>821.5</v>
      </c>
      <c r="O194" s="0" t="n">
        <f aca="false">MAX($A$23)/2</f>
        <v>965.1875</v>
      </c>
    </row>
    <row r="195" customFormat="false" ht="15.8" hidden="false" customHeight="false" outlineLevel="0" collapsed="false">
      <c r="L195" s="0" t="n">
        <v>193</v>
      </c>
      <c r="M195" s="0" t="n">
        <v>859</v>
      </c>
      <c r="N195" s="0" t="n">
        <f aca="false">AVERAGE(M192:M199)</f>
        <v>879.25</v>
      </c>
      <c r="O195" s="0" t="n">
        <f aca="false">MAX($A$23)/2</f>
        <v>965.1875</v>
      </c>
    </row>
    <row r="196" customFormat="false" ht="15.8" hidden="false" customHeight="false" outlineLevel="0" collapsed="false">
      <c r="L196" s="0" t="n">
        <v>194</v>
      </c>
      <c r="M196" s="0" t="n">
        <v>896</v>
      </c>
      <c r="N196" s="0" t="n">
        <f aca="false">AVERAGE(M193:M200)</f>
        <v>935.375</v>
      </c>
      <c r="O196" s="0" t="n">
        <f aca="false">MAX($A$23)/2</f>
        <v>965.1875</v>
      </c>
    </row>
    <row r="197" customFormat="false" ht="15.8" hidden="false" customHeight="false" outlineLevel="0" collapsed="false">
      <c r="L197" s="0" t="n">
        <v>195</v>
      </c>
      <c r="M197" s="0" t="n">
        <v>945</v>
      </c>
      <c r="N197" s="0" t="n">
        <f aca="false">AVERAGE(M194:M201)</f>
        <v>994</v>
      </c>
      <c r="O197" s="0" t="n">
        <f aca="false">MAX($A$23)/2</f>
        <v>965.1875</v>
      </c>
    </row>
    <row r="198" customFormat="false" ht="15.8" hidden="false" customHeight="false" outlineLevel="0" collapsed="false">
      <c r="L198" s="0" t="n">
        <v>196</v>
      </c>
      <c r="M198" s="0" t="n">
        <v>1006</v>
      </c>
      <c r="N198" s="0" t="n">
        <f aca="false">AVERAGE(M195:M202)</f>
        <v>1065</v>
      </c>
      <c r="O198" s="0" t="n">
        <f aca="false">MAX($A$23)/2</f>
        <v>965.1875</v>
      </c>
    </row>
    <row r="199" customFormat="false" ht="15.8" hidden="false" customHeight="false" outlineLevel="0" collapsed="false">
      <c r="L199" s="0" t="n">
        <v>197</v>
      </c>
      <c r="M199" s="0" t="n">
        <v>1141</v>
      </c>
      <c r="N199" s="0" t="n">
        <f aca="false">AVERAGE(M196:M203)</f>
        <v>1130.125</v>
      </c>
      <c r="O199" s="0" t="n">
        <f aca="false">MAX($A$23)/2</f>
        <v>965.1875</v>
      </c>
    </row>
    <row r="200" customFormat="false" ht="15.8" hidden="false" customHeight="false" outlineLevel="0" collapsed="false">
      <c r="L200" s="0" t="n">
        <v>198</v>
      </c>
      <c r="M200" s="0" t="n">
        <v>1120</v>
      </c>
      <c r="N200" s="0" t="n">
        <f aca="false">AVERAGE(M197:M204)</f>
        <v>1198.125</v>
      </c>
      <c r="O200" s="0" t="n">
        <f aca="false">MAX($A$23)/2</f>
        <v>965.1875</v>
      </c>
    </row>
    <row r="201" customFormat="false" ht="15.8" hidden="false" customHeight="false" outlineLevel="0" collapsed="false">
      <c r="L201" s="0" t="n">
        <v>199</v>
      </c>
      <c r="M201" s="0" t="n">
        <v>1227</v>
      </c>
      <c r="N201" s="0" t="n">
        <f aca="false">AVERAGE(M198:M205)</f>
        <v>1264.5</v>
      </c>
      <c r="O201" s="0" t="n">
        <f aca="false">MAX($A$23)/2</f>
        <v>965.1875</v>
      </c>
    </row>
    <row r="202" customFormat="false" ht="15.8" hidden="false" customHeight="false" outlineLevel="0" collapsed="false">
      <c r="L202" s="0" t="n">
        <v>200</v>
      </c>
      <c r="M202" s="0" t="n">
        <v>1326</v>
      </c>
      <c r="N202" s="0" t="n">
        <f aca="false">AVERAGE(M199:M206)</f>
        <v>1330.125</v>
      </c>
      <c r="O202" s="0" t="n">
        <f aca="false">MAX($A$23)/2</f>
        <v>965.1875</v>
      </c>
      <c r="Q202" s="0" t="n">
        <v>2</v>
      </c>
    </row>
    <row r="203" customFormat="false" ht="15.8" hidden="false" customHeight="false" outlineLevel="0" collapsed="false">
      <c r="L203" s="0" t="n">
        <v>201</v>
      </c>
      <c r="M203" s="0" t="n">
        <v>1380</v>
      </c>
      <c r="N203" s="0" t="n">
        <f aca="false">AVERAGE(M200:M207)</f>
        <v>1382</v>
      </c>
      <c r="O203" s="0" t="n">
        <f aca="false">MAX($A$23)/2</f>
        <v>965.1875</v>
      </c>
      <c r="Q203" s="0" t="n">
        <v>2</v>
      </c>
    </row>
    <row r="204" customFormat="false" ht="15.8" hidden="false" customHeight="false" outlineLevel="0" collapsed="false">
      <c r="L204" s="0" t="n">
        <v>202</v>
      </c>
      <c r="M204" s="0" t="n">
        <v>1440</v>
      </c>
      <c r="N204" s="0" t="n">
        <f aca="false">AVERAGE(M201:M208)</f>
        <v>1452.5</v>
      </c>
      <c r="O204" s="0" t="n">
        <f aca="false">MAX($A$23)/2</f>
        <v>965.1875</v>
      </c>
      <c r="Q204" s="0" t="n">
        <v>7</v>
      </c>
    </row>
    <row r="205" customFormat="false" ht="15.8" hidden="false" customHeight="false" outlineLevel="0" collapsed="false">
      <c r="L205" s="0" t="n">
        <v>203</v>
      </c>
      <c r="M205" s="0" t="n">
        <v>1476</v>
      </c>
      <c r="N205" s="0" t="n">
        <f aca="false">AVERAGE(M202:M209)</f>
        <v>1510.25</v>
      </c>
      <c r="O205" s="0" t="n">
        <f aca="false">MAX($A$23)/2</f>
        <v>965.1875</v>
      </c>
      <c r="Q205" s="0" t="n">
        <v>12</v>
      </c>
    </row>
    <row r="206" customFormat="false" ht="15.8" hidden="false" customHeight="false" outlineLevel="0" collapsed="false">
      <c r="L206" s="0" t="n">
        <v>204</v>
      </c>
      <c r="M206" s="0" t="n">
        <v>1531</v>
      </c>
      <c r="N206" s="0" t="n">
        <f aca="false">AVERAGE(M203:M210)</f>
        <v>1563.5</v>
      </c>
      <c r="O206" s="0" t="n">
        <f aca="false">MAX($A$23)/2</f>
        <v>965.1875</v>
      </c>
      <c r="Q206" s="0" t="n">
        <v>9</v>
      </c>
    </row>
    <row r="207" customFormat="false" ht="15.8" hidden="false" customHeight="false" outlineLevel="0" collapsed="false">
      <c r="L207" s="0" t="n">
        <v>205</v>
      </c>
      <c r="M207" s="0" t="n">
        <v>1556</v>
      </c>
      <c r="N207" s="0" t="n">
        <f aca="false">AVERAGE(M204:M211)</f>
        <v>1619.625</v>
      </c>
      <c r="O207" s="0" t="n">
        <f aca="false">MAX($A$23)/2</f>
        <v>965.1875</v>
      </c>
      <c r="Q207" s="0" t="n">
        <v>2</v>
      </c>
    </row>
    <row r="208" customFormat="false" ht="15.8" hidden="false" customHeight="false" outlineLevel="0" collapsed="false">
      <c r="L208" s="0" t="n">
        <v>206</v>
      </c>
      <c r="M208" s="0" t="n">
        <v>1684</v>
      </c>
      <c r="N208" s="0" t="n">
        <f aca="false">AVERAGE(M205:M212)</f>
        <v>1667.375</v>
      </c>
      <c r="O208" s="0" t="n">
        <f aca="false">MAX($A$23)/2</f>
        <v>965.1875</v>
      </c>
      <c r="Q208" s="0" t="n">
        <v>9</v>
      </c>
    </row>
    <row r="209" customFormat="false" ht="15.8" hidden="false" customHeight="false" outlineLevel="0" collapsed="false">
      <c r="L209" s="0" t="n">
        <v>207</v>
      </c>
      <c r="M209" s="0" t="n">
        <v>1689</v>
      </c>
      <c r="N209" s="0" t="n">
        <f aca="false">AVERAGE(M206:M213)</f>
        <v>1715.25</v>
      </c>
      <c r="O209" s="0" t="n">
        <f aca="false">MAX($A$23)/2</f>
        <v>965.1875</v>
      </c>
      <c r="Q209" s="0" t="n">
        <v>8</v>
      </c>
    </row>
    <row r="210" customFormat="false" ht="15.8" hidden="false" customHeight="false" outlineLevel="0" collapsed="false">
      <c r="L210" s="0" t="n">
        <v>208</v>
      </c>
      <c r="M210" s="0" t="n">
        <v>1752</v>
      </c>
      <c r="N210" s="0" t="n">
        <f aca="false">AVERAGE(M207:M214)</f>
        <v>1762.75</v>
      </c>
      <c r="O210" s="0" t="n">
        <f aca="false">MAX($A$23)/2</f>
        <v>965.1875</v>
      </c>
      <c r="Q210" s="0" t="n">
        <v>6</v>
      </c>
    </row>
    <row r="211" customFormat="false" ht="15.8" hidden="false" customHeight="false" outlineLevel="0" collapsed="false">
      <c r="L211" s="0" t="n">
        <v>209</v>
      </c>
      <c r="M211" s="0" t="n">
        <v>1829</v>
      </c>
      <c r="N211" s="0" t="n">
        <f aca="false">AVERAGE(M208:M215)</f>
        <v>1804.5</v>
      </c>
      <c r="O211" s="0" t="n">
        <f aca="false">MAX($A$23)/2</f>
        <v>965.1875</v>
      </c>
      <c r="Q211" s="0" t="n">
        <v>7</v>
      </c>
    </row>
    <row r="212" customFormat="false" ht="15.8" hidden="false" customHeight="false" outlineLevel="0" collapsed="false">
      <c r="L212" s="0" t="n">
        <v>210</v>
      </c>
      <c r="M212" s="0" t="n">
        <v>1822</v>
      </c>
      <c r="N212" s="0" t="n">
        <f aca="false">AVERAGE(M209:M216)</f>
        <v>1822.75</v>
      </c>
      <c r="O212" s="0" t="n">
        <f aca="false">MAX($A$23)/2</f>
        <v>965.1875</v>
      </c>
      <c r="Q212" s="0" t="n">
        <v>15</v>
      </c>
    </row>
    <row r="213" customFormat="false" ht="15.8" hidden="false" customHeight="false" outlineLevel="0" collapsed="false">
      <c r="L213" s="0" t="n">
        <v>211</v>
      </c>
      <c r="M213" s="0" t="n">
        <v>1859</v>
      </c>
      <c r="N213" s="0" t="n">
        <f aca="false">AVERAGE(M210:M217)</f>
        <v>1850.75</v>
      </c>
      <c r="O213" s="0" t="n">
        <f aca="false">MAX($A$23)/2</f>
        <v>965.1875</v>
      </c>
      <c r="Q213" s="0" t="n">
        <v>6</v>
      </c>
    </row>
    <row r="214" customFormat="false" ht="15.8" hidden="false" customHeight="false" outlineLevel="0" collapsed="false">
      <c r="L214" s="0" t="n">
        <v>212</v>
      </c>
      <c r="M214" s="0" t="n">
        <v>1911</v>
      </c>
      <c r="N214" s="0" t="n">
        <f aca="false">AVERAGE(M211:M218)</f>
        <v>1879.625</v>
      </c>
      <c r="O214" s="0" t="n">
        <f aca="false">MAX($A$23)/2</f>
        <v>965.1875</v>
      </c>
      <c r="Q214" s="0" t="n">
        <v>6</v>
      </c>
    </row>
    <row r="215" customFormat="false" ht="15.8" hidden="false" customHeight="false" outlineLevel="0" collapsed="false">
      <c r="L215" s="0" t="n">
        <v>213</v>
      </c>
      <c r="M215" s="0" t="n">
        <v>1890</v>
      </c>
      <c r="N215" s="0" t="n">
        <f aca="false">AVERAGE(M212:M219)</f>
        <v>1888.875</v>
      </c>
      <c r="O215" s="0" t="n">
        <f aca="false">MAX($A$23)/2</f>
        <v>965.1875</v>
      </c>
      <c r="Q215" s="0" t="n">
        <v>3</v>
      </c>
    </row>
    <row r="216" customFormat="false" ht="15.8" hidden="false" customHeight="false" outlineLevel="0" collapsed="false">
      <c r="L216" s="0" t="n">
        <v>214</v>
      </c>
      <c r="M216" s="0" t="n">
        <v>1830</v>
      </c>
      <c r="N216" s="0" t="n">
        <f aca="false">AVERAGE(M213:M220)</f>
        <v>1907.875</v>
      </c>
      <c r="O216" s="0" t="n">
        <f aca="false">MAX($A$23)/2</f>
        <v>965.1875</v>
      </c>
      <c r="Q216" s="0" t="n">
        <v>8</v>
      </c>
    </row>
    <row r="217" customFormat="false" ht="15.8" hidden="false" customHeight="false" outlineLevel="0" collapsed="false">
      <c r="L217" s="0" t="n">
        <v>215</v>
      </c>
      <c r="M217" s="0" t="n">
        <v>1913</v>
      </c>
      <c r="N217" s="0" t="n">
        <f aca="false">AVERAGE(M214:M221)</f>
        <v>1921.625</v>
      </c>
      <c r="O217" s="0" t="n">
        <f aca="false">MAX($A$23)/2</f>
        <v>965.1875</v>
      </c>
      <c r="Q217" s="0" t="n">
        <v>9</v>
      </c>
    </row>
    <row r="218" customFormat="false" ht="15.8" hidden="false" customHeight="false" outlineLevel="0" collapsed="false">
      <c r="L218" s="0" t="n">
        <v>216</v>
      </c>
      <c r="M218" s="0" t="n">
        <v>1983</v>
      </c>
      <c r="N218" s="0" t="n">
        <f aca="false">AVERAGE(M215:M222)</f>
        <v>1911.375</v>
      </c>
      <c r="O218" s="0" t="n">
        <f aca="false">MAX($A$23)/2</f>
        <v>965.1875</v>
      </c>
      <c r="Q218" s="0" t="n">
        <v>8</v>
      </c>
    </row>
    <row r="219" customFormat="false" ht="15.8" hidden="false" customHeight="false" outlineLevel="0" collapsed="false">
      <c r="L219" s="0" t="n">
        <v>217</v>
      </c>
      <c r="M219" s="0" t="n">
        <v>1903</v>
      </c>
      <c r="N219" s="0" t="n">
        <f aca="false">AVERAGE(M216:M223)</f>
        <v>1920.125</v>
      </c>
      <c r="O219" s="0" t="n">
        <f aca="false">MAX($A$23)/2</f>
        <v>965.1875</v>
      </c>
      <c r="Q219" s="0" t="n">
        <v>6</v>
      </c>
    </row>
    <row r="220" customFormat="false" ht="15.8" hidden="false" customHeight="false" outlineLevel="0" collapsed="false">
      <c r="L220" s="0" t="n">
        <v>218</v>
      </c>
      <c r="M220" s="0" t="n">
        <v>1974</v>
      </c>
      <c r="N220" s="0" t="n">
        <f aca="false">AVERAGE(M217:M224)</f>
        <v>1930.375</v>
      </c>
      <c r="O220" s="0" t="n">
        <f aca="false">MAX($A$23)/2</f>
        <v>965.1875</v>
      </c>
      <c r="Q220" s="0" t="n">
        <v>10</v>
      </c>
    </row>
    <row r="221" customFormat="false" ht="15.8" hidden="false" customHeight="false" outlineLevel="0" collapsed="false">
      <c r="L221" s="0" t="n">
        <v>219</v>
      </c>
      <c r="M221" s="0" t="n">
        <v>1969</v>
      </c>
      <c r="N221" s="0" t="n">
        <f aca="false">AVERAGE(M218:M225)</f>
        <v>1929</v>
      </c>
      <c r="O221" s="0" t="n">
        <f aca="false">MAX($A$23)/2</f>
        <v>965.1875</v>
      </c>
      <c r="Q221" s="0" t="n">
        <v>8</v>
      </c>
    </row>
    <row r="222" customFormat="false" ht="15.8" hidden="false" customHeight="false" outlineLevel="0" collapsed="false">
      <c r="L222" s="0" t="n">
        <v>220</v>
      </c>
      <c r="M222" s="0" t="n">
        <v>1829</v>
      </c>
      <c r="N222" s="0" t="n">
        <f aca="false">AVERAGE(M219:M226)</f>
        <v>1905</v>
      </c>
      <c r="O222" s="0" t="n">
        <f aca="false">MAX($A$23)/2</f>
        <v>965.1875</v>
      </c>
      <c r="Q222" s="0" t="n">
        <v>7</v>
      </c>
    </row>
    <row r="223" customFormat="false" ht="15.8" hidden="false" customHeight="false" outlineLevel="0" collapsed="false">
      <c r="L223" s="0" t="n">
        <v>221</v>
      </c>
      <c r="M223" s="0" t="n">
        <v>1960</v>
      </c>
      <c r="N223" s="0" t="n">
        <f aca="false">AVERAGE(M220:M227)</f>
        <v>1899.25</v>
      </c>
      <c r="O223" s="0" t="n">
        <f aca="false">MAX($A$23)/2</f>
        <v>965.1875</v>
      </c>
      <c r="Q223" s="0" t="n">
        <v>9</v>
      </c>
    </row>
    <row r="224" customFormat="false" ht="15.8" hidden="false" customHeight="false" outlineLevel="0" collapsed="false">
      <c r="L224" s="0" t="n">
        <v>222</v>
      </c>
      <c r="M224" s="0" t="n">
        <v>1912</v>
      </c>
      <c r="N224" s="0" t="n">
        <f aca="false">AVERAGE(M221:M228)</f>
        <v>1883.375</v>
      </c>
      <c r="O224" s="0" t="n">
        <f aca="false">MAX($A$23)/2</f>
        <v>965.1875</v>
      </c>
      <c r="Q224" s="0" t="n">
        <v>7</v>
      </c>
    </row>
    <row r="225" customFormat="false" ht="15.8" hidden="false" customHeight="false" outlineLevel="0" collapsed="false">
      <c r="L225" s="0" t="n">
        <v>223</v>
      </c>
      <c r="M225" s="0" t="n">
        <v>1902</v>
      </c>
      <c r="N225" s="0" t="n">
        <f aca="false">AVERAGE(M222:M229)</f>
        <v>1856.875</v>
      </c>
      <c r="O225" s="0" t="n">
        <f aca="false">MAX($A$23)/2</f>
        <v>965.1875</v>
      </c>
      <c r="Q225" s="0" t="n">
        <v>7</v>
      </c>
    </row>
    <row r="226" customFormat="false" ht="15.8" hidden="false" customHeight="false" outlineLevel="0" collapsed="false">
      <c r="L226" s="0" t="n">
        <v>224</v>
      </c>
      <c r="M226" s="0" t="n">
        <v>1791</v>
      </c>
      <c r="N226" s="0" t="n">
        <f aca="false">AVERAGE(M223:M230)</f>
        <v>1846.5</v>
      </c>
      <c r="O226" s="0" t="n">
        <f aca="false">MAX($A$23)/2</f>
        <v>965.1875</v>
      </c>
      <c r="Q226" s="0" t="n">
        <v>6</v>
      </c>
    </row>
    <row r="227" customFormat="false" ht="15.8" hidden="false" customHeight="false" outlineLevel="0" collapsed="false">
      <c r="L227" s="0" t="n">
        <v>225</v>
      </c>
      <c r="M227" s="0" t="n">
        <v>1857</v>
      </c>
      <c r="N227" s="0" t="n">
        <f aca="false">AVERAGE(M224:M231)</f>
        <v>1809.75</v>
      </c>
      <c r="O227" s="0" t="n">
        <f aca="false">MAX($A$23)/2</f>
        <v>965.1875</v>
      </c>
      <c r="Q227" s="0" t="n">
        <v>5</v>
      </c>
    </row>
    <row r="228" customFormat="false" ht="15.8" hidden="false" customHeight="false" outlineLevel="0" collapsed="false">
      <c r="L228" s="0" t="n">
        <v>226</v>
      </c>
      <c r="M228" s="0" t="n">
        <v>1847</v>
      </c>
      <c r="N228" s="0" t="n">
        <f aca="false">AVERAGE(M225:M232)</f>
        <v>1774.25</v>
      </c>
      <c r="O228" s="0" t="n">
        <f aca="false">MAX($A$23)/2</f>
        <v>965.1875</v>
      </c>
      <c r="Q228" s="0" t="n">
        <v>6</v>
      </c>
    </row>
    <row r="229" customFormat="false" ht="15.8" hidden="false" customHeight="false" outlineLevel="0" collapsed="false">
      <c r="L229" s="0" t="n">
        <v>227</v>
      </c>
      <c r="M229" s="0" t="n">
        <v>1757</v>
      </c>
      <c r="N229" s="0" t="n">
        <f aca="false">AVERAGE(M226:M233)</f>
        <v>1721.625</v>
      </c>
      <c r="O229" s="0" t="n">
        <f aca="false">MAX($A$23)/2</f>
        <v>965.1875</v>
      </c>
      <c r="Q229" s="0" t="n">
        <v>6</v>
      </c>
    </row>
    <row r="230" customFormat="false" ht="15.8" hidden="false" customHeight="false" outlineLevel="0" collapsed="false">
      <c r="L230" s="0" t="n">
        <v>228</v>
      </c>
      <c r="M230" s="0" t="n">
        <v>1746</v>
      </c>
      <c r="N230" s="0" t="n">
        <f aca="false">AVERAGE(M227:M234)</f>
        <v>1685.375</v>
      </c>
      <c r="O230" s="0" t="n">
        <f aca="false">MAX($A$23)/2</f>
        <v>965.1875</v>
      </c>
      <c r="Q230" s="0" t="n">
        <v>8</v>
      </c>
    </row>
    <row r="231" customFormat="false" ht="15.8" hidden="false" customHeight="false" outlineLevel="0" collapsed="false">
      <c r="L231" s="0" t="n">
        <v>229</v>
      </c>
      <c r="M231" s="0" t="n">
        <v>1666</v>
      </c>
      <c r="N231" s="0" t="n">
        <f aca="false">AVERAGE(M228:M235)</f>
        <v>1629.625</v>
      </c>
      <c r="O231" s="0" t="n">
        <f aca="false">MAX($A$23)/2</f>
        <v>965.1875</v>
      </c>
      <c r="Q231" s="0" t="n">
        <v>8</v>
      </c>
    </row>
    <row r="232" customFormat="false" ht="15.8" hidden="false" customHeight="false" outlineLevel="0" collapsed="false">
      <c r="L232" s="0" t="n">
        <v>230</v>
      </c>
      <c r="M232" s="0" t="n">
        <v>1628</v>
      </c>
      <c r="N232" s="0" t="n">
        <f aca="false">AVERAGE(M229:M236)</f>
        <v>1575.5</v>
      </c>
      <c r="O232" s="0" t="n">
        <f aca="false">MAX($A$23)/2</f>
        <v>965.1875</v>
      </c>
      <c r="Q232" s="0" t="n">
        <v>7</v>
      </c>
    </row>
    <row r="233" customFormat="false" ht="15.8" hidden="false" customHeight="false" outlineLevel="0" collapsed="false">
      <c r="L233" s="0" t="n">
        <v>231</v>
      </c>
      <c r="M233" s="0" t="n">
        <v>1481</v>
      </c>
      <c r="N233" s="0" t="n">
        <f aca="false">AVERAGE(M230:M237)</f>
        <v>1519.5</v>
      </c>
      <c r="O233" s="0" t="n">
        <f aca="false">MAX($A$23)/2</f>
        <v>965.1875</v>
      </c>
      <c r="Q233" s="0" t="n">
        <v>3</v>
      </c>
    </row>
    <row r="234" customFormat="false" ht="15.8" hidden="false" customHeight="false" outlineLevel="0" collapsed="false">
      <c r="L234" s="0" t="n">
        <v>232</v>
      </c>
      <c r="M234" s="0" t="n">
        <v>1501</v>
      </c>
      <c r="N234" s="0" t="n">
        <f aca="false">AVERAGE(M231:M238)</f>
        <v>1459.875</v>
      </c>
      <c r="O234" s="0" t="n">
        <f aca="false">MAX($A$23)/2</f>
        <v>965.1875</v>
      </c>
      <c r="Q234" s="0" t="n">
        <v>6</v>
      </c>
    </row>
    <row r="235" customFormat="false" ht="15.8" hidden="false" customHeight="false" outlineLevel="0" collapsed="false">
      <c r="L235" s="0" t="n">
        <v>233</v>
      </c>
      <c r="M235" s="0" t="n">
        <v>1411</v>
      </c>
      <c r="N235" s="0" t="n">
        <f aca="false">AVERAGE(M232:M239)</f>
        <v>1410</v>
      </c>
      <c r="O235" s="0" t="n">
        <f aca="false">MAX($A$23)/2</f>
        <v>965.1875</v>
      </c>
      <c r="Q235" s="0" t="n">
        <v>2</v>
      </c>
    </row>
    <row r="236" customFormat="false" ht="15.8" hidden="false" customHeight="false" outlineLevel="0" collapsed="false">
      <c r="L236" s="0" t="n">
        <v>234</v>
      </c>
      <c r="M236" s="0" t="n">
        <v>1414</v>
      </c>
      <c r="N236" s="0" t="n">
        <f aca="false">AVERAGE(M233:M240)</f>
        <v>1354.375</v>
      </c>
      <c r="O236" s="0" t="n">
        <f aca="false">MAX($A$23)/2</f>
        <v>965.1875</v>
      </c>
      <c r="Q236" s="0" t="n">
        <v>4</v>
      </c>
    </row>
    <row r="237" customFormat="false" ht="15.8" hidden="false" customHeight="false" outlineLevel="0" collapsed="false">
      <c r="L237" s="0" t="n">
        <v>235</v>
      </c>
      <c r="M237" s="0" t="n">
        <v>1309</v>
      </c>
      <c r="N237" s="0" t="n">
        <f aca="false">AVERAGE(M234:M241)</f>
        <v>1311.125</v>
      </c>
      <c r="O237" s="0" t="n">
        <f aca="false">MAX($A$23)/2</f>
        <v>965.1875</v>
      </c>
      <c r="Q237" s="0" t="n">
        <v>5</v>
      </c>
    </row>
    <row r="238" customFormat="false" ht="15.8" hidden="false" customHeight="false" outlineLevel="0" collapsed="false">
      <c r="L238" s="0" t="n">
        <v>236</v>
      </c>
      <c r="M238" s="0" t="n">
        <v>1269</v>
      </c>
      <c r="N238" s="0" t="n">
        <f aca="false">AVERAGE(M235:M242)</f>
        <v>1260</v>
      </c>
      <c r="O238" s="0" t="n">
        <f aca="false">MAX($A$23)/2</f>
        <v>965.1875</v>
      </c>
      <c r="Q238" s="0" t="n">
        <v>5</v>
      </c>
    </row>
    <row r="239" customFormat="false" ht="15.8" hidden="false" customHeight="false" outlineLevel="0" collapsed="false">
      <c r="L239" s="0" t="n">
        <v>237</v>
      </c>
      <c r="M239" s="0" t="n">
        <v>1267</v>
      </c>
      <c r="N239" s="0" t="n">
        <f aca="false">AVERAGE(M236:M243)</f>
        <v>1215.75</v>
      </c>
      <c r="O239" s="0" t="n">
        <f aca="false">MAX($A$23)/2</f>
        <v>965.1875</v>
      </c>
      <c r="Q239" s="0" t="n">
        <v>3</v>
      </c>
    </row>
    <row r="240" customFormat="false" ht="15.8" hidden="false" customHeight="false" outlineLevel="0" collapsed="false">
      <c r="L240" s="0" t="n">
        <v>238</v>
      </c>
      <c r="M240" s="0" t="n">
        <v>1183</v>
      </c>
      <c r="N240" s="0" t="n">
        <f aca="false">AVERAGE(M237:M244)</f>
        <v>1162.625</v>
      </c>
      <c r="O240" s="0" t="n">
        <f aca="false">MAX($A$23)/2</f>
        <v>965.1875</v>
      </c>
      <c r="Q240" s="0" t="n">
        <v>7</v>
      </c>
    </row>
    <row r="241" customFormat="false" ht="15.8" hidden="false" customHeight="false" outlineLevel="0" collapsed="false">
      <c r="L241" s="0" t="n">
        <v>239</v>
      </c>
      <c r="M241" s="0" t="n">
        <v>1135</v>
      </c>
      <c r="N241" s="0" t="n">
        <f aca="false">AVERAGE(M238:M245)</f>
        <v>1118.625</v>
      </c>
      <c r="O241" s="0" t="n">
        <f aca="false">MAX($A$23)/2</f>
        <v>965.1875</v>
      </c>
      <c r="Q241" s="0" t="n">
        <v>12</v>
      </c>
    </row>
    <row r="242" customFormat="false" ht="15.8" hidden="false" customHeight="false" outlineLevel="0" collapsed="false">
      <c r="L242" s="0" t="n">
        <v>240</v>
      </c>
      <c r="M242" s="0" t="n">
        <v>1092</v>
      </c>
      <c r="N242" s="0" t="n">
        <f aca="false">AVERAGE(M239:M246)</f>
        <v>1071.375</v>
      </c>
      <c r="O242" s="0" t="n">
        <f aca="false">MAX($A$23)/2</f>
        <v>965.1875</v>
      </c>
      <c r="Q242" s="0" t="n">
        <v>9</v>
      </c>
    </row>
    <row r="243" customFormat="false" ht="15.8" hidden="false" customHeight="false" outlineLevel="0" collapsed="false">
      <c r="L243" s="0" t="n">
        <v>241</v>
      </c>
      <c r="M243" s="0" t="n">
        <v>1057</v>
      </c>
      <c r="N243" s="0" t="n">
        <f aca="false">AVERAGE(M240:M247)</f>
        <v>1019.875</v>
      </c>
      <c r="O243" s="0" t="n">
        <f aca="false">MAX($A$23)/2</f>
        <v>965.1875</v>
      </c>
      <c r="Q243" s="0" t="n">
        <v>6</v>
      </c>
    </row>
    <row r="244" customFormat="false" ht="15.8" hidden="false" customHeight="false" outlineLevel="0" collapsed="false">
      <c r="L244" s="0" t="n">
        <v>242</v>
      </c>
      <c r="M244" s="0" t="n">
        <v>989</v>
      </c>
      <c r="N244" s="0" t="n">
        <f aca="false">AVERAGE(M241:M248)</f>
        <v>970.625</v>
      </c>
      <c r="O244" s="0" t="n">
        <f aca="false">MAX($A$23)/2</f>
        <v>965.1875</v>
      </c>
      <c r="Q244" s="0" t="n">
        <v>12</v>
      </c>
    </row>
    <row r="245" customFormat="false" ht="15.8" hidden="false" customHeight="false" outlineLevel="0" collapsed="false">
      <c r="L245" s="0" t="n">
        <v>243</v>
      </c>
      <c r="M245" s="0" t="n">
        <v>957</v>
      </c>
      <c r="N245" s="0" t="n">
        <f aca="false">AVERAGE(M242:M249)</f>
        <v>916.75</v>
      </c>
      <c r="O245" s="0" t="n">
        <f aca="false">MAX($A$23)/2</f>
        <v>965.1875</v>
      </c>
      <c r="Q245" s="0" t="n">
        <v>8</v>
      </c>
    </row>
    <row r="246" customFormat="false" ht="15.8" hidden="false" customHeight="false" outlineLevel="0" collapsed="false">
      <c r="L246" s="0" t="n">
        <v>244</v>
      </c>
      <c r="M246" s="0" t="n">
        <v>891</v>
      </c>
      <c r="N246" s="0" t="n">
        <f aca="false">AVERAGE(M243:M250)</f>
        <v>861.875</v>
      </c>
      <c r="O246" s="0" t="n">
        <f aca="false">MAX($A$23)/2</f>
        <v>965.1875</v>
      </c>
      <c r="Q246" s="0" t="n">
        <v>6</v>
      </c>
    </row>
    <row r="247" customFormat="false" ht="15.8" hidden="false" customHeight="false" outlineLevel="0" collapsed="false">
      <c r="L247" s="0" t="n">
        <v>245</v>
      </c>
      <c r="M247" s="0" t="n">
        <v>855</v>
      </c>
      <c r="N247" s="0" t="n">
        <f aca="false">AVERAGE(M244:M251)</f>
        <v>815.125</v>
      </c>
      <c r="O247" s="0" t="n">
        <f aca="false">MAX($A$23)/2</f>
        <v>965.1875</v>
      </c>
      <c r="Q247" s="0" t="n">
        <v>8</v>
      </c>
    </row>
    <row r="248" customFormat="false" ht="15.8" hidden="false" customHeight="false" outlineLevel="0" collapsed="false">
      <c r="L248" s="0" t="n">
        <v>246</v>
      </c>
      <c r="M248" s="0" t="n">
        <v>789</v>
      </c>
      <c r="N248" s="0" t="n">
        <f aca="false">AVERAGE(M245:M252)</f>
        <v>771.375</v>
      </c>
      <c r="O248" s="0" t="n">
        <f aca="false">MAX($A$23)/2</f>
        <v>965.1875</v>
      </c>
      <c r="Q248" s="0" t="n">
        <v>6</v>
      </c>
    </row>
    <row r="249" customFormat="false" ht="15.8" hidden="false" customHeight="false" outlineLevel="0" collapsed="false">
      <c r="L249" s="0" t="n">
        <v>247</v>
      </c>
      <c r="M249" s="0" t="n">
        <v>704</v>
      </c>
      <c r="N249" s="0" t="n">
        <f aca="false">AVERAGE(M246:M253)</f>
        <v>725.625</v>
      </c>
      <c r="O249" s="0" t="n">
        <f aca="false">MAX($A$23)/2</f>
        <v>965.1875</v>
      </c>
      <c r="Q249" s="0" t="n">
        <v>9</v>
      </c>
    </row>
    <row r="250" customFormat="false" ht="15.8" hidden="false" customHeight="false" outlineLevel="0" collapsed="false">
      <c r="L250" s="0" t="n">
        <v>248</v>
      </c>
      <c r="M250" s="0" t="n">
        <v>653</v>
      </c>
      <c r="N250" s="0" t="n">
        <f aca="false">AVERAGE(M247:M254)</f>
        <v>682.5</v>
      </c>
      <c r="O250" s="0" t="n">
        <f aca="false">MAX($A$23)/2</f>
        <v>965.1875</v>
      </c>
      <c r="Q250" s="0" t="n">
        <v>6</v>
      </c>
    </row>
    <row r="251" customFormat="false" ht="15.8" hidden="false" customHeight="false" outlineLevel="0" collapsed="false">
      <c r="L251" s="0" t="n">
        <v>249</v>
      </c>
      <c r="M251" s="0" t="n">
        <v>683</v>
      </c>
      <c r="N251" s="0" t="n">
        <f aca="false">AVERAGE(M248:M255)</f>
        <v>641.5</v>
      </c>
      <c r="O251" s="0" t="n">
        <f aca="false">MAX($A$23)/2</f>
        <v>965.1875</v>
      </c>
      <c r="Q251" s="0" t="n">
        <v>9</v>
      </c>
    </row>
    <row r="252" customFormat="false" ht="15.8" hidden="false" customHeight="false" outlineLevel="0" collapsed="false">
      <c r="L252" s="0" t="n">
        <v>250</v>
      </c>
      <c r="M252" s="0" t="n">
        <v>639</v>
      </c>
      <c r="N252" s="0" t="n">
        <f aca="false">AVERAGE(M249:M256)</f>
        <v>603</v>
      </c>
      <c r="O252" s="0" t="n">
        <f aca="false">MAX($A$23)/2</f>
        <v>965.1875</v>
      </c>
      <c r="Q252" s="0" t="n">
        <v>5</v>
      </c>
    </row>
    <row r="253" customFormat="false" ht="15.8" hidden="false" customHeight="false" outlineLevel="0" collapsed="false">
      <c r="L253" s="0" t="n">
        <v>251</v>
      </c>
      <c r="M253" s="0" t="n">
        <v>591</v>
      </c>
      <c r="N253" s="0" t="n">
        <f aca="false">AVERAGE(M250:M257)</f>
        <v>572.75</v>
      </c>
      <c r="O253" s="0" t="n">
        <f aca="false">MAX($A$23)/2</f>
        <v>965.1875</v>
      </c>
      <c r="Q253" s="0" t="n">
        <v>8</v>
      </c>
    </row>
    <row r="254" customFormat="false" ht="15.8" hidden="false" customHeight="false" outlineLevel="0" collapsed="false">
      <c r="L254" s="0" t="n">
        <v>252</v>
      </c>
      <c r="M254" s="0" t="n">
        <v>546</v>
      </c>
      <c r="N254" s="0" t="n">
        <f aca="false">AVERAGE(M251:M258)</f>
        <v>543.25</v>
      </c>
      <c r="O254" s="0" t="n">
        <f aca="false">MAX($A$23)/2</f>
        <v>965.1875</v>
      </c>
      <c r="Q254" s="0" t="n">
        <v>3</v>
      </c>
    </row>
    <row r="255" customFormat="false" ht="15.8" hidden="false" customHeight="false" outlineLevel="0" collapsed="false">
      <c r="L255" s="0" t="n">
        <v>253</v>
      </c>
      <c r="M255" s="0" t="n">
        <v>527</v>
      </c>
      <c r="N255" s="0" t="n">
        <f aca="false">AVERAGE(M252:M259)</f>
        <v>502.25</v>
      </c>
      <c r="O255" s="0" t="n">
        <f aca="false">MAX($A$23)/2</f>
        <v>965.1875</v>
      </c>
      <c r="Q255" s="0" t="n">
        <v>4</v>
      </c>
    </row>
    <row r="256" customFormat="false" ht="15.8" hidden="false" customHeight="false" outlineLevel="0" collapsed="false">
      <c r="L256" s="0" t="n">
        <v>254</v>
      </c>
      <c r="M256" s="0" t="n">
        <v>481</v>
      </c>
      <c r="N256" s="0" t="n">
        <f aca="false">AVERAGE(M253:M260)</f>
        <v>468.25</v>
      </c>
      <c r="O256" s="0" t="n">
        <f aca="false">MAX($A$23)/2</f>
        <v>965.1875</v>
      </c>
      <c r="Q256" s="0" t="n">
        <v>8</v>
      </c>
    </row>
    <row r="257" customFormat="false" ht="15.8" hidden="false" customHeight="false" outlineLevel="0" collapsed="false">
      <c r="L257" s="0" t="n">
        <v>255</v>
      </c>
      <c r="M257" s="0" t="n">
        <v>462</v>
      </c>
      <c r="N257" s="0" t="n">
        <f aca="false">AVERAGE(M254:M261)</f>
        <v>438</v>
      </c>
      <c r="O257" s="0" t="n">
        <f aca="false">MAX($A$23)/2</f>
        <v>965.1875</v>
      </c>
      <c r="Q257" s="0" t="n">
        <v>4</v>
      </c>
    </row>
    <row r="258" customFormat="false" ht="15.8" hidden="false" customHeight="false" outlineLevel="0" collapsed="false">
      <c r="L258" s="0" t="n">
        <v>256</v>
      </c>
      <c r="M258" s="0" t="n">
        <v>417</v>
      </c>
      <c r="N258" s="0" t="n">
        <f aca="false">AVERAGE(M255:M262)</f>
        <v>410</v>
      </c>
      <c r="O258" s="0" t="n">
        <f aca="false">MAX($A$23)/2</f>
        <v>965.1875</v>
      </c>
      <c r="Q258" s="0" t="n">
        <v>5</v>
      </c>
    </row>
    <row r="259" customFormat="false" ht="15.8" hidden="false" customHeight="false" outlineLevel="0" collapsed="false">
      <c r="L259" s="0" t="n">
        <v>257</v>
      </c>
      <c r="M259" s="0" t="n">
        <v>355</v>
      </c>
      <c r="N259" s="0" t="n">
        <f aca="false">AVERAGE(M256:M263)</f>
        <v>381.375</v>
      </c>
      <c r="O259" s="0" t="n">
        <f aca="false">MAX($A$23)/2</f>
        <v>965.1875</v>
      </c>
      <c r="Q259" s="0" t="n">
        <v>4</v>
      </c>
    </row>
    <row r="260" customFormat="false" ht="15.8" hidden="false" customHeight="false" outlineLevel="0" collapsed="false">
      <c r="L260" s="0" t="n">
        <v>258</v>
      </c>
      <c r="M260" s="0" t="n">
        <v>367</v>
      </c>
      <c r="N260" s="0" t="n">
        <f aca="false">AVERAGE(M257:M264)</f>
        <v>355.75</v>
      </c>
      <c r="O260" s="0" t="n">
        <f aca="false">MAX($A$23)/2</f>
        <v>965.1875</v>
      </c>
      <c r="Q260" s="0" t="n">
        <v>6</v>
      </c>
    </row>
    <row r="261" customFormat="false" ht="15.8" hidden="false" customHeight="false" outlineLevel="0" collapsed="false">
      <c r="L261" s="0" t="n">
        <v>259</v>
      </c>
      <c r="M261" s="0" t="n">
        <v>349</v>
      </c>
      <c r="N261" s="0" t="n">
        <f aca="false">AVERAGE(M258:M265)</f>
        <v>327.5</v>
      </c>
      <c r="O261" s="0" t="n">
        <f aca="false">MAX($A$23)/2</f>
        <v>965.1875</v>
      </c>
      <c r="Q261" s="0" t="n">
        <v>5</v>
      </c>
    </row>
    <row r="262" customFormat="false" ht="15.8" hidden="false" customHeight="false" outlineLevel="0" collapsed="false">
      <c r="L262" s="0" t="n">
        <v>260</v>
      </c>
      <c r="M262" s="0" t="n">
        <v>322</v>
      </c>
      <c r="N262" s="0" t="n">
        <f aca="false">AVERAGE(M259:M266)</f>
        <v>302.75</v>
      </c>
      <c r="O262" s="0" t="n">
        <f aca="false">MAX($A$23)/2</f>
        <v>965.1875</v>
      </c>
      <c r="Q262" s="0" t="n">
        <v>10</v>
      </c>
    </row>
    <row r="263" customFormat="false" ht="15.8" hidden="false" customHeight="false" outlineLevel="0" collapsed="false">
      <c r="L263" s="0" t="n">
        <v>261</v>
      </c>
      <c r="M263" s="0" t="n">
        <v>298</v>
      </c>
      <c r="N263" s="0" t="n">
        <f aca="false">AVERAGE(M260:M267)</f>
        <v>284</v>
      </c>
      <c r="O263" s="0" t="n">
        <f aca="false">MAX($A$23)/2</f>
        <v>965.1875</v>
      </c>
      <c r="Q263" s="0" t="n">
        <v>15</v>
      </c>
    </row>
    <row r="264" customFormat="false" ht="15.8" hidden="false" customHeight="false" outlineLevel="0" collapsed="false">
      <c r="L264" s="0" t="n">
        <v>262</v>
      </c>
      <c r="M264" s="0" t="n">
        <v>276</v>
      </c>
      <c r="N264" s="0" t="n">
        <f aca="false">AVERAGE(M261:M268)</f>
        <v>259.5</v>
      </c>
      <c r="O264" s="0" t="n">
        <f aca="false">MAX($A$23)/2</f>
        <v>965.1875</v>
      </c>
      <c r="Q264" s="0" t="n">
        <v>6</v>
      </c>
    </row>
    <row r="265" customFormat="false" ht="15.8" hidden="false" customHeight="false" outlineLevel="0" collapsed="false">
      <c r="L265" s="0" t="n">
        <v>263</v>
      </c>
      <c r="M265" s="0" t="n">
        <v>236</v>
      </c>
      <c r="N265" s="0" t="n">
        <f aca="false">AVERAGE(M262:M269)</f>
        <v>238.125</v>
      </c>
      <c r="O265" s="0" t="n">
        <f aca="false">MAX($A$23)/2</f>
        <v>965.1875</v>
      </c>
      <c r="Q265" s="0" t="n">
        <v>4</v>
      </c>
    </row>
    <row r="266" customFormat="false" ht="15.8" hidden="false" customHeight="false" outlineLevel="0" collapsed="false">
      <c r="L266" s="0" t="n">
        <v>264</v>
      </c>
      <c r="M266" s="0" t="n">
        <v>219</v>
      </c>
      <c r="N266" s="0" t="n">
        <f aca="false">AVERAGE(M263:M270)</f>
        <v>219.125</v>
      </c>
      <c r="O266" s="0" t="n">
        <f aca="false">MAX($A$23)/2</f>
        <v>965.1875</v>
      </c>
      <c r="Q266" s="0" t="n">
        <v>5</v>
      </c>
    </row>
    <row r="267" customFormat="false" ht="15.8" hidden="false" customHeight="false" outlineLevel="0" collapsed="false">
      <c r="L267" s="0" t="n">
        <v>265</v>
      </c>
      <c r="M267" s="0" t="n">
        <v>205</v>
      </c>
      <c r="N267" s="0" t="n">
        <f aca="false">AVERAGE(M264:M271)</f>
        <v>195.875</v>
      </c>
      <c r="O267" s="0" t="n">
        <f aca="false">MAX($A$23)/2</f>
        <v>965.1875</v>
      </c>
      <c r="Q267" s="0" t="n">
        <v>6</v>
      </c>
    </row>
    <row r="268" customFormat="false" ht="15.8" hidden="false" customHeight="false" outlineLevel="0" collapsed="false">
      <c r="L268" s="0" t="n">
        <v>266</v>
      </c>
      <c r="M268" s="0" t="n">
        <v>171</v>
      </c>
      <c r="N268" s="0" t="n">
        <f aca="false">AVERAGE(M265:M272)</f>
        <v>178.75</v>
      </c>
      <c r="O268" s="0" t="n">
        <f aca="false">MAX($A$23)/2</f>
        <v>965.1875</v>
      </c>
      <c r="Q268" s="0" t="n">
        <v>8</v>
      </c>
    </row>
    <row r="269" customFormat="false" ht="15.8" hidden="false" customHeight="false" outlineLevel="0" collapsed="false">
      <c r="L269" s="0" t="n">
        <v>267</v>
      </c>
      <c r="M269" s="0" t="n">
        <v>178</v>
      </c>
      <c r="N269" s="0" t="n">
        <f aca="false">AVERAGE(M266:M273)</f>
        <v>166.875</v>
      </c>
      <c r="O269" s="0" t="n">
        <f aca="false">MAX($A$23)/2</f>
        <v>965.1875</v>
      </c>
      <c r="Q269" s="0" t="n">
        <v>9</v>
      </c>
    </row>
    <row r="270" customFormat="false" ht="15.8" hidden="false" customHeight="false" outlineLevel="0" collapsed="false">
      <c r="L270" s="0" t="n">
        <v>268</v>
      </c>
      <c r="M270" s="0" t="n">
        <v>170</v>
      </c>
      <c r="N270" s="0" t="n">
        <f aca="false">AVERAGE(M267:M274)</f>
        <v>153</v>
      </c>
      <c r="O270" s="0" t="n">
        <f aca="false">MAX($A$23)/2</f>
        <v>965.1875</v>
      </c>
      <c r="Q270" s="0" t="n">
        <v>8</v>
      </c>
    </row>
    <row r="271" customFormat="false" ht="15.8" hidden="false" customHeight="false" outlineLevel="0" collapsed="false">
      <c r="L271" s="0" t="n">
        <v>269</v>
      </c>
      <c r="M271" s="0" t="n">
        <v>112</v>
      </c>
      <c r="N271" s="0" t="n">
        <f aca="false">AVERAGE(M268:M275)</f>
        <v>141.625</v>
      </c>
      <c r="O271" s="0" t="n">
        <f aca="false">MAX($A$23)/2</f>
        <v>965.1875</v>
      </c>
      <c r="Q271" s="0" t="n">
        <v>4</v>
      </c>
    </row>
    <row r="272" customFormat="false" ht="15.8" hidden="false" customHeight="false" outlineLevel="0" collapsed="false">
      <c r="L272" s="0" t="n">
        <v>270</v>
      </c>
      <c r="M272" s="0" t="n">
        <v>139</v>
      </c>
      <c r="N272" s="0" t="n">
        <f aca="false">AVERAGE(M269:M276)</f>
        <v>133.25</v>
      </c>
      <c r="O272" s="0" t="n">
        <f aca="false">MAX($A$23)/2</f>
        <v>965.1875</v>
      </c>
      <c r="Q272" s="0" t="n">
        <v>9</v>
      </c>
    </row>
    <row r="273" customFormat="false" ht="15.8" hidden="false" customHeight="false" outlineLevel="0" collapsed="false">
      <c r="L273" s="0" t="n">
        <v>271</v>
      </c>
      <c r="M273" s="0" t="n">
        <v>141</v>
      </c>
      <c r="N273" s="0" t="n">
        <f aca="false">AVERAGE(M270:M277)</f>
        <v>125.375</v>
      </c>
      <c r="O273" s="0" t="n">
        <f aca="false">MAX($A$23)/2</f>
        <v>965.1875</v>
      </c>
      <c r="Q273" s="0" t="n">
        <v>5</v>
      </c>
    </row>
    <row r="274" customFormat="false" ht="15.8" hidden="false" customHeight="false" outlineLevel="0" collapsed="false">
      <c r="L274" s="0" t="n">
        <v>272</v>
      </c>
      <c r="M274" s="0" t="n">
        <v>108</v>
      </c>
      <c r="N274" s="0" t="n">
        <f aca="false">AVERAGE(M271:M278)</f>
        <v>113.125</v>
      </c>
      <c r="O274" s="0" t="n">
        <f aca="false">MAX($A$23)/2</f>
        <v>965.1875</v>
      </c>
      <c r="Q274" s="0" t="n">
        <v>10</v>
      </c>
    </row>
    <row r="275" customFormat="false" ht="15.8" hidden="false" customHeight="false" outlineLevel="0" collapsed="false">
      <c r="L275" s="0" t="n">
        <v>273</v>
      </c>
      <c r="M275" s="0" t="n">
        <v>114</v>
      </c>
      <c r="N275" s="0" t="n">
        <f aca="false">AVERAGE(M272:M279)</f>
        <v>106.5</v>
      </c>
      <c r="O275" s="0" t="n">
        <f aca="false">MAX($A$23)/2</f>
        <v>965.1875</v>
      </c>
      <c r="Q275" s="0" t="n">
        <v>10</v>
      </c>
    </row>
    <row r="276" customFormat="false" ht="15.8" hidden="false" customHeight="false" outlineLevel="0" collapsed="false">
      <c r="L276" s="0" t="n">
        <v>274</v>
      </c>
      <c r="M276" s="0" t="n">
        <v>104</v>
      </c>
      <c r="N276" s="0" t="n">
        <f aca="false">AVERAGE(M273:M280)</f>
        <v>98.5</v>
      </c>
      <c r="O276" s="0" t="n">
        <f aca="false">MAX($A$23)/2</f>
        <v>965.1875</v>
      </c>
      <c r="Q276" s="0" t="n">
        <v>5</v>
      </c>
    </row>
    <row r="277" customFormat="false" ht="15.8" hidden="false" customHeight="false" outlineLevel="0" collapsed="false">
      <c r="L277" s="0" t="n">
        <v>275</v>
      </c>
      <c r="M277" s="0" t="n">
        <v>115</v>
      </c>
      <c r="N277" s="0" t="n">
        <f aca="false">AVERAGE(M274:M281)</f>
        <v>91.625</v>
      </c>
      <c r="O277" s="0" t="n">
        <f aca="false">MAX($A$23)/2</f>
        <v>965.1875</v>
      </c>
      <c r="Q277" s="0" t="n">
        <v>8</v>
      </c>
    </row>
    <row r="278" customFormat="false" ht="15.8" hidden="false" customHeight="false" outlineLevel="0" collapsed="false">
      <c r="L278" s="0" t="n">
        <v>276</v>
      </c>
      <c r="M278" s="0" t="n">
        <v>72</v>
      </c>
      <c r="N278" s="0" t="n">
        <f aca="false">AVERAGE(M275:M282)</f>
        <v>86.625</v>
      </c>
      <c r="O278" s="0" t="n">
        <f aca="false">MAX($A$23)/2</f>
        <v>965.1875</v>
      </c>
      <c r="Q278" s="0" t="n">
        <v>3</v>
      </c>
    </row>
    <row r="279" customFormat="false" ht="15.8" hidden="false" customHeight="false" outlineLevel="0" collapsed="false">
      <c r="L279" s="0" t="n">
        <v>277</v>
      </c>
      <c r="M279" s="0" t="n">
        <v>59</v>
      </c>
      <c r="N279" s="0" t="n">
        <f aca="false">AVERAGE(M276:M283)</f>
        <v>79.75</v>
      </c>
      <c r="O279" s="0" t="n">
        <f aca="false">MAX($A$23)/2</f>
        <v>965.1875</v>
      </c>
      <c r="Q279" s="0" t="n">
        <v>9</v>
      </c>
    </row>
    <row r="280" customFormat="false" ht="15.8" hidden="false" customHeight="false" outlineLevel="0" collapsed="false">
      <c r="L280" s="0" t="n">
        <v>278</v>
      </c>
      <c r="M280" s="0" t="n">
        <v>75</v>
      </c>
      <c r="N280" s="0" t="n">
        <f aca="false">AVERAGE(M277:M284)</f>
        <v>72.875</v>
      </c>
      <c r="O280" s="0" t="n">
        <f aca="false">MAX($A$23)/2</f>
        <v>965.1875</v>
      </c>
      <c r="Q280" s="0" t="n">
        <v>5</v>
      </c>
    </row>
    <row r="281" customFormat="false" ht="15.8" hidden="false" customHeight="false" outlineLevel="0" collapsed="false">
      <c r="L281" s="0" t="n">
        <v>279</v>
      </c>
      <c r="M281" s="0" t="n">
        <v>86</v>
      </c>
      <c r="N281" s="0" t="n">
        <f aca="false">AVERAGE(M278:M285)</f>
        <v>65.375</v>
      </c>
      <c r="O281" s="0" t="n">
        <f aca="false">MAX($A$23)/2</f>
        <v>965.1875</v>
      </c>
      <c r="Q281" s="0" t="n">
        <v>9</v>
      </c>
    </row>
    <row r="282" customFormat="false" ht="15.8" hidden="false" customHeight="false" outlineLevel="0" collapsed="false">
      <c r="L282" s="0" t="n">
        <v>280</v>
      </c>
      <c r="M282" s="0" t="n">
        <v>68</v>
      </c>
      <c r="N282" s="0" t="n">
        <f aca="false">AVERAGE(M279:M286)</f>
        <v>62.25</v>
      </c>
      <c r="O282" s="0" t="n">
        <f aca="false">MAX($A$23)/2</f>
        <v>965.1875</v>
      </c>
      <c r="Q282" s="0" t="n">
        <v>3</v>
      </c>
    </row>
    <row r="283" customFormat="false" ht="15.8" hidden="false" customHeight="false" outlineLevel="0" collapsed="false">
      <c r="L283" s="0" t="n">
        <v>281</v>
      </c>
      <c r="M283" s="0" t="n">
        <v>59</v>
      </c>
      <c r="N283" s="0" t="n">
        <f aca="false">AVERAGE(M280:M287)</f>
        <v>60.5</v>
      </c>
      <c r="O283" s="0" t="n">
        <f aca="false">MAX($A$23)/2</f>
        <v>965.1875</v>
      </c>
      <c r="Q283" s="0" t="n">
        <v>7</v>
      </c>
    </row>
    <row r="284" customFormat="false" ht="15.8" hidden="false" customHeight="false" outlineLevel="0" collapsed="false">
      <c r="L284" s="0" t="n">
        <v>282</v>
      </c>
      <c r="M284" s="0" t="n">
        <v>49</v>
      </c>
      <c r="N284" s="0" t="n">
        <f aca="false">AVERAGE(M281:M288)</f>
        <v>56.375</v>
      </c>
      <c r="O284" s="0" t="n">
        <f aca="false">MAX($A$23)/2</f>
        <v>965.1875</v>
      </c>
      <c r="Q284" s="0" t="n">
        <v>5</v>
      </c>
    </row>
    <row r="285" customFormat="false" ht="15.8" hidden="false" customHeight="false" outlineLevel="0" collapsed="false">
      <c r="L285" s="0" t="n">
        <v>283</v>
      </c>
      <c r="M285" s="0" t="n">
        <v>55</v>
      </c>
      <c r="N285" s="0" t="n">
        <f aca="false">AVERAGE(M282:M289)</f>
        <v>50.625</v>
      </c>
      <c r="O285" s="0" t="n">
        <f aca="false">MAX($A$23)/2</f>
        <v>965.1875</v>
      </c>
      <c r="Q285" s="0" t="n">
        <v>5</v>
      </c>
    </row>
    <row r="286" customFormat="false" ht="15.8" hidden="false" customHeight="false" outlineLevel="0" collapsed="false">
      <c r="L286" s="0" t="n">
        <v>284</v>
      </c>
      <c r="M286" s="0" t="n">
        <v>47</v>
      </c>
      <c r="N286" s="0" t="n">
        <f aca="false">AVERAGE(M283:M290)</f>
        <v>48.875</v>
      </c>
      <c r="O286" s="0" t="n">
        <f aca="false">MAX($A$23)/2</f>
        <v>965.1875</v>
      </c>
      <c r="Q286" s="0" t="n">
        <v>10</v>
      </c>
    </row>
    <row r="287" customFormat="false" ht="15.8" hidden="false" customHeight="false" outlineLevel="0" collapsed="false">
      <c r="L287" s="0" t="n">
        <v>285</v>
      </c>
      <c r="M287" s="0" t="n">
        <v>45</v>
      </c>
      <c r="N287" s="0" t="n">
        <f aca="false">AVERAGE(M284:M291)</f>
        <v>47</v>
      </c>
      <c r="O287" s="0" t="n">
        <f aca="false">MAX($A$23)/2</f>
        <v>965.1875</v>
      </c>
      <c r="Q287" s="0" t="n">
        <v>6</v>
      </c>
    </row>
    <row r="288" customFormat="false" ht="15.8" hidden="false" customHeight="false" outlineLevel="0" collapsed="false">
      <c r="L288" s="0" t="n">
        <v>286</v>
      </c>
      <c r="M288" s="0" t="n">
        <v>42</v>
      </c>
      <c r="N288" s="0" t="n">
        <f aca="false">AVERAGE(M285:M292)</f>
        <v>45</v>
      </c>
      <c r="O288" s="0" t="n">
        <f aca="false">MAX($A$23)/2</f>
        <v>965.1875</v>
      </c>
      <c r="Q288" s="0" t="n">
        <v>7</v>
      </c>
    </row>
    <row r="289" customFormat="false" ht="15.8" hidden="false" customHeight="false" outlineLevel="0" collapsed="false">
      <c r="L289" s="0" t="n">
        <v>287</v>
      </c>
      <c r="M289" s="0" t="n">
        <v>40</v>
      </c>
      <c r="N289" s="0" t="n">
        <f aca="false">AVERAGE(M286:M293)</f>
        <v>43</v>
      </c>
      <c r="O289" s="0" t="n">
        <f aca="false">MAX($A$23)/2</f>
        <v>965.1875</v>
      </c>
      <c r="Q289" s="0" t="n">
        <v>10</v>
      </c>
    </row>
    <row r="290" customFormat="false" ht="15.8" hidden="false" customHeight="false" outlineLevel="0" collapsed="false">
      <c r="L290" s="0" t="n">
        <v>288</v>
      </c>
      <c r="M290" s="0" t="n">
        <v>54</v>
      </c>
      <c r="N290" s="0" t="n">
        <f aca="false">AVERAGE(M287:M294)</f>
        <v>41.375</v>
      </c>
      <c r="O290" s="0" t="n">
        <f aca="false">MAX($A$23)/2</f>
        <v>965.1875</v>
      </c>
      <c r="Q290" s="0" t="n">
        <v>5</v>
      </c>
    </row>
    <row r="291" customFormat="false" ht="15.8" hidden="false" customHeight="false" outlineLevel="0" collapsed="false">
      <c r="L291" s="0" t="n">
        <v>289</v>
      </c>
      <c r="M291" s="0" t="n">
        <v>44</v>
      </c>
      <c r="N291" s="0" t="n">
        <f aca="false">AVERAGE(M288:M295)</f>
        <v>39.375</v>
      </c>
      <c r="O291" s="0" t="n">
        <f aca="false">MAX($A$23)/2</f>
        <v>965.1875</v>
      </c>
      <c r="Q291" s="0" t="n">
        <v>6</v>
      </c>
    </row>
    <row r="292" customFormat="false" ht="15.8" hidden="false" customHeight="false" outlineLevel="0" collapsed="false">
      <c r="L292" s="0" t="n">
        <v>290</v>
      </c>
      <c r="M292" s="0" t="n">
        <v>33</v>
      </c>
      <c r="N292" s="0" t="n">
        <f aca="false">AVERAGE(M289:M296)</f>
        <v>38.625</v>
      </c>
      <c r="O292" s="0" t="n">
        <f aca="false">MAX($A$23)/2</f>
        <v>965.1875</v>
      </c>
      <c r="Q292" s="0" t="n">
        <v>6</v>
      </c>
    </row>
    <row r="293" customFormat="false" ht="15.8" hidden="false" customHeight="false" outlineLevel="0" collapsed="false">
      <c r="L293" s="0" t="n">
        <v>291</v>
      </c>
      <c r="M293" s="0" t="n">
        <v>39</v>
      </c>
      <c r="N293" s="0" t="n">
        <f aca="false">AVERAGE(M290:M297)</f>
        <v>38.75</v>
      </c>
      <c r="O293" s="0" t="n">
        <f aca="false">MAX($A$23)/2</f>
        <v>965.1875</v>
      </c>
      <c r="Q293" s="0" t="n">
        <v>6</v>
      </c>
    </row>
    <row r="294" customFormat="false" ht="15.8" hidden="false" customHeight="false" outlineLevel="0" collapsed="false">
      <c r="L294" s="0" t="n">
        <v>292</v>
      </c>
      <c r="M294" s="0" t="n">
        <v>34</v>
      </c>
      <c r="N294" s="0" t="n">
        <f aca="false">AVERAGE(M291:M298)</f>
        <v>35.875</v>
      </c>
      <c r="O294" s="0" t="n">
        <f aca="false">MAX($A$23)/2</f>
        <v>965.1875</v>
      </c>
      <c r="Q294" s="0" t="n">
        <v>7</v>
      </c>
    </row>
    <row r="295" customFormat="false" ht="15.8" hidden="false" customHeight="false" outlineLevel="0" collapsed="false">
      <c r="L295" s="0" t="n">
        <v>293</v>
      </c>
      <c r="M295" s="0" t="n">
        <v>29</v>
      </c>
      <c r="N295" s="0" t="n">
        <f aca="false">AVERAGE(M292:M299)</f>
        <v>33.125</v>
      </c>
      <c r="O295" s="0" t="n">
        <f aca="false">MAX($A$23)/2</f>
        <v>965.1875</v>
      </c>
      <c r="Q295" s="0" t="n">
        <v>6</v>
      </c>
    </row>
    <row r="296" customFormat="false" ht="15.8" hidden="false" customHeight="false" outlineLevel="0" collapsed="false">
      <c r="L296" s="0" t="n">
        <v>294</v>
      </c>
      <c r="M296" s="0" t="n">
        <v>36</v>
      </c>
      <c r="N296" s="0" t="n">
        <f aca="false">AVERAGE(M293:M300)</f>
        <v>32.125</v>
      </c>
      <c r="O296" s="0" t="n">
        <f aca="false">MAX($A$23)/2</f>
        <v>965.1875</v>
      </c>
      <c r="Q296" s="0" t="n">
        <v>9</v>
      </c>
    </row>
    <row r="297" customFormat="false" ht="15.8" hidden="false" customHeight="false" outlineLevel="0" collapsed="false">
      <c r="L297" s="0" t="n">
        <v>295</v>
      </c>
      <c r="M297" s="0" t="n">
        <v>41</v>
      </c>
      <c r="N297" s="0" t="n">
        <f aca="false">AVERAGE(M294:M301)</f>
        <v>31.125</v>
      </c>
      <c r="O297" s="0" t="n">
        <f aca="false">MAX($A$23)/2</f>
        <v>965.1875</v>
      </c>
      <c r="Q297" s="0" t="n">
        <v>8</v>
      </c>
    </row>
    <row r="298" customFormat="false" ht="15.8" hidden="false" customHeight="false" outlineLevel="0" collapsed="false">
      <c r="L298" s="0" t="n">
        <v>296</v>
      </c>
      <c r="M298" s="0" t="n">
        <v>31</v>
      </c>
      <c r="N298" s="0" t="n">
        <f aca="false">AVERAGE(M295:M302)</f>
        <v>30.625</v>
      </c>
      <c r="O298" s="0" t="n">
        <f aca="false">MAX($A$23)/2</f>
        <v>965.1875</v>
      </c>
      <c r="Q298" s="0" t="n">
        <v>10</v>
      </c>
    </row>
    <row r="299" customFormat="false" ht="15.8" hidden="false" customHeight="false" outlineLevel="0" collapsed="false">
      <c r="L299" s="0" t="n">
        <v>297</v>
      </c>
      <c r="M299" s="0" t="n">
        <v>22</v>
      </c>
      <c r="N299" s="0" t="n">
        <f aca="false">AVERAGE(M296:M303)</f>
        <v>29.25</v>
      </c>
      <c r="O299" s="0" t="n">
        <f aca="false">MAX($A$23)/2</f>
        <v>965.1875</v>
      </c>
      <c r="Q299" s="0" t="n">
        <v>8</v>
      </c>
    </row>
    <row r="300" customFormat="false" ht="15.8" hidden="false" customHeight="false" outlineLevel="0" collapsed="false">
      <c r="L300" s="0" t="n">
        <v>298</v>
      </c>
      <c r="M300" s="0" t="n">
        <v>25</v>
      </c>
      <c r="N300" s="0" t="n">
        <f aca="false">AVERAGE(M297:M304)</f>
        <v>27.75</v>
      </c>
      <c r="O300" s="0" t="n">
        <f aca="false">MAX($A$23)/2</f>
        <v>965.1875</v>
      </c>
      <c r="Q300" s="0" t="n">
        <v>8</v>
      </c>
    </row>
    <row r="301" customFormat="false" ht="15.8" hidden="false" customHeight="false" outlineLevel="0" collapsed="false">
      <c r="L301" s="0" t="n">
        <v>299</v>
      </c>
      <c r="M301" s="0" t="n">
        <v>31</v>
      </c>
      <c r="N301" s="0" t="n">
        <f aca="false">AVERAGE(M298:M305)</f>
        <v>27.125</v>
      </c>
      <c r="O301" s="0" t="n">
        <f aca="false">MAX($A$23)/2</f>
        <v>965.1875</v>
      </c>
      <c r="Q301" s="0" t="n">
        <v>8</v>
      </c>
    </row>
    <row r="302" customFormat="false" ht="15.8" hidden="false" customHeight="false" outlineLevel="0" collapsed="false">
      <c r="L302" s="0" t="n">
        <v>300</v>
      </c>
      <c r="M302" s="0" t="n">
        <v>30</v>
      </c>
      <c r="N302" s="0" t="n">
        <f aca="false">AVERAGE(M299:M306)</f>
        <v>26.875</v>
      </c>
      <c r="O302" s="0" t="n">
        <f aca="false">MAX($A$23)/2</f>
        <v>965.1875</v>
      </c>
      <c r="Q302" s="0" t="n">
        <v>12</v>
      </c>
    </row>
    <row r="303" customFormat="false" ht="15.8" hidden="false" customHeight="false" outlineLevel="0" collapsed="false">
      <c r="L303" s="0" t="n">
        <v>301</v>
      </c>
      <c r="M303" s="0" t="n">
        <v>18</v>
      </c>
      <c r="N303" s="0" t="n">
        <f aca="false">AVERAGE(M300:M307)</f>
        <v>29.375</v>
      </c>
      <c r="O303" s="0" t="n">
        <f aca="false">MAX($A$23)/2</f>
        <v>965.1875</v>
      </c>
      <c r="Q303" s="0" t="n">
        <v>8</v>
      </c>
    </row>
    <row r="304" customFormat="false" ht="15.8" hidden="false" customHeight="false" outlineLevel="0" collapsed="false">
      <c r="L304" s="0" t="n">
        <v>302</v>
      </c>
      <c r="M304" s="0" t="n">
        <v>24</v>
      </c>
      <c r="N304" s="0" t="n">
        <f aca="false">AVERAGE(M301:M308)</f>
        <v>29.75</v>
      </c>
      <c r="O304" s="0" t="n">
        <f aca="false">MAX($A$23)/2</f>
        <v>965.1875</v>
      </c>
      <c r="Q304" s="0" t="n">
        <v>11</v>
      </c>
    </row>
    <row r="305" customFormat="false" ht="15.8" hidden="false" customHeight="false" outlineLevel="0" collapsed="false">
      <c r="L305" s="0" t="n">
        <v>303</v>
      </c>
      <c r="M305" s="0" t="n">
        <v>36</v>
      </c>
      <c r="N305" s="0" t="n">
        <f aca="false">AVERAGE(M302:M309)</f>
        <v>29.875</v>
      </c>
      <c r="O305" s="0" t="n">
        <f aca="false">MAX($A$23)/2</f>
        <v>965.1875</v>
      </c>
      <c r="Q305" s="0" t="n">
        <v>10</v>
      </c>
    </row>
    <row r="306" customFormat="false" ht="15.8" hidden="false" customHeight="false" outlineLevel="0" collapsed="false">
      <c r="L306" s="0" t="n">
        <v>304</v>
      </c>
      <c r="M306" s="0" t="n">
        <v>29</v>
      </c>
      <c r="N306" s="0" t="n">
        <f aca="false">AVERAGE(M303:M310)</f>
        <v>28.875</v>
      </c>
      <c r="O306" s="0" t="n">
        <f aca="false">MAX($A$23)/2</f>
        <v>965.1875</v>
      </c>
      <c r="Q306" s="0" t="n">
        <v>15</v>
      </c>
    </row>
    <row r="307" customFormat="false" ht="15.8" hidden="false" customHeight="false" outlineLevel="0" collapsed="false">
      <c r="L307" s="0" t="n">
        <v>305</v>
      </c>
      <c r="M307" s="0" t="n">
        <v>42</v>
      </c>
      <c r="N307" s="0" t="n">
        <f aca="false">AVERAGE(M304:M311)</f>
        <v>28.875</v>
      </c>
      <c r="O307" s="0" t="n">
        <f aca="false">MAX($A$23)/2</f>
        <v>965.1875</v>
      </c>
      <c r="Q307" s="0" t="n">
        <v>10</v>
      </c>
    </row>
    <row r="308" customFormat="false" ht="15.8" hidden="false" customHeight="false" outlineLevel="0" collapsed="false">
      <c r="L308" s="0" t="n">
        <v>306</v>
      </c>
      <c r="M308" s="0" t="n">
        <v>28</v>
      </c>
      <c r="N308" s="0" t="n">
        <f aca="false">AVERAGE(M305:M312)</f>
        <v>28.5</v>
      </c>
      <c r="O308" s="0" t="n">
        <f aca="false">MAX($A$23)/2</f>
        <v>965.1875</v>
      </c>
      <c r="Q308" s="0" t="n">
        <v>16</v>
      </c>
    </row>
    <row r="309" customFormat="false" ht="15.8" hidden="false" customHeight="false" outlineLevel="0" collapsed="false">
      <c r="L309" s="0" t="n">
        <v>307</v>
      </c>
      <c r="M309" s="0" t="n">
        <v>32</v>
      </c>
      <c r="N309" s="0" t="n">
        <f aca="false">AVERAGE(M306:M313)</f>
        <v>27.75</v>
      </c>
      <c r="O309" s="0" t="n">
        <f aca="false">MAX($A$23)/2</f>
        <v>965.1875</v>
      </c>
      <c r="Q309" s="0" t="n">
        <v>11</v>
      </c>
    </row>
    <row r="310" customFormat="false" ht="15.8" hidden="false" customHeight="false" outlineLevel="0" collapsed="false">
      <c r="L310" s="0" t="n">
        <v>308</v>
      </c>
      <c r="M310" s="0" t="n">
        <v>22</v>
      </c>
      <c r="N310" s="0" t="n">
        <f aca="false">AVERAGE(M307:M314)</f>
        <v>27</v>
      </c>
      <c r="O310" s="0" t="n">
        <f aca="false">MAX($A$23)/2</f>
        <v>965.1875</v>
      </c>
      <c r="Q310" s="0" t="n">
        <v>12</v>
      </c>
    </row>
    <row r="311" customFormat="false" ht="15.8" hidden="false" customHeight="false" outlineLevel="0" collapsed="false">
      <c r="L311" s="0" t="n">
        <v>309</v>
      </c>
      <c r="M311" s="0" t="n">
        <v>18</v>
      </c>
      <c r="N311" s="0" t="n">
        <f aca="false">AVERAGE(M308:M315)</f>
        <v>24.75</v>
      </c>
      <c r="O311" s="0" t="n">
        <f aca="false">MAX($A$23)/2</f>
        <v>965.1875</v>
      </c>
      <c r="Q311" s="0" t="n">
        <v>13</v>
      </c>
    </row>
    <row r="312" customFormat="false" ht="15.8" hidden="false" customHeight="false" outlineLevel="0" collapsed="false">
      <c r="L312" s="0" t="n">
        <v>310</v>
      </c>
      <c r="M312" s="0" t="n">
        <v>21</v>
      </c>
      <c r="N312" s="0" t="n">
        <f aca="false">AVERAGE(M309:M316)</f>
        <v>23.875</v>
      </c>
      <c r="O312" s="0" t="n">
        <f aca="false">MAX($A$23)/2</f>
        <v>965.1875</v>
      </c>
      <c r="Q312" s="0" t="n">
        <v>16</v>
      </c>
    </row>
    <row r="313" customFormat="false" ht="15.8" hidden="false" customHeight="false" outlineLevel="0" collapsed="false">
      <c r="L313" s="0" t="n">
        <v>311</v>
      </c>
      <c r="M313" s="0" t="n">
        <v>30</v>
      </c>
      <c r="N313" s="0" t="n">
        <f aca="false">AVERAGE(M310:M317)</f>
        <v>24.5</v>
      </c>
      <c r="O313" s="0" t="n">
        <f aca="false">MAX($A$23)/2</f>
        <v>965.1875</v>
      </c>
      <c r="Q313" s="0" t="n">
        <v>11</v>
      </c>
    </row>
    <row r="314" customFormat="false" ht="15.8" hidden="false" customHeight="false" outlineLevel="0" collapsed="false">
      <c r="L314" s="0" t="n">
        <v>312</v>
      </c>
      <c r="M314" s="0" t="n">
        <v>23</v>
      </c>
      <c r="N314" s="0" t="n">
        <f aca="false">AVERAGE(M311:M318)</f>
        <v>24.75</v>
      </c>
      <c r="O314" s="0" t="n">
        <f aca="false">MAX($A$23)/2</f>
        <v>965.1875</v>
      </c>
      <c r="Q314" s="0" t="n">
        <v>18</v>
      </c>
    </row>
    <row r="315" customFormat="false" ht="15.8" hidden="false" customHeight="false" outlineLevel="0" collapsed="false">
      <c r="L315" s="0" t="n">
        <v>313</v>
      </c>
      <c r="M315" s="0" t="n">
        <v>24</v>
      </c>
      <c r="N315" s="0" t="n">
        <f aca="false">AVERAGE(M312:M319)</f>
        <v>25</v>
      </c>
      <c r="O315" s="0" t="n">
        <f aca="false">MAX($A$23)/2</f>
        <v>965.1875</v>
      </c>
      <c r="Q315" s="0" t="n">
        <v>11</v>
      </c>
    </row>
    <row r="316" customFormat="false" ht="15.8" hidden="false" customHeight="false" outlineLevel="0" collapsed="false">
      <c r="L316" s="0" t="n">
        <v>314</v>
      </c>
      <c r="M316" s="0" t="n">
        <v>21</v>
      </c>
      <c r="N316" s="0" t="n">
        <f aca="false">AVERAGE(M313:M320)</f>
        <v>25.625</v>
      </c>
      <c r="O316" s="0" t="n">
        <f aca="false">MAX($A$23)/2</f>
        <v>965.1875</v>
      </c>
      <c r="Q316" s="0" t="n">
        <v>10</v>
      </c>
    </row>
    <row r="317" customFormat="false" ht="15.8" hidden="false" customHeight="false" outlineLevel="0" collapsed="false">
      <c r="L317" s="0" t="n">
        <v>315</v>
      </c>
      <c r="M317" s="0" t="n">
        <v>37</v>
      </c>
      <c r="N317" s="0" t="n">
        <f aca="false">AVERAGE(M314:M321)</f>
        <v>24.5</v>
      </c>
      <c r="O317" s="0" t="n">
        <f aca="false">MAX($A$23)/2</f>
        <v>965.1875</v>
      </c>
      <c r="Q317" s="0" t="n">
        <v>16</v>
      </c>
    </row>
    <row r="318" customFormat="false" ht="15.8" hidden="false" customHeight="false" outlineLevel="0" collapsed="false">
      <c r="L318" s="0" t="n">
        <v>316</v>
      </c>
      <c r="M318" s="0" t="n">
        <v>24</v>
      </c>
      <c r="N318" s="0" t="n">
        <f aca="false">AVERAGE(M315:M322)</f>
        <v>24.875</v>
      </c>
      <c r="O318" s="0" t="n">
        <f aca="false">MAX($A$23)/2</f>
        <v>965.1875</v>
      </c>
      <c r="Q318" s="0" t="n">
        <v>13</v>
      </c>
    </row>
    <row r="319" customFormat="false" ht="15.8" hidden="false" customHeight="false" outlineLevel="0" collapsed="false">
      <c r="L319" s="0" t="n">
        <v>317</v>
      </c>
      <c r="M319" s="0" t="n">
        <v>20</v>
      </c>
      <c r="N319" s="0" t="n">
        <f aca="false">AVERAGE(M316:M323)</f>
        <v>26.125</v>
      </c>
      <c r="O319" s="0" t="n">
        <f aca="false">MAX($A$23)/2</f>
        <v>965.1875</v>
      </c>
      <c r="Q319" s="0" t="n">
        <v>11</v>
      </c>
    </row>
    <row r="320" customFormat="false" ht="15.8" hidden="false" customHeight="false" outlineLevel="0" collapsed="false">
      <c r="L320" s="0" t="n">
        <v>318</v>
      </c>
      <c r="M320" s="0" t="n">
        <v>26</v>
      </c>
      <c r="N320" s="0" t="n">
        <f aca="false">AVERAGE(M317:M324)</f>
        <v>25.875</v>
      </c>
      <c r="O320" s="0" t="n">
        <f aca="false">MAX($A$23)/2</f>
        <v>965.1875</v>
      </c>
      <c r="Q320" s="0" t="n">
        <v>16</v>
      </c>
    </row>
    <row r="321" customFormat="false" ht="15.8" hidden="false" customHeight="false" outlineLevel="0" collapsed="false">
      <c r="L321" s="0" t="n">
        <v>319</v>
      </c>
      <c r="M321" s="0" t="n">
        <v>21</v>
      </c>
      <c r="N321" s="0" t="n">
        <f aca="false">AVERAGE(M318:M325)</f>
        <v>23.5</v>
      </c>
      <c r="O321" s="0" t="n">
        <f aca="false">MAX($A$23)/2</f>
        <v>965.1875</v>
      </c>
      <c r="Q321" s="0" t="n">
        <v>15</v>
      </c>
    </row>
    <row r="322" customFormat="false" ht="15.8" hidden="false" customHeight="false" outlineLevel="0" collapsed="false">
      <c r="L322" s="0" t="n">
        <v>320</v>
      </c>
      <c r="M322" s="0" t="n">
        <v>26</v>
      </c>
      <c r="N322" s="0" t="n">
        <f aca="false">AVERAGE(M319:M326)</f>
        <v>24</v>
      </c>
      <c r="O322" s="0" t="n">
        <f aca="false">MAX($A$23)/2</f>
        <v>965.1875</v>
      </c>
      <c r="Q322" s="0" t="n">
        <v>17</v>
      </c>
    </row>
    <row r="323" customFormat="false" ht="15.8" hidden="false" customHeight="false" outlineLevel="0" collapsed="false">
      <c r="L323" s="0" t="n">
        <v>321</v>
      </c>
      <c r="M323" s="0" t="n">
        <v>34</v>
      </c>
      <c r="N323" s="0" t="n">
        <f aca="false">AVERAGE(M320:M327)</f>
        <v>24.875</v>
      </c>
      <c r="O323" s="0" t="n">
        <f aca="false">MAX($A$23)/2</f>
        <v>965.1875</v>
      </c>
      <c r="Q323" s="0" t="n">
        <v>17</v>
      </c>
    </row>
    <row r="324" customFormat="false" ht="15.8" hidden="false" customHeight="false" outlineLevel="0" collapsed="false">
      <c r="L324" s="0" t="n">
        <v>322</v>
      </c>
      <c r="M324" s="0" t="n">
        <v>19</v>
      </c>
      <c r="N324" s="0" t="n">
        <f aca="false">AVERAGE(M321:M328)</f>
        <v>25.625</v>
      </c>
      <c r="O324" s="0" t="n">
        <f aca="false">MAX($A$23)/2</f>
        <v>965.1875</v>
      </c>
      <c r="Q324" s="0" t="n">
        <v>16</v>
      </c>
    </row>
    <row r="325" customFormat="false" ht="15.8" hidden="false" customHeight="false" outlineLevel="0" collapsed="false">
      <c r="L325" s="0" t="n">
        <v>323</v>
      </c>
      <c r="M325" s="0" t="n">
        <v>18</v>
      </c>
      <c r="N325" s="0" t="n">
        <f aca="false">AVERAGE(M322:M329)</f>
        <v>25.625</v>
      </c>
      <c r="O325" s="0" t="n">
        <f aca="false">MAX($A$23)/2</f>
        <v>965.1875</v>
      </c>
      <c r="Q325" s="0" t="n">
        <v>22</v>
      </c>
    </row>
    <row r="326" customFormat="false" ht="15.8" hidden="false" customHeight="false" outlineLevel="0" collapsed="false">
      <c r="L326" s="0" t="n">
        <v>324</v>
      </c>
      <c r="M326" s="0" t="n">
        <v>28</v>
      </c>
      <c r="N326" s="0" t="n">
        <f aca="false">AVERAGE(M323:M330)</f>
        <v>26.125</v>
      </c>
      <c r="O326" s="0" t="n">
        <f aca="false">MAX($A$23)/2</f>
        <v>965.1875</v>
      </c>
      <c r="Q326" s="0" t="n">
        <v>17</v>
      </c>
    </row>
    <row r="327" customFormat="false" ht="15.8" hidden="false" customHeight="false" outlineLevel="0" collapsed="false">
      <c r="L327" s="0" t="n">
        <v>325</v>
      </c>
      <c r="M327" s="0" t="n">
        <v>27</v>
      </c>
      <c r="N327" s="0" t="n">
        <f aca="false">AVERAGE(M324:M331)</f>
        <v>24.625</v>
      </c>
      <c r="O327" s="0" t="n">
        <f aca="false">MAX($A$23)/2</f>
        <v>965.1875</v>
      </c>
      <c r="Q327" s="0" t="n">
        <v>25</v>
      </c>
    </row>
    <row r="328" customFormat="false" ht="15.8" hidden="false" customHeight="false" outlineLevel="0" collapsed="false">
      <c r="L328" s="0" t="n">
        <v>326</v>
      </c>
      <c r="M328" s="0" t="n">
        <v>32</v>
      </c>
      <c r="N328" s="0" t="n">
        <f aca="false">AVERAGE(M325:M332)</f>
        <v>24.875</v>
      </c>
      <c r="O328" s="0" t="n">
        <f aca="false">MAX($A$23)/2</f>
        <v>965.1875</v>
      </c>
      <c r="Q328" s="0" t="n">
        <v>16</v>
      </c>
    </row>
    <row r="329" customFormat="false" ht="15.8" hidden="false" customHeight="false" outlineLevel="0" collapsed="false">
      <c r="L329" s="0" t="n">
        <v>327</v>
      </c>
      <c r="M329" s="0" t="n">
        <v>21</v>
      </c>
      <c r="N329" s="0" t="n">
        <f aca="false">AVERAGE(M326:M333)</f>
        <v>25</v>
      </c>
      <c r="O329" s="0" t="n">
        <f aca="false">MAX($A$23)/2</f>
        <v>965.1875</v>
      </c>
      <c r="Q329" s="0" t="n">
        <v>20</v>
      </c>
    </row>
    <row r="330" customFormat="false" ht="15.8" hidden="false" customHeight="false" outlineLevel="0" collapsed="false">
      <c r="L330" s="0" t="n">
        <v>328</v>
      </c>
      <c r="M330" s="0" t="n">
        <v>30</v>
      </c>
      <c r="N330" s="0" t="n">
        <f aca="false">AVERAGE(M327:M334)</f>
        <v>24.375</v>
      </c>
      <c r="O330" s="0" t="n">
        <f aca="false">MAX($A$23)/2</f>
        <v>965.1875</v>
      </c>
      <c r="Q330" s="0" t="n">
        <v>20</v>
      </c>
    </row>
    <row r="331" customFormat="false" ht="15.8" hidden="false" customHeight="false" outlineLevel="0" collapsed="false">
      <c r="L331" s="0" t="n">
        <v>329</v>
      </c>
      <c r="M331" s="0" t="n">
        <v>22</v>
      </c>
      <c r="N331" s="0" t="n">
        <f aca="false">AVERAGE(M328:M335)</f>
        <v>25.75</v>
      </c>
      <c r="O331" s="0" t="n">
        <f aca="false">MAX($A$23)/2</f>
        <v>965.1875</v>
      </c>
      <c r="Q331" s="0" t="n">
        <v>31</v>
      </c>
    </row>
    <row r="332" customFormat="false" ht="15.8" hidden="false" customHeight="false" outlineLevel="0" collapsed="false">
      <c r="L332" s="0" t="n">
        <v>330</v>
      </c>
      <c r="M332" s="0" t="n">
        <v>21</v>
      </c>
      <c r="N332" s="0" t="n">
        <f aca="false">AVERAGE(M329:M336)</f>
        <v>25.75</v>
      </c>
      <c r="O332" s="0" t="n">
        <f aca="false">MAX($A$23)/2</f>
        <v>965.1875</v>
      </c>
      <c r="Q332" s="0" t="n">
        <v>27</v>
      </c>
    </row>
    <row r="333" customFormat="false" ht="15.8" hidden="false" customHeight="false" outlineLevel="0" collapsed="false">
      <c r="L333" s="0" t="n">
        <v>331</v>
      </c>
      <c r="M333" s="0" t="n">
        <v>19</v>
      </c>
      <c r="N333" s="0" t="n">
        <f aca="false">AVERAGE(M330:M337)</f>
        <v>25.625</v>
      </c>
      <c r="O333" s="0" t="n">
        <f aca="false">MAX($A$23)/2</f>
        <v>965.1875</v>
      </c>
      <c r="Q333" s="0" t="n">
        <v>21</v>
      </c>
    </row>
    <row r="334" customFormat="false" ht="15.8" hidden="false" customHeight="false" outlineLevel="0" collapsed="false">
      <c r="L334" s="0" t="n">
        <v>332</v>
      </c>
      <c r="M334" s="0" t="n">
        <v>23</v>
      </c>
      <c r="N334" s="0" t="n">
        <f aca="false">AVERAGE(M331:M338)</f>
        <v>25.25</v>
      </c>
      <c r="O334" s="0" t="n">
        <f aca="false">MAX($A$23)/2</f>
        <v>965.1875</v>
      </c>
      <c r="Q334" s="0" t="n">
        <v>19</v>
      </c>
    </row>
    <row r="335" customFormat="false" ht="15.8" hidden="false" customHeight="false" outlineLevel="0" collapsed="false">
      <c r="L335" s="0" t="n">
        <v>333</v>
      </c>
      <c r="M335" s="0" t="n">
        <v>38</v>
      </c>
      <c r="N335" s="0" t="n">
        <f aca="false">AVERAGE(M332:M339)</f>
        <v>25.75</v>
      </c>
      <c r="O335" s="0" t="n">
        <f aca="false">MAX($A$23)/2</f>
        <v>965.1875</v>
      </c>
      <c r="Q335" s="0" t="n">
        <v>27</v>
      </c>
    </row>
    <row r="336" customFormat="false" ht="15.8" hidden="false" customHeight="false" outlineLevel="0" collapsed="false">
      <c r="L336" s="0" t="n">
        <v>334</v>
      </c>
      <c r="M336" s="0" t="n">
        <v>32</v>
      </c>
      <c r="N336" s="0" t="n">
        <f aca="false">AVERAGE(M333:M340)</f>
        <v>26</v>
      </c>
      <c r="O336" s="0" t="n">
        <f aca="false">MAX($A$23)/2</f>
        <v>965.1875</v>
      </c>
      <c r="Q336" s="0" t="n">
        <v>33</v>
      </c>
    </row>
    <row r="337" customFormat="false" ht="15.8" hidden="false" customHeight="false" outlineLevel="0" collapsed="false">
      <c r="L337" s="0" t="n">
        <v>335</v>
      </c>
      <c r="M337" s="0" t="n">
        <v>20</v>
      </c>
      <c r="N337" s="0" t="n">
        <f aca="false">AVERAGE(M334:M341)</f>
        <v>27.625</v>
      </c>
      <c r="O337" s="0" t="n">
        <f aca="false">MAX($A$23)/2</f>
        <v>965.1875</v>
      </c>
      <c r="Q337" s="0" t="n">
        <v>32</v>
      </c>
    </row>
    <row r="338" customFormat="false" ht="15.8" hidden="false" customHeight="false" outlineLevel="0" collapsed="false">
      <c r="L338" s="0" t="n">
        <v>336</v>
      </c>
      <c r="M338" s="0" t="n">
        <v>27</v>
      </c>
      <c r="N338" s="0" t="n">
        <f aca="false">AVERAGE(M335:M342)</f>
        <v>27.375</v>
      </c>
      <c r="O338" s="0" t="n">
        <f aca="false">MAX($A$23)/2</f>
        <v>965.1875</v>
      </c>
      <c r="Q338" s="0" t="n">
        <v>26</v>
      </c>
    </row>
    <row r="339" customFormat="false" ht="15.8" hidden="false" customHeight="false" outlineLevel="0" collapsed="false">
      <c r="L339" s="0" t="n">
        <v>337</v>
      </c>
      <c r="M339" s="0" t="n">
        <v>26</v>
      </c>
      <c r="N339" s="0" t="n">
        <f aca="false">AVERAGE(M336:M343)</f>
        <v>28.125</v>
      </c>
      <c r="O339" s="0" t="n">
        <f aca="false">MAX($A$23)/2</f>
        <v>965.1875</v>
      </c>
      <c r="Q339" s="0" t="n">
        <v>29</v>
      </c>
    </row>
    <row r="340" customFormat="false" ht="15.8" hidden="false" customHeight="false" outlineLevel="0" collapsed="false">
      <c r="L340" s="0" t="n">
        <v>338</v>
      </c>
      <c r="M340" s="0" t="n">
        <v>23</v>
      </c>
      <c r="N340" s="0" t="n">
        <f aca="false">AVERAGE(M337:M344)</f>
        <v>26.875</v>
      </c>
      <c r="O340" s="0" t="n">
        <f aca="false">MAX($A$23)/2</f>
        <v>965.1875</v>
      </c>
      <c r="Q340" s="0" t="n">
        <v>30</v>
      </c>
    </row>
    <row r="341" customFormat="false" ht="15.8" hidden="false" customHeight="false" outlineLevel="0" collapsed="false">
      <c r="L341" s="0" t="n">
        <v>339</v>
      </c>
      <c r="M341" s="0" t="n">
        <v>32</v>
      </c>
      <c r="N341" s="0" t="n">
        <f aca="false">AVERAGE(M338:M345)</f>
        <v>29</v>
      </c>
      <c r="O341" s="0" t="n">
        <f aca="false">MAX($A$23)/2</f>
        <v>965.1875</v>
      </c>
      <c r="Q341" s="0" t="n">
        <v>38</v>
      </c>
    </row>
    <row r="342" customFormat="false" ht="15.8" hidden="false" customHeight="false" outlineLevel="0" collapsed="false">
      <c r="L342" s="0" t="n">
        <v>340</v>
      </c>
      <c r="M342" s="0" t="n">
        <v>21</v>
      </c>
      <c r="N342" s="0" t="n">
        <f aca="false">AVERAGE(M339:M346)</f>
        <v>29.625</v>
      </c>
      <c r="O342" s="0" t="n">
        <f aca="false">MAX($A$23)/2</f>
        <v>965.1875</v>
      </c>
      <c r="Q342" s="0" t="n">
        <v>35</v>
      </c>
    </row>
    <row r="343" customFormat="false" ht="15.8" hidden="false" customHeight="false" outlineLevel="0" collapsed="false">
      <c r="L343" s="0" t="n">
        <v>341</v>
      </c>
      <c r="M343" s="0" t="n">
        <v>44</v>
      </c>
      <c r="N343" s="0" t="n">
        <f aca="false">AVERAGE(M340:M347)</f>
        <v>30.375</v>
      </c>
      <c r="O343" s="0" t="n">
        <f aca="false">MAX($A$23)/2</f>
        <v>965.1875</v>
      </c>
      <c r="Q343" s="0" t="n">
        <v>45</v>
      </c>
    </row>
    <row r="344" customFormat="false" ht="15.8" hidden="false" customHeight="false" outlineLevel="0" collapsed="false">
      <c r="L344" s="0" t="n">
        <v>342</v>
      </c>
      <c r="M344" s="0" t="n">
        <v>22</v>
      </c>
      <c r="N344" s="0" t="n">
        <f aca="false">AVERAGE(M341:M348)</f>
        <v>32</v>
      </c>
      <c r="O344" s="0" t="n">
        <f aca="false">MAX($A$23)/2</f>
        <v>965.1875</v>
      </c>
      <c r="Q344" s="0" t="n">
        <v>46</v>
      </c>
    </row>
    <row r="345" customFormat="false" ht="15.8" hidden="false" customHeight="false" outlineLevel="0" collapsed="false">
      <c r="L345" s="0" t="n">
        <v>343</v>
      </c>
      <c r="M345" s="0" t="n">
        <v>37</v>
      </c>
      <c r="N345" s="0" t="n">
        <f aca="false">AVERAGE(M342:M349)</f>
        <v>32.5</v>
      </c>
      <c r="O345" s="0" t="n">
        <f aca="false">MAX($A$23)/2</f>
        <v>965.1875</v>
      </c>
      <c r="Q345" s="0" t="n">
        <v>28</v>
      </c>
    </row>
    <row r="346" customFormat="false" ht="15.8" hidden="false" customHeight="false" outlineLevel="0" collapsed="false">
      <c r="L346" s="0" t="n">
        <v>344</v>
      </c>
      <c r="M346" s="0" t="n">
        <v>32</v>
      </c>
      <c r="N346" s="0" t="n">
        <f aca="false">AVERAGE(M343:M350)</f>
        <v>33</v>
      </c>
      <c r="O346" s="0" t="n">
        <f aca="false">MAX($A$23)/2</f>
        <v>965.1875</v>
      </c>
      <c r="Q346" s="0" t="n">
        <v>52</v>
      </c>
    </row>
    <row r="347" customFormat="false" ht="15.8" hidden="false" customHeight="false" outlineLevel="0" collapsed="false">
      <c r="L347" s="0" t="n">
        <v>345</v>
      </c>
      <c r="M347" s="0" t="n">
        <v>32</v>
      </c>
      <c r="N347" s="0" t="n">
        <f aca="false">AVERAGE(M344:M351)</f>
        <v>33.625</v>
      </c>
      <c r="O347" s="0" t="n">
        <f aca="false">MAX($A$23)/2</f>
        <v>965.1875</v>
      </c>
      <c r="Q347" s="0" t="n">
        <v>39</v>
      </c>
    </row>
    <row r="348" customFormat="false" ht="15.8" hidden="false" customHeight="false" outlineLevel="0" collapsed="false">
      <c r="L348" s="0" t="n">
        <v>346</v>
      </c>
      <c r="M348" s="0" t="n">
        <v>36</v>
      </c>
      <c r="N348" s="0" t="n">
        <f aca="false">AVERAGE(M345:M352)</f>
        <v>35.375</v>
      </c>
      <c r="O348" s="0" t="n">
        <f aca="false">MAX($A$23)/2</f>
        <v>965.1875</v>
      </c>
      <c r="Q348" s="0" t="n">
        <v>47</v>
      </c>
    </row>
    <row r="349" customFormat="false" ht="15.8" hidden="false" customHeight="false" outlineLevel="0" collapsed="false">
      <c r="L349" s="0" t="n">
        <v>347</v>
      </c>
      <c r="M349" s="0" t="n">
        <v>36</v>
      </c>
      <c r="N349" s="0" t="n">
        <f aca="false">AVERAGE(M346:M353)</f>
        <v>35</v>
      </c>
      <c r="O349" s="0" t="n">
        <f aca="false">MAX($A$23)/2</f>
        <v>965.1875</v>
      </c>
      <c r="Q349" s="0" t="n">
        <v>62</v>
      </c>
    </row>
    <row r="350" customFormat="false" ht="15.8" hidden="false" customHeight="false" outlineLevel="0" collapsed="false">
      <c r="L350" s="0" t="n">
        <v>348</v>
      </c>
      <c r="M350" s="0" t="n">
        <v>25</v>
      </c>
      <c r="N350" s="0" t="n">
        <f aca="false">AVERAGE(M347:M354)</f>
        <v>36.125</v>
      </c>
      <c r="O350" s="0" t="n">
        <f aca="false">MAX($A$23)/2</f>
        <v>965.1875</v>
      </c>
      <c r="Q350" s="0" t="n">
        <v>59</v>
      </c>
    </row>
    <row r="351" customFormat="false" ht="15.8" hidden="false" customHeight="false" outlineLevel="0" collapsed="false">
      <c r="L351" s="0" t="n">
        <v>349</v>
      </c>
      <c r="M351" s="0" t="n">
        <v>49</v>
      </c>
      <c r="N351" s="0" t="n">
        <f aca="false">AVERAGE(M348:M355)</f>
        <v>37</v>
      </c>
      <c r="O351" s="0" t="n">
        <f aca="false">MAX($A$23)/2</f>
        <v>965.1875</v>
      </c>
      <c r="Q351" s="0" t="n">
        <v>51</v>
      </c>
    </row>
    <row r="352" customFormat="false" ht="15.8" hidden="false" customHeight="false" outlineLevel="0" collapsed="false">
      <c r="L352" s="0" t="n">
        <v>350</v>
      </c>
      <c r="M352" s="0" t="n">
        <v>36</v>
      </c>
      <c r="N352" s="0" t="n">
        <f aca="false">AVERAGE(M349:M356)</f>
        <v>38.125</v>
      </c>
      <c r="O352" s="0" t="n">
        <f aca="false">MAX($A$23)/2</f>
        <v>965.1875</v>
      </c>
      <c r="Q352" s="0" t="n">
        <v>48</v>
      </c>
    </row>
    <row r="353" customFormat="false" ht="15.8" hidden="false" customHeight="false" outlineLevel="0" collapsed="false">
      <c r="L353" s="0" t="n">
        <v>351</v>
      </c>
      <c r="M353" s="0" t="n">
        <v>34</v>
      </c>
      <c r="N353" s="0" t="n">
        <f aca="false">AVERAGE(M350:M357)</f>
        <v>38.375</v>
      </c>
      <c r="O353" s="0" t="n">
        <f aca="false">MAX($A$23)/2</f>
        <v>965.1875</v>
      </c>
      <c r="Q353" s="0" t="n">
        <v>62</v>
      </c>
    </row>
    <row r="354" customFormat="false" ht="15.8" hidden="false" customHeight="false" outlineLevel="0" collapsed="false">
      <c r="L354" s="0" t="n">
        <v>352</v>
      </c>
      <c r="M354" s="0" t="n">
        <v>41</v>
      </c>
      <c r="N354" s="0" t="n">
        <f aca="false">AVERAGE(M351:M358)</f>
        <v>40.625</v>
      </c>
      <c r="O354" s="0" t="n">
        <f aca="false">MAX($A$23)/2</f>
        <v>965.1875</v>
      </c>
      <c r="Q354" s="0" t="n">
        <v>58</v>
      </c>
    </row>
    <row r="355" customFormat="false" ht="15.8" hidden="false" customHeight="false" outlineLevel="0" collapsed="false">
      <c r="L355" s="0" t="n">
        <v>353</v>
      </c>
      <c r="M355" s="0" t="n">
        <v>39</v>
      </c>
      <c r="N355" s="0" t="n">
        <f aca="false">AVERAGE(M352:M359)</f>
        <v>39.875</v>
      </c>
      <c r="O355" s="0" t="n">
        <f aca="false">MAX($A$23)/2</f>
        <v>965.1875</v>
      </c>
      <c r="Q355" s="0" t="n">
        <v>57</v>
      </c>
    </row>
    <row r="356" customFormat="false" ht="15.8" hidden="false" customHeight="false" outlineLevel="0" collapsed="false">
      <c r="L356" s="0" t="n">
        <v>354</v>
      </c>
      <c r="M356" s="0" t="n">
        <v>45</v>
      </c>
      <c r="N356" s="0" t="n">
        <f aca="false">AVERAGE(M353:M360)</f>
        <v>40.625</v>
      </c>
      <c r="O356" s="0" t="n">
        <f aca="false">MAX($A$23)/2</f>
        <v>965.1875</v>
      </c>
      <c r="Q356" s="0" t="n">
        <v>77</v>
      </c>
    </row>
    <row r="357" customFormat="false" ht="15.8" hidden="false" customHeight="false" outlineLevel="0" collapsed="false">
      <c r="L357" s="0" t="n">
        <v>355</v>
      </c>
      <c r="M357" s="0" t="n">
        <v>38</v>
      </c>
      <c r="N357" s="0" t="n">
        <f aca="false">AVERAGE(M354:M361)</f>
        <v>42.125</v>
      </c>
      <c r="O357" s="0" t="n">
        <f aca="false">MAX($A$23)/2</f>
        <v>965.1875</v>
      </c>
      <c r="Q357" s="0" t="n">
        <v>65</v>
      </c>
    </row>
    <row r="358" customFormat="false" ht="15.8" hidden="false" customHeight="false" outlineLevel="0" collapsed="false">
      <c r="L358" s="0" t="n">
        <v>356</v>
      </c>
      <c r="M358" s="0" t="n">
        <v>43</v>
      </c>
      <c r="N358" s="0" t="n">
        <f aca="false">AVERAGE(M355:M362)</f>
        <v>43.125</v>
      </c>
      <c r="O358" s="0" t="n">
        <f aca="false">MAX($A$23)/2</f>
        <v>965.1875</v>
      </c>
      <c r="Q358" s="0" t="n">
        <v>77</v>
      </c>
    </row>
    <row r="359" customFormat="false" ht="15.8" hidden="false" customHeight="false" outlineLevel="0" collapsed="false">
      <c r="L359" s="0" t="n">
        <v>357</v>
      </c>
      <c r="M359" s="0" t="n">
        <v>43</v>
      </c>
      <c r="N359" s="0" t="n">
        <f aca="false">AVERAGE(M356:M363)</f>
        <v>44.125</v>
      </c>
      <c r="O359" s="0" t="n">
        <f aca="false">MAX($A$23)/2</f>
        <v>965.1875</v>
      </c>
      <c r="Q359" s="0" t="n">
        <v>67</v>
      </c>
    </row>
    <row r="360" customFormat="false" ht="15.8" hidden="false" customHeight="false" outlineLevel="0" collapsed="false">
      <c r="L360" s="0" t="n">
        <v>358</v>
      </c>
      <c r="M360" s="0" t="n">
        <v>42</v>
      </c>
      <c r="N360" s="0" t="n">
        <f aca="false">AVERAGE(M357:M364)</f>
        <v>45.5</v>
      </c>
      <c r="O360" s="0" t="n">
        <f aca="false">MAX($A$23)/2</f>
        <v>965.1875</v>
      </c>
      <c r="Q360" s="0" t="n">
        <v>81</v>
      </c>
    </row>
    <row r="361" customFormat="false" ht="15.8" hidden="false" customHeight="false" outlineLevel="0" collapsed="false">
      <c r="L361" s="0" t="n">
        <v>359</v>
      </c>
      <c r="M361" s="0" t="n">
        <v>46</v>
      </c>
      <c r="N361" s="0" t="n">
        <f aca="false">AVERAGE(M358:M365)</f>
        <v>46</v>
      </c>
      <c r="O361" s="0" t="n">
        <f aca="false">MAX($A$23)/2</f>
        <v>965.1875</v>
      </c>
      <c r="Q361" s="0" t="n">
        <v>80</v>
      </c>
    </row>
    <row r="362" customFormat="false" ht="15.8" hidden="false" customHeight="false" outlineLevel="0" collapsed="false">
      <c r="L362" s="0" t="n">
        <v>360</v>
      </c>
      <c r="M362" s="0" t="n">
        <v>49</v>
      </c>
      <c r="N362" s="0" t="n">
        <f aca="false">AVERAGE(M359:M366)</f>
        <v>44.75</v>
      </c>
      <c r="O362" s="0" t="n">
        <f aca="false">MAX($A$23)/2</f>
        <v>965.1875</v>
      </c>
      <c r="Q362" s="0" t="n">
        <v>62</v>
      </c>
    </row>
    <row r="363" customFormat="false" ht="15.8" hidden="false" customHeight="false" outlineLevel="0" collapsed="false">
      <c r="L363" s="0" t="n">
        <v>361</v>
      </c>
      <c r="M363" s="0" t="n">
        <v>47</v>
      </c>
      <c r="N363" s="0" t="n">
        <f aca="false">AVERAGE(M360:M367)</f>
        <v>44.625</v>
      </c>
      <c r="O363" s="0" t="n">
        <f aca="false">MAX($A$23)/2</f>
        <v>965.1875</v>
      </c>
      <c r="Q363" s="0" t="n">
        <v>86</v>
      </c>
    </row>
    <row r="364" customFormat="false" ht="15.8" hidden="false" customHeight="false" outlineLevel="0" collapsed="false">
      <c r="L364" s="0" t="n">
        <v>362</v>
      </c>
      <c r="M364" s="0" t="n">
        <v>56</v>
      </c>
      <c r="N364" s="0" t="n">
        <f aca="false">AVERAGE(M361:M368)</f>
        <v>46.25</v>
      </c>
      <c r="O364" s="0" t="n">
        <f aca="false">MAX($A$23)/2</f>
        <v>965.1875</v>
      </c>
      <c r="Q364" s="0" t="n">
        <v>100</v>
      </c>
    </row>
    <row r="365" customFormat="false" ht="15.8" hidden="false" customHeight="false" outlineLevel="0" collapsed="false">
      <c r="L365" s="0" t="n">
        <v>363</v>
      </c>
      <c r="M365" s="0" t="n">
        <v>42</v>
      </c>
      <c r="N365" s="0" t="n">
        <f aca="false">AVERAGE(M362:M369)</f>
        <v>47.375</v>
      </c>
      <c r="O365" s="0" t="n">
        <f aca="false">MAX($A$23)/2</f>
        <v>965.1875</v>
      </c>
      <c r="Q365" s="0" t="n">
        <v>77</v>
      </c>
    </row>
    <row r="366" customFormat="false" ht="15.8" hidden="false" customHeight="false" outlineLevel="0" collapsed="false">
      <c r="L366" s="0" t="n">
        <v>364</v>
      </c>
      <c r="M366" s="0" t="n">
        <v>33</v>
      </c>
      <c r="N366" s="0" t="n">
        <f aca="false">AVERAGE(M363:M370)</f>
        <v>47.5</v>
      </c>
      <c r="O366" s="0" t="n">
        <f aca="false">MAX($A$23)/2</f>
        <v>965.1875</v>
      </c>
      <c r="Q366" s="0" t="n">
        <v>91</v>
      </c>
    </row>
    <row r="367" customFormat="false" ht="15.8" hidden="false" customHeight="false" outlineLevel="0" collapsed="false">
      <c r="L367" s="0" t="n">
        <v>365</v>
      </c>
      <c r="M367" s="0" t="n">
        <v>42</v>
      </c>
      <c r="N367" s="0" t="n">
        <f aca="false">AVERAGE(M364:M371)</f>
        <v>48.75</v>
      </c>
      <c r="O367" s="0" t="n">
        <f aca="false">MAX($A$23)/2</f>
        <v>965.1875</v>
      </c>
      <c r="Q367" s="0" t="n">
        <v>96</v>
      </c>
    </row>
    <row r="368" customFormat="false" ht="15.8" hidden="false" customHeight="false" outlineLevel="0" collapsed="false">
      <c r="L368" s="0" t="n">
        <v>366</v>
      </c>
      <c r="M368" s="0" t="n">
        <v>55</v>
      </c>
      <c r="N368" s="0" t="n">
        <f aca="false">AVERAGE(M365:M372)</f>
        <v>47.75</v>
      </c>
      <c r="O368" s="0" t="n">
        <f aca="false">MAX($A$23)/2</f>
        <v>965.1875</v>
      </c>
      <c r="Q368" s="0" t="n">
        <v>98</v>
      </c>
    </row>
    <row r="369" customFormat="false" ht="15.8" hidden="false" customHeight="false" outlineLevel="0" collapsed="false">
      <c r="L369" s="0" t="n">
        <v>367</v>
      </c>
      <c r="M369" s="0" t="n">
        <v>55</v>
      </c>
      <c r="N369" s="0" t="n">
        <f aca="false">AVERAGE(M366:M373)</f>
        <v>48.875</v>
      </c>
      <c r="O369" s="0" t="n">
        <f aca="false">MAX($A$23)/2</f>
        <v>965.1875</v>
      </c>
      <c r="Q369" s="0" t="n">
        <v>97</v>
      </c>
    </row>
    <row r="370" customFormat="false" ht="15.8" hidden="false" customHeight="false" outlineLevel="0" collapsed="false">
      <c r="L370" s="0" t="n">
        <v>368</v>
      </c>
      <c r="M370" s="0" t="n">
        <v>50</v>
      </c>
      <c r="N370" s="0" t="n">
        <f aca="false">AVERAGE(M367:M374)</f>
        <v>50.625</v>
      </c>
      <c r="O370" s="0" t="n">
        <f aca="false">MAX($A$23)/2</f>
        <v>965.1875</v>
      </c>
      <c r="Q370" s="0" t="n">
        <v>115</v>
      </c>
    </row>
    <row r="371" customFormat="false" ht="15.8" hidden="false" customHeight="false" outlineLevel="0" collapsed="false">
      <c r="L371" s="0" t="n">
        <v>369</v>
      </c>
      <c r="M371" s="0" t="n">
        <v>57</v>
      </c>
      <c r="N371" s="0" t="n">
        <f aca="false">AVERAGE(M368:M375)</f>
        <v>52.875</v>
      </c>
      <c r="O371" s="0" t="n">
        <f aca="false">MAX($A$23)/2</f>
        <v>965.1875</v>
      </c>
      <c r="Q371" s="0" t="n">
        <v>106</v>
      </c>
    </row>
    <row r="372" customFormat="false" ht="15.8" hidden="false" customHeight="false" outlineLevel="0" collapsed="false">
      <c r="L372" s="0" t="n">
        <v>370</v>
      </c>
      <c r="M372" s="0" t="n">
        <v>48</v>
      </c>
      <c r="N372" s="0" t="n">
        <f aca="false">AVERAGE(M369:M376)</f>
        <v>52.75</v>
      </c>
      <c r="O372" s="0" t="n">
        <f aca="false">MAX($A$23)/2</f>
        <v>965.1875</v>
      </c>
      <c r="Q372" s="0" t="n">
        <v>118</v>
      </c>
    </row>
    <row r="373" customFormat="false" ht="15.8" hidden="false" customHeight="false" outlineLevel="0" collapsed="false">
      <c r="L373" s="0" t="n">
        <v>371</v>
      </c>
      <c r="M373" s="0" t="n">
        <v>51</v>
      </c>
      <c r="N373" s="0" t="n">
        <f aca="false">AVERAGE(M370:M377)</f>
        <v>51.25</v>
      </c>
      <c r="O373" s="0" t="n">
        <f aca="false">MAX($A$23)/2</f>
        <v>965.1875</v>
      </c>
      <c r="Q373" s="0" t="n">
        <v>114</v>
      </c>
    </row>
    <row r="374" customFormat="false" ht="15.8" hidden="false" customHeight="false" outlineLevel="0" collapsed="false">
      <c r="L374" s="0" t="n">
        <v>372</v>
      </c>
      <c r="M374" s="0" t="n">
        <v>47</v>
      </c>
      <c r="N374" s="0" t="n">
        <f aca="false">AVERAGE(M371:M378)</f>
        <v>51.5</v>
      </c>
      <c r="O374" s="0" t="n">
        <f aca="false">MAX($A$23)/2</f>
        <v>965.1875</v>
      </c>
      <c r="Q374" s="0" t="n">
        <v>127</v>
      </c>
    </row>
    <row r="375" customFormat="false" ht="15.8" hidden="false" customHeight="false" outlineLevel="0" collapsed="false">
      <c r="L375" s="0" t="n">
        <v>373</v>
      </c>
      <c r="M375" s="0" t="n">
        <v>60</v>
      </c>
      <c r="N375" s="0" t="n">
        <f aca="false">AVERAGE(M372:M379)</f>
        <v>49.625</v>
      </c>
      <c r="O375" s="0" t="n">
        <f aca="false">MAX($A$23)/2</f>
        <v>965.1875</v>
      </c>
      <c r="Q375" s="0" t="n">
        <v>142</v>
      </c>
    </row>
    <row r="376" customFormat="false" ht="15.8" hidden="false" customHeight="false" outlineLevel="0" collapsed="false">
      <c r="L376" s="0" t="n">
        <v>374</v>
      </c>
      <c r="M376" s="0" t="n">
        <v>54</v>
      </c>
      <c r="N376" s="0" t="n">
        <f aca="false">AVERAGE(M373:M380)</f>
        <v>50.875</v>
      </c>
      <c r="O376" s="0" t="n">
        <f aca="false">MAX($A$23)/2</f>
        <v>965.1875</v>
      </c>
      <c r="Q376" s="0" t="n">
        <v>117</v>
      </c>
    </row>
    <row r="377" customFormat="false" ht="15.8" hidden="false" customHeight="false" outlineLevel="0" collapsed="false">
      <c r="L377" s="0" t="n">
        <v>375</v>
      </c>
      <c r="M377" s="0" t="n">
        <v>43</v>
      </c>
      <c r="N377" s="0" t="n">
        <f aca="false">AVERAGE(M374:M381)</f>
        <v>50.875</v>
      </c>
      <c r="O377" s="0" t="n">
        <f aca="false">MAX($A$23)/2</f>
        <v>965.1875</v>
      </c>
      <c r="Q377" s="0" t="n">
        <v>148</v>
      </c>
    </row>
    <row r="378" customFormat="false" ht="15.8" hidden="false" customHeight="false" outlineLevel="0" collapsed="false">
      <c r="L378" s="0" t="n">
        <v>376</v>
      </c>
      <c r="M378" s="0" t="n">
        <v>52</v>
      </c>
      <c r="N378" s="0" t="n">
        <f aca="false">AVERAGE(M375:M382)</f>
        <v>52</v>
      </c>
      <c r="O378" s="0" t="n">
        <f aca="false">MAX($A$23)/2</f>
        <v>965.1875</v>
      </c>
      <c r="Q378" s="0" t="n">
        <v>143</v>
      </c>
    </row>
    <row r="379" customFormat="false" ht="15.8" hidden="false" customHeight="false" outlineLevel="0" collapsed="false">
      <c r="L379" s="0" t="n">
        <v>377</v>
      </c>
      <c r="M379" s="0" t="n">
        <v>42</v>
      </c>
      <c r="N379" s="0" t="n">
        <f aca="false">AVERAGE(M376:M383)</f>
        <v>53</v>
      </c>
      <c r="O379" s="0" t="n">
        <f aca="false">MAX($A$23)/2</f>
        <v>965.1875</v>
      </c>
      <c r="Q379" s="0" t="n">
        <v>148</v>
      </c>
    </row>
    <row r="380" customFormat="false" ht="15.8" hidden="false" customHeight="false" outlineLevel="0" collapsed="false">
      <c r="L380" s="0" t="n">
        <v>378</v>
      </c>
      <c r="M380" s="0" t="n">
        <v>58</v>
      </c>
      <c r="N380" s="0" t="n">
        <f aca="false">AVERAGE(M377:M384)</f>
        <v>54.125</v>
      </c>
      <c r="O380" s="0" t="n">
        <f aca="false">MAX($A$23)/2</f>
        <v>965.1875</v>
      </c>
      <c r="Q380" s="0" t="n">
        <v>174</v>
      </c>
    </row>
    <row r="381" customFormat="false" ht="15.8" hidden="false" customHeight="false" outlineLevel="0" collapsed="false">
      <c r="L381" s="0" t="n">
        <v>379</v>
      </c>
      <c r="M381" s="0" t="n">
        <v>51</v>
      </c>
      <c r="N381" s="0" t="n">
        <f aca="false">AVERAGE(M378:M385)</f>
        <v>56.125</v>
      </c>
      <c r="O381" s="0" t="n">
        <f aca="false">MAX($A$23)/2</f>
        <v>965.1875</v>
      </c>
      <c r="Q381" s="0" t="n">
        <v>181</v>
      </c>
    </row>
    <row r="382" customFormat="false" ht="15.8" hidden="false" customHeight="false" outlineLevel="0" collapsed="false">
      <c r="L382" s="0" t="n">
        <v>380</v>
      </c>
      <c r="M382" s="0" t="n">
        <v>56</v>
      </c>
      <c r="N382" s="0" t="n">
        <f aca="false">AVERAGE(M379:M386)</f>
        <v>54.875</v>
      </c>
      <c r="O382" s="0" t="n">
        <f aca="false">MAX($A$23)/2</f>
        <v>965.1875</v>
      </c>
      <c r="Q382" s="0" t="n">
        <v>181</v>
      </c>
    </row>
    <row r="383" customFormat="false" ht="15.8" hidden="false" customHeight="false" outlineLevel="0" collapsed="false">
      <c r="L383" s="0" t="n">
        <v>381</v>
      </c>
      <c r="M383" s="0" t="n">
        <v>68</v>
      </c>
      <c r="N383" s="0" t="n">
        <f aca="false">AVERAGE(M380:M387)</f>
        <v>57</v>
      </c>
      <c r="O383" s="0" t="n">
        <f aca="false">MAX($A$23)/2</f>
        <v>965.1875</v>
      </c>
      <c r="Q383" s="0" t="n">
        <v>178</v>
      </c>
    </row>
    <row r="384" customFormat="false" ht="15.8" hidden="false" customHeight="false" outlineLevel="0" collapsed="false">
      <c r="L384" s="0" t="n">
        <v>382</v>
      </c>
      <c r="M384" s="0" t="n">
        <v>63</v>
      </c>
      <c r="N384" s="0" t="n">
        <f aca="false">AVERAGE(M381:M388)</f>
        <v>57.625</v>
      </c>
      <c r="O384" s="0" t="n">
        <f aca="false">MAX($A$23)/2</f>
        <v>965.1875</v>
      </c>
      <c r="Q384" s="0" t="n">
        <v>192</v>
      </c>
    </row>
    <row r="385" customFormat="false" ht="15.8" hidden="false" customHeight="false" outlineLevel="0" collapsed="false">
      <c r="L385" s="0" t="n">
        <v>383</v>
      </c>
      <c r="M385" s="0" t="n">
        <v>59</v>
      </c>
      <c r="N385" s="0" t="n">
        <f aca="false">AVERAGE(M382:M389)</f>
        <v>58.5</v>
      </c>
      <c r="O385" s="0" t="n">
        <f aca="false">MAX($A$23)/2</f>
        <v>965.1875</v>
      </c>
      <c r="Q385" s="0" t="n">
        <v>210</v>
      </c>
    </row>
    <row r="386" customFormat="false" ht="15.8" hidden="false" customHeight="false" outlineLevel="0" collapsed="false">
      <c r="L386" s="0" t="n">
        <v>384</v>
      </c>
      <c r="M386" s="0" t="n">
        <v>42</v>
      </c>
      <c r="N386" s="0" t="n">
        <f aca="false">AVERAGE(M383:M390)</f>
        <v>58</v>
      </c>
      <c r="O386" s="0" t="n">
        <f aca="false">MAX($A$23)/2</f>
        <v>965.1875</v>
      </c>
      <c r="Q386" s="0" t="n">
        <v>218</v>
      </c>
    </row>
    <row r="387" customFormat="false" ht="15.8" hidden="false" customHeight="false" outlineLevel="0" collapsed="false">
      <c r="L387" s="0" t="n">
        <v>385</v>
      </c>
      <c r="M387" s="0" t="n">
        <v>59</v>
      </c>
      <c r="N387" s="0" t="n">
        <f aca="false">AVERAGE(M384:M391)</f>
        <v>57.25</v>
      </c>
      <c r="O387" s="0" t="n">
        <f aca="false">MAX($A$23)/2</f>
        <v>965.1875</v>
      </c>
      <c r="Q387" s="0" t="n">
        <v>193</v>
      </c>
    </row>
    <row r="388" customFormat="false" ht="15.8" hidden="false" customHeight="false" outlineLevel="0" collapsed="false">
      <c r="L388" s="0" t="n">
        <v>386</v>
      </c>
      <c r="M388" s="0" t="n">
        <v>63</v>
      </c>
      <c r="N388" s="0" t="n">
        <f aca="false">AVERAGE(M385:M392)</f>
        <v>57.375</v>
      </c>
      <c r="O388" s="0" t="n">
        <f aca="false">MAX($A$23)/2</f>
        <v>965.1875</v>
      </c>
      <c r="Q388" s="0" t="n">
        <v>221</v>
      </c>
    </row>
    <row r="389" customFormat="false" ht="15.8" hidden="false" customHeight="false" outlineLevel="0" collapsed="false">
      <c r="L389" s="0" t="n">
        <v>387</v>
      </c>
      <c r="M389" s="0" t="n">
        <v>58</v>
      </c>
      <c r="N389" s="0" t="n">
        <f aca="false">AVERAGE(M386:M393)</f>
        <v>56.125</v>
      </c>
      <c r="O389" s="0" t="n">
        <f aca="false">MAX($A$23)/2</f>
        <v>965.1875</v>
      </c>
      <c r="Q389" s="0" t="n">
        <v>226</v>
      </c>
    </row>
    <row r="390" customFormat="false" ht="15.8" hidden="false" customHeight="false" outlineLevel="0" collapsed="false">
      <c r="L390" s="0" t="n">
        <v>388</v>
      </c>
      <c r="M390" s="0" t="n">
        <v>52</v>
      </c>
      <c r="N390" s="0" t="n">
        <f aca="false">AVERAGE(M387:M394)</f>
        <v>56.25</v>
      </c>
      <c r="O390" s="0" t="n">
        <f aca="false">MAX($A$23)/2</f>
        <v>965.1875</v>
      </c>
      <c r="Q390" s="0" t="n">
        <v>271</v>
      </c>
    </row>
    <row r="391" customFormat="false" ht="15.8" hidden="false" customHeight="false" outlineLevel="0" collapsed="false">
      <c r="L391" s="0" t="n">
        <v>389</v>
      </c>
      <c r="M391" s="0" t="n">
        <v>62</v>
      </c>
      <c r="N391" s="0" t="n">
        <f aca="false">AVERAGE(M388:M395)</f>
        <v>57.75</v>
      </c>
      <c r="O391" s="0" t="n">
        <f aca="false">MAX($A$23)/2</f>
        <v>965.1875</v>
      </c>
      <c r="Q391" s="0" t="n">
        <v>233</v>
      </c>
    </row>
    <row r="392" customFormat="false" ht="15.8" hidden="false" customHeight="false" outlineLevel="0" collapsed="false">
      <c r="L392" s="0" t="n">
        <v>390</v>
      </c>
      <c r="M392" s="0" t="n">
        <v>64</v>
      </c>
      <c r="N392" s="0" t="n">
        <f aca="false">AVERAGE(M389:M396)</f>
        <v>57.875</v>
      </c>
      <c r="O392" s="0" t="n">
        <f aca="false">MAX($A$23)/2</f>
        <v>965.1875</v>
      </c>
      <c r="Q392" s="0" t="n">
        <v>260</v>
      </c>
    </row>
    <row r="393" customFormat="false" ht="15.8" hidden="false" customHeight="false" outlineLevel="0" collapsed="false">
      <c r="L393" s="0" t="n">
        <v>391</v>
      </c>
      <c r="M393" s="0" t="n">
        <v>49</v>
      </c>
      <c r="N393" s="0" t="n">
        <f aca="false">AVERAGE(M390:M397)</f>
        <v>59.625</v>
      </c>
      <c r="O393" s="0" t="n">
        <f aca="false">MAX($A$23)/2</f>
        <v>965.1875</v>
      </c>
      <c r="Q393" s="0" t="n">
        <v>241</v>
      </c>
    </row>
    <row r="394" customFormat="false" ht="15.8" hidden="false" customHeight="false" outlineLevel="0" collapsed="false">
      <c r="L394" s="0" t="n">
        <v>392</v>
      </c>
      <c r="M394" s="0" t="n">
        <v>43</v>
      </c>
      <c r="N394" s="0" t="n">
        <f aca="false">AVERAGE(M391:M398)</f>
        <v>60.25</v>
      </c>
      <c r="O394" s="0" t="n">
        <f aca="false">MAX($A$23)/2</f>
        <v>965.1875</v>
      </c>
      <c r="Q394" s="0" t="n">
        <v>280</v>
      </c>
    </row>
    <row r="395" customFormat="false" ht="15.8" hidden="false" customHeight="false" outlineLevel="0" collapsed="false">
      <c r="L395" s="0" t="n">
        <v>393</v>
      </c>
      <c r="M395" s="0" t="n">
        <v>71</v>
      </c>
      <c r="N395" s="0" t="n">
        <f aca="false">AVERAGE(M392:M399)</f>
        <v>59.5</v>
      </c>
      <c r="O395" s="0" t="n">
        <f aca="false">MAX($A$23)/2</f>
        <v>965.1875</v>
      </c>
      <c r="Q395" s="0" t="n">
        <v>278</v>
      </c>
    </row>
    <row r="396" customFormat="false" ht="15.8" hidden="false" customHeight="false" outlineLevel="0" collapsed="false">
      <c r="L396" s="0" t="n">
        <v>394</v>
      </c>
      <c r="M396" s="0" t="n">
        <v>64</v>
      </c>
      <c r="N396" s="0" t="n">
        <f aca="false">AVERAGE(M393:M400)</f>
        <v>57.75</v>
      </c>
      <c r="O396" s="0" t="n">
        <f aca="false">MAX($A$23)/2</f>
        <v>965.1875</v>
      </c>
      <c r="Q396" s="0" t="n">
        <v>276</v>
      </c>
    </row>
    <row r="397" customFormat="false" ht="15.8" hidden="false" customHeight="false" outlineLevel="0" collapsed="false">
      <c r="L397" s="0" t="n">
        <v>395</v>
      </c>
      <c r="M397" s="0" t="n">
        <v>72</v>
      </c>
      <c r="N397" s="0" t="n">
        <f aca="false">AVERAGE(M394:M401)</f>
        <v>58.25</v>
      </c>
      <c r="O397" s="0" t="n">
        <f aca="false">MAX($A$23)/2</f>
        <v>965.1875</v>
      </c>
      <c r="Q397" s="0" t="n">
        <v>277</v>
      </c>
    </row>
    <row r="398" customFormat="false" ht="15.8" hidden="false" customHeight="false" outlineLevel="0" collapsed="false">
      <c r="L398" s="0" t="n">
        <v>396</v>
      </c>
      <c r="M398" s="0" t="n">
        <v>57</v>
      </c>
      <c r="N398" s="0" t="n">
        <f aca="false">AVERAGE(M395:M402)</f>
        <v>58.5</v>
      </c>
      <c r="O398" s="0" t="n">
        <f aca="false">MAX($A$23)/2</f>
        <v>965.1875</v>
      </c>
      <c r="Q398" s="0" t="n">
        <v>300</v>
      </c>
    </row>
    <row r="399" customFormat="false" ht="15.8" hidden="false" customHeight="false" outlineLevel="0" collapsed="false">
      <c r="L399" s="0" t="n">
        <v>397</v>
      </c>
      <c r="M399" s="0" t="n">
        <v>56</v>
      </c>
      <c r="N399" s="0" t="n">
        <f aca="false">AVERAGE(M396:M403)</f>
        <v>57.625</v>
      </c>
      <c r="O399" s="0" t="n">
        <f aca="false">MAX($A$23)/2</f>
        <v>965.1875</v>
      </c>
      <c r="Q399" s="0" t="n">
        <v>320</v>
      </c>
    </row>
    <row r="400" customFormat="false" ht="15.8" hidden="false" customHeight="false" outlineLevel="0" collapsed="false">
      <c r="L400" s="0" t="n">
        <v>398</v>
      </c>
      <c r="M400" s="0" t="n">
        <v>50</v>
      </c>
      <c r="N400" s="0" t="n">
        <f aca="false">AVERAGE(M397:M404)</f>
        <v>57.375</v>
      </c>
      <c r="O400" s="0" t="n">
        <f aca="false">MAX($A$23)/2</f>
        <v>965.1875</v>
      </c>
      <c r="Q400" s="0" t="n">
        <v>320</v>
      </c>
    </row>
    <row r="401" customFormat="false" ht="15.8" hidden="false" customHeight="false" outlineLevel="0" collapsed="false">
      <c r="L401" s="0" t="n">
        <v>399</v>
      </c>
      <c r="M401" s="0" t="n">
        <v>53</v>
      </c>
      <c r="N401" s="0" t="n">
        <f aca="false">AVERAGE(M398:M405)</f>
        <v>55.5</v>
      </c>
      <c r="O401" s="0" t="n">
        <f aca="false">MAX($A$23)/2</f>
        <v>965.1875</v>
      </c>
      <c r="Q401" s="0" t="n">
        <v>324</v>
      </c>
    </row>
    <row r="402" customFormat="false" ht="15.8" hidden="false" customHeight="false" outlineLevel="0" collapsed="false">
      <c r="L402" s="0" t="n">
        <v>400</v>
      </c>
      <c r="M402" s="0" t="n">
        <v>45</v>
      </c>
      <c r="N402" s="0" t="n">
        <f aca="false">AVERAGE(M399:M406)</f>
        <v>55.125</v>
      </c>
      <c r="O402" s="0" t="n">
        <f aca="false">MAX($A$23)/2</f>
        <v>965.1875</v>
      </c>
      <c r="Q402" s="0" t="n">
        <v>322</v>
      </c>
    </row>
    <row r="403" customFormat="false" ht="15.8" hidden="false" customHeight="false" outlineLevel="0" collapsed="false">
      <c r="L403" s="0" t="n">
        <v>401</v>
      </c>
      <c r="M403" s="0" t="n">
        <v>64</v>
      </c>
      <c r="N403" s="0" t="n">
        <f aca="false">AVERAGE(M400:M407)</f>
        <v>56</v>
      </c>
      <c r="O403" s="0" t="n">
        <f aca="false">MAX($A$23)/2</f>
        <v>965.1875</v>
      </c>
      <c r="Q403" s="0" t="n">
        <v>323</v>
      </c>
    </row>
    <row r="404" customFormat="false" ht="15.8" hidden="false" customHeight="false" outlineLevel="0" collapsed="false">
      <c r="L404" s="0" t="n">
        <v>402</v>
      </c>
      <c r="M404" s="0" t="n">
        <v>62</v>
      </c>
      <c r="N404" s="0" t="n">
        <f aca="false">AVERAGE(M401:M408)</f>
        <v>57.25</v>
      </c>
      <c r="O404" s="0" t="n">
        <f aca="false">MAX($A$23)/2</f>
        <v>965.1875</v>
      </c>
      <c r="Q404" s="0" t="n">
        <v>373</v>
      </c>
    </row>
    <row r="405" customFormat="false" ht="15.8" hidden="false" customHeight="false" outlineLevel="0" collapsed="false">
      <c r="L405" s="0" t="n">
        <v>403</v>
      </c>
      <c r="M405" s="0" t="n">
        <v>57</v>
      </c>
      <c r="N405" s="0" t="n">
        <f aca="false">AVERAGE(M402:M409)</f>
        <v>57</v>
      </c>
      <c r="O405" s="0" t="n">
        <f aca="false">MAX($A$23)/2</f>
        <v>965.1875</v>
      </c>
      <c r="Q405" s="0" t="n">
        <v>356</v>
      </c>
    </row>
    <row r="406" customFormat="false" ht="15.8" hidden="false" customHeight="false" outlineLevel="0" collapsed="false">
      <c r="L406" s="0" t="n">
        <v>404</v>
      </c>
      <c r="M406" s="0" t="n">
        <v>54</v>
      </c>
      <c r="N406" s="0" t="n">
        <f aca="false">AVERAGE(M403:M410)</f>
        <v>58.625</v>
      </c>
      <c r="O406" s="0" t="n">
        <f aca="false">MAX($A$23)/2</f>
        <v>965.1875</v>
      </c>
      <c r="Q406" s="0" t="n">
        <v>388</v>
      </c>
    </row>
    <row r="407" customFormat="false" ht="15.8" hidden="false" customHeight="false" outlineLevel="0" collapsed="false">
      <c r="L407" s="0" t="n">
        <v>405</v>
      </c>
      <c r="M407" s="0" t="n">
        <v>63</v>
      </c>
      <c r="N407" s="0" t="n">
        <f aca="false">AVERAGE(M404:M411)</f>
        <v>57.375</v>
      </c>
      <c r="O407" s="0" t="n">
        <f aca="false">MAX($A$23)/2</f>
        <v>965.1875</v>
      </c>
      <c r="Q407" s="0" t="n">
        <v>399</v>
      </c>
    </row>
    <row r="408" customFormat="false" ht="15.8" hidden="false" customHeight="false" outlineLevel="0" collapsed="false">
      <c r="L408" s="0" t="n">
        <v>406</v>
      </c>
      <c r="M408" s="0" t="n">
        <v>60</v>
      </c>
      <c r="N408" s="0" t="n">
        <f aca="false">AVERAGE(M405:M412)</f>
        <v>56.5</v>
      </c>
      <c r="O408" s="0" t="n">
        <f aca="false">MAX($A$23)/2</f>
        <v>965.1875</v>
      </c>
      <c r="Q408" s="0" t="n">
        <v>404</v>
      </c>
    </row>
    <row r="409" customFormat="false" ht="15.8" hidden="false" customHeight="false" outlineLevel="0" collapsed="false">
      <c r="L409" s="0" t="n">
        <v>407</v>
      </c>
      <c r="M409" s="0" t="n">
        <v>51</v>
      </c>
      <c r="N409" s="0" t="n">
        <f aca="false">AVERAGE(M406:M413)</f>
        <v>55.75</v>
      </c>
      <c r="O409" s="0" t="n">
        <f aca="false">MAX($A$23)/2</f>
        <v>965.1875</v>
      </c>
      <c r="Q409" s="0" t="n">
        <v>408</v>
      </c>
    </row>
    <row r="410" customFormat="false" ht="15.8" hidden="false" customHeight="false" outlineLevel="0" collapsed="false">
      <c r="L410" s="0" t="n">
        <v>408</v>
      </c>
      <c r="M410" s="0" t="n">
        <v>58</v>
      </c>
      <c r="N410" s="0" t="n">
        <f aca="false">AVERAGE(M407:M414)</f>
        <v>55.5</v>
      </c>
      <c r="O410" s="0" t="n">
        <f aca="false">MAX($A$23)/2</f>
        <v>965.1875</v>
      </c>
      <c r="Q410" s="0" t="n">
        <v>403</v>
      </c>
    </row>
    <row r="411" customFormat="false" ht="15.8" hidden="false" customHeight="false" outlineLevel="0" collapsed="false">
      <c r="L411" s="0" t="n">
        <v>409</v>
      </c>
      <c r="M411" s="0" t="n">
        <v>54</v>
      </c>
      <c r="N411" s="0" t="n">
        <f aca="false">AVERAGE(M408:M415)</f>
        <v>52.625</v>
      </c>
      <c r="O411" s="0" t="n">
        <f aca="false">MAX($A$23)/2</f>
        <v>965.1875</v>
      </c>
      <c r="Q411" s="0" t="n">
        <v>406</v>
      </c>
    </row>
    <row r="412" customFormat="false" ht="15.8" hidden="false" customHeight="false" outlineLevel="0" collapsed="false">
      <c r="L412" s="0" t="n">
        <v>410</v>
      </c>
      <c r="M412" s="0" t="n">
        <v>55</v>
      </c>
      <c r="N412" s="0" t="n">
        <f aca="false">AVERAGE(M409:M416)</f>
        <v>52.375</v>
      </c>
      <c r="O412" s="0" t="n">
        <f aca="false">MAX($A$23)/2</f>
        <v>965.1875</v>
      </c>
      <c r="Q412" s="0" t="n">
        <v>390</v>
      </c>
    </row>
    <row r="413" customFormat="false" ht="15.8" hidden="false" customHeight="false" outlineLevel="0" collapsed="false">
      <c r="L413" s="0" t="n">
        <v>411</v>
      </c>
      <c r="M413" s="0" t="n">
        <v>51</v>
      </c>
      <c r="N413" s="0" t="n">
        <f aca="false">AVERAGE(M410:M417)</f>
        <v>52.75</v>
      </c>
      <c r="O413" s="0" t="n">
        <f aca="false">MAX($A$23)/2</f>
        <v>965.1875</v>
      </c>
      <c r="Q413" s="0" t="n">
        <v>452</v>
      </c>
    </row>
    <row r="414" customFormat="false" ht="15.8" hidden="false" customHeight="false" outlineLevel="0" collapsed="false">
      <c r="L414" s="0" t="n">
        <v>412</v>
      </c>
      <c r="M414" s="0" t="n">
        <v>52</v>
      </c>
      <c r="N414" s="0" t="n">
        <f aca="false">AVERAGE(M411:M418)</f>
        <v>52.5</v>
      </c>
      <c r="O414" s="0" t="n">
        <f aca="false">MAX($A$23)/2</f>
        <v>965.1875</v>
      </c>
      <c r="Q414" s="0" t="n">
        <v>440</v>
      </c>
    </row>
    <row r="415" customFormat="false" ht="15.8" hidden="false" customHeight="false" outlineLevel="0" collapsed="false">
      <c r="L415" s="0" t="n">
        <v>413</v>
      </c>
      <c r="M415" s="0" t="n">
        <v>40</v>
      </c>
      <c r="N415" s="0" t="n">
        <f aca="false">AVERAGE(M412:M419)</f>
        <v>54.25</v>
      </c>
      <c r="O415" s="0" t="n">
        <f aca="false">MAX($A$23)/2</f>
        <v>965.1875</v>
      </c>
      <c r="Q415" s="0" t="n">
        <v>496</v>
      </c>
    </row>
    <row r="416" customFormat="false" ht="15.8" hidden="false" customHeight="false" outlineLevel="0" collapsed="false">
      <c r="L416" s="0" t="n">
        <v>414</v>
      </c>
      <c r="M416" s="0" t="n">
        <v>58</v>
      </c>
      <c r="N416" s="0" t="n">
        <f aca="false">AVERAGE(M413:M420)</f>
        <v>55.125</v>
      </c>
      <c r="O416" s="0" t="n">
        <f aca="false">MAX($A$23)/2</f>
        <v>965.1875</v>
      </c>
      <c r="Q416" s="0" t="n">
        <v>476</v>
      </c>
    </row>
    <row r="417" customFormat="false" ht="15.8" hidden="false" customHeight="false" outlineLevel="0" collapsed="false">
      <c r="L417" s="0" t="n">
        <v>415</v>
      </c>
      <c r="M417" s="0" t="n">
        <v>54</v>
      </c>
      <c r="N417" s="0" t="n">
        <f aca="false">AVERAGE(M414:M421)</f>
        <v>56.125</v>
      </c>
      <c r="O417" s="0" t="n">
        <f aca="false">MAX($A$23)/2</f>
        <v>965.1875</v>
      </c>
      <c r="Q417" s="0" t="n">
        <v>503</v>
      </c>
    </row>
    <row r="418" customFormat="false" ht="15.8" hidden="false" customHeight="false" outlineLevel="0" collapsed="false">
      <c r="L418" s="0" t="n">
        <v>416</v>
      </c>
      <c r="M418" s="0" t="n">
        <v>56</v>
      </c>
      <c r="N418" s="0" t="n">
        <f aca="false">AVERAGE(M415:M422)</f>
        <v>55.125</v>
      </c>
      <c r="O418" s="0" t="n">
        <f aca="false">MAX($A$23)/2</f>
        <v>965.1875</v>
      </c>
      <c r="Q418" s="0" t="n">
        <v>499</v>
      </c>
    </row>
    <row r="419" customFormat="false" ht="15.8" hidden="false" customHeight="false" outlineLevel="0" collapsed="false">
      <c r="L419" s="0" t="n">
        <v>417</v>
      </c>
      <c r="M419" s="0" t="n">
        <v>68</v>
      </c>
      <c r="N419" s="0" t="n">
        <f aca="false">AVERAGE(M416:M423)</f>
        <v>56.625</v>
      </c>
      <c r="O419" s="0" t="n">
        <f aca="false">MAX($A$23)/2</f>
        <v>965.1875</v>
      </c>
      <c r="Q419" s="0" t="n">
        <v>532</v>
      </c>
    </row>
    <row r="420" customFormat="false" ht="15.8" hidden="false" customHeight="false" outlineLevel="0" collapsed="false">
      <c r="L420" s="0" t="n">
        <v>418</v>
      </c>
      <c r="M420" s="0" t="n">
        <v>62</v>
      </c>
      <c r="N420" s="0" t="n">
        <f aca="false">AVERAGE(M417:M424)</f>
        <v>55</v>
      </c>
      <c r="O420" s="0" t="n">
        <f aca="false">MAX($A$23)/2</f>
        <v>965.1875</v>
      </c>
      <c r="Q420" s="0" t="n">
        <v>495</v>
      </c>
    </row>
    <row r="421" customFormat="false" ht="15.8" hidden="false" customHeight="false" outlineLevel="0" collapsed="false">
      <c r="L421" s="0" t="n">
        <v>419</v>
      </c>
      <c r="M421" s="0" t="n">
        <v>59</v>
      </c>
      <c r="N421" s="0" t="n">
        <f aca="false">AVERAGE(M418:M425)</f>
        <v>52.75</v>
      </c>
      <c r="O421" s="0" t="n">
        <f aca="false">MAX($A$23)/2</f>
        <v>965.1875</v>
      </c>
      <c r="Q421" s="0" t="n">
        <v>521</v>
      </c>
    </row>
    <row r="422" customFormat="false" ht="15.8" hidden="false" customHeight="false" outlineLevel="0" collapsed="false">
      <c r="L422" s="0" t="n">
        <v>420</v>
      </c>
      <c r="M422" s="0" t="n">
        <v>44</v>
      </c>
      <c r="N422" s="0" t="n">
        <f aca="false">AVERAGE(M419:M426)</f>
        <v>52.375</v>
      </c>
      <c r="O422" s="0" t="n">
        <f aca="false">MAX($A$23)/2</f>
        <v>965.1875</v>
      </c>
      <c r="Q422" s="0" t="n">
        <v>548</v>
      </c>
    </row>
    <row r="423" customFormat="false" ht="15.8" hidden="false" customHeight="false" outlineLevel="0" collapsed="false">
      <c r="L423" s="0" t="n">
        <v>421</v>
      </c>
      <c r="M423" s="0" t="n">
        <v>52</v>
      </c>
      <c r="N423" s="0" t="n">
        <f aca="false">AVERAGE(M420:M427)</f>
        <v>50.125</v>
      </c>
      <c r="O423" s="0" t="n">
        <f aca="false">MAX($A$23)/2</f>
        <v>965.1875</v>
      </c>
      <c r="Q423" s="0" t="n">
        <v>568</v>
      </c>
    </row>
    <row r="424" customFormat="false" ht="15.8" hidden="false" customHeight="false" outlineLevel="0" collapsed="false">
      <c r="L424" s="0" t="n">
        <v>422</v>
      </c>
      <c r="M424" s="0" t="n">
        <v>45</v>
      </c>
      <c r="N424" s="0" t="n">
        <f aca="false">AVERAGE(M421:M428)</f>
        <v>47.75</v>
      </c>
      <c r="O424" s="0" t="n">
        <f aca="false">MAX($A$23)/2</f>
        <v>965.1875</v>
      </c>
      <c r="Q424" s="0" t="n">
        <v>568</v>
      </c>
    </row>
    <row r="425" customFormat="false" ht="15.8" hidden="false" customHeight="false" outlineLevel="0" collapsed="false">
      <c r="L425" s="0" t="n">
        <v>423</v>
      </c>
      <c r="M425" s="0" t="n">
        <v>36</v>
      </c>
      <c r="N425" s="0" t="n">
        <f aca="false">AVERAGE(M422:M429)</f>
        <v>45.125</v>
      </c>
      <c r="O425" s="0" t="n">
        <f aca="false">MAX($A$23)/2</f>
        <v>965.1875</v>
      </c>
      <c r="Q425" s="0" t="n">
        <v>563</v>
      </c>
    </row>
    <row r="426" customFormat="false" ht="15.8" hidden="false" customHeight="false" outlineLevel="0" collapsed="false">
      <c r="L426" s="0" t="n">
        <v>424</v>
      </c>
      <c r="M426" s="0" t="n">
        <v>53</v>
      </c>
      <c r="N426" s="0" t="n">
        <f aca="false">AVERAGE(M423:M430)</f>
        <v>45.375</v>
      </c>
      <c r="O426" s="0" t="n">
        <f aca="false">MAX($A$23)/2</f>
        <v>965.1875</v>
      </c>
      <c r="Q426" s="0" t="n">
        <v>589</v>
      </c>
    </row>
    <row r="427" customFormat="false" ht="15.8" hidden="false" customHeight="false" outlineLevel="0" collapsed="false">
      <c r="L427" s="0" t="n">
        <v>425</v>
      </c>
      <c r="M427" s="0" t="n">
        <v>50</v>
      </c>
      <c r="N427" s="0" t="n">
        <f aca="false">AVERAGE(M424:M431)</f>
        <v>43.125</v>
      </c>
      <c r="O427" s="0" t="n">
        <f aca="false">MAX($A$23)/2</f>
        <v>965.1875</v>
      </c>
      <c r="Q427" s="0" t="n">
        <v>567</v>
      </c>
    </row>
    <row r="428" customFormat="false" ht="15.8" hidden="false" customHeight="false" outlineLevel="0" collapsed="false">
      <c r="L428" s="0" t="n">
        <v>426</v>
      </c>
      <c r="M428" s="0" t="n">
        <v>43</v>
      </c>
      <c r="N428" s="0" t="n">
        <f aca="false">AVERAGE(M425:M432)</f>
        <v>42.75</v>
      </c>
      <c r="O428" s="0" t="n">
        <f aca="false">MAX($A$23)/2</f>
        <v>965.1875</v>
      </c>
      <c r="Q428" s="0" t="n">
        <v>651</v>
      </c>
    </row>
    <row r="429" customFormat="false" ht="15.8" hidden="false" customHeight="false" outlineLevel="0" collapsed="false">
      <c r="L429" s="0" t="n">
        <v>427</v>
      </c>
      <c r="M429" s="0" t="n">
        <v>38</v>
      </c>
      <c r="N429" s="0" t="n">
        <f aca="false">AVERAGE(M426:M433)</f>
        <v>43.125</v>
      </c>
      <c r="O429" s="0" t="n">
        <f aca="false">MAX($A$23)/2</f>
        <v>965.1875</v>
      </c>
      <c r="Q429" s="0" t="n">
        <v>603</v>
      </c>
    </row>
    <row r="430" customFormat="false" ht="15.8" hidden="false" customHeight="false" outlineLevel="0" collapsed="false">
      <c r="L430" s="0" t="n">
        <v>428</v>
      </c>
      <c r="M430" s="0" t="n">
        <v>46</v>
      </c>
      <c r="N430" s="0" t="n">
        <f aca="false">AVERAGE(M427:M434)</f>
        <v>42</v>
      </c>
      <c r="O430" s="0" t="n">
        <f aca="false">MAX($A$23)/2</f>
        <v>965.1875</v>
      </c>
      <c r="Q430" s="0" t="n">
        <v>604</v>
      </c>
    </row>
    <row r="431" customFormat="false" ht="15.8" hidden="false" customHeight="false" outlineLevel="0" collapsed="false">
      <c r="L431" s="0" t="n">
        <v>429</v>
      </c>
      <c r="M431" s="0" t="n">
        <v>34</v>
      </c>
      <c r="N431" s="0" t="n">
        <f aca="false">AVERAGE(M428:M435)</f>
        <v>41.375</v>
      </c>
      <c r="O431" s="0" t="n">
        <f aca="false">MAX($A$23)/2</f>
        <v>965.1875</v>
      </c>
      <c r="Q431" s="0" t="n">
        <v>652</v>
      </c>
    </row>
    <row r="432" customFormat="false" ht="15.8" hidden="false" customHeight="false" outlineLevel="0" collapsed="false">
      <c r="L432" s="0" t="n">
        <v>430</v>
      </c>
      <c r="M432" s="0" t="n">
        <v>42</v>
      </c>
      <c r="N432" s="0" t="n">
        <f aca="false">AVERAGE(M429:M436)</f>
        <v>41.25</v>
      </c>
      <c r="O432" s="0" t="n">
        <f aca="false">MAX($A$23)/2</f>
        <v>965.1875</v>
      </c>
      <c r="Q432" s="0" t="n">
        <v>662</v>
      </c>
    </row>
    <row r="433" customFormat="false" ht="15.8" hidden="false" customHeight="false" outlineLevel="0" collapsed="false">
      <c r="L433" s="0" t="n">
        <v>431</v>
      </c>
      <c r="M433" s="0" t="n">
        <v>39</v>
      </c>
      <c r="N433" s="0" t="n">
        <f aca="false">AVERAGE(M430:M437)</f>
        <v>42</v>
      </c>
      <c r="O433" s="0" t="n">
        <f aca="false">MAX($A$23)/2</f>
        <v>965.1875</v>
      </c>
      <c r="Q433" s="0" t="n">
        <v>653</v>
      </c>
    </row>
    <row r="434" customFormat="false" ht="15.8" hidden="false" customHeight="false" outlineLevel="0" collapsed="false">
      <c r="L434" s="0" t="n">
        <v>432</v>
      </c>
      <c r="M434" s="0" t="n">
        <v>44</v>
      </c>
      <c r="N434" s="0" t="n">
        <f aca="false">AVERAGE(M431:M438)</f>
        <v>44.25</v>
      </c>
      <c r="O434" s="0" t="n">
        <f aca="false">MAX($A$23)/2</f>
        <v>965.1875</v>
      </c>
      <c r="Q434" s="0" t="n">
        <v>667</v>
      </c>
    </row>
    <row r="435" customFormat="false" ht="15.8" hidden="false" customHeight="false" outlineLevel="0" collapsed="false">
      <c r="L435" s="0" t="n">
        <v>433</v>
      </c>
      <c r="M435" s="0" t="n">
        <v>45</v>
      </c>
      <c r="N435" s="0" t="n">
        <f aca="false">AVERAGE(M432:M439)</f>
        <v>45.75</v>
      </c>
      <c r="O435" s="0" t="n">
        <f aca="false">MAX($A$23)/2</f>
        <v>965.1875</v>
      </c>
      <c r="Q435" s="0" t="n">
        <v>676</v>
      </c>
    </row>
    <row r="436" customFormat="false" ht="15.8" hidden="false" customHeight="false" outlineLevel="0" collapsed="false">
      <c r="L436" s="0" t="n">
        <v>434</v>
      </c>
      <c r="M436" s="0" t="n">
        <v>42</v>
      </c>
      <c r="N436" s="0" t="n">
        <f aca="false">AVERAGE(M433:M440)</f>
        <v>44.875</v>
      </c>
      <c r="O436" s="0" t="n">
        <f aca="false">MAX($A$23)/2</f>
        <v>965.1875</v>
      </c>
      <c r="Q436" s="0" t="n">
        <v>704</v>
      </c>
    </row>
    <row r="437" customFormat="false" ht="15.8" hidden="false" customHeight="false" outlineLevel="0" collapsed="false">
      <c r="L437" s="0" t="n">
        <v>435</v>
      </c>
      <c r="M437" s="0" t="n">
        <v>44</v>
      </c>
      <c r="N437" s="0" t="n">
        <f aca="false">AVERAGE(M434:M441)</f>
        <v>44.375</v>
      </c>
      <c r="O437" s="0" t="n">
        <f aca="false">MAX($A$23)/2</f>
        <v>965.1875</v>
      </c>
      <c r="Q437" s="0" t="n">
        <v>760</v>
      </c>
    </row>
    <row r="438" customFormat="false" ht="15.8" hidden="false" customHeight="false" outlineLevel="0" collapsed="false">
      <c r="L438" s="0" t="n">
        <v>436</v>
      </c>
      <c r="M438" s="0" t="n">
        <v>64</v>
      </c>
      <c r="N438" s="0" t="n">
        <f aca="false">AVERAGE(M435:M442)</f>
        <v>43.25</v>
      </c>
      <c r="O438" s="0" t="n">
        <f aca="false">MAX($A$23)/2</f>
        <v>965.1875</v>
      </c>
      <c r="Q438" s="0" t="n">
        <v>713</v>
      </c>
    </row>
    <row r="439" customFormat="false" ht="15.8" hidden="false" customHeight="false" outlineLevel="0" collapsed="false">
      <c r="L439" s="0" t="n">
        <v>437</v>
      </c>
      <c r="M439" s="0" t="n">
        <v>46</v>
      </c>
      <c r="N439" s="0" t="n">
        <f aca="false">AVERAGE(M436:M443)</f>
        <v>42.25</v>
      </c>
      <c r="O439" s="0" t="n">
        <f aca="false">MAX($A$23)/2</f>
        <v>965.1875</v>
      </c>
      <c r="Q439" s="0" t="n">
        <v>672</v>
      </c>
    </row>
    <row r="440" customFormat="false" ht="15.8" hidden="false" customHeight="false" outlineLevel="0" collapsed="false">
      <c r="L440" s="0" t="n">
        <v>438</v>
      </c>
      <c r="M440" s="0" t="n">
        <v>35</v>
      </c>
      <c r="N440" s="0" t="n">
        <f aca="false">AVERAGE(M437:M444)</f>
        <v>41.25</v>
      </c>
      <c r="O440" s="0" t="n">
        <f aca="false">MAX($A$23)/2</f>
        <v>965.1875</v>
      </c>
      <c r="Q440" s="0" t="n">
        <v>739</v>
      </c>
    </row>
    <row r="441" customFormat="false" ht="15.8" hidden="false" customHeight="false" outlineLevel="0" collapsed="false">
      <c r="L441" s="0" t="n">
        <v>439</v>
      </c>
      <c r="M441" s="0" t="n">
        <v>35</v>
      </c>
      <c r="N441" s="0" t="n">
        <f aca="false">AVERAGE(M438:M445)</f>
        <v>40</v>
      </c>
      <c r="O441" s="0" t="n">
        <f aca="false">MAX($A$23)/2</f>
        <v>965.1875</v>
      </c>
      <c r="Q441" s="0" t="n">
        <v>805</v>
      </c>
    </row>
    <row r="442" customFormat="false" ht="15.8" hidden="false" customHeight="false" outlineLevel="0" collapsed="false">
      <c r="L442" s="0" t="n">
        <v>440</v>
      </c>
      <c r="M442" s="0" t="n">
        <v>35</v>
      </c>
      <c r="N442" s="0" t="n">
        <f aca="false">AVERAGE(M439:M446)</f>
        <v>36.75</v>
      </c>
      <c r="O442" s="0" t="n">
        <f aca="false">MAX($A$23)/2</f>
        <v>965.1875</v>
      </c>
      <c r="Q442" s="0" t="n">
        <v>798</v>
      </c>
    </row>
    <row r="443" customFormat="false" ht="15.8" hidden="false" customHeight="false" outlineLevel="0" collapsed="false">
      <c r="L443" s="0" t="n">
        <v>441</v>
      </c>
      <c r="M443" s="0" t="n">
        <v>37</v>
      </c>
      <c r="N443" s="0" t="n">
        <f aca="false">AVERAGE(M440:M447)</f>
        <v>35</v>
      </c>
      <c r="O443" s="0" t="n">
        <f aca="false">MAX($A$23)/2</f>
        <v>965.1875</v>
      </c>
      <c r="Q443" s="0" t="n">
        <v>792</v>
      </c>
    </row>
    <row r="444" customFormat="false" ht="15.8" hidden="false" customHeight="false" outlineLevel="0" collapsed="false">
      <c r="L444" s="0" t="n">
        <v>442</v>
      </c>
      <c r="M444" s="0" t="n">
        <v>34</v>
      </c>
      <c r="N444" s="0" t="n">
        <f aca="false">AVERAGE(M441:M448)</f>
        <v>32.875</v>
      </c>
      <c r="O444" s="0" t="n">
        <f aca="false">MAX($A$23)/2</f>
        <v>965.1875</v>
      </c>
      <c r="Q444" s="0" t="n">
        <v>736</v>
      </c>
    </row>
    <row r="445" customFormat="false" ht="15.8" hidden="false" customHeight="false" outlineLevel="0" collapsed="false">
      <c r="L445" s="0" t="n">
        <v>443</v>
      </c>
      <c r="M445" s="0" t="n">
        <v>34</v>
      </c>
      <c r="N445" s="0" t="n">
        <f aca="false">AVERAGE(M442:M449)</f>
        <v>32</v>
      </c>
      <c r="O445" s="0" t="n">
        <f aca="false">MAX($A$23)/2</f>
        <v>965.1875</v>
      </c>
      <c r="Q445" s="0" t="n">
        <v>792</v>
      </c>
    </row>
    <row r="446" customFormat="false" ht="15.8" hidden="false" customHeight="false" outlineLevel="0" collapsed="false">
      <c r="L446" s="0" t="n">
        <v>444</v>
      </c>
      <c r="M446" s="0" t="n">
        <v>38</v>
      </c>
      <c r="N446" s="0" t="n">
        <f aca="false">AVERAGE(M443:M450)</f>
        <v>31</v>
      </c>
      <c r="O446" s="0" t="n">
        <f aca="false">MAX($A$23)/2</f>
        <v>965.1875</v>
      </c>
      <c r="Q446" s="0" t="n">
        <v>803</v>
      </c>
    </row>
    <row r="447" customFormat="false" ht="15.8" hidden="false" customHeight="false" outlineLevel="0" collapsed="false">
      <c r="L447" s="0" t="n">
        <v>445</v>
      </c>
      <c r="M447" s="0" t="n">
        <v>32</v>
      </c>
      <c r="N447" s="0" t="n">
        <f aca="false">AVERAGE(M444:M451)</f>
        <v>30</v>
      </c>
      <c r="O447" s="0" t="n">
        <f aca="false">MAX($A$23)/2</f>
        <v>965.1875</v>
      </c>
      <c r="Q447" s="0" t="n">
        <v>822</v>
      </c>
    </row>
    <row r="448" customFormat="false" ht="15.8" hidden="false" customHeight="false" outlineLevel="0" collapsed="false">
      <c r="L448" s="0" t="n">
        <v>446</v>
      </c>
      <c r="M448" s="0" t="n">
        <v>18</v>
      </c>
      <c r="N448" s="0" t="n">
        <f aca="false">AVERAGE(M445:M452)</f>
        <v>28.625</v>
      </c>
      <c r="O448" s="0" t="n">
        <f aca="false">MAX($A$23)/2</f>
        <v>965.1875</v>
      </c>
      <c r="Q448" s="0" t="n">
        <v>861</v>
      </c>
    </row>
    <row r="449" customFormat="false" ht="15.8" hidden="false" customHeight="false" outlineLevel="0" collapsed="false">
      <c r="L449" s="0" t="n">
        <v>447</v>
      </c>
      <c r="M449" s="0" t="n">
        <v>28</v>
      </c>
      <c r="N449" s="0" t="n">
        <f aca="false">AVERAGE(M446:M453)</f>
        <v>28</v>
      </c>
      <c r="O449" s="0" t="n">
        <f aca="false">MAX($A$23)/2</f>
        <v>965.1875</v>
      </c>
      <c r="Q449" s="0" t="n">
        <v>851</v>
      </c>
    </row>
    <row r="450" customFormat="false" ht="15.8" hidden="false" customHeight="false" outlineLevel="0" collapsed="false">
      <c r="L450" s="0" t="n">
        <v>448</v>
      </c>
      <c r="M450" s="0" t="n">
        <v>27</v>
      </c>
      <c r="N450" s="0" t="n">
        <f aca="false">AVERAGE(M447:M454)</f>
        <v>26</v>
      </c>
      <c r="O450" s="0" t="n">
        <f aca="false">MAX($A$23)/2</f>
        <v>965.1875</v>
      </c>
      <c r="Q450" s="0" t="n">
        <v>849</v>
      </c>
    </row>
    <row r="451" customFormat="false" ht="15.8" hidden="false" customHeight="false" outlineLevel="0" collapsed="false">
      <c r="L451" s="0" t="n">
        <v>449</v>
      </c>
      <c r="M451" s="0" t="n">
        <v>29</v>
      </c>
      <c r="N451" s="0" t="n">
        <f aca="false">AVERAGE(M448:M455)</f>
        <v>25.625</v>
      </c>
      <c r="O451" s="0" t="n">
        <f aca="false">MAX($A$23)/2</f>
        <v>965.1875</v>
      </c>
      <c r="Q451" s="0" t="n">
        <v>821</v>
      </c>
    </row>
    <row r="452" customFormat="false" ht="15.8" hidden="false" customHeight="false" outlineLevel="0" collapsed="false">
      <c r="L452" s="0" t="n">
        <v>450</v>
      </c>
      <c r="M452" s="0" t="n">
        <v>23</v>
      </c>
      <c r="N452" s="0" t="n">
        <f aca="false">AVERAGE(M449:M456)</f>
        <v>25.875</v>
      </c>
      <c r="O452" s="0" t="n">
        <f aca="false">MAX($A$23)/2</f>
        <v>965.1875</v>
      </c>
      <c r="Q452" s="0" t="n">
        <v>837</v>
      </c>
    </row>
    <row r="453" customFormat="false" ht="15.8" hidden="false" customHeight="false" outlineLevel="0" collapsed="false">
      <c r="L453" s="0" t="n">
        <v>451</v>
      </c>
      <c r="M453" s="0" t="n">
        <v>29</v>
      </c>
      <c r="N453" s="0" t="n">
        <f aca="false">AVERAGE(M450:M457)</f>
        <v>25.5</v>
      </c>
      <c r="O453" s="0" t="n">
        <f aca="false">MAX($A$23)/2</f>
        <v>965.1875</v>
      </c>
      <c r="Q453" s="0" t="n">
        <v>888</v>
      </c>
    </row>
    <row r="454" customFormat="false" ht="15.8" hidden="false" customHeight="false" outlineLevel="0" collapsed="false">
      <c r="L454" s="0" t="n">
        <v>452</v>
      </c>
      <c r="M454" s="0" t="n">
        <v>22</v>
      </c>
      <c r="N454" s="0" t="n">
        <f aca="false">AVERAGE(M451:M458)</f>
        <v>25.75</v>
      </c>
      <c r="O454" s="0" t="n">
        <f aca="false">MAX($A$23)/2</f>
        <v>965.1875</v>
      </c>
      <c r="Q454" s="0" t="n">
        <v>886</v>
      </c>
    </row>
    <row r="455" customFormat="false" ht="15.8" hidden="false" customHeight="false" outlineLevel="0" collapsed="false">
      <c r="L455" s="0" t="n">
        <v>453</v>
      </c>
      <c r="M455" s="0" t="n">
        <v>29</v>
      </c>
      <c r="N455" s="0" t="n">
        <f aca="false">AVERAGE(M452:M459)</f>
        <v>25.75</v>
      </c>
      <c r="O455" s="0" t="n">
        <f aca="false">MAX($A$23)/2</f>
        <v>965.1875</v>
      </c>
      <c r="Q455" s="0" t="n">
        <v>890</v>
      </c>
    </row>
    <row r="456" customFormat="false" ht="15.8" hidden="false" customHeight="false" outlineLevel="0" collapsed="false">
      <c r="L456" s="0" t="n">
        <v>454</v>
      </c>
      <c r="M456" s="0" t="n">
        <v>20</v>
      </c>
      <c r="N456" s="0" t="n">
        <f aca="false">AVERAGE(M453:M460)</f>
        <v>24.875</v>
      </c>
      <c r="O456" s="0" t="n">
        <f aca="false">MAX($A$23)/2</f>
        <v>965.1875</v>
      </c>
      <c r="Q456" s="0" t="n">
        <v>856</v>
      </c>
    </row>
    <row r="457" customFormat="false" ht="15.8" hidden="false" customHeight="false" outlineLevel="0" collapsed="false">
      <c r="L457" s="0" t="n">
        <v>455</v>
      </c>
      <c r="M457" s="0" t="n">
        <v>25</v>
      </c>
      <c r="N457" s="0" t="n">
        <f aca="false">AVERAGE(M454:M461)</f>
        <v>24.75</v>
      </c>
      <c r="O457" s="0" t="n">
        <f aca="false">MAX($A$23)/2</f>
        <v>965.1875</v>
      </c>
      <c r="Q457" s="0" t="n">
        <v>896</v>
      </c>
    </row>
    <row r="458" customFormat="false" ht="15.8" hidden="false" customHeight="false" outlineLevel="0" collapsed="false">
      <c r="L458" s="0" t="n">
        <v>456</v>
      </c>
      <c r="M458" s="0" t="n">
        <v>29</v>
      </c>
      <c r="N458" s="0" t="n">
        <f aca="false">AVERAGE(M455:M462)</f>
        <v>24.75</v>
      </c>
      <c r="O458" s="0" t="n">
        <f aca="false">MAX($A$23)/2</f>
        <v>965.1875</v>
      </c>
      <c r="Q458" s="0" t="n">
        <v>884</v>
      </c>
    </row>
    <row r="459" customFormat="false" ht="15.8" hidden="false" customHeight="false" outlineLevel="0" collapsed="false">
      <c r="L459" s="0" t="n">
        <v>457</v>
      </c>
      <c r="M459" s="0" t="n">
        <v>29</v>
      </c>
      <c r="N459" s="0" t="n">
        <f aca="false">AVERAGE(M456:M463)</f>
        <v>24.25</v>
      </c>
      <c r="O459" s="0" t="n">
        <f aca="false">MAX($A$23)/2</f>
        <v>965.1875</v>
      </c>
      <c r="Q459" s="0" t="n">
        <v>882</v>
      </c>
    </row>
    <row r="460" customFormat="false" ht="15.8" hidden="false" customHeight="false" outlineLevel="0" collapsed="false">
      <c r="L460" s="0" t="n">
        <v>458</v>
      </c>
      <c r="M460" s="0" t="n">
        <v>16</v>
      </c>
      <c r="N460" s="0" t="n">
        <f aca="false">AVERAGE(M457:M464)</f>
        <v>24.625</v>
      </c>
      <c r="O460" s="0" t="n">
        <f aca="false">MAX($A$23)/2</f>
        <v>965.1875</v>
      </c>
      <c r="Q460" s="0" t="n">
        <v>891</v>
      </c>
    </row>
    <row r="461" customFormat="false" ht="15.8" hidden="false" customHeight="false" outlineLevel="0" collapsed="false">
      <c r="L461" s="0" t="n">
        <v>459</v>
      </c>
      <c r="M461" s="0" t="n">
        <v>28</v>
      </c>
      <c r="N461" s="0" t="n">
        <f aca="false">AVERAGE(M458:M465)</f>
        <v>23.5</v>
      </c>
      <c r="O461" s="0" t="n">
        <f aca="false">MAX($A$23)/2</f>
        <v>965.1875</v>
      </c>
      <c r="Q461" s="0" t="n">
        <v>951</v>
      </c>
    </row>
    <row r="462" customFormat="false" ht="15.8" hidden="false" customHeight="false" outlineLevel="0" collapsed="false">
      <c r="L462" s="0" t="n">
        <v>460</v>
      </c>
      <c r="M462" s="0" t="n">
        <v>22</v>
      </c>
      <c r="N462" s="0" t="n">
        <f aca="false">AVERAGE(M459:M466)</f>
        <v>22.25</v>
      </c>
      <c r="O462" s="0" t="n">
        <f aca="false">MAX($A$23)/2</f>
        <v>965.1875</v>
      </c>
      <c r="Q462" s="0" t="n">
        <v>890</v>
      </c>
    </row>
    <row r="463" customFormat="false" ht="15.8" hidden="false" customHeight="false" outlineLevel="0" collapsed="false">
      <c r="L463" s="0" t="n">
        <v>461</v>
      </c>
      <c r="M463" s="0" t="n">
        <v>25</v>
      </c>
      <c r="N463" s="0" t="n">
        <f aca="false">AVERAGE(M460:M467)</f>
        <v>20.875</v>
      </c>
      <c r="O463" s="0" t="n">
        <f aca="false">MAX($A$23)/2</f>
        <v>965.1875</v>
      </c>
      <c r="Q463" s="0" t="n">
        <v>889</v>
      </c>
    </row>
    <row r="464" customFormat="false" ht="15.8" hidden="false" customHeight="false" outlineLevel="0" collapsed="false">
      <c r="L464" s="0" t="n">
        <v>462</v>
      </c>
      <c r="M464" s="0" t="n">
        <v>23</v>
      </c>
      <c r="N464" s="0" t="n">
        <f aca="false">AVERAGE(M461:M468)</f>
        <v>21.375</v>
      </c>
      <c r="O464" s="0" t="n">
        <f aca="false">MAX($A$23)/2</f>
        <v>965.1875</v>
      </c>
      <c r="Q464" s="0" t="n">
        <v>911</v>
      </c>
    </row>
    <row r="465" customFormat="false" ht="15.8" hidden="false" customHeight="false" outlineLevel="0" collapsed="false">
      <c r="L465" s="0" t="n">
        <v>463</v>
      </c>
      <c r="M465" s="0" t="n">
        <v>16</v>
      </c>
      <c r="N465" s="0" t="n">
        <f aca="false">AVERAGE(M462:M469)</f>
        <v>19.75</v>
      </c>
      <c r="O465" s="0" t="n">
        <f aca="false">MAX($A$23)/2</f>
        <v>965.1875</v>
      </c>
      <c r="Q465" s="0" t="n">
        <v>974</v>
      </c>
    </row>
    <row r="466" customFormat="false" ht="15.8" hidden="false" customHeight="false" outlineLevel="0" collapsed="false">
      <c r="L466" s="0" t="n">
        <v>464</v>
      </c>
      <c r="M466" s="0" t="n">
        <v>19</v>
      </c>
      <c r="N466" s="0" t="n">
        <f aca="false">AVERAGE(M463:M470)</f>
        <v>20</v>
      </c>
      <c r="O466" s="0" t="n">
        <f aca="false">MAX($A$23)/2</f>
        <v>965.1875</v>
      </c>
      <c r="Q466" s="0" t="n">
        <v>856</v>
      </c>
    </row>
    <row r="467" customFormat="false" ht="15.8" hidden="false" customHeight="false" outlineLevel="0" collapsed="false">
      <c r="L467" s="0" t="n">
        <v>465</v>
      </c>
      <c r="M467" s="0" t="n">
        <v>18</v>
      </c>
      <c r="N467" s="0" t="n">
        <f aca="false">AVERAGE(M464:M471)</f>
        <v>19.125</v>
      </c>
      <c r="O467" s="0" t="n">
        <f aca="false">MAX($A$23)/2</f>
        <v>965.1875</v>
      </c>
      <c r="Q467" s="0" t="n">
        <v>932</v>
      </c>
    </row>
    <row r="468" customFormat="false" ht="15.8" hidden="false" customHeight="false" outlineLevel="0" collapsed="false">
      <c r="L468" s="0" t="n">
        <v>466</v>
      </c>
      <c r="M468" s="0" t="n">
        <v>20</v>
      </c>
      <c r="N468" s="0" t="n">
        <f aca="false">AVERAGE(M465:M472)</f>
        <v>18.625</v>
      </c>
      <c r="O468" s="0" t="n">
        <f aca="false">MAX($A$23)/2</f>
        <v>965.1875</v>
      </c>
      <c r="Q468" s="0" t="n">
        <v>924</v>
      </c>
    </row>
    <row r="469" customFormat="false" ht="15.8" hidden="false" customHeight="false" outlineLevel="0" collapsed="false">
      <c r="L469" s="0" t="n">
        <v>467</v>
      </c>
      <c r="M469" s="0" t="n">
        <v>15</v>
      </c>
      <c r="N469" s="0" t="n">
        <f aca="false">AVERAGE(M466:M473)</f>
        <v>18</v>
      </c>
      <c r="O469" s="0" t="n">
        <f aca="false">MAX($A$23)/2</f>
        <v>965.1875</v>
      </c>
      <c r="Q469" s="0" t="n">
        <v>910</v>
      </c>
    </row>
    <row r="470" customFormat="false" ht="15.8" hidden="false" customHeight="false" outlineLevel="0" collapsed="false">
      <c r="L470" s="0" t="n">
        <v>468</v>
      </c>
      <c r="M470" s="0" t="n">
        <v>24</v>
      </c>
      <c r="N470" s="0" t="n">
        <f aca="false">AVERAGE(M467:M474)</f>
        <v>17.875</v>
      </c>
      <c r="O470" s="0" t="n">
        <f aca="false">MAX($A$23)/2</f>
        <v>965.1875</v>
      </c>
      <c r="Q470" s="0" t="n">
        <v>927</v>
      </c>
    </row>
    <row r="471" customFormat="false" ht="15.8" hidden="false" customHeight="false" outlineLevel="0" collapsed="false">
      <c r="L471" s="0" t="n">
        <v>469</v>
      </c>
      <c r="M471" s="0" t="n">
        <v>18</v>
      </c>
      <c r="N471" s="0" t="n">
        <f aca="false">AVERAGE(M468:M475)</f>
        <v>18</v>
      </c>
      <c r="O471" s="0" t="n">
        <f aca="false">MAX($A$23)/2</f>
        <v>965.1875</v>
      </c>
      <c r="Q471" s="0" t="n">
        <v>997</v>
      </c>
    </row>
    <row r="472" customFormat="false" ht="15.8" hidden="false" customHeight="false" outlineLevel="0" collapsed="false">
      <c r="L472" s="0" t="n">
        <v>470</v>
      </c>
      <c r="M472" s="0" t="n">
        <v>19</v>
      </c>
      <c r="N472" s="0" t="n">
        <f aca="false">AVERAGE(M469:M476)</f>
        <v>17</v>
      </c>
      <c r="O472" s="0" t="n">
        <f aca="false">MAX($A$23)/2</f>
        <v>965.1875</v>
      </c>
      <c r="Q472" s="0" t="n">
        <v>987</v>
      </c>
    </row>
    <row r="473" customFormat="false" ht="15.8" hidden="false" customHeight="false" outlineLevel="0" collapsed="false">
      <c r="L473" s="0" t="n">
        <v>471</v>
      </c>
      <c r="M473" s="0" t="n">
        <v>11</v>
      </c>
      <c r="N473" s="0" t="n">
        <f aca="false">AVERAGE(M470:M477)</f>
        <v>16.875</v>
      </c>
      <c r="O473" s="0" t="n">
        <f aca="false">MAX($A$23)/2</f>
        <v>965.1875</v>
      </c>
      <c r="Q473" s="0" t="n">
        <v>946</v>
      </c>
    </row>
    <row r="474" customFormat="false" ht="15.8" hidden="false" customHeight="false" outlineLevel="0" collapsed="false">
      <c r="L474" s="0" t="n">
        <v>472</v>
      </c>
      <c r="M474" s="0" t="n">
        <v>18</v>
      </c>
      <c r="N474" s="0" t="n">
        <f aca="false">AVERAGE(M471:M478)</f>
        <v>15.25</v>
      </c>
      <c r="O474" s="0" t="n">
        <f aca="false">MAX($A$23)/2</f>
        <v>965.1875</v>
      </c>
      <c r="Q474" s="0" t="n">
        <v>976</v>
      </c>
    </row>
    <row r="475" customFormat="false" ht="15.8" hidden="false" customHeight="false" outlineLevel="0" collapsed="false">
      <c r="L475" s="0" t="n">
        <v>473</v>
      </c>
      <c r="M475" s="0" t="n">
        <v>19</v>
      </c>
      <c r="N475" s="0" t="n">
        <f aca="false">AVERAGE(M472:M479)</f>
        <v>14.875</v>
      </c>
      <c r="O475" s="0" t="n">
        <f aca="false">MAX($A$23)/2</f>
        <v>965.1875</v>
      </c>
      <c r="Q475" s="0" t="n">
        <v>891</v>
      </c>
    </row>
    <row r="476" customFormat="false" ht="15.8" hidden="false" customHeight="false" outlineLevel="0" collapsed="false">
      <c r="L476" s="0" t="n">
        <v>474</v>
      </c>
      <c r="M476" s="0" t="n">
        <v>12</v>
      </c>
      <c r="N476" s="0" t="n">
        <f aca="false">AVERAGE(M473:M480)</f>
        <v>13.75</v>
      </c>
      <c r="O476" s="0" t="n">
        <f aca="false">MAX($A$23)/2</f>
        <v>965.1875</v>
      </c>
      <c r="Q476" s="0" t="n">
        <v>984</v>
      </c>
    </row>
    <row r="477" customFormat="false" ht="15.8" hidden="false" customHeight="false" outlineLevel="0" collapsed="false">
      <c r="L477" s="0" t="n">
        <v>475</v>
      </c>
      <c r="M477" s="0" t="n">
        <v>14</v>
      </c>
      <c r="N477" s="0" t="n">
        <f aca="false">AVERAGE(M474:M481)</f>
        <v>14.125</v>
      </c>
      <c r="O477" s="0" t="n">
        <f aca="false">MAX($A$23)/2</f>
        <v>965.1875</v>
      </c>
      <c r="Q477" s="0" t="n">
        <v>951</v>
      </c>
    </row>
    <row r="478" customFormat="false" ht="15.8" hidden="false" customHeight="false" outlineLevel="0" collapsed="false">
      <c r="L478" s="0" t="n">
        <v>476</v>
      </c>
      <c r="M478" s="0" t="n">
        <v>11</v>
      </c>
      <c r="N478" s="0" t="n">
        <f aca="false">AVERAGE(M475:M482)</f>
        <v>13</v>
      </c>
      <c r="O478" s="0" t="n">
        <f aca="false">MAX($A$23)/2</f>
        <v>965.1875</v>
      </c>
      <c r="Q478" s="0" t="n">
        <v>984</v>
      </c>
    </row>
    <row r="479" customFormat="false" ht="15.8" hidden="false" customHeight="false" outlineLevel="0" collapsed="false">
      <c r="L479" s="0" t="n">
        <v>477</v>
      </c>
      <c r="M479" s="0" t="n">
        <v>15</v>
      </c>
      <c r="N479" s="0" t="n">
        <f aca="false">AVERAGE(M476:M483)</f>
        <v>12.25</v>
      </c>
      <c r="O479" s="0" t="n">
        <f aca="false">MAX($A$23)/2</f>
        <v>965.1875</v>
      </c>
      <c r="Q479" s="0" t="n">
        <v>973</v>
      </c>
    </row>
    <row r="480" customFormat="false" ht="15.8" hidden="false" customHeight="false" outlineLevel="0" collapsed="false">
      <c r="L480" s="0" t="n">
        <v>478</v>
      </c>
      <c r="M480" s="0" t="n">
        <v>10</v>
      </c>
      <c r="N480" s="0" t="n">
        <f aca="false">AVERAGE(M477:M484)</f>
        <v>12.375</v>
      </c>
      <c r="O480" s="0" t="n">
        <f aca="false">MAX($A$23)/2</f>
        <v>965.1875</v>
      </c>
      <c r="Q480" s="0" t="n">
        <v>940</v>
      </c>
    </row>
    <row r="481" customFormat="false" ht="15.8" hidden="false" customHeight="false" outlineLevel="0" collapsed="false">
      <c r="L481" s="0" t="n">
        <v>479</v>
      </c>
      <c r="M481" s="0" t="n">
        <v>14</v>
      </c>
      <c r="N481" s="0" t="n">
        <f aca="false">AVERAGE(M478:M485)</f>
        <v>11.875</v>
      </c>
      <c r="O481" s="0" t="n">
        <f aca="false">MAX($A$23)/2</f>
        <v>965.1875</v>
      </c>
      <c r="Q481" s="0" t="n">
        <v>990</v>
      </c>
    </row>
    <row r="482" customFormat="false" ht="15.8" hidden="false" customHeight="false" outlineLevel="0" collapsed="false">
      <c r="L482" s="0" t="n">
        <v>480</v>
      </c>
      <c r="M482" s="0" t="n">
        <v>9</v>
      </c>
      <c r="N482" s="0" t="n">
        <f aca="false">AVERAGE(M479:M486)</f>
        <v>11.375</v>
      </c>
      <c r="O482" s="0" t="n">
        <f aca="false">MAX($A$23)/2</f>
        <v>965.1875</v>
      </c>
      <c r="Q482" s="0" t="n">
        <v>994</v>
      </c>
    </row>
    <row r="483" customFormat="false" ht="15.8" hidden="false" customHeight="false" outlineLevel="0" collapsed="false">
      <c r="L483" s="0" t="n">
        <v>481</v>
      </c>
      <c r="M483" s="0" t="n">
        <v>13</v>
      </c>
      <c r="N483" s="0" t="n">
        <f aca="false">AVERAGE(M480:M487)</f>
        <v>10.875</v>
      </c>
      <c r="O483" s="0" t="n">
        <f aca="false">MAX($A$23)/2</f>
        <v>965.1875</v>
      </c>
      <c r="Q483" s="0" t="n">
        <v>958</v>
      </c>
    </row>
    <row r="484" customFormat="false" ht="15.8" hidden="false" customHeight="false" outlineLevel="0" collapsed="false">
      <c r="L484" s="0" t="n">
        <v>482</v>
      </c>
      <c r="M484" s="0" t="n">
        <v>13</v>
      </c>
      <c r="N484" s="0" t="n">
        <f aca="false">AVERAGE(M481:M488)</f>
        <v>10.625</v>
      </c>
      <c r="O484" s="0" t="n">
        <f aca="false">MAX($A$23)/2</f>
        <v>965.1875</v>
      </c>
      <c r="Q484" s="0" t="n">
        <v>981</v>
      </c>
    </row>
    <row r="485" customFormat="false" ht="15.8" hidden="false" customHeight="false" outlineLevel="0" collapsed="false">
      <c r="L485" s="0" t="n">
        <v>483</v>
      </c>
      <c r="M485" s="0" t="n">
        <v>10</v>
      </c>
      <c r="N485" s="0" t="n">
        <f aca="false">AVERAGE(M482:M489)</f>
        <v>10.75</v>
      </c>
      <c r="O485" s="0" t="n">
        <f aca="false">MAX($A$23)/2</f>
        <v>965.1875</v>
      </c>
      <c r="Q485" s="0" t="n">
        <v>976</v>
      </c>
    </row>
    <row r="486" customFormat="false" ht="15.8" hidden="false" customHeight="false" outlineLevel="0" collapsed="false">
      <c r="L486" s="0" t="n">
        <v>484</v>
      </c>
      <c r="M486" s="0" t="n">
        <v>7</v>
      </c>
      <c r="N486" s="0" t="n">
        <f aca="false">AVERAGE(M483:M490)</f>
        <v>10.25</v>
      </c>
      <c r="O486" s="0" t="n">
        <f aca="false">MAX($A$23)/2</f>
        <v>965.1875</v>
      </c>
      <c r="Q486" s="0" t="n">
        <v>955</v>
      </c>
    </row>
    <row r="487" customFormat="false" ht="15.8" hidden="false" customHeight="false" outlineLevel="0" collapsed="false">
      <c r="L487" s="0" t="n">
        <v>485</v>
      </c>
      <c r="M487" s="0" t="n">
        <v>11</v>
      </c>
      <c r="N487" s="0" t="n">
        <f aca="false">AVERAGE(M484:M491)</f>
        <v>9.5</v>
      </c>
      <c r="O487" s="0" t="n">
        <f aca="false">MAX($A$23)/2</f>
        <v>965.1875</v>
      </c>
      <c r="Q487" s="0" t="n">
        <v>906</v>
      </c>
    </row>
    <row r="488" customFormat="false" ht="15.8" hidden="false" customHeight="false" outlineLevel="0" collapsed="false">
      <c r="L488" s="0" t="n">
        <v>486</v>
      </c>
      <c r="M488" s="0" t="n">
        <v>8</v>
      </c>
      <c r="N488" s="0" t="n">
        <f aca="false">AVERAGE(M485:M492)</f>
        <v>8.875</v>
      </c>
      <c r="O488" s="0" t="n">
        <f aca="false">MAX($A$23)/2</f>
        <v>965.1875</v>
      </c>
      <c r="Q488" s="0" t="n">
        <v>976</v>
      </c>
    </row>
    <row r="489" customFormat="false" ht="15.8" hidden="false" customHeight="false" outlineLevel="0" collapsed="false">
      <c r="L489" s="0" t="n">
        <v>487</v>
      </c>
      <c r="M489" s="0" t="n">
        <v>15</v>
      </c>
      <c r="N489" s="0" t="n">
        <f aca="false">AVERAGE(M486:M493)</f>
        <v>8.625</v>
      </c>
      <c r="O489" s="0" t="n">
        <f aca="false">MAX($A$23)/2</f>
        <v>965.1875</v>
      </c>
      <c r="Q489" s="0" t="n">
        <v>936</v>
      </c>
    </row>
    <row r="490" customFormat="false" ht="15.8" hidden="false" customHeight="false" outlineLevel="0" collapsed="false">
      <c r="L490" s="0" t="n">
        <v>488</v>
      </c>
      <c r="M490" s="0" t="n">
        <v>5</v>
      </c>
      <c r="N490" s="0" t="n">
        <f aca="false">AVERAGE(M487:M494)</f>
        <v>8.5</v>
      </c>
      <c r="O490" s="0" t="n">
        <f aca="false">MAX($A$23)/2</f>
        <v>965.1875</v>
      </c>
      <c r="Q490" s="0" t="n">
        <v>963</v>
      </c>
    </row>
    <row r="491" customFormat="false" ht="15.8" hidden="false" customHeight="false" outlineLevel="0" collapsed="false">
      <c r="L491" s="0" t="n">
        <v>489</v>
      </c>
      <c r="M491" s="0" t="n">
        <v>7</v>
      </c>
      <c r="N491" s="0" t="n">
        <f aca="false">AVERAGE(M488:M495)</f>
        <v>8.125</v>
      </c>
      <c r="O491" s="0" t="n">
        <f aca="false">MAX($A$23)/2</f>
        <v>965.1875</v>
      </c>
      <c r="Q491" s="0" t="n">
        <v>932</v>
      </c>
    </row>
    <row r="492" customFormat="false" ht="15.8" hidden="false" customHeight="false" outlineLevel="0" collapsed="false">
      <c r="L492" s="0" t="n">
        <v>490</v>
      </c>
      <c r="M492" s="0" t="n">
        <v>8</v>
      </c>
      <c r="N492" s="0" t="n">
        <f aca="false">AVERAGE(M489:M496)</f>
        <v>7.875</v>
      </c>
      <c r="O492" s="0" t="n">
        <f aca="false">MAX($A$23)/2</f>
        <v>965.1875</v>
      </c>
      <c r="Q492" s="0" t="n">
        <v>918</v>
      </c>
    </row>
    <row r="493" customFormat="false" ht="15.8" hidden="false" customHeight="false" outlineLevel="0" collapsed="false">
      <c r="L493" s="0" t="n">
        <v>491</v>
      </c>
      <c r="M493" s="0" t="n">
        <v>8</v>
      </c>
      <c r="N493" s="0" t="n">
        <f aca="false">AVERAGE(M490:M497)</f>
        <v>7.375</v>
      </c>
      <c r="O493" s="0" t="n">
        <f aca="false">MAX($A$23)/2</f>
        <v>965.1875</v>
      </c>
      <c r="Q493" s="0" t="n">
        <v>935</v>
      </c>
    </row>
    <row r="494" customFormat="false" ht="15.8" hidden="false" customHeight="false" outlineLevel="0" collapsed="false">
      <c r="L494" s="0" t="n">
        <v>492</v>
      </c>
      <c r="M494" s="0" t="n">
        <v>6</v>
      </c>
      <c r="N494" s="0" t="n">
        <f aca="false">AVERAGE(M491:M498)</f>
        <v>8</v>
      </c>
      <c r="O494" s="0" t="n">
        <f aca="false">MAX($A$23)/2</f>
        <v>965.1875</v>
      </c>
      <c r="Q494" s="0" t="n">
        <v>901</v>
      </c>
    </row>
    <row r="495" customFormat="false" ht="15.8" hidden="false" customHeight="false" outlineLevel="0" collapsed="false">
      <c r="L495" s="0" t="n">
        <v>493</v>
      </c>
      <c r="M495" s="0" t="n">
        <v>8</v>
      </c>
      <c r="N495" s="0" t="n">
        <f aca="false">AVERAGE(M492:M499)</f>
        <v>8.125</v>
      </c>
      <c r="O495" s="0" t="n">
        <f aca="false">MAX($A$23)/2</f>
        <v>965.1875</v>
      </c>
      <c r="Q495" s="0" t="n">
        <v>910</v>
      </c>
    </row>
    <row r="496" customFormat="false" ht="15.8" hidden="false" customHeight="false" outlineLevel="0" collapsed="false">
      <c r="L496" s="0" t="n">
        <v>494</v>
      </c>
      <c r="M496" s="0" t="n">
        <v>6</v>
      </c>
      <c r="N496" s="0" t="n">
        <f aca="false">AVERAGE(M493:M500)</f>
        <v>7.375</v>
      </c>
      <c r="O496" s="0" t="n">
        <f aca="false">MAX($A$23)/2</f>
        <v>965.1875</v>
      </c>
      <c r="Q496" s="0" t="n">
        <v>953</v>
      </c>
    </row>
    <row r="497" customFormat="false" ht="15.8" hidden="false" customHeight="false" outlineLevel="0" collapsed="false">
      <c r="L497" s="0" t="n">
        <v>495</v>
      </c>
      <c r="M497" s="0" t="n">
        <v>11</v>
      </c>
      <c r="N497" s="0" t="n">
        <f aca="false">AVERAGE(M494:M501)</f>
        <v>7</v>
      </c>
      <c r="O497" s="0" t="n">
        <f aca="false">MAX($A$23)/2</f>
        <v>965.1875</v>
      </c>
      <c r="Q497" s="0" t="n">
        <v>982</v>
      </c>
    </row>
    <row r="498" customFormat="false" ht="15.8" hidden="false" customHeight="false" outlineLevel="0" collapsed="false">
      <c r="L498" s="0" t="n">
        <v>496</v>
      </c>
      <c r="M498" s="0" t="n">
        <v>10</v>
      </c>
      <c r="N498" s="0" t="n">
        <f aca="false">AVERAGE(M495:M502)</f>
        <v>7.25</v>
      </c>
      <c r="O498" s="0" t="n">
        <f aca="false">MAX($A$23)/2</f>
        <v>965.1875</v>
      </c>
      <c r="Q498" s="0" t="n">
        <v>932</v>
      </c>
    </row>
    <row r="499" customFormat="false" ht="15.8" hidden="false" customHeight="false" outlineLevel="0" collapsed="false">
      <c r="L499" s="0" t="n">
        <v>497</v>
      </c>
      <c r="M499" s="0" t="n">
        <v>8</v>
      </c>
      <c r="N499" s="0" t="n">
        <f aca="false">AVERAGE(M496:M503)</f>
        <v>6.75</v>
      </c>
      <c r="O499" s="0" t="n">
        <f aca="false">MAX($A$23)/2</f>
        <v>965.1875</v>
      </c>
      <c r="Q499" s="0" t="n">
        <v>915</v>
      </c>
    </row>
    <row r="500" customFormat="false" ht="15.8" hidden="false" customHeight="false" outlineLevel="0" collapsed="false">
      <c r="L500" s="0" t="n">
        <v>498</v>
      </c>
      <c r="M500" s="0" t="n">
        <v>2</v>
      </c>
      <c r="N500" s="0" t="n">
        <f aca="false">AVERAGE(M497:M504)</f>
        <v>6.625</v>
      </c>
      <c r="O500" s="0" t="n">
        <f aca="false">MAX($A$23)/2</f>
        <v>965.1875</v>
      </c>
      <c r="Q500" s="0" t="n">
        <v>954</v>
      </c>
    </row>
    <row r="501" customFormat="false" ht="15.8" hidden="false" customHeight="false" outlineLevel="0" collapsed="false">
      <c r="L501" s="0" t="n">
        <v>499</v>
      </c>
      <c r="M501" s="0" t="n">
        <v>5</v>
      </c>
      <c r="N501" s="0" t="n">
        <f aca="false">AVERAGE(M498:M505)</f>
        <v>6.25</v>
      </c>
      <c r="O501" s="0" t="n">
        <f aca="false">MAX($A$23)/2</f>
        <v>965.1875</v>
      </c>
      <c r="Q501" s="0" t="n">
        <v>960</v>
      </c>
    </row>
    <row r="502" customFormat="false" ht="15.8" hidden="false" customHeight="false" outlineLevel="0" collapsed="false">
      <c r="L502" s="0" t="n">
        <v>500</v>
      </c>
      <c r="M502" s="0" t="n">
        <v>8</v>
      </c>
      <c r="N502" s="0" t="n">
        <f aca="false">AVERAGE(M499:M506)</f>
        <v>6.25</v>
      </c>
      <c r="O502" s="0" t="n">
        <f aca="false">MAX($A$23)/2</f>
        <v>965.1875</v>
      </c>
      <c r="Q502" s="0" t="n">
        <v>948</v>
      </c>
    </row>
    <row r="503" customFormat="false" ht="15.8" hidden="false" customHeight="false" outlineLevel="0" collapsed="false">
      <c r="L503" s="0" t="n">
        <v>501</v>
      </c>
      <c r="M503" s="0" t="n">
        <v>4</v>
      </c>
      <c r="N503" s="0" t="n">
        <f aca="false">AVERAGE(M500:M507)</f>
        <v>5.625</v>
      </c>
      <c r="O503" s="0" t="n">
        <f aca="false">MAX($A$23)/2</f>
        <v>965.1875</v>
      </c>
      <c r="Q503" s="0" t="n">
        <v>942</v>
      </c>
    </row>
    <row r="504" customFormat="false" ht="15.8" hidden="false" customHeight="false" outlineLevel="0" collapsed="false">
      <c r="L504" s="0" t="n">
        <v>502</v>
      </c>
      <c r="M504" s="0" t="n">
        <v>5</v>
      </c>
      <c r="N504" s="0" t="n">
        <f aca="false">AVERAGE(M501:M508)</f>
        <v>5.875</v>
      </c>
      <c r="O504" s="0" t="n">
        <f aca="false">MAX($A$23)/2</f>
        <v>965.1875</v>
      </c>
      <c r="Q504" s="0" t="n">
        <v>909</v>
      </c>
    </row>
    <row r="505" customFormat="false" ht="15.8" hidden="false" customHeight="false" outlineLevel="0" collapsed="false">
      <c r="L505" s="0" t="n">
        <v>503</v>
      </c>
      <c r="M505" s="0" t="n">
        <v>8</v>
      </c>
      <c r="N505" s="0" t="n">
        <f aca="false">AVERAGE(M502:M509)</f>
        <v>5.5</v>
      </c>
      <c r="O505" s="0" t="n">
        <f aca="false">MAX($A$23)/2</f>
        <v>965.1875</v>
      </c>
      <c r="Q505" s="0" t="n">
        <v>988</v>
      </c>
    </row>
    <row r="506" customFormat="false" ht="15.8" hidden="false" customHeight="false" outlineLevel="0" collapsed="false">
      <c r="L506" s="0" t="n">
        <v>504</v>
      </c>
      <c r="M506" s="0" t="n">
        <v>10</v>
      </c>
      <c r="N506" s="0" t="n">
        <f aca="false">AVERAGE(M503:M510)</f>
        <v>5</v>
      </c>
      <c r="O506" s="0" t="n">
        <f aca="false">MAX($A$23)/2</f>
        <v>965.1875</v>
      </c>
      <c r="Q506" s="0" t="n">
        <v>908</v>
      </c>
    </row>
    <row r="507" customFormat="false" ht="15.8" hidden="false" customHeight="false" outlineLevel="0" collapsed="false">
      <c r="L507" s="0" t="n">
        <v>505</v>
      </c>
      <c r="M507" s="0" t="n">
        <v>3</v>
      </c>
      <c r="N507" s="0" t="n">
        <f aca="false">AVERAGE(M504:M511)</f>
        <v>4.875</v>
      </c>
      <c r="O507" s="0" t="n">
        <f aca="false">MAX($A$23)/2</f>
        <v>965.1875</v>
      </c>
      <c r="Q507" s="0" t="n">
        <v>941</v>
      </c>
    </row>
    <row r="508" customFormat="false" ht="15.8" hidden="false" customHeight="false" outlineLevel="0" collapsed="false">
      <c r="L508" s="0" t="n">
        <v>506</v>
      </c>
      <c r="M508" s="0" t="n">
        <v>4</v>
      </c>
      <c r="N508" s="0" t="n">
        <f aca="false">AVERAGE(M505:M512)</f>
        <v>4.5</v>
      </c>
      <c r="O508" s="0" t="n">
        <f aca="false">MAX($A$23)/2</f>
        <v>965.1875</v>
      </c>
      <c r="Q508" s="0" t="n">
        <v>924</v>
      </c>
    </row>
    <row r="509" customFormat="false" ht="15.8" hidden="false" customHeight="false" outlineLevel="0" collapsed="false">
      <c r="L509" s="0" t="n">
        <v>507</v>
      </c>
      <c r="M509" s="0" t="n">
        <v>2</v>
      </c>
      <c r="N509" s="0" t="n">
        <f aca="false">AVERAGE(M506:M513)</f>
        <v>3.875</v>
      </c>
      <c r="O509" s="0" t="n">
        <f aca="false">MAX($A$23)/2</f>
        <v>965.1875</v>
      </c>
      <c r="Q509" s="0" t="n">
        <v>893</v>
      </c>
    </row>
    <row r="510" customFormat="false" ht="15.8" hidden="false" customHeight="false" outlineLevel="0" collapsed="false">
      <c r="L510" s="0" t="n">
        <v>508</v>
      </c>
      <c r="M510" s="0" t="n">
        <v>4</v>
      </c>
      <c r="N510" s="0" t="n">
        <f aca="false">AVERAGE(M507:M514)</f>
        <v>3.625</v>
      </c>
      <c r="O510" s="0" t="n">
        <f aca="false">MAX($A$23)/2</f>
        <v>965.1875</v>
      </c>
      <c r="Q510" s="0" t="n">
        <v>904</v>
      </c>
    </row>
    <row r="511" customFormat="false" ht="15.8" hidden="false" customHeight="false" outlineLevel="0" collapsed="false">
      <c r="L511" s="0" t="n">
        <v>509</v>
      </c>
      <c r="M511" s="0" t="n">
        <v>3</v>
      </c>
      <c r="N511" s="0" t="n">
        <f aca="false">AVERAGE(M508:M515)</f>
        <v>3.625</v>
      </c>
      <c r="O511" s="0" t="n">
        <f aca="false">MAX($A$23)/2</f>
        <v>965.1875</v>
      </c>
      <c r="Q511" s="0" t="n">
        <v>901</v>
      </c>
    </row>
    <row r="512" customFormat="false" ht="15.8" hidden="false" customHeight="false" outlineLevel="0" collapsed="false">
      <c r="L512" s="0" t="n">
        <v>510</v>
      </c>
      <c r="M512" s="0" t="n">
        <v>2</v>
      </c>
      <c r="N512" s="0" t="n">
        <f aca="false">AVERAGE(M509:M516)</f>
        <v>3.625</v>
      </c>
      <c r="O512" s="0" t="n">
        <f aca="false">MAX($A$23)/2</f>
        <v>965.1875</v>
      </c>
      <c r="Q512" s="0" t="n">
        <v>847</v>
      </c>
    </row>
    <row r="513" customFormat="false" ht="15.8" hidden="false" customHeight="false" outlineLevel="0" collapsed="false">
      <c r="L513" s="0" t="n">
        <v>511</v>
      </c>
      <c r="M513" s="0" t="n">
        <v>3</v>
      </c>
      <c r="N513" s="0" t="n">
        <f aca="false">AVERAGE(M510:M517)</f>
        <v>3.875</v>
      </c>
      <c r="O513" s="0" t="n">
        <f aca="false">MAX($A$23)/2</f>
        <v>965.1875</v>
      </c>
      <c r="Q513" s="0" t="n">
        <v>875</v>
      </c>
    </row>
    <row r="514" customFormat="false" ht="15.8" hidden="false" customHeight="false" outlineLevel="0" collapsed="false">
      <c r="L514" s="0" t="n">
        <v>512</v>
      </c>
      <c r="M514" s="0" t="n">
        <v>8</v>
      </c>
      <c r="N514" s="0" t="n">
        <f aca="false">AVERAGE(M511:M518)</f>
        <v>3.875</v>
      </c>
      <c r="O514" s="0" t="n">
        <f aca="false">MAX($A$23)/2</f>
        <v>965.1875</v>
      </c>
      <c r="Q514" s="0" t="n">
        <v>838</v>
      </c>
    </row>
    <row r="515" customFormat="false" ht="15.8" hidden="false" customHeight="false" outlineLevel="0" collapsed="false">
      <c r="L515" s="0" t="n">
        <v>513</v>
      </c>
      <c r="M515" s="0" t="n">
        <v>3</v>
      </c>
      <c r="N515" s="0" t="n">
        <f aca="false">AVERAGE(M512:M519)</f>
        <v>4</v>
      </c>
      <c r="O515" s="0" t="n">
        <f aca="false">MAX($A$23)/2</f>
        <v>965.1875</v>
      </c>
      <c r="Q515" s="0" t="n">
        <v>837</v>
      </c>
    </row>
    <row r="516" customFormat="false" ht="15.8" hidden="false" customHeight="false" outlineLevel="0" collapsed="false">
      <c r="L516" s="0" t="n">
        <v>514</v>
      </c>
      <c r="M516" s="0" t="n">
        <v>4</v>
      </c>
      <c r="N516" s="0" t="n">
        <f aca="false">AVERAGE(M513:M520)</f>
        <v>4.75</v>
      </c>
      <c r="O516" s="0" t="n">
        <f aca="false">MAX($A$23)/2</f>
        <v>965.1875</v>
      </c>
      <c r="Q516" s="0" t="n">
        <v>856</v>
      </c>
    </row>
    <row r="517" customFormat="false" ht="15.8" hidden="false" customHeight="false" outlineLevel="0" collapsed="false">
      <c r="L517" s="0" t="n">
        <v>515</v>
      </c>
      <c r="M517" s="0" t="n">
        <v>4</v>
      </c>
      <c r="N517" s="0" t="n">
        <f aca="false">AVERAGE(M514:M521)</f>
        <v>4.875</v>
      </c>
      <c r="O517" s="0" t="n">
        <f aca="false">MAX($A$23)/2</f>
        <v>965.1875</v>
      </c>
      <c r="Q517" s="0" t="n">
        <v>810</v>
      </c>
    </row>
    <row r="518" customFormat="false" ht="15.8" hidden="false" customHeight="false" outlineLevel="0" collapsed="false">
      <c r="L518" s="0" t="n">
        <v>516</v>
      </c>
      <c r="M518" s="0" t="n">
        <v>4</v>
      </c>
      <c r="N518" s="0" t="n">
        <f aca="false">AVERAGE(M515:M522)</f>
        <v>4.125</v>
      </c>
      <c r="O518" s="0" t="n">
        <f aca="false">MAX($A$23)/2</f>
        <v>965.1875</v>
      </c>
      <c r="Q518" s="0" t="n">
        <v>872</v>
      </c>
    </row>
    <row r="519" customFormat="false" ht="15.8" hidden="false" customHeight="false" outlineLevel="0" collapsed="false">
      <c r="L519" s="0" t="n">
        <v>517</v>
      </c>
      <c r="M519" s="0" t="n">
        <v>4</v>
      </c>
      <c r="N519" s="0" t="n">
        <f aca="false">AVERAGE(M516:M523)</f>
        <v>4.25</v>
      </c>
      <c r="O519" s="0" t="n">
        <f aca="false">MAX($A$23)/2</f>
        <v>965.1875</v>
      </c>
      <c r="Q519" s="0" t="n">
        <v>817</v>
      </c>
    </row>
    <row r="520" customFormat="false" ht="15.8" hidden="false" customHeight="false" outlineLevel="0" collapsed="false">
      <c r="L520" s="0" t="n">
        <v>518</v>
      </c>
      <c r="M520" s="0" t="n">
        <v>8</v>
      </c>
      <c r="N520" s="0" t="n">
        <f aca="false">AVERAGE(M517:M524)</f>
        <v>4.125</v>
      </c>
      <c r="O520" s="0" t="n">
        <f aca="false">MAX($A$23)/2</f>
        <v>965.1875</v>
      </c>
      <c r="Q520" s="0" t="n">
        <v>857</v>
      </c>
    </row>
    <row r="521" customFormat="false" ht="15.8" hidden="false" customHeight="false" outlineLevel="0" collapsed="false">
      <c r="L521" s="0" t="n">
        <v>519</v>
      </c>
      <c r="M521" s="0" t="n">
        <v>4</v>
      </c>
      <c r="N521" s="0" t="n">
        <f aca="false">AVERAGE(M518:M525)</f>
        <v>4.625</v>
      </c>
      <c r="O521" s="0" t="n">
        <f aca="false">MAX($A$23)/2</f>
        <v>965.1875</v>
      </c>
      <c r="Q521" s="0" t="n">
        <v>786</v>
      </c>
    </row>
    <row r="522" customFormat="false" ht="15.8" hidden="false" customHeight="false" outlineLevel="0" collapsed="false">
      <c r="L522" s="0" t="n">
        <v>520</v>
      </c>
      <c r="M522" s="0" t="n">
        <v>2</v>
      </c>
      <c r="N522" s="0" t="n">
        <f aca="false">AVERAGE(M519:M526)</f>
        <v>5</v>
      </c>
      <c r="O522" s="0" t="n">
        <f aca="false">MAX($A$23)/2</f>
        <v>965.1875</v>
      </c>
      <c r="Q522" s="0" t="n">
        <v>826</v>
      </c>
    </row>
    <row r="523" customFormat="false" ht="15.8" hidden="false" customHeight="false" outlineLevel="0" collapsed="false">
      <c r="L523" s="0" t="n">
        <v>521</v>
      </c>
      <c r="M523" s="0" t="n">
        <v>4</v>
      </c>
      <c r="N523" s="0" t="n">
        <f aca="false">AVERAGE(M520:M527)</f>
        <v>5</v>
      </c>
      <c r="O523" s="0" t="n">
        <f aca="false">MAX($A$23)/2</f>
        <v>965.1875</v>
      </c>
      <c r="Q523" s="0" t="n">
        <v>799</v>
      </c>
    </row>
    <row r="524" customFormat="false" ht="15.8" hidden="false" customHeight="false" outlineLevel="0" collapsed="false">
      <c r="L524" s="0" t="n">
        <v>522</v>
      </c>
      <c r="M524" s="0" t="n">
        <v>3</v>
      </c>
      <c r="N524" s="0" t="n">
        <f aca="false">AVERAGE(M521:M528)</f>
        <v>4.5</v>
      </c>
      <c r="O524" s="0" t="n">
        <f aca="false">MAX($A$23)/2</f>
        <v>965.1875</v>
      </c>
      <c r="Q524" s="0" t="n">
        <v>811</v>
      </c>
    </row>
    <row r="525" customFormat="false" ht="15.8" hidden="false" customHeight="false" outlineLevel="0" collapsed="false">
      <c r="L525" s="0" t="n">
        <v>523</v>
      </c>
      <c r="M525" s="0" t="n">
        <v>8</v>
      </c>
      <c r="N525" s="0" t="n">
        <f aca="false">AVERAGE(M522:M529)</f>
        <v>4.125</v>
      </c>
      <c r="O525" s="0" t="n">
        <f aca="false">MAX($A$23)/2</f>
        <v>965.1875</v>
      </c>
      <c r="Q525" s="0" t="n">
        <v>837</v>
      </c>
    </row>
    <row r="526" customFormat="false" ht="15.8" hidden="false" customHeight="false" outlineLevel="0" collapsed="false">
      <c r="L526" s="0" t="n">
        <v>524</v>
      </c>
      <c r="M526" s="0" t="n">
        <v>7</v>
      </c>
      <c r="N526" s="0" t="n">
        <f aca="false">AVERAGE(M523:M530)</f>
        <v>4.625</v>
      </c>
      <c r="O526" s="0" t="n">
        <f aca="false">MAX($A$23)/2</f>
        <v>965.1875</v>
      </c>
      <c r="Q526" s="0" t="n">
        <v>821</v>
      </c>
    </row>
    <row r="527" customFormat="false" ht="15.8" hidden="false" customHeight="false" outlineLevel="0" collapsed="false">
      <c r="L527" s="0" t="n">
        <v>525</v>
      </c>
      <c r="M527" s="0" t="n">
        <v>4</v>
      </c>
      <c r="N527" s="0" t="n">
        <f aca="false">AVERAGE(M524:M531)</f>
        <v>4.625</v>
      </c>
      <c r="O527" s="0" t="n">
        <f aca="false">MAX($A$23)/2</f>
        <v>965.1875</v>
      </c>
      <c r="Q527" s="0" t="n">
        <v>757</v>
      </c>
    </row>
    <row r="528" customFormat="false" ht="15.8" hidden="false" customHeight="false" outlineLevel="0" collapsed="false">
      <c r="L528" s="0" t="n">
        <v>526</v>
      </c>
      <c r="M528" s="0" t="n">
        <v>4</v>
      </c>
      <c r="N528" s="0" t="n">
        <f aca="false">AVERAGE(M525:M532)</f>
        <v>4.75</v>
      </c>
      <c r="O528" s="0" t="n">
        <f aca="false">MAX($A$23)/2</f>
        <v>965.1875</v>
      </c>
      <c r="Q528" s="0" t="n">
        <v>824</v>
      </c>
    </row>
    <row r="529" customFormat="false" ht="15.8" hidden="false" customHeight="false" outlineLevel="0" collapsed="false">
      <c r="L529" s="0" t="n">
        <v>527</v>
      </c>
      <c r="M529" s="0" t="n">
        <v>1</v>
      </c>
      <c r="N529" s="0" t="n">
        <f aca="false">AVERAGE(M526:M533)</f>
        <v>4.25</v>
      </c>
      <c r="O529" s="0" t="n">
        <f aca="false">MAX($A$23)/2</f>
        <v>965.1875</v>
      </c>
      <c r="Q529" s="0" t="n">
        <v>806</v>
      </c>
    </row>
    <row r="530" customFormat="false" ht="15.8" hidden="false" customHeight="false" outlineLevel="0" collapsed="false">
      <c r="L530" s="0" t="n">
        <v>528</v>
      </c>
      <c r="M530" s="0" t="n">
        <v>6</v>
      </c>
      <c r="N530" s="0" t="n">
        <f aca="false">AVERAGE(M527:M534)</f>
        <v>3.5</v>
      </c>
      <c r="O530" s="0" t="n">
        <f aca="false">MAX($A$23)/2</f>
        <v>965.1875</v>
      </c>
      <c r="Q530" s="0" t="n">
        <v>739</v>
      </c>
    </row>
    <row r="531" customFormat="false" ht="15.8" hidden="false" customHeight="false" outlineLevel="0" collapsed="false">
      <c r="L531" s="0" t="n">
        <v>529</v>
      </c>
      <c r="M531" s="0" t="n">
        <v>4</v>
      </c>
      <c r="N531" s="0" t="n">
        <f aca="false">AVERAGE(M528:M535)</f>
        <v>3.25</v>
      </c>
      <c r="O531" s="0" t="n">
        <f aca="false">MAX($A$23)/2</f>
        <v>965.1875</v>
      </c>
      <c r="Q531" s="0" t="n">
        <v>777</v>
      </c>
    </row>
    <row r="532" customFormat="false" ht="15.8" hidden="false" customHeight="false" outlineLevel="0" collapsed="false">
      <c r="L532" s="0" t="n">
        <v>530</v>
      </c>
      <c r="M532" s="0" t="n">
        <v>4</v>
      </c>
      <c r="N532" s="0" t="n">
        <f aca="false">AVERAGE(M529:M536)</f>
        <v>3</v>
      </c>
      <c r="O532" s="0" t="n">
        <f aca="false">MAX($A$23)/2</f>
        <v>965.1875</v>
      </c>
      <c r="Q532" s="0" t="n">
        <v>729</v>
      </c>
    </row>
    <row r="533" customFormat="false" ht="15.8" hidden="false" customHeight="false" outlineLevel="0" collapsed="false">
      <c r="L533" s="0" t="n">
        <v>531</v>
      </c>
      <c r="M533" s="0" t="n">
        <v>4</v>
      </c>
      <c r="N533" s="0" t="n">
        <f aca="false">AVERAGE(M530:M537)</f>
        <v>3.375</v>
      </c>
      <c r="O533" s="0" t="n">
        <f aca="false">MAX($A$23)/2</f>
        <v>965.1875</v>
      </c>
      <c r="Q533" s="0" t="n">
        <v>767</v>
      </c>
    </row>
    <row r="534" customFormat="false" ht="15.8" hidden="false" customHeight="false" outlineLevel="0" collapsed="false">
      <c r="L534" s="0" t="n">
        <v>532</v>
      </c>
      <c r="M534" s="0" t="n">
        <v>1</v>
      </c>
      <c r="N534" s="0" t="n">
        <f aca="false">AVERAGE(M531:M538)</f>
        <v>3.125</v>
      </c>
      <c r="O534" s="0" t="n">
        <f aca="false">MAX($A$23)/2</f>
        <v>965.1875</v>
      </c>
      <c r="Q534" s="0" t="n">
        <v>708</v>
      </c>
    </row>
    <row r="535" customFormat="false" ht="15.8" hidden="false" customHeight="false" outlineLevel="0" collapsed="false">
      <c r="L535" s="0" t="n">
        <v>533</v>
      </c>
      <c r="M535" s="0" t="n">
        <v>2</v>
      </c>
      <c r="N535" s="0" t="n">
        <f aca="false">AVERAGE(M532:M539)</f>
        <v>3.125</v>
      </c>
      <c r="O535" s="0" t="n">
        <f aca="false">MAX($A$23)/2</f>
        <v>965.1875</v>
      </c>
      <c r="Q535" s="0" t="n">
        <v>722</v>
      </c>
    </row>
    <row r="536" customFormat="false" ht="15.8" hidden="false" customHeight="false" outlineLevel="0" collapsed="false">
      <c r="L536" s="0" t="n">
        <v>534</v>
      </c>
      <c r="M536" s="0" t="n">
        <v>2</v>
      </c>
      <c r="N536" s="0" t="n">
        <f aca="false">AVERAGE(M533:M540)</f>
        <v>3.375</v>
      </c>
      <c r="O536" s="0" t="n">
        <f aca="false">MAX($A$23)/2</f>
        <v>965.1875</v>
      </c>
      <c r="Q536" s="0" t="n">
        <v>706</v>
      </c>
    </row>
    <row r="537" customFormat="false" ht="15.8" hidden="false" customHeight="false" outlineLevel="0" collapsed="false">
      <c r="L537" s="0" t="n">
        <v>535</v>
      </c>
      <c r="M537" s="0" t="n">
        <v>4</v>
      </c>
      <c r="N537" s="0" t="n">
        <f aca="false">AVERAGE(M534:M541)</f>
        <v>3.625</v>
      </c>
      <c r="O537" s="0" t="n">
        <f aca="false">MAX($A$23)/2</f>
        <v>965.1875</v>
      </c>
      <c r="Q537" s="0" t="n">
        <v>706</v>
      </c>
    </row>
    <row r="538" customFormat="false" ht="15.8" hidden="false" customHeight="false" outlineLevel="0" collapsed="false">
      <c r="L538" s="0" t="n">
        <v>536</v>
      </c>
      <c r="M538" s="0" t="n">
        <v>4</v>
      </c>
      <c r="N538" s="0" t="n">
        <f aca="false">AVERAGE(M535:M542)</f>
        <v>4</v>
      </c>
      <c r="O538" s="0" t="n">
        <f aca="false">MAX($A$23)/2</f>
        <v>965.1875</v>
      </c>
      <c r="Q538" s="0" t="n">
        <v>715</v>
      </c>
    </row>
    <row r="539" customFormat="false" ht="15.8" hidden="false" customHeight="false" outlineLevel="0" collapsed="false">
      <c r="L539" s="0" t="n">
        <v>537</v>
      </c>
      <c r="M539" s="0" t="n">
        <v>4</v>
      </c>
      <c r="N539" s="0" t="n">
        <f aca="false">AVERAGE(M536:M543)</f>
        <v>4.125</v>
      </c>
      <c r="O539" s="0" t="n">
        <f aca="false">MAX($A$23)/2</f>
        <v>965.1875</v>
      </c>
      <c r="Q539" s="0" t="n">
        <v>687</v>
      </c>
    </row>
    <row r="540" customFormat="false" ht="15.8" hidden="false" customHeight="false" outlineLevel="0" collapsed="false">
      <c r="L540" s="0" t="n">
        <v>538</v>
      </c>
      <c r="M540" s="0" t="n">
        <v>6</v>
      </c>
      <c r="N540" s="0" t="n">
        <f aca="false">AVERAGE(M537:M544)</f>
        <v>4.375</v>
      </c>
      <c r="O540" s="0" t="n">
        <f aca="false">MAX($A$23)/2</f>
        <v>965.1875</v>
      </c>
      <c r="Q540" s="0" t="n">
        <v>695</v>
      </c>
    </row>
    <row r="541" customFormat="false" ht="15.8" hidden="false" customHeight="false" outlineLevel="0" collapsed="false">
      <c r="L541" s="0" t="n">
        <v>539</v>
      </c>
      <c r="M541" s="0" t="n">
        <v>6</v>
      </c>
      <c r="N541" s="0" t="n">
        <f aca="false">AVERAGE(M538:M545)</f>
        <v>4.25</v>
      </c>
      <c r="O541" s="0" t="n">
        <f aca="false">MAX($A$23)/2</f>
        <v>965.1875</v>
      </c>
      <c r="Q541" s="0" t="n">
        <v>679</v>
      </c>
    </row>
    <row r="542" customFormat="false" ht="15.8" hidden="false" customHeight="false" outlineLevel="0" collapsed="false">
      <c r="L542" s="0" t="n">
        <v>540</v>
      </c>
      <c r="M542" s="0" t="n">
        <v>4</v>
      </c>
      <c r="N542" s="0" t="n">
        <f aca="false">AVERAGE(M539:M546)</f>
        <v>3.875</v>
      </c>
      <c r="O542" s="0" t="n">
        <f aca="false">MAX($A$23)/2</f>
        <v>965.1875</v>
      </c>
      <c r="Q542" s="0" t="n">
        <v>643</v>
      </c>
    </row>
    <row r="543" customFormat="false" ht="15.8" hidden="false" customHeight="false" outlineLevel="0" collapsed="false">
      <c r="L543" s="0" t="n">
        <v>541</v>
      </c>
      <c r="M543" s="0" t="n">
        <v>3</v>
      </c>
      <c r="N543" s="0" t="n">
        <f aca="false">AVERAGE(M540:M547)</f>
        <v>4.125</v>
      </c>
      <c r="O543" s="0" t="n">
        <f aca="false">MAX($A$23)/2</f>
        <v>965.1875</v>
      </c>
      <c r="Q543" s="0" t="n">
        <v>646</v>
      </c>
    </row>
    <row r="544" customFormat="false" ht="15.8" hidden="false" customHeight="false" outlineLevel="0" collapsed="false">
      <c r="L544" s="0" t="n">
        <v>542</v>
      </c>
      <c r="M544" s="0" t="n">
        <v>4</v>
      </c>
      <c r="N544" s="0" t="n">
        <f aca="false">AVERAGE(M541:M548)</f>
        <v>3.75</v>
      </c>
      <c r="O544" s="0" t="n">
        <f aca="false">MAX($A$23)/2</f>
        <v>965.1875</v>
      </c>
      <c r="Q544" s="0" t="n">
        <v>627</v>
      </c>
    </row>
    <row r="545" customFormat="false" ht="15.8" hidden="false" customHeight="false" outlineLevel="0" collapsed="false">
      <c r="L545" s="0" t="n">
        <v>543</v>
      </c>
      <c r="M545" s="0" t="n">
        <v>3</v>
      </c>
      <c r="N545" s="0" t="n">
        <f aca="false">AVERAGE(M542:M549)</f>
        <v>3.125</v>
      </c>
      <c r="O545" s="0" t="n">
        <f aca="false">MAX($A$23)/2</f>
        <v>965.1875</v>
      </c>
      <c r="Q545" s="0" t="n">
        <v>672</v>
      </c>
    </row>
    <row r="546" customFormat="false" ht="15.8" hidden="false" customHeight="false" outlineLevel="0" collapsed="false">
      <c r="L546" s="0" t="n">
        <v>544</v>
      </c>
      <c r="M546" s="0" t="n">
        <v>1</v>
      </c>
      <c r="N546" s="0" t="n">
        <f aca="false">AVERAGE(M543:M550)</f>
        <v>2.75</v>
      </c>
      <c r="O546" s="0" t="n">
        <f aca="false">MAX($A$23)/2</f>
        <v>965.1875</v>
      </c>
      <c r="Q546" s="0" t="n">
        <v>660</v>
      </c>
    </row>
    <row r="547" customFormat="false" ht="15.8" hidden="false" customHeight="false" outlineLevel="0" collapsed="false">
      <c r="L547" s="0" t="n">
        <v>545</v>
      </c>
      <c r="M547" s="0" t="n">
        <v>6</v>
      </c>
      <c r="N547" s="0" t="n">
        <f aca="false">AVERAGE(M544:M551)</f>
        <v>2.875</v>
      </c>
      <c r="O547" s="0" t="n">
        <f aca="false">MAX($A$23)/2</f>
        <v>965.1875</v>
      </c>
      <c r="Q547" s="0" t="n">
        <v>633</v>
      </c>
    </row>
    <row r="548" customFormat="false" ht="15.8" hidden="false" customHeight="false" outlineLevel="0" collapsed="false">
      <c r="L548" s="0" t="n">
        <v>546</v>
      </c>
      <c r="M548" s="0" t="n">
        <v>3</v>
      </c>
      <c r="N548" s="0" t="n">
        <f aca="false">AVERAGE(M545:M552)</f>
        <v>2.625</v>
      </c>
      <c r="O548" s="0" t="n">
        <f aca="false">MAX($A$23)/2</f>
        <v>965.1875</v>
      </c>
      <c r="Q548" s="0" t="n">
        <v>616</v>
      </c>
    </row>
    <row r="549" customFormat="false" ht="15.8" hidden="false" customHeight="false" outlineLevel="0" collapsed="false">
      <c r="L549" s="0" t="n">
        <v>547</v>
      </c>
      <c r="M549" s="0" t="n">
        <v>1</v>
      </c>
      <c r="N549" s="0" t="n">
        <f aca="false">AVERAGE(M546:M553)</f>
        <v>2.5</v>
      </c>
      <c r="O549" s="0" t="n">
        <f aca="false">MAX($A$23)/2</f>
        <v>965.1875</v>
      </c>
      <c r="Q549" s="0" t="n">
        <v>626</v>
      </c>
    </row>
    <row r="550" customFormat="false" ht="15.8" hidden="false" customHeight="false" outlineLevel="0" collapsed="false">
      <c r="L550" s="0" t="n">
        <v>548</v>
      </c>
      <c r="M550" s="0" t="n">
        <v>1</v>
      </c>
      <c r="N550" s="0" t="n">
        <f aca="false">AVERAGE(M547:M554)</f>
        <v>2.875</v>
      </c>
      <c r="O550" s="0" t="n">
        <f aca="false">MAX($A$23)/2</f>
        <v>965.1875</v>
      </c>
      <c r="Q550" s="0" t="n">
        <v>552</v>
      </c>
    </row>
    <row r="551" customFormat="false" ht="15.8" hidden="false" customHeight="false" outlineLevel="0" collapsed="false">
      <c r="L551" s="0" t="n">
        <v>549</v>
      </c>
      <c r="M551" s="0" t="n">
        <v>4</v>
      </c>
      <c r="N551" s="0" t="n">
        <f aca="false">AVERAGE(M548:M555)</f>
        <v>2.625</v>
      </c>
      <c r="O551" s="0" t="n">
        <f aca="false">MAX($A$23)/2</f>
        <v>965.1875</v>
      </c>
      <c r="Q551" s="0" t="n">
        <v>611</v>
      </c>
    </row>
    <row r="552" customFormat="false" ht="15.8" hidden="false" customHeight="false" outlineLevel="0" collapsed="false">
      <c r="L552" s="0" t="n">
        <v>550</v>
      </c>
      <c r="M552" s="0" t="n">
        <v>2</v>
      </c>
      <c r="N552" s="0" t="n">
        <f aca="false">AVERAGE(M549:M556)</f>
        <v>2.625</v>
      </c>
      <c r="O552" s="0" t="n">
        <f aca="false">MAX($A$23)/2</f>
        <v>965.1875</v>
      </c>
      <c r="Q552" s="0" t="n">
        <v>589</v>
      </c>
    </row>
    <row r="553" customFormat="false" ht="15.8" hidden="false" customHeight="false" outlineLevel="0" collapsed="false">
      <c r="L553" s="0" t="n">
        <v>551</v>
      </c>
      <c r="M553" s="0" t="n">
        <v>2</v>
      </c>
      <c r="N553" s="0" t="n">
        <f aca="false">AVERAGE(M550:M557)</f>
        <v>2.625</v>
      </c>
      <c r="O553" s="0" t="n">
        <f aca="false">MAX($A$23)/2</f>
        <v>965.1875</v>
      </c>
      <c r="Q553" s="0" t="n">
        <v>551</v>
      </c>
    </row>
    <row r="554" customFormat="false" ht="15.8" hidden="false" customHeight="false" outlineLevel="0" collapsed="false">
      <c r="L554" s="0" t="n">
        <v>552</v>
      </c>
      <c r="M554" s="0" t="n">
        <v>4</v>
      </c>
      <c r="N554" s="0" t="n">
        <f aca="false">AVERAGE(M551:M558)</f>
        <v>2.75</v>
      </c>
      <c r="O554" s="0" t="n">
        <f aca="false">MAX($A$23)/2</f>
        <v>965.1875</v>
      </c>
      <c r="Q554" s="0" t="n">
        <v>607</v>
      </c>
    </row>
    <row r="555" customFormat="false" ht="15.8" hidden="false" customHeight="false" outlineLevel="0" collapsed="false">
      <c r="L555" s="0" t="n">
        <v>553</v>
      </c>
      <c r="M555" s="0" t="n">
        <v>4</v>
      </c>
      <c r="N555" s="0" t="n">
        <f aca="false">AVERAGE(M552:M559)</f>
        <v>2.375</v>
      </c>
      <c r="O555" s="0" t="n">
        <f aca="false">MAX($A$23)/2</f>
        <v>965.1875</v>
      </c>
      <c r="Q555" s="0" t="n">
        <v>537</v>
      </c>
    </row>
    <row r="556" customFormat="false" ht="15.8" hidden="false" customHeight="false" outlineLevel="0" collapsed="false">
      <c r="L556" s="0" t="n">
        <v>554</v>
      </c>
      <c r="M556" s="0" t="n">
        <v>3</v>
      </c>
      <c r="N556" s="0" t="n">
        <f aca="false">AVERAGE(M553:M560)</f>
        <v>2.75</v>
      </c>
      <c r="O556" s="0" t="n">
        <f aca="false">MAX($A$23)/2</f>
        <v>965.1875</v>
      </c>
      <c r="Q556" s="0" t="n">
        <v>612</v>
      </c>
    </row>
    <row r="557" customFormat="false" ht="15.8" hidden="false" customHeight="false" outlineLevel="0" collapsed="false">
      <c r="L557" s="0" t="n">
        <v>555</v>
      </c>
      <c r="M557" s="0" t="n">
        <v>1</v>
      </c>
      <c r="N557" s="0" t="n">
        <f aca="false">AVERAGE(M554:M561)</f>
        <v>2.875</v>
      </c>
      <c r="O557" s="0" t="n">
        <f aca="false">MAX($A$23)/2</f>
        <v>965.1875</v>
      </c>
      <c r="Q557" s="0" t="n">
        <v>557</v>
      </c>
    </row>
    <row r="558" customFormat="false" ht="15.8" hidden="false" customHeight="false" outlineLevel="0" collapsed="false">
      <c r="L558" s="0" t="n">
        <v>556</v>
      </c>
      <c r="M558" s="0" t="n">
        <v>2</v>
      </c>
      <c r="N558" s="0" t="n">
        <f aca="false">AVERAGE(M555:M562)</f>
        <v>2.75</v>
      </c>
      <c r="O558" s="0" t="n">
        <f aca="false">MAX($A$23)/2</f>
        <v>965.1875</v>
      </c>
      <c r="Q558" s="0" t="n">
        <v>557</v>
      </c>
    </row>
    <row r="559" customFormat="false" ht="15.8" hidden="false" customHeight="false" outlineLevel="0" collapsed="false">
      <c r="L559" s="0" t="n">
        <v>557</v>
      </c>
      <c r="M559" s="0" t="n">
        <v>1</v>
      </c>
      <c r="N559" s="0" t="n">
        <f aca="false">AVERAGE(M556:M563)</f>
        <v>2.375</v>
      </c>
      <c r="O559" s="0" t="n">
        <f aca="false">MAX($A$23)/2</f>
        <v>965.1875</v>
      </c>
      <c r="Q559" s="0" t="n">
        <v>525</v>
      </c>
    </row>
    <row r="560" customFormat="false" ht="15.8" hidden="false" customHeight="false" outlineLevel="0" collapsed="false">
      <c r="L560" s="0" t="n">
        <v>558</v>
      </c>
      <c r="M560" s="0" t="n">
        <v>5</v>
      </c>
      <c r="N560" s="0" t="n">
        <f aca="false">AVERAGE(M557:M564)</f>
        <v>2</v>
      </c>
      <c r="O560" s="0" t="n">
        <f aca="false">MAX($A$23)/2</f>
        <v>965.1875</v>
      </c>
      <c r="Q560" s="0" t="n">
        <v>500</v>
      </c>
    </row>
    <row r="561" customFormat="false" ht="15.8" hidden="false" customHeight="false" outlineLevel="0" collapsed="false">
      <c r="L561" s="0" t="n">
        <v>559</v>
      </c>
      <c r="M561" s="0" t="n">
        <v>3</v>
      </c>
      <c r="N561" s="0" t="n">
        <f aca="false">AVERAGE(M558:M565)</f>
        <v>2.125</v>
      </c>
      <c r="O561" s="0" t="n">
        <f aca="false">MAX($A$23)/2</f>
        <v>965.1875</v>
      </c>
      <c r="Q561" s="0" t="n">
        <v>507</v>
      </c>
    </row>
    <row r="562" customFormat="false" ht="15.8" hidden="false" customHeight="false" outlineLevel="0" collapsed="false">
      <c r="L562" s="0" t="n">
        <v>560</v>
      </c>
      <c r="M562" s="0" t="n">
        <v>3</v>
      </c>
      <c r="N562" s="0" t="n">
        <f aca="false">AVERAGE(M559:M566)</f>
        <v>2.625</v>
      </c>
      <c r="O562" s="0" t="n">
        <f aca="false">MAX($A$23)/2</f>
        <v>965.1875</v>
      </c>
      <c r="Q562" s="0" t="n">
        <v>475</v>
      </c>
    </row>
    <row r="563" customFormat="false" ht="15.8" hidden="false" customHeight="false" outlineLevel="0" collapsed="false">
      <c r="L563" s="0" t="n">
        <v>561</v>
      </c>
      <c r="M563" s="0" t="n">
        <v>1</v>
      </c>
      <c r="N563" s="0" t="n">
        <f aca="false">AVERAGE(M560:M567)</f>
        <v>2.75</v>
      </c>
      <c r="O563" s="0" t="n">
        <f aca="false">MAX($A$23)/2</f>
        <v>965.1875</v>
      </c>
      <c r="Q563" s="0" t="n">
        <v>523</v>
      </c>
    </row>
    <row r="564" customFormat="false" ht="15.8" hidden="false" customHeight="false" outlineLevel="0" collapsed="false">
      <c r="L564" s="0" t="n">
        <v>562</v>
      </c>
      <c r="M564" s="0" t="n">
        <v>0</v>
      </c>
      <c r="N564" s="0" t="n">
        <f aca="false">AVERAGE(M561:M568)</f>
        <v>2.5</v>
      </c>
      <c r="O564" s="0" t="n">
        <f aca="false">MAX($A$23)/2</f>
        <v>965.1875</v>
      </c>
      <c r="Q564" s="0" t="n">
        <v>442</v>
      </c>
    </row>
    <row r="565" customFormat="false" ht="15.8" hidden="false" customHeight="false" outlineLevel="0" collapsed="false">
      <c r="L565" s="0" t="n">
        <v>563</v>
      </c>
      <c r="M565" s="0" t="n">
        <v>2</v>
      </c>
      <c r="N565" s="0" t="n">
        <f aca="false">AVERAGE(M562:M569)</f>
        <v>2.75</v>
      </c>
      <c r="O565" s="0" t="n">
        <f aca="false">MAX($A$23)/2</f>
        <v>965.1875</v>
      </c>
      <c r="Q565" s="0" t="n">
        <v>486</v>
      </c>
    </row>
    <row r="566" customFormat="false" ht="15.8" hidden="false" customHeight="false" outlineLevel="0" collapsed="false">
      <c r="L566" s="0" t="n">
        <v>564</v>
      </c>
      <c r="M566" s="0" t="n">
        <v>6</v>
      </c>
      <c r="N566" s="0" t="n">
        <f aca="false">AVERAGE(M563:M570)</f>
        <v>3</v>
      </c>
      <c r="O566" s="0" t="n">
        <f aca="false">MAX($A$23)/2</f>
        <v>965.1875</v>
      </c>
      <c r="Q566" s="0" t="n">
        <v>447</v>
      </c>
    </row>
    <row r="567" customFormat="false" ht="15.8" hidden="false" customHeight="false" outlineLevel="0" collapsed="false">
      <c r="L567" s="0" t="n">
        <v>565</v>
      </c>
      <c r="M567" s="0" t="n">
        <v>2</v>
      </c>
      <c r="N567" s="0" t="n">
        <f aca="false">AVERAGE(M564:M571)</f>
        <v>3</v>
      </c>
      <c r="O567" s="0" t="n">
        <f aca="false">MAX($A$23)/2</f>
        <v>965.1875</v>
      </c>
      <c r="Q567" s="0" t="n">
        <v>479</v>
      </c>
    </row>
    <row r="568" customFormat="false" ht="15.8" hidden="false" customHeight="false" outlineLevel="0" collapsed="false">
      <c r="L568" s="0" t="n">
        <v>566</v>
      </c>
      <c r="M568" s="0" t="n">
        <v>3</v>
      </c>
      <c r="N568" s="0" t="n">
        <f aca="false">AVERAGE(M565:M572)</f>
        <v>3.5</v>
      </c>
      <c r="O568" s="0" t="n">
        <f aca="false">MAX($A$23)/2</f>
        <v>965.1875</v>
      </c>
      <c r="Q568" s="0" t="n">
        <v>450</v>
      </c>
    </row>
    <row r="569" customFormat="false" ht="15.8" hidden="false" customHeight="false" outlineLevel="0" collapsed="false">
      <c r="L569" s="0" t="n">
        <v>567</v>
      </c>
      <c r="M569" s="0" t="n">
        <v>5</v>
      </c>
      <c r="N569" s="0" t="n">
        <f aca="false">AVERAGE(M566:M573)</f>
        <v>3.875</v>
      </c>
      <c r="O569" s="0" t="n">
        <f aca="false">MAX($A$23)/2</f>
        <v>965.1875</v>
      </c>
      <c r="Q569" s="0" t="n">
        <v>437</v>
      </c>
    </row>
    <row r="570" customFormat="false" ht="15.8" hidden="false" customHeight="false" outlineLevel="0" collapsed="false">
      <c r="L570" s="0" t="n">
        <v>568</v>
      </c>
      <c r="M570" s="0" t="n">
        <v>5</v>
      </c>
      <c r="N570" s="0" t="n">
        <f aca="false">AVERAGE(M567:M574)</f>
        <v>3.375</v>
      </c>
      <c r="O570" s="0" t="n">
        <f aca="false">MAX($A$23)/2</f>
        <v>965.1875</v>
      </c>
      <c r="Q570" s="0" t="n">
        <v>420</v>
      </c>
    </row>
    <row r="571" customFormat="false" ht="15.8" hidden="false" customHeight="false" outlineLevel="0" collapsed="false">
      <c r="L571" s="0" t="n">
        <v>569</v>
      </c>
      <c r="M571" s="0" t="n">
        <v>1</v>
      </c>
      <c r="N571" s="0" t="n">
        <f aca="false">AVERAGE(M568:M575)</f>
        <v>3.5</v>
      </c>
      <c r="O571" s="0" t="n">
        <f aca="false">MAX($A$23)/2</f>
        <v>965.1875</v>
      </c>
      <c r="Q571" s="0" t="n">
        <v>389</v>
      </c>
    </row>
    <row r="572" customFormat="false" ht="15.8" hidden="false" customHeight="false" outlineLevel="0" collapsed="false">
      <c r="L572" s="0" t="n">
        <v>570</v>
      </c>
      <c r="M572" s="0" t="n">
        <v>4</v>
      </c>
      <c r="N572" s="0" t="n">
        <f aca="false">AVERAGE(M569:M576)</f>
        <v>3.5</v>
      </c>
      <c r="O572" s="0" t="n">
        <f aca="false">MAX($A$23)/2</f>
        <v>965.1875</v>
      </c>
      <c r="Q572" s="0" t="n">
        <v>442</v>
      </c>
    </row>
    <row r="573" customFormat="false" ht="15.8" hidden="false" customHeight="false" outlineLevel="0" collapsed="false">
      <c r="L573" s="0" t="n">
        <v>571</v>
      </c>
      <c r="M573" s="0" t="n">
        <v>5</v>
      </c>
      <c r="N573" s="0" t="n">
        <f aca="false">AVERAGE(M570:M577)</f>
        <v>3.125</v>
      </c>
      <c r="O573" s="0" t="n">
        <f aca="false">MAX($A$23)/2</f>
        <v>965.1875</v>
      </c>
      <c r="Q573" s="0" t="n">
        <v>402</v>
      </c>
    </row>
    <row r="574" customFormat="false" ht="15.8" hidden="false" customHeight="false" outlineLevel="0" collapsed="false">
      <c r="L574" s="0" t="n">
        <v>572</v>
      </c>
      <c r="M574" s="0" t="n">
        <v>2</v>
      </c>
      <c r="N574" s="0" t="n">
        <f aca="false">AVERAGE(M571:M578)</f>
        <v>2.875</v>
      </c>
      <c r="O574" s="0" t="n">
        <f aca="false">MAX($A$23)/2</f>
        <v>965.1875</v>
      </c>
      <c r="Q574" s="0" t="n">
        <v>429</v>
      </c>
    </row>
    <row r="575" customFormat="false" ht="15.8" hidden="false" customHeight="false" outlineLevel="0" collapsed="false">
      <c r="L575" s="0" t="n">
        <v>573</v>
      </c>
      <c r="M575" s="0" t="n">
        <v>3</v>
      </c>
      <c r="N575" s="0" t="n">
        <f aca="false">AVERAGE(M572:M579)</f>
        <v>2.875</v>
      </c>
      <c r="O575" s="0" t="n">
        <f aca="false">MAX($A$23)/2</f>
        <v>965.1875</v>
      </c>
      <c r="Q575" s="0" t="n">
        <v>385</v>
      </c>
    </row>
    <row r="576" customFormat="false" ht="15.8" hidden="false" customHeight="false" outlineLevel="0" collapsed="false">
      <c r="L576" s="0" t="n">
        <v>574</v>
      </c>
      <c r="M576" s="0" t="n">
        <v>3</v>
      </c>
      <c r="N576" s="0" t="n">
        <f aca="false">AVERAGE(M573:M580)</f>
        <v>2.625</v>
      </c>
      <c r="O576" s="0" t="n">
        <f aca="false">MAX($A$23)/2</f>
        <v>965.1875</v>
      </c>
      <c r="Q576" s="0" t="n">
        <v>424</v>
      </c>
    </row>
    <row r="577" customFormat="false" ht="15.8" hidden="false" customHeight="false" outlineLevel="0" collapsed="false">
      <c r="L577" s="0" t="n">
        <v>575</v>
      </c>
      <c r="M577" s="0" t="n">
        <v>2</v>
      </c>
      <c r="N577" s="0" t="n">
        <f aca="false">AVERAGE(M574:M581)</f>
        <v>2.5</v>
      </c>
      <c r="O577" s="0" t="n">
        <f aca="false">MAX($A$23)/2</f>
        <v>965.1875</v>
      </c>
      <c r="Q577" s="0" t="n">
        <v>402</v>
      </c>
    </row>
    <row r="578" customFormat="false" ht="15.8" hidden="false" customHeight="false" outlineLevel="0" collapsed="false">
      <c r="L578" s="0" t="n">
        <v>576</v>
      </c>
      <c r="M578" s="0" t="n">
        <v>3</v>
      </c>
      <c r="N578" s="0" t="n">
        <f aca="false">AVERAGE(M575:M582)</f>
        <v>2.625</v>
      </c>
      <c r="O578" s="0" t="n">
        <f aca="false">MAX($A$23)/2</f>
        <v>965.1875</v>
      </c>
      <c r="Q578" s="0" t="n">
        <v>380</v>
      </c>
    </row>
    <row r="579" customFormat="false" ht="15.8" hidden="false" customHeight="false" outlineLevel="0" collapsed="false">
      <c r="L579" s="0" t="n">
        <v>577</v>
      </c>
      <c r="M579" s="0" t="n">
        <v>1</v>
      </c>
      <c r="N579" s="0" t="n">
        <f aca="false">AVERAGE(M576:M583)</f>
        <v>2.625</v>
      </c>
      <c r="O579" s="0" t="n">
        <f aca="false">MAX($A$23)/2</f>
        <v>965.1875</v>
      </c>
      <c r="Q579" s="0" t="n">
        <v>385</v>
      </c>
    </row>
    <row r="580" customFormat="false" ht="15.8" hidden="false" customHeight="false" outlineLevel="0" collapsed="false">
      <c r="L580" s="0" t="n">
        <v>578</v>
      </c>
      <c r="M580" s="0" t="n">
        <v>2</v>
      </c>
      <c r="N580" s="0" t="n">
        <f aca="false">AVERAGE(M577:M584)</f>
        <v>2.875</v>
      </c>
      <c r="O580" s="0" t="n">
        <f aca="false">MAX($A$23)/2</f>
        <v>965.1875</v>
      </c>
      <c r="Q580" s="0" t="n">
        <v>391</v>
      </c>
    </row>
    <row r="581" customFormat="false" ht="15.8" hidden="false" customHeight="false" outlineLevel="0" collapsed="false">
      <c r="L581" s="0" t="n">
        <v>579</v>
      </c>
      <c r="M581" s="0" t="n">
        <v>4</v>
      </c>
      <c r="N581" s="0" t="n">
        <f aca="false">AVERAGE(M578:M585)</f>
        <v>3.25</v>
      </c>
      <c r="O581" s="0" t="n">
        <f aca="false">MAX($A$23)/2</f>
        <v>965.1875</v>
      </c>
      <c r="Q581" s="0" t="n">
        <v>363</v>
      </c>
    </row>
    <row r="582" customFormat="false" ht="15.8" hidden="false" customHeight="false" outlineLevel="0" collapsed="false">
      <c r="L582" s="0" t="n">
        <v>580</v>
      </c>
      <c r="M582" s="0" t="n">
        <v>3</v>
      </c>
      <c r="N582" s="0" t="n">
        <f aca="false">AVERAGE(M579:M586)</f>
        <v>3.5</v>
      </c>
      <c r="O582" s="0" t="n">
        <f aca="false">MAX($A$23)/2</f>
        <v>965.1875</v>
      </c>
      <c r="Q582" s="0" t="n">
        <v>341</v>
      </c>
    </row>
    <row r="583" customFormat="false" ht="15.8" hidden="false" customHeight="false" outlineLevel="0" collapsed="false">
      <c r="L583" s="0" t="n">
        <v>581</v>
      </c>
      <c r="M583" s="0" t="n">
        <v>3</v>
      </c>
      <c r="N583" s="0" t="n">
        <f aca="false">AVERAGE(M580:M587)</f>
        <v>3.625</v>
      </c>
      <c r="O583" s="0" t="n">
        <f aca="false">MAX($A$23)/2</f>
        <v>965.1875</v>
      </c>
      <c r="Q583" s="0" t="n">
        <v>340</v>
      </c>
    </row>
    <row r="584" customFormat="false" ht="15.8" hidden="false" customHeight="false" outlineLevel="0" collapsed="false">
      <c r="L584" s="0" t="n">
        <v>582</v>
      </c>
      <c r="M584" s="0" t="n">
        <v>5</v>
      </c>
      <c r="N584" s="0" t="n">
        <f aca="false">AVERAGE(M581:M588)</f>
        <v>4.375</v>
      </c>
      <c r="O584" s="0" t="n">
        <f aca="false">MAX($A$23)/2</f>
        <v>965.1875</v>
      </c>
      <c r="Q584" s="0" t="n">
        <v>345</v>
      </c>
    </row>
    <row r="585" customFormat="false" ht="15.8" hidden="false" customHeight="false" outlineLevel="0" collapsed="false">
      <c r="L585" s="0" t="n">
        <v>583</v>
      </c>
      <c r="M585" s="0" t="n">
        <v>5</v>
      </c>
      <c r="N585" s="0" t="n">
        <f aca="false">AVERAGE(M582:M589)</f>
        <v>4.25</v>
      </c>
      <c r="O585" s="0" t="n">
        <f aca="false">MAX($A$23)/2</f>
        <v>965.1875</v>
      </c>
      <c r="Q585" s="0" t="n">
        <v>289</v>
      </c>
    </row>
    <row r="586" customFormat="false" ht="15.8" hidden="false" customHeight="false" outlineLevel="0" collapsed="false">
      <c r="L586" s="0" t="n">
        <v>584</v>
      </c>
      <c r="M586" s="0" t="n">
        <v>5</v>
      </c>
      <c r="N586" s="0" t="n">
        <f aca="false">AVERAGE(M583:M590)</f>
        <v>4.25</v>
      </c>
      <c r="O586" s="0" t="n">
        <f aca="false">MAX($A$23)/2</f>
        <v>965.1875</v>
      </c>
      <c r="Q586" s="0" t="n">
        <v>318</v>
      </c>
    </row>
    <row r="587" customFormat="false" ht="15.8" hidden="false" customHeight="false" outlineLevel="0" collapsed="false">
      <c r="L587" s="0" t="n">
        <v>585</v>
      </c>
      <c r="M587" s="0" t="n">
        <v>2</v>
      </c>
      <c r="N587" s="0" t="n">
        <f aca="false">AVERAGE(M584:M591)</f>
        <v>4.5</v>
      </c>
      <c r="O587" s="0" t="n">
        <f aca="false">MAX($A$23)/2</f>
        <v>965.1875</v>
      </c>
      <c r="Q587" s="0" t="n">
        <v>311</v>
      </c>
    </row>
    <row r="588" customFormat="false" ht="15.8" hidden="false" customHeight="false" outlineLevel="0" collapsed="false">
      <c r="L588" s="0" t="n">
        <v>586</v>
      </c>
      <c r="M588" s="0" t="n">
        <v>8</v>
      </c>
      <c r="N588" s="0" t="n">
        <f aca="false">AVERAGE(M585:M592)</f>
        <v>3.875</v>
      </c>
      <c r="O588" s="0" t="n">
        <f aca="false">MAX($A$23)/2</f>
        <v>965.1875</v>
      </c>
      <c r="Q588" s="0" t="n">
        <v>327</v>
      </c>
    </row>
    <row r="589" customFormat="false" ht="15.8" hidden="false" customHeight="false" outlineLevel="0" collapsed="false">
      <c r="L589" s="0" t="n">
        <v>587</v>
      </c>
      <c r="M589" s="0" t="n">
        <v>3</v>
      </c>
      <c r="N589" s="0" t="n">
        <f aca="false">AVERAGE(M586:M593)</f>
        <v>3.25</v>
      </c>
      <c r="O589" s="0" t="n">
        <f aca="false">MAX($A$23)/2</f>
        <v>965.1875</v>
      </c>
      <c r="Q589" s="0" t="n">
        <v>282</v>
      </c>
    </row>
    <row r="590" customFormat="false" ht="15.8" hidden="false" customHeight="false" outlineLevel="0" collapsed="false">
      <c r="L590" s="0" t="n">
        <v>588</v>
      </c>
      <c r="M590" s="0" t="n">
        <v>3</v>
      </c>
      <c r="N590" s="0" t="n">
        <f aca="false">AVERAGE(M587:M594)</f>
        <v>3.5</v>
      </c>
      <c r="O590" s="0" t="n">
        <f aca="false">MAX($A$23)/2</f>
        <v>965.1875</v>
      </c>
      <c r="Q590" s="0" t="n">
        <v>295</v>
      </c>
    </row>
    <row r="591" customFormat="false" ht="15.8" hidden="false" customHeight="false" outlineLevel="0" collapsed="false">
      <c r="L591" s="0" t="n">
        <v>589</v>
      </c>
      <c r="M591" s="0" t="n">
        <v>5</v>
      </c>
      <c r="N591" s="0" t="n">
        <f aca="false">AVERAGE(M588:M595)</f>
        <v>3.75</v>
      </c>
      <c r="O591" s="0" t="n">
        <f aca="false">MAX($A$23)/2</f>
        <v>965.1875</v>
      </c>
      <c r="Q591" s="0" t="n">
        <v>269</v>
      </c>
    </row>
    <row r="592" customFormat="false" ht="15.8" hidden="false" customHeight="false" outlineLevel="0" collapsed="false">
      <c r="L592" s="0" t="n">
        <v>590</v>
      </c>
      <c r="M592" s="0" t="n">
        <v>0</v>
      </c>
      <c r="N592" s="0" t="n">
        <f aca="false">AVERAGE(M589:M596)</f>
        <v>3.125</v>
      </c>
      <c r="O592" s="0" t="n">
        <f aca="false">MAX($A$23)/2</f>
        <v>965.1875</v>
      </c>
      <c r="Q592" s="0" t="n">
        <v>287</v>
      </c>
    </row>
    <row r="593" customFormat="false" ht="15.8" hidden="false" customHeight="false" outlineLevel="0" collapsed="false">
      <c r="L593" s="0" t="n">
        <v>591</v>
      </c>
      <c r="M593" s="0" t="n">
        <v>0</v>
      </c>
      <c r="N593" s="0" t="n">
        <f aca="false">AVERAGE(M590:M597)</f>
        <v>3.375</v>
      </c>
      <c r="O593" s="0" t="n">
        <f aca="false">MAX($A$23)/2</f>
        <v>965.1875</v>
      </c>
      <c r="Q593" s="0" t="n">
        <v>290</v>
      </c>
    </row>
    <row r="594" customFormat="false" ht="15.8" hidden="false" customHeight="false" outlineLevel="0" collapsed="false">
      <c r="L594" s="0" t="n">
        <v>592</v>
      </c>
      <c r="M594" s="0" t="n">
        <v>7</v>
      </c>
      <c r="N594" s="0" t="n">
        <f aca="false">AVERAGE(M591:M598)</f>
        <v>3.75</v>
      </c>
      <c r="O594" s="0" t="n">
        <f aca="false">MAX($A$23)/2</f>
        <v>965.1875</v>
      </c>
      <c r="Q594" s="0" t="n">
        <v>268</v>
      </c>
    </row>
    <row r="595" customFormat="false" ht="15.8" hidden="false" customHeight="false" outlineLevel="0" collapsed="false">
      <c r="L595" s="0" t="n">
        <v>593</v>
      </c>
      <c r="M595" s="0" t="n">
        <v>4</v>
      </c>
      <c r="N595" s="0" t="n">
        <f aca="false">AVERAGE(M592:M599)</f>
        <v>3.5</v>
      </c>
      <c r="O595" s="0" t="n">
        <f aca="false">MAX($A$23)/2</f>
        <v>965.1875</v>
      </c>
      <c r="Q595" s="0" t="n">
        <v>280</v>
      </c>
    </row>
    <row r="596" customFormat="false" ht="15.8" hidden="false" customHeight="false" outlineLevel="0" collapsed="false">
      <c r="L596" s="0" t="n">
        <v>594</v>
      </c>
      <c r="M596" s="0" t="n">
        <v>3</v>
      </c>
      <c r="N596" s="0" t="n">
        <f aca="false">AVERAGE(M593:M600)</f>
        <v>3.875</v>
      </c>
      <c r="O596" s="0" t="n">
        <f aca="false">MAX($A$23)/2</f>
        <v>965.1875</v>
      </c>
      <c r="Q596" s="0" t="n">
        <v>263</v>
      </c>
    </row>
    <row r="597" customFormat="false" ht="15.8" hidden="false" customHeight="false" outlineLevel="0" collapsed="false">
      <c r="L597" s="0" t="n">
        <v>595</v>
      </c>
      <c r="M597" s="0" t="n">
        <v>5</v>
      </c>
      <c r="N597" s="0" t="n">
        <f aca="false">AVERAGE(M594:M601)</f>
        <v>4.75</v>
      </c>
      <c r="O597" s="0" t="n">
        <f aca="false">MAX($A$23)/2</f>
        <v>965.1875</v>
      </c>
      <c r="Q597" s="0" t="n">
        <v>237</v>
      </c>
    </row>
    <row r="598" customFormat="false" ht="15.8" hidden="false" customHeight="false" outlineLevel="0" collapsed="false">
      <c r="L598" s="0" t="n">
        <v>596</v>
      </c>
      <c r="M598" s="0" t="n">
        <v>6</v>
      </c>
      <c r="N598" s="0" t="n">
        <f aca="false">AVERAGE(M595:M602)</f>
        <v>4.125</v>
      </c>
      <c r="O598" s="0" t="n">
        <f aca="false">MAX($A$23)/2</f>
        <v>965.1875</v>
      </c>
      <c r="Q598" s="0" t="n">
        <v>233</v>
      </c>
    </row>
    <row r="599" customFormat="false" ht="15.8" hidden="false" customHeight="false" outlineLevel="0" collapsed="false">
      <c r="L599" s="0" t="n">
        <v>597</v>
      </c>
      <c r="M599" s="0" t="n">
        <v>3</v>
      </c>
      <c r="N599" s="0" t="n">
        <f aca="false">AVERAGE(M596:M603)</f>
        <v>4.375</v>
      </c>
      <c r="O599" s="0" t="n">
        <f aca="false">MAX($A$23)/2</f>
        <v>965.1875</v>
      </c>
      <c r="Q599" s="0" t="n">
        <v>229</v>
      </c>
    </row>
    <row r="600" customFormat="false" ht="15.8" hidden="false" customHeight="false" outlineLevel="0" collapsed="false">
      <c r="L600" s="0" t="n">
        <v>598</v>
      </c>
      <c r="M600" s="0" t="n">
        <v>3</v>
      </c>
      <c r="N600" s="0" t="n">
        <f aca="false">AVERAGE(M597:M604)</f>
        <v>4.5</v>
      </c>
      <c r="O600" s="0" t="n">
        <f aca="false">MAX($A$23)/2</f>
        <v>965.1875</v>
      </c>
      <c r="Q600" s="0" t="n">
        <v>230</v>
      </c>
    </row>
    <row r="601" customFormat="false" ht="15.8" hidden="false" customHeight="false" outlineLevel="0" collapsed="false">
      <c r="L601" s="0" t="n">
        <v>599</v>
      </c>
      <c r="M601" s="0" t="n">
        <v>7</v>
      </c>
      <c r="N601" s="0" t="n">
        <f aca="false">AVERAGE(M598:M605)</f>
        <v>3.875</v>
      </c>
      <c r="O601" s="0" t="n">
        <f aca="false">MAX($A$23)/2</f>
        <v>965.1875</v>
      </c>
      <c r="Q601" s="0" t="n">
        <v>235</v>
      </c>
    </row>
    <row r="602" customFormat="false" ht="15.8" hidden="false" customHeight="false" outlineLevel="0" collapsed="false">
      <c r="L602" s="0" t="n">
        <v>600</v>
      </c>
      <c r="M602" s="0" t="n">
        <v>2</v>
      </c>
      <c r="N602" s="0" t="n">
        <f aca="false">AVERAGE(M599:M606)</f>
        <v>3.5</v>
      </c>
      <c r="O602" s="0" t="n">
        <f aca="false">MAX($A$23)/2</f>
        <v>965.1875</v>
      </c>
      <c r="Q602" s="0" t="n">
        <v>230</v>
      </c>
    </row>
    <row r="603" customFormat="false" ht="15.8" hidden="false" customHeight="false" outlineLevel="0" collapsed="false">
      <c r="L603" s="0" t="n">
        <v>601</v>
      </c>
      <c r="M603" s="0" t="n">
        <v>6</v>
      </c>
      <c r="N603" s="0" t="n">
        <f aca="false">AVERAGE(M600:M607)</f>
        <v>3.5</v>
      </c>
      <c r="O603" s="0" t="n">
        <f aca="false">MAX($A$23)/2</f>
        <v>965.1875</v>
      </c>
      <c r="Q603" s="0" t="n">
        <v>227</v>
      </c>
    </row>
    <row r="604" customFormat="false" ht="15.8" hidden="false" customHeight="false" outlineLevel="0" collapsed="false">
      <c r="L604" s="0" t="n">
        <v>602</v>
      </c>
      <c r="M604" s="0" t="n">
        <v>4</v>
      </c>
      <c r="N604" s="0" t="n">
        <f aca="false">AVERAGE(M601:M608)</f>
        <v>3.5</v>
      </c>
      <c r="O604" s="0" t="n">
        <f aca="false">MAX($A$23)/2</f>
        <v>965.1875</v>
      </c>
      <c r="Q604" s="0" t="n">
        <v>191</v>
      </c>
    </row>
    <row r="605" customFormat="false" ht="15.8" hidden="false" customHeight="false" outlineLevel="0" collapsed="false">
      <c r="L605" s="0" t="n">
        <v>603</v>
      </c>
      <c r="M605" s="0" t="n">
        <v>0</v>
      </c>
      <c r="N605" s="0" t="n">
        <f aca="false">AVERAGE(M602:M609)</f>
        <v>3.25</v>
      </c>
      <c r="O605" s="0" t="n">
        <f aca="false">MAX($A$23)/2</f>
        <v>965.1875</v>
      </c>
      <c r="Q605" s="0" t="n">
        <v>206</v>
      </c>
    </row>
    <row r="606" customFormat="false" ht="15.8" hidden="false" customHeight="false" outlineLevel="0" collapsed="false">
      <c r="L606" s="0" t="n">
        <v>604</v>
      </c>
      <c r="M606" s="0" t="n">
        <v>3</v>
      </c>
      <c r="N606" s="0" t="n">
        <f aca="false">AVERAGE(M603:M610)</f>
        <v>3.125</v>
      </c>
      <c r="O606" s="0" t="n">
        <f aca="false">MAX($A$23)/2</f>
        <v>965.1875</v>
      </c>
      <c r="Q606" s="0" t="n">
        <v>190</v>
      </c>
    </row>
    <row r="607" customFormat="false" ht="15.8" hidden="false" customHeight="false" outlineLevel="0" collapsed="false">
      <c r="L607" s="0" t="n">
        <v>605</v>
      </c>
      <c r="M607" s="0" t="n">
        <v>3</v>
      </c>
      <c r="N607" s="0" t="n">
        <f aca="false">AVERAGE(M604:M611)</f>
        <v>2.5</v>
      </c>
      <c r="O607" s="0" t="n">
        <f aca="false">MAX($A$23)/2</f>
        <v>965.1875</v>
      </c>
      <c r="Q607" s="0" t="n">
        <v>157</v>
      </c>
    </row>
    <row r="608" customFormat="false" ht="15.8" hidden="false" customHeight="false" outlineLevel="0" collapsed="false">
      <c r="L608" s="0" t="n">
        <v>606</v>
      </c>
      <c r="M608" s="0" t="n">
        <v>3</v>
      </c>
      <c r="N608" s="0" t="n">
        <f aca="false">AVERAGE(M605:M612)</f>
        <v>2.375</v>
      </c>
      <c r="O608" s="0" t="n">
        <f aca="false">MAX($A$23)/2</f>
        <v>965.1875</v>
      </c>
      <c r="Q608" s="0" t="n">
        <v>175</v>
      </c>
    </row>
    <row r="609" customFormat="false" ht="15.8" hidden="false" customHeight="false" outlineLevel="0" collapsed="false">
      <c r="L609" s="0" t="n">
        <v>607</v>
      </c>
      <c r="M609" s="0" t="n">
        <v>5</v>
      </c>
      <c r="N609" s="0" t="n">
        <f aca="false">AVERAGE(M606:M613)</f>
        <v>2.375</v>
      </c>
      <c r="O609" s="0" t="n">
        <f aca="false">MAX($A$23)/2</f>
        <v>965.1875</v>
      </c>
      <c r="Q609" s="0" t="n">
        <v>190</v>
      </c>
    </row>
    <row r="610" customFormat="false" ht="15.8" hidden="false" customHeight="false" outlineLevel="0" collapsed="false">
      <c r="L610" s="0" t="n">
        <v>608</v>
      </c>
      <c r="M610" s="0" t="n">
        <v>1</v>
      </c>
      <c r="N610" s="0" t="n">
        <f aca="false">AVERAGE(M607:M614)</f>
        <v>3</v>
      </c>
      <c r="O610" s="0" t="n">
        <f aca="false">MAX($A$23)/2</f>
        <v>965.1875</v>
      </c>
      <c r="Q610" s="0" t="n">
        <v>181</v>
      </c>
    </row>
    <row r="611" customFormat="false" ht="15.8" hidden="false" customHeight="false" outlineLevel="0" collapsed="false">
      <c r="L611" s="0" t="n">
        <v>609</v>
      </c>
      <c r="M611" s="0" t="n">
        <v>1</v>
      </c>
      <c r="N611" s="0" t="n">
        <f aca="false">AVERAGE(M608:M615)</f>
        <v>3</v>
      </c>
      <c r="O611" s="0" t="n">
        <f aca="false">MAX($A$23)/2</f>
        <v>965.1875</v>
      </c>
      <c r="Q611" s="0" t="n">
        <v>170</v>
      </c>
    </row>
    <row r="612" customFormat="false" ht="15.8" hidden="false" customHeight="false" outlineLevel="0" collapsed="false">
      <c r="L612" s="0" t="n">
        <v>610</v>
      </c>
      <c r="M612" s="0" t="n">
        <v>3</v>
      </c>
      <c r="N612" s="0" t="n">
        <f aca="false">AVERAGE(M609:M616)</f>
        <v>3.375</v>
      </c>
      <c r="O612" s="0" t="n">
        <f aca="false">MAX($A$23)/2</f>
        <v>965.1875</v>
      </c>
      <c r="Q612" s="0" t="n">
        <v>155</v>
      </c>
    </row>
    <row r="613" customFormat="false" ht="15.8" hidden="false" customHeight="false" outlineLevel="0" collapsed="false">
      <c r="L613" s="0" t="n">
        <v>611</v>
      </c>
      <c r="M613" s="0" t="n">
        <v>0</v>
      </c>
      <c r="N613" s="0" t="n">
        <f aca="false">AVERAGE(M610:M617)</f>
        <v>2.875</v>
      </c>
      <c r="O613" s="0" t="n">
        <f aca="false">MAX($A$23)/2</f>
        <v>965.1875</v>
      </c>
      <c r="Q613" s="0" t="n">
        <v>196</v>
      </c>
    </row>
    <row r="614" customFormat="false" ht="15.8" hidden="false" customHeight="false" outlineLevel="0" collapsed="false">
      <c r="L614" s="0" t="n">
        <v>612</v>
      </c>
      <c r="M614" s="0" t="n">
        <v>8</v>
      </c>
      <c r="N614" s="0" t="n">
        <f aca="false">AVERAGE(M611:M618)</f>
        <v>3</v>
      </c>
      <c r="O614" s="0" t="n">
        <f aca="false">MAX($A$23)/2</f>
        <v>965.1875</v>
      </c>
      <c r="Q614" s="0" t="n">
        <v>181</v>
      </c>
    </row>
    <row r="615" customFormat="false" ht="15.8" hidden="false" customHeight="false" outlineLevel="0" collapsed="false">
      <c r="L615" s="0" t="n">
        <v>613</v>
      </c>
      <c r="M615" s="0" t="n">
        <v>3</v>
      </c>
      <c r="N615" s="0" t="n">
        <f aca="false">AVERAGE(M612:M619)</f>
        <v>3.125</v>
      </c>
      <c r="O615" s="0" t="n">
        <f aca="false">MAX($A$23)/2</f>
        <v>965.1875</v>
      </c>
      <c r="Q615" s="0" t="n">
        <v>173</v>
      </c>
    </row>
    <row r="616" customFormat="false" ht="15.8" hidden="false" customHeight="false" outlineLevel="0" collapsed="false">
      <c r="L616" s="0" t="n">
        <v>614</v>
      </c>
      <c r="M616" s="0" t="n">
        <v>6</v>
      </c>
      <c r="N616" s="0" t="n">
        <f aca="false">AVERAGE(M613:M620)</f>
        <v>3.5</v>
      </c>
      <c r="O616" s="0" t="n">
        <f aca="false">MAX($A$23)/2</f>
        <v>965.1875</v>
      </c>
      <c r="Q616" s="0" t="n">
        <v>163</v>
      </c>
    </row>
    <row r="617" customFormat="false" ht="15.8" hidden="false" customHeight="false" outlineLevel="0" collapsed="false">
      <c r="L617" s="0" t="n">
        <v>615</v>
      </c>
      <c r="M617" s="0" t="n">
        <v>1</v>
      </c>
      <c r="N617" s="0" t="n">
        <f aca="false">AVERAGE(M614:M621)</f>
        <v>3.625</v>
      </c>
      <c r="O617" s="0" t="n">
        <f aca="false">MAX($A$23)/2</f>
        <v>965.1875</v>
      </c>
      <c r="Q617" s="0" t="n">
        <v>180</v>
      </c>
    </row>
    <row r="618" customFormat="false" ht="15.8" hidden="false" customHeight="false" outlineLevel="0" collapsed="false">
      <c r="L618" s="0" t="n">
        <v>616</v>
      </c>
      <c r="M618" s="0" t="n">
        <v>2</v>
      </c>
      <c r="N618" s="0" t="n">
        <f aca="false">AVERAGE(M615:M622)</f>
        <v>2.875</v>
      </c>
      <c r="O618" s="0" t="n">
        <f aca="false">MAX($A$23)/2</f>
        <v>965.1875</v>
      </c>
      <c r="Q618" s="0" t="n">
        <v>142</v>
      </c>
    </row>
    <row r="619" customFormat="false" ht="15.8" hidden="false" customHeight="false" outlineLevel="0" collapsed="false">
      <c r="L619" s="0" t="n">
        <v>617</v>
      </c>
      <c r="M619" s="0" t="n">
        <v>2</v>
      </c>
      <c r="N619" s="0" t="n">
        <f aca="false">AVERAGE(M616:M623)</f>
        <v>2.625</v>
      </c>
      <c r="O619" s="0" t="n">
        <f aca="false">MAX($A$23)/2</f>
        <v>965.1875</v>
      </c>
      <c r="Q619" s="0" t="n">
        <v>138</v>
      </c>
    </row>
    <row r="620" customFormat="false" ht="15.8" hidden="false" customHeight="false" outlineLevel="0" collapsed="false">
      <c r="L620" s="0" t="n">
        <v>618</v>
      </c>
      <c r="M620" s="0" t="n">
        <v>6</v>
      </c>
      <c r="N620" s="0" t="n">
        <f aca="false">AVERAGE(M617:M624)</f>
        <v>2.125</v>
      </c>
      <c r="O620" s="0" t="n">
        <f aca="false">MAX($A$23)/2</f>
        <v>965.1875</v>
      </c>
      <c r="Q620" s="0" t="n">
        <v>139</v>
      </c>
    </row>
    <row r="621" customFormat="false" ht="15.8" hidden="false" customHeight="false" outlineLevel="0" collapsed="false">
      <c r="L621" s="0" t="n">
        <v>619</v>
      </c>
      <c r="M621" s="0" t="n">
        <v>1</v>
      </c>
      <c r="N621" s="0" t="n">
        <f aca="false">AVERAGE(M618:M625)</f>
        <v>2.5</v>
      </c>
      <c r="O621" s="0" t="n">
        <f aca="false">MAX($A$23)/2</f>
        <v>965.1875</v>
      </c>
      <c r="Q621" s="0" t="n">
        <v>137</v>
      </c>
    </row>
    <row r="622" customFormat="false" ht="15.8" hidden="false" customHeight="false" outlineLevel="0" collapsed="false">
      <c r="L622" s="0" t="n">
        <v>620</v>
      </c>
      <c r="M622" s="0" t="n">
        <v>2</v>
      </c>
      <c r="N622" s="0" t="n">
        <f aca="false">AVERAGE(M619:M626)</f>
        <v>2.5</v>
      </c>
      <c r="O622" s="0" t="n">
        <f aca="false">MAX($A$23)/2</f>
        <v>965.1875</v>
      </c>
      <c r="Q622" s="0" t="n">
        <v>139</v>
      </c>
    </row>
    <row r="623" customFormat="false" ht="15.8" hidden="false" customHeight="false" outlineLevel="0" collapsed="false">
      <c r="L623" s="0" t="n">
        <v>621</v>
      </c>
      <c r="M623" s="0" t="n">
        <v>1</v>
      </c>
      <c r="N623" s="0" t="n">
        <f aca="false">AVERAGE(M620:M627)</f>
        <v>2.875</v>
      </c>
      <c r="O623" s="0" t="n">
        <f aca="false">MAX($A$23)/2</f>
        <v>965.1875</v>
      </c>
      <c r="Q623" s="0" t="n">
        <v>127</v>
      </c>
    </row>
    <row r="624" customFormat="false" ht="15.8" hidden="false" customHeight="false" outlineLevel="0" collapsed="false">
      <c r="L624" s="0" t="n">
        <v>622</v>
      </c>
      <c r="M624" s="0" t="n">
        <v>2</v>
      </c>
      <c r="N624" s="0" t="n">
        <f aca="false">AVERAGE(M621:M628)</f>
        <v>2.625</v>
      </c>
      <c r="O624" s="0" t="n">
        <f aca="false">MAX($A$23)/2</f>
        <v>965.1875</v>
      </c>
      <c r="Q624" s="0" t="n">
        <v>125</v>
      </c>
    </row>
    <row r="625" customFormat="false" ht="15.8" hidden="false" customHeight="false" outlineLevel="0" collapsed="false">
      <c r="L625" s="0" t="n">
        <v>623</v>
      </c>
      <c r="M625" s="0" t="n">
        <v>4</v>
      </c>
      <c r="N625" s="0" t="n">
        <f aca="false">AVERAGE(M622:M629)</f>
        <v>3.625</v>
      </c>
      <c r="O625" s="0" t="n">
        <f aca="false">MAX($A$23)/2</f>
        <v>965.1875</v>
      </c>
      <c r="Q625" s="0" t="n">
        <v>140</v>
      </c>
    </row>
    <row r="626" customFormat="false" ht="15.8" hidden="false" customHeight="false" outlineLevel="0" collapsed="false">
      <c r="L626" s="0" t="n">
        <v>624</v>
      </c>
      <c r="M626" s="0" t="n">
        <v>2</v>
      </c>
      <c r="N626" s="0" t="n">
        <f aca="false">AVERAGE(M623:M630)</f>
        <v>3.75</v>
      </c>
      <c r="O626" s="0" t="n">
        <f aca="false">MAX($A$23)/2</f>
        <v>965.1875</v>
      </c>
      <c r="Q626" s="0" t="n">
        <v>140</v>
      </c>
    </row>
    <row r="627" customFormat="false" ht="15.8" hidden="false" customHeight="false" outlineLevel="0" collapsed="false">
      <c r="L627" s="0" t="n">
        <v>625</v>
      </c>
      <c r="M627" s="0" t="n">
        <v>5</v>
      </c>
      <c r="N627" s="0" t="n">
        <f aca="false">AVERAGE(M624:M631)</f>
        <v>4.125</v>
      </c>
      <c r="O627" s="0" t="n">
        <f aca="false">MAX($A$23)/2</f>
        <v>965.1875</v>
      </c>
      <c r="Q627" s="0" t="n">
        <v>110</v>
      </c>
    </row>
    <row r="628" customFormat="false" ht="15.8" hidden="false" customHeight="false" outlineLevel="0" collapsed="false">
      <c r="L628" s="0" t="n">
        <v>626</v>
      </c>
      <c r="M628" s="0" t="n">
        <v>4</v>
      </c>
      <c r="N628" s="0" t="n">
        <f aca="false">AVERAGE(M625:M632)</f>
        <v>4.125</v>
      </c>
      <c r="O628" s="0" t="n">
        <f aca="false">MAX($A$23)/2</f>
        <v>965.1875</v>
      </c>
      <c r="Q628" s="0" t="n">
        <v>120</v>
      </c>
    </row>
    <row r="629" customFormat="false" ht="15.8" hidden="false" customHeight="false" outlineLevel="0" collapsed="false">
      <c r="L629" s="0" t="n">
        <v>627</v>
      </c>
      <c r="M629" s="0" t="n">
        <v>9</v>
      </c>
      <c r="N629" s="0" t="n">
        <f aca="false">AVERAGE(M626:M633)</f>
        <v>4.125</v>
      </c>
      <c r="O629" s="0" t="n">
        <f aca="false">MAX($A$23)/2</f>
        <v>965.1875</v>
      </c>
      <c r="Q629" s="0" t="n">
        <v>123</v>
      </c>
    </row>
    <row r="630" customFormat="false" ht="15.8" hidden="false" customHeight="false" outlineLevel="0" collapsed="false">
      <c r="L630" s="0" t="n">
        <v>628</v>
      </c>
      <c r="M630" s="0" t="n">
        <v>3</v>
      </c>
      <c r="N630" s="0" t="n">
        <f aca="false">AVERAGE(M627:M634)</f>
        <v>4.375</v>
      </c>
      <c r="O630" s="0" t="n">
        <f aca="false">MAX($A$23)/2</f>
        <v>965.1875</v>
      </c>
      <c r="Q630" s="0" t="n">
        <v>87</v>
      </c>
    </row>
    <row r="631" customFormat="false" ht="15.8" hidden="false" customHeight="false" outlineLevel="0" collapsed="false">
      <c r="L631" s="0" t="n">
        <v>629</v>
      </c>
      <c r="M631" s="0" t="n">
        <v>4</v>
      </c>
      <c r="N631" s="0" t="n">
        <f aca="false">AVERAGE(M628:M635)</f>
        <v>4.375</v>
      </c>
      <c r="O631" s="0" t="n">
        <f aca="false">MAX($A$23)/2</f>
        <v>965.1875</v>
      </c>
      <c r="Q631" s="0" t="n">
        <v>105</v>
      </c>
    </row>
    <row r="632" customFormat="false" ht="15.8" hidden="false" customHeight="false" outlineLevel="0" collapsed="false">
      <c r="L632" s="0" t="n">
        <v>630</v>
      </c>
      <c r="M632" s="0" t="n">
        <v>2</v>
      </c>
      <c r="N632" s="0" t="n">
        <f aca="false">AVERAGE(M629:M636)</f>
        <v>4.25</v>
      </c>
      <c r="O632" s="0" t="n">
        <f aca="false">MAX($A$23)/2</f>
        <v>965.1875</v>
      </c>
      <c r="Q632" s="0" t="n">
        <v>100</v>
      </c>
    </row>
    <row r="633" customFormat="false" ht="15.8" hidden="false" customHeight="false" outlineLevel="0" collapsed="false">
      <c r="L633" s="0" t="n">
        <v>631</v>
      </c>
      <c r="M633" s="0" t="n">
        <v>4</v>
      </c>
      <c r="N633" s="0" t="n">
        <f aca="false">AVERAGE(M630:M637)</f>
        <v>3.375</v>
      </c>
      <c r="O633" s="0" t="n">
        <f aca="false">MAX($A$23)/2</f>
        <v>965.1875</v>
      </c>
      <c r="Q633" s="0" t="n">
        <v>93</v>
      </c>
    </row>
    <row r="634" customFormat="false" ht="15.8" hidden="false" customHeight="false" outlineLevel="0" collapsed="false">
      <c r="L634" s="0" t="n">
        <v>632</v>
      </c>
      <c r="M634" s="0" t="n">
        <v>4</v>
      </c>
      <c r="N634" s="0" t="n">
        <f aca="false">AVERAGE(M631:M638)</f>
        <v>3.125</v>
      </c>
      <c r="O634" s="0" t="n">
        <f aca="false">MAX($A$23)/2</f>
        <v>965.1875</v>
      </c>
      <c r="Q634" s="0" t="n">
        <v>114</v>
      </c>
    </row>
    <row r="635" customFormat="false" ht="15.8" hidden="false" customHeight="false" outlineLevel="0" collapsed="false">
      <c r="L635" s="0" t="n">
        <v>633</v>
      </c>
      <c r="M635" s="0" t="n">
        <v>5</v>
      </c>
      <c r="N635" s="0" t="n">
        <f aca="false">AVERAGE(M632:M639)</f>
        <v>3.5</v>
      </c>
      <c r="O635" s="0" t="n">
        <f aca="false">MAX($A$23)/2</f>
        <v>965.1875</v>
      </c>
      <c r="Q635" s="0" t="n">
        <v>88</v>
      </c>
    </row>
    <row r="636" customFormat="false" ht="15.8" hidden="false" customHeight="false" outlineLevel="0" collapsed="false">
      <c r="L636" s="0" t="n">
        <v>634</v>
      </c>
      <c r="M636" s="0" t="n">
        <v>3</v>
      </c>
      <c r="N636" s="0" t="n">
        <f aca="false">AVERAGE(M633:M640)</f>
        <v>3.5</v>
      </c>
      <c r="O636" s="0" t="n">
        <f aca="false">MAX($A$23)/2</f>
        <v>965.1875</v>
      </c>
      <c r="Q636" s="0" t="n">
        <v>92</v>
      </c>
    </row>
    <row r="637" customFormat="false" ht="15.8" hidden="false" customHeight="false" outlineLevel="0" collapsed="false">
      <c r="L637" s="0" t="n">
        <v>635</v>
      </c>
      <c r="M637" s="0" t="n">
        <v>2</v>
      </c>
      <c r="N637" s="0" t="n">
        <f aca="false">AVERAGE(M634:M641)</f>
        <v>3.625</v>
      </c>
      <c r="O637" s="0" t="n">
        <f aca="false">MAX($A$23)/2</f>
        <v>965.1875</v>
      </c>
      <c r="Q637" s="0" t="n">
        <v>94</v>
      </c>
    </row>
    <row r="638" customFormat="false" ht="15.8" hidden="false" customHeight="false" outlineLevel="0" collapsed="false">
      <c r="L638" s="0" t="n">
        <v>636</v>
      </c>
      <c r="M638" s="0" t="n">
        <v>1</v>
      </c>
      <c r="N638" s="0" t="n">
        <f aca="false">AVERAGE(M635:M642)</f>
        <v>3.375</v>
      </c>
      <c r="O638" s="0" t="n">
        <f aca="false">MAX($A$23)/2</f>
        <v>965.1875</v>
      </c>
      <c r="Q638" s="0" t="n">
        <v>100</v>
      </c>
    </row>
    <row r="639" customFormat="false" ht="15.8" hidden="false" customHeight="false" outlineLevel="0" collapsed="false">
      <c r="L639" s="0" t="n">
        <v>637</v>
      </c>
      <c r="M639" s="0" t="n">
        <v>7</v>
      </c>
      <c r="N639" s="0" t="n">
        <f aca="false">AVERAGE(M636:M643)</f>
        <v>3.375</v>
      </c>
      <c r="O639" s="0" t="n">
        <f aca="false">MAX($A$23)/2</f>
        <v>965.1875</v>
      </c>
      <c r="Q639" s="0" t="n">
        <v>92</v>
      </c>
    </row>
    <row r="640" customFormat="false" ht="15.8" hidden="false" customHeight="false" outlineLevel="0" collapsed="false">
      <c r="L640" s="0" t="n">
        <v>638</v>
      </c>
      <c r="M640" s="0" t="n">
        <v>2</v>
      </c>
      <c r="N640" s="0" t="n">
        <f aca="false">AVERAGE(M637:M644)</f>
        <v>3.5</v>
      </c>
      <c r="O640" s="0" t="n">
        <f aca="false">MAX($A$23)/2</f>
        <v>965.1875</v>
      </c>
      <c r="Q640" s="0" t="n">
        <v>76</v>
      </c>
    </row>
    <row r="641" customFormat="false" ht="15.8" hidden="false" customHeight="false" outlineLevel="0" collapsed="false">
      <c r="L641" s="0" t="n">
        <v>639</v>
      </c>
      <c r="M641" s="0" t="n">
        <v>5</v>
      </c>
      <c r="N641" s="0" t="n">
        <f aca="false">AVERAGE(M638:M645)</f>
        <v>3.5</v>
      </c>
      <c r="O641" s="0" t="n">
        <f aca="false">MAX($A$23)/2</f>
        <v>965.1875</v>
      </c>
      <c r="Q641" s="0" t="n">
        <v>81</v>
      </c>
    </row>
    <row r="642" customFormat="false" ht="15.8" hidden="false" customHeight="false" outlineLevel="0" collapsed="false">
      <c r="L642" s="0" t="n">
        <v>640</v>
      </c>
      <c r="M642" s="0" t="n">
        <v>2</v>
      </c>
      <c r="N642" s="0" t="n">
        <f aca="false">AVERAGE(M639:M646)</f>
        <v>4</v>
      </c>
      <c r="O642" s="0" t="n">
        <f aca="false">MAX($A$23)/2</f>
        <v>965.1875</v>
      </c>
      <c r="Q642" s="0" t="n">
        <v>73</v>
      </c>
    </row>
    <row r="643" customFormat="false" ht="15.8" hidden="false" customHeight="false" outlineLevel="0" collapsed="false">
      <c r="L643" s="0" t="n">
        <v>641</v>
      </c>
      <c r="M643" s="0" t="n">
        <v>5</v>
      </c>
      <c r="N643" s="0" t="n">
        <f aca="false">AVERAGE(M640:M647)</f>
        <v>3.375</v>
      </c>
      <c r="O643" s="0" t="n">
        <f aca="false">MAX($A$23)/2</f>
        <v>965.1875</v>
      </c>
      <c r="Q643" s="0" t="n">
        <v>76</v>
      </c>
    </row>
    <row r="644" customFormat="false" ht="15.8" hidden="false" customHeight="false" outlineLevel="0" collapsed="false">
      <c r="L644" s="0" t="n">
        <v>642</v>
      </c>
      <c r="M644" s="0" t="n">
        <v>4</v>
      </c>
      <c r="N644" s="0" t="n">
        <f aca="false">AVERAGE(M641:M648)</f>
        <v>3.375</v>
      </c>
      <c r="O644" s="0" t="n">
        <f aca="false">MAX($A$23)/2</f>
        <v>965.1875</v>
      </c>
      <c r="Q644" s="0" t="n">
        <v>64</v>
      </c>
    </row>
    <row r="645" customFormat="false" ht="15.8" hidden="false" customHeight="false" outlineLevel="0" collapsed="false">
      <c r="L645" s="0" t="n">
        <v>643</v>
      </c>
      <c r="M645" s="0" t="n">
        <v>2</v>
      </c>
      <c r="N645" s="0" t="n">
        <f aca="false">AVERAGE(M642:M649)</f>
        <v>3</v>
      </c>
      <c r="O645" s="0" t="n">
        <f aca="false">MAX($A$23)/2</f>
        <v>965.1875</v>
      </c>
      <c r="Q645" s="0" t="n">
        <v>73</v>
      </c>
    </row>
    <row r="646" customFormat="false" ht="15.8" hidden="false" customHeight="false" outlineLevel="0" collapsed="false">
      <c r="L646" s="0" t="n">
        <v>644</v>
      </c>
      <c r="M646" s="0" t="n">
        <v>5</v>
      </c>
      <c r="N646" s="0" t="n">
        <f aca="false">AVERAGE(M643:M650)</f>
        <v>3</v>
      </c>
      <c r="O646" s="0" t="n">
        <f aca="false">MAX($A$23)/2</f>
        <v>965.1875</v>
      </c>
      <c r="Q646" s="0" t="n">
        <v>67</v>
      </c>
    </row>
    <row r="647" customFormat="false" ht="15.8" hidden="false" customHeight="false" outlineLevel="0" collapsed="false">
      <c r="L647" s="0" t="n">
        <v>645</v>
      </c>
      <c r="M647" s="0" t="n">
        <v>2</v>
      </c>
      <c r="N647" s="0" t="n">
        <f aca="false">AVERAGE(M644:M651)</f>
        <v>2.875</v>
      </c>
      <c r="O647" s="0" t="n">
        <f aca="false">MAX($A$23)/2</f>
        <v>965.1875</v>
      </c>
      <c r="Q647" s="0" t="n">
        <v>56</v>
      </c>
    </row>
    <row r="648" customFormat="false" ht="15.8" hidden="false" customHeight="false" outlineLevel="0" collapsed="false">
      <c r="L648" s="0" t="n">
        <v>646</v>
      </c>
      <c r="M648" s="0" t="n">
        <v>2</v>
      </c>
      <c r="N648" s="0" t="n">
        <f aca="false">AVERAGE(M645:M652)</f>
        <v>2.875</v>
      </c>
      <c r="O648" s="0" t="n">
        <f aca="false">MAX($A$23)/2</f>
        <v>965.1875</v>
      </c>
      <c r="Q648" s="0" t="n">
        <v>68</v>
      </c>
    </row>
    <row r="649" customFormat="false" ht="15.8" hidden="false" customHeight="false" outlineLevel="0" collapsed="false">
      <c r="L649" s="0" t="n">
        <v>647</v>
      </c>
      <c r="M649" s="0" t="n">
        <v>2</v>
      </c>
      <c r="N649" s="0" t="n">
        <f aca="false">AVERAGE(M646:M653)</f>
        <v>2.75</v>
      </c>
      <c r="O649" s="0" t="n">
        <f aca="false">MAX($A$23)/2</f>
        <v>965.1875</v>
      </c>
      <c r="Q649" s="0" t="n">
        <v>66</v>
      </c>
    </row>
    <row r="650" customFormat="false" ht="15.8" hidden="false" customHeight="false" outlineLevel="0" collapsed="false">
      <c r="L650" s="0" t="n">
        <v>648</v>
      </c>
      <c r="M650" s="0" t="n">
        <v>2</v>
      </c>
      <c r="N650" s="0" t="n">
        <f aca="false">AVERAGE(M647:M654)</f>
        <v>2.875</v>
      </c>
      <c r="O650" s="0" t="n">
        <f aca="false">MAX($A$23)/2</f>
        <v>965.1875</v>
      </c>
      <c r="Q650" s="0" t="n">
        <v>63</v>
      </c>
    </row>
    <row r="651" customFormat="false" ht="15.8" hidden="false" customHeight="false" outlineLevel="0" collapsed="false">
      <c r="L651" s="0" t="n">
        <v>649</v>
      </c>
      <c r="M651" s="0" t="n">
        <v>4</v>
      </c>
      <c r="N651" s="0" t="n">
        <f aca="false">AVERAGE(M648:M655)</f>
        <v>3.125</v>
      </c>
      <c r="O651" s="0" t="n">
        <f aca="false">MAX($A$23)/2</f>
        <v>965.1875</v>
      </c>
      <c r="Q651" s="0" t="n">
        <v>62</v>
      </c>
    </row>
    <row r="652" customFormat="false" ht="15.8" hidden="false" customHeight="false" outlineLevel="0" collapsed="false">
      <c r="L652" s="0" t="n">
        <v>650</v>
      </c>
      <c r="M652" s="0" t="n">
        <v>4</v>
      </c>
      <c r="N652" s="0" t="n">
        <f aca="false">AVERAGE(M649:M656)</f>
        <v>3.5</v>
      </c>
      <c r="O652" s="0" t="n">
        <f aca="false">MAX($A$23)/2</f>
        <v>965.1875</v>
      </c>
      <c r="Q652" s="0" t="n">
        <v>54</v>
      </c>
    </row>
    <row r="653" customFormat="false" ht="15.8" hidden="false" customHeight="false" outlineLevel="0" collapsed="false">
      <c r="L653" s="0" t="n">
        <v>651</v>
      </c>
      <c r="M653" s="0" t="n">
        <v>1</v>
      </c>
      <c r="N653" s="0" t="n">
        <f aca="false">AVERAGE(M650:M657)</f>
        <v>3.875</v>
      </c>
      <c r="O653" s="0" t="n">
        <f aca="false">MAX($A$23)/2</f>
        <v>965.1875</v>
      </c>
      <c r="Q653" s="0" t="n">
        <v>59</v>
      </c>
    </row>
    <row r="654" customFormat="false" ht="15.8" hidden="false" customHeight="false" outlineLevel="0" collapsed="false">
      <c r="L654" s="0" t="n">
        <v>652</v>
      </c>
      <c r="M654" s="0" t="n">
        <v>6</v>
      </c>
      <c r="N654" s="0" t="n">
        <f aca="false">AVERAGE(M651:M658)</f>
        <v>4.25</v>
      </c>
      <c r="O654" s="0" t="n">
        <f aca="false">MAX($A$23)/2</f>
        <v>965.1875</v>
      </c>
      <c r="Q654" s="0" t="n">
        <v>43</v>
      </c>
    </row>
    <row r="655" customFormat="false" ht="15.8" hidden="false" customHeight="false" outlineLevel="0" collapsed="false">
      <c r="L655" s="0" t="n">
        <v>653</v>
      </c>
      <c r="M655" s="0" t="n">
        <v>4</v>
      </c>
      <c r="N655" s="0" t="n">
        <f aca="false">AVERAGE(M652:M659)</f>
        <v>3.875</v>
      </c>
      <c r="O655" s="0" t="n">
        <f aca="false">MAX($A$23)/2</f>
        <v>965.1875</v>
      </c>
      <c r="Q655" s="0" t="n">
        <v>51</v>
      </c>
    </row>
    <row r="656" customFormat="false" ht="15.8" hidden="false" customHeight="false" outlineLevel="0" collapsed="false">
      <c r="L656" s="0" t="n">
        <v>654</v>
      </c>
      <c r="M656" s="0" t="n">
        <v>5</v>
      </c>
      <c r="N656" s="0" t="n">
        <f aca="false">AVERAGE(M653:M660)</f>
        <v>3.625</v>
      </c>
      <c r="O656" s="0" t="n">
        <f aca="false">MAX($A$23)/2</f>
        <v>965.1875</v>
      </c>
      <c r="Q656" s="0" t="n">
        <v>55</v>
      </c>
    </row>
    <row r="657" customFormat="false" ht="15.8" hidden="false" customHeight="false" outlineLevel="0" collapsed="false">
      <c r="L657" s="0" t="n">
        <v>655</v>
      </c>
      <c r="M657" s="0" t="n">
        <v>5</v>
      </c>
      <c r="N657" s="0" t="n">
        <f aca="false">AVERAGE(M654:M661)</f>
        <v>4</v>
      </c>
      <c r="O657" s="0" t="n">
        <f aca="false">MAX($A$23)/2</f>
        <v>965.1875</v>
      </c>
      <c r="Q657" s="0" t="n">
        <v>53</v>
      </c>
    </row>
    <row r="658" customFormat="false" ht="15.8" hidden="false" customHeight="false" outlineLevel="0" collapsed="false">
      <c r="L658" s="0" t="n">
        <v>656</v>
      </c>
      <c r="M658" s="0" t="n">
        <v>5</v>
      </c>
      <c r="N658" s="0" t="n">
        <f aca="false">AVERAGE(M655:M662)</f>
        <v>3.5</v>
      </c>
      <c r="O658" s="0" t="n">
        <f aca="false">MAX($A$23)/2</f>
        <v>965.1875</v>
      </c>
      <c r="Q658" s="0" t="n">
        <v>46</v>
      </c>
    </row>
    <row r="659" customFormat="false" ht="15.8" hidden="false" customHeight="false" outlineLevel="0" collapsed="false">
      <c r="L659" s="0" t="n">
        <v>657</v>
      </c>
      <c r="M659" s="0" t="n">
        <v>1</v>
      </c>
      <c r="N659" s="0" t="n">
        <f aca="false">AVERAGE(M656:M663)</f>
        <v>3.75</v>
      </c>
      <c r="O659" s="0" t="n">
        <f aca="false">MAX($A$23)/2</f>
        <v>965.1875</v>
      </c>
      <c r="Q659" s="0" t="n">
        <v>43</v>
      </c>
    </row>
    <row r="660" customFormat="false" ht="15.8" hidden="false" customHeight="false" outlineLevel="0" collapsed="false">
      <c r="L660" s="0" t="n">
        <v>658</v>
      </c>
      <c r="M660" s="0" t="n">
        <v>2</v>
      </c>
      <c r="N660" s="0" t="n">
        <f aca="false">AVERAGE(M657:M664)</f>
        <v>3.375</v>
      </c>
      <c r="O660" s="0" t="n">
        <f aca="false">MAX($A$23)/2</f>
        <v>965.1875</v>
      </c>
      <c r="Q660" s="0" t="n">
        <v>36</v>
      </c>
    </row>
    <row r="661" customFormat="false" ht="15.8" hidden="false" customHeight="false" outlineLevel="0" collapsed="false">
      <c r="L661" s="0" t="n">
        <v>659</v>
      </c>
      <c r="M661" s="0" t="n">
        <v>4</v>
      </c>
      <c r="N661" s="0" t="n">
        <f aca="false">AVERAGE(M658:M665)</f>
        <v>3</v>
      </c>
      <c r="O661" s="0" t="n">
        <f aca="false">MAX($A$23)/2</f>
        <v>965.1875</v>
      </c>
      <c r="Q661" s="0" t="n">
        <v>54</v>
      </c>
    </row>
    <row r="662" customFormat="false" ht="15.8" hidden="false" customHeight="false" outlineLevel="0" collapsed="false">
      <c r="L662" s="0" t="n">
        <v>660</v>
      </c>
      <c r="M662" s="0" t="n">
        <v>2</v>
      </c>
      <c r="N662" s="0" t="n">
        <f aca="false">AVERAGE(M659:M666)</f>
        <v>2.875</v>
      </c>
      <c r="O662" s="0" t="n">
        <f aca="false">MAX($A$23)/2</f>
        <v>965.1875</v>
      </c>
      <c r="Q662" s="0" t="n">
        <v>37</v>
      </c>
    </row>
    <row r="663" customFormat="false" ht="15.8" hidden="false" customHeight="false" outlineLevel="0" collapsed="false">
      <c r="L663" s="0" t="n">
        <v>661</v>
      </c>
      <c r="M663" s="0" t="n">
        <v>6</v>
      </c>
      <c r="N663" s="0" t="n">
        <f aca="false">AVERAGE(M660:M667)</f>
        <v>3</v>
      </c>
      <c r="O663" s="0" t="n">
        <f aca="false">MAX($A$23)/2</f>
        <v>965.1875</v>
      </c>
      <c r="Q663" s="0" t="n">
        <v>43</v>
      </c>
    </row>
    <row r="664" customFormat="false" ht="15.8" hidden="false" customHeight="false" outlineLevel="0" collapsed="false">
      <c r="L664" s="0" t="n">
        <v>662</v>
      </c>
      <c r="M664" s="0" t="n">
        <v>2</v>
      </c>
      <c r="N664" s="0" t="n">
        <f aca="false">AVERAGE(M661:M668)</f>
        <v>3.125</v>
      </c>
      <c r="O664" s="0" t="n">
        <f aca="false">MAX($A$23)/2</f>
        <v>965.1875</v>
      </c>
      <c r="Q664" s="0" t="n">
        <v>40</v>
      </c>
    </row>
    <row r="665" customFormat="false" ht="15.8" hidden="false" customHeight="false" outlineLevel="0" collapsed="false">
      <c r="L665" s="0" t="n">
        <v>663</v>
      </c>
      <c r="M665" s="0" t="n">
        <v>2</v>
      </c>
      <c r="N665" s="0" t="n">
        <f aca="false">AVERAGE(M662:M669)</f>
        <v>2.75</v>
      </c>
      <c r="O665" s="0" t="n">
        <f aca="false">MAX($A$23)/2</f>
        <v>965.1875</v>
      </c>
      <c r="Q665" s="0" t="n">
        <v>43</v>
      </c>
    </row>
    <row r="666" customFormat="false" ht="15.8" hidden="false" customHeight="false" outlineLevel="0" collapsed="false">
      <c r="L666" s="0" t="n">
        <v>664</v>
      </c>
      <c r="M666" s="0" t="n">
        <v>4</v>
      </c>
      <c r="N666" s="0" t="n">
        <f aca="false">AVERAGE(M663:M670)</f>
        <v>3.125</v>
      </c>
      <c r="O666" s="0" t="n">
        <f aca="false">MAX($A$23)/2</f>
        <v>965.1875</v>
      </c>
      <c r="Q666" s="0" t="n">
        <v>40</v>
      </c>
    </row>
    <row r="667" customFormat="false" ht="15.8" hidden="false" customHeight="false" outlineLevel="0" collapsed="false">
      <c r="L667" s="0" t="n">
        <v>665</v>
      </c>
      <c r="M667" s="0" t="n">
        <v>2</v>
      </c>
      <c r="N667" s="0" t="n">
        <f aca="false">AVERAGE(M664:M671)</f>
        <v>2.375</v>
      </c>
      <c r="O667" s="0" t="n">
        <f aca="false">MAX($A$23)/2</f>
        <v>965.1875</v>
      </c>
      <c r="Q667" s="0" t="n">
        <v>38</v>
      </c>
    </row>
    <row r="668" customFormat="false" ht="15.8" hidden="false" customHeight="false" outlineLevel="0" collapsed="false">
      <c r="L668" s="0" t="n">
        <v>666</v>
      </c>
      <c r="M668" s="0" t="n">
        <v>3</v>
      </c>
      <c r="N668" s="0" t="n">
        <f aca="false">AVERAGE(M665:M672)</f>
        <v>2.5</v>
      </c>
      <c r="O668" s="0" t="n">
        <f aca="false">MAX($A$23)/2</f>
        <v>965.1875</v>
      </c>
      <c r="Q668" s="0" t="n">
        <v>36</v>
      </c>
    </row>
    <row r="669" customFormat="false" ht="15.8" hidden="false" customHeight="false" outlineLevel="0" collapsed="false">
      <c r="L669" s="0" t="n">
        <v>667</v>
      </c>
      <c r="M669" s="0" t="n">
        <v>1</v>
      </c>
      <c r="N669" s="0" t="n">
        <f aca="false">AVERAGE(M666:M673)</f>
        <v>2.375</v>
      </c>
      <c r="O669" s="0" t="n">
        <f aca="false">MAX($A$23)/2</f>
        <v>965.1875</v>
      </c>
      <c r="Q669" s="0" t="n">
        <v>32</v>
      </c>
    </row>
    <row r="670" customFormat="false" ht="15.8" hidden="false" customHeight="false" outlineLevel="0" collapsed="false">
      <c r="L670" s="0" t="n">
        <v>668</v>
      </c>
      <c r="M670" s="0" t="n">
        <v>5</v>
      </c>
      <c r="N670" s="0" t="n">
        <f aca="false">AVERAGE(M667:M674)</f>
        <v>2.75</v>
      </c>
      <c r="O670" s="0" t="n">
        <f aca="false">MAX($A$23)/2</f>
        <v>965.1875</v>
      </c>
      <c r="Q670" s="0" t="n">
        <v>31</v>
      </c>
    </row>
    <row r="671" customFormat="false" ht="15.8" hidden="false" customHeight="false" outlineLevel="0" collapsed="false">
      <c r="L671" s="0" t="n">
        <v>669</v>
      </c>
      <c r="M671" s="0" t="n">
        <v>0</v>
      </c>
      <c r="N671" s="0" t="n">
        <f aca="false">AVERAGE(M668:M675)</f>
        <v>2.625</v>
      </c>
      <c r="O671" s="0" t="n">
        <f aca="false">MAX($A$23)/2</f>
        <v>965.1875</v>
      </c>
      <c r="Q671" s="0" t="n">
        <v>35</v>
      </c>
    </row>
    <row r="672" customFormat="false" ht="15.8" hidden="false" customHeight="false" outlineLevel="0" collapsed="false">
      <c r="L672" s="0" t="n">
        <v>670</v>
      </c>
      <c r="M672" s="0" t="n">
        <v>3</v>
      </c>
      <c r="N672" s="0" t="n">
        <f aca="false">AVERAGE(M669:M676)</f>
        <v>3</v>
      </c>
      <c r="O672" s="0" t="n">
        <f aca="false">MAX($A$23)/2</f>
        <v>965.1875</v>
      </c>
      <c r="Q672" s="0" t="n">
        <v>25</v>
      </c>
    </row>
    <row r="673" customFormat="false" ht="15.8" hidden="false" customHeight="false" outlineLevel="0" collapsed="false">
      <c r="L673" s="0" t="n">
        <v>671</v>
      </c>
      <c r="M673" s="0" t="n">
        <v>1</v>
      </c>
      <c r="N673" s="0" t="n">
        <f aca="false">AVERAGE(M670:M677)</f>
        <v>3.125</v>
      </c>
      <c r="O673" s="0" t="n">
        <f aca="false">MAX($A$23)/2</f>
        <v>965.1875</v>
      </c>
      <c r="Q673" s="0" t="n">
        <v>30</v>
      </c>
    </row>
    <row r="674" customFormat="false" ht="15.8" hidden="false" customHeight="false" outlineLevel="0" collapsed="false">
      <c r="L674" s="0" t="n">
        <v>672</v>
      </c>
      <c r="M674" s="0" t="n">
        <v>7</v>
      </c>
      <c r="N674" s="0" t="n">
        <f aca="false">AVERAGE(M671:M678)</f>
        <v>2.625</v>
      </c>
      <c r="O674" s="0" t="n">
        <f aca="false">MAX($A$23)/2</f>
        <v>965.1875</v>
      </c>
      <c r="Q674" s="0" t="n">
        <v>28</v>
      </c>
    </row>
    <row r="675" customFormat="false" ht="15.8" hidden="false" customHeight="false" outlineLevel="0" collapsed="false">
      <c r="L675" s="0" t="n">
        <v>673</v>
      </c>
      <c r="M675" s="0" t="n">
        <v>1</v>
      </c>
      <c r="N675" s="0" t="n">
        <f aca="false">AVERAGE(M672:M679)</f>
        <v>2.75</v>
      </c>
      <c r="O675" s="0" t="n">
        <f aca="false">MAX($A$23)/2</f>
        <v>965.1875</v>
      </c>
      <c r="Q675" s="0" t="n">
        <v>23</v>
      </c>
    </row>
    <row r="676" customFormat="false" ht="15.8" hidden="false" customHeight="false" outlineLevel="0" collapsed="false">
      <c r="L676" s="0" t="n">
        <v>674</v>
      </c>
      <c r="M676" s="0" t="n">
        <v>6</v>
      </c>
      <c r="N676" s="0" t="n">
        <f aca="false">AVERAGE(M673:M680)</f>
        <v>2.625</v>
      </c>
      <c r="O676" s="0" t="n">
        <f aca="false">MAX($A$23)/2</f>
        <v>965.1875</v>
      </c>
      <c r="Q676" s="0" t="n">
        <v>32</v>
      </c>
    </row>
    <row r="677" customFormat="false" ht="15.8" hidden="false" customHeight="false" outlineLevel="0" collapsed="false">
      <c r="L677" s="0" t="n">
        <v>675</v>
      </c>
      <c r="M677" s="0" t="n">
        <v>2</v>
      </c>
      <c r="N677" s="0" t="n">
        <f aca="false">AVERAGE(M674:M681)</f>
        <v>3.25</v>
      </c>
      <c r="O677" s="0" t="n">
        <f aca="false">MAX($A$23)/2</f>
        <v>965.1875</v>
      </c>
      <c r="Q677" s="0" t="n">
        <v>28</v>
      </c>
    </row>
    <row r="678" customFormat="false" ht="15.8" hidden="false" customHeight="false" outlineLevel="0" collapsed="false">
      <c r="L678" s="0" t="n">
        <v>676</v>
      </c>
      <c r="M678" s="0" t="n">
        <v>1</v>
      </c>
      <c r="N678" s="0" t="n">
        <f aca="false">AVERAGE(M675:M682)</f>
        <v>2.75</v>
      </c>
      <c r="O678" s="0" t="n">
        <f aca="false">MAX($A$23)/2</f>
        <v>965.1875</v>
      </c>
      <c r="Q678" s="0" t="n">
        <v>26</v>
      </c>
    </row>
    <row r="679" customFormat="false" ht="15.8" hidden="false" customHeight="false" outlineLevel="0" collapsed="false">
      <c r="L679" s="0" t="n">
        <v>677</v>
      </c>
      <c r="M679" s="0" t="n">
        <v>1</v>
      </c>
      <c r="N679" s="0" t="n">
        <f aca="false">AVERAGE(M676:M683)</f>
        <v>2.875</v>
      </c>
      <c r="O679" s="0" t="n">
        <f aca="false">MAX($A$23)/2</f>
        <v>965.1875</v>
      </c>
      <c r="Q679" s="0" t="n">
        <v>18</v>
      </c>
    </row>
    <row r="680" customFormat="false" ht="15.8" hidden="false" customHeight="false" outlineLevel="0" collapsed="false">
      <c r="L680" s="0" t="n">
        <v>678</v>
      </c>
      <c r="M680" s="0" t="n">
        <v>2</v>
      </c>
      <c r="N680" s="0" t="n">
        <f aca="false">AVERAGE(M677:M684)</f>
        <v>2.125</v>
      </c>
      <c r="O680" s="0" t="n">
        <f aca="false">MAX($A$23)/2</f>
        <v>965.1875</v>
      </c>
      <c r="Q680" s="0" t="n">
        <v>17</v>
      </c>
    </row>
    <row r="681" customFormat="false" ht="15.8" hidden="false" customHeight="false" outlineLevel="0" collapsed="false">
      <c r="L681" s="0" t="n">
        <v>679</v>
      </c>
      <c r="M681" s="0" t="n">
        <v>6</v>
      </c>
      <c r="N681" s="0" t="n">
        <f aca="false">AVERAGE(M678:M685)</f>
        <v>2.5</v>
      </c>
      <c r="O681" s="0" t="n">
        <f aca="false">MAX($A$23)/2</f>
        <v>965.1875</v>
      </c>
      <c r="Q681" s="0" t="n">
        <v>28</v>
      </c>
    </row>
    <row r="682" customFormat="false" ht="15.8" hidden="false" customHeight="false" outlineLevel="0" collapsed="false">
      <c r="L682" s="0" t="n">
        <v>680</v>
      </c>
      <c r="M682" s="0" t="n">
        <v>3</v>
      </c>
      <c r="N682" s="0" t="n">
        <f aca="false">AVERAGE(M679:M686)</f>
        <v>2.75</v>
      </c>
      <c r="O682" s="0" t="n">
        <f aca="false">MAX($A$23)/2</f>
        <v>965.1875</v>
      </c>
      <c r="Q682" s="0" t="n">
        <v>16</v>
      </c>
    </row>
    <row r="683" customFormat="false" ht="15.8" hidden="false" customHeight="false" outlineLevel="0" collapsed="false">
      <c r="L683" s="0" t="n">
        <v>681</v>
      </c>
      <c r="M683" s="0" t="n">
        <v>2</v>
      </c>
      <c r="N683" s="0" t="n">
        <f aca="false">AVERAGE(M680:M687)</f>
        <v>2.75</v>
      </c>
      <c r="O683" s="0" t="n">
        <f aca="false">MAX($A$23)/2</f>
        <v>965.1875</v>
      </c>
      <c r="Q683" s="0" t="n">
        <v>27</v>
      </c>
    </row>
    <row r="684" customFormat="false" ht="15.8" hidden="false" customHeight="false" outlineLevel="0" collapsed="false">
      <c r="L684" s="0" t="n">
        <v>682</v>
      </c>
      <c r="M684" s="0" t="n">
        <v>0</v>
      </c>
      <c r="N684" s="0" t="n">
        <f aca="false">AVERAGE(M681:M688)</f>
        <v>3.375</v>
      </c>
      <c r="O684" s="0" t="n">
        <f aca="false">MAX($A$23)/2</f>
        <v>965.1875</v>
      </c>
      <c r="Q684" s="0" t="n">
        <v>22</v>
      </c>
    </row>
    <row r="685" customFormat="false" ht="15.8" hidden="false" customHeight="false" outlineLevel="0" collapsed="false">
      <c r="L685" s="0" t="n">
        <v>683</v>
      </c>
      <c r="M685" s="0" t="n">
        <v>5</v>
      </c>
      <c r="N685" s="0" t="n">
        <f aca="false">AVERAGE(M682:M689)</f>
        <v>2.625</v>
      </c>
      <c r="O685" s="0" t="n">
        <f aca="false">MAX($A$23)/2</f>
        <v>965.1875</v>
      </c>
      <c r="Q685" s="0" t="n">
        <v>17</v>
      </c>
    </row>
    <row r="686" customFormat="false" ht="15.8" hidden="false" customHeight="false" outlineLevel="0" collapsed="false">
      <c r="L686" s="0" t="n">
        <v>684</v>
      </c>
      <c r="M686" s="0" t="n">
        <v>3</v>
      </c>
      <c r="O686" s="0" t="n">
        <f aca="false">MAX(N686:N1684)</f>
        <v>0</v>
      </c>
      <c r="Q686" s="0" t="n">
        <v>23</v>
      </c>
    </row>
    <row r="687" customFormat="false" ht="15.8" hidden="false" customHeight="false" outlineLevel="0" collapsed="false">
      <c r="L687" s="0" t="n">
        <v>685</v>
      </c>
      <c r="M687" s="0" t="n">
        <v>1</v>
      </c>
      <c r="O687" s="0" t="n">
        <f aca="false">MAX(N687:N1685)</f>
        <v>0</v>
      </c>
      <c r="Q687" s="0" t="n">
        <v>34</v>
      </c>
    </row>
    <row r="688" customFormat="false" ht="15.8" hidden="false" customHeight="false" outlineLevel="0" collapsed="false">
      <c r="L688" s="0" t="n">
        <v>686</v>
      </c>
      <c r="M688" s="0" t="n">
        <v>7</v>
      </c>
      <c r="O688" s="0" t="n">
        <f aca="false">MAX(N688:N1686)</f>
        <v>0</v>
      </c>
      <c r="Q688" s="0" t="n">
        <v>23</v>
      </c>
    </row>
    <row r="689" customFormat="false" ht="15.8" hidden="false" customHeight="false" outlineLevel="0" collapsed="false">
      <c r="L689" s="0" t="n">
        <v>687</v>
      </c>
      <c r="M689" s="0" t="n">
        <v>0</v>
      </c>
      <c r="O689" s="0" t="n">
        <f aca="false">MAX(N689:N1687)</f>
        <v>0</v>
      </c>
      <c r="Q689" s="0" t="n">
        <v>26</v>
      </c>
    </row>
    <row r="690" customFormat="false" ht="15.8" hidden="false" customHeight="false" outlineLevel="0" collapsed="false">
      <c r="L690" s="0" t="n">
        <v>688</v>
      </c>
      <c r="M690" s="0" t="n">
        <v>2</v>
      </c>
      <c r="O690" s="0" t="n">
        <f aca="false">MAX(N690:N1688)</f>
        <v>0</v>
      </c>
      <c r="Q690" s="0" t="n">
        <v>27</v>
      </c>
    </row>
    <row r="691" customFormat="false" ht="15.8" hidden="false" customHeight="false" outlineLevel="0" collapsed="false">
      <c r="L691" s="0" t="n">
        <v>689</v>
      </c>
      <c r="M691" s="0" t="n">
        <v>5</v>
      </c>
      <c r="O691" s="0" t="n">
        <f aca="false">MAX(N691:N1689)</f>
        <v>0</v>
      </c>
      <c r="Q691" s="0" t="n">
        <v>27</v>
      </c>
    </row>
    <row r="692" customFormat="false" ht="15.8" hidden="false" customHeight="false" outlineLevel="0" collapsed="false">
      <c r="L692" s="0" t="n">
        <v>690</v>
      </c>
      <c r="M692" s="0" t="n">
        <v>1</v>
      </c>
      <c r="O692" s="0" t="n">
        <f aca="false">MAX(N692:N1690)</f>
        <v>0</v>
      </c>
      <c r="Q692" s="0" t="n">
        <v>22</v>
      </c>
    </row>
    <row r="693" customFormat="false" ht="15.8" hidden="false" customHeight="false" outlineLevel="0" collapsed="false">
      <c r="L693" s="0" t="n">
        <v>691</v>
      </c>
      <c r="M693" s="0" t="n">
        <v>3</v>
      </c>
      <c r="O693" s="0" t="n">
        <f aca="false">MAX(N693:N1691)</f>
        <v>0</v>
      </c>
      <c r="Q693" s="0" t="n">
        <v>16</v>
      </c>
    </row>
    <row r="694" customFormat="false" ht="15.8" hidden="false" customHeight="false" outlineLevel="0" collapsed="false">
      <c r="L694" s="0" t="n">
        <v>692</v>
      </c>
      <c r="M694" s="0" t="n">
        <v>1</v>
      </c>
      <c r="O694" s="0" t="n">
        <f aca="false">MAX(N694:N1692)</f>
        <v>0</v>
      </c>
      <c r="Q694" s="0" t="n">
        <v>28</v>
      </c>
    </row>
    <row r="695" customFormat="false" ht="15.8" hidden="false" customHeight="false" outlineLevel="0" collapsed="false">
      <c r="L695" s="0" t="n">
        <v>693</v>
      </c>
      <c r="M695" s="0" t="n">
        <v>3</v>
      </c>
      <c r="O695" s="0" t="n">
        <f aca="false">MAX(N695:N1693)</f>
        <v>0</v>
      </c>
      <c r="Q695" s="0" t="n">
        <v>23</v>
      </c>
    </row>
    <row r="696" customFormat="false" ht="15.8" hidden="false" customHeight="false" outlineLevel="0" collapsed="false">
      <c r="L696" s="0" t="n">
        <v>694</v>
      </c>
      <c r="M696" s="0" t="n">
        <v>1</v>
      </c>
      <c r="O696" s="0" t="n">
        <f aca="false">MAX(N696:N1694)</f>
        <v>0</v>
      </c>
      <c r="Q696" s="0" t="n">
        <v>17</v>
      </c>
    </row>
    <row r="697" customFormat="false" ht="15.8" hidden="false" customHeight="false" outlineLevel="0" collapsed="false">
      <c r="L697" s="0" t="n">
        <v>695</v>
      </c>
      <c r="M697" s="0" t="n">
        <v>2</v>
      </c>
      <c r="O697" s="0" t="n">
        <f aca="false">MAX(N697:N1695)</f>
        <v>0</v>
      </c>
      <c r="Q697" s="0" t="n">
        <v>18</v>
      </c>
    </row>
    <row r="698" customFormat="false" ht="15.8" hidden="false" customHeight="false" outlineLevel="0" collapsed="false">
      <c r="L698" s="0" t="n">
        <v>696</v>
      </c>
      <c r="M698" s="0" t="n">
        <v>1</v>
      </c>
      <c r="O698" s="0" t="n">
        <f aca="false">MAX(N698:N1696)</f>
        <v>0</v>
      </c>
      <c r="Q698" s="0" t="n">
        <v>27</v>
      </c>
    </row>
    <row r="699" customFormat="false" ht="15.8" hidden="false" customHeight="false" outlineLevel="0" collapsed="false">
      <c r="L699" s="0" t="n">
        <v>697</v>
      </c>
      <c r="M699" s="0" t="n">
        <v>3</v>
      </c>
      <c r="O699" s="0" t="n">
        <f aca="false">MAX(N699:N1697)</f>
        <v>0</v>
      </c>
      <c r="Q699" s="0" t="n">
        <v>25</v>
      </c>
    </row>
    <row r="700" customFormat="false" ht="15.8" hidden="false" customHeight="false" outlineLevel="0" collapsed="false">
      <c r="L700" s="0" t="n">
        <v>698</v>
      </c>
      <c r="M700" s="0" t="n">
        <v>2</v>
      </c>
      <c r="O700" s="0" t="n">
        <f aca="false">MAX(N700:N1698)</f>
        <v>0</v>
      </c>
      <c r="Q700" s="0" t="n">
        <v>9</v>
      </c>
    </row>
    <row r="701" customFormat="false" ht="15.8" hidden="false" customHeight="false" outlineLevel="0" collapsed="false">
      <c r="L701" s="0" t="n">
        <v>699</v>
      </c>
      <c r="M701" s="0" t="n">
        <v>2</v>
      </c>
      <c r="O701" s="0" t="n">
        <f aca="false">MAX(N701:N1699)</f>
        <v>0</v>
      </c>
      <c r="Q701" s="0" t="n">
        <v>20</v>
      </c>
    </row>
    <row r="702" customFormat="false" ht="15.8" hidden="false" customHeight="false" outlineLevel="0" collapsed="false">
      <c r="L702" s="0" t="n">
        <v>700</v>
      </c>
      <c r="M702" s="0" t="n">
        <v>3</v>
      </c>
      <c r="O702" s="0" t="n">
        <f aca="false">MAX(N702:N1700)</f>
        <v>0</v>
      </c>
      <c r="Q702" s="0" t="n">
        <v>14</v>
      </c>
    </row>
    <row r="703" customFormat="false" ht="15.8" hidden="false" customHeight="false" outlineLevel="0" collapsed="false">
      <c r="L703" s="0" t="n">
        <v>701</v>
      </c>
      <c r="M703" s="0" t="n">
        <v>2</v>
      </c>
      <c r="O703" s="0" t="n">
        <f aca="false">MAX(N703:N1701)</f>
        <v>0</v>
      </c>
      <c r="Q703" s="0" t="n">
        <v>14</v>
      </c>
    </row>
    <row r="704" customFormat="false" ht="15.8" hidden="false" customHeight="false" outlineLevel="0" collapsed="false">
      <c r="L704" s="0" t="n">
        <v>702</v>
      </c>
      <c r="M704" s="0" t="n">
        <v>5</v>
      </c>
      <c r="O704" s="0" t="n">
        <f aca="false">MAX(N704:N1702)</f>
        <v>0</v>
      </c>
      <c r="Q704" s="0" t="n">
        <v>14</v>
      </c>
    </row>
    <row r="705" customFormat="false" ht="15.8" hidden="false" customHeight="false" outlineLevel="0" collapsed="false">
      <c r="L705" s="0" t="n">
        <v>703</v>
      </c>
      <c r="M705" s="0" t="n">
        <v>2</v>
      </c>
      <c r="O705" s="0" t="n">
        <f aca="false">MAX(N705:N1703)</f>
        <v>0</v>
      </c>
      <c r="Q705" s="0" t="n">
        <v>11</v>
      </c>
    </row>
    <row r="706" customFormat="false" ht="15.8" hidden="false" customHeight="false" outlineLevel="0" collapsed="false">
      <c r="L706" s="0" t="n">
        <v>704</v>
      </c>
      <c r="M706" s="0" t="n">
        <v>2</v>
      </c>
      <c r="O706" s="0" t="n">
        <f aca="false">MAX(N706:N1704)</f>
        <v>0</v>
      </c>
      <c r="Q706" s="0" t="n">
        <v>12</v>
      </c>
    </row>
    <row r="707" customFormat="false" ht="15.8" hidden="false" customHeight="false" outlineLevel="0" collapsed="false">
      <c r="L707" s="0" t="n">
        <v>705</v>
      </c>
      <c r="M707" s="0" t="n">
        <v>3</v>
      </c>
      <c r="O707" s="0" t="n">
        <f aca="false">MAX(N707:N1705)</f>
        <v>0</v>
      </c>
      <c r="Q707" s="0" t="n">
        <v>12</v>
      </c>
    </row>
    <row r="708" customFormat="false" ht="15.8" hidden="false" customHeight="false" outlineLevel="0" collapsed="false">
      <c r="L708" s="0" t="n">
        <v>706</v>
      </c>
      <c r="M708" s="0" t="n">
        <v>2</v>
      </c>
      <c r="O708" s="0" t="n">
        <f aca="false">MAX(N708:N1706)</f>
        <v>0</v>
      </c>
      <c r="Q708" s="0" t="n">
        <v>22</v>
      </c>
    </row>
    <row r="709" customFormat="false" ht="15.8" hidden="false" customHeight="false" outlineLevel="0" collapsed="false">
      <c r="L709" s="0" t="n">
        <v>707</v>
      </c>
      <c r="M709" s="0" t="n">
        <v>1</v>
      </c>
      <c r="O709" s="0" t="n">
        <f aca="false">MAX(N709:N1707)</f>
        <v>0</v>
      </c>
      <c r="Q709" s="0" t="n">
        <v>21</v>
      </c>
    </row>
    <row r="710" customFormat="false" ht="15.8" hidden="false" customHeight="false" outlineLevel="0" collapsed="false">
      <c r="L710" s="0" t="n">
        <v>708</v>
      </c>
      <c r="M710" s="0" t="n">
        <v>4</v>
      </c>
      <c r="O710" s="0" t="n">
        <f aca="false">MAX(N710:N1708)</f>
        <v>0</v>
      </c>
      <c r="Q710" s="0" t="n">
        <v>13</v>
      </c>
    </row>
    <row r="711" customFormat="false" ht="15.8" hidden="false" customHeight="false" outlineLevel="0" collapsed="false">
      <c r="L711" s="0" t="n">
        <v>709</v>
      </c>
      <c r="M711" s="0" t="n">
        <v>5</v>
      </c>
      <c r="O711" s="0" t="n">
        <f aca="false">MAX(N711:N1709)</f>
        <v>0</v>
      </c>
      <c r="Q711" s="0" t="n">
        <v>14</v>
      </c>
    </row>
    <row r="712" customFormat="false" ht="15.8" hidden="false" customHeight="false" outlineLevel="0" collapsed="false">
      <c r="L712" s="0" t="n">
        <v>710</v>
      </c>
      <c r="M712" s="0" t="n">
        <v>0</v>
      </c>
      <c r="O712" s="0" t="n">
        <f aca="false">MAX(N712:N1710)</f>
        <v>0</v>
      </c>
      <c r="Q712" s="0" t="n">
        <v>22</v>
      </c>
    </row>
    <row r="713" customFormat="false" ht="15.8" hidden="false" customHeight="false" outlineLevel="0" collapsed="false">
      <c r="L713" s="0" t="n">
        <v>711</v>
      </c>
      <c r="M713" s="0" t="n">
        <v>0</v>
      </c>
      <c r="O713" s="0" t="n">
        <f aca="false">MAX(N713:N1711)</f>
        <v>0</v>
      </c>
      <c r="Q713" s="0" t="n">
        <v>21</v>
      </c>
    </row>
    <row r="714" customFormat="false" ht="15.8" hidden="false" customHeight="false" outlineLevel="0" collapsed="false">
      <c r="L714" s="0" t="n">
        <v>712</v>
      </c>
      <c r="M714" s="0" t="n">
        <v>3</v>
      </c>
      <c r="O714" s="0" t="n">
        <f aca="false">MAX(N714:N1712)</f>
        <v>0</v>
      </c>
      <c r="Q714" s="0" t="n">
        <v>14</v>
      </c>
    </row>
    <row r="715" customFormat="false" ht="15.8" hidden="false" customHeight="false" outlineLevel="0" collapsed="false">
      <c r="L715" s="0" t="n">
        <v>713</v>
      </c>
      <c r="M715" s="0" t="n">
        <v>2</v>
      </c>
      <c r="O715" s="0" t="n">
        <f aca="false">MAX(N715:N1713)</f>
        <v>0</v>
      </c>
      <c r="Q715" s="0" t="n">
        <v>12</v>
      </c>
    </row>
    <row r="716" customFormat="false" ht="15.8" hidden="false" customHeight="false" outlineLevel="0" collapsed="false">
      <c r="L716" s="0" t="n">
        <v>714</v>
      </c>
      <c r="M716" s="0" t="n">
        <v>4</v>
      </c>
      <c r="O716" s="0" t="n">
        <f aca="false">MAX(N716:N1714)</f>
        <v>0</v>
      </c>
      <c r="Q716" s="0" t="n">
        <v>17</v>
      </c>
    </row>
    <row r="717" customFormat="false" ht="15.8" hidden="false" customHeight="false" outlineLevel="0" collapsed="false">
      <c r="L717" s="0" t="n">
        <v>715</v>
      </c>
      <c r="M717" s="0" t="n">
        <v>0</v>
      </c>
      <c r="O717" s="0" t="n">
        <f aca="false">MAX(N717:N1715)</f>
        <v>0</v>
      </c>
      <c r="Q717" s="0" t="n">
        <v>13</v>
      </c>
    </row>
    <row r="718" customFormat="false" ht="15.8" hidden="false" customHeight="false" outlineLevel="0" collapsed="false">
      <c r="L718" s="0" t="n">
        <v>716</v>
      </c>
      <c r="M718" s="0" t="n">
        <v>1</v>
      </c>
      <c r="O718" s="0" t="n">
        <f aca="false">MAX(N718:N1716)</f>
        <v>0</v>
      </c>
      <c r="Q718" s="0" t="n">
        <v>20</v>
      </c>
    </row>
    <row r="719" customFormat="false" ht="15.8" hidden="false" customHeight="false" outlineLevel="0" collapsed="false">
      <c r="L719" s="0" t="n">
        <v>717</v>
      </c>
      <c r="M719" s="0" t="n">
        <v>1</v>
      </c>
      <c r="O719" s="0" t="n">
        <f aca="false">MAX(N719:N1717)</f>
        <v>0</v>
      </c>
      <c r="Q719" s="0" t="n">
        <v>10</v>
      </c>
    </row>
    <row r="720" customFormat="false" ht="15.8" hidden="false" customHeight="false" outlineLevel="0" collapsed="false">
      <c r="L720" s="0" t="n">
        <v>718</v>
      </c>
      <c r="M720" s="0" t="n">
        <v>4</v>
      </c>
      <c r="O720" s="0" t="n">
        <f aca="false">MAX(N720:N1718)</f>
        <v>0</v>
      </c>
      <c r="Q720" s="0" t="n">
        <v>8</v>
      </c>
    </row>
    <row r="721" customFormat="false" ht="15.8" hidden="false" customHeight="false" outlineLevel="0" collapsed="false">
      <c r="L721" s="0" t="n">
        <v>719</v>
      </c>
      <c r="M721" s="0" t="n">
        <v>0</v>
      </c>
      <c r="O721" s="0" t="n">
        <f aca="false">MAX(N721:N1719)</f>
        <v>0</v>
      </c>
      <c r="Q721" s="0" t="n">
        <v>12</v>
      </c>
    </row>
    <row r="722" customFormat="false" ht="15.8" hidden="false" customHeight="false" outlineLevel="0" collapsed="false">
      <c r="L722" s="0" t="n">
        <v>720</v>
      </c>
      <c r="M722" s="0" t="n">
        <v>1</v>
      </c>
      <c r="O722" s="0" t="n">
        <f aca="false">MAX(N722:N1720)</f>
        <v>0</v>
      </c>
      <c r="Q722" s="0" t="n">
        <v>8</v>
      </c>
    </row>
    <row r="723" customFormat="false" ht="15.8" hidden="false" customHeight="false" outlineLevel="0" collapsed="false">
      <c r="L723" s="0" t="n">
        <v>721</v>
      </c>
      <c r="M723" s="0" t="n">
        <v>3</v>
      </c>
      <c r="O723" s="0" t="n">
        <f aca="false">MAX(N723:N1721)</f>
        <v>0</v>
      </c>
      <c r="Q723" s="0" t="n">
        <v>16</v>
      </c>
    </row>
    <row r="724" customFormat="false" ht="15.8" hidden="false" customHeight="false" outlineLevel="0" collapsed="false">
      <c r="L724" s="0" t="n">
        <v>722</v>
      </c>
      <c r="M724" s="0" t="n">
        <v>4</v>
      </c>
      <c r="O724" s="0" t="n">
        <f aca="false">MAX(N724:N1722)</f>
        <v>0</v>
      </c>
      <c r="Q724" s="0" t="n">
        <v>19</v>
      </c>
    </row>
    <row r="725" customFormat="false" ht="15.8" hidden="false" customHeight="false" outlineLevel="0" collapsed="false">
      <c r="L725" s="0" t="n">
        <v>723</v>
      </c>
      <c r="M725" s="0" t="n">
        <v>2</v>
      </c>
      <c r="O725" s="0" t="n">
        <f aca="false">MAX(N725:N1723)</f>
        <v>0</v>
      </c>
      <c r="Q725" s="0" t="n">
        <v>12</v>
      </c>
    </row>
    <row r="726" customFormat="false" ht="15.8" hidden="false" customHeight="false" outlineLevel="0" collapsed="false">
      <c r="L726" s="0" t="n">
        <v>724</v>
      </c>
      <c r="M726" s="0" t="n">
        <v>4</v>
      </c>
      <c r="O726" s="0" t="n">
        <f aca="false">MAX(N726:N1724)</f>
        <v>0</v>
      </c>
      <c r="Q726" s="0" t="n">
        <v>13</v>
      </c>
    </row>
    <row r="727" customFormat="false" ht="15.8" hidden="false" customHeight="false" outlineLevel="0" collapsed="false">
      <c r="L727" s="0" t="n">
        <v>725</v>
      </c>
      <c r="M727" s="0" t="n">
        <v>0</v>
      </c>
      <c r="O727" s="0" t="n">
        <f aca="false">MAX(N727:N1725)</f>
        <v>0</v>
      </c>
      <c r="Q727" s="0" t="n">
        <v>8</v>
      </c>
    </row>
    <row r="728" customFormat="false" ht="15.8" hidden="false" customHeight="false" outlineLevel="0" collapsed="false">
      <c r="L728" s="0" t="n">
        <v>726</v>
      </c>
      <c r="M728" s="0" t="n">
        <v>2</v>
      </c>
      <c r="O728" s="0" t="n">
        <f aca="false">MAX(N728:N1726)</f>
        <v>0</v>
      </c>
      <c r="Q728" s="0" t="n">
        <v>8</v>
      </c>
    </row>
    <row r="729" customFormat="false" ht="15.8" hidden="false" customHeight="false" outlineLevel="0" collapsed="false">
      <c r="L729" s="0" t="n">
        <v>727</v>
      </c>
      <c r="M729" s="0" t="n">
        <v>3</v>
      </c>
      <c r="O729" s="0" t="n">
        <f aca="false">MAX(N729:N1727)</f>
        <v>0</v>
      </c>
      <c r="Q729" s="0" t="n">
        <v>18</v>
      </c>
    </row>
    <row r="730" customFormat="false" ht="15.8" hidden="false" customHeight="false" outlineLevel="0" collapsed="false">
      <c r="L730" s="0" t="n">
        <v>728</v>
      </c>
      <c r="M730" s="0" t="n">
        <v>2</v>
      </c>
      <c r="O730" s="0" t="n">
        <f aca="false">MAX(N730:N1728)</f>
        <v>0</v>
      </c>
      <c r="Q730" s="0" t="n">
        <v>21</v>
      </c>
    </row>
    <row r="731" customFormat="false" ht="15.8" hidden="false" customHeight="false" outlineLevel="0" collapsed="false">
      <c r="L731" s="0" t="n">
        <v>729</v>
      </c>
      <c r="M731" s="0" t="n">
        <v>2</v>
      </c>
      <c r="O731" s="0" t="n">
        <f aca="false">MAX(N731:N1729)</f>
        <v>0</v>
      </c>
      <c r="Q731" s="0" t="n">
        <v>15</v>
      </c>
    </row>
    <row r="732" customFormat="false" ht="15.8" hidden="false" customHeight="false" outlineLevel="0" collapsed="false">
      <c r="L732" s="0" t="n">
        <v>730</v>
      </c>
      <c r="M732" s="0" t="n">
        <v>2</v>
      </c>
      <c r="O732" s="0" t="n">
        <f aca="false">MAX(N732:N1730)</f>
        <v>0</v>
      </c>
      <c r="Q732" s="0" t="n">
        <v>13</v>
      </c>
    </row>
    <row r="733" customFormat="false" ht="15.8" hidden="false" customHeight="false" outlineLevel="0" collapsed="false">
      <c r="L733" s="0" t="n">
        <v>731</v>
      </c>
      <c r="M733" s="0" t="n">
        <v>0</v>
      </c>
      <c r="O733" s="0" t="n">
        <f aca="false">MAX(N733:N1731)</f>
        <v>0</v>
      </c>
      <c r="Q733" s="0" t="n">
        <v>19</v>
      </c>
    </row>
    <row r="734" customFormat="false" ht="15.8" hidden="false" customHeight="false" outlineLevel="0" collapsed="false">
      <c r="L734" s="0" t="n">
        <v>732</v>
      </c>
      <c r="M734" s="0" t="n">
        <v>4</v>
      </c>
      <c r="O734" s="0" t="n">
        <f aca="false">MAX(N734:N1732)</f>
        <v>0</v>
      </c>
      <c r="Q734" s="0" t="n">
        <v>5</v>
      </c>
    </row>
    <row r="735" customFormat="false" ht="15.8" hidden="false" customHeight="false" outlineLevel="0" collapsed="false">
      <c r="L735" s="0" t="n">
        <v>733</v>
      </c>
      <c r="M735" s="0" t="n">
        <v>2</v>
      </c>
      <c r="O735" s="0" t="n">
        <f aca="false">MAX(N735:N1733)</f>
        <v>0</v>
      </c>
      <c r="Q735" s="0" t="n">
        <v>12</v>
      </c>
    </row>
    <row r="736" customFormat="false" ht="15.8" hidden="false" customHeight="false" outlineLevel="0" collapsed="false">
      <c r="L736" s="0" t="n">
        <v>734</v>
      </c>
      <c r="M736" s="0" t="n">
        <v>1</v>
      </c>
      <c r="O736" s="0" t="n">
        <f aca="false">MAX(N736:N1734)</f>
        <v>0</v>
      </c>
      <c r="Q736" s="0" t="n">
        <v>15</v>
      </c>
    </row>
    <row r="737" customFormat="false" ht="15.8" hidden="false" customHeight="false" outlineLevel="0" collapsed="false">
      <c r="L737" s="0" t="n">
        <v>735</v>
      </c>
      <c r="M737" s="0" t="n">
        <v>1</v>
      </c>
      <c r="O737" s="0" t="n">
        <f aca="false">MAX(N737:N1735)</f>
        <v>0</v>
      </c>
      <c r="Q737" s="0" t="n">
        <v>8</v>
      </c>
    </row>
    <row r="738" customFormat="false" ht="15.8" hidden="false" customHeight="false" outlineLevel="0" collapsed="false">
      <c r="L738" s="0" t="n">
        <v>736</v>
      </c>
      <c r="M738" s="0" t="n">
        <v>0</v>
      </c>
      <c r="O738" s="0" t="n">
        <f aca="false">MAX(N738:N1736)</f>
        <v>0</v>
      </c>
      <c r="Q738" s="0" t="n">
        <v>11</v>
      </c>
    </row>
    <row r="739" customFormat="false" ht="15.8" hidden="false" customHeight="false" outlineLevel="0" collapsed="false">
      <c r="L739" s="0" t="n">
        <v>737</v>
      </c>
      <c r="M739" s="0" t="n">
        <v>2</v>
      </c>
      <c r="O739" s="0" t="n">
        <f aca="false">MAX(N739:N1737)</f>
        <v>0</v>
      </c>
      <c r="Q739" s="0" t="n">
        <v>14</v>
      </c>
    </row>
    <row r="740" customFormat="false" ht="15.8" hidden="false" customHeight="false" outlineLevel="0" collapsed="false">
      <c r="L740" s="0" t="n">
        <v>738</v>
      </c>
      <c r="M740" s="0" t="n">
        <v>1</v>
      </c>
      <c r="O740" s="0" t="n">
        <f aca="false">MAX(N740:N1738)</f>
        <v>0</v>
      </c>
      <c r="Q740" s="0" t="n">
        <v>13</v>
      </c>
    </row>
    <row r="741" customFormat="false" ht="15.8" hidden="false" customHeight="false" outlineLevel="0" collapsed="false">
      <c r="L741" s="0" t="n">
        <v>739</v>
      </c>
      <c r="M741" s="0" t="n">
        <v>0</v>
      </c>
      <c r="O741" s="0" t="n">
        <f aca="false">MAX(N741:N1739)</f>
        <v>0</v>
      </c>
      <c r="Q741" s="0" t="n">
        <v>15</v>
      </c>
    </row>
    <row r="742" customFormat="false" ht="15.8" hidden="false" customHeight="false" outlineLevel="0" collapsed="false">
      <c r="L742" s="0" t="n">
        <v>740</v>
      </c>
      <c r="M742" s="0" t="n">
        <v>3</v>
      </c>
      <c r="O742" s="0" t="n">
        <f aca="false">MAX(N742:N1740)</f>
        <v>0</v>
      </c>
      <c r="Q742" s="0" t="n">
        <v>9</v>
      </c>
    </row>
    <row r="743" customFormat="false" ht="15.8" hidden="false" customHeight="false" outlineLevel="0" collapsed="false">
      <c r="L743" s="0" t="n">
        <v>741</v>
      </c>
      <c r="M743" s="0" t="n">
        <v>3</v>
      </c>
      <c r="O743" s="0" t="n">
        <f aca="false">MAX(N743:N1741)</f>
        <v>0</v>
      </c>
      <c r="Q743" s="0" t="n">
        <v>14</v>
      </c>
    </row>
    <row r="744" customFormat="false" ht="15.8" hidden="false" customHeight="false" outlineLevel="0" collapsed="false">
      <c r="L744" s="0" t="n">
        <v>742</v>
      </c>
      <c r="M744" s="0" t="n">
        <v>1</v>
      </c>
      <c r="O744" s="0" t="n">
        <f aca="false">MAX(N744:N1742)</f>
        <v>0</v>
      </c>
      <c r="Q744" s="0" t="n">
        <v>8</v>
      </c>
    </row>
    <row r="745" customFormat="false" ht="15.8" hidden="false" customHeight="false" outlineLevel="0" collapsed="false">
      <c r="L745" s="0" t="n">
        <v>743</v>
      </c>
      <c r="M745" s="0" t="n">
        <v>4</v>
      </c>
      <c r="O745" s="0" t="n">
        <f aca="false">MAX(N745:N1743)</f>
        <v>0</v>
      </c>
      <c r="Q745" s="0" t="n">
        <v>10</v>
      </c>
    </row>
    <row r="746" customFormat="false" ht="15.8" hidden="false" customHeight="false" outlineLevel="0" collapsed="false">
      <c r="L746" s="0" t="n">
        <v>744</v>
      </c>
      <c r="M746" s="0" t="n">
        <v>0</v>
      </c>
      <c r="O746" s="0" t="n">
        <f aca="false">MAX(N746:N1744)</f>
        <v>0</v>
      </c>
      <c r="Q746" s="0" t="n">
        <v>8</v>
      </c>
    </row>
    <row r="747" customFormat="false" ht="15.8" hidden="false" customHeight="false" outlineLevel="0" collapsed="false">
      <c r="L747" s="0" t="n">
        <v>745</v>
      </c>
      <c r="M747" s="0" t="n">
        <v>1</v>
      </c>
      <c r="O747" s="0" t="n">
        <f aca="false">MAX(N747:N1745)</f>
        <v>0</v>
      </c>
      <c r="Q747" s="0" t="n">
        <v>14</v>
      </c>
    </row>
    <row r="748" customFormat="false" ht="15.8" hidden="false" customHeight="false" outlineLevel="0" collapsed="false">
      <c r="L748" s="0" t="n">
        <v>746</v>
      </c>
      <c r="M748" s="0" t="n">
        <v>4</v>
      </c>
      <c r="O748" s="0" t="n">
        <f aca="false">MAX(N748:N1746)</f>
        <v>0</v>
      </c>
      <c r="Q748" s="0" t="n">
        <v>12</v>
      </c>
    </row>
    <row r="749" customFormat="false" ht="15.8" hidden="false" customHeight="false" outlineLevel="0" collapsed="false">
      <c r="L749" s="0" t="n">
        <v>747</v>
      </c>
      <c r="M749" s="0" t="n">
        <v>0</v>
      </c>
      <c r="O749" s="0" t="n">
        <f aca="false">MAX(N749:N1747)</f>
        <v>0</v>
      </c>
      <c r="Q749" s="0" t="n">
        <v>14</v>
      </c>
    </row>
    <row r="750" customFormat="false" ht="15.8" hidden="false" customHeight="false" outlineLevel="0" collapsed="false">
      <c r="L750" s="0" t="n">
        <v>748</v>
      </c>
      <c r="M750" s="0" t="n">
        <v>1</v>
      </c>
      <c r="O750" s="0" t="n">
        <f aca="false">MAX(N750:N1748)</f>
        <v>0</v>
      </c>
      <c r="Q750" s="0" t="n">
        <v>13</v>
      </c>
    </row>
    <row r="751" customFormat="false" ht="15.8" hidden="false" customHeight="false" outlineLevel="0" collapsed="false">
      <c r="L751" s="0" t="n">
        <v>749</v>
      </c>
      <c r="M751" s="0" t="n">
        <v>2</v>
      </c>
      <c r="O751" s="0" t="n">
        <f aca="false">MAX(N751:N1749)</f>
        <v>0</v>
      </c>
      <c r="Q751" s="0" t="n">
        <v>15</v>
      </c>
    </row>
    <row r="752" customFormat="false" ht="15.8" hidden="false" customHeight="false" outlineLevel="0" collapsed="false">
      <c r="L752" s="0" t="n">
        <v>750</v>
      </c>
      <c r="M752" s="0" t="n">
        <v>2</v>
      </c>
      <c r="O752" s="0" t="n">
        <f aca="false">MAX(N752:N1750)</f>
        <v>0</v>
      </c>
      <c r="Q752" s="0" t="n">
        <v>13</v>
      </c>
    </row>
    <row r="753" customFormat="false" ht="15.8" hidden="false" customHeight="false" outlineLevel="0" collapsed="false">
      <c r="L753" s="0" t="n">
        <v>751</v>
      </c>
      <c r="M753" s="0" t="n">
        <v>1</v>
      </c>
      <c r="O753" s="0" t="n">
        <f aca="false">MAX(N753:N1751)</f>
        <v>0</v>
      </c>
      <c r="Q753" s="0" t="n">
        <v>13</v>
      </c>
    </row>
    <row r="754" customFormat="false" ht="15.8" hidden="false" customHeight="false" outlineLevel="0" collapsed="false">
      <c r="L754" s="0" t="n">
        <v>752</v>
      </c>
      <c r="M754" s="0" t="n">
        <v>2</v>
      </c>
      <c r="O754" s="0" t="n">
        <f aca="false">MAX(N754:N1752)</f>
        <v>0</v>
      </c>
      <c r="Q754" s="0" t="n">
        <v>10</v>
      </c>
    </row>
    <row r="755" customFormat="false" ht="15.8" hidden="false" customHeight="false" outlineLevel="0" collapsed="false">
      <c r="L755" s="0" t="n">
        <v>753</v>
      </c>
      <c r="M755" s="0" t="n">
        <v>1</v>
      </c>
      <c r="O755" s="0" t="n">
        <f aca="false">MAX(N755:N1753)</f>
        <v>0</v>
      </c>
      <c r="Q755" s="0" t="n">
        <v>9</v>
      </c>
    </row>
    <row r="756" customFormat="false" ht="15.8" hidden="false" customHeight="false" outlineLevel="0" collapsed="false">
      <c r="L756" s="0" t="n">
        <v>754</v>
      </c>
      <c r="M756" s="0" t="n">
        <v>3</v>
      </c>
      <c r="O756" s="0" t="n">
        <f aca="false">MAX(N756:N1754)</f>
        <v>0</v>
      </c>
      <c r="Q756" s="0" t="n">
        <v>13</v>
      </c>
    </row>
    <row r="757" customFormat="false" ht="15.8" hidden="false" customHeight="false" outlineLevel="0" collapsed="false">
      <c r="L757" s="0" t="n">
        <v>755</v>
      </c>
      <c r="M757" s="0" t="n">
        <v>2</v>
      </c>
      <c r="O757" s="0" t="n">
        <f aca="false">MAX(N757:N1755)</f>
        <v>0</v>
      </c>
      <c r="Q757" s="0" t="n">
        <v>7</v>
      </c>
    </row>
    <row r="758" customFormat="false" ht="15.8" hidden="false" customHeight="false" outlineLevel="0" collapsed="false">
      <c r="L758" s="0" t="n">
        <v>756</v>
      </c>
      <c r="M758" s="0" t="n">
        <v>0</v>
      </c>
      <c r="O758" s="0" t="n">
        <f aca="false">MAX(N758:N1756)</f>
        <v>0</v>
      </c>
      <c r="Q758" s="0" t="n">
        <v>7</v>
      </c>
    </row>
    <row r="759" customFormat="false" ht="15.8" hidden="false" customHeight="false" outlineLevel="0" collapsed="false">
      <c r="L759" s="0" t="n">
        <v>757</v>
      </c>
      <c r="M759" s="0" t="n">
        <v>1</v>
      </c>
      <c r="O759" s="0" t="n">
        <f aca="false">MAX(N759:N1757)</f>
        <v>0</v>
      </c>
      <c r="Q759" s="0" t="n">
        <v>19</v>
      </c>
    </row>
    <row r="760" customFormat="false" ht="15.8" hidden="false" customHeight="false" outlineLevel="0" collapsed="false">
      <c r="L760" s="0" t="n">
        <v>758</v>
      </c>
      <c r="M760" s="0" t="n">
        <v>3</v>
      </c>
      <c r="O760" s="0" t="n">
        <f aca="false">MAX(N760:N1758)</f>
        <v>0</v>
      </c>
      <c r="Q760" s="0" t="n">
        <v>19</v>
      </c>
    </row>
    <row r="761" customFormat="false" ht="15.8" hidden="false" customHeight="false" outlineLevel="0" collapsed="false">
      <c r="L761" s="0" t="n">
        <v>759</v>
      </c>
      <c r="M761" s="0" t="n">
        <v>1</v>
      </c>
      <c r="O761" s="0" t="n">
        <f aca="false">MAX(N761:N1759)</f>
        <v>0</v>
      </c>
      <c r="Q761" s="0" t="n">
        <v>12</v>
      </c>
    </row>
    <row r="762" customFormat="false" ht="15.8" hidden="false" customHeight="false" outlineLevel="0" collapsed="false">
      <c r="L762" s="0" t="n">
        <v>760</v>
      </c>
      <c r="M762" s="0" t="n">
        <v>2</v>
      </c>
      <c r="O762" s="0" t="n">
        <f aca="false">MAX(N762:N1760)</f>
        <v>0</v>
      </c>
      <c r="Q762" s="0" t="n">
        <v>14</v>
      </c>
    </row>
    <row r="763" customFormat="false" ht="15.8" hidden="false" customHeight="false" outlineLevel="0" collapsed="false">
      <c r="L763" s="0" t="n">
        <v>761</v>
      </c>
      <c r="M763" s="0" t="n">
        <v>3</v>
      </c>
      <c r="O763" s="0" t="n">
        <f aca="false">MAX(N763:N1761)</f>
        <v>0</v>
      </c>
      <c r="Q763" s="0" t="n">
        <v>12</v>
      </c>
    </row>
    <row r="764" customFormat="false" ht="15.8" hidden="false" customHeight="false" outlineLevel="0" collapsed="false">
      <c r="L764" s="0" t="n">
        <v>762</v>
      </c>
      <c r="M764" s="0" t="n">
        <v>3</v>
      </c>
      <c r="O764" s="0" t="n">
        <f aca="false">MAX(N764:N1762)</f>
        <v>0</v>
      </c>
      <c r="Q764" s="0" t="n">
        <v>15</v>
      </c>
    </row>
    <row r="765" customFormat="false" ht="15.8" hidden="false" customHeight="false" outlineLevel="0" collapsed="false">
      <c r="L765" s="0" t="n">
        <v>763</v>
      </c>
      <c r="M765" s="0" t="n">
        <v>1</v>
      </c>
      <c r="O765" s="0" t="n">
        <f aca="false">MAX(N765:N1763)</f>
        <v>0</v>
      </c>
      <c r="Q765" s="0" t="n">
        <v>10</v>
      </c>
    </row>
    <row r="766" customFormat="false" ht="15.8" hidden="false" customHeight="false" outlineLevel="0" collapsed="false">
      <c r="L766" s="0" t="n">
        <v>764</v>
      </c>
      <c r="M766" s="0" t="n">
        <v>0</v>
      </c>
      <c r="O766" s="0" t="n">
        <f aca="false">MAX(N766:N1764)</f>
        <v>0</v>
      </c>
      <c r="Q766" s="0" t="n">
        <v>11</v>
      </c>
    </row>
    <row r="767" customFormat="false" ht="15.8" hidden="false" customHeight="false" outlineLevel="0" collapsed="false">
      <c r="L767" s="0" t="n">
        <v>765</v>
      </c>
      <c r="M767" s="0" t="n">
        <v>1</v>
      </c>
      <c r="O767" s="0" t="n">
        <f aca="false">MAX(N767:N1765)</f>
        <v>0</v>
      </c>
      <c r="Q767" s="0" t="n">
        <v>6</v>
      </c>
    </row>
    <row r="768" customFormat="false" ht="15.8" hidden="false" customHeight="false" outlineLevel="0" collapsed="false">
      <c r="L768" s="0" t="n">
        <v>766</v>
      </c>
      <c r="M768" s="0" t="n">
        <v>2</v>
      </c>
      <c r="O768" s="0" t="n">
        <f aca="false">MAX(N768:N1766)</f>
        <v>0</v>
      </c>
      <c r="Q768" s="0" t="n">
        <v>17</v>
      </c>
    </row>
    <row r="769" customFormat="false" ht="15.8" hidden="false" customHeight="false" outlineLevel="0" collapsed="false">
      <c r="L769" s="0" t="n">
        <v>767</v>
      </c>
      <c r="M769" s="0" t="n">
        <v>0</v>
      </c>
      <c r="O769" s="0" t="n">
        <f aca="false">MAX(N769:N1767)</f>
        <v>0</v>
      </c>
      <c r="Q769" s="0" t="n">
        <v>12</v>
      </c>
    </row>
    <row r="770" customFormat="false" ht="15.8" hidden="false" customHeight="false" outlineLevel="0" collapsed="false">
      <c r="L770" s="0" t="n">
        <v>768</v>
      </c>
      <c r="M770" s="0" t="n">
        <v>2</v>
      </c>
      <c r="O770" s="0" t="n">
        <f aca="false">MAX(N770:N1768)</f>
        <v>0</v>
      </c>
      <c r="Q770" s="0" t="n">
        <v>14</v>
      </c>
    </row>
    <row r="771" customFormat="false" ht="15.8" hidden="false" customHeight="false" outlineLevel="0" collapsed="false">
      <c r="L771" s="0" t="n">
        <v>769</v>
      </c>
      <c r="M771" s="0" t="n">
        <v>3</v>
      </c>
      <c r="O771" s="0" t="n">
        <f aca="false">MAX(N771:N1769)</f>
        <v>0</v>
      </c>
      <c r="Q771" s="0" t="n">
        <v>10</v>
      </c>
    </row>
    <row r="772" customFormat="false" ht="15.8" hidden="false" customHeight="false" outlineLevel="0" collapsed="false">
      <c r="L772" s="0" t="n">
        <v>770</v>
      </c>
      <c r="M772" s="0" t="n">
        <v>0</v>
      </c>
      <c r="O772" s="0" t="n">
        <f aca="false">MAX(N772:N1770)</f>
        <v>0</v>
      </c>
      <c r="Q772" s="0" t="n">
        <v>9</v>
      </c>
    </row>
    <row r="773" customFormat="false" ht="15.8" hidden="false" customHeight="false" outlineLevel="0" collapsed="false">
      <c r="L773" s="0" t="n">
        <v>771</v>
      </c>
      <c r="M773" s="0" t="n">
        <v>2</v>
      </c>
      <c r="O773" s="0" t="n">
        <f aca="false">MAX(N773:N1771)</f>
        <v>0</v>
      </c>
      <c r="Q773" s="0" t="n">
        <v>11</v>
      </c>
    </row>
    <row r="774" customFormat="false" ht="15.8" hidden="false" customHeight="false" outlineLevel="0" collapsed="false">
      <c r="L774" s="0" t="n">
        <v>772</v>
      </c>
      <c r="M774" s="0" t="n">
        <v>1</v>
      </c>
      <c r="O774" s="0" t="n">
        <f aca="false">MAX(N774:N1772)</f>
        <v>0</v>
      </c>
      <c r="Q774" s="0" t="n">
        <v>11</v>
      </c>
    </row>
    <row r="775" customFormat="false" ht="15.8" hidden="false" customHeight="false" outlineLevel="0" collapsed="false">
      <c r="L775" s="0" t="n">
        <v>773</v>
      </c>
      <c r="M775" s="0" t="n">
        <v>1</v>
      </c>
      <c r="O775" s="0" t="n">
        <f aca="false">MAX(N775:N1773)</f>
        <v>0</v>
      </c>
      <c r="Q775" s="0" t="n">
        <v>14</v>
      </c>
    </row>
    <row r="776" customFormat="false" ht="15.8" hidden="false" customHeight="false" outlineLevel="0" collapsed="false">
      <c r="L776" s="0" t="n">
        <v>774</v>
      </c>
      <c r="M776" s="0" t="n">
        <v>1</v>
      </c>
      <c r="O776" s="0" t="n">
        <f aca="false">MAX(N776:N1774)</f>
        <v>0</v>
      </c>
      <c r="Q776" s="0" t="n">
        <v>14</v>
      </c>
    </row>
    <row r="777" customFormat="false" ht="15.8" hidden="false" customHeight="false" outlineLevel="0" collapsed="false">
      <c r="L777" s="0" t="n">
        <v>775</v>
      </c>
      <c r="M777" s="0" t="n">
        <v>1</v>
      </c>
      <c r="O777" s="0" t="n">
        <f aca="false">MAX(N777:N1775)</f>
        <v>0</v>
      </c>
      <c r="Q777" s="0" t="n">
        <v>10</v>
      </c>
    </row>
    <row r="778" customFormat="false" ht="15.8" hidden="false" customHeight="false" outlineLevel="0" collapsed="false">
      <c r="L778" s="0" t="n">
        <v>776</v>
      </c>
      <c r="M778" s="0" t="n">
        <v>3</v>
      </c>
      <c r="O778" s="0" t="n">
        <f aca="false">MAX(N778:N1776)</f>
        <v>0</v>
      </c>
      <c r="Q778" s="0" t="n">
        <v>14</v>
      </c>
    </row>
    <row r="779" customFormat="false" ht="15.8" hidden="false" customHeight="false" outlineLevel="0" collapsed="false">
      <c r="L779" s="0" t="n">
        <v>777</v>
      </c>
      <c r="M779" s="0" t="n">
        <v>1</v>
      </c>
      <c r="O779" s="0" t="n">
        <f aca="false">MAX(N779:N1777)</f>
        <v>0</v>
      </c>
      <c r="Q779" s="0" t="n">
        <v>8</v>
      </c>
    </row>
    <row r="780" customFormat="false" ht="15.8" hidden="false" customHeight="false" outlineLevel="0" collapsed="false">
      <c r="L780" s="0" t="n">
        <v>778</v>
      </c>
      <c r="M780" s="0" t="n">
        <v>1</v>
      </c>
      <c r="O780" s="0" t="n">
        <f aca="false">MAX(N780:N1778)</f>
        <v>0</v>
      </c>
      <c r="Q780" s="0" t="n">
        <v>4</v>
      </c>
    </row>
    <row r="781" customFormat="false" ht="15.8" hidden="false" customHeight="false" outlineLevel="0" collapsed="false">
      <c r="L781" s="0" t="n">
        <v>779</v>
      </c>
      <c r="M781" s="0" t="n">
        <v>3</v>
      </c>
      <c r="O781" s="0" t="n">
        <f aca="false">MAX(N781:N1779)</f>
        <v>0</v>
      </c>
      <c r="Q781" s="0" t="n">
        <v>15</v>
      </c>
    </row>
    <row r="782" customFormat="false" ht="15.8" hidden="false" customHeight="false" outlineLevel="0" collapsed="false">
      <c r="L782" s="0" t="n">
        <v>780</v>
      </c>
      <c r="M782" s="0" t="n">
        <v>0</v>
      </c>
      <c r="O782" s="0" t="n">
        <f aca="false">MAX(N782:N1780)</f>
        <v>0</v>
      </c>
      <c r="Q782" s="0" t="n">
        <v>11</v>
      </c>
    </row>
    <row r="783" customFormat="false" ht="15.8" hidden="false" customHeight="false" outlineLevel="0" collapsed="false">
      <c r="L783" s="0" t="n">
        <v>781</v>
      </c>
      <c r="M783" s="0" t="n">
        <v>3</v>
      </c>
      <c r="O783" s="0" t="n">
        <f aca="false">MAX(N783:N1781)</f>
        <v>0</v>
      </c>
      <c r="Q783" s="0" t="n">
        <v>10</v>
      </c>
    </row>
    <row r="784" customFormat="false" ht="15.8" hidden="false" customHeight="false" outlineLevel="0" collapsed="false">
      <c r="L784" s="0" t="n">
        <v>782</v>
      </c>
      <c r="M784" s="0" t="n">
        <v>0</v>
      </c>
      <c r="O784" s="0" t="n">
        <f aca="false">MAX(N784:N1782)</f>
        <v>0</v>
      </c>
      <c r="Q784" s="0" t="n">
        <v>9</v>
      </c>
    </row>
    <row r="785" customFormat="false" ht="15.8" hidden="false" customHeight="false" outlineLevel="0" collapsed="false">
      <c r="L785" s="0" t="n">
        <v>783</v>
      </c>
      <c r="M785" s="0" t="n">
        <v>2</v>
      </c>
      <c r="O785" s="0" t="n">
        <f aca="false">MAX(N785:N1783)</f>
        <v>0</v>
      </c>
      <c r="Q785" s="0" t="n">
        <v>16</v>
      </c>
    </row>
    <row r="786" customFormat="false" ht="15.8" hidden="false" customHeight="false" outlineLevel="0" collapsed="false">
      <c r="L786" s="0" t="n">
        <v>784</v>
      </c>
      <c r="M786" s="0" t="n">
        <v>1</v>
      </c>
      <c r="O786" s="0" t="n">
        <f aca="false">MAX(N786:N1784)</f>
        <v>0</v>
      </c>
      <c r="Q786" s="0" t="n">
        <v>13</v>
      </c>
    </row>
    <row r="787" customFormat="false" ht="15.8" hidden="false" customHeight="false" outlineLevel="0" collapsed="false">
      <c r="L787" s="0" t="n">
        <v>785</v>
      </c>
      <c r="M787" s="0" t="n">
        <v>3</v>
      </c>
      <c r="O787" s="0" t="n">
        <f aca="false">MAX(N787:N1785)</f>
        <v>0</v>
      </c>
      <c r="Q787" s="0" t="n">
        <v>11</v>
      </c>
    </row>
    <row r="788" customFormat="false" ht="15.8" hidden="false" customHeight="false" outlineLevel="0" collapsed="false">
      <c r="L788" s="0" t="n">
        <v>786</v>
      </c>
      <c r="M788" s="0" t="n">
        <v>1</v>
      </c>
      <c r="O788" s="0" t="n">
        <f aca="false">MAX(N788:N1786)</f>
        <v>0</v>
      </c>
      <c r="Q788" s="0" t="n">
        <v>10</v>
      </c>
    </row>
    <row r="789" customFormat="false" ht="15.8" hidden="false" customHeight="false" outlineLevel="0" collapsed="false">
      <c r="L789" s="0" t="n">
        <v>787</v>
      </c>
      <c r="M789" s="0" t="n">
        <v>3</v>
      </c>
      <c r="O789" s="0" t="n">
        <f aca="false">MAX(N789:N1787)</f>
        <v>0</v>
      </c>
      <c r="Q789" s="0" t="n">
        <v>13</v>
      </c>
    </row>
    <row r="790" customFormat="false" ht="15.8" hidden="false" customHeight="false" outlineLevel="0" collapsed="false">
      <c r="L790" s="0" t="n">
        <v>788</v>
      </c>
      <c r="M790" s="0" t="n">
        <v>2</v>
      </c>
      <c r="O790" s="0" t="n">
        <f aca="false">MAX(N790:N1788)</f>
        <v>0</v>
      </c>
      <c r="Q790" s="0" t="n">
        <v>9</v>
      </c>
    </row>
    <row r="791" customFormat="false" ht="15.8" hidden="false" customHeight="false" outlineLevel="0" collapsed="false">
      <c r="L791" s="0" t="n">
        <v>789</v>
      </c>
      <c r="M791" s="0" t="n">
        <v>1</v>
      </c>
      <c r="O791" s="0" t="n">
        <f aca="false">MAX(N791:N1789)</f>
        <v>0</v>
      </c>
      <c r="Q791" s="0" t="n">
        <v>11</v>
      </c>
    </row>
    <row r="792" customFormat="false" ht="15.8" hidden="false" customHeight="false" outlineLevel="0" collapsed="false">
      <c r="L792" s="0" t="n">
        <v>790</v>
      </c>
      <c r="M792" s="0" t="n">
        <v>0</v>
      </c>
      <c r="O792" s="0" t="n">
        <f aca="false">MAX(N792:N1790)</f>
        <v>0</v>
      </c>
      <c r="Q792" s="0" t="n">
        <v>12</v>
      </c>
    </row>
    <row r="793" customFormat="false" ht="15.8" hidden="false" customHeight="false" outlineLevel="0" collapsed="false">
      <c r="L793" s="0" t="n">
        <v>791</v>
      </c>
      <c r="M793" s="0" t="n">
        <v>1</v>
      </c>
      <c r="O793" s="0" t="n">
        <f aca="false">MAX(N793:N1791)</f>
        <v>0</v>
      </c>
      <c r="Q793" s="0" t="n">
        <v>8</v>
      </c>
    </row>
    <row r="794" customFormat="false" ht="15.8" hidden="false" customHeight="false" outlineLevel="0" collapsed="false">
      <c r="L794" s="0" t="n">
        <v>792</v>
      </c>
      <c r="M794" s="0" t="n">
        <v>3</v>
      </c>
      <c r="O794" s="0" t="n">
        <f aca="false">MAX(N794:N1792)</f>
        <v>0</v>
      </c>
      <c r="Q794" s="0" t="n">
        <v>15</v>
      </c>
    </row>
    <row r="795" customFormat="false" ht="15.8" hidden="false" customHeight="false" outlineLevel="0" collapsed="false">
      <c r="L795" s="0" t="n">
        <v>793</v>
      </c>
      <c r="M795" s="0" t="n">
        <v>1</v>
      </c>
      <c r="O795" s="0" t="n">
        <f aca="false">MAX(N795:N1793)</f>
        <v>0</v>
      </c>
      <c r="Q795" s="0" t="n">
        <v>11</v>
      </c>
    </row>
    <row r="796" customFormat="false" ht="15.8" hidden="false" customHeight="false" outlineLevel="0" collapsed="false">
      <c r="L796" s="0" t="n">
        <v>794</v>
      </c>
      <c r="M796" s="0" t="n">
        <v>2</v>
      </c>
      <c r="O796" s="0" t="n">
        <f aca="false">MAX(N796:N1794)</f>
        <v>0</v>
      </c>
      <c r="Q796" s="0" t="n">
        <v>16</v>
      </c>
    </row>
    <row r="797" customFormat="false" ht="15.8" hidden="false" customHeight="false" outlineLevel="0" collapsed="false">
      <c r="L797" s="0" t="n">
        <v>795</v>
      </c>
      <c r="M797" s="0" t="n">
        <v>0</v>
      </c>
      <c r="O797" s="0" t="n">
        <f aca="false">MAX(N797:N1795)</f>
        <v>0</v>
      </c>
      <c r="Q797" s="0" t="n">
        <v>15</v>
      </c>
    </row>
    <row r="798" customFormat="false" ht="15.8" hidden="false" customHeight="false" outlineLevel="0" collapsed="false">
      <c r="L798" s="0" t="n">
        <v>796</v>
      </c>
      <c r="M798" s="0" t="n">
        <v>2</v>
      </c>
      <c r="O798" s="0" t="n">
        <f aca="false">MAX(N798:N1796)</f>
        <v>0</v>
      </c>
      <c r="Q798" s="0" t="n">
        <v>6</v>
      </c>
    </row>
    <row r="799" customFormat="false" ht="15.8" hidden="false" customHeight="false" outlineLevel="0" collapsed="false">
      <c r="L799" s="0" t="n">
        <v>797</v>
      </c>
      <c r="M799" s="0" t="n">
        <v>0</v>
      </c>
      <c r="O799" s="0" t="n">
        <f aca="false">MAX(N799:N1797)</f>
        <v>0</v>
      </c>
      <c r="Q799" s="0" t="n">
        <v>10</v>
      </c>
    </row>
    <row r="800" customFormat="false" ht="15.8" hidden="false" customHeight="false" outlineLevel="0" collapsed="false">
      <c r="L800" s="0" t="n">
        <v>798</v>
      </c>
      <c r="M800" s="0" t="n">
        <v>3</v>
      </c>
      <c r="O800" s="0" t="n">
        <f aca="false">MAX(N800:N1798)</f>
        <v>0</v>
      </c>
      <c r="Q800" s="0" t="n">
        <v>8</v>
      </c>
    </row>
    <row r="801" customFormat="false" ht="15.8" hidden="false" customHeight="false" outlineLevel="0" collapsed="false">
      <c r="L801" s="0" t="n">
        <v>799</v>
      </c>
      <c r="M801" s="0" t="n">
        <v>1</v>
      </c>
      <c r="O801" s="0" t="n">
        <f aca="false">MAX(N801:N1799)</f>
        <v>0</v>
      </c>
      <c r="Q801" s="0" t="n">
        <v>7</v>
      </c>
    </row>
    <row r="802" customFormat="false" ht="15.8" hidden="false" customHeight="false" outlineLevel="0" collapsed="false">
      <c r="L802" s="0" t="n">
        <v>800</v>
      </c>
      <c r="M802" s="0" t="n">
        <v>1</v>
      </c>
      <c r="O802" s="0" t="n">
        <f aca="false">MAX(N802:N1800)</f>
        <v>0</v>
      </c>
      <c r="Q802" s="0" t="n">
        <v>11</v>
      </c>
    </row>
    <row r="803" customFormat="false" ht="15.8" hidden="false" customHeight="false" outlineLevel="0" collapsed="false">
      <c r="L803" s="0" t="n">
        <v>801</v>
      </c>
      <c r="M803" s="0" t="n">
        <v>0</v>
      </c>
      <c r="O803" s="0" t="n">
        <f aca="false">MAX(N803:N1801)</f>
        <v>0</v>
      </c>
      <c r="Q803" s="0" t="n">
        <v>13</v>
      </c>
    </row>
    <row r="804" customFormat="false" ht="15.8" hidden="false" customHeight="false" outlineLevel="0" collapsed="false">
      <c r="L804" s="0" t="n">
        <v>802</v>
      </c>
      <c r="M804" s="0" t="n">
        <v>0</v>
      </c>
      <c r="O804" s="0" t="n">
        <f aca="false">MAX(N804:N1802)</f>
        <v>0</v>
      </c>
      <c r="Q804" s="0" t="n">
        <v>11</v>
      </c>
    </row>
    <row r="805" customFormat="false" ht="15.8" hidden="false" customHeight="false" outlineLevel="0" collapsed="false">
      <c r="L805" s="0" t="n">
        <v>803</v>
      </c>
      <c r="M805" s="0" t="n">
        <v>3</v>
      </c>
      <c r="O805" s="0" t="n">
        <f aca="false">MAX(N805:N1803)</f>
        <v>0</v>
      </c>
      <c r="Q805" s="0" t="n">
        <v>8</v>
      </c>
    </row>
    <row r="806" customFormat="false" ht="15.8" hidden="false" customHeight="false" outlineLevel="0" collapsed="false">
      <c r="L806" s="0" t="n">
        <v>804</v>
      </c>
      <c r="M806" s="0" t="n">
        <v>0</v>
      </c>
      <c r="O806" s="0" t="n">
        <f aca="false">MAX(N806:N1804)</f>
        <v>0</v>
      </c>
      <c r="Q806" s="0" t="n">
        <v>13</v>
      </c>
    </row>
    <row r="807" customFormat="false" ht="15.8" hidden="false" customHeight="false" outlineLevel="0" collapsed="false">
      <c r="L807" s="0" t="n">
        <v>805</v>
      </c>
      <c r="M807" s="0" t="n">
        <v>3</v>
      </c>
      <c r="O807" s="0" t="n">
        <f aca="false">MAX(N807:N1805)</f>
        <v>0</v>
      </c>
      <c r="Q807" s="0" t="n">
        <v>14</v>
      </c>
    </row>
    <row r="808" customFormat="false" ht="15.8" hidden="false" customHeight="false" outlineLevel="0" collapsed="false">
      <c r="L808" s="0" t="n">
        <v>806</v>
      </c>
      <c r="M808" s="0" t="n">
        <v>1</v>
      </c>
      <c r="O808" s="0" t="n">
        <f aca="false">MAX(N808:N1806)</f>
        <v>0</v>
      </c>
      <c r="Q808" s="0" t="n">
        <v>9</v>
      </c>
    </row>
    <row r="809" customFormat="false" ht="15.8" hidden="false" customHeight="false" outlineLevel="0" collapsed="false">
      <c r="L809" s="0" t="n">
        <v>807</v>
      </c>
      <c r="M809" s="0" t="n">
        <v>2</v>
      </c>
      <c r="O809" s="0" t="n">
        <f aca="false">MAX(N809:N1807)</f>
        <v>0</v>
      </c>
      <c r="Q809" s="0" t="n">
        <v>12</v>
      </c>
    </row>
    <row r="810" customFormat="false" ht="15.8" hidden="false" customHeight="false" outlineLevel="0" collapsed="false">
      <c r="L810" s="0" t="n">
        <v>808</v>
      </c>
      <c r="M810" s="0" t="n">
        <v>4</v>
      </c>
      <c r="O810" s="0" t="n">
        <f aca="false">MAX(N810:N1808)</f>
        <v>0</v>
      </c>
      <c r="Q810" s="0" t="n">
        <v>7</v>
      </c>
    </row>
    <row r="811" customFormat="false" ht="15.8" hidden="false" customHeight="false" outlineLevel="0" collapsed="false">
      <c r="L811" s="0" t="n">
        <v>809</v>
      </c>
      <c r="M811" s="0" t="n">
        <v>2</v>
      </c>
      <c r="O811" s="0" t="n">
        <f aca="false">MAX(N811:N1809)</f>
        <v>0</v>
      </c>
      <c r="Q811" s="0" t="n">
        <v>15</v>
      </c>
    </row>
    <row r="812" customFormat="false" ht="15.8" hidden="false" customHeight="false" outlineLevel="0" collapsed="false">
      <c r="L812" s="0" t="n">
        <v>810</v>
      </c>
      <c r="M812" s="0" t="n">
        <v>2</v>
      </c>
      <c r="O812" s="0" t="n">
        <f aca="false">MAX(N812:N1810)</f>
        <v>0</v>
      </c>
      <c r="Q812" s="0" t="n">
        <v>16</v>
      </c>
    </row>
    <row r="813" customFormat="false" ht="15.8" hidden="false" customHeight="false" outlineLevel="0" collapsed="false">
      <c r="L813" s="0" t="n">
        <v>811</v>
      </c>
      <c r="M813" s="0" t="n">
        <v>0</v>
      </c>
      <c r="O813" s="0" t="n">
        <f aca="false">MAX(N813:N1811)</f>
        <v>0</v>
      </c>
      <c r="Q813" s="0" t="n">
        <v>6</v>
      </c>
    </row>
    <row r="814" customFormat="false" ht="15.8" hidden="false" customHeight="false" outlineLevel="0" collapsed="false">
      <c r="L814" s="0" t="n">
        <v>812</v>
      </c>
      <c r="M814" s="0" t="n">
        <v>0</v>
      </c>
      <c r="O814" s="0" t="n">
        <f aca="false">MAX(N814:N1812)</f>
        <v>0</v>
      </c>
      <c r="Q814" s="0" t="n">
        <v>15</v>
      </c>
    </row>
    <row r="815" customFormat="false" ht="15.8" hidden="false" customHeight="false" outlineLevel="0" collapsed="false">
      <c r="L815" s="0" t="n">
        <v>813</v>
      </c>
      <c r="M815" s="0" t="n">
        <v>3</v>
      </c>
      <c r="O815" s="0" t="n">
        <f aca="false">MAX(N815:N1813)</f>
        <v>0</v>
      </c>
      <c r="Q815" s="0" t="n">
        <v>13</v>
      </c>
    </row>
    <row r="816" customFormat="false" ht="15.8" hidden="false" customHeight="false" outlineLevel="0" collapsed="false">
      <c r="L816" s="0" t="n">
        <v>814</v>
      </c>
      <c r="M816" s="0" t="n">
        <v>1</v>
      </c>
      <c r="O816" s="0" t="n">
        <f aca="false">MAX(N816:N1814)</f>
        <v>0</v>
      </c>
      <c r="Q816" s="0" t="n">
        <v>11</v>
      </c>
    </row>
    <row r="817" customFormat="false" ht="15.8" hidden="false" customHeight="false" outlineLevel="0" collapsed="false">
      <c r="L817" s="0" t="n">
        <v>815</v>
      </c>
      <c r="M817" s="0" t="n">
        <v>1</v>
      </c>
      <c r="O817" s="0" t="n">
        <f aca="false">MAX(N817:N1815)</f>
        <v>0</v>
      </c>
      <c r="Q817" s="0" t="n">
        <v>15</v>
      </c>
    </row>
    <row r="818" customFormat="false" ht="15.8" hidden="false" customHeight="false" outlineLevel="0" collapsed="false">
      <c r="L818" s="0" t="n">
        <v>816</v>
      </c>
      <c r="M818" s="0" t="n">
        <v>1</v>
      </c>
      <c r="O818" s="0" t="n">
        <f aca="false">MAX(N818:N1816)</f>
        <v>0</v>
      </c>
      <c r="Q818" s="0" t="n">
        <v>16</v>
      </c>
    </row>
    <row r="819" customFormat="false" ht="15.8" hidden="false" customHeight="false" outlineLevel="0" collapsed="false">
      <c r="L819" s="0" t="n">
        <v>817</v>
      </c>
      <c r="M819" s="0" t="n">
        <v>0</v>
      </c>
      <c r="O819" s="0" t="n">
        <f aca="false">MAX(N819:N1817)</f>
        <v>0</v>
      </c>
      <c r="Q819" s="0" t="n">
        <v>12</v>
      </c>
    </row>
    <row r="820" customFormat="false" ht="15.8" hidden="false" customHeight="false" outlineLevel="0" collapsed="false">
      <c r="L820" s="0" t="n">
        <v>818</v>
      </c>
      <c r="M820" s="0" t="n">
        <v>0</v>
      </c>
      <c r="O820" s="0" t="n">
        <f aca="false">MAX(N820:N1818)</f>
        <v>0</v>
      </c>
      <c r="Q820" s="0" t="n">
        <v>9</v>
      </c>
    </row>
    <row r="821" customFormat="false" ht="15.8" hidden="false" customHeight="false" outlineLevel="0" collapsed="false">
      <c r="L821" s="0" t="n">
        <v>819</v>
      </c>
      <c r="M821" s="0" t="n">
        <v>1</v>
      </c>
      <c r="O821" s="0" t="n">
        <f aca="false">MAX(N821:N1819)</f>
        <v>0</v>
      </c>
      <c r="Q821" s="0" t="n">
        <v>4</v>
      </c>
    </row>
    <row r="822" customFormat="false" ht="15.8" hidden="false" customHeight="false" outlineLevel="0" collapsed="false">
      <c r="L822" s="0" t="n">
        <v>820</v>
      </c>
      <c r="M822" s="0" t="n">
        <v>2</v>
      </c>
      <c r="O822" s="0" t="n">
        <f aca="false">MAX(N822:N1820)</f>
        <v>0</v>
      </c>
      <c r="Q822" s="0" t="n">
        <v>7</v>
      </c>
    </row>
    <row r="823" customFormat="false" ht="15.8" hidden="false" customHeight="false" outlineLevel="0" collapsed="false">
      <c r="L823" s="0" t="n">
        <v>821</v>
      </c>
      <c r="M823" s="0" t="n">
        <v>1</v>
      </c>
      <c r="O823" s="0" t="n">
        <f aca="false">MAX(N823:N1821)</f>
        <v>0</v>
      </c>
      <c r="Q823" s="0" t="n">
        <v>9</v>
      </c>
    </row>
    <row r="824" customFormat="false" ht="15.8" hidden="false" customHeight="false" outlineLevel="0" collapsed="false">
      <c r="L824" s="0" t="n">
        <v>822</v>
      </c>
      <c r="M824" s="0" t="n">
        <v>0</v>
      </c>
      <c r="O824" s="0" t="n">
        <f aca="false">MAX(N824:N1822)</f>
        <v>0</v>
      </c>
      <c r="Q824" s="0" t="n">
        <v>9</v>
      </c>
    </row>
    <row r="825" customFormat="false" ht="15.8" hidden="false" customHeight="false" outlineLevel="0" collapsed="false">
      <c r="L825" s="0" t="n">
        <v>823</v>
      </c>
      <c r="M825" s="0" t="n">
        <v>0</v>
      </c>
      <c r="O825" s="0" t="n">
        <f aca="false">MAX(N825:N1823)</f>
        <v>0</v>
      </c>
      <c r="Q825" s="0" t="n">
        <v>5</v>
      </c>
    </row>
    <row r="826" customFormat="false" ht="15.8" hidden="false" customHeight="false" outlineLevel="0" collapsed="false">
      <c r="L826" s="0" t="n">
        <v>824</v>
      </c>
      <c r="M826" s="0" t="n">
        <v>3</v>
      </c>
      <c r="O826" s="0" t="n">
        <f aca="false">MAX(N826:N1824)</f>
        <v>0</v>
      </c>
      <c r="Q826" s="0" t="n">
        <v>12</v>
      </c>
    </row>
    <row r="827" customFormat="false" ht="15.8" hidden="false" customHeight="false" outlineLevel="0" collapsed="false">
      <c r="L827" s="0" t="n">
        <v>825</v>
      </c>
      <c r="M827" s="0" t="n">
        <v>0</v>
      </c>
      <c r="O827" s="0" t="n">
        <f aca="false">MAX(N827:N1825)</f>
        <v>0</v>
      </c>
      <c r="Q827" s="0" t="n">
        <v>17</v>
      </c>
    </row>
    <row r="828" customFormat="false" ht="15.8" hidden="false" customHeight="false" outlineLevel="0" collapsed="false">
      <c r="L828" s="0" t="n">
        <v>826</v>
      </c>
      <c r="M828" s="0" t="n">
        <v>2</v>
      </c>
      <c r="O828" s="0" t="n">
        <f aca="false">MAX(N828:N1826)</f>
        <v>0</v>
      </c>
      <c r="Q828" s="0" t="n">
        <v>17</v>
      </c>
    </row>
    <row r="829" customFormat="false" ht="15.8" hidden="false" customHeight="false" outlineLevel="0" collapsed="false">
      <c r="L829" s="0" t="n">
        <v>827</v>
      </c>
      <c r="M829" s="0" t="n">
        <v>2</v>
      </c>
      <c r="O829" s="0" t="n">
        <f aca="false">MAX(N829:N1827)</f>
        <v>0</v>
      </c>
      <c r="Q829" s="0" t="n">
        <v>10</v>
      </c>
    </row>
    <row r="830" customFormat="false" ht="15.8" hidden="false" customHeight="false" outlineLevel="0" collapsed="false">
      <c r="L830" s="0" t="n">
        <v>828</v>
      </c>
      <c r="M830" s="0" t="n">
        <v>1</v>
      </c>
      <c r="O830" s="0" t="n">
        <f aca="false">MAX(N830:N1828)</f>
        <v>0</v>
      </c>
      <c r="Q830" s="0" t="n">
        <v>13</v>
      </c>
    </row>
    <row r="831" customFormat="false" ht="15.8" hidden="false" customHeight="false" outlineLevel="0" collapsed="false">
      <c r="L831" s="0" t="n">
        <v>829</v>
      </c>
      <c r="M831" s="0" t="n">
        <v>0</v>
      </c>
      <c r="O831" s="0" t="n">
        <f aca="false">MAX(N831:N1829)</f>
        <v>0</v>
      </c>
      <c r="Q831" s="0" t="n">
        <v>13</v>
      </c>
    </row>
    <row r="832" customFormat="false" ht="15.8" hidden="false" customHeight="false" outlineLevel="0" collapsed="false">
      <c r="L832" s="0" t="n">
        <v>830</v>
      </c>
      <c r="M832" s="0" t="n">
        <v>0</v>
      </c>
      <c r="O832" s="0" t="n">
        <f aca="false">MAX(N832:N1830)</f>
        <v>0</v>
      </c>
      <c r="Q832" s="0" t="n">
        <v>13</v>
      </c>
    </row>
    <row r="833" customFormat="false" ht="15.8" hidden="false" customHeight="false" outlineLevel="0" collapsed="false">
      <c r="L833" s="0" t="n">
        <v>831</v>
      </c>
      <c r="M833" s="0" t="n">
        <v>4</v>
      </c>
      <c r="O833" s="0" t="n">
        <f aca="false">MAX(N833:N1831)</f>
        <v>0</v>
      </c>
      <c r="Q833" s="0" t="n">
        <v>12</v>
      </c>
    </row>
    <row r="834" customFormat="false" ht="15.8" hidden="false" customHeight="false" outlineLevel="0" collapsed="false">
      <c r="L834" s="0" t="n">
        <v>832</v>
      </c>
      <c r="M834" s="0" t="n">
        <v>3</v>
      </c>
      <c r="O834" s="0" t="n">
        <f aca="false">MAX(N834:N1832)</f>
        <v>0</v>
      </c>
      <c r="Q834" s="0" t="n">
        <v>16</v>
      </c>
    </row>
    <row r="835" customFormat="false" ht="15.8" hidden="false" customHeight="false" outlineLevel="0" collapsed="false">
      <c r="L835" s="0" t="n">
        <v>833</v>
      </c>
      <c r="M835" s="0" t="n">
        <v>1</v>
      </c>
      <c r="O835" s="0" t="n">
        <f aca="false">MAX(N835:N1833)</f>
        <v>0</v>
      </c>
      <c r="Q835" s="0" t="n">
        <v>13</v>
      </c>
    </row>
    <row r="836" customFormat="false" ht="15.8" hidden="false" customHeight="false" outlineLevel="0" collapsed="false">
      <c r="L836" s="0" t="n">
        <v>834</v>
      </c>
      <c r="M836" s="0" t="n">
        <v>2</v>
      </c>
      <c r="O836" s="0" t="n">
        <f aca="false">MAX(N836:N1834)</f>
        <v>0</v>
      </c>
      <c r="Q836" s="0" t="n">
        <v>18</v>
      </c>
    </row>
    <row r="837" customFormat="false" ht="15.8" hidden="false" customHeight="false" outlineLevel="0" collapsed="false">
      <c r="L837" s="0" t="n">
        <v>835</v>
      </c>
      <c r="M837" s="0" t="n">
        <v>0</v>
      </c>
      <c r="O837" s="0" t="n">
        <f aca="false">MAX(N837:N1835)</f>
        <v>0</v>
      </c>
      <c r="Q837" s="0" t="n">
        <v>18</v>
      </c>
    </row>
    <row r="838" customFormat="false" ht="15.8" hidden="false" customHeight="false" outlineLevel="0" collapsed="false">
      <c r="L838" s="0" t="n">
        <v>836</v>
      </c>
      <c r="M838" s="0" t="n">
        <v>4</v>
      </c>
      <c r="O838" s="0" t="n">
        <f aca="false">MAX(N838:N1836)</f>
        <v>0</v>
      </c>
      <c r="Q838" s="0" t="n">
        <v>16</v>
      </c>
    </row>
    <row r="839" customFormat="false" ht="15.8" hidden="false" customHeight="false" outlineLevel="0" collapsed="false">
      <c r="L839" s="0" t="n">
        <v>837</v>
      </c>
      <c r="M839" s="0" t="n">
        <v>1</v>
      </c>
      <c r="O839" s="0" t="n">
        <f aca="false">MAX(N839:N1837)</f>
        <v>0</v>
      </c>
      <c r="Q839" s="0" t="n">
        <v>8</v>
      </c>
    </row>
    <row r="840" customFormat="false" ht="15.8" hidden="false" customHeight="false" outlineLevel="0" collapsed="false">
      <c r="L840" s="0" t="n">
        <v>838</v>
      </c>
      <c r="M840" s="0" t="n">
        <v>2</v>
      </c>
      <c r="O840" s="0" t="n">
        <f aca="false">MAX(N840:N1838)</f>
        <v>0</v>
      </c>
      <c r="Q840" s="0" t="n">
        <v>17</v>
      </c>
    </row>
    <row r="841" customFormat="false" ht="15.8" hidden="false" customHeight="false" outlineLevel="0" collapsed="false">
      <c r="L841" s="0" t="n">
        <v>839</v>
      </c>
      <c r="M841" s="0" t="n">
        <v>1</v>
      </c>
      <c r="O841" s="0" t="n">
        <f aca="false">MAX(N841:N1839)</f>
        <v>0</v>
      </c>
      <c r="Q841" s="0" t="n">
        <v>9</v>
      </c>
    </row>
    <row r="842" customFormat="false" ht="15.8" hidden="false" customHeight="false" outlineLevel="0" collapsed="false">
      <c r="L842" s="0" t="n">
        <v>840</v>
      </c>
      <c r="M842" s="0" t="n">
        <v>0</v>
      </c>
      <c r="O842" s="0" t="n">
        <f aca="false">MAX(N842:N1840)</f>
        <v>0</v>
      </c>
      <c r="Q842" s="0" t="n">
        <v>10</v>
      </c>
    </row>
    <row r="843" customFormat="false" ht="15.8" hidden="false" customHeight="false" outlineLevel="0" collapsed="false">
      <c r="L843" s="0" t="n">
        <v>841</v>
      </c>
      <c r="M843" s="0" t="n">
        <v>0</v>
      </c>
      <c r="O843" s="0" t="n">
        <f aca="false">MAX(N843:N1841)</f>
        <v>0</v>
      </c>
      <c r="Q843" s="0" t="n">
        <v>14</v>
      </c>
    </row>
    <row r="844" customFormat="false" ht="15.8" hidden="false" customHeight="false" outlineLevel="0" collapsed="false">
      <c r="L844" s="0" t="n">
        <v>842</v>
      </c>
      <c r="M844" s="0" t="n">
        <v>4</v>
      </c>
      <c r="O844" s="0" t="n">
        <f aca="false">MAX(N844:N1842)</f>
        <v>0</v>
      </c>
      <c r="Q844" s="0" t="n">
        <v>17</v>
      </c>
    </row>
    <row r="845" customFormat="false" ht="15.8" hidden="false" customHeight="false" outlineLevel="0" collapsed="false">
      <c r="L845" s="0" t="n">
        <v>843</v>
      </c>
      <c r="M845" s="0" t="n">
        <v>1</v>
      </c>
      <c r="O845" s="0" t="n">
        <f aca="false">MAX(N845:N1843)</f>
        <v>0</v>
      </c>
      <c r="Q845" s="0" t="n">
        <v>9</v>
      </c>
    </row>
    <row r="846" customFormat="false" ht="15.8" hidden="false" customHeight="false" outlineLevel="0" collapsed="false">
      <c r="L846" s="0" t="n">
        <v>844</v>
      </c>
      <c r="M846" s="0" t="n">
        <v>3</v>
      </c>
      <c r="O846" s="0" t="n">
        <f aca="false">MAX(N846:N1844)</f>
        <v>0</v>
      </c>
      <c r="Q846" s="0" t="n">
        <v>9</v>
      </c>
    </row>
    <row r="847" customFormat="false" ht="15.8" hidden="false" customHeight="false" outlineLevel="0" collapsed="false">
      <c r="L847" s="0" t="n">
        <v>845</v>
      </c>
      <c r="M847" s="0" t="n">
        <v>2</v>
      </c>
      <c r="O847" s="0" t="n">
        <f aca="false">MAX(N847:N1845)</f>
        <v>0</v>
      </c>
      <c r="Q847" s="0" t="n">
        <v>13</v>
      </c>
    </row>
    <row r="848" customFormat="false" ht="15.8" hidden="false" customHeight="false" outlineLevel="0" collapsed="false">
      <c r="L848" s="0" t="n">
        <v>846</v>
      </c>
      <c r="M848" s="0" t="n">
        <v>2</v>
      </c>
      <c r="O848" s="0" t="n">
        <f aca="false">MAX(N848:N1846)</f>
        <v>0</v>
      </c>
      <c r="Q848" s="0" t="n">
        <v>13</v>
      </c>
    </row>
    <row r="849" customFormat="false" ht="15.8" hidden="false" customHeight="false" outlineLevel="0" collapsed="false">
      <c r="L849" s="0" t="n">
        <v>847</v>
      </c>
      <c r="M849" s="0" t="n">
        <v>1</v>
      </c>
      <c r="O849" s="0" t="n">
        <f aca="false">MAX(N849:N1847)</f>
        <v>0</v>
      </c>
      <c r="Q849" s="0" t="n">
        <v>16</v>
      </c>
    </row>
    <row r="850" customFormat="false" ht="15.8" hidden="false" customHeight="false" outlineLevel="0" collapsed="false">
      <c r="L850" s="0" t="n">
        <v>848</v>
      </c>
      <c r="M850" s="0" t="n">
        <v>1</v>
      </c>
      <c r="O850" s="0" t="n">
        <f aca="false">MAX(N850:N1848)</f>
        <v>0</v>
      </c>
      <c r="Q850" s="0" t="n">
        <v>19</v>
      </c>
    </row>
    <row r="851" customFormat="false" ht="15.8" hidden="false" customHeight="false" outlineLevel="0" collapsed="false">
      <c r="L851" s="0" t="n">
        <v>849</v>
      </c>
      <c r="M851" s="0" t="n">
        <v>1</v>
      </c>
      <c r="O851" s="0" t="n">
        <f aca="false">MAX(N851:N1849)</f>
        <v>0</v>
      </c>
      <c r="Q851" s="0" t="n">
        <v>16</v>
      </c>
    </row>
    <row r="852" customFormat="false" ht="15.8" hidden="false" customHeight="false" outlineLevel="0" collapsed="false">
      <c r="L852" s="0" t="n">
        <v>850</v>
      </c>
      <c r="M852" s="0" t="n">
        <v>3</v>
      </c>
      <c r="O852" s="0" t="n">
        <f aca="false">MAX(N852:N1850)</f>
        <v>0</v>
      </c>
      <c r="Q852" s="0" t="n">
        <v>12</v>
      </c>
    </row>
    <row r="853" customFormat="false" ht="15.8" hidden="false" customHeight="false" outlineLevel="0" collapsed="false">
      <c r="L853" s="0" t="n">
        <v>851</v>
      </c>
      <c r="M853" s="0" t="n">
        <v>3</v>
      </c>
      <c r="O853" s="0" t="n">
        <f aca="false">MAX(N853:N1851)</f>
        <v>0</v>
      </c>
      <c r="Q853" s="0" t="n">
        <v>14</v>
      </c>
    </row>
    <row r="854" customFormat="false" ht="15.8" hidden="false" customHeight="false" outlineLevel="0" collapsed="false">
      <c r="L854" s="0" t="n">
        <v>852</v>
      </c>
      <c r="M854" s="0" t="n">
        <v>1</v>
      </c>
      <c r="O854" s="0" t="n">
        <f aca="false">MAX(N854:N1852)</f>
        <v>0</v>
      </c>
      <c r="Q854" s="0" t="n">
        <v>11</v>
      </c>
    </row>
    <row r="855" customFormat="false" ht="15.8" hidden="false" customHeight="false" outlineLevel="0" collapsed="false">
      <c r="L855" s="0" t="n">
        <v>853</v>
      </c>
      <c r="M855" s="0" t="n">
        <v>2</v>
      </c>
      <c r="O855" s="0" t="n">
        <f aca="false">MAX(N855:N1853)</f>
        <v>0</v>
      </c>
      <c r="Q855" s="0" t="n">
        <v>10</v>
      </c>
    </row>
    <row r="856" customFormat="false" ht="15.8" hidden="false" customHeight="false" outlineLevel="0" collapsed="false">
      <c r="L856" s="0" t="n">
        <v>854</v>
      </c>
      <c r="M856" s="0" t="n">
        <v>2</v>
      </c>
      <c r="O856" s="0" t="n">
        <f aca="false">MAX(N856:N1854)</f>
        <v>0</v>
      </c>
      <c r="Q856" s="0" t="n">
        <v>18</v>
      </c>
    </row>
    <row r="857" customFormat="false" ht="15.8" hidden="false" customHeight="false" outlineLevel="0" collapsed="false">
      <c r="L857" s="0" t="n">
        <v>855</v>
      </c>
      <c r="M857" s="0" t="n">
        <v>1</v>
      </c>
      <c r="O857" s="0" t="n">
        <f aca="false">MAX(N857:N1855)</f>
        <v>0</v>
      </c>
      <c r="Q857" s="0" t="n">
        <v>14</v>
      </c>
    </row>
    <row r="858" customFormat="false" ht="15.8" hidden="false" customHeight="false" outlineLevel="0" collapsed="false">
      <c r="L858" s="0" t="n">
        <v>856</v>
      </c>
      <c r="M858" s="0" t="n">
        <v>3</v>
      </c>
      <c r="O858" s="0" t="n">
        <f aca="false">MAX(N858:N1856)</f>
        <v>0</v>
      </c>
      <c r="Q858" s="0" t="n">
        <v>10</v>
      </c>
    </row>
    <row r="859" customFormat="false" ht="15.8" hidden="false" customHeight="false" outlineLevel="0" collapsed="false">
      <c r="L859" s="0" t="n">
        <v>857</v>
      </c>
      <c r="M859" s="0" t="n">
        <v>1</v>
      </c>
      <c r="O859" s="0" t="n">
        <f aca="false">MAX(N859:N1857)</f>
        <v>0</v>
      </c>
      <c r="Q859" s="0" t="n">
        <v>10</v>
      </c>
    </row>
    <row r="860" customFormat="false" ht="15.8" hidden="false" customHeight="false" outlineLevel="0" collapsed="false">
      <c r="L860" s="0" t="n">
        <v>858</v>
      </c>
      <c r="M860" s="0" t="n">
        <v>2</v>
      </c>
      <c r="O860" s="0" t="n">
        <f aca="false">MAX(N860:N1858)</f>
        <v>0</v>
      </c>
      <c r="Q860" s="0" t="n">
        <v>10</v>
      </c>
    </row>
    <row r="861" customFormat="false" ht="15.8" hidden="false" customHeight="false" outlineLevel="0" collapsed="false">
      <c r="L861" s="0" t="n">
        <v>859</v>
      </c>
      <c r="M861" s="0" t="n">
        <v>1</v>
      </c>
      <c r="O861" s="0" t="n">
        <f aca="false">MAX(N861:N1859)</f>
        <v>0</v>
      </c>
      <c r="Q861" s="0" t="n">
        <v>16</v>
      </c>
    </row>
    <row r="862" customFormat="false" ht="15.8" hidden="false" customHeight="false" outlineLevel="0" collapsed="false">
      <c r="L862" s="0" t="n">
        <v>860</v>
      </c>
      <c r="M862" s="0" t="n">
        <v>1</v>
      </c>
      <c r="O862" s="0" t="n">
        <f aca="false">MAX(N862:N1860)</f>
        <v>0</v>
      </c>
      <c r="Q862" s="0" t="n">
        <v>11</v>
      </c>
    </row>
    <row r="863" customFormat="false" ht="15.8" hidden="false" customHeight="false" outlineLevel="0" collapsed="false">
      <c r="L863" s="0" t="n">
        <v>861</v>
      </c>
      <c r="M863" s="0" t="n">
        <v>0</v>
      </c>
      <c r="O863" s="0" t="n">
        <f aca="false">MAX(N863:N1861)</f>
        <v>0</v>
      </c>
      <c r="Q863" s="0" t="n">
        <v>12</v>
      </c>
    </row>
    <row r="864" customFormat="false" ht="15.8" hidden="false" customHeight="false" outlineLevel="0" collapsed="false">
      <c r="L864" s="0" t="n">
        <v>862</v>
      </c>
      <c r="M864" s="0" t="n">
        <v>0</v>
      </c>
      <c r="O864" s="0" t="n">
        <f aca="false">MAX(N864:N1862)</f>
        <v>0</v>
      </c>
      <c r="Q864" s="0" t="n">
        <v>16</v>
      </c>
    </row>
    <row r="865" customFormat="false" ht="15.8" hidden="false" customHeight="false" outlineLevel="0" collapsed="false">
      <c r="L865" s="0" t="n">
        <v>863</v>
      </c>
      <c r="M865" s="0" t="n">
        <v>0</v>
      </c>
      <c r="O865" s="0" t="n">
        <f aca="false">MAX(N865:N1863)</f>
        <v>0</v>
      </c>
      <c r="Q865" s="0" t="n">
        <v>14</v>
      </c>
    </row>
    <row r="866" customFormat="false" ht="15.8" hidden="false" customHeight="false" outlineLevel="0" collapsed="false">
      <c r="L866" s="0" t="n">
        <v>864</v>
      </c>
      <c r="M866" s="0" t="n">
        <v>1</v>
      </c>
      <c r="O866" s="0" t="n">
        <f aca="false">MAX(N866:N1864)</f>
        <v>0</v>
      </c>
      <c r="Q866" s="0" t="n">
        <v>14</v>
      </c>
    </row>
    <row r="867" customFormat="false" ht="15.8" hidden="false" customHeight="false" outlineLevel="0" collapsed="false">
      <c r="L867" s="0" t="n">
        <v>865</v>
      </c>
      <c r="M867" s="0" t="n">
        <v>3</v>
      </c>
      <c r="O867" s="0" t="n">
        <f aca="false">MAX(N867:N1865)</f>
        <v>0</v>
      </c>
      <c r="Q867" s="0" t="n">
        <v>14</v>
      </c>
    </row>
    <row r="868" customFormat="false" ht="15.8" hidden="false" customHeight="false" outlineLevel="0" collapsed="false">
      <c r="L868" s="0" t="n">
        <v>866</v>
      </c>
      <c r="M868" s="0" t="n">
        <v>0</v>
      </c>
      <c r="O868" s="0" t="n">
        <f aca="false">MAX(N868:N1866)</f>
        <v>0</v>
      </c>
      <c r="Q868" s="0" t="n">
        <v>12</v>
      </c>
    </row>
    <row r="869" customFormat="false" ht="15.8" hidden="false" customHeight="false" outlineLevel="0" collapsed="false">
      <c r="L869" s="0" t="n">
        <v>867</v>
      </c>
      <c r="M869" s="0" t="n">
        <v>1</v>
      </c>
      <c r="O869" s="0" t="n">
        <f aca="false">MAX(N869:N1867)</f>
        <v>0</v>
      </c>
      <c r="Q869" s="0" t="n">
        <v>21</v>
      </c>
    </row>
    <row r="870" customFormat="false" ht="15.8" hidden="false" customHeight="false" outlineLevel="0" collapsed="false">
      <c r="L870" s="0" t="n">
        <v>868</v>
      </c>
      <c r="M870" s="0" t="n">
        <v>0</v>
      </c>
      <c r="O870" s="0" t="n">
        <f aca="false">MAX(N870:N1868)</f>
        <v>0</v>
      </c>
      <c r="Q870" s="0" t="n">
        <v>12</v>
      </c>
    </row>
    <row r="871" customFormat="false" ht="15.8" hidden="false" customHeight="false" outlineLevel="0" collapsed="false">
      <c r="L871" s="0" t="n">
        <v>869</v>
      </c>
      <c r="M871" s="0" t="n">
        <v>1</v>
      </c>
      <c r="O871" s="0" t="n">
        <f aca="false">MAX(N871:N1869)</f>
        <v>0</v>
      </c>
      <c r="Q871" s="0" t="n">
        <v>11</v>
      </c>
    </row>
    <row r="872" customFormat="false" ht="15.8" hidden="false" customHeight="false" outlineLevel="0" collapsed="false">
      <c r="L872" s="0" t="n">
        <v>870</v>
      </c>
      <c r="M872" s="0" t="n">
        <v>3</v>
      </c>
      <c r="O872" s="0" t="n">
        <f aca="false">MAX(N872:N1870)</f>
        <v>0</v>
      </c>
      <c r="Q872" s="0" t="n">
        <v>10</v>
      </c>
    </row>
    <row r="873" customFormat="false" ht="15.8" hidden="false" customHeight="false" outlineLevel="0" collapsed="false">
      <c r="L873" s="0" t="n">
        <v>871</v>
      </c>
      <c r="M873" s="0" t="n">
        <v>0</v>
      </c>
      <c r="O873" s="0" t="n">
        <f aca="false">MAX(N873:N1871)</f>
        <v>0</v>
      </c>
      <c r="Q873" s="0" t="n">
        <v>11</v>
      </c>
    </row>
    <row r="874" customFormat="false" ht="15.8" hidden="false" customHeight="false" outlineLevel="0" collapsed="false">
      <c r="L874" s="0" t="n">
        <v>872</v>
      </c>
      <c r="M874" s="0" t="n">
        <v>4</v>
      </c>
      <c r="O874" s="0" t="n">
        <f aca="false">MAX(N874:N1872)</f>
        <v>0</v>
      </c>
      <c r="Q874" s="0" t="n">
        <v>14</v>
      </c>
    </row>
    <row r="875" customFormat="false" ht="15.8" hidden="false" customHeight="false" outlineLevel="0" collapsed="false">
      <c r="L875" s="0" t="n">
        <v>873</v>
      </c>
      <c r="M875" s="0" t="n">
        <v>1</v>
      </c>
      <c r="O875" s="0" t="n">
        <f aca="false">MAX(N875:N1873)</f>
        <v>0</v>
      </c>
      <c r="Q875" s="0" t="n">
        <v>12</v>
      </c>
    </row>
    <row r="876" customFormat="false" ht="15.8" hidden="false" customHeight="false" outlineLevel="0" collapsed="false">
      <c r="L876" s="0" t="n">
        <v>874</v>
      </c>
      <c r="M876" s="0" t="n">
        <v>0</v>
      </c>
      <c r="O876" s="0" t="n">
        <f aca="false">MAX(N876:N1874)</f>
        <v>0</v>
      </c>
      <c r="Q876" s="0" t="n">
        <v>16</v>
      </c>
    </row>
    <row r="877" customFormat="false" ht="15.8" hidden="false" customHeight="false" outlineLevel="0" collapsed="false">
      <c r="L877" s="0" t="n">
        <v>875</v>
      </c>
      <c r="M877" s="0" t="n">
        <v>2</v>
      </c>
      <c r="O877" s="0" t="n">
        <f aca="false">MAX(N877:N1875)</f>
        <v>0</v>
      </c>
      <c r="Q877" s="0" t="n">
        <v>13</v>
      </c>
    </row>
    <row r="878" customFormat="false" ht="15.8" hidden="false" customHeight="false" outlineLevel="0" collapsed="false">
      <c r="L878" s="0" t="n">
        <v>876</v>
      </c>
      <c r="M878" s="0" t="n">
        <v>0</v>
      </c>
      <c r="O878" s="0" t="n">
        <f aca="false">MAX(N878:N1876)</f>
        <v>0</v>
      </c>
      <c r="Q878" s="0" t="n">
        <v>13</v>
      </c>
    </row>
    <row r="879" customFormat="false" ht="15.8" hidden="false" customHeight="false" outlineLevel="0" collapsed="false">
      <c r="L879" s="0" t="n">
        <v>877</v>
      </c>
      <c r="M879" s="0" t="n">
        <v>0</v>
      </c>
      <c r="O879" s="0" t="n">
        <f aca="false">MAX(N879:N1877)</f>
        <v>0</v>
      </c>
      <c r="Q879" s="0" t="n">
        <v>19</v>
      </c>
    </row>
    <row r="880" customFormat="false" ht="15.8" hidden="false" customHeight="false" outlineLevel="0" collapsed="false">
      <c r="L880" s="0" t="n">
        <v>878</v>
      </c>
      <c r="M880" s="0" t="n">
        <v>1</v>
      </c>
      <c r="O880" s="0" t="n">
        <f aca="false">MAX(N880:N1878)</f>
        <v>0</v>
      </c>
      <c r="Q880" s="0" t="n">
        <v>17</v>
      </c>
    </row>
    <row r="881" customFormat="false" ht="15.8" hidden="false" customHeight="false" outlineLevel="0" collapsed="false">
      <c r="L881" s="0" t="n">
        <v>879</v>
      </c>
      <c r="M881" s="0" t="n">
        <v>1</v>
      </c>
      <c r="O881" s="0" t="n">
        <f aca="false">MAX(N881:N1879)</f>
        <v>0</v>
      </c>
      <c r="Q881" s="0" t="n">
        <v>10</v>
      </c>
    </row>
    <row r="882" customFormat="false" ht="15.8" hidden="false" customHeight="false" outlineLevel="0" collapsed="false">
      <c r="L882" s="0" t="n">
        <v>880</v>
      </c>
      <c r="M882" s="0" t="n">
        <v>1</v>
      </c>
      <c r="O882" s="0" t="n">
        <f aca="false">MAX(N882:N1880)</f>
        <v>0</v>
      </c>
      <c r="Q882" s="0" t="n">
        <v>13</v>
      </c>
    </row>
    <row r="883" customFormat="false" ht="15.8" hidden="false" customHeight="false" outlineLevel="0" collapsed="false">
      <c r="L883" s="0" t="n">
        <v>881</v>
      </c>
      <c r="M883" s="0" t="n">
        <v>1</v>
      </c>
      <c r="O883" s="0" t="n">
        <f aca="false">MAX(N883:N1881)</f>
        <v>0</v>
      </c>
      <c r="Q883" s="0" t="n">
        <v>19</v>
      </c>
    </row>
    <row r="884" customFormat="false" ht="15.8" hidden="false" customHeight="false" outlineLevel="0" collapsed="false">
      <c r="L884" s="0" t="n">
        <v>882</v>
      </c>
      <c r="M884" s="0" t="n">
        <v>1</v>
      </c>
      <c r="O884" s="0" t="n">
        <f aca="false">MAX(N884:N1882)</f>
        <v>0</v>
      </c>
      <c r="Q884" s="0" t="n">
        <v>16</v>
      </c>
    </row>
    <row r="885" customFormat="false" ht="15.8" hidden="false" customHeight="false" outlineLevel="0" collapsed="false">
      <c r="L885" s="0" t="n">
        <v>883</v>
      </c>
      <c r="M885" s="0" t="n">
        <v>0</v>
      </c>
      <c r="O885" s="0" t="n">
        <f aca="false">MAX(N885:N1883)</f>
        <v>0</v>
      </c>
      <c r="Q885" s="0" t="n">
        <v>17</v>
      </c>
    </row>
    <row r="886" customFormat="false" ht="15.8" hidden="false" customHeight="false" outlineLevel="0" collapsed="false">
      <c r="L886" s="0" t="n">
        <v>884</v>
      </c>
      <c r="M886" s="0" t="n">
        <v>0</v>
      </c>
      <c r="O886" s="0" t="n">
        <f aca="false">MAX(N886:N1884)</f>
        <v>0</v>
      </c>
      <c r="Q886" s="0" t="n">
        <v>9</v>
      </c>
    </row>
    <row r="887" customFormat="false" ht="15.8" hidden="false" customHeight="false" outlineLevel="0" collapsed="false">
      <c r="L887" s="0" t="n">
        <v>885</v>
      </c>
      <c r="M887" s="0" t="n">
        <v>0</v>
      </c>
      <c r="O887" s="0" t="n">
        <f aca="false">MAX(N887:N1885)</f>
        <v>0</v>
      </c>
      <c r="Q887" s="0" t="n">
        <v>14</v>
      </c>
    </row>
    <row r="888" customFormat="false" ht="15.8" hidden="false" customHeight="false" outlineLevel="0" collapsed="false">
      <c r="L888" s="0" t="n">
        <v>886</v>
      </c>
      <c r="M888" s="0" t="n">
        <v>2</v>
      </c>
      <c r="O888" s="0" t="n">
        <f aca="false">MAX(N888:N1886)</f>
        <v>0</v>
      </c>
      <c r="Q888" s="0" t="n">
        <v>16</v>
      </c>
    </row>
    <row r="889" customFormat="false" ht="15.8" hidden="false" customHeight="false" outlineLevel="0" collapsed="false">
      <c r="L889" s="0" t="n">
        <v>887</v>
      </c>
      <c r="M889" s="0" t="n">
        <v>3</v>
      </c>
      <c r="O889" s="0" t="n">
        <f aca="false">MAX(N889:N1887)</f>
        <v>0</v>
      </c>
      <c r="Q889" s="0" t="n">
        <v>19</v>
      </c>
    </row>
    <row r="890" customFormat="false" ht="15.8" hidden="false" customHeight="false" outlineLevel="0" collapsed="false">
      <c r="L890" s="0" t="n">
        <v>888</v>
      </c>
      <c r="M890" s="0" t="n">
        <v>1</v>
      </c>
      <c r="O890" s="0" t="n">
        <f aca="false">MAX(N890:N1888)</f>
        <v>0</v>
      </c>
      <c r="Q890" s="0" t="n">
        <v>14</v>
      </c>
    </row>
    <row r="891" customFormat="false" ht="15.8" hidden="false" customHeight="false" outlineLevel="0" collapsed="false">
      <c r="L891" s="0" t="n">
        <v>889</v>
      </c>
      <c r="M891" s="0" t="n">
        <v>1</v>
      </c>
      <c r="O891" s="0" t="n">
        <f aca="false">MAX(N891:N1889)</f>
        <v>0</v>
      </c>
      <c r="Q891" s="0" t="n">
        <v>16</v>
      </c>
    </row>
    <row r="892" customFormat="false" ht="15.8" hidden="false" customHeight="false" outlineLevel="0" collapsed="false">
      <c r="L892" s="0" t="n">
        <v>890</v>
      </c>
      <c r="M892" s="0" t="n">
        <v>0</v>
      </c>
      <c r="O892" s="0" t="n">
        <f aca="false">MAX(N892:N1890)</f>
        <v>0</v>
      </c>
      <c r="Q892" s="0" t="n">
        <v>9</v>
      </c>
    </row>
    <row r="893" customFormat="false" ht="15.8" hidden="false" customHeight="false" outlineLevel="0" collapsed="false">
      <c r="L893" s="0" t="n">
        <v>891</v>
      </c>
      <c r="M893" s="0" t="n">
        <v>2</v>
      </c>
      <c r="O893" s="0" t="n">
        <f aca="false">MAX(N893:N1891)</f>
        <v>0</v>
      </c>
      <c r="Q893" s="0" t="n">
        <v>12</v>
      </c>
    </row>
    <row r="894" customFormat="false" ht="15.8" hidden="false" customHeight="false" outlineLevel="0" collapsed="false">
      <c r="L894" s="0" t="n">
        <v>892</v>
      </c>
      <c r="M894" s="0" t="n">
        <v>1</v>
      </c>
      <c r="O894" s="0" t="n">
        <f aca="false">MAX(N894:N1892)</f>
        <v>0</v>
      </c>
      <c r="Q894" s="0" t="n">
        <v>13</v>
      </c>
    </row>
    <row r="895" customFormat="false" ht="15.8" hidden="false" customHeight="false" outlineLevel="0" collapsed="false">
      <c r="L895" s="0" t="n">
        <v>893</v>
      </c>
      <c r="M895" s="0" t="n">
        <v>1</v>
      </c>
      <c r="O895" s="0" t="n">
        <f aca="false">MAX(N895:N1893)</f>
        <v>0</v>
      </c>
      <c r="Q895" s="0" t="n">
        <v>21</v>
      </c>
    </row>
    <row r="896" customFormat="false" ht="15.8" hidden="false" customHeight="false" outlineLevel="0" collapsed="false">
      <c r="L896" s="0" t="n">
        <v>894</v>
      </c>
      <c r="M896" s="0" t="n">
        <v>2</v>
      </c>
      <c r="O896" s="0" t="n">
        <f aca="false">MAX(N896:N1894)</f>
        <v>0</v>
      </c>
      <c r="Q896" s="0" t="n">
        <v>11</v>
      </c>
    </row>
    <row r="897" customFormat="false" ht="15.8" hidden="false" customHeight="false" outlineLevel="0" collapsed="false">
      <c r="L897" s="0" t="n">
        <v>895</v>
      </c>
      <c r="M897" s="0" t="n">
        <v>0</v>
      </c>
      <c r="O897" s="0" t="n">
        <f aca="false">MAX(N897:N1895)</f>
        <v>0</v>
      </c>
      <c r="Q897" s="0" t="n">
        <v>13</v>
      </c>
    </row>
    <row r="898" customFormat="false" ht="15.8" hidden="false" customHeight="false" outlineLevel="0" collapsed="false">
      <c r="L898" s="0" t="n">
        <v>896</v>
      </c>
      <c r="M898" s="0" t="n">
        <v>4</v>
      </c>
      <c r="O898" s="0" t="n">
        <f aca="false">MAX(N898:N1896)</f>
        <v>0</v>
      </c>
      <c r="Q898" s="0" t="n">
        <v>15</v>
      </c>
    </row>
    <row r="899" customFormat="false" ht="15.8" hidden="false" customHeight="false" outlineLevel="0" collapsed="false">
      <c r="L899" s="0" t="n">
        <v>897</v>
      </c>
      <c r="M899" s="0" t="n">
        <v>0</v>
      </c>
      <c r="O899" s="0" t="n">
        <f aca="false">MAX(N899:N1897)</f>
        <v>0</v>
      </c>
      <c r="Q899" s="0" t="n">
        <v>12</v>
      </c>
    </row>
    <row r="900" customFormat="false" ht="15.8" hidden="false" customHeight="false" outlineLevel="0" collapsed="false">
      <c r="L900" s="0" t="n">
        <v>898</v>
      </c>
      <c r="M900" s="0" t="n">
        <v>1</v>
      </c>
      <c r="O900" s="0" t="n">
        <f aca="false">MAX(N900:N1898)</f>
        <v>0</v>
      </c>
      <c r="Q900" s="0" t="n">
        <v>11</v>
      </c>
    </row>
    <row r="901" customFormat="false" ht="15.8" hidden="false" customHeight="false" outlineLevel="0" collapsed="false">
      <c r="L901" s="0" t="n">
        <v>899</v>
      </c>
      <c r="M901" s="0" t="n">
        <v>1</v>
      </c>
      <c r="O901" s="0" t="n">
        <f aca="false">MAX(N901:N1899)</f>
        <v>0</v>
      </c>
      <c r="Q901" s="0" t="n">
        <v>16</v>
      </c>
    </row>
    <row r="902" customFormat="false" ht="15.8" hidden="false" customHeight="false" outlineLevel="0" collapsed="false">
      <c r="L902" s="0" t="n">
        <v>900</v>
      </c>
      <c r="M902" s="0" t="n">
        <v>1</v>
      </c>
      <c r="O902" s="0" t="n">
        <f aca="false">MAX(N902:N1900)</f>
        <v>0</v>
      </c>
      <c r="Q902" s="0" t="n">
        <v>13</v>
      </c>
    </row>
    <row r="903" customFormat="false" ht="15.8" hidden="false" customHeight="false" outlineLevel="0" collapsed="false">
      <c r="L903" s="0" t="n">
        <v>901</v>
      </c>
      <c r="M903" s="0" t="n">
        <v>1</v>
      </c>
      <c r="O903" s="0" t="n">
        <f aca="false">MAX(N903:N1901)</f>
        <v>0</v>
      </c>
      <c r="Q903" s="0" t="n">
        <v>15</v>
      </c>
    </row>
    <row r="904" customFormat="false" ht="15.8" hidden="false" customHeight="false" outlineLevel="0" collapsed="false">
      <c r="L904" s="0" t="n">
        <v>902</v>
      </c>
      <c r="M904" s="0" t="n">
        <v>2</v>
      </c>
      <c r="O904" s="0" t="n">
        <f aca="false">MAX(N904:N1902)</f>
        <v>0</v>
      </c>
      <c r="Q904" s="0" t="n">
        <v>13</v>
      </c>
    </row>
    <row r="905" customFormat="false" ht="15.8" hidden="false" customHeight="false" outlineLevel="0" collapsed="false">
      <c r="L905" s="0" t="n">
        <v>903</v>
      </c>
      <c r="M905" s="0" t="n">
        <v>1</v>
      </c>
      <c r="O905" s="0" t="n">
        <f aca="false">MAX(N905:N1903)</f>
        <v>0</v>
      </c>
      <c r="Q905" s="0" t="n">
        <v>17</v>
      </c>
    </row>
    <row r="906" customFormat="false" ht="15.8" hidden="false" customHeight="false" outlineLevel="0" collapsed="false">
      <c r="L906" s="0" t="n">
        <v>904</v>
      </c>
      <c r="M906" s="0" t="n">
        <v>0</v>
      </c>
      <c r="O906" s="0" t="n">
        <f aca="false">MAX(N906:N1904)</f>
        <v>0</v>
      </c>
      <c r="Q906" s="0" t="n">
        <v>16</v>
      </c>
    </row>
    <row r="907" customFormat="false" ht="15.8" hidden="false" customHeight="false" outlineLevel="0" collapsed="false">
      <c r="L907" s="0" t="n">
        <v>905</v>
      </c>
      <c r="M907" s="0" t="n">
        <v>3</v>
      </c>
      <c r="O907" s="0" t="n">
        <f aca="false">MAX(N907:N1905)</f>
        <v>0</v>
      </c>
      <c r="Q907" s="0" t="n">
        <v>20</v>
      </c>
    </row>
    <row r="908" customFormat="false" ht="15.8" hidden="false" customHeight="false" outlineLevel="0" collapsed="false">
      <c r="L908" s="0" t="n">
        <v>906</v>
      </c>
      <c r="M908" s="0" t="n">
        <v>1</v>
      </c>
      <c r="O908" s="0" t="n">
        <f aca="false">MAX(N908:N1906)</f>
        <v>0</v>
      </c>
      <c r="Q908" s="0" t="n">
        <v>18</v>
      </c>
    </row>
    <row r="909" customFormat="false" ht="15.8" hidden="false" customHeight="false" outlineLevel="0" collapsed="false">
      <c r="L909" s="0" t="n">
        <v>907</v>
      </c>
      <c r="M909" s="0" t="n">
        <v>0</v>
      </c>
      <c r="O909" s="0" t="n">
        <f aca="false">MAX(N909:N1907)</f>
        <v>0</v>
      </c>
      <c r="Q909" s="0" t="n">
        <v>8</v>
      </c>
    </row>
    <row r="910" customFormat="false" ht="15.8" hidden="false" customHeight="false" outlineLevel="0" collapsed="false">
      <c r="L910" s="0" t="n">
        <v>908</v>
      </c>
      <c r="M910" s="0" t="n">
        <v>1</v>
      </c>
      <c r="O910" s="0" t="n">
        <f aca="false">MAX(N910:N1908)</f>
        <v>0</v>
      </c>
      <c r="Q910" s="0" t="n">
        <v>11</v>
      </c>
    </row>
    <row r="911" customFormat="false" ht="15.8" hidden="false" customHeight="false" outlineLevel="0" collapsed="false">
      <c r="L911" s="0" t="n">
        <v>909</v>
      </c>
      <c r="M911" s="0" t="n">
        <v>1</v>
      </c>
      <c r="O911" s="0" t="n">
        <f aca="false">MAX(N911:N1909)</f>
        <v>0</v>
      </c>
      <c r="Q911" s="0" t="n">
        <v>15</v>
      </c>
    </row>
    <row r="912" customFormat="false" ht="15.8" hidden="false" customHeight="false" outlineLevel="0" collapsed="false">
      <c r="L912" s="0" t="n">
        <v>910</v>
      </c>
      <c r="M912" s="0" t="n">
        <v>2</v>
      </c>
      <c r="O912" s="0" t="n">
        <f aca="false">MAX(N912:N1910)</f>
        <v>0</v>
      </c>
      <c r="Q912" s="0" t="n">
        <v>16</v>
      </c>
    </row>
    <row r="913" customFormat="false" ht="15.8" hidden="false" customHeight="false" outlineLevel="0" collapsed="false">
      <c r="L913" s="0" t="n">
        <v>911</v>
      </c>
      <c r="M913" s="0" t="n">
        <v>2</v>
      </c>
      <c r="O913" s="0" t="n">
        <f aca="false">MAX(N913:N1911)</f>
        <v>0</v>
      </c>
      <c r="Q913" s="0" t="n">
        <v>21</v>
      </c>
    </row>
    <row r="914" customFormat="false" ht="15.8" hidden="false" customHeight="false" outlineLevel="0" collapsed="false">
      <c r="L914" s="0" t="n">
        <v>912</v>
      </c>
      <c r="M914" s="0" t="n">
        <v>4</v>
      </c>
      <c r="O914" s="0" t="n">
        <f aca="false">MAX(N914:N1912)</f>
        <v>0</v>
      </c>
      <c r="Q914" s="0" t="n">
        <v>16</v>
      </c>
    </row>
    <row r="915" customFormat="false" ht="15.8" hidden="false" customHeight="false" outlineLevel="0" collapsed="false">
      <c r="L915" s="0" t="n">
        <v>913</v>
      </c>
      <c r="M915" s="0" t="n">
        <v>1</v>
      </c>
      <c r="O915" s="0" t="n">
        <f aca="false">MAX(N915:N1913)</f>
        <v>0</v>
      </c>
      <c r="Q915" s="0" t="n">
        <v>17</v>
      </c>
    </row>
    <row r="916" customFormat="false" ht="15.8" hidden="false" customHeight="false" outlineLevel="0" collapsed="false">
      <c r="L916" s="0" t="n">
        <v>914</v>
      </c>
      <c r="M916" s="0" t="n">
        <v>1</v>
      </c>
      <c r="O916" s="0" t="n">
        <f aca="false">MAX(N916:N1914)</f>
        <v>0</v>
      </c>
      <c r="Q916" s="0" t="n">
        <v>16</v>
      </c>
    </row>
    <row r="917" customFormat="false" ht="15.8" hidden="false" customHeight="false" outlineLevel="0" collapsed="false">
      <c r="L917" s="0" t="n">
        <v>915</v>
      </c>
      <c r="M917" s="0" t="n">
        <v>2</v>
      </c>
      <c r="O917" s="0" t="n">
        <f aca="false">MAX(N917:N1915)</f>
        <v>0</v>
      </c>
      <c r="Q917" s="0" t="n">
        <v>14</v>
      </c>
    </row>
    <row r="918" customFormat="false" ht="15.8" hidden="false" customHeight="false" outlineLevel="0" collapsed="false">
      <c r="L918" s="0" t="n">
        <v>916</v>
      </c>
      <c r="M918" s="0" t="n">
        <v>0</v>
      </c>
      <c r="O918" s="0" t="n">
        <f aca="false">MAX(N918:N1916)</f>
        <v>0</v>
      </c>
      <c r="Q918" s="0" t="n">
        <v>11</v>
      </c>
    </row>
    <row r="919" customFormat="false" ht="15.8" hidden="false" customHeight="false" outlineLevel="0" collapsed="false">
      <c r="L919" s="0" t="n">
        <v>917</v>
      </c>
      <c r="M919" s="0" t="n">
        <v>0</v>
      </c>
      <c r="O919" s="0" t="n">
        <f aca="false">MAX(N919:N1917)</f>
        <v>0</v>
      </c>
      <c r="Q919" s="0" t="n">
        <v>11</v>
      </c>
    </row>
    <row r="920" customFormat="false" ht="15.8" hidden="false" customHeight="false" outlineLevel="0" collapsed="false">
      <c r="L920" s="0" t="n">
        <v>918</v>
      </c>
      <c r="M920" s="0" t="n">
        <v>0</v>
      </c>
      <c r="O920" s="0" t="n">
        <f aca="false">MAX(N920:N1918)</f>
        <v>0</v>
      </c>
      <c r="Q920" s="0" t="n">
        <v>10</v>
      </c>
    </row>
    <row r="921" customFormat="false" ht="15.8" hidden="false" customHeight="false" outlineLevel="0" collapsed="false">
      <c r="L921" s="0" t="n">
        <v>919</v>
      </c>
      <c r="M921" s="0" t="n">
        <v>3</v>
      </c>
      <c r="O921" s="0" t="n">
        <f aca="false">MAX(N921:N1919)</f>
        <v>0</v>
      </c>
      <c r="Q921" s="0" t="n">
        <v>13</v>
      </c>
    </row>
    <row r="922" customFormat="false" ht="15.8" hidden="false" customHeight="false" outlineLevel="0" collapsed="false">
      <c r="L922" s="0" t="n">
        <v>920</v>
      </c>
      <c r="M922" s="0" t="n">
        <v>2</v>
      </c>
      <c r="O922" s="0" t="n">
        <f aca="false">MAX(N922:N1920)</f>
        <v>0</v>
      </c>
      <c r="Q922" s="0" t="n">
        <v>24</v>
      </c>
    </row>
    <row r="923" customFormat="false" ht="15.8" hidden="false" customHeight="false" outlineLevel="0" collapsed="false">
      <c r="L923" s="0" t="n">
        <v>921</v>
      </c>
      <c r="M923" s="0" t="n">
        <v>2</v>
      </c>
      <c r="O923" s="0" t="n">
        <f aca="false">MAX(N923:N1921)</f>
        <v>0</v>
      </c>
      <c r="Q923" s="0" t="n">
        <v>15</v>
      </c>
    </row>
    <row r="924" customFormat="false" ht="15.8" hidden="false" customHeight="false" outlineLevel="0" collapsed="false">
      <c r="L924" s="0" t="n">
        <v>922</v>
      </c>
      <c r="M924" s="0" t="n">
        <v>1</v>
      </c>
      <c r="O924" s="0" t="n">
        <f aca="false">MAX(N924:N1922)</f>
        <v>0</v>
      </c>
      <c r="Q924" s="0" t="n">
        <v>13</v>
      </c>
    </row>
    <row r="925" customFormat="false" ht="15.8" hidden="false" customHeight="false" outlineLevel="0" collapsed="false">
      <c r="L925" s="0" t="n">
        <v>923</v>
      </c>
      <c r="M925" s="0" t="n">
        <v>0</v>
      </c>
      <c r="O925" s="0" t="n">
        <f aca="false">MAX(N925:N1923)</f>
        <v>0</v>
      </c>
      <c r="Q925" s="0" t="n">
        <v>16</v>
      </c>
    </row>
    <row r="926" customFormat="false" ht="15.8" hidden="false" customHeight="false" outlineLevel="0" collapsed="false">
      <c r="L926" s="0" t="n">
        <v>924</v>
      </c>
      <c r="M926" s="0" t="n">
        <v>0</v>
      </c>
      <c r="O926" s="0" t="n">
        <f aca="false">MAX(N926:N1924)</f>
        <v>0</v>
      </c>
      <c r="Q926" s="0" t="n">
        <v>23</v>
      </c>
    </row>
    <row r="927" customFormat="false" ht="15.8" hidden="false" customHeight="false" outlineLevel="0" collapsed="false">
      <c r="L927" s="0" t="n">
        <v>925</v>
      </c>
      <c r="M927" s="0" t="n">
        <v>0</v>
      </c>
      <c r="O927" s="0" t="n">
        <f aca="false">MAX(N927:N1925)</f>
        <v>0</v>
      </c>
      <c r="Q927" s="0" t="n">
        <v>21</v>
      </c>
    </row>
    <row r="928" customFormat="false" ht="15.8" hidden="false" customHeight="false" outlineLevel="0" collapsed="false">
      <c r="L928" s="0" t="n">
        <v>926</v>
      </c>
      <c r="M928" s="0" t="n">
        <v>1</v>
      </c>
      <c r="O928" s="0" t="n">
        <f aca="false">MAX(N928:N1926)</f>
        <v>0</v>
      </c>
      <c r="Q928" s="0" t="n">
        <v>27</v>
      </c>
    </row>
    <row r="929" customFormat="false" ht="15.8" hidden="false" customHeight="false" outlineLevel="0" collapsed="false">
      <c r="L929" s="0" t="n">
        <v>927</v>
      </c>
      <c r="M929" s="0" t="n">
        <v>1</v>
      </c>
      <c r="O929" s="0" t="n">
        <f aca="false">MAX(N929:N1927)</f>
        <v>0</v>
      </c>
      <c r="Q929" s="0" t="n">
        <v>21</v>
      </c>
    </row>
    <row r="930" customFormat="false" ht="15.8" hidden="false" customHeight="false" outlineLevel="0" collapsed="false">
      <c r="L930" s="0" t="n">
        <v>928</v>
      </c>
      <c r="M930" s="0" t="n">
        <v>0</v>
      </c>
      <c r="O930" s="0" t="n">
        <f aca="false">MAX(N930:N1928)</f>
        <v>0</v>
      </c>
      <c r="Q930" s="0" t="n">
        <v>18</v>
      </c>
    </row>
    <row r="931" customFormat="false" ht="15.8" hidden="false" customHeight="false" outlineLevel="0" collapsed="false">
      <c r="L931" s="0" t="n">
        <v>929</v>
      </c>
      <c r="M931" s="0" t="n">
        <v>1</v>
      </c>
      <c r="O931" s="0" t="n">
        <f aca="false">MAX(N931:N1929)</f>
        <v>0</v>
      </c>
      <c r="Q931" s="0" t="n">
        <v>14</v>
      </c>
    </row>
    <row r="932" customFormat="false" ht="15.8" hidden="false" customHeight="false" outlineLevel="0" collapsed="false">
      <c r="L932" s="0" t="n">
        <v>930</v>
      </c>
      <c r="M932" s="0" t="n">
        <v>3</v>
      </c>
      <c r="O932" s="0" t="n">
        <f aca="false">MAX(N932:N1930)</f>
        <v>0</v>
      </c>
      <c r="Q932" s="0" t="n">
        <v>23</v>
      </c>
    </row>
    <row r="933" customFormat="false" ht="15.8" hidden="false" customHeight="false" outlineLevel="0" collapsed="false">
      <c r="L933" s="0" t="n">
        <v>931</v>
      </c>
      <c r="M933" s="0" t="n">
        <v>1</v>
      </c>
      <c r="O933" s="0" t="n">
        <f aca="false">MAX(N933:N1931)</f>
        <v>0</v>
      </c>
      <c r="Q933" s="0" t="n">
        <v>19</v>
      </c>
    </row>
    <row r="934" customFormat="false" ht="15.8" hidden="false" customHeight="false" outlineLevel="0" collapsed="false">
      <c r="L934" s="0" t="n">
        <v>932</v>
      </c>
      <c r="M934" s="0" t="n">
        <v>1</v>
      </c>
      <c r="O934" s="0" t="n">
        <f aca="false">MAX(N934:N1932)</f>
        <v>0</v>
      </c>
      <c r="Q934" s="0" t="n">
        <v>19</v>
      </c>
    </row>
    <row r="935" customFormat="false" ht="15.8" hidden="false" customHeight="false" outlineLevel="0" collapsed="false">
      <c r="L935" s="0" t="n">
        <v>933</v>
      </c>
      <c r="M935" s="0" t="n">
        <v>3</v>
      </c>
      <c r="O935" s="0" t="n">
        <f aca="false">MAX(N935:N1933)</f>
        <v>0</v>
      </c>
      <c r="Q935" s="0" t="n">
        <v>14</v>
      </c>
    </row>
    <row r="936" customFormat="false" ht="15.8" hidden="false" customHeight="false" outlineLevel="0" collapsed="false">
      <c r="L936" s="0" t="n">
        <v>934</v>
      </c>
      <c r="M936" s="0" t="n">
        <v>0</v>
      </c>
      <c r="O936" s="0" t="n">
        <f aca="false">MAX(N936:N1934)</f>
        <v>0</v>
      </c>
      <c r="Q936" s="0" t="n">
        <v>18</v>
      </c>
    </row>
    <row r="937" customFormat="false" ht="15.8" hidden="false" customHeight="false" outlineLevel="0" collapsed="false">
      <c r="L937" s="0" t="n">
        <v>935</v>
      </c>
      <c r="M937" s="0" t="n">
        <v>1</v>
      </c>
      <c r="O937" s="0" t="n">
        <f aca="false">MAX(N937:N1935)</f>
        <v>0</v>
      </c>
      <c r="Q937" s="0" t="n">
        <v>14</v>
      </c>
    </row>
    <row r="938" customFormat="false" ht="15.8" hidden="false" customHeight="false" outlineLevel="0" collapsed="false">
      <c r="L938" s="0" t="n">
        <v>936</v>
      </c>
      <c r="M938" s="0" t="n">
        <v>3</v>
      </c>
      <c r="O938" s="0" t="n">
        <f aca="false">MAX(N938:N1936)</f>
        <v>0</v>
      </c>
      <c r="Q938" s="0" t="n">
        <v>22</v>
      </c>
    </row>
    <row r="939" customFormat="false" ht="15.8" hidden="false" customHeight="false" outlineLevel="0" collapsed="false">
      <c r="L939" s="0" t="n">
        <v>937</v>
      </c>
      <c r="M939" s="0" t="n">
        <v>3</v>
      </c>
      <c r="O939" s="0" t="n">
        <f aca="false">MAX(N939:N1937)</f>
        <v>0</v>
      </c>
      <c r="Q939" s="0" t="n">
        <v>18</v>
      </c>
    </row>
    <row r="940" customFormat="false" ht="15.8" hidden="false" customHeight="false" outlineLevel="0" collapsed="false">
      <c r="L940" s="0" t="n">
        <v>938</v>
      </c>
      <c r="M940" s="0" t="n">
        <v>0</v>
      </c>
      <c r="O940" s="0" t="n">
        <f aca="false">MAX(N940:N1938)</f>
        <v>0</v>
      </c>
      <c r="Q940" s="0" t="n">
        <v>14</v>
      </c>
    </row>
    <row r="941" customFormat="false" ht="15.8" hidden="false" customHeight="false" outlineLevel="0" collapsed="false">
      <c r="L941" s="0" t="n">
        <v>939</v>
      </c>
      <c r="M941" s="0" t="n">
        <v>0</v>
      </c>
      <c r="O941" s="0" t="n">
        <f aca="false">MAX(N941:N1939)</f>
        <v>0</v>
      </c>
      <c r="Q941" s="0" t="n">
        <v>22</v>
      </c>
    </row>
    <row r="942" customFormat="false" ht="15.8" hidden="false" customHeight="false" outlineLevel="0" collapsed="false">
      <c r="L942" s="0" t="n">
        <v>940</v>
      </c>
      <c r="M942" s="0" t="n">
        <v>1</v>
      </c>
      <c r="O942" s="0" t="n">
        <f aca="false">MAX(N942:N1940)</f>
        <v>0</v>
      </c>
      <c r="Q942" s="0" t="n">
        <v>14</v>
      </c>
    </row>
    <row r="943" customFormat="false" ht="15.8" hidden="false" customHeight="false" outlineLevel="0" collapsed="false">
      <c r="L943" s="0" t="n">
        <v>941</v>
      </c>
      <c r="M943" s="0" t="n">
        <v>0</v>
      </c>
      <c r="O943" s="0" t="n">
        <f aca="false">MAX(N943:N1941)</f>
        <v>0</v>
      </c>
      <c r="Q943" s="0" t="n">
        <v>20</v>
      </c>
    </row>
    <row r="944" customFormat="false" ht="15.8" hidden="false" customHeight="false" outlineLevel="0" collapsed="false">
      <c r="L944" s="0" t="n">
        <v>942</v>
      </c>
      <c r="M944" s="0" t="n">
        <v>1</v>
      </c>
      <c r="O944" s="0" t="n">
        <f aca="false">MAX(N944:N1942)</f>
        <v>0</v>
      </c>
      <c r="Q944" s="0" t="n">
        <v>9</v>
      </c>
    </row>
    <row r="945" customFormat="false" ht="15.8" hidden="false" customHeight="false" outlineLevel="0" collapsed="false">
      <c r="L945" s="0" t="n">
        <v>943</v>
      </c>
      <c r="M945" s="0" t="n">
        <v>0</v>
      </c>
      <c r="O945" s="0" t="n">
        <f aca="false">MAX(N945:N1943)</f>
        <v>0</v>
      </c>
      <c r="Q945" s="0" t="n">
        <v>16</v>
      </c>
    </row>
    <row r="946" customFormat="false" ht="15.8" hidden="false" customHeight="false" outlineLevel="0" collapsed="false">
      <c r="L946" s="0" t="n">
        <v>944</v>
      </c>
      <c r="M946" s="0" t="n">
        <v>1</v>
      </c>
      <c r="O946" s="0" t="n">
        <f aca="false">MAX(N946:N1944)</f>
        <v>0</v>
      </c>
      <c r="Q946" s="0" t="n">
        <v>16</v>
      </c>
    </row>
    <row r="947" customFormat="false" ht="15.8" hidden="false" customHeight="false" outlineLevel="0" collapsed="false">
      <c r="L947" s="0" t="n">
        <v>945</v>
      </c>
      <c r="M947" s="0" t="n">
        <v>0</v>
      </c>
      <c r="O947" s="0" t="n">
        <f aca="false">MAX(N947:N1945)</f>
        <v>0</v>
      </c>
      <c r="Q947" s="0" t="n">
        <v>18</v>
      </c>
    </row>
    <row r="948" customFormat="false" ht="15.8" hidden="false" customHeight="false" outlineLevel="0" collapsed="false">
      <c r="L948" s="0" t="n">
        <v>946</v>
      </c>
      <c r="M948" s="0" t="n">
        <v>0</v>
      </c>
      <c r="O948" s="0" t="n">
        <f aca="false">MAX(N948:N1946)</f>
        <v>0</v>
      </c>
      <c r="Q948" s="0" t="n">
        <v>16</v>
      </c>
    </row>
    <row r="949" customFormat="false" ht="15.8" hidden="false" customHeight="false" outlineLevel="0" collapsed="false">
      <c r="L949" s="0" t="n">
        <v>947</v>
      </c>
      <c r="M949" s="0" t="n">
        <v>0</v>
      </c>
      <c r="O949" s="0" t="n">
        <f aca="false">MAX(N949:N1947)</f>
        <v>0</v>
      </c>
      <c r="Q949" s="0" t="n">
        <v>18</v>
      </c>
    </row>
    <row r="950" customFormat="false" ht="15.8" hidden="false" customHeight="false" outlineLevel="0" collapsed="false">
      <c r="L950" s="0" t="n">
        <v>948</v>
      </c>
      <c r="M950" s="0" t="n">
        <v>1</v>
      </c>
      <c r="O950" s="0" t="n">
        <f aca="false">MAX(N950:N1948)</f>
        <v>0</v>
      </c>
      <c r="Q950" s="0" t="n">
        <v>19</v>
      </c>
    </row>
    <row r="951" customFormat="false" ht="15.8" hidden="false" customHeight="false" outlineLevel="0" collapsed="false">
      <c r="L951" s="0" t="n">
        <v>949</v>
      </c>
      <c r="M951" s="0" t="n">
        <v>1</v>
      </c>
      <c r="O951" s="0" t="n">
        <f aca="false">MAX(N951:N1949)</f>
        <v>0</v>
      </c>
      <c r="Q951" s="0" t="n">
        <v>24</v>
      </c>
    </row>
    <row r="952" customFormat="false" ht="15.8" hidden="false" customHeight="false" outlineLevel="0" collapsed="false">
      <c r="L952" s="0" t="n">
        <v>950</v>
      </c>
      <c r="M952" s="0" t="n">
        <v>0</v>
      </c>
      <c r="O952" s="0" t="n">
        <f aca="false">MAX(N952:N1950)</f>
        <v>0</v>
      </c>
      <c r="Q952" s="0" t="n">
        <v>20</v>
      </c>
    </row>
    <row r="953" customFormat="false" ht="15.8" hidden="false" customHeight="false" outlineLevel="0" collapsed="false">
      <c r="L953" s="0" t="n">
        <v>951</v>
      </c>
      <c r="M953" s="0" t="n">
        <v>4</v>
      </c>
      <c r="O953" s="0" t="n">
        <f aca="false">MAX(N953:N1951)</f>
        <v>0</v>
      </c>
      <c r="Q953" s="0" t="n">
        <v>18</v>
      </c>
    </row>
    <row r="954" customFormat="false" ht="15.8" hidden="false" customHeight="false" outlineLevel="0" collapsed="false">
      <c r="L954" s="0" t="n">
        <v>952</v>
      </c>
      <c r="M954" s="0" t="n">
        <v>1</v>
      </c>
      <c r="O954" s="0" t="n">
        <f aca="false">MAX(N954:N1952)</f>
        <v>0</v>
      </c>
      <c r="Q954" s="0" t="n">
        <v>8</v>
      </c>
    </row>
    <row r="955" customFormat="false" ht="15.8" hidden="false" customHeight="false" outlineLevel="0" collapsed="false">
      <c r="L955" s="0" t="n">
        <v>953</v>
      </c>
      <c r="M955" s="0" t="n">
        <v>5</v>
      </c>
      <c r="O955" s="0" t="n">
        <f aca="false">MAX(N955:N1953)</f>
        <v>0</v>
      </c>
      <c r="Q955" s="0" t="n">
        <v>17</v>
      </c>
    </row>
    <row r="956" customFormat="false" ht="15.8" hidden="false" customHeight="false" outlineLevel="0" collapsed="false">
      <c r="L956" s="0" t="n">
        <v>954</v>
      </c>
      <c r="M956" s="0" t="n">
        <v>2</v>
      </c>
      <c r="O956" s="0" t="n">
        <f aca="false">MAX(N956:N1954)</f>
        <v>0</v>
      </c>
      <c r="Q956" s="0" t="n">
        <v>16</v>
      </c>
    </row>
    <row r="957" customFormat="false" ht="15.8" hidden="false" customHeight="false" outlineLevel="0" collapsed="false">
      <c r="L957" s="0" t="n">
        <v>955</v>
      </c>
      <c r="M957" s="0" t="n">
        <v>0</v>
      </c>
      <c r="O957" s="0" t="n">
        <f aca="false">MAX(N957:N1955)</f>
        <v>0</v>
      </c>
      <c r="Q957" s="0" t="n">
        <v>8</v>
      </c>
    </row>
    <row r="958" customFormat="false" ht="15.8" hidden="false" customHeight="false" outlineLevel="0" collapsed="false">
      <c r="L958" s="0" t="n">
        <v>956</v>
      </c>
      <c r="M958" s="0" t="n">
        <v>0</v>
      </c>
      <c r="O958" s="0" t="n">
        <f aca="false">MAX(N958:N1956)</f>
        <v>0</v>
      </c>
      <c r="Q958" s="0" t="n">
        <v>13</v>
      </c>
    </row>
    <row r="959" customFormat="false" ht="15.8" hidden="false" customHeight="false" outlineLevel="0" collapsed="false">
      <c r="L959" s="0" t="n">
        <v>957</v>
      </c>
      <c r="M959" s="0" t="n">
        <v>1</v>
      </c>
      <c r="O959" s="0" t="n">
        <f aca="false">MAX(N959:N1957)</f>
        <v>0</v>
      </c>
      <c r="Q959" s="0" t="n">
        <v>19</v>
      </c>
    </row>
    <row r="960" customFormat="false" ht="15.8" hidden="false" customHeight="false" outlineLevel="0" collapsed="false">
      <c r="L960" s="0" t="n">
        <v>958</v>
      </c>
      <c r="M960" s="0" t="n">
        <v>1</v>
      </c>
      <c r="O960" s="0" t="n">
        <f aca="false">MAX(N960:N1958)</f>
        <v>0</v>
      </c>
      <c r="Q960" s="0" t="n">
        <v>20</v>
      </c>
    </row>
    <row r="961" customFormat="false" ht="15.8" hidden="false" customHeight="false" outlineLevel="0" collapsed="false">
      <c r="L961" s="0" t="n">
        <v>959</v>
      </c>
      <c r="M961" s="0" t="n">
        <v>3</v>
      </c>
      <c r="O961" s="0" t="n">
        <f aca="false">MAX(N961:N1959)</f>
        <v>0</v>
      </c>
      <c r="Q961" s="0" t="n">
        <v>22</v>
      </c>
    </row>
    <row r="962" customFormat="false" ht="15.8" hidden="false" customHeight="false" outlineLevel="0" collapsed="false">
      <c r="L962" s="0" t="n">
        <v>960</v>
      </c>
      <c r="M962" s="0" t="n">
        <v>0</v>
      </c>
      <c r="O962" s="0" t="n">
        <f aca="false">MAX(N962:N1960)</f>
        <v>0</v>
      </c>
      <c r="Q962" s="0" t="n">
        <v>17</v>
      </c>
    </row>
    <row r="963" customFormat="false" ht="15.8" hidden="false" customHeight="false" outlineLevel="0" collapsed="false">
      <c r="L963" s="0" t="n">
        <v>961</v>
      </c>
      <c r="M963" s="0" t="n">
        <v>1</v>
      </c>
      <c r="O963" s="0" t="n">
        <f aca="false">MAX(N963:N1961)</f>
        <v>0</v>
      </c>
      <c r="Q963" s="0" t="n">
        <v>19</v>
      </c>
    </row>
    <row r="964" customFormat="false" ht="15.8" hidden="false" customHeight="false" outlineLevel="0" collapsed="false">
      <c r="L964" s="0" t="n">
        <v>962</v>
      </c>
      <c r="M964" s="0" t="n">
        <v>4</v>
      </c>
      <c r="O964" s="0" t="n">
        <f aca="false">MAX(N964:N1962)</f>
        <v>0</v>
      </c>
      <c r="Q964" s="0" t="n">
        <v>18</v>
      </c>
    </row>
    <row r="965" customFormat="false" ht="15.8" hidden="false" customHeight="false" outlineLevel="0" collapsed="false">
      <c r="L965" s="0" t="n">
        <v>963</v>
      </c>
      <c r="M965" s="0" t="n">
        <v>1</v>
      </c>
      <c r="O965" s="0" t="n">
        <f aca="false">MAX(N965:N1963)</f>
        <v>0</v>
      </c>
      <c r="Q965" s="0" t="n">
        <v>18</v>
      </c>
    </row>
    <row r="966" customFormat="false" ht="15.8" hidden="false" customHeight="false" outlineLevel="0" collapsed="false">
      <c r="L966" s="0" t="n">
        <v>964</v>
      </c>
      <c r="M966" s="0" t="n">
        <v>0</v>
      </c>
      <c r="O966" s="0" t="n">
        <f aca="false">MAX(N966:N1964)</f>
        <v>0</v>
      </c>
      <c r="Q966" s="0" t="n">
        <v>19</v>
      </c>
    </row>
    <row r="967" customFormat="false" ht="15.8" hidden="false" customHeight="false" outlineLevel="0" collapsed="false">
      <c r="L967" s="0" t="n">
        <v>965</v>
      </c>
      <c r="M967" s="0" t="n">
        <v>0</v>
      </c>
      <c r="O967" s="0" t="n">
        <f aca="false">MAX(N967:N1965)</f>
        <v>0</v>
      </c>
      <c r="Q967" s="0" t="n">
        <v>17</v>
      </c>
    </row>
    <row r="968" customFormat="false" ht="15.8" hidden="false" customHeight="false" outlineLevel="0" collapsed="false">
      <c r="L968" s="0" t="n">
        <v>966</v>
      </c>
      <c r="M968" s="0" t="n">
        <v>1</v>
      </c>
      <c r="O968" s="0" t="n">
        <f aca="false">MAX(N968:N1966)</f>
        <v>0</v>
      </c>
      <c r="Q968" s="0" t="n">
        <v>13</v>
      </c>
    </row>
    <row r="969" customFormat="false" ht="15.8" hidden="false" customHeight="false" outlineLevel="0" collapsed="false">
      <c r="L969" s="0" t="n">
        <v>967</v>
      </c>
      <c r="M969" s="0" t="n">
        <v>0</v>
      </c>
      <c r="O969" s="0" t="n">
        <f aca="false">MAX(N969:N1967)</f>
        <v>0</v>
      </c>
      <c r="Q969" s="0" t="n">
        <v>19</v>
      </c>
    </row>
    <row r="970" customFormat="false" ht="15.8" hidden="false" customHeight="false" outlineLevel="0" collapsed="false">
      <c r="L970" s="0" t="n">
        <v>968</v>
      </c>
      <c r="M970" s="0" t="n">
        <v>1</v>
      </c>
      <c r="O970" s="0" t="n">
        <f aca="false">MAX(N970:N1968)</f>
        <v>0</v>
      </c>
      <c r="Q970" s="0" t="n">
        <v>19</v>
      </c>
    </row>
    <row r="971" customFormat="false" ht="15.8" hidden="false" customHeight="false" outlineLevel="0" collapsed="false">
      <c r="L971" s="0" t="n">
        <v>969</v>
      </c>
      <c r="M971" s="0" t="n">
        <v>2</v>
      </c>
      <c r="O971" s="0" t="n">
        <f aca="false">MAX(N971:N1969)</f>
        <v>0</v>
      </c>
      <c r="Q971" s="0" t="n">
        <v>14</v>
      </c>
    </row>
    <row r="972" customFormat="false" ht="15.8" hidden="false" customHeight="false" outlineLevel="0" collapsed="false">
      <c r="L972" s="0" t="n">
        <v>970</v>
      </c>
      <c r="M972" s="0" t="n">
        <v>0</v>
      </c>
      <c r="O972" s="0" t="n">
        <f aca="false">MAX(N972:N1970)</f>
        <v>0</v>
      </c>
      <c r="Q972" s="0" t="n">
        <v>28</v>
      </c>
    </row>
    <row r="973" customFormat="false" ht="15.8" hidden="false" customHeight="false" outlineLevel="0" collapsed="false">
      <c r="L973" s="0" t="n">
        <v>971</v>
      </c>
      <c r="M973" s="0" t="n">
        <v>2</v>
      </c>
      <c r="O973" s="0" t="n">
        <f aca="false">MAX(N973:N1971)</f>
        <v>0</v>
      </c>
      <c r="Q973" s="0" t="n">
        <v>18</v>
      </c>
    </row>
    <row r="974" customFormat="false" ht="15.8" hidden="false" customHeight="false" outlineLevel="0" collapsed="false">
      <c r="L974" s="0" t="n">
        <v>972</v>
      </c>
      <c r="M974" s="0" t="n">
        <v>2</v>
      </c>
      <c r="O974" s="0" t="n">
        <f aca="false">MAX(N974:N1972)</f>
        <v>0</v>
      </c>
      <c r="Q974" s="0" t="n">
        <v>27</v>
      </c>
    </row>
    <row r="975" customFormat="false" ht="15.8" hidden="false" customHeight="false" outlineLevel="0" collapsed="false">
      <c r="L975" s="0" t="n">
        <v>973</v>
      </c>
      <c r="M975" s="0" t="n">
        <v>0</v>
      </c>
      <c r="O975" s="0" t="n">
        <f aca="false">MAX(N975:N1973)</f>
        <v>0</v>
      </c>
      <c r="Q975" s="0" t="n">
        <v>15</v>
      </c>
    </row>
    <row r="976" customFormat="false" ht="15.8" hidden="false" customHeight="false" outlineLevel="0" collapsed="false">
      <c r="L976" s="0" t="n">
        <v>974</v>
      </c>
      <c r="M976" s="0" t="n">
        <v>1</v>
      </c>
      <c r="O976" s="0" t="n">
        <f aca="false">MAX(N976:N1974)</f>
        <v>0</v>
      </c>
      <c r="Q976" s="0" t="n">
        <v>21</v>
      </c>
    </row>
    <row r="977" customFormat="false" ht="15.8" hidden="false" customHeight="false" outlineLevel="0" collapsed="false">
      <c r="L977" s="0" t="n">
        <v>975</v>
      </c>
      <c r="M977" s="0" t="n">
        <v>3</v>
      </c>
      <c r="O977" s="0" t="n">
        <f aca="false">MAX(N977:N1975)</f>
        <v>0</v>
      </c>
      <c r="Q977" s="0" t="n">
        <v>15</v>
      </c>
    </row>
    <row r="978" customFormat="false" ht="15.8" hidden="false" customHeight="false" outlineLevel="0" collapsed="false">
      <c r="L978" s="0" t="n">
        <v>976</v>
      </c>
      <c r="M978" s="0" t="n">
        <v>1</v>
      </c>
      <c r="O978" s="0" t="n">
        <f aca="false">MAX(N978:N1976)</f>
        <v>0</v>
      </c>
      <c r="Q978" s="0" t="n">
        <v>12</v>
      </c>
    </row>
    <row r="979" customFormat="false" ht="15.8" hidden="false" customHeight="false" outlineLevel="0" collapsed="false">
      <c r="L979" s="0" t="n">
        <v>977</v>
      </c>
      <c r="M979" s="0" t="n">
        <v>1</v>
      </c>
      <c r="O979" s="0" t="n">
        <f aca="false">MAX(N979:N1977)</f>
        <v>0</v>
      </c>
      <c r="Q979" s="0" t="n">
        <v>18</v>
      </c>
    </row>
    <row r="980" customFormat="false" ht="15.8" hidden="false" customHeight="false" outlineLevel="0" collapsed="false">
      <c r="L980" s="0" t="n">
        <v>978</v>
      </c>
      <c r="M980" s="0" t="n">
        <v>1</v>
      </c>
      <c r="O980" s="0" t="n">
        <f aca="false">MAX(N980:N1978)</f>
        <v>0</v>
      </c>
      <c r="Q980" s="0" t="n">
        <v>19</v>
      </c>
    </row>
    <row r="981" customFormat="false" ht="15.8" hidden="false" customHeight="false" outlineLevel="0" collapsed="false">
      <c r="L981" s="0" t="n">
        <v>979</v>
      </c>
      <c r="M981" s="0" t="n">
        <v>0</v>
      </c>
      <c r="O981" s="0" t="n">
        <f aca="false">MAX(N981:N1979)</f>
        <v>0</v>
      </c>
      <c r="Q981" s="0" t="n">
        <v>20</v>
      </c>
    </row>
    <row r="982" customFormat="false" ht="15.8" hidden="false" customHeight="false" outlineLevel="0" collapsed="false">
      <c r="L982" s="0" t="n">
        <v>980</v>
      </c>
      <c r="M982" s="0" t="n">
        <v>0</v>
      </c>
      <c r="O982" s="0" t="n">
        <f aca="false">MAX(N982:N1980)</f>
        <v>0</v>
      </c>
      <c r="Q982" s="0" t="n">
        <v>19</v>
      </c>
    </row>
    <row r="983" customFormat="false" ht="15.8" hidden="false" customHeight="false" outlineLevel="0" collapsed="false">
      <c r="L983" s="0" t="n">
        <v>981</v>
      </c>
      <c r="M983" s="0" t="n">
        <v>1</v>
      </c>
      <c r="O983" s="0" t="n">
        <f aca="false">MAX(N983:N1981)</f>
        <v>0</v>
      </c>
      <c r="Q983" s="0" t="n">
        <v>24</v>
      </c>
    </row>
    <row r="984" customFormat="false" ht="15.8" hidden="false" customHeight="false" outlineLevel="0" collapsed="false">
      <c r="L984" s="0" t="n">
        <v>982</v>
      </c>
      <c r="M984" s="0" t="n">
        <v>2</v>
      </c>
      <c r="O984" s="0" t="n">
        <f aca="false">MAX(N984:N1982)</f>
        <v>0</v>
      </c>
      <c r="Q984" s="0" t="n">
        <v>17</v>
      </c>
    </row>
    <row r="985" customFormat="false" ht="15.8" hidden="false" customHeight="false" outlineLevel="0" collapsed="false">
      <c r="L985" s="0" t="n">
        <v>983</v>
      </c>
      <c r="M985" s="0" t="n">
        <v>0</v>
      </c>
      <c r="O985" s="0" t="n">
        <f aca="false">MAX(N985:N1983)</f>
        <v>0</v>
      </c>
      <c r="Q985" s="0" t="n">
        <v>13</v>
      </c>
    </row>
    <row r="986" customFormat="false" ht="15.8" hidden="false" customHeight="false" outlineLevel="0" collapsed="false">
      <c r="L986" s="0" t="n">
        <v>984</v>
      </c>
      <c r="M986" s="0" t="n">
        <v>2</v>
      </c>
      <c r="O986" s="0" t="n">
        <f aca="false">MAX(N986:N1984)</f>
        <v>0</v>
      </c>
      <c r="Q986" s="0" t="n">
        <v>20</v>
      </c>
    </row>
    <row r="987" customFormat="false" ht="15.8" hidden="false" customHeight="false" outlineLevel="0" collapsed="false">
      <c r="L987" s="0" t="n">
        <v>985</v>
      </c>
      <c r="M987" s="0" t="n">
        <v>1</v>
      </c>
      <c r="O987" s="0" t="n">
        <f aca="false">MAX(N987:N1985)</f>
        <v>0</v>
      </c>
      <c r="Q987" s="0" t="n">
        <v>12</v>
      </c>
    </row>
    <row r="988" customFormat="false" ht="15.8" hidden="false" customHeight="false" outlineLevel="0" collapsed="false">
      <c r="L988" s="0" t="n">
        <v>986</v>
      </c>
      <c r="M988" s="0" t="n">
        <v>1</v>
      </c>
      <c r="O988" s="0" t="n">
        <f aca="false">MAX(N988:N1986)</f>
        <v>0</v>
      </c>
      <c r="Q988" s="0" t="n">
        <v>20</v>
      </c>
    </row>
    <row r="989" customFormat="false" ht="15.8" hidden="false" customHeight="false" outlineLevel="0" collapsed="false">
      <c r="L989" s="0" t="n">
        <v>987</v>
      </c>
      <c r="M989" s="0" t="n">
        <v>0</v>
      </c>
      <c r="O989" s="0" t="n">
        <f aca="false">MAX(N989:N1987)</f>
        <v>0</v>
      </c>
      <c r="Q989" s="0" t="n">
        <v>20</v>
      </c>
    </row>
    <row r="990" customFormat="false" ht="15.8" hidden="false" customHeight="false" outlineLevel="0" collapsed="false">
      <c r="L990" s="0" t="n">
        <v>988</v>
      </c>
      <c r="M990" s="0" t="n">
        <v>1</v>
      </c>
      <c r="O990" s="0" t="n">
        <f aca="false">MAX(N990:N1988)</f>
        <v>0</v>
      </c>
      <c r="Q990" s="0" t="n">
        <v>23</v>
      </c>
    </row>
    <row r="991" customFormat="false" ht="15.8" hidden="false" customHeight="false" outlineLevel="0" collapsed="false">
      <c r="L991" s="0" t="n">
        <v>989</v>
      </c>
      <c r="M991" s="0" t="n">
        <v>1</v>
      </c>
      <c r="O991" s="0" t="n">
        <f aca="false">MAX(N991:N1989)</f>
        <v>0</v>
      </c>
      <c r="Q991" s="0" t="n">
        <v>14</v>
      </c>
    </row>
    <row r="992" customFormat="false" ht="15.8" hidden="false" customHeight="false" outlineLevel="0" collapsed="false">
      <c r="L992" s="0" t="n">
        <v>990</v>
      </c>
      <c r="M992" s="0" t="n">
        <v>1</v>
      </c>
      <c r="O992" s="0" t="n">
        <f aca="false">MAX(N992:N1990)</f>
        <v>0</v>
      </c>
      <c r="Q992" s="0" t="n">
        <v>16</v>
      </c>
    </row>
    <row r="993" customFormat="false" ht="15.8" hidden="false" customHeight="false" outlineLevel="0" collapsed="false">
      <c r="L993" s="0" t="n">
        <v>991</v>
      </c>
      <c r="M993" s="0" t="n">
        <v>0</v>
      </c>
      <c r="O993" s="0" t="n">
        <f aca="false">MAX(N993:N1991)</f>
        <v>0</v>
      </c>
      <c r="Q993" s="0" t="n">
        <v>12</v>
      </c>
    </row>
    <row r="994" customFormat="false" ht="15.8" hidden="false" customHeight="false" outlineLevel="0" collapsed="false">
      <c r="L994" s="0" t="n">
        <v>992</v>
      </c>
      <c r="M994" s="0" t="n">
        <v>0</v>
      </c>
      <c r="O994" s="0" t="n">
        <f aca="false">MAX(N994:N1992)</f>
        <v>0</v>
      </c>
      <c r="Q994" s="0" t="n">
        <v>23</v>
      </c>
    </row>
    <row r="995" customFormat="false" ht="15.8" hidden="false" customHeight="false" outlineLevel="0" collapsed="false">
      <c r="L995" s="0" t="n">
        <v>993</v>
      </c>
      <c r="M995" s="0" t="n">
        <v>3</v>
      </c>
      <c r="O995" s="0" t="n">
        <f aca="false">MAX(N995:N1993)</f>
        <v>0</v>
      </c>
      <c r="Q995" s="0" t="n">
        <v>14</v>
      </c>
    </row>
    <row r="996" customFormat="false" ht="15.8" hidden="false" customHeight="false" outlineLevel="0" collapsed="false">
      <c r="L996" s="0" t="n">
        <v>994</v>
      </c>
      <c r="M996" s="0" t="n">
        <v>1</v>
      </c>
      <c r="O996" s="0" t="n">
        <f aca="false">MAX(N996:N1994)</f>
        <v>0</v>
      </c>
      <c r="Q996" s="0" t="n">
        <v>19</v>
      </c>
    </row>
    <row r="997" customFormat="false" ht="15.8" hidden="false" customHeight="false" outlineLevel="0" collapsed="false">
      <c r="L997" s="0" t="n">
        <v>995</v>
      </c>
      <c r="M997" s="0" t="n">
        <v>1</v>
      </c>
      <c r="O997" s="0" t="n">
        <f aca="false">MAX(N997:N1995)</f>
        <v>0</v>
      </c>
      <c r="Q997" s="0" t="n">
        <v>12</v>
      </c>
    </row>
    <row r="998" customFormat="false" ht="15.8" hidden="false" customHeight="false" outlineLevel="0" collapsed="false">
      <c r="L998" s="0" t="n">
        <v>996</v>
      </c>
      <c r="M998" s="0" t="n">
        <v>2</v>
      </c>
      <c r="O998" s="0" t="n">
        <f aca="false">MAX(N998:N1996)</f>
        <v>0</v>
      </c>
      <c r="Q998" s="0" t="n">
        <v>18</v>
      </c>
    </row>
    <row r="999" customFormat="false" ht="15.8" hidden="false" customHeight="false" outlineLevel="0" collapsed="false">
      <c r="L999" s="0" t="n">
        <v>997</v>
      </c>
      <c r="M999" s="0" t="n">
        <v>3</v>
      </c>
      <c r="O999" s="0" t="n">
        <f aca="false">MAX(N999:N1997)</f>
        <v>0</v>
      </c>
      <c r="Q999" s="0" t="n">
        <v>21</v>
      </c>
    </row>
    <row r="1000" customFormat="false" ht="15.8" hidden="false" customHeight="false" outlineLevel="0" collapsed="false">
      <c r="L1000" s="0" t="n">
        <v>998</v>
      </c>
      <c r="M1000" s="0" t="n">
        <v>0</v>
      </c>
      <c r="O1000" s="0" t="n">
        <f aca="false">MAX(N1000:N1998)</f>
        <v>0</v>
      </c>
      <c r="Q1000" s="0" t="n">
        <v>21</v>
      </c>
    </row>
    <row r="1001" customFormat="false" ht="15.8" hidden="false" customHeight="false" outlineLevel="0" collapsed="false">
      <c r="L1001" s="0" t="n">
        <v>999</v>
      </c>
      <c r="M1001" s="0" t="n">
        <v>1</v>
      </c>
      <c r="O1001" s="0" t="n">
        <f aca="false">MAX(N1001:N1999)</f>
        <v>0</v>
      </c>
      <c r="Q1001" s="0" t="n">
        <v>24</v>
      </c>
    </row>
    <row r="1002" customFormat="false" ht="15.8" hidden="false" customHeight="false" outlineLevel="0" collapsed="false">
      <c r="L1002" s="0" t="n">
        <v>1000</v>
      </c>
      <c r="O1002" s="0" t="n">
        <f aca="false">MAX(N1002:N2000)</f>
        <v>0</v>
      </c>
    </row>
    <row r="1003" customFormat="false" ht="15.8" hidden="false" customHeight="false" outlineLevel="0" collapsed="false"/>
    <row r="1004" customFormat="false" ht="15.8" hidden="false" customHeight="false" outlineLevel="0" collapsed="false"/>
    <row r="1005" customFormat="false" ht="15.8" hidden="false" customHeight="false" outlineLevel="0" collapsed="false"/>
    <row r="1006" customFormat="false" ht="15.8" hidden="false" customHeight="false" outlineLevel="0" collapsed="false"/>
    <row r="1007" customFormat="false" ht="15.8" hidden="false" customHeight="false" outlineLevel="0" collapsed="false"/>
    <row r="1008" customFormat="false" ht="15.8" hidden="false" customHeight="false" outlineLevel="0" collapsed="false"/>
    <row r="1009" customFormat="false" ht="15.8" hidden="false" customHeight="false" outlineLevel="0" collapsed="false"/>
    <row r="1010" customFormat="false" ht="15.8" hidden="false" customHeight="false" outlineLevel="0" collapsed="false"/>
    <row r="1011" customFormat="false" ht="15.8" hidden="false" customHeight="false" outlineLevel="0" collapsed="false"/>
    <row r="1012" customFormat="false" ht="15.8" hidden="false" customHeight="false" outlineLevel="0" collapsed="false"/>
    <row r="1013" customFormat="false" ht="15.8" hidden="false" customHeight="false" outlineLevel="0" collapsed="false"/>
    <row r="1014" customFormat="false" ht="15.8" hidden="false" customHeight="false" outlineLevel="0" collapsed="false"/>
    <row r="1015" customFormat="false" ht="15.8" hidden="false" customHeight="false" outlineLevel="0" collapsed="false"/>
    <row r="1016" customFormat="false" ht="15.8" hidden="false" customHeight="false" outlineLevel="0" collapsed="false"/>
    <row r="1017" customFormat="false" ht="15.8" hidden="false" customHeight="false" outlineLevel="0" collapsed="false"/>
    <row r="1018" customFormat="false" ht="15.8" hidden="false" customHeight="false" outlineLevel="0" collapsed="false"/>
    <row r="1019" customFormat="false" ht="15.8" hidden="false" customHeight="false" outlineLevel="0" collapsed="false"/>
    <row r="1020" customFormat="false" ht="15.8" hidden="false" customHeight="false" outlineLevel="0" collapsed="false"/>
    <row r="1021" customFormat="false" ht="15.8" hidden="false" customHeight="false" outlineLevel="0" collapsed="false"/>
    <row r="1022" customFormat="false" ht="15.8" hidden="false" customHeight="false" outlineLevel="0" collapsed="false"/>
    <row r="1023" customFormat="false" ht="15.8" hidden="false" customHeight="false" outlineLevel="0" collapsed="false"/>
    <row r="1024" customFormat="false" ht="15.8" hidden="false" customHeight="false" outlineLevel="0" collapsed="false"/>
    <row r="1025" customFormat="false" ht="15.8" hidden="false" customHeight="false" outlineLevel="0" collapsed="false"/>
    <row r="1026" customFormat="false" ht="15.8" hidden="false" customHeight="false" outlineLevel="0" collapsed="false"/>
    <row r="1027" customFormat="false" ht="15.8" hidden="false" customHeight="false" outlineLevel="0" collapsed="false"/>
    <row r="1028" customFormat="false" ht="15.8" hidden="false" customHeight="false" outlineLevel="0" collapsed="false"/>
    <row r="1029" customFormat="false" ht="15.8" hidden="false" customHeight="false" outlineLevel="0" collapsed="false"/>
    <row r="1030" customFormat="false" ht="15.8" hidden="false" customHeight="false" outlineLevel="0" collapsed="false"/>
    <row r="1031" customFormat="false" ht="15.8" hidden="false" customHeight="false" outlineLevel="0" collapsed="false"/>
    <row r="1032" customFormat="false" ht="15.8" hidden="false" customHeight="false" outlineLevel="0" collapsed="false"/>
    <row r="1033" customFormat="false" ht="15.8" hidden="false" customHeight="false" outlineLevel="0" collapsed="false"/>
    <row r="1034" customFormat="false" ht="15.8" hidden="false" customHeight="false" outlineLevel="0" collapsed="false"/>
    <row r="1035" customFormat="false" ht="15.8" hidden="false" customHeight="false" outlineLevel="0" collapsed="false"/>
    <row r="1036" customFormat="false" ht="15.8" hidden="false" customHeight="false" outlineLevel="0" collapsed="false"/>
    <row r="1037" customFormat="false" ht="15.8" hidden="false" customHeight="false" outlineLevel="0" collapsed="false"/>
    <row r="1038" customFormat="false" ht="15.8" hidden="false" customHeight="false" outlineLevel="0" collapsed="false"/>
    <row r="1039" customFormat="false" ht="15.8" hidden="false" customHeight="false" outlineLevel="0" collapsed="false"/>
    <row r="1040" customFormat="false" ht="15.8" hidden="false" customHeight="false" outlineLevel="0" collapsed="false"/>
    <row r="1041" customFormat="false" ht="15.8" hidden="false" customHeight="false" outlineLevel="0" collapsed="false"/>
    <row r="1042" customFormat="false" ht="15.8" hidden="false" customHeight="false" outlineLevel="0" collapsed="false"/>
    <row r="1043" customFormat="false" ht="15.8" hidden="false" customHeight="false" outlineLevel="0" collapsed="false"/>
    <row r="1044" customFormat="false" ht="15.8" hidden="false" customHeight="false" outlineLevel="0" collapsed="false"/>
    <row r="1045" customFormat="false" ht="15.8" hidden="false" customHeight="false" outlineLevel="0" collapsed="false"/>
    <row r="1046" customFormat="false" ht="15.8" hidden="false" customHeight="false" outlineLevel="0" collapsed="false"/>
    <row r="1047" customFormat="false" ht="15.8" hidden="false" customHeight="false" outlineLevel="0" collapsed="false"/>
    <row r="1048" customFormat="false" ht="15.8" hidden="false" customHeight="false" outlineLevel="0" collapsed="false"/>
    <row r="1049" customFormat="false" ht="15.8" hidden="false" customHeight="false" outlineLevel="0" collapsed="false"/>
    <row r="1050" customFormat="false" ht="15.8" hidden="false" customHeight="false" outlineLevel="0" collapsed="false"/>
    <row r="1051" customFormat="false" ht="15.8" hidden="false" customHeight="false" outlineLevel="0" collapsed="false"/>
  </sheetData>
  <mergeCells count="1">
    <mergeCell ref="C1:H1"/>
  </mergeCells>
  <conditionalFormatting sqref="A33">
    <cfRule type="cellIs" priority="2" operator="lessThan" aboveAverage="0" equalAverage="0" bottom="0" percent="0" rank="0" text="" dxfId="0">
      <formula>0.15</formula>
    </cfRule>
  </conditionalFormatting>
  <conditionalFormatting sqref="A31">
    <cfRule type="cellIs" priority="3" operator="lessThan" aboveAverage="0" equalAverage="0" bottom="0" percent="0" rank="0" text="" dxfId="0">
      <formula>0.3</formula>
    </cfRule>
  </conditionalFormatting>
  <printOptions headings="false" gridLines="false" gridLinesSet="true" horizontalCentered="false" verticalCentered="false"/>
  <pageMargins left="0.7875" right="0.7875" top="1.05277777777778" bottom="1.74166666666667" header="0.7875" footer="0.7875"/>
  <pageSetup paperSize="9" scale="110" fitToWidth="1" fitToHeight="1" pageOrder="downThenOver" orientation="landscape" blackAndWhite="false" draft="false" cellComments="none" horizontalDpi="300" verticalDpi="300" copies="1"/>
  <headerFooter differentFirst="false" differentOddEven="false">
    <oddHeader>&amp;C&amp;"Times New Roman,Regular"&amp;12&amp;Kffffff&amp;A</oddHeader>
    <oddFooter>&amp;C&amp;"Times New Roman,Regular"&amp;12&amp;KffffffPage &amp;P</oddFooter>
  </headerFooter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W101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B9" activeCellId="0" sqref="B9"/>
    </sheetView>
  </sheetViews>
  <sheetFormatPr defaultColWidth="10.4921875" defaultRowHeight="12.8" zeroHeight="false" outlineLevelRow="0" outlineLevelCol="0"/>
  <sheetData>
    <row r="1" customFormat="false" ht="15.8" hidden="false" customHeight="false" outlineLevel="0" collapsed="false">
      <c r="A1" s="0" t="s">
        <v>300</v>
      </c>
    </row>
    <row r="2" customFormat="false" ht="40.6" hidden="false" customHeight="false" outlineLevel="0" collapsed="false">
      <c r="O2" s="97" t="s">
        <v>301</v>
      </c>
    </row>
    <row r="3" customFormat="false" ht="15.8" hidden="false" customHeight="false" outlineLevel="0" collapsed="false"/>
    <row r="4" customFormat="false" ht="40.6" hidden="false" customHeight="false" outlineLevel="0" collapsed="false">
      <c r="A4" s="5" t="s">
        <v>27</v>
      </c>
      <c r="O4" s="97" t="s">
        <v>87</v>
      </c>
    </row>
    <row r="5" customFormat="false" ht="15.8" hidden="false" customHeight="false" outlineLevel="0" collapsed="false">
      <c r="O5" s="31" t="n">
        <v>45798</v>
      </c>
    </row>
    <row r="6" customFormat="false" ht="15.8" hidden="false" customHeight="false" outlineLevel="0" collapsed="false">
      <c r="A6" s="0" t="s">
        <v>114</v>
      </c>
      <c r="B6" s="5"/>
      <c r="C6" s="5"/>
      <c r="D6" s="5"/>
      <c r="E6" s="5"/>
      <c r="F6" s="5"/>
      <c r="O6" s="0" t="s">
        <v>302</v>
      </c>
    </row>
    <row r="7" customFormat="false" ht="15.8" hidden="false" customHeight="false" outlineLevel="0" collapsed="false">
      <c r="B7" s="85" t="s">
        <v>40</v>
      </c>
      <c r="C7" s="85" t="s">
        <v>41</v>
      </c>
      <c r="D7" s="85" t="s">
        <v>42</v>
      </c>
      <c r="E7" s="85" t="s">
        <v>43</v>
      </c>
      <c r="F7" s="85" t="s">
        <v>44</v>
      </c>
      <c r="G7" s="85" t="s">
        <v>138</v>
      </c>
      <c r="H7" s="85" t="s">
        <v>139</v>
      </c>
      <c r="I7" s="85" t="s">
        <v>140</v>
      </c>
      <c r="J7" s="85" t="s">
        <v>141</v>
      </c>
      <c r="K7" s="85" t="s">
        <v>142</v>
      </c>
      <c r="M7" s="85"/>
    </row>
    <row r="8" customFormat="false" ht="15.8" hidden="false" customHeight="false" outlineLevel="0" collapsed="false">
      <c r="A8" s="80" t="s">
        <v>144</v>
      </c>
      <c r="B8" s="0" t="n">
        <v>4.870482</v>
      </c>
      <c r="C8" s="0" t="n">
        <v>5.166697</v>
      </c>
      <c r="D8" s="0" t="n">
        <v>5.120954</v>
      </c>
      <c r="E8" s="0" t="n">
        <v>5.213185</v>
      </c>
      <c r="F8" s="0" t="n">
        <v>5.138114</v>
      </c>
      <c r="G8" s="100" t="n">
        <v>25.517626</v>
      </c>
      <c r="H8" s="100" t="n">
        <f aca="false">AVERAGE(B$8:F$8)*5</f>
        <v>25.509432</v>
      </c>
      <c r="I8" s="101"/>
      <c r="K8" s="101"/>
    </row>
    <row r="9" customFormat="false" ht="15.8" hidden="false" customHeight="false" outlineLevel="0" collapsed="false">
      <c r="A9" s="105" t="s">
        <v>145</v>
      </c>
      <c r="B9" s="107" t="n">
        <v>29462</v>
      </c>
      <c r="C9" s="107" t="n">
        <v>30722</v>
      </c>
      <c r="D9" s="107" t="n">
        <v>30719</v>
      </c>
      <c r="E9" s="107" t="n">
        <v>31067</v>
      </c>
      <c r="F9" s="107" t="n">
        <v>30629</v>
      </c>
      <c r="G9" s="164" t="n">
        <f aca="false">AVERAGE(B9:F9)/AVERAGE(B$8:F$8)</f>
        <v>5982.06185069115</v>
      </c>
      <c r="H9" s="165" t="n">
        <f aca="false">G9*H$8</f>
        <v>152599</v>
      </c>
      <c r="I9" s="166" t="n">
        <f aca="false">STDEVP(B9:F9)/AVERAGE(B9:F9)</f>
        <v>0.0180113080363656</v>
      </c>
      <c r="J9" s="166" t="n">
        <f aca="false">IF(H9&gt;$A$43, $C$43, IF(H9&gt;$A$44, $C$44, IF(H9&gt;$A$45,$C$45,IF(H9&gt;$A$46,$C$46, IF(H9&gt;$A$47,$C$47,IF(H9&gt;$A$48,$C$48,$C$49))))))/100</f>
        <v>0.11</v>
      </c>
      <c r="K9" s="166" t="n">
        <f aca="false">(MAX(B9:F9)-MIN(B9:F9))/H9*5</f>
        <v>0.0525888111979764</v>
      </c>
      <c r="M9" s="37"/>
    </row>
    <row r="10" customFormat="false" ht="15.8" hidden="false" customHeight="false" outlineLevel="0" collapsed="false">
      <c r="A10" s="80" t="s">
        <v>146</v>
      </c>
      <c r="B10" s="0" t="n">
        <v>17681</v>
      </c>
      <c r="C10" s="0" t="n">
        <v>18493</v>
      </c>
      <c r="D10" s="0" t="n">
        <v>18556</v>
      </c>
      <c r="E10" s="0" t="n">
        <v>18788</v>
      </c>
      <c r="F10" s="0" t="n">
        <v>18326</v>
      </c>
      <c r="G10" s="15" t="n">
        <f aca="false">AVERAGE(B10:F10)/AVERAGE(B$8:F$8)</f>
        <v>3600.39376807763</v>
      </c>
      <c r="H10" s="103" t="n">
        <f aca="false">G10*H$8</f>
        <v>91844</v>
      </c>
      <c r="I10" s="101" t="n">
        <f aca="false">STDEVP(B10:F10)/AVERAGE(B10:F10)</f>
        <v>0.0203856152920813</v>
      </c>
      <c r="J10" s="101" t="n">
        <f aca="false">IF(H10&gt;$A$43, $C$43, IF(H10&gt;$A$44, $C$44, IF(H10&gt;$A$45,$C$45,IF(H10&gt;$A$46,$C$46, IF(H10&gt;$A$47,$C$47,IF(H10&gt;$A$48,$C$48,$C$49))))))/100</f>
        <v>0.11</v>
      </c>
      <c r="K10" s="101" t="n">
        <f aca="false">(MAX(B10:F10)-MIN(B10:F10))/H10*5</f>
        <v>0.0602652323505074</v>
      </c>
      <c r="M10" s="37"/>
    </row>
    <row r="11" customFormat="false" ht="15.8" hidden="false" customHeight="false" outlineLevel="0" collapsed="false">
      <c r="A11" s="80" t="s">
        <v>147</v>
      </c>
      <c r="B11" s="0" t="n">
        <v>9568</v>
      </c>
      <c r="C11" s="0" t="n">
        <v>9915</v>
      </c>
      <c r="D11" s="0" t="n">
        <v>9949</v>
      </c>
      <c r="E11" s="0" t="n">
        <v>9987</v>
      </c>
      <c r="F11" s="0" t="n">
        <v>9797</v>
      </c>
      <c r="G11" s="15" t="n">
        <f aca="false">AVERAGE(B11:F11)/AVERAGE(B$8:F$8)</f>
        <v>1929.32559219664</v>
      </c>
      <c r="H11" s="103" t="n">
        <f aca="false">G11*H$8</f>
        <v>49216</v>
      </c>
      <c r="I11" s="101" t="n">
        <f aca="false">STDEVP(B11:F11)/AVERAGE(B11:F11)</f>
        <v>0.0154004231899065</v>
      </c>
      <c r="J11" s="101" t="n">
        <f aca="false">IF(H11&gt;$A$43, $C$43, IF(H11&gt;$A$44, $C$44, IF(H11&gt;$A$45,$C$45,IF(H11&gt;$A$46,$C$46, IF(H11&gt;$A$47,$C$47,IF(H11&gt;$A$48,$C$48,$C$49))))))/100</f>
        <v>0.11</v>
      </c>
      <c r="K11" s="101" t="n">
        <f aca="false">(MAX(B11:F11)-MIN(B11:F11))/H11*5</f>
        <v>0.0425674577373212</v>
      </c>
      <c r="M11" s="37"/>
    </row>
    <row r="12" customFormat="false" ht="15.8" hidden="false" customHeight="false" outlineLevel="0" collapsed="false">
      <c r="A12" s="80" t="s">
        <v>148</v>
      </c>
      <c r="B12" s="0" t="n">
        <v>4731</v>
      </c>
      <c r="C12" s="0" t="n">
        <v>4974</v>
      </c>
      <c r="D12" s="0" t="n">
        <v>5007</v>
      </c>
      <c r="E12" s="0" t="n">
        <v>5047</v>
      </c>
      <c r="F12" s="0" t="n">
        <v>4927</v>
      </c>
      <c r="G12" s="15" t="n">
        <f aca="false">AVERAGE(B12:F12)/AVERAGE(B$8:F$8)</f>
        <v>967.720488641221</v>
      </c>
      <c r="H12" s="103" t="n">
        <f aca="false">G12*H$8</f>
        <v>24686</v>
      </c>
      <c r="I12" s="101" t="n">
        <f aca="false">STDEVP(B12:F12)/AVERAGE(B12:F12)</f>
        <v>0.0223542466351641</v>
      </c>
      <c r="J12" s="101" t="n">
        <f aca="false">IF(H12&gt;$A$43, $C$43, IF(H12&gt;$A$44, $C$44, IF(H12&gt;$A$45,$C$45,IF(H12&gt;$A$46,$C$46, IF(H12&gt;$A$47,$C$47,IF(H12&gt;$A$48,$C$48,$C$49))))))/100</f>
        <v>0.11</v>
      </c>
      <c r="K12" s="101" t="n">
        <f aca="false">(MAX(B12:F12)-MIN(B12:F12))/H12*5</f>
        <v>0.0640038888438791</v>
      </c>
      <c r="M12" s="37"/>
    </row>
    <row r="13" customFormat="false" ht="15.8" hidden="false" customHeight="false" outlineLevel="0" collapsed="false">
      <c r="A13" s="80" t="s">
        <v>149</v>
      </c>
      <c r="B13" s="0" t="n">
        <v>2535</v>
      </c>
      <c r="C13" s="0" t="n">
        <v>2591</v>
      </c>
      <c r="D13" s="0" t="n">
        <v>2546</v>
      </c>
      <c r="E13" s="0" t="n">
        <v>2596</v>
      </c>
      <c r="F13" s="0" t="n">
        <v>2562</v>
      </c>
      <c r="G13" s="15" t="n">
        <f aca="false">AVERAGE(B13:F13)/AVERAGE(B$8:F$8)</f>
        <v>502.951222120508</v>
      </c>
      <c r="H13" s="103" t="n">
        <f aca="false">G13*H$8</f>
        <v>12830</v>
      </c>
      <c r="I13" s="101" t="n">
        <f aca="false">STDEVP(B13:F13)/AVERAGE(B13:F13)</f>
        <v>0.00938873432355607</v>
      </c>
      <c r="J13" s="101" t="n">
        <f aca="false">IF(H13&gt;$A$43, $C$43, IF(H13&gt;$A$44, $C$44, IF(H13&gt;$A$45,$C$45,IF(H13&gt;$A$46,$C$46, IF(H13&gt;$A$47,$C$47,IF(H13&gt;$A$48,$C$48,$C$49))))))/100</f>
        <v>0.11</v>
      </c>
      <c r="K13" s="101" t="n">
        <f aca="false">(MAX(B13:F13)-MIN(B13:F13))/H13*5</f>
        <v>0.0237724084177708</v>
      </c>
      <c r="M13" s="37"/>
    </row>
    <row r="14" customFormat="false" ht="15.8" hidden="false" customHeight="false" outlineLevel="0" collapsed="false">
      <c r="A14" s="110" t="s">
        <v>150</v>
      </c>
      <c r="B14" s="115" t="n">
        <v>1205</v>
      </c>
      <c r="C14" s="115" t="n">
        <v>1256</v>
      </c>
      <c r="D14" s="115" t="n">
        <v>1151</v>
      </c>
      <c r="E14" s="115" t="n">
        <v>1220</v>
      </c>
      <c r="F14" s="115" t="n">
        <v>1213</v>
      </c>
      <c r="G14" s="167" t="n">
        <f aca="false">AVERAGE(B14:F14)/AVERAGE(B$8:F$8)</f>
        <v>236.971172074706</v>
      </c>
      <c r="H14" s="168" t="n">
        <f aca="false">G14*H$8</f>
        <v>6045</v>
      </c>
      <c r="I14" s="169" t="n">
        <f aca="false">STDEVP(B14:F14)/AVERAGE(B14:F14)</f>
        <v>0.0279907392663029</v>
      </c>
      <c r="J14" s="169" t="n">
        <f aca="false">IF(H14&gt;$A$43, $C$43, IF(H14&gt;$A$44, $C$44, IF(H14&gt;$A$45,$C$45,IF(H14&gt;$A$46,$C$46, IF(H14&gt;$A$47,$C$47,IF(H14&gt;$A$48,$C$48,$C$49))))))/100</f>
        <v>0.113</v>
      </c>
      <c r="K14" s="169" t="n">
        <f aca="false">(MAX(B14:F14)-MIN(B14:F14))/H14*5</f>
        <v>0.086848635235732</v>
      </c>
      <c r="M14" s="37"/>
    </row>
    <row r="15" customFormat="false" ht="15.8" hidden="false" customHeight="false" outlineLevel="0" collapsed="false">
      <c r="A15" s="80" t="s">
        <v>151</v>
      </c>
      <c r="B15" s="0" t="n">
        <v>583</v>
      </c>
      <c r="C15" s="0" t="n">
        <v>596</v>
      </c>
      <c r="D15" s="0" t="n">
        <v>564</v>
      </c>
      <c r="E15" s="0" t="n">
        <v>560</v>
      </c>
      <c r="F15" s="0" t="n">
        <v>542</v>
      </c>
      <c r="G15" s="15" t="n">
        <f aca="false">AVERAGE(B15:F15)/AVERAGE(B$8:F$8)</f>
        <v>111.527375442934</v>
      </c>
      <c r="H15" s="103" t="n">
        <f aca="false">G15*H$8</f>
        <v>2845</v>
      </c>
      <c r="I15" s="101" t="n">
        <f aca="false">STDEVP(B15:F15)/AVERAGE(B15:F15)</f>
        <v>0.0329730457632579</v>
      </c>
      <c r="J15" s="101" t="n">
        <f aca="false">IF(H15&gt;$A$43, $C$43, IF(H15&gt;$A$44, $C$44, IF(H15&gt;$A$45,$C$45,IF(H15&gt;$A$46,$C$46, IF(H15&gt;$A$47,$C$47,IF(H15&gt;$A$48,$C$48,$C$49))))))/100</f>
        <v>0.119</v>
      </c>
      <c r="K15" s="101" t="n">
        <f aca="false">(MAX(B15:F15)-MIN(B15:F15))/H15*5</f>
        <v>0.0949033391915641</v>
      </c>
      <c r="M15" s="37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</row>
    <row r="16" customFormat="false" ht="15.8" hidden="false" customHeight="false" outlineLevel="0" collapsed="false">
      <c r="A16" s="80" t="s">
        <v>152</v>
      </c>
      <c r="B16" s="0" t="n">
        <v>264</v>
      </c>
      <c r="C16" s="0" t="n">
        <v>288</v>
      </c>
      <c r="D16" s="0" t="n">
        <v>275</v>
      </c>
      <c r="E16" s="0" t="n">
        <v>277</v>
      </c>
      <c r="F16" s="0" t="n">
        <v>262</v>
      </c>
      <c r="G16" s="15" t="n">
        <f aca="false">AVERAGE(B16:F16)/AVERAGE(B$8:F$8)</f>
        <v>53.5488206871874</v>
      </c>
      <c r="H16" s="103" t="n">
        <f aca="false">G16*H$8</f>
        <v>1366</v>
      </c>
      <c r="I16" s="101" t="n">
        <f aca="false">STDEVP(B16:F16)/AVERAGE(B16:F16)</f>
        <v>0.0346011780324933</v>
      </c>
      <c r="J16" s="101" t="n">
        <f aca="false">IF(H16&gt;$A$43, $C$43, IF(H16&gt;$A$44, $C$44, IF(H16&gt;$A$45,$C$45,IF(H16&gt;$A$46,$C$46, IF(H16&gt;$A$47,$C$47,IF(H16&gt;$A$48,$C$48,$C$49))))))/100</f>
        <v>0.134</v>
      </c>
      <c r="K16" s="101" t="n">
        <f aca="false">(MAX(B16:F16)-MIN(B16:F16))/H16*5</f>
        <v>0.0951683748169839</v>
      </c>
      <c r="M16" s="37"/>
      <c r="P16" s="5"/>
      <c r="Q16" s="5"/>
      <c r="R16" s="80"/>
      <c r="S16" s="80"/>
      <c r="T16" s="80"/>
      <c r="U16" s="80"/>
      <c r="V16" s="80"/>
      <c r="W16" s="80"/>
      <c r="X16" s="80"/>
      <c r="Y16" s="80"/>
      <c r="Z16" s="80"/>
      <c r="AA16" s="80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</row>
    <row r="17" customFormat="false" ht="15.8" hidden="false" customHeight="false" outlineLevel="0" collapsed="false">
      <c r="A17" s="80" t="s">
        <v>153</v>
      </c>
      <c r="B17" s="0" t="n">
        <v>143</v>
      </c>
      <c r="C17" s="0" t="n">
        <v>152</v>
      </c>
      <c r="D17" s="0" t="n">
        <v>149</v>
      </c>
      <c r="E17" s="0" t="n">
        <v>163</v>
      </c>
      <c r="F17" s="0" t="n">
        <v>161</v>
      </c>
      <c r="G17" s="15" t="n">
        <f aca="false">AVERAGE(B17:F17)/AVERAGE(B$8:F$8)</f>
        <v>30.1065111916251</v>
      </c>
      <c r="H17" s="103" t="n">
        <f aca="false">G17*H$8</f>
        <v>768</v>
      </c>
      <c r="I17" s="101" t="n">
        <f aca="false">STDEVP(B17:F17)/AVERAGE(B17:F17)</f>
        <v>0.0486498481569516</v>
      </c>
      <c r="J17" s="101" t="n">
        <f aca="false">IF(H17&gt;$A$43, $C$43, IF(H17&gt;$A$44, $C$44, IF(H17&gt;$A$45,$C$45,IF(H17&gt;$A$46,$C$46, IF(H17&gt;$A$47,$C$47,IF(H17&gt;$A$48,$C$48,$C$49))))))/100</f>
        <v>0.156</v>
      </c>
      <c r="K17" s="101" t="n">
        <f aca="false">(MAX(B17:F17)-MIN(B17:F17))/H17*5</f>
        <v>0.130208333333333</v>
      </c>
      <c r="M17" s="37"/>
      <c r="P17" s="5"/>
      <c r="Q17" s="5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</row>
    <row r="18" customFormat="false" ht="15.8" hidden="false" customHeight="false" outlineLevel="0" collapsed="false">
      <c r="A18" s="80" t="s">
        <v>154</v>
      </c>
      <c r="B18" s="0" t="n">
        <v>98</v>
      </c>
      <c r="C18" s="0" t="n">
        <v>102</v>
      </c>
      <c r="D18" s="0" t="n">
        <v>91</v>
      </c>
      <c r="E18" s="0" t="n">
        <v>99</v>
      </c>
      <c r="F18" s="0" t="n">
        <v>107</v>
      </c>
      <c r="G18" s="15" t="n">
        <f aca="false">AVERAGE(B18:F18)/AVERAGE(B$8:F$8)</f>
        <v>19.482989664372</v>
      </c>
      <c r="H18" s="103" t="n">
        <f aca="false">G18*H$8</f>
        <v>497</v>
      </c>
      <c r="I18" s="101" t="n">
        <f aca="false">STDEVP(B18:F18)/AVERAGE(B18:F18)</f>
        <v>0.0526993998137175</v>
      </c>
      <c r="J18" s="101" t="n">
        <f aca="false">IF(H18&gt;$A$43, $C$43, IF(H18&gt;$A$44, $C$44, IF(H18&gt;$A$45,$C$45,IF(H18&gt;$A$46,$C$46, IF(H18&gt;$A$47,$C$47,IF(H18&gt;$A$48,$C$48,$C$49))))))/100</f>
        <v>0.193</v>
      </c>
      <c r="K18" s="101" t="n">
        <f aca="false">(MAX(B18:F18)-MIN(B18:F18))/H18*5</f>
        <v>0.160965794768612</v>
      </c>
      <c r="M18" s="37"/>
      <c r="P18" s="5"/>
      <c r="Q18" s="5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</row>
    <row r="19" customFormat="false" ht="15.8" hidden="false" customHeight="false" outlineLevel="0" collapsed="false">
      <c r="A19" s="80" t="s">
        <v>155</v>
      </c>
      <c r="B19" s="0" t="n">
        <v>71</v>
      </c>
      <c r="C19" s="0" t="n">
        <v>60</v>
      </c>
      <c r="D19" s="0" t="n">
        <v>57</v>
      </c>
      <c r="E19" s="0" t="n">
        <v>70</v>
      </c>
      <c r="F19" s="0" t="n">
        <v>67</v>
      </c>
      <c r="G19" s="15" t="n">
        <f aca="false">AVERAGE(B19:F19)/AVERAGE(B$8:F$8)</f>
        <v>12.7403855954143</v>
      </c>
      <c r="H19" s="103" t="n">
        <f aca="false">G19*H$8</f>
        <v>325</v>
      </c>
      <c r="I19" s="101" t="n">
        <f aca="false">STDEVP(B19:F19)/AVERAGE(B19:F19)</f>
        <v>0.0853811503108407</v>
      </c>
      <c r="J19" s="101" t="n">
        <f aca="false">IF(H19&gt;$A$43, $C$43, IF(H19&gt;$A$44, $C$44, IF(H19&gt;$A$45,$C$45,IF(H19&gt;$A$46,$C$46, IF(H19&gt;$A$47,$C$47,IF(H19&gt;$A$48,$C$48,$C$49))))))/100</f>
        <v>0.193</v>
      </c>
      <c r="K19" s="101" t="n">
        <f aca="false">(MAX(B19:F19)-MIN(B19:F19))/H19*5</f>
        <v>0.215384615384615</v>
      </c>
      <c r="M19" s="37"/>
      <c r="P19" s="5"/>
      <c r="Q19" s="5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</row>
    <row r="20" customFormat="false" ht="15.8" hidden="false" customHeight="false" outlineLevel="0" collapsed="false">
      <c r="A20" s="80" t="s">
        <v>156</v>
      </c>
      <c r="B20" s="0" t="n">
        <v>51</v>
      </c>
      <c r="C20" s="0" t="n">
        <v>46</v>
      </c>
      <c r="D20" s="0" t="n">
        <v>43</v>
      </c>
      <c r="E20" s="0" t="n">
        <v>48</v>
      </c>
      <c r="F20" s="0" t="n">
        <v>47</v>
      </c>
      <c r="G20" s="15" t="n">
        <f aca="false">AVERAGE(B20:F20)/AVERAGE(B$8:F$8)</f>
        <v>9.21227881514571</v>
      </c>
      <c r="H20" s="103" t="n">
        <f aca="false">G20*H$8</f>
        <v>235</v>
      </c>
      <c r="I20" s="101" t="n">
        <f aca="false">STDEVP(B20:F20)/AVERAGE(B20:F20)</f>
        <v>0.0554825736612991</v>
      </c>
      <c r="J20" s="101" t="n">
        <f aca="false">IF(H20&gt;$A$43, $C$43, IF(H20&gt;$A$44, $C$44, IF(H20&gt;$A$45,$C$45,IF(H20&gt;$A$46,$C$46, IF(H20&gt;$A$47,$C$47,IF(H20&gt;$A$48,$C$48,$C$49))))))/100</f>
        <v>0.193</v>
      </c>
      <c r="K20" s="101" t="n">
        <f aca="false">(MAX(B20:F20)-MIN(B20:F20))/H20*5</f>
        <v>0.170212765957447</v>
      </c>
      <c r="M20" s="37"/>
      <c r="P20" s="5"/>
      <c r="Q20" s="5"/>
      <c r="R20" s="80"/>
      <c r="S20" s="80"/>
      <c r="T20" s="80"/>
      <c r="U20" s="80"/>
      <c r="V20" s="80"/>
      <c r="W20" s="80"/>
      <c r="X20" s="80"/>
      <c r="Y20" s="80"/>
      <c r="Z20" s="80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</row>
    <row r="21" customFormat="false" ht="15.8" hidden="false" customHeight="false" outlineLevel="0" collapsed="false">
      <c r="A21" s="80" t="s">
        <v>157</v>
      </c>
      <c r="B21" s="0" t="n">
        <v>37</v>
      </c>
      <c r="C21" s="0" t="n">
        <v>35</v>
      </c>
      <c r="D21" s="0" t="n">
        <v>29</v>
      </c>
      <c r="E21" s="0" t="n">
        <v>38</v>
      </c>
      <c r="F21" s="0" t="n">
        <v>37</v>
      </c>
      <c r="G21" s="15" t="n">
        <f aca="false">AVERAGE(B21:F21)/AVERAGE(B$8:F$8)</f>
        <v>6.89940881474742</v>
      </c>
      <c r="H21" s="103" t="n">
        <f aca="false">G21*H$8</f>
        <v>176</v>
      </c>
      <c r="I21" s="101" t="n">
        <f aca="false">STDEVP(B21:F21)/AVERAGE(B21:F21)</f>
        <v>0.0923186182344995</v>
      </c>
      <c r="J21" s="101" t="n">
        <f aca="false">IF(H21&gt;$A$43, $C$43, IF(H21&gt;$A$44, $C$44, IF(H21&gt;$A$45,$C$45,IF(H21&gt;$A$46,$C$46, IF(H21&gt;$A$47,$C$47,IF(H21&gt;$A$48,$C$48,$C$49))))))/100</f>
        <v>0.275</v>
      </c>
      <c r="K21" s="101" t="n">
        <f aca="false">(MAX(B21:F21)-MIN(B21:F21))/H21*5</f>
        <v>0.255681818181818</v>
      </c>
      <c r="M21" s="37"/>
      <c r="O21" s="5"/>
      <c r="R21" s="85"/>
      <c r="S21" s="85"/>
      <c r="T21" s="80"/>
      <c r="U21" s="80"/>
      <c r="V21" s="80"/>
      <c r="W21" s="80"/>
      <c r="X21" s="80"/>
      <c r="Y21" s="80"/>
      <c r="Z21" s="80"/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</row>
    <row r="22" customFormat="false" ht="15.8" hidden="false" customHeight="false" outlineLevel="0" collapsed="false">
      <c r="A22" s="80" t="s">
        <v>158</v>
      </c>
      <c r="B22" s="0" t="n">
        <v>32</v>
      </c>
      <c r="C22" s="0" t="n">
        <v>28</v>
      </c>
      <c r="D22" s="0" t="n">
        <v>27</v>
      </c>
      <c r="E22" s="0" t="n">
        <v>33</v>
      </c>
      <c r="F22" s="0" t="n">
        <v>30</v>
      </c>
      <c r="G22" s="15" t="n">
        <f aca="false">AVERAGE(B22:F22)/AVERAGE(B$8:F$8)</f>
        <v>5.88017796711428</v>
      </c>
      <c r="H22" s="103" t="n">
        <f aca="false">G22*H$8</f>
        <v>150</v>
      </c>
      <c r="I22" s="101" t="n">
        <f aca="false">STDEVP(B22:F22)/AVERAGE(B22:F22)</f>
        <v>0.0760116950066092</v>
      </c>
      <c r="J22" s="101" t="n">
        <f aca="false">IF(H22&gt;$A$43, $C$43, IF(H22&gt;$A$44, $C$44, IF(H22&gt;$A$45,$C$45,IF(H22&gt;$A$46,$C$46, IF(H22&gt;$A$47,$C$47,IF(H22&gt;$A$48,$C$48,$C$49))))))/100</f>
        <v>0.275</v>
      </c>
      <c r="K22" s="101" t="n">
        <f aca="false">(MAX(B22:F22)-MIN(B22:F22))/H22*5</f>
        <v>0.2</v>
      </c>
      <c r="M22" s="37"/>
      <c r="O22" s="85"/>
      <c r="P22" s="80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</row>
    <row r="23" customFormat="false" ht="15.8" hidden="false" customHeight="false" outlineLevel="0" collapsed="false">
      <c r="A23" s="80" t="s">
        <v>159</v>
      </c>
      <c r="B23" s="0" t="n">
        <v>25</v>
      </c>
      <c r="C23" s="0" t="n">
        <v>25</v>
      </c>
      <c r="D23" s="0" t="n">
        <v>22</v>
      </c>
      <c r="E23" s="0" t="n">
        <v>30</v>
      </c>
      <c r="F23" s="0" t="n">
        <v>27</v>
      </c>
      <c r="G23" s="15" t="n">
        <f aca="false">AVERAGE(B23:F23)/AVERAGE(B$8:F$8)</f>
        <v>5.05695305171828</v>
      </c>
      <c r="H23" s="103" t="n">
        <f aca="false">G23*H$8</f>
        <v>129</v>
      </c>
      <c r="I23" s="101" t="n">
        <f aca="false">STDEVP(B23:F23)/AVERAGE(B23:F23)</f>
        <v>0.102255084947852</v>
      </c>
      <c r="J23" s="101" t="n">
        <f aca="false">IF(H23&gt;$A$43, $C$43, IF(H23&gt;$A$44, $C$44, IF(H23&gt;$A$45,$C$45,IF(H23&gt;$A$46,$C$46, IF(H23&gt;$A$47,$C$47,IF(H23&gt;$A$48,$C$48,$C$49))))))/100</f>
        <v>0.275</v>
      </c>
      <c r="K23" s="101" t="n">
        <f aca="false">(MAX(B23:F23)-MIN(B23:F23))/H23*5</f>
        <v>0.310077519379845</v>
      </c>
      <c r="M23" s="37"/>
      <c r="O23" s="85"/>
      <c r="T23" s="79"/>
      <c r="U23" s="79"/>
      <c r="V23" s="79"/>
      <c r="W23" s="79"/>
      <c r="X23" s="79"/>
      <c r="Y23" s="79"/>
      <c r="Z23" s="79"/>
      <c r="AA23" s="79"/>
      <c r="AB23" s="79"/>
      <c r="AC23" s="79"/>
      <c r="AD23" s="79"/>
      <c r="AE23" s="79"/>
      <c r="AF23" s="79"/>
      <c r="AG23" s="79"/>
      <c r="AH23" s="79"/>
      <c r="AI23" s="79"/>
      <c r="AJ23" s="79"/>
      <c r="AK23" s="79"/>
      <c r="AL23" s="79"/>
      <c r="AM23" s="79"/>
      <c r="AN23" s="79"/>
      <c r="AO23" s="79"/>
      <c r="AP23" s="79"/>
      <c r="AQ23" s="79"/>
      <c r="AR23" s="79"/>
      <c r="AS23" s="79"/>
      <c r="AT23" s="79"/>
      <c r="AU23" s="79"/>
      <c r="AV23" s="79"/>
      <c r="AW23" s="79"/>
    </row>
    <row r="24" customFormat="false" ht="15.8" hidden="false" customHeight="false" outlineLevel="0" collapsed="false">
      <c r="A24" s="80" t="s">
        <v>160</v>
      </c>
      <c r="B24" s="0" t="n">
        <v>21</v>
      </c>
      <c r="C24" s="0" t="n">
        <v>22</v>
      </c>
      <c r="D24" s="0" t="n">
        <v>19</v>
      </c>
      <c r="E24" s="0" t="n">
        <v>24</v>
      </c>
      <c r="F24" s="0" t="n">
        <v>23</v>
      </c>
      <c r="G24" s="15" t="n">
        <f aca="false">AVERAGE(B24:F24)/AVERAGE(B$8:F$8)</f>
        <v>4.27292932276971</v>
      </c>
      <c r="H24" s="103" t="n">
        <f aca="false">G24*H$8</f>
        <v>109</v>
      </c>
      <c r="I24" s="101" t="n">
        <f aca="false">STDEVP(B24:F24)/AVERAGE(B24:F24)</f>
        <v>0.0789204152939691</v>
      </c>
      <c r="J24" s="101" t="n">
        <f aca="false">IF(H24&gt;$A$43, $C$43, IF(H24&gt;$A$44, $C$44, IF(H24&gt;$A$45,$C$45,IF(H24&gt;$A$46,$C$46, IF(H24&gt;$A$47,$C$47,IF(H24&gt;$A$48,$C$48,$C$49))))))/100</f>
        <v>0.275</v>
      </c>
      <c r="K24" s="101" t="n">
        <f aca="false">(MAX(B24:F24)-MIN(B24:F24))/H24*5</f>
        <v>0.229357798165138</v>
      </c>
      <c r="M24" s="37"/>
      <c r="O24" s="85"/>
      <c r="T24" s="101"/>
      <c r="U24" s="101"/>
      <c r="V24" s="101"/>
      <c r="W24" s="101"/>
      <c r="X24" s="101"/>
      <c r="Y24" s="101"/>
      <c r="Z24" s="101"/>
      <c r="AA24" s="101"/>
      <c r="AB24" s="101"/>
      <c r="AC24" s="101"/>
      <c r="AD24" s="101"/>
      <c r="AE24" s="101"/>
      <c r="AF24" s="101"/>
      <c r="AG24" s="101"/>
      <c r="AH24" s="101"/>
      <c r="AI24" s="101"/>
      <c r="AJ24" s="101"/>
      <c r="AK24" s="101"/>
      <c r="AL24" s="101"/>
      <c r="AM24" s="101"/>
      <c r="AN24" s="101"/>
      <c r="AO24" s="101"/>
      <c r="AP24" s="101"/>
      <c r="AQ24" s="101"/>
      <c r="AR24" s="101"/>
      <c r="AS24" s="101"/>
      <c r="AT24" s="101"/>
      <c r="AU24" s="101"/>
      <c r="AV24" s="101"/>
      <c r="AW24" s="101"/>
    </row>
    <row r="25" customFormat="false" ht="15.8" hidden="false" customHeight="false" outlineLevel="0" collapsed="false">
      <c r="A25" s="80" t="s">
        <v>161</v>
      </c>
      <c r="B25" s="0" t="n">
        <v>19</v>
      </c>
      <c r="C25" s="0" t="n">
        <v>20</v>
      </c>
      <c r="D25" s="0" t="n">
        <v>14</v>
      </c>
      <c r="E25" s="0" t="n">
        <v>19</v>
      </c>
      <c r="F25" s="0" t="n">
        <v>19</v>
      </c>
      <c r="G25" s="15" t="n">
        <f aca="false">AVERAGE(B25:F25)/AVERAGE(B$8:F$8)</f>
        <v>3.567307966716</v>
      </c>
      <c r="H25" s="103" t="n">
        <f aca="false">G25*H$8</f>
        <v>91</v>
      </c>
      <c r="I25" s="101" t="n">
        <f aca="false">STDEVP(B25:F25)/AVERAGE(B25:F25)</f>
        <v>0.117330530242102</v>
      </c>
      <c r="J25" s="101" t="n">
        <f aca="false">IF(H25&gt;$A$43, $C$43, IF(H25&gt;$A$44, $C$44, IF(H25&gt;$A$45,$C$45,IF(H25&gt;$A$46,$C$46, IF(H25&gt;$A$47,$C$47,IF(H25&gt;$A$48,$C$48,$C$49))))))/100</f>
        <v>0.275</v>
      </c>
      <c r="K25" s="101" t="n">
        <f aca="false">(MAX(B25:F25)-MIN(B25:F25))/H25*5</f>
        <v>0.32967032967033</v>
      </c>
      <c r="M25" s="37"/>
      <c r="O25" s="85"/>
      <c r="T25" s="79"/>
      <c r="U25" s="79"/>
      <c r="V25" s="79"/>
      <c r="W25" s="79"/>
      <c r="X25" s="79"/>
      <c r="Y25" s="79"/>
      <c r="Z25" s="79"/>
      <c r="AA25" s="79"/>
      <c r="AB25" s="79"/>
      <c r="AC25" s="79"/>
      <c r="AD25" s="79"/>
      <c r="AE25" s="79"/>
      <c r="AF25" s="79"/>
      <c r="AG25" s="79"/>
      <c r="AH25" s="79"/>
      <c r="AI25" s="79"/>
      <c r="AJ25" s="79"/>
      <c r="AK25" s="79"/>
      <c r="AL25" s="79"/>
      <c r="AM25" s="79"/>
      <c r="AN25" s="79"/>
      <c r="AO25" s="79"/>
      <c r="AP25" s="79"/>
      <c r="AQ25" s="79"/>
      <c r="AR25" s="79"/>
      <c r="AS25" s="79"/>
      <c r="AT25" s="79"/>
      <c r="AU25" s="79"/>
      <c r="AV25" s="79"/>
      <c r="AW25" s="79"/>
    </row>
    <row r="26" customFormat="false" ht="15.8" hidden="false" customHeight="false" outlineLevel="0" collapsed="false">
      <c r="A26" s="80" t="s">
        <v>162</v>
      </c>
      <c r="B26" s="0" t="n">
        <v>16</v>
      </c>
      <c r="C26" s="0" t="n">
        <v>15</v>
      </c>
      <c r="D26" s="0" t="n">
        <v>12</v>
      </c>
      <c r="E26" s="0" t="n">
        <v>15</v>
      </c>
      <c r="F26" s="0" t="n">
        <v>14</v>
      </c>
      <c r="G26" s="15" t="n">
        <f aca="false">AVERAGE(B26:F26)/AVERAGE(B$8:F$8)</f>
        <v>2.82248542421486</v>
      </c>
      <c r="H26" s="103" t="n">
        <f aca="false">G26*H$8</f>
        <v>72</v>
      </c>
      <c r="I26" s="101" t="n">
        <f aca="false">STDEVP(B26:F26)/AVERAGE(B26:F26)</f>
        <v>0.0941990275434065</v>
      </c>
      <c r="J26" s="101" t="n">
        <f aca="false">IF(H26&gt;$A$43, $C$43, IF(H26&gt;$A$44, $C$44, IF(H26&gt;$A$45,$C$45,IF(H26&gt;$A$46,$C$46, IF(H26&gt;$A$47,$C$47,IF(H26&gt;$A$48,$C$48,$C$49))))))/100</f>
        <v>0.275</v>
      </c>
      <c r="K26" s="101" t="n">
        <f aca="false">(MAX(B26:F26)-MIN(B26:F26))/H26*5</f>
        <v>0.277777777777778</v>
      </c>
      <c r="M26" s="37"/>
    </row>
    <row r="27" customFormat="false" ht="15.8" hidden="false" customHeight="false" outlineLevel="0" collapsed="false">
      <c r="A27" s="80" t="s">
        <v>163</v>
      </c>
      <c r="B27" s="0" t="n">
        <v>14</v>
      </c>
      <c r="C27" s="0" t="n">
        <v>14</v>
      </c>
      <c r="D27" s="0" t="n">
        <v>10</v>
      </c>
      <c r="E27" s="0" t="n">
        <v>12</v>
      </c>
      <c r="F27" s="0" t="n">
        <v>12</v>
      </c>
      <c r="G27" s="15" t="n">
        <f aca="false">AVERAGE(B27:F27)/AVERAGE(B$8:F$8)</f>
        <v>2.43047355974057</v>
      </c>
      <c r="H27" s="103" t="n">
        <f aca="false">G27*H$8</f>
        <v>62</v>
      </c>
      <c r="I27" s="101" t="n">
        <f aca="false">STDEVP(B27:F27)/AVERAGE(B27:F27)</f>
        <v>0.120698625379805</v>
      </c>
      <c r="J27" s="101" t="n">
        <f aca="false">IF(H27&gt;$A$43, $C$43, IF(H27&gt;$A$44, $C$44, IF(H27&gt;$A$45,$C$45,IF(H27&gt;$A$46,$C$46, IF(H27&gt;$A$47,$C$47,IF(H27&gt;$A$48,$C$48,$C$49))))))/100</f>
        <v>0.275</v>
      </c>
      <c r="K27" s="101" t="n">
        <f aca="false">(MAX(B27:F27)-MIN(B27:F27))/H27*5</f>
        <v>0.32258064516129</v>
      </c>
      <c r="M27" s="37"/>
    </row>
    <row r="28" customFormat="false" ht="15.8" hidden="false" customHeight="false" outlineLevel="0" collapsed="false">
      <c r="A28" s="80" t="s">
        <v>164</v>
      </c>
      <c r="B28" s="0" t="n">
        <v>13</v>
      </c>
      <c r="C28" s="0" t="n">
        <v>12</v>
      </c>
      <c r="D28" s="0" t="n">
        <v>10</v>
      </c>
      <c r="E28" s="0" t="n">
        <v>11</v>
      </c>
      <c r="F28" s="0" t="n">
        <v>9</v>
      </c>
      <c r="G28" s="15" t="n">
        <f aca="false">AVERAGE(B28:F28)/AVERAGE(B$8:F$8)</f>
        <v>2.15606525460857</v>
      </c>
      <c r="H28" s="103" t="n">
        <f aca="false">G28*H$8</f>
        <v>55</v>
      </c>
      <c r="I28" s="101" t="n">
        <f aca="false">STDEVP(B28:F28)/AVERAGE(B28:F28)</f>
        <v>0.128564869306645</v>
      </c>
      <c r="J28" s="101" t="n">
        <f aca="false">IF(H28&gt;$A$43, $C$43, IF(H28&gt;$A$44, $C$44, IF(H28&gt;$A$45,$C$45,IF(H28&gt;$A$46,$C$46, IF(H28&gt;$A$47,$C$47,IF(H28&gt;$A$48,$C$48,$C$49))))))/100</f>
        <v>0.275</v>
      </c>
      <c r="K28" s="101" t="n">
        <f aca="false">(MAX(B28:F28)-MIN(B28:F28))/H28*5</f>
        <v>0.363636363636364</v>
      </c>
      <c r="M28" s="37"/>
    </row>
    <row r="29" customFormat="false" ht="15.8" hidden="false" customHeight="false" outlineLevel="0" collapsed="false">
      <c r="A29" s="80" t="s">
        <v>165</v>
      </c>
      <c r="B29" s="0" t="n">
        <v>13</v>
      </c>
      <c r="C29" s="0" t="n">
        <v>10</v>
      </c>
      <c r="D29" s="0" t="n">
        <v>8</v>
      </c>
      <c r="E29" s="0" t="n">
        <v>9</v>
      </c>
      <c r="F29" s="0" t="n">
        <v>9</v>
      </c>
      <c r="G29" s="15" t="n">
        <f aca="false">AVERAGE(B29:F29)/AVERAGE(B$8:F$8)</f>
        <v>1.920858135924</v>
      </c>
      <c r="H29" s="103" t="n">
        <f aca="false">G29*H$8</f>
        <v>49</v>
      </c>
      <c r="I29" s="101" t="n">
        <f aca="false">STDEVP(B29:F29)/AVERAGE(B29:F29)</f>
        <v>0.175557658511074</v>
      </c>
      <c r="J29" s="101" t="n">
        <f aca="false">IF(H29&gt;$A$43, $C$43, IF(H29&gt;$A$44, $C$44, IF(H29&gt;$A$45,$C$45,IF(H29&gt;$A$46,$C$46, IF(H29&gt;$A$47,$C$47,IF(H29&gt;$A$48,$C$48,$C$49))))))/100</f>
        <v>0.275</v>
      </c>
      <c r="K29" s="101" t="n">
        <f aca="false">(MAX(B29:F29)-MIN(B29:F29))/H29*5</f>
        <v>0.510204081632653</v>
      </c>
      <c r="M29" s="37"/>
    </row>
    <row r="30" customFormat="false" ht="15.8" hidden="false" customHeight="false" outlineLevel="0" collapsed="false">
      <c r="A30" s="80" t="s">
        <v>166</v>
      </c>
      <c r="B30" s="0" t="n">
        <v>12</v>
      </c>
      <c r="C30" s="0" t="n">
        <v>7</v>
      </c>
      <c r="D30" s="0" t="n">
        <v>8</v>
      </c>
      <c r="E30" s="0" t="n">
        <v>9</v>
      </c>
      <c r="F30" s="0" t="n">
        <v>7</v>
      </c>
      <c r="G30" s="15" t="n">
        <f aca="false">AVERAGE(B30:F30)/AVERAGE(B$8:F$8)</f>
        <v>1.68565101723943</v>
      </c>
      <c r="H30" s="103" t="n">
        <f aca="false">G30*H$8</f>
        <v>43</v>
      </c>
      <c r="I30" s="101" t="n">
        <f aca="false">STDEVP(B30:F30)/AVERAGE(B30:F30)</f>
        <v>0.215665546406877</v>
      </c>
      <c r="J30" s="101" t="n">
        <f aca="false">IF(H30&gt;$A$43, $C$43, IF(H30&gt;$A$44, $C$44, IF(H30&gt;$A$45,$C$45,IF(H30&gt;$A$46,$C$46, IF(H30&gt;$A$47,$C$47,IF(H30&gt;$A$48,$C$48,$C$49))))))/100</f>
        <v>0.275</v>
      </c>
      <c r="K30" s="101" t="n">
        <f aca="false">(MAX(B30:F30)-MIN(B30:F30))/H30*5</f>
        <v>0.581395348837209</v>
      </c>
      <c r="M30" s="37"/>
    </row>
    <row r="31" customFormat="false" ht="15.8" hidden="false" customHeight="false" outlineLevel="0" collapsed="false">
      <c r="A31" s="80" t="s">
        <v>167</v>
      </c>
      <c r="B31" s="0" t="n">
        <v>12</v>
      </c>
      <c r="C31" s="0" t="n">
        <v>6</v>
      </c>
      <c r="D31" s="0" t="n">
        <v>7</v>
      </c>
      <c r="E31" s="0" t="n">
        <v>8</v>
      </c>
      <c r="F31" s="0" t="n">
        <v>7</v>
      </c>
      <c r="G31" s="15" t="n">
        <f aca="false">AVERAGE(B31:F31)/AVERAGE(B$8:F$8)</f>
        <v>1.56804745789714</v>
      </c>
      <c r="H31" s="103" t="n">
        <f aca="false">G31*H$8</f>
        <v>40</v>
      </c>
      <c r="I31" s="101" t="n">
        <f aca="false">STDEVP(B31:F31)/AVERAGE(B31:F31)</f>
        <v>0.262202212042538</v>
      </c>
      <c r="J31" s="101" t="n">
        <f aca="false">IF(H31&gt;$A$43, $C$43, IF(H31&gt;$A$44, $C$44, IF(H31&gt;$A$45,$C$45,IF(H31&gt;$A$46,$C$46, IF(H31&gt;$A$47,$C$47,IF(H31&gt;$A$48,$C$48,$C$49))))))/100</f>
        <v>0.275</v>
      </c>
      <c r="K31" s="101" t="n">
        <f aca="false">(MAX(B31:F31)-MIN(B31:F31))/H31*5</f>
        <v>0.75</v>
      </c>
      <c r="M31" s="37"/>
    </row>
    <row r="32" customFormat="false" ht="15.8" hidden="false" customHeight="false" outlineLevel="0" collapsed="false">
      <c r="A32" s="80" t="s">
        <v>168</v>
      </c>
      <c r="B32" s="0" t="n">
        <v>10</v>
      </c>
      <c r="C32" s="0" t="n">
        <v>6</v>
      </c>
      <c r="D32" s="0" t="n">
        <v>6</v>
      </c>
      <c r="E32" s="0" t="n">
        <v>7</v>
      </c>
      <c r="F32" s="0" t="n">
        <v>7</v>
      </c>
      <c r="G32" s="15" t="n">
        <f aca="false">AVERAGE(B32:F32)/AVERAGE(B$8:F$8)</f>
        <v>1.41124271210743</v>
      </c>
      <c r="H32" s="103" t="n">
        <f aca="false">G32*H$8</f>
        <v>36</v>
      </c>
      <c r="I32" s="101" t="n">
        <f aca="false">STDEVP(B32:F32)/AVERAGE(B32:F32)</f>
        <v>0.204124145231932</v>
      </c>
      <c r="J32" s="101" t="n">
        <f aca="false">IF(H32&gt;$A$43, $C$43, IF(H32&gt;$A$44, $C$44, IF(H32&gt;$A$45,$C$45,IF(H32&gt;$A$46,$C$46, IF(H32&gt;$A$47,$C$47,IF(H32&gt;$A$48,$C$48,$C$49))))))/100</f>
        <v>0.275</v>
      </c>
      <c r="K32" s="101" t="n">
        <f aca="false">(MAX(B32:F32)-MIN(B32:F32))/H32*5</f>
        <v>0.555555555555556</v>
      </c>
      <c r="M32" s="37"/>
    </row>
    <row r="33" customFormat="false" ht="15.8" hidden="false" customHeight="false" outlineLevel="0" collapsed="false">
      <c r="A33" s="80" t="s">
        <v>169</v>
      </c>
      <c r="B33" s="0" t="n">
        <v>9</v>
      </c>
      <c r="C33" s="0" t="n">
        <v>5</v>
      </c>
      <c r="D33" s="0" t="n">
        <v>4</v>
      </c>
      <c r="E33" s="0" t="n">
        <v>5</v>
      </c>
      <c r="F33" s="0" t="n">
        <v>7</v>
      </c>
      <c r="G33" s="15" t="n">
        <f aca="false">AVERAGE(B33:F33)/AVERAGE(B$8:F$8)</f>
        <v>1.17603559342286</v>
      </c>
      <c r="H33" s="103" t="n">
        <f aca="false">G33*H$8</f>
        <v>30</v>
      </c>
      <c r="I33" s="101" t="n">
        <f aca="false">STDEVP(B33:F33)/AVERAGE(B33:F33)</f>
        <v>0.298142396999972</v>
      </c>
      <c r="J33" s="101" t="n">
        <f aca="false">IF(H33&gt;$A$43, $C$43, IF(H33&gt;$A$44, $C$44, IF(H33&gt;$A$45,$C$45,IF(H33&gt;$A$46,$C$46, IF(H33&gt;$A$47,$C$47,IF(H33&gt;$A$48,$C$48,$C$49))))))/100</f>
        <v>0.275</v>
      </c>
      <c r="K33" s="101" t="n">
        <f aca="false">(MAX(B33:F33)-MIN(B33:F33))/H33*5</f>
        <v>0.833333333333334</v>
      </c>
      <c r="M33" s="37"/>
    </row>
    <row r="34" customFormat="false" ht="15.8" hidden="false" customHeight="false" outlineLevel="0" collapsed="false">
      <c r="A34" s="80" t="s">
        <v>170</v>
      </c>
      <c r="B34" s="0" t="n">
        <v>7</v>
      </c>
      <c r="C34" s="0" t="n">
        <v>4</v>
      </c>
      <c r="D34" s="0" t="n">
        <v>3</v>
      </c>
      <c r="E34" s="0" t="n">
        <v>5</v>
      </c>
      <c r="F34" s="0" t="n">
        <v>7</v>
      </c>
      <c r="G34" s="15" t="n">
        <f aca="false">AVERAGE(B34:F34)/AVERAGE(B$8:F$8)</f>
        <v>1.01923084763314</v>
      </c>
      <c r="H34" s="103" t="n">
        <f aca="false">G34*H$8</f>
        <v>26</v>
      </c>
      <c r="I34" s="101" t="n">
        <f aca="false">STDEVP(B34:F34)/AVERAGE(B34:F34)</f>
        <v>0.307692307692308</v>
      </c>
      <c r="J34" s="101" t="n">
        <f aca="false">IF(H34&gt;$A$43, $C$43, IF(H34&gt;$A$44, $C$44, IF(H34&gt;$A$45,$C$45,IF(H34&gt;$A$46,$C$46, IF(H34&gt;$A$47,$C$47,IF(H34&gt;$A$48,$C$48,$C$49))))))/100</f>
        <v>0.275</v>
      </c>
      <c r="K34" s="101" t="n">
        <f aca="false">(MAX(B34:F34)-MIN(B34:F34))/H34*5</f>
        <v>0.769230769230769</v>
      </c>
      <c r="M34" s="37"/>
    </row>
    <row r="35" customFormat="false" ht="15.8" hidden="false" customHeight="false" outlineLevel="0" collapsed="false">
      <c r="A35" s="80" t="s">
        <v>171</v>
      </c>
      <c r="B35" s="0" t="n">
        <v>6</v>
      </c>
      <c r="C35" s="0" t="n">
        <v>4</v>
      </c>
      <c r="D35" s="0" t="n">
        <v>3</v>
      </c>
      <c r="E35" s="0" t="n">
        <v>4</v>
      </c>
      <c r="F35" s="0" t="n">
        <v>6</v>
      </c>
      <c r="G35" s="15" t="n">
        <f aca="false">AVERAGE(B35:F35)/AVERAGE(B$8:F$8)</f>
        <v>0.901627288290857</v>
      </c>
      <c r="H35" s="103" t="n">
        <f aca="false">G35*H$8</f>
        <v>23</v>
      </c>
      <c r="I35" s="101" t="n">
        <f aca="false">STDEVP(B35:F35)/AVERAGE(B35:F35)</f>
        <v>0.260869565217391</v>
      </c>
      <c r="J35" s="101" t="n">
        <f aca="false">IF(H35&gt;$A$43, $C$43, IF(H35&gt;$A$44, $C$44, IF(H35&gt;$A$45,$C$45,IF(H35&gt;$A$46,$C$46, IF(H35&gt;$A$47,$C$47,IF(H35&gt;$A$48,$C$48,$C$49))))))/100</f>
        <v>0.275</v>
      </c>
      <c r="K35" s="101" t="n">
        <f aca="false">(MAX(B35:F35)-MIN(B35:F35))/H35*5</f>
        <v>0.652173913043478</v>
      </c>
      <c r="M35" s="37"/>
    </row>
    <row r="36" customFormat="false" ht="15.8" hidden="false" customHeight="false" outlineLevel="0" collapsed="false">
      <c r="A36" s="80" t="s">
        <v>172</v>
      </c>
      <c r="B36" s="0" t="n">
        <v>4</v>
      </c>
      <c r="C36" s="0" t="n">
        <v>0</v>
      </c>
      <c r="D36" s="0" t="n">
        <v>0</v>
      </c>
      <c r="E36" s="0" t="n">
        <v>2</v>
      </c>
      <c r="F36" s="0" t="n">
        <v>4</v>
      </c>
      <c r="G36" s="15" t="n">
        <f aca="false">AVERAGE(B36:F36)/AVERAGE(B$8:F$8)</f>
        <v>0.392011864474285</v>
      </c>
      <c r="H36" s="103" t="n">
        <f aca="false">G36*H$8</f>
        <v>10</v>
      </c>
      <c r="I36" s="101" t="n">
        <f aca="false">STDEVP(B36:F36)/AVERAGE(B36:F36)</f>
        <v>0.894427190999916</v>
      </c>
      <c r="J36" s="101" t="n">
        <f aca="false">IF(H36&gt;$A$43, $C$43, IF(H36&gt;$A$44, $C$44, IF(H36&gt;$A$45,$C$45,IF(H36&gt;$A$46,$C$46, IF(H36&gt;$A$47,$C$47,IF(H36&gt;$A$48,$C$48,$C$49))))))/100</f>
        <v>0.275</v>
      </c>
      <c r="K36" s="101" t="n">
        <f aca="false">(MAX(B36:F36)-MIN(B36:F36))/H36*5</f>
        <v>2</v>
      </c>
      <c r="M36" s="37"/>
    </row>
    <row r="37" customFormat="false" ht="15.8" hidden="false" customHeight="false" outlineLevel="0" collapsed="false">
      <c r="A37" s="80" t="s">
        <v>173</v>
      </c>
      <c r="B37" s="0" t="n">
        <v>1</v>
      </c>
      <c r="C37" s="0" t="n">
        <v>0</v>
      </c>
      <c r="D37" s="0" t="n">
        <v>0</v>
      </c>
      <c r="E37" s="0" t="n">
        <v>0</v>
      </c>
      <c r="F37" s="0" t="n">
        <v>1</v>
      </c>
      <c r="G37" s="15" t="n">
        <f aca="false">AVERAGE(B37:F37)/AVERAGE(B$8:F$8)</f>
        <v>0.0784023728948571</v>
      </c>
      <c r="H37" s="103" t="n">
        <f aca="false">G37*H$8</f>
        <v>2</v>
      </c>
      <c r="I37" s="101" t="n">
        <f aca="false">STDEVP(B37:F37)/AVERAGE(B37:F37)</f>
        <v>1.22474487139159</v>
      </c>
      <c r="J37" s="101" t="n">
        <f aca="false">IF(H37&gt;$A$43, $C$43, IF(H37&gt;$A$44, $C$44, IF(H37&gt;$A$45,$C$45,IF(H37&gt;$A$46,$C$46, IF(H37&gt;$A$47,$C$47,IF(H37&gt;$A$48,$C$48,$C$49))))))/100</f>
        <v>0.275</v>
      </c>
      <c r="K37" s="101" t="n">
        <f aca="false">(MAX(B37:F37)-MIN(B37:F37))/H37*5</f>
        <v>2.5</v>
      </c>
    </row>
    <row r="38" customFormat="false" ht="15.8" hidden="false" customHeight="false" outlineLevel="0" collapsed="false">
      <c r="A38" s="80" t="s">
        <v>174</v>
      </c>
      <c r="B38" s="0" t="n">
        <v>0</v>
      </c>
      <c r="C38" s="0" t="n">
        <v>0</v>
      </c>
      <c r="D38" s="0" t="n">
        <v>0</v>
      </c>
      <c r="E38" s="0" t="n">
        <v>0</v>
      </c>
      <c r="F38" s="0" t="n">
        <v>0</v>
      </c>
      <c r="G38" s="15" t="n">
        <f aca="false">AVERAGE(B38:F38)/AVERAGE(B$8:F$8)</f>
        <v>0</v>
      </c>
      <c r="H38" s="103" t="n">
        <f aca="false">G38*H$8</f>
        <v>0</v>
      </c>
      <c r="I38" s="101" t="e">
        <f aca="false">STDEVP(B38:F38)/AVERAGE(B38:F38)</f>
        <v>#DIV/0!</v>
      </c>
      <c r="J38" s="101" t="n">
        <f aca="false">IF(H38&gt;$A$43, $C$43, IF(H38&gt;$A$44, $C$44, IF(H38&gt;$A$45,$C$45,IF(H38&gt;$A$46,$C$46, IF(H38&gt;$A$47,$C$47,IF(H38&gt;$A$48,$C$48,$C$49))))))/100</f>
        <v>0.275</v>
      </c>
      <c r="K38" s="101" t="e">
        <f aca="false">(MAX(B38:F38)-MIN(B38:F38))/H38*5</f>
        <v>#DIV/0!</v>
      </c>
    </row>
    <row r="39" customFormat="false" ht="15.8" hidden="false" customHeight="false" outlineLevel="0" collapsed="false"/>
    <row r="40" customFormat="false" ht="15.8" hidden="false" customHeight="false" outlineLevel="0" collapsed="false">
      <c r="A40" s="0" t="s">
        <v>175</v>
      </c>
    </row>
    <row r="41" customFormat="false" ht="15.8" hidden="false" customHeight="false" outlineLevel="0" collapsed="false">
      <c r="A41" s="104"/>
      <c r="B41" s="105" t="s">
        <v>176</v>
      </c>
      <c r="C41" s="104"/>
      <c r="D41" s="106" t="s">
        <v>177</v>
      </c>
      <c r="E41" s="107"/>
      <c r="F41" s="107"/>
      <c r="G41" s="107"/>
      <c r="H41" s="108"/>
    </row>
    <row r="42" customFormat="false" ht="15.8" hidden="false" customHeight="false" outlineLevel="0" collapsed="false">
      <c r="A42" s="109" t="s">
        <v>178</v>
      </c>
      <c r="B42" s="110" t="s">
        <v>179</v>
      </c>
      <c r="C42" s="109" t="s">
        <v>180</v>
      </c>
      <c r="D42" s="109" t="s">
        <v>181</v>
      </c>
      <c r="E42" s="110" t="s">
        <v>182</v>
      </c>
      <c r="F42" s="110" t="s">
        <v>183</v>
      </c>
      <c r="G42" s="110" t="s">
        <v>184</v>
      </c>
      <c r="H42" s="111" t="s">
        <v>185</v>
      </c>
    </row>
    <row r="43" customFormat="false" ht="15.8" hidden="false" customHeight="false" outlineLevel="0" collapsed="false">
      <c r="A43" s="112" t="n">
        <v>10000</v>
      </c>
      <c r="C43" s="112" t="n">
        <v>11</v>
      </c>
      <c r="D43" s="112" t="n">
        <v>7.8</v>
      </c>
      <c r="E43" s="0" t="n">
        <v>5.3</v>
      </c>
      <c r="F43" s="0" t="n">
        <v>4</v>
      </c>
      <c r="G43" s="0" t="n">
        <v>2.7</v>
      </c>
      <c r="H43" s="113" t="n">
        <v>1.8</v>
      </c>
    </row>
    <row r="44" customFormat="false" ht="15.8" hidden="false" customHeight="false" outlineLevel="0" collapsed="false">
      <c r="A44" s="112" t="n">
        <v>5000</v>
      </c>
      <c r="B44" s="0" t="n">
        <v>10000</v>
      </c>
      <c r="C44" s="112" t="n">
        <v>11.3</v>
      </c>
      <c r="D44" s="112" t="n">
        <v>7.8</v>
      </c>
      <c r="E44" s="0" t="n">
        <v>5.3</v>
      </c>
      <c r="F44" s="0" t="n">
        <v>4</v>
      </c>
      <c r="G44" s="0" t="n">
        <v>2.7</v>
      </c>
      <c r="H44" s="113" t="n">
        <v>1.9</v>
      </c>
    </row>
    <row r="45" customFormat="false" ht="15.8" hidden="false" customHeight="false" outlineLevel="0" collapsed="false">
      <c r="A45" s="112" t="n">
        <v>2000</v>
      </c>
      <c r="B45" s="0" t="n">
        <v>5000</v>
      </c>
      <c r="C45" s="112" t="n">
        <v>11.9</v>
      </c>
      <c r="D45" s="112" t="n">
        <v>7.9</v>
      </c>
      <c r="E45" s="0" t="n">
        <v>5.4</v>
      </c>
      <c r="F45" s="0" t="n">
        <v>4.1</v>
      </c>
      <c r="G45" s="0" t="n">
        <v>2.9</v>
      </c>
      <c r="H45" s="113" t="n">
        <v>2.1</v>
      </c>
    </row>
    <row r="46" customFormat="false" ht="15.8" hidden="false" customHeight="false" outlineLevel="0" collapsed="false">
      <c r="A46" s="112" t="n">
        <v>1000</v>
      </c>
      <c r="B46" s="0" t="n">
        <v>2000</v>
      </c>
      <c r="C46" s="112" t="n">
        <v>13.4</v>
      </c>
      <c r="D46" s="112" t="n">
        <v>8</v>
      </c>
      <c r="E46" s="0" t="n">
        <v>5.6</v>
      </c>
      <c r="F46" s="0" t="n">
        <v>4.3</v>
      </c>
      <c r="G46" s="0" t="n">
        <v>3.1</v>
      </c>
      <c r="H46" s="113" t="n">
        <v>2.4</v>
      </c>
    </row>
    <row r="47" customFormat="false" ht="15.8" hidden="false" customHeight="false" outlineLevel="0" collapsed="false">
      <c r="A47" s="112" t="n">
        <v>500</v>
      </c>
      <c r="B47" s="0" t="n">
        <v>1000</v>
      </c>
      <c r="C47" s="112" t="n">
        <v>15.6</v>
      </c>
      <c r="D47" s="112" t="n">
        <v>8.2</v>
      </c>
      <c r="E47" s="0" t="n">
        <v>5.9</v>
      </c>
      <c r="F47" s="0" t="n">
        <v>4.7</v>
      </c>
      <c r="G47" s="0" t="n">
        <v>3.6</v>
      </c>
      <c r="H47" s="113" t="n">
        <v>2.9</v>
      </c>
    </row>
    <row r="48" customFormat="false" ht="15.8" hidden="false" customHeight="false" outlineLevel="0" collapsed="false">
      <c r="A48" s="112" t="n">
        <v>200</v>
      </c>
      <c r="B48" s="0" t="n">
        <v>500</v>
      </c>
      <c r="C48" s="112" t="n">
        <v>19.3</v>
      </c>
      <c r="D48" s="112" t="n">
        <v>8.9</v>
      </c>
      <c r="E48" s="0" t="n">
        <v>6.8</v>
      </c>
      <c r="F48" s="0" t="n">
        <v>5.7</v>
      </c>
      <c r="G48" s="0" t="n">
        <v>4.7</v>
      </c>
      <c r="H48" s="113" t="n">
        <v>4.1</v>
      </c>
    </row>
    <row r="49" customFormat="false" ht="15.8" hidden="false" customHeight="false" outlineLevel="0" collapsed="false">
      <c r="A49" s="114" t="n">
        <v>100</v>
      </c>
      <c r="B49" s="115" t="n">
        <v>200</v>
      </c>
      <c r="C49" s="114" t="n">
        <v>27.5</v>
      </c>
      <c r="D49" s="114" t="n">
        <v>10</v>
      </c>
      <c r="E49" s="115" t="n">
        <v>8</v>
      </c>
      <c r="F49" s="115" t="n">
        <v>7</v>
      </c>
      <c r="G49" s="115" t="n">
        <v>6.1</v>
      </c>
      <c r="H49" s="116" t="n">
        <v>5.5</v>
      </c>
    </row>
    <row r="50" customFormat="false" ht="15.8" hidden="false" customHeight="false" outlineLevel="0" collapsed="false"/>
    <row r="51" customFormat="false" ht="15.8" hidden="false" customHeight="false" outlineLevel="0" collapsed="false"/>
    <row r="52" customFormat="false" ht="15.8" hidden="false" customHeight="false" outlineLevel="0" collapsed="false">
      <c r="A52" s="0" t="s">
        <v>303</v>
      </c>
      <c r="B52" s="0" t="s">
        <v>145</v>
      </c>
      <c r="C52" s="0" t="s">
        <v>146</v>
      </c>
      <c r="D52" s="0" t="s">
        <v>147</v>
      </c>
      <c r="E52" s="0" t="s">
        <v>148</v>
      </c>
      <c r="F52" s="0" t="s">
        <v>149</v>
      </c>
      <c r="G52" s="0" t="s">
        <v>150</v>
      </c>
      <c r="H52" s="0" t="s">
        <v>151</v>
      </c>
      <c r="I52" s="0" t="s">
        <v>152</v>
      </c>
      <c r="J52" s="0" t="s">
        <v>153</v>
      </c>
      <c r="K52" s="0" t="s">
        <v>154</v>
      </c>
      <c r="L52" s="0" t="s">
        <v>155</v>
      </c>
      <c r="M52" s="0" t="s">
        <v>156</v>
      </c>
      <c r="N52" s="0" t="s">
        <v>157</v>
      </c>
      <c r="O52" s="0" t="s">
        <v>158</v>
      </c>
      <c r="P52" s="0" t="s">
        <v>159</v>
      </c>
      <c r="Q52" s="0" t="s">
        <v>160</v>
      </c>
      <c r="R52" s="0" t="s">
        <v>161</v>
      </c>
      <c r="S52" s="0" t="s">
        <v>162</v>
      </c>
      <c r="T52" s="0" t="s">
        <v>163</v>
      </c>
      <c r="U52" s="0" t="s">
        <v>164</v>
      </c>
      <c r="V52" s="0" t="s">
        <v>165</v>
      </c>
      <c r="W52" s="0" t="s">
        <v>166</v>
      </c>
      <c r="X52" s="0" t="s">
        <v>167</v>
      </c>
      <c r="Y52" s="0" t="s">
        <v>168</v>
      </c>
      <c r="Z52" s="0" t="s">
        <v>169</v>
      </c>
      <c r="AA52" s="0" t="s">
        <v>170</v>
      </c>
      <c r="AB52" s="0" t="s">
        <v>171</v>
      </c>
      <c r="AC52" s="0" t="s">
        <v>172</v>
      </c>
      <c r="AD52" s="0" t="s">
        <v>173</v>
      </c>
      <c r="AE52" s="0" t="s">
        <v>174</v>
      </c>
    </row>
    <row r="53" customFormat="false" ht="15.8" hidden="false" customHeight="false" outlineLevel="0" collapsed="false">
      <c r="A53" s="0" t="n">
        <v>4.870482</v>
      </c>
      <c r="B53" s="0" t="n">
        <v>29462</v>
      </c>
      <c r="C53" s="0" t="n">
        <v>17681</v>
      </c>
      <c r="D53" s="0" t="n">
        <v>9568</v>
      </c>
      <c r="E53" s="0" t="n">
        <v>4731</v>
      </c>
      <c r="F53" s="0" t="n">
        <v>2535</v>
      </c>
      <c r="G53" s="0" t="n">
        <v>1205</v>
      </c>
      <c r="H53" s="0" t="n">
        <v>583</v>
      </c>
      <c r="I53" s="0" t="n">
        <v>264</v>
      </c>
      <c r="J53" s="0" t="n">
        <v>143</v>
      </c>
      <c r="K53" s="0" t="n">
        <v>98</v>
      </c>
      <c r="L53" s="0" t="n">
        <v>71</v>
      </c>
      <c r="M53" s="0" t="n">
        <v>51</v>
      </c>
      <c r="N53" s="0" t="n">
        <v>37</v>
      </c>
      <c r="O53" s="0" t="n">
        <v>32</v>
      </c>
      <c r="P53" s="0" t="n">
        <v>25</v>
      </c>
      <c r="Q53" s="0" t="n">
        <v>21</v>
      </c>
      <c r="R53" s="0" t="n">
        <v>19</v>
      </c>
      <c r="S53" s="0" t="n">
        <v>16</v>
      </c>
      <c r="T53" s="0" t="n">
        <v>14</v>
      </c>
      <c r="U53" s="0" t="n">
        <v>13</v>
      </c>
      <c r="V53" s="0" t="n">
        <v>13</v>
      </c>
      <c r="W53" s="0" t="n">
        <v>12</v>
      </c>
      <c r="X53" s="0" t="n">
        <v>12</v>
      </c>
      <c r="Y53" s="0" t="n">
        <v>10</v>
      </c>
      <c r="Z53" s="0" t="n">
        <v>9</v>
      </c>
      <c r="AA53" s="0" t="n">
        <v>7</v>
      </c>
      <c r="AB53" s="0" t="n">
        <v>6</v>
      </c>
      <c r="AC53" s="0" t="n">
        <v>4</v>
      </c>
      <c r="AD53" s="0" t="n">
        <v>1</v>
      </c>
      <c r="AE53" s="0" t="n">
        <v>0</v>
      </c>
    </row>
    <row r="54" customFormat="false" ht="15.8" hidden="false" customHeight="false" outlineLevel="0" collapsed="false">
      <c r="A54" s="0" t="n">
        <v>5.166697</v>
      </c>
      <c r="B54" s="0" t="n">
        <v>30722</v>
      </c>
      <c r="C54" s="0" t="n">
        <v>18493</v>
      </c>
      <c r="D54" s="0" t="n">
        <v>9915</v>
      </c>
      <c r="E54" s="0" t="n">
        <v>4974</v>
      </c>
      <c r="F54" s="0" t="n">
        <v>2591</v>
      </c>
      <c r="G54" s="0" t="n">
        <v>1256</v>
      </c>
      <c r="H54" s="0" t="n">
        <v>596</v>
      </c>
      <c r="I54" s="0" t="n">
        <v>288</v>
      </c>
      <c r="J54" s="0" t="n">
        <v>152</v>
      </c>
      <c r="K54" s="0" t="n">
        <v>102</v>
      </c>
      <c r="L54" s="0" t="n">
        <v>60</v>
      </c>
      <c r="M54" s="0" t="n">
        <v>46</v>
      </c>
      <c r="N54" s="0" t="n">
        <v>35</v>
      </c>
      <c r="O54" s="0" t="n">
        <v>28</v>
      </c>
      <c r="P54" s="0" t="n">
        <v>25</v>
      </c>
      <c r="Q54" s="0" t="n">
        <v>22</v>
      </c>
      <c r="R54" s="0" t="n">
        <v>20</v>
      </c>
      <c r="S54" s="0" t="n">
        <v>15</v>
      </c>
      <c r="T54" s="0" t="n">
        <v>14</v>
      </c>
      <c r="U54" s="0" t="n">
        <v>12</v>
      </c>
      <c r="V54" s="0" t="n">
        <v>10</v>
      </c>
      <c r="W54" s="0" t="n">
        <v>7</v>
      </c>
      <c r="X54" s="0" t="n">
        <v>6</v>
      </c>
      <c r="Y54" s="0" t="n">
        <v>6</v>
      </c>
      <c r="Z54" s="0" t="n">
        <v>5</v>
      </c>
      <c r="AA54" s="0" t="n">
        <v>4</v>
      </c>
      <c r="AB54" s="0" t="n">
        <v>4</v>
      </c>
      <c r="AC54" s="0" t="n">
        <v>0</v>
      </c>
      <c r="AD54" s="0" t="n">
        <v>0</v>
      </c>
      <c r="AE54" s="0" t="n">
        <v>0</v>
      </c>
    </row>
    <row r="55" customFormat="false" ht="15.8" hidden="false" customHeight="false" outlineLevel="0" collapsed="false">
      <c r="A55" s="0" t="n">
        <v>5.120954</v>
      </c>
      <c r="B55" s="0" t="n">
        <v>30719</v>
      </c>
      <c r="C55" s="0" t="n">
        <v>18556</v>
      </c>
      <c r="D55" s="0" t="n">
        <v>9949</v>
      </c>
      <c r="E55" s="0" t="n">
        <v>5007</v>
      </c>
      <c r="F55" s="0" t="n">
        <v>2546</v>
      </c>
      <c r="G55" s="0" t="n">
        <v>1151</v>
      </c>
      <c r="H55" s="0" t="n">
        <v>564</v>
      </c>
      <c r="I55" s="0" t="n">
        <v>275</v>
      </c>
      <c r="J55" s="0" t="n">
        <v>149</v>
      </c>
      <c r="K55" s="0" t="n">
        <v>91</v>
      </c>
      <c r="L55" s="0" t="n">
        <v>57</v>
      </c>
      <c r="M55" s="0" t="n">
        <v>43</v>
      </c>
      <c r="N55" s="0" t="n">
        <v>29</v>
      </c>
      <c r="O55" s="0" t="n">
        <v>27</v>
      </c>
      <c r="P55" s="0" t="n">
        <v>22</v>
      </c>
      <c r="Q55" s="0" t="n">
        <v>19</v>
      </c>
      <c r="R55" s="0" t="n">
        <v>14</v>
      </c>
      <c r="S55" s="0" t="n">
        <v>12</v>
      </c>
      <c r="T55" s="0" t="n">
        <v>10</v>
      </c>
      <c r="U55" s="0" t="n">
        <v>10</v>
      </c>
      <c r="V55" s="0" t="n">
        <v>8</v>
      </c>
      <c r="W55" s="0" t="n">
        <v>8</v>
      </c>
      <c r="X55" s="0" t="n">
        <v>7</v>
      </c>
      <c r="Y55" s="0" t="n">
        <v>6</v>
      </c>
      <c r="Z55" s="0" t="n">
        <v>4</v>
      </c>
      <c r="AA55" s="0" t="n">
        <v>3</v>
      </c>
      <c r="AB55" s="0" t="n">
        <v>3</v>
      </c>
      <c r="AC55" s="0" t="n">
        <v>0</v>
      </c>
      <c r="AD55" s="0" t="n">
        <v>0</v>
      </c>
      <c r="AE55" s="0" t="n">
        <v>0</v>
      </c>
    </row>
    <row r="56" customFormat="false" ht="15.8" hidden="false" customHeight="false" outlineLevel="0" collapsed="false">
      <c r="A56" s="0" t="n">
        <v>5.213185</v>
      </c>
      <c r="B56" s="0" t="n">
        <v>31067</v>
      </c>
      <c r="C56" s="0" t="n">
        <v>18788</v>
      </c>
      <c r="D56" s="0" t="n">
        <v>9987</v>
      </c>
      <c r="E56" s="0" t="n">
        <v>5047</v>
      </c>
      <c r="F56" s="0" t="n">
        <v>2596</v>
      </c>
      <c r="G56" s="0" t="n">
        <v>1220</v>
      </c>
      <c r="H56" s="0" t="n">
        <v>560</v>
      </c>
      <c r="I56" s="0" t="n">
        <v>277</v>
      </c>
      <c r="J56" s="0" t="n">
        <v>163</v>
      </c>
      <c r="K56" s="0" t="n">
        <v>99</v>
      </c>
      <c r="L56" s="0" t="n">
        <v>70</v>
      </c>
      <c r="M56" s="0" t="n">
        <v>48</v>
      </c>
      <c r="N56" s="0" t="n">
        <v>38</v>
      </c>
      <c r="O56" s="0" t="n">
        <v>33</v>
      </c>
      <c r="P56" s="0" t="n">
        <v>30</v>
      </c>
      <c r="Q56" s="0" t="n">
        <v>24</v>
      </c>
      <c r="R56" s="0" t="n">
        <v>19</v>
      </c>
      <c r="S56" s="0" t="n">
        <v>15</v>
      </c>
      <c r="T56" s="0" t="n">
        <v>12</v>
      </c>
      <c r="U56" s="0" t="n">
        <v>11</v>
      </c>
      <c r="V56" s="0" t="n">
        <v>9</v>
      </c>
      <c r="W56" s="0" t="n">
        <v>9</v>
      </c>
      <c r="X56" s="0" t="n">
        <v>8</v>
      </c>
      <c r="Y56" s="0" t="n">
        <v>7</v>
      </c>
      <c r="Z56" s="0" t="n">
        <v>5</v>
      </c>
      <c r="AA56" s="0" t="n">
        <v>5</v>
      </c>
      <c r="AB56" s="0" t="n">
        <v>4</v>
      </c>
      <c r="AC56" s="0" t="n">
        <v>2</v>
      </c>
      <c r="AD56" s="0" t="n">
        <v>0</v>
      </c>
      <c r="AE56" s="0" t="n">
        <v>0</v>
      </c>
    </row>
    <row r="57" customFormat="false" ht="15.8" hidden="false" customHeight="false" outlineLevel="0" collapsed="false">
      <c r="A57" s="0" t="n">
        <v>5.138114</v>
      </c>
      <c r="B57" s="0" t="n">
        <v>30629</v>
      </c>
      <c r="C57" s="0" t="n">
        <v>18326</v>
      </c>
      <c r="D57" s="0" t="n">
        <v>9797</v>
      </c>
      <c r="E57" s="0" t="n">
        <v>4927</v>
      </c>
      <c r="F57" s="0" t="n">
        <v>2562</v>
      </c>
      <c r="G57" s="0" t="n">
        <v>1213</v>
      </c>
      <c r="H57" s="0" t="n">
        <v>542</v>
      </c>
      <c r="I57" s="0" t="n">
        <v>262</v>
      </c>
      <c r="J57" s="0" t="n">
        <v>161</v>
      </c>
      <c r="K57" s="0" t="n">
        <v>107</v>
      </c>
      <c r="L57" s="0" t="n">
        <v>67</v>
      </c>
      <c r="M57" s="0" t="n">
        <v>47</v>
      </c>
      <c r="N57" s="0" t="n">
        <v>37</v>
      </c>
      <c r="O57" s="0" t="n">
        <v>30</v>
      </c>
      <c r="P57" s="0" t="n">
        <v>27</v>
      </c>
      <c r="Q57" s="0" t="n">
        <v>23</v>
      </c>
      <c r="R57" s="0" t="n">
        <v>19</v>
      </c>
      <c r="S57" s="0" t="n">
        <v>14</v>
      </c>
      <c r="T57" s="0" t="n">
        <v>12</v>
      </c>
      <c r="U57" s="0" t="n">
        <v>9</v>
      </c>
      <c r="V57" s="0" t="n">
        <v>9</v>
      </c>
      <c r="W57" s="0" t="n">
        <v>7</v>
      </c>
      <c r="X57" s="0" t="n">
        <v>7</v>
      </c>
      <c r="Y57" s="0" t="n">
        <v>7</v>
      </c>
      <c r="Z57" s="0" t="n">
        <v>7</v>
      </c>
      <c r="AA57" s="0" t="n">
        <v>7</v>
      </c>
      <c r="AB57" s="0" t="n">
        <v>6</v>
      </c>
      <c r="AC57" s="0" t="n">
        <v>4</v>
      </c>
      <c r="AD57" s="0" t="n">
        <v>1</v>
      </c>
      <c r="AE57" s="0" t="n">
        <v>0</v>
      </c>
    </row>
    <row r="58" customFormat="false" ht="15.8" hidden="false" customHeight="false" outlineLevel="0" collapsed="false">
      <c r="A58" s="0" t="n">
        <v>25.50943</v>
      </c>
      <c r="B58" s="0" t="n">
        <v>152599</v>
      </c>
      <c r="C58" s="0" t="n">
        <v>91844</v>
      </c>
      <c r="D58" s="0" t="n">
        <v>49216</v>
      </c>
      <c r="E58" s="0" t="n">
        <v>24686</v>
      </c>
      <c r="F58" s="0" t="n">
        <v>12830</v>
      </c>
      <c r="G58" s="0" t="n">
        <v>6045</v>
      </c>
      <c r="H58" s="0" t="n">
        <v>2845</v>
      </c>
      <c r="I58" s="0" t="n">
        <v>1367</v>
      </c>
      <c r="J58" s="0" t="n">
        <v>767</v>
      </c>
      <c r="K58" s="0" t="n">
        <v>498</v>
      </c>
      <c r="L58" s="0" t="n">
        <v>325</v>
      </c>
      <c r="M58" s="0" t="n">
        <v>235</v>
      </c>
      <c r="N58" s="0" t="n">
        <v>175</v>
      </c>
      <c r="O58" s="0" t="n">
        <v>150</v>
      </c>
      <c r="P58" s="0" t="n">
        <v>128</v>
      </c>
      <c r="Q58" s="0" t="n">
        <v>109</v>
      </c>
      <c r="R58" s="0" t="n">
        <v>91</v>
      </c>
      <c r="S58" s="0" t="n">
        <v>72</v>
      </c>
      <c r="T58" s="0" t="n">
        <v>62</v>
      </c>
      <c r="U58" s="0" t="n">
        <v>55</v>
      </c>
      <c r="V58" s="0" t="n">
        <v>49</v>
      </c>
      <c r="W58" s="0" t="n">
        <v>43</v>
      </c>
      <c r="X58" s="0" t="n">
        <v>40</v>
      </c>
      <c r="Y58" s="0" t="n">
        <v>36</v>
      </c>
      <c r="Z58" s="0" t="n">
        <v>30</v>
      </c>
      <c r="AA58" s="0" t="n">
        <v>26</v>
      </c>
      <c r="AB58" s="0" t="n">
        <v>23</v>
      </c>
      <c r="AC58" s="0" t="n">
        <v>10</v>
      </c>
      <c r="AD58" s="0" t="n">
        <v>2</v>
      </c>
      <c r="AE58" s="0" t="n">
        <v>0</v>
      </c>
    </row>
    <row r="59" customFormat="false" ht="15.8" hidden="false" customHeight="false" outlineLevel="0" collapsed="false">
      <c r="A59" s="0" t="n">
        <v>4.877143</v>
      </c>
      <c r="B59" s="0" t="n">
        <v>28618</v>
      </c>
      <c r="C59" s="0" t="n">
        <v>17169</v>
      </c>
      <c r="D59" s="0" t="n">
        <v>9054</v>
      </c>
      <c r="E59" s="0" t="n">
        <v>4444</v>
      </c>
      <c r="F59" s="0" t="n">
        <v>2276</v>
      </c>
      <c r="G59" s="0" t="n">
        <v>1067</v>
      </c>
      <c r="H59" s="0" t="n">
        <v>487</v>
      </c>
      <c r="I59" s="0" t="n">
        <v>234</v>
      </c>
      <c r="J59" s="0" t="n">
        <v>130</v>
      </c>
      <c r="K59" s="0" t="n">
        <v>84</v>
      </c>
      <c r="L59" s="0" t="n">
        <v>59</v>
      </c>
      <c r="M59" s="0" t="n">
        <v>37</v>
      </c>
      <c r="N59" s="0" t="n">
        <v>32</v>
      </c>
      <c r="O59" s="0" t="n">
        <v>25</v>
      </c>
      <c r="P59" s="0" t="n">
        <v>21</v>
      </c>
      <c r="Q59" s="0" t="n">
        <v>18</v>
      </c>
      <c r="R59" s="0" t="n">
        <v>12</v>
      </c>
      <c r="S59" s="0" t="n">
        <v>10</v>
      </c>
      <c r="T59" s="0" t="n">
        <v>10</v>
      </c>
      <c r="U59" s="0" t="n">
        <v>10</v>
      </c>
      <c r="V59" s="0" t="n">
        <v>7</v>
      </c>
      <c r="W59" s="0" t="n">
        <v>5</v>
      </c>
      <c r="X59" s="0" t="n">
        <v>5</v>
      </c>
      <c r="Y59" s="0" t="n">
        <v>5</v>
      </c>
      <c r="Z59" s="0" t="n">
        <v>4</v>
      </c>
      <c r="AA59" s="0" t="n">
        <v>4</v>
      </c>
      <c r="AB59" s="0" t="n">
        <v>4</v>
      </c>
      <c r="AC59" s="0" t="n">
        <v>0</v>
      </c>
      <c r="AD59" s="0" t="n">
        <v>0</v>
      </c>
      <c r="AE59" s="0" t="n">
        <v>0</v>
      </c>
    </row>
    <row r="60" customFormat="false" ht="15.8" hidden="false" customHeight="false" outlineLevel="0" collapsed="false">
      <c r="A60" s="0" t="n">
        <v>5.196125</v>
      </c>
      <c r="B60" s="0" t="n">
        <v>30775</v>
      </c>
      <c r="C60" s="0" t="n">
        <v>18382</v>
      </c>
      <c r="D60" s="0" t="n">
        <v>9822</v>
      </c>
      <c r="E60" s="0" t="n">
        <v>4919</v>
      </c>
      <c r="F60" s="0" t="n">
        <v>2609</v>
      </c>
      <c r="G60" s="0" t="n">
        <v>1234</v>
      </c>
      <c r="H60" s="0" t="n">
        <v>606</v>
      </c>
      <c r="I60" s="0" t="n">
        <v>304</v>
      </c>
      <c r="J60" s="0" t="n">
        <v>170</v>
      </c>
      <c r="K60" s="0" t="n">
        <v>98</v>
      </c>
      <c r="L60" s="0" t="n">
        <v>62</v>
      </c>
      <c r="M60" s="0" t="n">
        <v>45</v>
      </c>
      <c r="N60" s="0" t="n">
        <v>38</v>
      </c>
      <c r="O60" s="0" t="n">
        <v>35</v>
      </c>
      <c r="P60" s="0" t="n">
        <v>30</v>
      </c>
      <c r="Q60" s="0" t="n">
        <v>21</v>
      </c>
      <c r="R60" s="0" t="n">
        <v>16</v>
      </c>
      <c r="S60" s="0" t="n">
        <v>13</v>
      </c>
      <c r="T60" s="0" t="n">
        <v>11</v>
      </c>
      <c r="U60" s="0" t="n">
        <v>10</v>
      </c>
      <c r="V60" s="0" t="n">
        <v>8</v>
      </c>
      <c r="W60" s="0" t="n">
        <v>8</v>
      </c>
      <c r="X60" s="0" t="n">
        <v>7</v>
      </c>
      <c r="Y60" s="0" t="n">
        <v>6</v>
      </c>
      <c r="Z60" s="0" t="n">
        <v>5</v>
      </c>
      <c r="AA60" s="0" t="n">
        <v>5</v>
      </c>
      <c r="AB60" s="0" t="n">
        <v>4</v>
      </c>
      <c r="AC60" s="0" t="n">
        <v>1</v>
      </c>
      <c r="AD60" s="0" t="n">
        <v>0</v>
      </c>
      <c r="AE60" s="0" t="n">
        <v>0</v>
      </c>
    </row>
    <row r="61" customFormat="false" ht="15.8" hidden="false" customHeight="false" outlineLevel="0" collapsed="false">
      <c r="A61" s="0" t="n">
        <v>5.131249</v>
      </c>
      <c r="B61" s="0" t="n">
        <v>30220</v>
      </c>
      <c r="C61" s="0" t="n">
        <v>18044</v>
      </c>
      <c r="D61" s="0" t="n">
        <v>9679</v>
      </c>
      <c r="E61" s="0" t="n">
        <v>4826</v>
      </c>
      <c r="F61" s="0" t="n">
        <v>2452</v>
      </c>
      <c r="G61" s="0" t="n">
        <v>1174</v>
      </c>
      <c r="H61" s="0" t="n">
        <v>530</v>
      </c>
      <c r="I61" s="0" t="n">
        <v>255</v>
      </c>
      <c r="J61" s="0" t="n">
        <v>137</v>
      </c>
      <c r="K61" s="0" t="n">
        <v>95</v>
      </c>
      <c r="L61" s="0" t="n">
        <v>65</v>
      </c>
      <c r="M61" s="0" t="n">
        <v>44</v>
      </c>
      <c r="N61" s="0" t="n">
        <v>31</v>
      </c>
      <c r="O61" s="0" t="n">
        <v>24</v>
      </c>
      <c r="P61" s="0" t="n">
        <v>19</v>
      </c>
      <c r="Q61" s="0" t="n">
        <v>15</v>
      </c>
      <c r="R61" s="0" t="n">
        <v>12</v>
      </c>
      <c r="S61" s="0" t="n">
        <v>11</v>
      </c>
      <c r="T61" s="0" t="n">
        <v>9</v>
      </c>
      <c r="U61" s="0" t="n">
        <v>8</v>
      </c>
      <c r="V61" s="0" t="n">
        <v>6</v>
      </c>
      <c r="W61" s="0" t="n">
        <v>6</v>
      </c>
      <c r="X61" s="0" t="n">
        <v>6</v>
      </c>
      <c r="Y61" s="0" t="n">
        <v>5</v>
      </c>
      <c r="Z61" s="0" t="n">
        <v>4</v>
      </c>
      <c r="AA61" s="0" t="n">
        <v>3</v>
      </c>
      <c r="AB61" s="0" t="n">
        <v>3</v>
      </c>
      <c r="AC61" s="0" t="n">
        <v>2</v>
      </c>
      <c r="AD61" s="0" t="n">
        <v>0</v>
      </c>
      <c r="AE61" s="0" t="n">
        <v>0</v>
      </c>
    </row>
    <row r="62" customFormat="false" ht="15.8" hidden="false" customHeight="false" outlineLevel="0" collapsed="false">
      <c r="A62" s="0" t="n">
        <v>5.19361</v>
      </c>
      <c r="B62" s="0" t="n">
        <v>30933</v>
      </c>
      <c r="C62" s="0" t="n">
        <v>18516</v>
      </c>
      <c r="D62" s="0" t="n">
        <v>9907</v>
      </c>
      <c r="E62" s="0" t="n">
        <v>4934</v>
      </c>
      <c r="F62" s="0" t="n">
        <v>2527</v>
      </c>
      <c r="G62" s="0" t="n">
        <v>1206</v>
      </c>
      <c r="H62" s="0" t="n">
        <v>579</v>
      </c>
      <c r="I62" s="0" t="n">
        <v>297</v>
      </c>
      <c r="J62" s="0" t="n">
        <v>158</v>
      </c>
      <c r="K62" s="0" t="n">
        <v>99</v>
      </c>
      <c r="L62" s="0" t="n">
        <v>64</v>
      </c>
      <c r="M62" s="0" t="n">
        <v>46</v>
      </c>
      <c r="N62" s="0" t="n">
        <v>36</v>
      </c>
      <c r="O62" s="0" t="n">
        <v>34</v>
      </c>
      <c r="P62" s="0" t="n">
        <v>28</v>
      </c>
      <c r="Q62" s="0" t="n">
        <v>24</v>
      </c>
      <c r="R62" s="0" t="n">
        <v>20</v>
      </c>
      <c r="S62" s="0" t="n">
        <v>18</v>
      </c>
      <c r="T62" s="0" t="n">
        <v>18</v>
      </c>
      <c r="U62" s="0" t="n">
        <v>15</v>
      </c>
      <c r="V62" s="0" t="n">
        <v>14</v>
      </c>
      <c r="W62" s="0" t="n">
        <v>13</v>
      </c>
      <c r="X62" s="0" t="n">
        <v>7</v>
      </c>
      <c r="Y62" s="0" t="n">
        <v>5</v>
      </c>
      <c r="Z62" s="0" t="n">
        <v>5</v>
      </c>
      <c r="AA62" s="0" t="n">
        <v>5</v>
      </c>
      <c r="AB62" s="0" t="n">
        <v>5</v>
      </c>
      <c r="AC62" s="0" t="n">
        <v>0</v>
      </c>
      <c r="AD62" s="0" t="n">
        <v>0</v>
      </c>
      <c r="AE62" s="0" t="n">
        <v>0</v>
      </c>
    </row>
    <row r="63" customFormat="false" ht="15.8" hidden="false" customHeight="false" outlineLevel="0" collapsed="false">
      <c r="A63" s="0" t="n">
        <v>5.140053</v>
      </c>
      <c r="B63" s="0" t="n">
        <v>31112</v>
      </c>
      <c r="C63" s="0" t="n">
        <v>18750</v>
      </c>
      <c r="D63" s="0" t="n">
        <v>9896</v>
      </c>
      <c r="E63" s="0" t="n">
        <v>4972</v>
      </c>
      <c r="F63" s="0" t="n">
        <v>2693</v>
      </c>
      <c r="G63" s="0" t="n">
        <v>1268</v>
      </c>
      <c r="H63" s="0" t="n">
        <v>596</v>
      </c>
      <c r="I63" s="0" t="n">
        <v>289</v>
      </c>
      <c r="J63" s="0" t="n">
        <v>169</v>
      </c>
      <c r="K63" s="0" t="n">
        <v>114</v>
      </c>
      <c r="L63" s="0" t="n">
        <v>76</v>
      </c>
      <c r="M63" s="0" t="n">
        <v>53</v>
      </c>
      <c r="N63" s="0" t="n">
        <v>40</v>
      </c>
      <c r="O63" s="0" t="n">
        <v>31</v>
      </c>
      <c r="P63" s="0" t="n">
        <v>27</v>
      </c>
      <c r="Q63" s="0" t="n">
        <v>20</v>
      </c>
      <c r="R63" s="0" t="n">
        <v>15</v>
      </c>
      <c r="S63" s="0" t="n">
        <v>14</v>
      </c>
      <c r="T63" s="0" t="n">
        <v>12</v>
      </c>
      <c r="U63" s="0" t="n">
        <v>11</v>
      </c>
      <c r="V63" s="0" t="n">
        <v>10</v>
      </c>
      <c r="W63" s="0" t="n">
        <v>9</v>
      </c>
      <c r="X63" s="0" t="n">
        <v>7</v>
      </c>
      <c r="Y63" s="0" t="n">
        <v>7</v>
      </c>
      <c r="Z63" s="0" t="n">
        <v>6</v>
      </c>
      <c r="AA63" s="0" t="n">
        <v>5</v>
      </c>
      <c r="AB63" s="0" t="n">
        <v>5</v>
      </c>
      <c r="AC63" s="0" t="n">
        <v>1</v>
      </c>
      <c r="AD63" s="0" t="n">
        <v>0</v>
      </c>
      <c r="AE63" s="0" t="n">
        <v>0</v>
      </c>
    </row>
    <row r="64" customFormat="false" ht="15.8" hidden="false" customHeight="false" outlineLevel="0" collapsed="false">
      <c r="A64" s="0" t="n">
        <v>25.538179</v>
      </c>
      <c r="B64" s="0" t="n">
        <v>151658</v>
      </c>
      <c r="C64" s="0" t="n">
        <v>90862</v>
      </c>
      <c r="D64" s="0" t="n">
        <v>48358</v>
      </c>
      <c r="E64" s="0" t="n">
        <v>24096</v>
      </c>
      <c r="F64" s="0" t="n">
        <v>12556</v>
      </c>
      <c r="G64" s="0" t="n">
        <v>5950</v>
      </c>
      <c r="H64" s="0" t="n">
        <v>2798</v>
      </c>
      <c r="I64" s="0" t="n">
        <v>1381</v>
      </c>
      <c r="J64" s="0" t="n">
        <v>763</v>
      </c>
      <c r="K64" s="0" t="n">
        <v>490</v>
      </c>
      <c r="L64" s="0" t="n">
        <v>326</v>
      </c>
      <c r="M64" s="0" t="n">
        <v>225</v>
      </c>
      <c r="N64" s="0" t="n">
        <v>176</v>
      </c>
      <c r="O64" s="0" t="n">
        <v>149</v>
      </c>
      <c r="P64" s="0" t="n">
        <v>125</v>
      </c>
      <c r="Q64" s="0" t="n">
        <v>98</v>
      </c>
      <c r="R64" s="0" t="n">
        <v>75</v>
      </c>
      <c r="S64" s="0" t="n">
        <v>66</v>
      </c>
      <c r="T64" s="0" t="n">
        <v>60</v>
      </c>
      <c r="U64" s="0" t="n">
        <v>54</v>
      </c>
      <c r="V64" s="0" t="n">
        <v>45</v>
      </c>
      <c r="W64" s="0" t="n">
        <v>41</v>
      </c>
      <c r="X64" s="0" t="n">
        <v>32</v>
      </c>
      <c r="Y64" s="0" t="n">
        <v>28</v>
      </c>
      <c r="Z64" s="0" t="n">
        <v>24</v>
      </c>
      <c r="AA64" s="0" t="n">
        <v>22</v>
      </c>
      <c r="AB64" s="0" t="n">
        <v>21</v>
      </c>
      <c r="AC64" s="0" t="n">
        <v>4</v>
      </c>
      <c r="AD64" s="0" t="n">
        <v>0</v>
      </c>
      <c r="AE64" s="0" t="n">
        <v>0</v>
      </c>
    </row>
    <row r="65" customFormat="false" ht="15.8" hidden="false" customHeight="false" outlineLevel="0" collapsed="false">
      <c r="A65" s="0" t="n">
        <v>4.923135</v>
      </c>
      <c r="B65" s="0" t="n">
        <v>29157</v>
      </c>
      <c r="C65" s="0" t="n">
        <v>17360</v>
      </c>
      <c r="D65" s="0" t="n">
        <v>9287</v>
      </c>
      <c r="E65" s="0" t="n">
        <v>4587</v>
      </c>
      <c r="F65" s="0" t="n">
        <v>2348</v>
      </c>
      <c r="G65" s="0" t="n">
        <v>1088</v>
      </c>
      <c r="H65" s="0" t="n">
        <v>532</v>
      </c>
      <c r="I65" s="0" t="n">
        <v>270</v>
      </c>
      <c r="J65" s="0" t="n">
        <v>164</v>
      </c>
      <c r="K65" s="0" t="n">
        <v>115</v>
      </c>
      <c r="L65" s="0" t="n">
        <v>70</v>
      </c>
      <c r="M65" s="0" t="n">
        <v>48</v>
      </c>
      <c r="N65" s="0" t="n">
        <v>40</v>
      </c>
      <c r="O65" s="0" t="n">
        <v>36</v>
      </c>
      <c r="P65" s="0" t="n">
        <v>34</v>
      </c>
      <c r="Q65" s="0" t="n">
        <v>31</v>
      </c>
      <c r="R65" s="0" t="n">
        <v>23</v>
      </c>
      <c r="S65" s="0" t="n">
        <v>19</v>
      </c>
      <c r="T65" s="0" t="n">
        <v>17</v>
      </c>
      <c r="U65" s="0" t="n">
        <v>14</v>
      </c>
      <c r="V65" s="0" t="n">
        <v>13</v>
      </c>
      <c r="W65" s="0" t="n">
        <v>9</v>
      </c>
      <c r="X65" s="0" t="n">
        <v>8</v>
      </c>
      <c r="Y65" s="0" t="n">
        <v>7</v>
      </c>
      <c r="Z65" s="0" t="n">
        <v>6</v>
      </c>
      <c r="AA65" s="0" t="n">
        <v>5</v>
      </c>
      <c r="AB65" s="0" t="n">
        <v>5</v>
      </c>
      <c r="AC65" s="0" t="n">
        <v>4</v>
      </c>
      <c r="AD65" s="0" t="n">
        <v>1</v>
      </c>
      <c r="AE65" s="0" t="n">
        <v>1</v>
      </c>
    </row>
    <row r="66" customFormat="false" ht="15.8" hidden="false" customHeight="false" outlineLevel="0" collapsed="false">
      <c r="A66" s="0" t="n">
        <v>5.228722</v>
      </c>
      <c r="B66" s="0" t="n">
        <v>30687</v>
      </c>
      <c r="C66" s="0" t="n">
        <v>18503</v>
      </c>
      <c r="D66" s="0" t="n">
        <v>9843</v>
      </c>
      <c r="E66" s="0" t="n">
        <v>4921</v>
      </c>
      <c r="F66" s="0" t="n">
        <v>2546</v>
      </c>
      <c r="G66" s="0" t="n">
        <v>1198</v>
      </c>
      <c r="H66" s="0" t="n">
        <v>560</v>
      </c>
      <c r="I66" s="0" t="n">
        <v>276</v>
      </c>
      <c r="J66" s="0" t="n">
        <v>149</v>
      </c>
      <c r="K66" s="0" t="n">
        <v>100</v>
      </c>
      <c r="L66" s="0" t="n">
        <v>66</v>
      </c>
      <c r="M66" s="0" t="n">
        <v>50</v>
      </c>
      <c r="N66" s="0" t="n">
        <v>38</v>
      </c>
      <c r="O66" s="0" t="n">
        <v>33</v>
      </c>
      <c r="P66" s="0" t="n">
        <v>28</v>
      </c>
      <c r="Q66" s="0" t="n">
        <v>23</v>
      </c>
      <c r="R66" s="0" t="n">
        <v>20</v>
      </c>
      <c r="S66" s="0" t="n">
        <v>15</v>
      </c>
      <c r="T66" s="0" t="n">
        <v>12</v>
      </c>
      <c r="U66" s="0" t="n">
        <v>11</v>
      </c>
      <c r="V66" s="0" t="n">
        <v>10</v>
      </c>
      <c r="W66" s="0" t="n">
        <v>9</v>
      </c>
      <c r="X66" s="0" t="n">
        <v>7</v>
      </c>
      <c r="Y66" s="0" t="n">
        <v>5</v>
      </c>
      <c r="Z66" s="0" t="n">
        <v>5</v>
      </c>
      <c r="AA66" s="0" t="n">
        <v>4</v>
      </c>
      <c r="AB66" s="0" t="n">
        <v>3</v>
      </c>
      <c r="AC66" s="0" t="n">
        <v>0</v>
      </c>
      <c r="AD66" s="0" t="n">
        <v>0</v>
      </c>
      <c r="AE66" s="0" t="n">
        <v>0</v>
      </c>
    </row>
    <row r="67" customFormat="false" ht="15.8" hidden="false" customHeight="false" outlineLevel="0" collapsed="false">
      <c r="A67" s="0" t="n">
        <v>5.174204</v>
      </c>
      <c r="B67" s="0" t="n">
        <v>30764</v>
      </c>
      <c r="C67" s="0" t="n">
        <v>18397</v>
      </c>
      <c r="D67" s="0" t="n">
        <v>9784</v>
      </c>
      <c r="E67" s="0" t="n">
        <v>4957</v>
      </c>
      <c r="F67" s="0" t="n">
        <v>2570</v>
      </c>
      <c r="G67" s="0" t="n">
        <v>1203</v>
      </c>
      <c r="H67" s="0" t="n">
        <v>561</v>
      </c>
      <c r="I67" s="0" t="n">
        <v>286</v>
      </c>
      <c r="J67" s="0" t="n">
        <v>163</v>
      </c>
      <c r="K67" s="0" t="n">
        <v>97</v>
      </c>
      <c r="L67" s="0" t="n">
        <v>67</v>
      </c>
      <c r="M67" s="0" t="n">
        <v>51</v>
      </c>
      <c r="N67" s="0" t="n">
        <v>38</v>
      </c>
      <c r="O67" s="0" t="n">
        <v>34</v>
      </c>
      <c r="P67" s="0" t="n">
        <v>28</v>
      </c>
      <c r="Q67" s="0" t="n">
        <v>26</v>
      </c>
      <c r="R67" s="0" t="n">
        <v>24</v>
      </c>
      <c r="S67" s="0" t="n">
        <v>20</v>
      </c>
      <c r="T67" s="0" t="n">
        <v>17</v>
      </c>
      <c r="U67" s="0" t="n">
        <v>17</v>
      </c>
      <c r="V67" s="0" t="n">
        <v>16</v>
      </c>
      <c r="W67" s="0" t="n">
        <v>14</v>
      </c>
      <c r="X67" s="0" t="n">
        <v>13</v>
      </c>
      <c r="Y67" s="0" t="n">
        <v>10</v>
      </c>
      <c r="Z67" s="0" t="n">
        <v>10</v>
      </c>
      <c r="AA67" s="0" t="n">
        <v>10</v>
      </c>
      <c r="AB67" s="0" t="n">
        <v>7</v>
      </c>
      <c r="AC67" s="0" t="n">
        <v>2</v>
      </c>
      <c r="AD67" s="0" t="n">
        <v>1</v>
      </c>
      <c r="AE67" s="0" t="n">
        <v>1</v>
      </c>
    </row>
    <row r="68" customFormat="false" ht="15.8" hidden="false" customHeight="false" outlineLevel="0" collapsed="false">
      <c r="A68" s="0" t="n">
        <v>5.179934</v>
      </c>
      <c r="B68" s="0" t="n">
        <v>30363</v>
      </c>
      <c r="C68" s="0" t="n">
        <v>18440</v>
      </c>
      <c r="D68" s="0" t="n">
        <v>9952</v>
      </c>
      <c r="E68" s="0" t="n">
        <v>5035</v>
      </c>
      <c r="F68" s="0" t="n">
        <v>2656</v>
      </c>
      <c r="G68" s="0" t="n">
        <v>1267</v>
      </c>
      <c r="H68" s="0" t="n">
        <v>572</v>
      </c>
      <c r="I68" s="0" t="n">
        <v>277</v>
      </c>
      <c r="J68" s="0" t="n">
        <v>149</v>
      </c>
      <c r="K68" s="0" t="n">
        <v>98</v>
      </c>
      <c r="L68" s="0" t="n">
        <v>64</v>
      </c>
      <c r="M68" s="0" t="n">
        <v>47</v>
      </c>
      <c r="N68" s="0" t="n">
        <v>32</v>
      </c>
      <c r="O68" s="0" t="n">
        <v>27</v>
      </c>
      <c r="P68" s="0" t="n">
        <v>21</v>
      </c>
      <c r="Q68" s="0" t="n">
        <v>17</v>
      </c>
      <c r="R68" s="0" t="n">
        <v>17</v>
      </c>
      <c r="S68" s="0" t="n">
        <v>13</v>
      </c>
      <c r="T68" s="0" t="n">
        <v>12</v>
      </c>
      <c r="U68" s="0" t="n">
        <v>11</v>
      </c>
      <c r="V68" s="0" t="n">
        <v>9</v>
      </c>
      <c r="W68" s="0" t="n">
        <v>7</v>
      </c>
      <c r="X68" s="0" t="n">
        <v>7</v>
      </c>
      <c r="Y68" s="0" t="n">
        <v>5</v>
      </c>
      <c r="Z68" s="0" t="n">
        <v>5</v>
      </c>
      <c r="AA68" s="0" t="n">
        <v>5</v>
      </c>
      <c r="AB68" s="0" t="n">
        <v>5</v>
      </c>
      <c r="AC68" s="0" t="n">
        <v>3</v>
      </c>
      <c r="AD68" s="0" t="n">
        <v>1</v>
      </c>
      <c r="AE68" s="0" t="n">
        <v>1</v>
      </c>
    </row>
    <row r="69" customFormat="false" ht="15.8" hidden="false" customHeight="false" outlineLevel="0" collapsed="false">
      <c r="A69" s="0" t="n">
        <v>5.227057</v>
      </c>
      <c r="B69" s="0" t="n">
        <v>30954</v>
      </c>
      <c r="C69" s="0" t="n">
        <v>18549</v>
      </c>
      <c r="D69" s="0" t="n">
        <v>9906</v>
      </c>
      <c r="E69" s="0" t="n">
        <v>4939</v>
      </c>
      <c r="F69" s="0" t="n">
        <v>2616</v>
      </c>
      <c r="G69" s="0" t="n">
        <v>1255</v>
      </c>
      <c r="H69" s="0" t="n">
        <v>588</v>
      </c>
      <c r="I69" s="0" t="n">
        <v>317</v>
      </c>
      <c r="J69" s="0" t="n">
        <v>180</v>
      </c>
      <c r="K69" s="0" t="n">
        <v>116</v>
      </c>
      <c r="L69" s="0" t="n">
        <v>81</v>
      </c>
      <c r="M69" s="0" t="n">
        <v>59</v>
      </c>
      <c r="N69" s="0" t="n">
        <v>41</v>
      </c>
      <c r="O69" s="0" t="n">
        <v>32</v>
      </c>
      <c r="P69" s="0" t="n">
        <v>26</v>
      </c>
      <c r="Q69" s="0" t="n">
        <v>23</v>
      </c>
      <c r="R69" s="0" t="n">
        <v>18</v>
      </c>
      <c r="S69" s="0" t="n">
        <v>18</v>
      </c>
      <c r="T69" s="0" t="n">
        <v>16</v>
      </c>
      <c r="U69" s="0" t="n">
        <v>12</v>
      </c>
      <c r="V69" s="0" t="n">
        <v>11</v>
      </c>
      <c r="W69" s="0" t="n">
        <v>9</v>
      </c>
      <c r="X69" s="0" t="n">
        <v>7</v>
      </c>
      <c r="Y69" s="0" t="n">
        <v>5</v>
      </c>
      <c r="Z69" s="0" t="n">
        <v>5</v>
      </c>
      <c r="AA69" s="0" t="n">
        <v>5</v>
      </c>
      <c r="AB69" s="0" t="n">
        <v>4</v>
      </c>
      <c r="AC69" s="0" t="n">
        <v>3</v>
      </c>
      <c r="AD69" s="0" t="n">
        <v>0</v>
      </c>
      <c r="AE69" s="0" t="n">
        <v>0</v>
      </c>
    </row>
    <row r="70" customFormat="false" ht="15.8" hidden="false" customHeight="false" outlineLevel="0" collapsed="false">
      <c r="A70" s="0" t="n">
        <v>25.733051</v>
      </c>
      <c r="B70" s="0" t="n">
        <v>151924</v>
      </c>
      <c r="C70" s="0" t="n">
        <v>91248</v>
      </c>
      <c r="D70" s="0" t="n">
        <v>48772</v>
      </c>
      <c r="E70" s="0" t="n">
        <v>24438</v>
      </c>
      <c r="F70" s="0" t="n">
        <v>12735</v>
      </c>
      <c r="G70" s="0" t="n">
        <v>6011</v>
      </c>
      <c r="H70" s="0" t="n">
        <v>2812</v>
      </c>
      <c r="I70" s="0" t="n">
        <v>1426</v>
      </c>
      <c r="J70" s="0" t="n">
        <v>804</v>
      </c>
      <c r="K70" s="0" t="n">
        <v>526</v>
      </c>
      <c r="L70" s="0" t="n">
        <v>348</v>
      </c>
      <c r="M70" s="0" t="n">
        <v>255</v>
      </c>
      <c r="N70" s="0" t="n">
        <v>189</v>
      </c>
      <c r="O70" s="0" t="n">
        <v>162</v>
      </c>
      <c r="P70" s="0" t="n">
        <v>137</v>
      </c>
      <c r="Q70" s="0" t="n">
        <v>120</v>
      </c>
      <c r="R70" s="0" t="n">
        <v>102</v>
      </c>
      <c r="S70" s="0" t="n">
        <v>85</v>
      </c>
      <c r="T70" s="0" t="n">
        <v>74</v>
      </c>
      <c r="U70" s="0" t="n">
        <v>65</v>
      </c>
      <c r="V70" s="0" t="n">
        <v>59</v>
      </c>
      <c r="W70" s="0" t="n">
        <v>48</v>
      </c>
      <c r="X70" s="0" t="n">
        <v>42</v>
      </c>
      <c r="Y70" s="0" t="n">
        <v>32</v>
      </c>
      <c r="Z70" s="0" t="n">
        <v>31</v>
      </c>
      <c r="AA70" s="0" t="n">
        <v>29</v>
      </c>
      <c r="AB70" s="0" t="n">
        <v>24</v>
      </c>
      <c r="AC70" s="0" t="n">
        <v>12</v>
      </c>
      <c r="AD70" s="0" t="n">
        <v>3</v>
      </c>
      <c r="AE70" s="0" t="n">
        <v>3</v>
      </c>
    </row>
    <row r="71" customFormat="false" ht="15.8" hidden="false" customHeight="false" outlineLevel="0" collapsed="false">
      <c r="H71" s="37"/>
      <c r="J71" s="37"/>
    </row>
    <row r="72" customFormat="false" ht="15.8" hidden="false" customHeight="false" outlineLevel="0" collapsed="false">
      <c r="G72" s="37"/>
      <c r="H72" s="37"/>
      <c r="I72" s="37"/>
      <c r="J72" s="37"/>
    </row>
    <row r="73" customFormat="false" ht="15.8" hidden="false" customHeight="false" outlineLevel="0" collapsed="false">
      <c r="A73" s="5"/>
    </row>
    <row r="74" customFormat="false" ht="15.8" hidden="false" customHeight="false" outlineLevel="0" collapsed="false"/>
    <row r="75" customFormat="false" ht="15.8" hidden="false" customHeight="false" outlineLevel="0" collapsed="false"/>
    <row r="76" customFormat="false" ht="15.8" hidden="false" customHeight="false" outlineLevel="0" collapsed="false"/>
    <row r="77" customFormat="false" ht="15.8" hidden="false" customHeight="false" outlineLevel="0" collapsed="false">
      <c r="H77" s="79"/>
      <c r="J77" s="79"/>
    </row>
    <row r="78" customFormat="false" ht="15.8" hidden="false" customHeight="false" outlineLevel="0" collapsed="false">
      <c r="A78" s="5"/>
      <c r="H78" s="170"/>
      <c r="J78" s="170"/>
    </row>
    <row r="79" customFormat="false" ht="15.8" hidden="false" customHeight="false" outlineLevel="0" collapsed="false">
      <c r="K79" s="85"/>
    </row>
    <row r="80" customFormat="false" ht="15.8" hidden="false" customHeight="false" outlineLevel="0" collapsed="false"/>
    <row r="81" customFormat="false" ht="15.8" hidden="false" customHeight="false" outlineLevel="0" collapsed="false"/>
    <row r="82" customFormat="false" ht="15.8" hidden="false" customHeight="false" outlineLevel="0" collapsed="false"/>
    <row r="83" customFormat="false" ht="15.8" hidden="false" customHeight="false" outlineLevel="0" collapsed="false"/>
    <row r="84" customFormat="false" ht="15.8" hidden="false" customHeight="false" outlineLevel="0" collapsed="false"/>
    <row r="85" customFormat="false" ht="15.8" hidden="false" customHeight="false" outlineLevel="0" collapsed="false"/>
    <row r="86" customFormat="false" ht="15.8" hidden="false" customHeight="false" outlineLevel="0" collapsed="false"/>
    <row r="87" customFormat="false" ht="15.8" hidden="false" customHeight="false" outlineLevel="0" collapsed="false"/>
    <row r="88" customFormat="false" ht="15.8" hidden="false" customHeight="false" outlineLevel="0" collapsed="false"/>
    <row r="89" customFormat="false" ht="15.8" hidden="false" customHeight="false" outlineLevel="0" collapsed="false"/>
    <row r="90" customFormat="false" ht="15.8" hidden="false" customHeight="false" outlineLevel="0" collapsed="false"/>
    <row r="91" customFormat="false" ht="15.8" hidden="false" customHeight="false" outlineLevel="0" collapsed="false"/>
    <row r="92" customFormat="false" ht="15.8" hidden="false" customHeight="false" outlineLevel="0" collapsed="false"/>
    <row r="93" customFormat="false" ht="15.8" hidden="false" customHeight="false" outlineLevel="0" collapsed="false"/>
    <row r="94" customFormat="false" ht="15.8" hidden="false" customHeight="false" outlineLevel="0" collapsed="false"/>
    <row r="95" customFormat="false" ht="15.8" hidden="false" customHeight="false" outlineLevel="0" collapsed="false"/>
    <row r="96" customFormat="false" ht="15.8" hidden="false" customHeight="false" outlineLevel="0" collapsed="false"/>
    <row r="97" customFormat="false" ht="15.8" hidden="false" customHeight="false" outlineLevel="0" collapsed="false"/>
    <row r="98" customFormat="false" ht="15.8" hidden="false" customHeight="false" outlineLevel="0" collapsed="false"/>
    <row r="99" customFormat="false" ht="15.8" hidden="false" customHeight="false" outlineLevel="0" collapsed="false"/>
    <row r="100" customFormat="false" ht="15.8" hidden="false" customHeight="false" outlineLevel="0" collapsed="false"/>
    <row r="101" customFormat="false" ht="15.8" hidden="false" customHeight="false" outlineLevel="0" collapsed="false"/>
  </sheetData>
  <conditionalFormatting sqref="H9:H40">
    <cfRule type="cellIs" priority="2" operator="greaterThan" aboveAverage="0" equalAverage="0" bottom="0" percent="0" rank="0" text="" dxfId="0">
      <formula>1000</formula>
    </cfRule>
  </conditionalFormatting>
  <conditionalFormatting sqref="K9:K38">
    <cfRule type="cellIs" priority="3" operator="lessThan" aboveAverage="0" equalAverage="0" bottom="0" percent="0" rank="0" text="" dxfId="0">
      <formula>J11</formula>
    </cfRule>
  </conditionalFormatting>
  <printOptions headings="false" gridLines="false" gridLinesSet="true" horizontalCentered="false" verticalCentered="false"/>
  <pageMargins left="0.7875" right="0.7875" top="1.05277777777778" bottom="1.74166666666667" header="0.7875" footer="0.7875"/>
  <pageSetup paperSize="9" scale="110" fitToWidth="1" fitToHeight="1" pageOrder="downThenOver" orientation="landscape" blackAndWhite="false" draft="false" cellComments="none" horizontalDpi="300" verticalDpi="300" copies="1"/>
  <headerFooter differentFirst="false" differentOddEven="false">
    <oddHeader>&amp;C&amp;"Times New Roman,Regular"&amp;12&amp;Kffffff&amp;A</oddHeader>
    <oddFooter>&amp;C&amp;"Times New Roman,Regular"&amp;12&amp;KffffffPage &amp;P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W79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B14" activeCellId="0" sqref="B14"/>
    </sheetView>
  </sheetViews>
  <sheetFormatPr defaultColWidth="10.4921875" defaultRowHeight="15.8" zeroHeight="false" outlineLevelRow="0" outlineLevelCol="0"/>
  <sheetData>
    <row r="1" customFormat="false" ht="15.8" hidden="false" customHeight="false" outlineLevel="0" collapsed="false">
      <c r="A1" s="0" t="s">
        <v>300</v>
      </c>
    </row>
    <row r="2" customFormat="false" ht="40.6" hidden="false" customHeight="false" outlineLevel="0" collapsed="false">
      <c r="O2" s="97"/>
    </row>
    <row r="4" customFormat="false" ht="40.6" hidden="false" customHeight="false" outlineLevel="0" collapsed="false">
      <c r="A4" s="5" t="s">
        <v>27</v>
      </c>
      <c r="O4" s="97" t="s">
        <v>87</v>
      </c>
    </row>
    <row r="5" customFormat="false" ht="15.8" hidden="false" customHeight="false" outlineLevel="0" collapsed="false">
      <c r="O5" s="31" t="n">
        <v>45798</v>
      </c>
    </row>
    <row r="6" customFormat="false" ht="15.8" hidden="false" customHeight="false" outlineLevel="0" collapsed="false">
      <c r="A6" s="0" t="s">
        <v>114</v>
      </c>
      <c r="B6" s="5"/>
      <c r="C6" s="5"/>
      <c r="D6" s="5"/>
      <c r="E6" s="5"/>
      <c r="F6" s="5"/>
      <c r="O6" s="0" t="s">
        <v>302</v>
      </c>
    </row>
    <row r="7" customFormat="false" ht="15.8" hidden="false" customHeight="false" outlineLevel="0" collapsed="false">
      <c r="B7" s="85" t="s">
        <v>40</v>
      </c>
      <c r="C7" s="85" t="s">
        <v>41</v>
      </c>
      <c r="D7" s="85" t="s">
        <v>42</v>
      </c>
      <c r="E7" s="85" t="s">
        <v>43</v>
      </c>
      <c r="F7" s="85" t="s">
        <v>44</v>
      </c>
      <c r="G7" s="85" t="s">
        <v>138</v>
      </c>
      <c r="H7" s="85" t="s">
        <v>139</v>
      </c>
      <c r="I7" s="85" t="s">
        <v>140</v>
      </c>
      <c r="J7" s="85" t="s">
        <v>141</v>
      </c>
      <c r="K7" s="85" t="s">
        <v>142</v>
      </c>
      <c r="M7" s="85"/>
    </row>
    <row r="8" customFormat="false" ht="15.8" hidden="false" customHeight="false" outlineLevel="0" collapsed="false">
      <c r="A8" s="80" t="s">
        <v>144</v>
      </c>
      <c r="B8" s="0" t="n">
        <v>4.877143</v>
      </c>
      <c r="C8" s="0" t="n">
        <v>5.196125</v>
      </c>
      <c r="D8" s="0" t="n">
        <v>5.131249</v>
      </c>
      <c r="E8" s="0" t="n">
        <v>5.19361</v>
      </c>
      <c r="F8" s="0" t="n">
        <v>5.140053</v>
      </c>
      <c r="G8" s="100" t="n">
        <v>25.517626</v>
      </c>
      <c r="H8" s="100" t="n">
        <f aca="false">AVERAGE(B$8:F$8)*5</f>
        <v>25.53818</v>
      </c>
      <c r="I8" s="101"/>
      <c r="K8" s="101"/>
    </row>
    <row r="9" customFormat="false" ht="15.8" hidden="false" customHeight="false" outlineLevel="0" collapsed="false">
      <c r="A9" s="105" t="s">
        <v>145</v>
      </c>
      <c r="B9" s="107" t="n">
        <v>28618</v>
      </c>
      <c r="C9" s="107" t="n">
        <v>30775</v>
      </c>
      <c r="D9" s="107" t="n">
        <v>30220</v>
      </c>
      <c r="E9" s="107" t="n">
        <v>30933</v>
      </c>
      <c r="F9" s="107" t="n">
        <v>31112</v>
      </c>
      <c r="G9" s="164" t="n">
        <f aca="false">AVERAGE(B9:F9)/AVERAGE(B$8:F$8)</f>
        <v>5938.48112903895</v>
      </c>
      <c r="H9" s="165" t="n">
        <f aca="false">G9*H$8</f>
        <v>151658</v>
      </c>
      <c r="I9" s="166" t="n">
        <f aca="false">STDEVP(B9:F9)/AVERAGE(B9:F9)</f>
        <v>0.0299135077125193</v>
      </c>
      <c r="J9" s="166" t="n">
        <f aca="false">IF(H9&gt;$A$43, $C$43, IF(H9&gt;$A$44, $C$44, IF(H9&gt;$A$45,$C$45,IF(H9&gt;$A$46,$C$46, IF(H9&gt;$A$47,$C$47,IF(H9&gt;$A$48,$C$48,$C$49))))))/100</f>
        <v>0.11</v>
      </c>
      <c r="K9" s="166" t="n">
        <f aca="false">(MAX(B9:F9)-MIN(B9:F9))/H9*5</f>
        <v>0.0822244787614238</v>
      </c>
      <c r="M9" s="37"/>
    </row>
    <row r="10" customFormat="false" ht="15.8" hidden="false" customHeight="false" outlineLevel="0" collapsed="false">
      <c r="A10" s="80" t="s">
        <v>146</v>
      </c>
      <c r="B10" s="0" t="n">
        <v>17169</v>
      </c>
      <c r="C10" s="0" t="n">
        <v>18382</v>
      </c>
      <c r="D10" s="0" t="n">
        <v>18044</v>
      </c>
      <c r="E10" s="0" t="n">
        <v>18516</v>
      </c>
      <c r="F10" s="0" t="n">
        <v>18750</v>
      </c>
      <c r="G10" s="15" t="n">
        <f aca="false">AVERAGE(B10:F10)/AVERAGE(B$8:F$8)</f>
        <v>3557.84946303926</v>
      </c>
      <c r="H10" s="103" t="n">
        <f aca="false">G10*H$8</f>
        <v>90861</v>
      </c>
      <c r="I10" s="101" t="n">
        <f aca="false">STDEVP(B10:F10)/AVERAGE(B10:F10)</f>
        <v>0.0303301047955955</v>
      </c>
      <c r="J10" s="101" t="n">
        <f aca="false">IF(H10&gt;$A$43, $C$43, IF(H10&gt;$A$44, $C$44, IF(H10&gt;$A$45,$C$45,IF(H10&gt;$A$46,$C$46, IF(H10&gt;$A$47,$C$47,IF(H10&gt;$A$48,$C$48,$C$49))))))/100</f>
        <v>0.11</v>
      </c>
      <c r="K10" s="101" t="n">
        <f aca="false">(MAX(B10:F10)-MIN(B10:F10))/H10*5</f>
        <v>0.0870010235414534</v>
      </c>
      <c r="M10" s="37"/>
    </row>
    <row r="11" customFormat="false" ht="15.8" hidden="false" customHeight="false" outlineLevel="0" collapsed="false">
      <c r="A11" s="80" t="s">
        <v>147</v>
      </c>
      <c r="B11" s="0" t="n">
        <v>9054</v>
      </c>
      <c r="C11" s="0" t="n">
        <v>9822</v>
      </c>
      <c r="D11" s="0" t="n">
        <v>9679</v>
      </c>
      <c r="E11" s="0" t="n">
        <v>9907</v>
      </c>
      <c r="F11" s="0" t="n">
        <v>9896</v>
      </c>
      <c r="G11" s="15" t="n">
        <f aca="false">AVERAGE(B11:F11)/AVERAGE(B$8:F$8)</f>
        <v>1893.55701933341</v>
      </c>
      <c r="H11" s="103" t="n">
        <f aca="false">G11*H$8</f>
        <v>48358</v>
      </c>
      <c r="I11" s="101" t="n">
        <f aca="false">STDEVP(B11:F11)/AVERAGE(B11:F11)</f>
        <v>0.0330177719679551</v>
      </c>
      <c r="J11" s="101" t="n">
        <f aca="false">IF(H11&gt;$A$43, $C$43, IF(H11&gt;$A$44, $C$44, IF(H11&gt;$A$45,$C$45,IF(H11&gt;$A$46,$C$46, IF(H11&gt;$A$47,$C$47,IF(H11&gt;$A$48,$C$48,$C$49))))))/100</f>
        <v>0.11</v>
      </c>
      <c r="K11" s="101" t="n">
        <f aca="false">(MAX(B11:F11)-MIN(B11:F11))/H11*5</f>
        <v>0.0881963687497415</v>
      </c>
      <c r="M11" s="37"/>
    </row>
    <row r="12" customFormat="false" ht="15.8" hidden="false" customHeight="false" outlineLevel="0" collapsed="false">
      <c r="A12" s="80" t="s">
        <v>148</v>
      </c>
      <c r="B12" s="0" t="n">
        <v>4444</v>
      </c>
      <c r="C12" s="0" t="n">
        <v>4919</v>
      </c>
      <c r="D12" s="0" t="n">
        <v>4826</v>
      </c>
      <c r="E12" s="0" t="n">
        <v>4934</v>
      </c>
      <c r="F12" s="0" t="n">
        <v>4972</v>
      </c>
      <c r="G12" s="15" t="n">
        <f aca="false">AVERAGE(B12:F12)/AVERAGE(B$8:F$8)</f>
        <v>943.489316779818</v>
      </c>
      <c r="H12" s="103" t="n">
        <f aca="false">G12*H$8</f>
        <v>24095</v>
      </c>
      <c r="I12" s="101" t="n">
        <f aca="false">STDEVP(B12:F12)/AVERAGE(B12:F12)</f>
        <v>0.0401639330860594</v>
      </c>
      <c r="J12" s="101" t="n">
        <f aca="false">IF(H12&gt;$A$43, $C$43, IF(H12&gt;$A$44, $C$44, IF(H12&gt;$A$45,$C$45,IF(H12&gt;$A$46,$C$46, IF(H12&gt;$A$47,$C$47,IF(H12&gt;$A$48,$C$48,$C$49))))))/100</f>
        <v>0.11</v>
      </c>
      <c r="K12" s="101" t="n">
        <f aca="false">(MAX(B12:F12)-MIN(B12:F12))/H12*5</f>
        <v>0.109566300062254</v>
      </c>
      <c r="M12" s="37"/>
    </row>
    <row r="13" customFormat="false" ht="15.8" hidden="false" customHeight="false" outlineLevel="0" collapsed="false">
      <c r="A13" s="80" t="s">
        <v>149</v>
      </c>
      <c r="C13" s="0" t="n">
        <v>2609</v>
      </c>
      <c r="D13" s="0" t="n">
        <v>2452</v>
      </c>
      <c r="E13" s="0" t="n">
        <v>2527</v>
      </c>
      <c r="F13" s="0" t="n">
        <v>2693</v>
      </c>
      <c r="G13" s="15" t="n">
        <f aca="false">AVERAGE(B13:F13)/AVERAGE(B$8:F$8)</f>
        <v>503.217143899839</v>
      </c>
      <c r="H13" s="103" t="n">
        <f aca="false">G13*H$8</f>
        <v>12851.25</v>
      </c>
      <c r="I13" s="101" t="n">
        <f aca="false">STDEVP(B13:F13)/AVERAGE(B13:F13)</f>
        <v>0.0350283403083702</v>
      </c>
      <c r="J13" s="101" t="n">
        <f aca="false">IF(H13&gt;$A$43, $C$43, IF(H13&gt;$A$44, $C$44, IF(H13&gt;$A$45,$C$45,IF(H13&gt;$A$46,$C$46, IF(H13&gt;$A$47,$C$47,IF(H13&gt;$A$48,$C$48,$C$49))))))/100</f>
        <v>0.11</v>
      </c>
      <c r="K13" s="101" t="n">
        <f aca="false">(MAX(B13:F13)-MIN(B13:F13))/H13*5</f>
        <v>0.0937651979379438</v>
      </c>
      <c r="M13" s="37"/>
    </row>
    <row r="14" customFormat="false" ht="15.8" hidden="false" customHeight="false" outlineLevel="0" collapsed="false">
      <c r="A14" s="110" t="s">
        <v>150</v>
      </c>
      <c r="B14" s="115"/>
      <c r="C14" s="115" t="n">
        <v>1234</v>
      </c>
      <c r="D14" s="115" t="n">
        <v>1174</v>
      </c>
      <c r="E14" s="115" t="n">
        <v>1206</v>
      </c>
      <c r="F14" s="115" t="n">
        <v>1268</v>
      </c>
      <c r="G14" s="167" t="n">
        <f aca="false">AVERAGE(B14:F14)/AVERAGE(B$8:F$8)</f>
        <v>238.955947526409</v>
      </c>
      <c r="H14" s="168" t="n">
        <f aca="false">G14*H$8</f>
        <v>6102.5</v>
      </c>
      <c r="I14" s="169" t="n">
        <f aca="false">STDEVP(B14:F14)/AVERAGE(B14:F14)</f>
        <v>0.0284151464708887</v>
      </c>
      <c r="J14" s="169" t="n">
        <f aca="false">IF(H14&gt;$A$43, $C$43, IF(H14&gt;$A$44, $C$44, IF(H14&gt;$A$45,$C$45,IF(H14&gt;$A$46,$C$46, IF(H14&gt;$A$47,$C$47,IF(H14&gt;$A$48,$C$48,$C$49))))))/100</f>
        <v>0.113</v>
      </c>
      <c r="K14" s="169" t="n">
        <f aca="false">(MAX(B14:F14)-MIN(B14:F14))/H14*5</f>
        <v>0.0770176157312577</v>
      </c>
      <c r="M14" s="37"/>
    </row>
    <row r="15" customFormat="false" ht="15.8" hidden="false" customHeight="false" outlineLevel="0" collapsed="false">
      <c r="A15" s="80" t="s">
        <v>151</v>
      </c>
      <c r="B15" s="0" t="n">
        <v>487</v>
      </c>
      <c r="C15" s="0" t="n">
        <v>606</v>
      </c>
      <c r="D15" s="0" t="n">
        <v>530</v>
      </c>
      <c r="E15" s="0" t="n">
        <v>579</v>
      </c>
      <c r="F15" s="0" t="n">
        <v>596</v>
      </c>
      <c r="G15" s="15" t="n">
        <f aca="false">AVERAGE(B15:F15)/AVERAGE(B$8:F$8)</f>
        <v>109.561448779827</v>
      </c>
      <c r="H15" s="103" t="n">
        <f aca="false">G15*H$8</f>
        <v>2798</v>
      </c>
      <c r="I15" s="101" t="n">
        <f aca="false">STDEVP(B15:F15)/AVERAGE(B15:F15)</f>
        <v>0.0799214488046376</v>
      </c>
      <c r="J15" s="101" t="n">
        <f aca="false">IF(H15&gt;$A$43, $C$43, IF(H15&gt;$A$44, $C$44, IF(H15&gt;$A$45,$C$45,IF(H15&gt;$A$46,$C$46, IF(H15&gt;$A$47,$C$47,IF(H15&gt;$A$48,$C$48,$C$49))))))/100</f>
        <v>0.119</v>
      </c>
      <c r="K15" s="101" t="n">
        <f aca="false">(MAX(B15:F15)-MIN(B15:F15))/H15*5</f>
        <v>0.21265189421015</v>
      </c>
      <c r="M15" s="37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</row>
    <row r="16" customFormat="false" ht="15.8" hidden="false" customHeight="false" outlineLevel="0" collapsed="false">
      <c r="A16" s="80" t="s">
        <v>152</v>
      </c>
      <c r="B16" s="0" t="n">
        <v>234</v>
      </c>
      <c r="C16" s="0" t="n">
        <v>304</v>
      </c>
      <c r="D16" s="0" t="n">
        <v>255</v>
      </c>
      <c r="E16" s="0" t="n">
        <v>297</v>
      </c>
      <c r="F16" s="0" t="n">
        <v>289</v>
      </c>
      <c r="G16" s="15" t="n">
        <f aca="false">AVERAGE(B16:F16)/AVERAGE(B$8:F$8)</f>
        <v>53.9975832263693</v>
      </c>
      <c r="H16" s="103" t="n">
        <f aca="false">G16*H$8</f>
        <v>1379</v>
      </c>
      <c r="I16" s="101" t="n">
        <f aca="false">STDEVP(B16:F16)/AVERAGE(B16:F16)</f>
        <v>0.0972746309691891</v>
      </c>
      <c r="J16" s="101" t="n">
        <f aca="false">IF(H16&gt;$A$43, $C$43, IF(H16&gt;$A$44, $C$44, IF(H16&gt;$A$45,$C$45,IF(H16&gt;$A$46,$C$46, IF(H16&gt;$A$47,$C$47,IF(H16&gt;$A$48,$C$48,$C$49))))))/100</f>
        <v>0.134</v>
      </c>
      <c r="K16" s="101" t="n">
        <f aca="false">(MAX(B16:F16)-MIN(B16:F16))/H16*5</f>
        <v>0.253807106598985</v>
      </c>
      <c r="M16" s="37"/>
      <c r="P16" s="5"/>
      <c r="Q16" s="5"/>
      <c r="R16" s="80"/>
      <c r="S16" s="80"/>
      <c r="T16" s="80"/>
      <c r="U16" s="80"/>
      <c r="V16" s="80"/>
      <c r="W16" s="80"/>
      <c r="X16" s="80"/>
      <c r="Y16" s="80"/>
      <c r="Z16" s="80"/>
      <c r="AA16" s="80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</row>
    <row r="17" customFormat="false" ht="15.8" hidden="false" customHeight="false" outlineLevel="0" collapsed="false">
      <c r="A17" s="80" t="s">
        <v>153</v>
      </c>
      <c r="B17" s="0" t="n">
        <v>130</v>
      </c>
      <c r="C17" s="0" t="n">
        <v>170</v>
      </c>
      <c r="D17" s="0" t="n">
        <v>137</v>
      </c>
      <c r="E17" s="0" t="n">
        <v>158</v>
      </c>
      <c r="F17" s="0" t="n">
        <v>169</v>
      </c>
      <c r="G17" s="15" t="n">
        <f aca="false">AVERAGE(B17:F17)/AVERAGE(B$8:F$8)</f>
        <v>29.9159924473866</v>
      </c>
      <c r="H17" s="103" t="n">
        <f aca="false">G17*H$8</f>
        <v>764</v>
      </c>
      <c r="I17" s="101" t="n">
        <f aca="false">STDEVP(B17:F17)/AVERAGE(B17:F17)</f>
        <v>0.107728158866766</v>
      </c>
      <c r="J17" s="101" t="n">
        <f aca="false">IF(H17&gt;$A$43, $C$43, IF(H17&gt;$A$44, $C$44, IF(H17&gt;$A$45,$C$45,IF(H17&gt;$A$46,$C$46, IF(H17&gt;$A$47,$C$47,IF(H17&gt;$A$48,$C$48,$C$49))))))/100</f>
        <v>0.156</v>
      </c>
      <c r="K17" s="101" t="n">
        <f aca="false">(MAX(B17:F17)-MIN(B17:F17))/H17*5</f>
        <v>0.261780104712042</v>
      </c>
      <c r="M17" s="37"/>
      <c r="P17" s="5"/>
      <c r="Q17" s="5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</row>
    <row r="18" customFormat="false" ht="15.8" hidden="false" customHeight="false" outlineLevel="0" collapsed="false">
      <c r="A18" s="80" t="s">
        <v>154</v>
      </c>
      <c r="B18" s="0" t="n">
        <v>84</v>
      </c>
      <c r="C18" s="0" t="n">
        <v>98</v>
      </c>
      <c r="D18" s="0" t="n">
        <v>95</v>
      </c>
      <c r="E18" s="0" t="n">
        <v>99</v>
      </c>
      <c r="F18" s="0" t="n">
        <v>114</v>
      </c>
      <c r="G18" s="15" t="n">
        <f aca="false">AVERAGE(B18:F18)/AVERAGE(B$8:F$8)</f>
        <v>19.1869585068317</v>
      </c>
      <c r="H18" s="103" t="n">
        <f aca="false">G18*H$8</f>
        <v>490</v>
      </c>
      <c r="I18" s="101" t="n">
        <f aca="false">STDEVP(B18:F18)/AVERAGE(B18:F18)</f>
        <v>0.0980866517607993</v>
      </c>
      <c r="J18" s="101" t="n">
        <f aca="false">IF(H18&gt;$A$43, $C$43, IF(H18&gt;$A$44, $C$44, IF(H18&gt;$A$45,$C$45,IF(H18&gt;$A$46,$C$46, IF(H18&gt;$A$47,$C$47,IF(H18&gt;$A$48,$C$48,$C$49))))))/100</f>
        <v>0.193</v>
      </c>
      <c r="K18" s="101" t="n">
        <f aca="false">(MAX(B18:F18)-MIN(B18:F18))/H18*5</f>
        <v>0.306122448979592</v>
      </c>
      <c r="M18" s="37"/>
      <c r="P18" s="5"/>
      <c r="Q18" s="5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</row>
    <row r="19" customFormat="false" ht="15.8" hidden="false" customHeight="false" outlineLevel="0" collapsed="false">
      <c r="A19" s="80" t="s">
        <v>155</v>
      </c>
      <c r="B19" s="0" t="n">
        <v>59</v>
      </c>
      <c r="C19" s="0" t="n">
        <v>62</v>
      </c>
      <c r="D19" s="0" t="n">
        <v>65</v>
      </c>
      <c r="E19" s="0" t="n">
        <v>64</v>
      </c>
      <c r="F19" s="0" t="n">
        <v>76</v>
      </c>
      <c r="G19" s="15" t="n">
        <f aca="false">AVERAGE(B19:F19)/AVERAGE(B$8:F$8)</f>
        <v>12.7652009657697</v>
      </c>
      <c r="H19" s="103" t="n">
        <f aca="false">G19*H$8</f>
        <v>326</v>
      </c>
      <c r="I19" s="101" t="n">
        <f aca="false">STDEVP(B19:F19)/AVERAGE(B19:F19)</f>
        <v>0.0885860679643782</v>
      </c>
      <c r="J19" s="101" t="n">
        <f aca="false">IF(H19&gt;$A$43, $C$43, IF(H19&gt;$A$44, $C$44, IF(H19&gt;$A$45,$C$45,IF(H19&gt;$A$46,$C$46, IF(H19&gt;$A$47,$C$47,IF(H19&gt;$A$48,$C$48,$C$49))))))/100</f>
        <v>0.193</v>
      </c>
      <c r="K19" s="101" t="n">
        <f aca="false">(MAX(B19:F19)-MIN(B19:F19))/H19*5</f>
        <v>0.260736196319018</v>
      </c>
      <c r="M19" s="37"/>
      <c r="P19" s="5"/>
      <c r="Q19" s="5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</row>
    <row r="20" customFormat="false" ht="15.8" hidden="false" customHeight="false" outlineLevel="0" collapsed="false">
      <c r="A20" s="80" t="s">
        <v>156</v>
      </c>
      <c r="B20" s="0" t="n">
        <v>37</v>
      </c>
      <c r="C20" s="0" t="n">
        <v>45</v>
      </c>
      <c r="D20" s="0" t="n">
        <v>44</v>
      </c>
      <c r="E20" s="0" t="n">
        <v>46</v>
      </c>
      <c r="F20" s="0" t="n">
        <v>53</v>
      </c>
      <c r="G20" s="15" t="n">
        <f aca="false">AVERAGE(B20:F20)/AVERAGE(B$8:F$8)</f>
        <v>8.81033808987171</v>
      </c>
      <c r="H20" s="103" t="n">
        <f aca="false">G20*H$8</f>
        <v>225</v>
      </c>
      <c r="I20" s="101" t="n">
        <f aca="false">STDEVP(B20:F20)/AVERAGE(B20:F20)</f>
        <v>0.113311544746506</v>
      </c>
      <c r="J20" s="101" t="n">
        <f aca="false">IF(H20&gt;$A$43, $C$43, IF(H20&gt;$A$44, $C$44, IF(H20&gt;$A$45,$C$45,IF(H20&gt;$A$46,$C$46, IF(H20&gt;$A$47,$C$47,IF(H20&gt;$A$48,$C$48,$C$49))))))/100</f>
        <v>0.193</v>
      </c>
      <c r="K20" s="101" t="n">
        <f aca="false">(MAX(B20:F20)-MIN(B20:F20))/H20*5</f>
        <v>0.355555555555556</v>
      </c>
      <c r="M20" s="37"/>
      <c r="P20" s="5"/>
      <c r="Q20" s="5"/>
      <c r="R20" s="80"/>
      <c r="S20" s="80"/>
      <c r="T20" s="80"/>
      <c r="U20" s="80"/>
      <c r="V20" s="80"/>
      <c r="W20" s="80"/>
      <c r="X20" s="80"/>
      <c r="Y20" s="80"/>
      <c r="Z20" s="80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</row>
    <row r="21" customFormat="false" ht="15.8" hidden="false" customHeight="false" outlineLevel="0" collapsed="false">
      <c r="A21" s="80" t="s">
        <v>157</v>
      </c>
      <c r="B21" s="0" t="n">
        <v>32</v>
      </c>
      <c r="C21" s="0" t="n">
        <v>38</v>
      </c>
      <c r="D21" s="0" t="n">
        <v>31</v>
      </c>
      <c r="E21" s="0" t="n">
        <v>36</v>
      </c>
      <c r="F21" s="0" t="n">
        <v>40</v>
      </c>
      <c r="G21" s="15" t="n">
        <f aca="false">AVERAGE(B21:F21)/AVERAGE(B$8:F$8)</f>
        <v>6.93079929736575</v>
      </c>
      <c r="H21" s="103" t="n">
        <f aca="false">G21*H$8</f>
        <v>177</v>
      </c>
      <c r="I21" s="101" t="n">
        <f aca="false">STDEVP(B21:F21)/AVERAGE(B21:F21)</f>
        <v>0.0972014154468093</v>
      </c>
      <c r="J21" s="101" t="n">
        <f aca="false">IF(H21&gt;$A$43, $C$43, IF(H21&gt;$A$44, $C$44, IF(H21&gt;$A$45,$C$45,IF(H21&gt;$A$46,$C$46, IF(H21&gt;$A$47,$C$47,IF(H21&gt;$A$48,$C$48,$C$49))))))/100</f>
        <v>0.275</v>
      </c>
      <c r="K21" s="101" t="n">
        <f aca="false">(MAX(B21:F21)-MIN(B21:F21))/H21*5</f>
        <v>0.254237288135593</v>
      </c>
      <c r="M21" s="37"/>
      <c r="O21" s="5"/>
      <c r="R21" s="85"/>
      <c r="S21" s="85"/>
      <c r="T21" s="80"/>
      <c r="U21" s="80"/>
      <c r="V21" s="80"/>
      <c r="W21" s="80"/>
      <c r="X21" s="80"/>
      <c r="Y21" s="80"/>
      <c r="Z21" s="80"/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</row>
    <row r="22" customFormat="false" ht="15.8" hidden="false" customHeight="false" outlineLevel="0" collapsed="false">
      <c r="A22" s="80" t="s">
        <v>158</v>
      </c>
      <c r="B22" s="0" t="n">
        <v>25</v>
      </c>
      <c r="C22" s="0" t="n">
        <v>35</v>
      </c>
      <c r="D22" s="0" t="n">
        <v>24</v>
      </c>
      <c r="E22" s="0" t="n">
        <v>34</v>
      </c>
      <c r="F22" s="0" t="n">
        <v>31</v>
      </c>
      <c r="G22" s="15" t="n">
        <f aca="false">AVERAGE(B22:F22)/AVERAGE(B$8:F$8)</f>
        <v>5.83440166840394</v>
      </c>
      <c r="H22" s="103" t="n">
        <f aca="false">G22*H$8</f>
        <v>149</v>
      </c>
      <c r="I22" s="101" t="n">
        <f aca="false">STDEVP(B22:F22)/AVERAGE(B22:F22)</f>
        <v>0.152158175151069</v>
      </c>
      <c r="J22" s="101" t="n">
        <f aca="false">IF(H22&gt;$A$43, $C$43, IF(H22&gt;$A$44, $C$44, IF(H22&gt;$A$45,$C$45,IF(H22&gt;$A$46,$C$46, IF(H22&gt;$A$47,$C$47,IF(H22&gt;$A$48,$C$48,$C$49))))))/100</f>
        <v>0.275</v>
      </c>
      <c r="K22" s="101" t="n">
        <f aca="false">(MAX(B22:F22)-MIN(B22:F22))/H22*5</f>
        <v>0.369127516778524</v>
      </c>
      <c r="M22" s="37"/>
      <c r="O22" s="85"/>
      <c r="P22" s="80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</row>
    <row r="23" customFormat="false" ht="15.8" hidden="false" customHeight="false" outlineLevel="0" collapsed="false">
      <c r="A23" s="80" t="s">
        <v>159</v>
      </c>
      <c r="B23" s="0" t="n">
        <v>21</v>
      </c>
      <c r="C23" s="0" t="n">
        <v>30</v>
      </c>
      <c r="D23" s="0" t="n">
        <v>19</v>
      </c>
      <c r="E23" s="0" t="n">
        <v>28</v>
      </c>
      <c r="F23" s="0" t="n">
        <v>27</v>
      </c>
      <c r="G23" s="15" t="n">
        <f aca="false">AVERAGE(B23:F23)/AVERAGE(B$8:F$8)</f>
        <v>4.89463227215095</v>
      </c>
      <c r="H23" s="103" t="n">
        <f aca="false">G23*H$8</f>
        <v>125</v>
      </c>
      <c r="I23" s="101" t="n">
        <f aca="false">STDEVP(B23:F23)/AVERAGE(B23:F23)</f>
        <v>0.169705627484771</v>
      </c>
      <c r="J23" s="101" t="n">
        <f aca="false">IF(H23&gt;$A$43, $C$43, IF(H23&gt;$A$44, $C$44, IF(H23&gt;$A$45,$C$45,IF(H23&gt;$A$46,$C$46, IF(H23&gt;$A$47,$C$47,IF(H23&gt;$A$48,$C$48,$C$49))))))/100</f>
        <v>0.275</v>
      </c>
      <c r="K23" s="101" t="n">
        <f aca="false">(MAX(B23:F23)-MIN(B23:F23))/H23*5</f>
        <v>0.44</v>
      </c>
      <c r="M23" s="37"/>
      <c r="O23" s="85"/>
      <c r="T23" s="79"/>
      <c r="U23" s="79"/>
      <c r="V23" s="79"/>
      <c r="W23" s="79"/>
      <c r="X23" s="79"/>
      <c r="Y23" s="79"/>
      <c r="Z23" s="79"/>
      <c r="AA23" s="79"/>
      <c r="AB23" s="79"/>
      <c r="AC23" s="79"/>
      <c r="AD23" s="79"/>
      <c r="AE23" s="79"/>
      <c r="AF23" s="79"/>
      <c r="AG23" s="79"/>
      <c r="AH23" s="79"/>
      <c r="AI23" s="79"/>
      <c r="AJ23" s="79"/>
      <c r="AK23" s="79"/>
      <c r="AL23" s="79"/>
      <c r="AM23" s="79"/>
      <c r="AN23" s="79"/>
      <c r="AO23" s="79"/>
      <c r="AP23" s="79"/>
      <c r="AQ23" s="79"/>
      <c r="AR23" s="79"/>
      <c r="AS23" s="79"/>
      <c r="AT23" s="79"/>
      <c r="AU23" s="79"/>
      <c r="AV23" s="79"/>
      <c r="AW23" s="79"/>
    </row>
    <row r="24" customFormat="false" ht="15.8" hidden="false" customHeight="false" outlineLevel="0" collapsed="false">
      <c r="A24" s="80" t="s">
        <v>160</v>
      </c>
      <c r="B24" s="0" t="n">
        <v>18</v>
      </c>
      <c r="C24" s="0" t="n">
        <v>21</v>
      </c>
      <c r="D24" s="0" t="n">
        <v>15</v>
      </c>
      <c r="E24" s="0" t="n">
        <v>24</v>
      </c>
      <c r="F24" s="0" t="n">
        <v>20</v>
      </c>
      <c r="G24" s="15" t="n">
        <f aca="false">AVERAGE(B24:F24)/AVERAGE(B$8:F$8)</f>
        <v>3.83739170136635</v>
      </c>
      <c r="H24" s="103" t="n">
        <f aca="false">G24*H$8</f>
        <v>98</v>
      </c>
      <c r="I24" s="101" t="n">
        <f aca="false">STDEVP(B24:F24)/AVERAGE(B24:F24)</f>
        <v>0.153400983452785</v>
      </c>
      <c r="J24" s="101" t="n">
        <f aca="false">IF(H24&gt;$A$43, $C$43, IF(H24&gt;$A$44, $C$44, IF(H24&gt;$A$45,$C$45,IF(H24&gt;$A$46,$C$46, IF(H24&gt;$A$47,$C$47,IF(H24&gt;$A$48,$C$48,$C$49))))))/100</f>
        <v>0.275</v>
      </c>
      <c r="K24" s="101" t="n">
        <f aca="false">(MAX(B24:F24)-MIN(B24:F24))/H24*5</f>
        <v>0.459183673469388</v>
      </c>
      <c r="M24" s="37"/>
      <c r="O24" s="85"/>
      <c r="T24" s="101"/>
      <c r="U24" s="101"/>
      <c r="V24" s="101"/>
      <c r="W24" s="101"/>
      <c r="X24" s="101"/>
      <c r="Y24" s="101"/>
      <c r="Z24" s="101"/>
      <c r="AA24" s="101"/>
      <c r="AB24" s="101"/>
      <c r="AC24" s="101"/>
      <c r="AD24" s="101"/>
      <c r="AE24" s="101"/>
      <c r="AF24" s="101"/>
      <c r="AG24" s="101"/>
      <c r="AH24" s="101"/>
      <c r="AI24" s="101"/>
      <c r="AJ24" s="101"/>
      <c r="AK24" s="101"/>
      <c r="AL24" s="101"/>
      <c r="AM24" s="101"/>
      <c r="AN24" s="101"/>
      <c r="AO24" s="101"/>
      <c r="AP24" s="101"/>
      <c r="AQ24" s="101"/>
      <c r="AR24" s="101"/>
      <c r="AS24" s="101"/>
      <c r="AT24" s="101"/>
      <c r="AU24" s="101"/>
      <c r="AV24" s="101"/>
      <c r="AW24" s="101"/>
    </row>
    <row r="25" customFormat="false" ht="15.8" hidden="false" customHeight="false" outlineLevel="0" collapsed="false">
      <c r="A25" s="80" t="s">
        <v>161</v>
      </c>
      <c r="B25" s="0" t="n">
        <v>12</v>
      </c>
      <c r="C25" s="0" t="n">
        <v>16</v>
      </c>
      <c r="D25" s="0" t="n">
        <v>12</v>
      </c>
      <c r="E25" s="0" t="n">
        <v>20</v>
      </c>
      <c r="F25" s="0" t="n">
        <v>15</v>
      </c>
      <c r="G25" s="15" t="n">
        <f aca="false">AVERAGE(B25:F25)/AVERAGE(B$8:F$8)</f>
        <v>2.93677936329057</v>
      </c>
      <c r="H25" s="103" t="n">
        <f aca="false">G25*H$8</f>
        <v>75</v>
      </c>
      <c r="I25" s="101" t="n">
        <f aca="false">STDEVP(B25:F25)/AVERAGE(B25:F25)</f>
        <v>0.197765292989218</v>
      </c>
      <c r="J25" s="101" t="n">
        <f aca="false">IF(H25&gt;$A$43, $C$43, IF(H25&gt;$A$44, $C$44, IF(H25&gt;$A$45,$C$45,IF(H25&gt;$A$46,$C$46, IF(H25&gt;$A$47,$C$47,IF(H25&gt;$A$48,$C$48,$C$49))))))/100</f>
        <v>0.275</v>
      </c>
      <c r="K25" s="101" t="n">
        <f aca="false">(MAX(B25:F25)-MIN(B25:F25))/H25*5</f>
        <v>0.533333333333333</v>
      </c>
      <c r="M25" s="37"/>
      <c r="O25" s="85"/>
      <c r="T25" s="79"/>
      <c r="U25" s="79"/>
      <c r="V25" s="79"/>
      <c r="W25" s="79"/>
      <c r="X25" s="79"/>
      <c r="Y25" s="79"/>
      <c r="Z25" s="79"/>
      <c r="AA25" s="79"/>
      <c r="AB25" s="79"/>
      <c r="AC25" s="79"/>
      <c r="AD25" s="79"/>
      <c r="AE25" s="79"/>
      <c r="AF25" s="79"/>
      <c r="AG25" s="79"/>
      <c r="AH25" s="79"/>
      <c r="AI25" s="79"/>
      <c r="AJ25" s="79"/>
      <c r="AK25" s="79"/>
      <c r="AL25" s="79"/>
      <c r="AM25" s="79"/>
      <c r="AN25" s="79"/>
      <c r="AO25" s="79"/>
      <c r="AP25" s="79"/>
      <c r="AQ25" s="79"/>
      <c r="AR25" s="79"/>
      <c r="AS25" s="79"/>
      <c r="AT25" s="79"/>
      <c r="AU25" s="79"/>
      <c r="AV25" s="79"/>
      <c r="AW25" s="79"/>
    </row>
    <row r="26" customFormat="false" ht="15.8" hidden="false" customHeight="false" outlineLevel="0" collapsed="false">
      <c r="A26" s="80" t="s">
        <v>162</v>
      </c>
      <c r="B26" s="0" t="n">
        <v>10</v>
      </c>
      <c r="C26" s="0" t="n">
        <v>13</v>
      </c>
      <c r="D26" s="0" t="n">
        <v>11</v>
      </c>
      <c r="E26" s="0" t="n">
        <v>18</v>
      </c>
      <c r="F26" s="0" t="n">
        <v>14</v>
      </c>
      <c r="G26" s="15" t="n">
        <f aca="false">AVERAGE(B26:F26)/AVERAGE(B$8:F$8)</f>
        <v>2.5843658396957</v>
      </c>
      <c r="H26" s="103" t="n">
        <f aca="false">G26*H$8</f>
        <v>66</v>
      </c>
      <c r="I26" s="101" t="n">
        <f aca="false">STDEVP(B26:F26)/AVERAGE(B26:F26)</f>
        <v>0.211036186017941</v>
      </c>
      <c r="J26" s="101" t="n">
        <f aca="false">IF(H26&gt;$A$43, $C$43, IF(H26&gt;$A$44, $C$44, IF(H26&gt;$A$45,$C$45,IF(H26&gt;$A$46,$C$46, IF(H26&gt;$A$47,$C$47,IF(H26&gt;$A$48,$C$48,$C$49))))))/100</f>
        <v>0.275</v>
      </c>
      <c r="K26" s="101" t="n">
        <f aca="false">(MAX(B26:F26)-MIN(B26:F26))/H26*5</f>
        <v>0.606060606060606</v>
      </c>
      <c r="M26" s="37"/>
    </row>
    <row r="27" customFormat="false" ht="15.8" hidden="false" customHeight="false" outlineLevel="0" collapsed="false">
      <c r="A27" s="80" t="s">
        <v>163</v>
      </c>
      <c r="B27" s="0" t="n">
        <v>10</v>
      </c>
      <c r="C27" s="0" t="n">
        <v>11</v>
      </c>
      <c r="D27" s="0" t="n">
        <v>9</v>
      </c>
      <c r="E27" s="0" t="n">
        <v>18</v>
      </c>
      <c r="F27" s="0" t="n">
        <v>12</v>
      </c>
      <c r="G27" s="15" t="n">
        <f aca="false">AVERAGE(B27:F27)/AVERAGE(B$8:F$8)</f>
        <v>2.34942349063246</v>
      </c>
      <c r="H27" s="103" t="n">
        <f aca="false">G27*H$8</f>
        <v>60</v>
      </c>
      <c r="I27" s="101" t="n">
        <f aca="false">STDEVP(B27:F27)/AVERAGE(B27:F27)</f>
        <v>0.263523138347365</v>
      </c>
      <c r="J27" s="101" t="n">
        <f aca="false">IF(H27&gt;$A$43, $C$43, IF(H27&gt;$A$44, $C$44, IF(H27&gt;$A$45,$C$45,IF(H27&gt;$A$46,$C$46, IF(H27&gt;$A$47,$C$47,IF(H27&gt;$A$48,$C$48,$C$49))))))/100</f>
        <v>0.275</v>
      </c>
      <c r="K27" s="101" t="n">
        <f aca="false">(MAX(B27:F27)-MIN(B27:F27))/H27*5</f>
        <v>0.75</v>
      </c>
      <c r="M27" s="37"/>
    </row>
    <row r="28" customFormat="false" ht="15.8" hidden="false" customHeight="false" outlineLevel="0" collapsed="false">
      <c r="A28" s="80" t="s">
        <v>164</v>
      </c>
      <c r="B28" s="0" t="n">
        <v>10</v>
      </c>
      <c r="C28" s="0" t="n">
        <v>10</v>
      </c>
      <c r="D28" s="0" t="n">
        <v>8</v>
      </c>
      <c r="E28" s="0" t="n">
        <v>15</v>
      </c>
      <c r="F28" s="0" t="n">
        <v>11</v>
      </c>
      <c r="G28" s="15" t="n">
        <f aca="false">AVERAGE(B28:F28)/AVERAGE(B$8:F$8)</f>
        <v>2.11448114156921</v>
      </c>
      <c r="H28" s="103" t="n">
        <f aca="false">G28*H$8</f>
        <v>54</v>
      </c>
      <c r="I28" s="101" t="n">
        <f aca="false">STDEVP(B28:F28)/AVERAGE(B28:F28)</f>
        <v>0.214367350051671</v>
      </c>
      <c r="J28" s="101" t="n">
        <f aca="false">IF(H28&gt;$A$43, $C$43, IF(H28&gt;$A$44, $C$44, IF(H28&gt;$A$45,$C$45,IF(H28&gt;$A$46,$C$46, IF(H28&gt;$A$47,$C$47,IF(H28&gt;$A$48,$C$48,$C$49))))))/100</f>
        <v>0.275</v>
      </c>
      <c r="K28" s="101" t="n">
        <f aca="false">(MAX(B28:F28)-MIN(B28:F28))/H28*5</f>
        <v>0.648148148148148</v>
      </c>
      <c r="M28" s="37"/>
    </row>
    <row r="29" customFormat="false" ht="15.8" hidden="false" customHeight="false" outlineLevel="0" collapsed="false">
      <c r="A29" s="80" t="s">
        <v>165</v>
      </c>
      <c r="B29" s="0" t="n">
        <v>7</v>
      </c>
      <c r="C29" s="0" t="n">
        <v>8</v>
      </c>
      <c r="D29" s="0" t="n">
        <v>6</v>
      </c>
      <c r="E29" s="0" t="n">
        <v>14</v>
      </c>
      <c r="F29" s="0" t="n">
        <v>10</v>
      </c>
      <c r="G29" s="15" t="n">
        <f aca="false">AVERAGE(B29:F29)/AVERAGE(B$8:F$8)</f>
        <v>1.76206761797434</v>
      </c>
      <c r="H29" s="103" t="n">
        <f aca="false">G29*H$8</f>
        <v>45</v>
      </c>
      <c r="I29" s="101" t="n">
        <f aca="false">STDEVP(B29:F29)/AVERAGE(B29:F29)</f>
        <v>0.314269680527355</v>
      </c>
      <c r="J29" s="101" t="n">
        <f aca="false">IF(H29&gt;$A$43, $C$43, IF(H29&gt;$A$44, $C$44, IF(H29&gt;$A$45,$C$45,IF(H29&gt;$A$46,$C$46, IF(H29&gt;$A$47,$C$47,IF(H29&gt;$A$48,$C$48,$C$49))))))/100</f>
        <v>0.275</v>
      </c>
      <c r="K29" s="101" t="n">
        <f aca="false">(MAX(B29:F29)-MIN(B29:F29))/H29*5</f>
        <v>0.888888888888889</v>
      </c>
      <c r="M29" s="37"/>
    </row>
    <row r="30" customFormat="false" ht="15.8" hidden="false" customHeight="false" outlineLevel="0" collapsed="false">
      <c r="A30" s="80" t="s">
        <v>166</v>
      </c>
      <c r="B30" s="0" t="n">
        <v>5</v>
      </c>
      <c r="C30" s="0" t="n">
        <v>8</v>
      </c>
      <c r="D30" s="0" t="n">
        <v>6</v>
      </c>
      <c r="E30" s="0" t="n">
        <v>13</v>
      </c>
      <c r="F30" s="0" t="n">
        <v>9</v>
      </c>
      <c r="G30" s="15" t="n">
        <f aca="false">AVERAGE(B30:F30)/AVERAGE(B$8:F$8)</f>
        <v>1.60543938526551</v>
      </c>
      <c r="H30" s="103" t="n">
        <f aca="false">G30*H$8</f>
        <v>41</v>
      </c>
      <c r="I30" s="101" t="n">
        <f aca="false">STDEVP(B30:F30)/AVERAGE(B30:F30)</f>
        <v>0.339716787248393</v>
      </c>
      <c r="J30" s="101" t="n">
        <f aca="false">IF(H30&gt;$A$43, $C$43, IF(H30&gt;$A$44, $C$44, IF(H30&gt;$A$45,$C$45,IF(H30&gt;$A$46,$C$46, IF(H30&gt;$A$47,$C$47,IF(H30&gt;$A$48,$C$48,$C$49))))))/100</f>
        <v>0.275</v>
      </c>
      <c r="K30" s="101" t="n">
        <f aca="false">(MAX(B30:F30)-MIN(B30:F30))/H30*5</f>
        <v>0.975609756097561</v>
      </c>
      <c r="M30" s="37"/>
    </row>
    <row r="31" customFormat="false" ht="15.8" hidden="false" customHeight="false" outlineLevel="0" collapsed="false">
      <c r="A31" s="80" t="s">
        <v>167</v>
      </c>
      <c r="B31" s="0" t="n">
        <v>5</v>
      </c>
      <c r="C31" s="0" t="n">
        <v>7</v>
      </c>
      <c r="D31" s="0" t="n">
        <v>6</v>
      </c>
      <c r="E31" s="0" t="n">
        <v>7</v>
      </c>
      <c r="F31" s="0" t="n">
        <v>7</v>
      </c>
      <c r="G31" s="15" t="n">
        <f aca="false">AVERAGE(B31:F31)/AVERAGE(B$8:F$8)</f>
        <v>1.25302586167064</v>
      </c>
      <c r="H31" s="103" t="n">
        <f aca="false">G31*H$8</f>
        <v>32</v>
      </c>
      <c r="I31" s="101" t="n">
        <f aca="false">STDEVP(B31:F31)/AVERAGE(B31:F31)</f>
        <v>0.125</v>
      </c>
      <c r="J31" s="101" t="n">
        <f aca="false">IF(H31&gt;$A$43, $C$43, IF(H31&gt;$A$44, $C$44, IF(H31&gt;$A$45,$C$45,IF(H31&gt;$A$46,$C$46, IF(H31&gt;$A$47,$C$47,IF(H31&gt;$A$48,$C$48,$C$49))))))/100</f>
        <v>0.275</v>
      </c>
      <c r="K31" s="101" t="n">
        <f aca="false">(MAX(B31:F31)-MIN(B31:F31))/H31*5</f>
        <v>0.3125</v>
      </c>
      <c r="M31" s="37"/>
    </row>
    <row r="32" customFormat="false" ht="15.8" hidden="false" customHeight="false" outlineLevel="0" collapsed="false">
      <c r="A32" s="80" t="s">
        <v>168</v>
      </c>
      <c r="B32" s="0" t="n">
        <v>5</v>
      </c>
      <c r="C32" s="0" t="n">
        <v>6</v>
      </c>
      <c r="D32" s="0" t="n">
        <v>5</v>
      </c>
      <c r="E32" s="0" t="n">
        <v>5</v>
      </c>
      <c r="F32" s="0" t="n">
        <v>7</v>
      </c>
      <c r="G32" s="15" t="n">
        <f aca="false">AVERAGE(B32:F32)/AVERAGE(B$8:F$8)</f>
        <v>1.09639762896181</v>
      </c>
      <c r="H32" s="103" t="n">
        <f aca="false">G32*H$8</f>
        <v>28</v>
      </c>
      <c r="I32" s="101" t="n">
        <f aca="false">STDEVP(B32:F32)/AVERAGE(B32:F32)</f>
        <v>0.142857142857143</v>
      </c>
      <c r="J32" s="101" t="n">
        <f aca="false">IF(H32&gt;$A$43, $C$43, IF(H32&gt;$A$44, $C$44, IF(H32&gt;$A$45,$C$45,IF(H32&gt;$A$46,$C$46, IF(H32&gt;$A$47,$C$47,IF(H32&gt;$A$48,$C$48,$C$49))))))/100</f>
        <v>0.275</v>
      </c>
      <c r="K32" s="101" t="n">
        <f aca="false">(MAX(B32:F32)-MIN(B32:F32))/H32*5</f>
        <v>0.357142857142857</v>
      </c>
      <c r="M32" s="37"/>
    </row>
    <row r="33" customFormat="false" ht="15.8" hidden="false" customHeight="false" outlineLevel="0" collapsed="false">
      <c r="A33" s="80" t="s">
        <v>169</v>
      </c>
      <c r="B33" s="0" t="n">
        <v>4</v>
      </c>
      <c r="C33" s="0" t="n">
        <v>5</v>
      </c>
      <c r="D33" s="0" t="n">
        <v>4</v>
      </c>
      <c r="E33" s="0" t="n">
        <v>5</v>
      </c>
      <c r="F33" s="0" t="n">
        <v>6</v>
      </c>
      <c r="G33" s="15" t="n">
        <f aca="false">AVERAGE(B33:F33)/AVERAGE(B$8:F$8)</f>
        <v>0.939769396252983</v>
      </c>
      <c r="H33" s="103" t="n">
        <f aca="false">G33*H$8</f>
        <v>24</v>
      </c>
      <c r="I33" s="101" t="n">
        <f aca="false">STDEVP(B33:F33)/AVERAGE(B33:F33)</f>
        <v>0.155902391115581</v>
      </c>
      <c r="J33" s="101" t="n">
        <f aca="false">IF(H33&gt;$A$43, $C$43, IF(H33&gt;$A$44, $C$44, IF(H33&gt;$A$45,$C$45,IF(H33&gt;$A$46,$C$46, IF(H33&gt;$A$47,$C$47,IF(H33&gt;$A$48,$C$48,$C$49))))))/100</f>
        <v>0.275</v>
      </c>
      <c r="K33" s="101" t="n">
        <f aca="false">(MAX(B33:F33)-MIN(B33:F33))/H33*5</f>
        <v>0.416666666666667</v>
      </c>
      <c r="M33" s="37"/>
    </row>
    <row r="34" customFormat="false" ht="15.8" hidden="false" customHeight="false" outlineLevel="0" collapsed="false">
      <c r="A34" s="80" t="s">
        <v>170</v>
      </c>
      <c r="B34" s="0" t="n">
        <v>4</v>
      </c>
      <c r="C34" s="0" t="n">
        <v>5</v>
      </c>
      <c r="D34" s="0" t="n">
        <v>3</v>
      </c>
      <c r="E34" s="0" t="n">
        <v>5</v>
      </c>
      <c r="F34" s="0" t="n">
        <v>5</v>
      </c>
      <c r="G34" s="15" t="n">
        <f aca="false">AVERAGE(B34:F34)/AVERAGE(B$8:F$8)</f>
        <v>0.861455279898568</v>
      </c>
      <c r="H34" s="103" t="n">
        <f aca="false">G34*H$8</f>
        <v>22</v>
      </c>
      <c r="I34" s="101" t="n">
        <f aca="false">STDEVP(B34:F34)/AVERAGE(B34:F34)</f>
        <v>0.181818181818182</v>
      </c>
      <c r="J34" s="101" t="n">
        <f aca="false">IF(H34&gt;$A$43, $C$43, IF(H34&gt;$A$44, $C$44, IF(H34&gt;$A$45,$C$45,IF(H34&gt;$A$46,$C$46, IF(H34&gt;$A$47,$C$47,IF(H34&gt;$A$48,$C$48,$C$49))))))/100</f>
        <v>0.275</v>
      </c>
      <c r="K34" s="101" t="n">
        <f aca="false">(MAX(B34:F34)-MIN(B34:F34))/H34*5</f>
        <v>0.454545454545455</v>
      </c>
      <c r="M34" s="37"/>
    </row>
    <row r="35" customFormat="false" ht="15.8" hidden="false" customHeight="false" outlineLevel="0" collapsed="false">
      <c r="A35" s="80" t="s">
        <v>171</v>
      </c>
      <c r="B35" s="0" t="n">
        <v>4</v>
      </c>
      <c r="C35" s="0" t="n">
        <v>4</v>
      </c>
      <c r="D35" s="0" t="n">
        <v>3</v>
      </c>
      <c r="E35" s="0" t="n">
        <v>5</v>
      </c>
      <c r="F35" s="0" t="n">
        <v>5</v>
      </c>
      <c r="G35" s="15" t="n">
        <f aca="false">AVERAGE(B35:F35)/AVERAGE(B$8:F$8)</f>
        <v>0.82229822172136</v>
      </c>
      <c r="H35" s="103" t="n">
        <f aca="false">G35*H$8</f>
        <v>21</v>
      </c>
      <c r="I35" s="101" t="n">
        <f aca="false">STDEVP(B35:F35)/AVERAGE(B35:F35)</f>
        <v>0.17817416127495</v>
      </c>
      <c r="J35" s="101" t="n">
        <f aca="false">IF(H35&gt;$A$43, $C$43, IF(H35&gt;$A$44, $C$44, IF(H35&gt;$A$45,$C$45,IF(H35&gt;$A$46,$C$46, IF(H35&gt;$A$47,$C$47,IF(H35&gt;$A$48,$C$48,$C$49))))))/100</f>
        <v>0.275</v>
      </c>
      <c r="K35" s="101" t="n">
        <f aca="false">(MAX(B35:F35)-MIN(B35:F35))/H35*5</f>
        <v>0.476190476190476</v>
      </c>
      <c r="M35" s="37"/>
    </row>
    <row r="36" customFormat="false" ht="15.8" hidden="false" customHeight="false" outlineLevel="0" collapsed="false">
      <c r="A36" s="80" t="s">
        <v>172</v>
      </c>
      <c r="B36" s="0" t="n">
        <v>0</v>
      </c>
      <c r="C36" s="0" t="n">
        <v>1</v>
      </c>
      <c r="D36" s="0" t="n">
        <v>2</v>
      </c>
      <c r="E36" s="0" t="n">
        <v>0</v>
      </c>
      <c r="F36" s="0" t="n">
        <v>1</v>
      </c>
      <c r="G36" s="15" t="n">
        <f aca="false">AVERAGE(B36:F36)/AVERAGE(B$8:F$8)</f>
        <v>0.15662823270883</v>
      </c>
      <c r="H36" s="103" t="n">
        <f aca="false">G36*H$8</f>
        <v>4</v>
      </c>
      <c r="I36" s="101" t="n">
        <f aca="false">STDEVP(B36:F36)/AVERAGE(B36:F36)</f>
        <v>0.935414346693485</v>
      </c>
      <c r="J36" s="101" t="n">
        <f aca="false">IF(H36&gt;$A$43, $C$43, IF(H36&gt;$A$44, $C$44, IF(H36&gt;$A$45,$C$45,IF(H36&gt;$A$46,$C$46, IF(H36&gt;$A$47,$C$47,IF(H36&gt;$A$48,$C$48,$C$49))))))/100</f>
        <v>0.275</v>
      </c>
      <c r="K36" s="101" t="n">
        <f aca="false">(MAX(B36:F36)-MIN(B36:F36))/H36*5</f>
        <v>2.5</v>
      </c>
      <c r="M36" s="37"/>
    </row>
    <row r="37" customFormat="false" ht="15.8" hidden="false" customHeight="false" outlineLevel="0" collapsed="false">
      <c r="A37" s="80" t="s">
        <v>173</v>
      </c>
      <c r="B37" s="0" t="n">
        <v>0</v>
      </c>
      <c r="C37" s="0" t="n">
        <v>0</v>
      </c>
      <c r="D37" s="0" t="n">
        <v>0</v>
      </c>
      <c r="E37" s="0" t="n">
        <v>0</v>
      </c>
      <c r="F37" s="0" t="n">
        <v>0</v>
      </c>
      <c r="G37" s="15" t="n">
        <f aca="false">AVERAGE(B37:F37)/AVERAGE(B$8:F$8)</f>
        <v>0</v>
      </c>
      <c r="H37" s="103" t="n">
        <f aca="false">G37*H$8</f>
        <v>0</v>
      </c>
      <c r="I37" s="101" t="e">
        <f aca="false">STDEVP(B37:F37)/AVERAGE(B37:F37)</f>
        <v>#DIV/0!</v>
      </c>
      <c r="J37" s="101" t="n">
        <f aca="false">IF(H37&gt;$A$43, $C$43, IF(H37&gt;$A$44, $C$44, IF(H37&gt;$A$45,$C$45,IF(H37&gt;$A$46,$C$46, IF(H37&gt;$A$47,$C$47,IF(H37&gt;$A$48,$C$48,$C$49))))))/100</f>
        <v>0.275</v>
      </c>
      <c r="K37" s="101" t="e">
        <f aca="false">(MAX(B37:F37)-MIN(B37:F37))/H37*5</f>
        <v>#DIV/0!</v>
      </c>
    </row>
    <row r="38" customFormat="false" ht="15.8" hidden="false" customHeight="false" outlineLevel="0" collapsed="false">
      <c r="A38" s="80" t="s">
        <v>174</v>
      </c>
      <c r="B38" s="0" t="n">
        <v>0</v>
      </c>
      <c r="C38" s="0" t="n">
        <v>0</v>
      </c>
      <c r="D38" s="0" t="n">
        <v>0</v>
      </c>
      <c r="E38" s="0" t="n">
        <v>0</v>
      </c>
      <c r="F38" s="0" t="n">
        <v>0</v>
      </c>
      <c r="G38" s="15" t="n">
        <f aca="false">AVERAGE(B38:F38)/AVERAGE(B$8:F$8)</f>
        <v>0</v>
      </c>
      <c r="H38" s="103" t="n">
        <f aca="false">G38*H$8</f>
        <v>0</v>
      </c>
      <c r="I38" s="101" t="e">
        <f aca="false">STDEVP(B38:F38)/AVERAGE(B38:F38)</f>
        <v>#DIV/0!</v>
      </c>
      <c r="J38" s="101" t="n">
        <f aca="false">IF(H38&gt;$A$43, $C$43, IF(H38&gt;$A$44, $C$44, IF(H38&gt;$A$45,$C$45,IF(H38&gt;$A$46,$C$46, IF(H38&gt;$A$47,$C$47,IF(H38&gt;$A$48,$C$48,$C$49))))))/100</f>
        <v>0.275</v>
      </c>
      <c r="K38" s="101" t="e">
        <f aca="false">(MAX(B38:F38)-MIN(B38:F38))/H38*5</f>
        <v>#DIV/0!</v>
      </c>
    </row>
    <row r="40" customFormat="false" ht="15.8" hidden="false" customHeight="false" outlineLevel="0" collapsed="false">
      <c r="A40" s="0" t="s">
        <v>175</v>
      </c>
    </row>
    <row r="41" customFormat="false" ht="15.8" hidden="false" customHeight="false" outlineLevel="0" collapsed="false">
      <c r="A41" s="104"/>
      <c r="B41" s="105" t="s">
        <v>176</v>
      </c>
      <c r="C41" s="104"/>
      <c r="D41" s="106" t="s">
        <v>177</v>
      </c>
      <c r="E41" s="107"/>
      <c r="F41" s="107"/>
      <c r="G41" s="107"/>
      <c r="H41" s="108"/>
    </row>
    <row r="42" customFormat="false" ht="15.8" hidden="false" customHeight="false" outlineLevel="0" collapsed="false">
      <c r="A42" s="109" t="s">
        <v>178</v>
      </c>
      <c r="B42" s="110" t="s">
        <v>179</v>
      </c>
      <c r="C42" s="109" t="s">
        <v>180</v>
      </c>
      <c r="D42" s="109" t="s">
        <v>181</v>
      </c>
      <c r="E42" s="110" t="s">
        <v>182</v>
      </c>
      <c r="F42" s="110" t="s">
        <v>183</v>
      </c>
      <c r="G42" s="110" t="s">
        <v>184</v>
      </c>
      <c r="H42" s="111" t="s">
        <v>185</v>
      </c>
    </row>
    <row r="43" customFormat="false" ht="15.8" hidden="false" customHeight="false" outlineLevel="0" collapsed="false">
      <c r="A43" s="112" t="n">
        <v>10000</v>
      </c>
      <c r="C43" s="112" t="n">
        <v>11</v>
      </c>
      <c r="D43" s="112" t="n">
        <v>7.8</v>
      </c>
      <c r="E43" s="0" t="n">
        <v>5.3</v>
      </c>
      <c r="F43" s="0" t="n">
        <v>4</v>
      </c>
      <c r="G43" s="0" t="n">
        <v>2.7</v>
      </c>
      <c r="H43" s="113" t="n">
        <v>1.8</v>
      </c>
    </row>
    <row r="44" customFormat="false" ht="15.8" hidden="false" customHeight="false" outlineLevel="0" collapsed="false">
      <c r="A44" s="112" t="n">
        <v>5000</v>
      </c>
      <c r="B44" s="0" t="n">
        <v>10000</v>
      </c>
      <c r="C44" s="112" t="n">
        <v>11.3</v>
      </c>
      <c r="D44" s="112" t="n">
        <v>7.8</v>
      </c>
      <c r="E44" s="0" t="n">
        <v>5.3</v>
      </c>
      <c r="F44" s="0" t="n">
        <v>4</v>
      </c>
      <c r="G44" s="0" t="n">
        <v>2.7</v>
      </c>
      <c r="H44" s="113" t="n">
        <v>1.9</v>
      </c>
    </row>
    <row r="45" customFormat="false" ht="15.8" hidden="false" customHeight="false" outlineLevel="0" collapsed="false">
      <c r="A45" s="112" t="n">
        <v>2000</v>
      </c>
      <c r="B45" s="0" t="n">
        <v>5000</v>
      </c>
      <c r="C45" s="112" t="n">
        <v>11.9</v>
      </c>
      <c r="D45" s="112" t="n">
        <v>7.9</v>
      </c>
      <c r="E45" s="0" t="n">
        <v>5.4</v>
      </c>
      <c r="F45" s="0" t="n">
        <v>4.1</v>
      </c>
      <c r="G45" s="0" t="n">
        <v>2.9</v>
      </c>
      <c r="H45" s="113" t="n">
        <v>2.1</v>
      </c>
    </row>
    <row r="46" customFormat="false" ht="15.8" hidden="false" customHeight="false" outlineLevel="0" collapsed="false">
      <c r="A46" s="112" t="n">
        <v>1000</v>
      </c>
      <c r="B46" s="0" t="n">
        <v>2000</v>
      </c>
      <c r="C46" s="112" t="n">
        <v>13.4</v>
      </c>
      <c r="D46" s="112" t="n">
        <v>8</v>
      </c>
      <c r="E46" s="0" t="n">
        <v>5.6</v>
      </c>
      <c r="F46" s="0" t="n">
        <v>4.3</v>
      </c>
      <c r="G46" s="0" t="n">
        <v>3.1</v>
      </c>
      <c r="H46" s="113" t="n">
        <v>2.4</v>
      </c>
    </row>
    <row r="47" customFormat="false" ht="15.8" hidden="false" customHeight="false" outlineLevel="0" collapsed="false">
      <c r="A47" s="112" t="n">
        <v>500</v>
      </c>
      <c r="B47" s="0" t="n">
        <v>1000</v>
      </c>
      <c r="C47" s="112" t="n">
        <v>15.6</v>
      </c>
      <c r="D47" s="112" t="n">
        <v>8.2</v>
      </c>
      <c r="E47" s="0" t="n">
        <v>5.9</v>
      </c>
      <c r="F47" s="0" t="n">
        <v>4.7</v>
      </c>
      <c r="G47" s="0" t="n">
        <v>3.6</v>
      </c>
      <c r="H47" s="113" t="n">
        <v>2.9</v>
      </c>
    </row>
    <row r="48" customFormat="false" ht="15.8" hidden="false" customHeight="false" outlineLevel="0" collapsed="false">
      <c r="A48" s="112" t="n">
        <v>200</v>
      </c>
      <c r="B48" s="0" t="n">
        <v>500</v>
      </c>
      <c r="C48" s="112" t="n">
        <v>19.3</v>
      </c>
      <c r="D48" s="112" t="n">
        <v>8.9</v>
      </c>
      <c r="E48" s="0" t="n">
        <v>6.8</v>
      </c>
      <c r="F48" s="0" t="n">
        <v>5.7</v>
      </c>
      <c r="G48" s="0" t="n">
        <v>4.7</v>
      </c>
      <c r="H48" s="113" t="n">
        <v>4.1</v>
      </c>
    </row>
    <row r="49" customFormat="false" ht="15.8" hidden="false" customHeight="false" outlineLevel="0" collapsed="false">
      <c r="A49" s="114" t="n">
        <v>100</v>
      </c>
      <c r="B49" s="115" t="n">
        <v>200</v>
      </c>
      <c r="C49" s="114" t="n">
        <v>27.5</v>
      </c>
      <c r="D49" s="114" t="n">
        <v>10</v>
      </c>
      <c r="E49" s="115" t="n">
        <v>8</v>
      </c>
      <c r="F49" s="115" t="n">
        <v>7</v>
      </c>
      <c r="G49" s="115" t="n">
        <v>6.1</v>
      </c>
      <c r="H49" s="116" t="n">
        <v>5.5</v>
      </c>
    </row>
    <row r="52" customFormat="false" ht="15.8" hidden="false" customHeight="false" outlineLevel="0" collapsed="false">
      <c r="A52" s="0" t="n">
        <v>4.877143</v>
      </c>
      <c r="B52" s="0" t="n">
        <v>28618</v>
      </c>
      <c r="C52" s="0" t="n">
        <v>17169</v>
      </c>
      <c r="D52" s="0" t="n">
        <v>9054</v>
      </c>
      <c r="E52" s="0" t="n">
        <v>4444</v>
      </c>
      <c r="F52" s="0" t="n">
        <v>2276</v>
      </c>
      <c r="G52" s="0" t="n">
        <v>1067</v>
      </c>
      <c r="H52" s="0" t="n">
        <v>487</v>
      </c>
      <c r="I52" s="0" t="n">
        <v>234</v>
      </c>
      <c r="J52" s="0" t="n">
        <v>130</v>
      </c>
      <c r="K52" s="0" t="n">
        <v>84</v>
      </c>
      <c r="L52" s="0" t="n">
        <v>59</v>
      </c>
      <c r="M52" s="0" t="n">
        <v>37</v>
      </c>
      <c r="N52" s="0" t="n">
        <v>32</v>
      </c>
      <c r="O52" s="0" t="n">
        <v>25</v>
      </c>
      <c r="P52" s="0" t="n">
        <v>21</v>
      </c>
      <c r="Q52" s="0" t="n">
        <v>18</v>
      </c>
      <c r="R52" s="0" t="n">
        <v>12</v>
      </c>
      <c r="S52" s="0" t="n">
        <v>10</v>
      </c>
      <c r="T52" s="0" t="n">
        <v>10</v>
      </c>
      <c r="U52" s="0" t="n">
        <v>10</v>
      </c>
      <c r="V52" s="0" t="n">
        <v>7</v>
      </c>
      <c r="W52" s="0" t="n">
        <v>5</v>
      </c>
      <c r="X52" s="0" t="n">
        <v>5</v>
      </c>
      <c r="Y52" s="0" t="n">
        <v>5</v>
      </c>
      <c r="Z52" s="0" t="n">
        <v>4</v>
      </c>
      <c r="AA52" s="0" t="n">
        <v>4</v>
      </c>
      <c r="AB52" s="0" t="n">
        <v>4</v>
      </c>
      <c r="AC52" s="0" t="n">
        <v>0</v>
      </c>
      <c r="AD52" s="0" t="n">
        <v>0</v>
      </c>
      <c r="AE52" s="0" t="n">
        <v>0</v>
      </c>
    </row>
    <row r="53" customFormat="false" ht="15.8" hidden="false" customHeight="false" outlineLevel="0" collapsed="false">
      <c r="A53" s="0" t="n">
        <v>5.196125</v>
      </c>
      <c r="B53" s="0" t="n">
        <v>30775</v>
      </c>
      <c r="C53" s="0" t="n">
        <v>18382</v>
      </c>
      <c r="D53" s="0" t="n">
        <v>9822</v>
      </c>
      <c r="E53" s="0" t="n">
        <v>4919</v>
      </c>
      <c r="F53" s="0" t="n">
        <v>2609</v>
      </c>
      <c r="G53" s="0" t="n">
        <v>1234</v>
      </c>
      <c r="H53" s="0" t="n">
        <v>606</v>
      </c>
      <c r="I53" s="0" t="n">
        <v>304</v>
      </c>
      <c r="J53" s="0" t="n">
        <v>170</v>
      </c>
      <c r="K53" s="0" t="n">
        <v>98</v>
      </c>
      <c r="L53" s="0" t="n">
        <v>62</v>
      </c>
      <c r="M53" s="0" t="n">
        <v>45</v>
      </c>
      <c r="N53" s="0" t="n">
        <v>38</v>
      </c>
      <c r="O53" s="0" t="n">
        <v>35</v>
      </c>
      <c r="P53" s="0" t="n">
        <v>30</v>
      </c>
      <c r="Q53" s="0" t="n">
        <v>21</v>
      </c>
      <c r="R53" s="0" t="n">
        <v>16</v>
      </c>
      <c r="S53" s="0" t="n">
        <v>13</v>
      </c>
      <c r="T53" s="0" t="n">
        <v>11</v>
      </c>
      <c r="U53" s="0" t="n">
        <v>10</v>
      </c>
      <c r="V53" s="0" t="n">
        <v>8</v>
      </c>
      <c r="W53" s="0" t="n">
        <v>8</v>
      </c>
      <c r="X53" s="0" t="n">
        <v>7</v>
      </c>
      <c r="Y53" s="0" t="n">
        <v>6</v>
      </c>
      <c r="Z53" s="0" t="n">
        <v>5</v>
      </c>
      <c r="AA53" s="0" t="n">
        <v>5</v>
      </c>
      <c r="AB53" s="0" t="n">
        <v>4</v>
      </c>
      <c r="AC53" s="0" t="n">
        <v>1</v>
      </c>
      <c r="AD53" s="0" t="n">
        <v>0</v>
      </c>
      <c r="AE53" s="0" t="n">
        <v>0</v>
      </c>
    </row>
    <row r="54" customFormat="false" ht="15.8" hidden="false" customHeight="false" outlineLevel="0" collapsed="false">
      <c r="A54" s="0" t="n">
        <v>5.131249</v>
      </c>
      <c r="B54" s="0" t="n">
        <v>30220</v>
      </c>
      <c r="C54" s="0" t="n">
        <v>18044</v>
      </c>
      <c r="D54" s="0" t="n">
        <v>9679</v>
      </c>
      <c r="E54" s="0" t="n">
        <v>4826</v>
      </c>
      <c r="F54" s="0" t="n">
        <v>2452</v>
      </c>
      <c r="G54" s="0" t="n">
        <v>1174</v>
      </c>
      <c r="H54" s="0" t="n">
        <v>530</v>
      </c>
      <c r="I54" s="0" t="n">
        <v>255</v>
      </c>
      <c r="J54" s="0" t="n">
        <v>137</v>
      </c>
      <c r="K54" s="0" t="n">
        <v>95</v>
      </c>
      <c r="L54" s="0" t="n">
        <v>65</v>
      </c>
      <c r="M54" s="0" t="n">
        <v>44</v>
      </c>
      <c r="N54" s="0" t="n">
        <v>31</v>
      </c>
      <c r="O54" s="0" t="n">
        <v>24</v>
      </c>
      <c r="P54" s="0" t="n">
        <v>19</v>
      </c>
      <c r="Q54" s="0" t="n">
        <v>15</v>
      </c>
      <c r="R54" s="0" t="n">
        <v>12</v>
      </c>
      <c r="S54" s="0" t="n">
        <v>11</v>
      </c>
      <c r="T54" s="0" t="n">
        <v>9</v>
      </c>
      <c r="U54" s="0" t="n">
        <v>8</v>
      </c>
      <c r="V54" s="0" t="n">
        <v>6</v>
      </c>
      <c r="W54" s="0" t="n">
        <v>6</v>
      </c>
      <c r="X54" s="0" t="n">
        <v>6</v>
      </c>
      <c r="Y54" s="0" t="n">
        <v>5</v>
      </c>
      <c r="Z54" s="0" t="n">
        <v>4</v>
      </c>
      <c r="AA54" s="0" t="n">
        <v>3</v>
      </c>
      <c r="AB54" s="0" t="n">
        <v>3</v>
      </c>
      <c r="AC54" s="0" t="n">
        <v>2</v>
      </c>
      <c r="AD54" s="0" t="n">
        <v>0</v>
      </c>
      <c r="AE54" s="0" t="n">
        <v>0</v>
      </c>
    </row>
    <row r="55" customFormat="false" ht="15.8" hidden="false" customHeight="false" outlineLevel="0" collapsed="false">
      <c r="A55" s="0" t="n">
        <v>5.19361</v>
      </c>
      <c r="B55" s="0" t="n">
        <v>30933</v>
      </c>
      <c r="C55" s="0" t="n">
        <v>18516</v>
      </c>
      <c r="D55" s="0" t="n">
        <v>9907</v>
      </c>
      <c r="E55" s="0" t="n">
        <v>4934</v>
      </c>
      <c r="F55" s="0" t="n">
        <v>2527</v>
      </c>
      <c r="G55" s="0" t="n">
        <v>1206</v>
      </c>
      <c r="H55" s="0" t="n">
        <v>579</v>
      </c>
      <c r="I55" s="0" t="n">
        <v>297</v>
      </c>
      <c r="J55" s="0" t="n">
        <v>158</v>
      </c>
      <c r="K55" s="0" t="n">
        <v>99</v>
      </c>
      <c r="L55" s="0" t="n">
        <v>64</v>
      </c>
      <c r="M55" s="0" t="n">
        <v>46</v>
      </c>
      <c r="N55" s="0" t="n">
        <v>36</v>
      </c>
      <c r="O55" s="0" t="n">
        <v>34</v>
      </c>
      <c r="P55" s="0" t="n">
        <v>28</v>
      </c>
      <c r="Q55" s="0" t="n">
        <v>24</v>
      </c>
      <c r="R55" s="0" t="n">
        <v>20</v>
      </c>
      <c r="S55" s="0" t="n">
        <v>18</v>
      </c>
      <c r="T55" s="0" t="n">
        <v>18</v>
      </c>
      <c r="U55" s="0" t="n">
        <v>15</v>
      </c>
      <c r="V55" s="0" t="n">
        <v>14</v>
      </c>
      <c r="W55" s="0" t="n">
        <v>13</v>
      </c>
      <c r="X55" s="0" t="n">
        <v>7</v>
      </c>
      <c r="Y55" s="0" t="n">
        <v>5</v>
      </c>
      <c r="Z55" s="0" t="n">
        <v>5</v>
      </c>
      <c r="AA55" s="0" t="n">
        <v>5</v>
      </c>
      <c r="AB55" s="0" t="n">
        <v>5</v>
      </c>
      <c r="AC55" s="0" t="n">
        <v>0</v>
      </c>
      <c r="AD55" s="0" t="n">
        <v>0</v>
      </c>
      <c r="AE55" s="0" t="n">
        <v>0</v>
      </c>
    </row>
    <row r="56" customFormat="false" ht="15.8" hidden="false" customHeight="false" outlineLevel="0" collapsed="false">
      <c r="A56" s="0" t="n">
        <v>5.140053</v>
      </c>
      <c r="B56" s="0" t="n">
        <v>31112</v>
      </c>
      <c r="C56" s="0" t="n">
        <v>18750</v>
      </c>
      <c r="D56" s="0" t="n">
        <v>9896</v>
      </c>
      <c r="E56" s="0" t="n">
        <v>4972</v>
      </c>
      <c r="F56" s="0" t="n">
        <v>2693</v>
      </c>
      <c r="G56" s="0" t="n">
        <v>1268</v>
      </c>
      <c r="H56" s="0" t="n">
        <v>596</v>
      </c>
      <c r="I56" s="0" t="n">
        <v>289</v>
      </c>
      <c r="J56" s="0" t="n">
        <v>169</v>
      </c>
      <c r="K56" s="0" t="n">
        <v>114</v>
      </c>
      <c r="L56" s="0" t="n">
        <v>76</v>
      </c>
      <c r="M56" s="0" t="n">
        <v>53</v>
      </c>
      <c r="N56" s="0" t="n">
        <v>40</v>
      </c>
      <c r="O56" s="0" t="n">
        <v>31</v>
      </c>
      <c r="P56" s="0" t="n">
        <v>27</v>
      </c>
      <c r="Q56" s="0" t="n">
        <v>20</v>
      </c>
      <c r="R56" s="0" t="n">
        <v>15</v>
      </c>
      <c r="S56" s="0" t="n">
        <v>14</v>
      </c>
      <c r="T56" s="0" t="n">
        <v>12</v>
      </c>
      <c r="U56" s="0" t="n">
        <v>11</v>
      </c>
      <c r="V56" s="0" t="n">
        <v>10</v>
      </c>
      <c r="W56" s="0" t="n">
        <v>9</v>
      </c>
      <c r="X56" s="0" t="n">
        <v>7</v>
      </c>
      <c r="Y56" s="0" t="n">
        <v>7</v>
      </c>
      <c r="Z56" s="0" t="n">
        <v>6</v>
      </c>
      <c r="AA56" s="0" t="n">
        <v>5</v>
      </c>
      <c r="AB56" s="0" t="n">
        <v>5</v>
      </c>
      <c r="AC56" s="0" t="n">
        <v>1</v>
      </c>
      <c r="AD56" s="0" t="n">
        <v>0</v>
      </c>
      <c r="AE56" s="0" t="n">
        <v>0</v>
      </c>
    </row>
    <row r="71" customFormat="false" ht="15.8" hidden="false" customHeight="false" outlineLevel="0" collapsed="false">
      <c r="H71" s="37"/>
      <c r="J71" s="37"/>
    </row>
    <row r="72" customFormat="false" ht="15.8" hidden="false" customHeight="false" outlineLevel="0" collapsed="false">
      <c r="G72" s="37"/>
      <c r="H72" s="37"/>
      <c r="I72" s="37"/>
      <c r="J72" s="37"/>
    </row>
    <row r="73" customFormat="false" ht="15.8" hidden="false" customHeight="false" outlineLevel="0" collapsed="false">
      <c r="A73" s="5"/>
    </row>
    <row r="77" customFormat="false" ht="15.8" hidden="false" customHeight="false" outlineLevel="0" collapsed="false">
      <c r="H77" s="79"/>
      <c r="J77" s="79"/>
    </row>
    <row r="78" customFormat="false" ht="15.8" hidden="false" customHeight="false" outlineLevel="0" collapsed="false">
      <c r="A78" s="5"/>
      <c r="H78" s="170"/>
      <c r="J78" s="170"/>
    </row>
    <row r="79" customFormat="false" ht="15.8" hidden="false" customHeight="false" outlineLevel="0" collapsed="false">
      <c r="K79" s="85"/>
    </row>
  </sheetData>
  <conditionalFormatting sqref="H9:H40">
    <cfRule type="cellIs" priority="2" operator="greaterThan" aboveAverage="0" equalAverage="0" bottom="0" percent="0" rank="0" text="" dxfId="0">
      <formula>1000</formula>
    </cfRule>
  </conditionalFormatting>
  <conditionalFormatting sqref="K9:K38">
    <cfRule type="cellIs" priority="3" operator="lessThan" aboveAverage="0" equalAverage="0" bottom="0" percent="0" rank="0" text="" dxfId="0">
      <formula>J11</formula>
    </cfRule>
  </conditionalFormatting>
  <printOptions headings="false" gridLines="false" gridLinesSet="true" horizontalCentered="false" verticalCentered="false"/>
  <pageMargins left="0.7875" right="0.7875" top="1.05277777777778" bottom="1.74166666666667" header="0.7875" footer="0.7875"/>
  <pageSetup paperSize="9" scale="110" fitToWidth="1" fitToHeight="1" pageOrder="downThenOver" orientation="landscape" blackAndWhite="false" draft="false" cellComments="none" horizontalDpi="300" verticalDpi="300" copies="1"/>
  <headerFooter differentFirst="false" differentOddEven="false">
    <oddHeader>&amp;C&amp;"Times New Roman,Regular"&amp;12&amp;Kffffff&amp;A</oddHeader>
    <oddFooter>&amp;C&amp;"Times New Roman,Regular"&amp;12&amp;KffffffPage &amp;P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W79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O2" activeCellId="0" sqref="O2"/>
    </sheetView>
  </sheetViews>
  <sheetFormatPr defaultColWidth="10.4921875" defaultRowHeight="15.8" zeroHeight="false" outlineLevelRow="0" outlineLevelCol="0"/>
  <sheetData>
    <row r="1" customFormat="false" ht="15.8" hidden="false" customHeight="false" outlineLevel="0" collapsed="false">
      <c r="A1" s="0" t="s">
        <v>300</v>
      </c>
    </row>
    <row r="2" customFormat="false" ht="40.6" hidden="false" customHeight="false" outlineLevel="0" collapsed="false">
      <c r="O2" s="97"/>
    </row>
    <row r="4" customFormat="false" ht="40.6" hidden="false" customHeight="false" outlineLevel="0" collapsed="false">
      <c r="A4" s="5" t="s">
        <v>27</v>
      </c>
      <c r="O4" s="97" t="s">
        <v>87</v>
      </c>
    </row>
    <row r="5" customFormat="false" ht="15.8" hidden="false" customHeight="false" outlineLevel="0" collapsed="false">
      <c r="O5" s="31" t="n">
        <v>45798</v>
      </c>
    </row>
    <row r="6" customFormat="false" ht="15.8" hidden="false" customHeight="false" outlineLevel="0" collapsed="false">
      <c r="A6" s="0" t="s">
        <v>114</v>
      </c>
      <c r="B6" s="5"/>
      <c r="C6" s="5"/>
      <c r="D6" s="5"/>
      <c r="E6" s="5"/>
      <c r="F6" s="5"/>
      <c r="O6" s="0" t="s">
        <v>302</v>
      </c>
    </row>
    <row r="7" customFormat="false" ht="15.8" hidden="false" customHeight="false" outlineLevel="0" collapsed="false">
      <c r="B7" s="85" t="s">
        <v>40</v>
      </c>
      <c r="C7" s="85" t="s">
        <v>41</v>
      </c>
      <c r="D7" s="85" t="s">
        <v>42</v>
      </c>
      <c r="E7" s="85" t="s">
        <v>43</v>
      </c>
      <c r="F7" s="85" t="s">
        <v>44</v>
      </c>
      <c r="G7" s="85" t="s">
        <v>138</v>
      </c>
      <c r="H7" s="85" t="s">
        <v>139</v>
      </c>
      <c r="I7" s="85" t="s">
        <v>140</v>
      </c>
      <c r="J7" s="85" t="s">
        <v>141</v>
      </c>
      <c r="K7" s="85" t="s">
        <v>142</v>
      </c>
      <c r="M7" s="85"/>
    </row>
    <row r="8" customFormat="false" ht="15.8" hidden="false" customHeight="false" outlineLevel="0" collapsed="false">
      <c r="A8" s="80" t="s">
        <v>144</v>
      </c>
      <c r="B8" s="0" t="n">
        <v>4.923135</v>
      </c>
      <c r="C8" s="0" t="n">
        <v>5.228722</v>
      </c>
      <c r="D8" s="0" t="n">
        <v>5.174204</v>
      </c>
      <c r="E8" s="0" t="n">
        <v>5.179934</v>
      </c>
      <c r="F8" s="0" t="n">
        <v>5.227057</v>
      </c>
      <c r="G8" s="100" t="n">
        <v>25.517626</v>
      </c>
      <c r="H8" s="100" t="n">
        <f aca="false">AVERAGE(B$8:F$8)*5</f>
        <v>25.733052</v>
      </c>
      <c r="I8" s="101"/>
      <c r="K8" s="101"/>
    </row>
    <row r="9" customFormat="false" ht="15.8" hidden="false" customHeight="false" outlineLevel="0" collapsed="false">
      <c r="A9" s="105" t="s">
        <v>145</v>
      </c>
      <c r="B9" s="107" t="n">
        <v>29157</v>
      </c>
      <c r="C9" s="107" t="n">
        <v>30687</v>
      </c>
      <c r="D9" s="107" t="n">
        <v>30764</v>
      </c>
      <c r="E9" s="107" t="n">
        <v>30363</v>
      </c>
      <c r="F9" s="107" t="n">
        <v>30954</v>
      </c>
      <c r="G9" s="164" t="n">
        <f aca="false">AVERAGE(B9:F9)/AVERAGE(B$8:F$8)</f>
        <v>5903.88578859593</v>
      </c>
      <c r="H9" s="165" t="n">
        <f aca="false">G9*H$8</f>
        <v>151925</v>
      </c>
      <c r="I9" s="166" t="n">
        <f aca="false">STDEVP(B9:F9)/AVERAGE(B9:F9)</f>
        <v>0.0211608821905485</v>
      </c>
      <c r="J9" s="166" t="n">
        <f aca="false">IF(H9&gt;$A$43, $C$43, IF(H9&gt;$A$44, $C$44, IF(H9&gt;$A$45,$C$45,IF(H9&gt;$A$46,$C$46, IF(H9&gt;$A$47,$C$47,IF(H9&gt;$A$48,$C$48,$C$49))))))/100</f>
        <v>0.11</v>
      </c>
      <c r="K9" s="166" t="n">
        <f aca="false">(MAX(B9:F9)-MIN(B9:F9))/H9*5</f>
        <v>0.0591410235313477</v>
      </c>
      <c r="M9" s="37"/>
    </row>
    <row r="10" customFormat="false" ht="15.8" hidden="false" customHeight="false" outlineLevel="0" collapsed="false">
      <c r="A10" s="80" t="s">
        <v>146</v>
      </c>
      <c r="B10" s="0" t="n">
        <v>17360</v>
      </c>
      <c r="C10" s="0" t="n">
        <v>18503</v>
      </c>
      <c r="D10" s="0" t="n">
        <v>18397</v>
      </c>
      <c r="E10" s="0" t="n">
        <v>18440</v>
      </c>
      <c r="F10" s="0" t="n">
        <v>18549</v>
      </c>
      <c r="G10" s="15" t="n">
        <f aca="false">AVERAGE(B10:F10)/AVERAGE(B$8:F$8)</f>
        <v>3545.98436283423</v>
      </c>
      <c r="H10" s="103" t="n">
        <f aca="false">G10*H$8</f>
        <v>91249</v>
      </c>
      <c r="I10" s="101" t="n">
        <f aca="false">STDEVP(B10:F10)/AVERAGE(B10:F10)</f>
        <v>0.0245445299571263</v>
      </c>
      <c r="J10" s="101" t="n">
        <f aca="false">IF(H10&gt;$A$43, $C$43, IF(H10&gt;$A$44, $C$44, IF(H10&gt;$A$45,$C$45,IF(H10&gt;$A$46,$C$46, IF(H10&gt;$A$47,$C$47,IF(H10&gt;$A$48,$C$48,$C$49))))))/100</f>
        <v>0.11</v>
      </c>
      <c r="K10" s="101" t="n">
        <f aca="false">(MAX(B10:F10)-MIN(B10:F10))/H10*5</f>
        <v>0.0651513989194402</v>
      </c>
      <c r="M10" s="37"/>
    </row>
    <row r="11" customFormat="false" ht="15.8" hidden="false" customHeight="false" outlineLevel="0" collapsed="false">
      <c r="A11" s="80" t="s">
        <v>147</v>
      </c>
      <c r="B11" s="0" t="n">
        <v>9287</v>
      </c>
      <c r="C11" s="0" t="n">
        <v>9843</v>
      </c>
      <c r="D11" s="0" t="n">
        <v>9784</v>
      </c>
      <c r="E11" s="0" t="n">
        <v>9952</v>
      </c>
      <c r="F11" s="0" t="n">
        <v>9906</v>
      </c>
      <c r="G11" s="15" t="n">
        <f aca="false">AVERAGE(B11:F11)/AVERAGE(B$8:F$8)</f>
        <v>1895.30569479283</v>
      </c>
      <c r="H11" s="103" t="n">
        <f aca="false">G11*H$8</f>
        <v>48772</v>
      </c>
      <c r="I11" s="101" t="n">
        <f aca="false">STDEVP(B11:F11)/AVERAGE(B11:F11)</f>
        <v>0.0246562199546043</v>
      </c>
      <c r="J11" s="101" t="n">
        <f aca="false">IF(H11&gt;$A$43, $C$43, IF(H11&gt;$A$44, $C$44, IF(H11&gt;$A$45,$C$45,IF(H11&gt;$A$46,$C$46, IF(H11&gt;$A$47,$C$47,IF(H11&gt;$A$48,$C$48,$C$49))))))/100</f>
        <v>0.11</v>
      </c>
      <c r="K11" s="101" t="n">
        <f aca="false">(MAX(B11:F11)-MIN(B11:F11))/H11*5</f>
        <v>0.068174362339047</v>
      </c>
      <c r="M11" s="37"/>
    </row>
    <row r="12" customFormat="false" ht="15.8" hidden="false" customHeight="false" outlineLevel="0" collapsed="false">
      <c r="A12" s="80" t="s">
        <v>148</v>
      </c>
      <c r="B12" s="0" t="n">
        <v>4587</v>
      </c>
      <c r="C12" s="0" t="n">
        <v>4921</v>
      </c>
      <c r="D12" s="0" t="n">
        <v>4957</v>
      </c>
      <c r="E12" s="0" t="n">
        <v>5035</v>
      </c>
      <c r="F12" s="0" t="n">
        <v>4939</v>
      </c>
      <c r="G12" s="15" t="n">
        <f aca="false">AVERAGE(B12:F12)/AVERAGE(B$8:F$8)</f>
        <v>949.712455405601</v>
      </c>
      <c r="H12" s="103" t="n">
        <f aca="false">G12*H$8</f>
        <v>24439</v>
      </c>
      <c r="I12" s="101" t="n">
        <f aca="false">STDEVP(B12:F12)/AVERAGE(B12:F12)</f>
        <v>0.031782252304864</v>
      </c>
      <c r="J12" s="101" t="n">
        <f aca="false">IF(H12&gt;$A$43, $C$43, IF(H12&gt;$A$44, $C$44, IF(H12&gt;$A$45,$C$45,IF(H12&gt;$A$46,$C$46, IF(H12&gt;$A$47,$C$47,IF(H12&gt;$A$48,$C$48,$C$49))))))/100</f>
        <v>0.11</v>
      </c>
      <c r="K12" s="101" t="n">
        <f aca="false">(MAX(B12:F12)-MIN(B12:F12))/H12*5</f>
        <v>0.091656778100577</v>
      </c>
      <c r="M12" s="37"/>
    </row>
    <row r="13" customFormat="false" ht="15.8" hidden="false" customHeight="false" outlineLevel="0" collapsed="false">
      <c r="A13" s="80" t="s">
        <v>149</v>
      </c>
      <c r="C13" s="0" t="n">
        <v>2546</v>
      </c>
      <c r="D13" s="0" t="n">
        <v>2570</v>
      </c>
      <c r="E13" s="0" t="n">
        <v>2656</v>
      </c>
      <c r="F13" s="0" t="n">
        <v>2616</v>
      </c>
      <c r="G13" s="15" t="n">
        <f aca="false">AVERAGE(B13:F13)/AVERAGE(B$8:F$8)</f>
        <v>504.603962250572</v>
      </c>
      <c r="H13" s="103" t="n">
        <f aca="false">G13*H$8</f>
        <v>12985</v>
      </c>
      <c r="I13" s="101" t="n">
        <f aca="false">STDEVP(B13:F13)/AVERAGE(B13:F13)</f>
        <v>0.0163049020868234</v>
      </c>
      <c r="J13" s="101" t="n">
        <f aca="false">IF(H13&gt;$A$43, $C$43, IF(H13&gt;$A$44, $C$44, IF(H13&gt;$A$45,$C$45,IF(H13&gt;$A$46,$C$46, IF(H13&gt;$A$47,$C$47,IF(H13&gt;$A$48,$C$48,$C$49))))))/100</f>
        <v>0.11</v>
      </c>
      <c r="K13" s="101" t="n">
        <f aca="false">(MAX(B13:F13)-MIN(B13:F13))/H13*5</f>
        <v>0.0423565652676165</v>
      </c>
      <c r="M13" s="37"/>
    </row>
    <row r="14" customFormat="false" ht="15.8" hidden="false" customHeight="false" outlineLevel="0" collapsed="false">
      <c r="A14" s="110" t="s">
        <v>150</v>
      </c>
      <c r="B14" s="115"/>
      <c r="C14" s="115" t="n">
        <v>1198</v>
      </c>
      <c r="D14" s="115" t="n">
        <v>1203</v>
      </c>
      <c r="E14" s="115" t="n">
        <v>1267</v>
      </c>
      <c r="F14" s="115" t="n">
        <v>1255</v>
      </c>
      <c r="G14" s="167" t="n">
        <f aca="false">AVERAGE(B14:F14)/AVERAGE(B$8:F$8)</f>
        <v>239.137977104309</v>
      </c>
      <c r="H14" s="168" t="n">
        <f aca="false">G14*H$8</f>
        <v>6153.75</v>
      </c>
      <c r="I14" s="169" t="n">
        <f aca="false">STDEVP(B14:F14)/AVERAGE(B14:F14)</f>
        <v>0.0248605982065589</v>
      </c>
      <c r="J14" s="169" t="n">
        <f aca="false">IF(H14&gt;$A$43, $C$43, IF(H14&gt;$A$44, $C$44, IF(H14&gt;$A$45,$C$45,IF(H14&gt;$A$46,$C$46, IF(H14&gt;$A$47,$C$47,IF(H14&gt;$A$48,$C$48,$C$49))))))/100</f>
        <v>0.113</v>
      </c>
      <c r="K14" s="169" t="n">
        <f aca="false">(MAX(B14:F14)-MIN(B14:F14))/H14*5</f>
        <v>0.0560633759902498</v>
      </c>
      <c r="M14" s="37"/>
    </row>
    <row r="15" customFormat="false" ht="15.8" hidden="false" customHeight="false" outlineLevel="0" collapsed="false">
      <c r="A15" s="80" t="s">
        <v>151</v>
      </c>
      <c r="C15" s="0" t="n">
        <v>560</v>
      </c>
      <c r="D15" s="0" t="n">
        <v>561</v>
      </c>
      <c r="E15" s="0" t="n">
        <v>572</v>
      </c>
      <c r="F15" s="0" t="n">
        <v>588</v>
      </c>
      <c r="G15" s="15" t="n">
        <f aca="false">AVERAGE(B15:F15)/AVERAGE(B$8:F$8)</f>
        <v>110.801081814936</v>
      </c>
      <c r="H15" s="103" t="n">
        <f aca="false">G15*H$8</f>
        <v>2851.25</v>
      </c>
      <c r="I15" s="101" t="n">
        <f aca="false">STDEVP(B15:F15)/AVERAGE(B15:F15)</f>
        <v>0.0197768409796404</v>
      </c>
      <c r="J15" s="101" t="n">
        <f aca="false">IF(H15&gt;$A$43, $C$43, IF(H15&gt;$A$44, $C$44, IF(H15&gt;$A$45,$C$45,IF(H15&gt;$A$46,$C$46, IF(H15&gt;$A$47,$C$47,IF(H15&gt;$A$48,$C$48,$C$49))))))/100</f>
        <v>0.119</v>
      </c>
      <c r="K15" s="101" t="n">
        <f aca="false">(MAX(B15:F15)-MIN(B15:F15))/H15*5</f>
        <v>0.0491012713722052</v>
      </c>
      <c r="M15" s="37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</row>
    <row r="16" customFormat="false" ht="15.8" hidden="false" customHeight="false" outlineLevel="0" collapsed="false">
      <c r="A16" s="80" t="s">
        <v>152</v>
      </c>
      <c r="C16" s="0" t="n">
        <v>276</v>
      </c>
      <c r="D16" s="0" t="n">
        <v>286</v>
      </c>
      <c r="E16" s="0" t="n">
        <v>277</v>
      </c>
      <c r="F16" s="0" t="n">
        <v>317</v>
      </c>
      <c r="G16" s="15" t="n">
        <f aca="false">AVERAGE(B16:F16)/AVERAGE(B$8:F$8)</f>
        <v>56.1534636466751</v>
      </c>
      <c r="H16" s="103" t="n">
        <f aca="false">G16*H$8</f>
        <v>1445</v>
      </c>
      <c r="I16" s="101" t="n">
        <f aca="false">STDEVP(B16:F16)/AVERAGE(B16:F16)</f>
        <v>0.0575373326931346</v>
      </c>
      <c r="J16" s="101" t="n">
        <f aca="false">IF(H16&gt;$A$43, $C$43, IF(H16&gt;$A$44, $C$44, IF(H16&gt;$A$45,$C$45,IF(H16&gt;$A$46,$C$46, IF(H16&gt;$A$47,$C$47,IF(H16&gt;$A$48,$C$48,$C$49))))))/100</f>
        <v>0.134</v>
      </c>
      <c r="K16" s="101" t="n">
        <f aca="false">(MAX(B16:F16)-MIN(B16:F16))/H16*5</f>
        <v>0.141868512110727</v>
      </c>
      <c r="M16" s="37"/>
      <c r="P16" s="5"/>
      <c r="Q16" s="5"/>
      <c r="R16" s="80"/>
      <c r="S16" s="80"/>
      <c r="T16" s="80"/>
      <c r="U16" s="80"/>
      <c r="V16" s="80"/>
      <c r="W16" s="80"/>
      <c r="X16" s="80"/>
      <c r="Y16" s="80"/>
      <c r="Z16" s="80"/>
      <c r="AA16" s="80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</row>
    <row r="17" customFormat="false" ht="15.8" hidden="false" customHeight="false" outlineLevel="0" collapsed="false">
      <c r="A17" s="80" t="s">
        <v>153</v>
      </c>
      <c r="B17" s="0" t="n">
        <v>164</v>
      </c>
      <c r="C17" s="0" t="n">
        <v>149</v>
      </c>
      <c r="D17" s="0" t="n">
        <v>163</v>
      </c>
      <c r="E17" s="0" t="n">
        <v>149</v>
      </c>
      <c r="F17" s="0" t="n">
        <v>180</v>
      </c>
      <c r="G17" s="15" t="n">
        <f aca="false">AVERAGE(B17:F17)/AVERAGE(B$8:F$8)</f>
        <v>31.2827254225422</v>
      </c>
      <c r="H17" s="103" t="n">
        <f aca="false">G17*H$8</f>
        <v>805</v>
      </c>
      <c r="I17" s="101" t="n">
        <f aca="false">STDEVP(B17:F17)/AVERAGE(B17:F17)</f>
        <v>0.0714690676454287</v>
      </c>
      <c r="J17" s="101" t="n">
        <f aca="false">IF(H17&gt;$A$43, $C$43, IF(H17&gt;$A$44, $C$44, IF(H17&gt;$A$45,$C$45,IF(H17&gt;$A$46,$C$46, IF(H17&gt;$A$47,$C$47,IF(H17&gt;$A$48,$C$48,$C$49))))))/100</f>
        <v>0.156</v>
      </c>
      <c r="K17" s="101" t="n">
        <f aca="false">(MAX(B17:F17)-MIN(B17:F17))/H17*5</f>
        <v>0.192546583850932</v>
      </c>
      <c r="M17" s="37"/>
      <c r="P17" s="5"/>
      <c r="Q17" s="5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</row>
    <row r="18" customFormat="false" ht="15.8" hidden="false" customHeight="false" outlineLevel="0" collapsed="false">
      <c r="A18" s="80" t="s">
        <v>154</v>
      </c>
      <c r="B18" s="0" t="n">
        <v>115</v>
      </c>
      <c r="C18" s="0" t="n">
        <v>100</v>
      </c>
      <c r="D18" s="0" t="n">
        <v>97</v>
      </c>
      <c r="E18" s="0" t="n">
        <v>98</v>
      </c>
      <c r="F18" s="0" t="n">
        <v>116</v>
      </c>
      <c r="G18" s="15" t="n">
        <f aca="false">AVERAGE(B18:F18)/AVERAGE(B$8:F$8)</f>
        <v>20.4406379779592</v>
      </c>
      <c r="H18" s="103" t="n">
        <f aca="false">G18*H$8</f>
        <v>526</v>
      </c>
      <c r="I18" s="101" t="n">
        <f aca="false">STDEVP(B18:F18)/AVERAGE(B18:F18)</f>
        <v>0.0805240250363018</v>
      </c>
      <c r="J18" s="101" t="n">
        <f aca="false">IF(H18&gt;$A$43, $C$43, IF(H18&gt;$A$44, $C$44, IF(H18&gt;$A$45,$C$45,IF(H18&gt;$A$46,$C$46, IF(H18&gt;$A$47,$C$47,IF(H18&gt;$A$48,$C$48,$C$49))))))/100</f>
        <v>0.156</v>
      </c>
      <c r="K18" s="101" t="n">
        <f aca="false">(MAX(B18:F18)-MIN(B18:F18))/H18*5</f>
        <v>0.180608365019011</v>
      </c>
      <c r="M18" s="37"/>
      <c r="P18" s="5"/>
      <c r="Q18" s="5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</row>
    <row r="19" customFormat="false" ht="15.8" hidden="false" customHeight="false" outlineLevel="0" collapsed="false">
      <c r="A19" s="80" t="s">
        <v>155</v>
      </c>
      <c r="B19" s="0" t="n">
        <v>70</v>
      </c>
      <c r="C19" s="0" t="n">
        <v>66</v>
      </c>
      <c r="D19" s="0" t="n">
        <v>67</v>
      </c>
      <c r="E19" s="0" t="n">
        <v>64</v>
      </c>
      <c r="F19" s="0" t="n">
        <v>81</v>
      </c>
      <c r="G19" s="15" t="n">
        <f aca="false">AVERAGE(B19:F19)/AVERAGE(B$8:F$8)</f>
        <v>13.5234639093723</v>
      </c>
      <c r="H19" s="103" t="n">
        <f aca="false">G19*H$8</f>
        <v>348</v>
      </c>
      <c r="I19" s="101" t="n">
        <f aca="false">STDEVP(B19:F19)/AVERAGE(B19:F19)</f>
        <v>0.0864937755361633</v>
      </c>
      <c r="J19" s="101" t="n">
        <f aca="false">IF(H19&gt;$A$43, $C$43, IF(H19&gt;$A$44, $C$44, IF(H19&gt;$A$45,$C$45,IF(H19&gt;$A$46,$C$46, IF(H19&gt;$A$47,$C$47,IF(H19&gt;$A$48,$C$48,$C$49))))))/100</f>
        <v>0.193</v>
      </c>
      <c r="K19" s="101" t="n">
        <f aca="false">(MAX(B19:F19)-MIN(B19:F19))/H19*5</f>
        <v>0.244252873563218</v>
      </c>
      <c r="M19" s="37"/>
      <c r="P19" s="5"/>
      <c r="Q19" s="5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</row>
    <row r="20" customFormat="false" ht="15.8" hidden="false" customHeight="false" outlineLevel="0" collapsed="false">
      <c r="A20" s="80" t="s">
        <v>156</v>
      </c>
      <c r="B20" s="0" t="n">
        <v>48</v>
      </c>
      <c r="C20" s="0" t="n">
        <v>50</v>
      </c>
      <c r="D20" s="0" t="n">
        <v>51</v>
      </c>
      <c r="E20" s="0" t="n">
        <v>47</v>
      </c>
      <c r="F20" s="0" t="n">
        <v>59</v>
      </c>
      <c r="G20" s="15" t="n">
        <f aca="false">AVERAGE(B20:F20)/AVERAGE(B$8:F$8)</f>
        <v>9.90943476117796</v>
      </c>
      <c r="H20" s="103" t="n">
        <f aca="false">G20*H$8</f>
        <v>255</v>
      </c>
      <c r="I20" s="101" t="n">
        <f aca="false">STDEVP(B20:F20)/AVERAGE(B20:F20)</f>
        <v>0.0831890330807703</v>
      </c>
      <c r="J20" s="101" t="n">
        <f aca="false">IF(H20&gt;$A$43, $C$43, IF(H20&gt;$A$44, $C$44, IF(H20&gt;$A$45,$C$45,IF(H20&gt;$A$46,$C$46, IF(H20&gt;$A$47,$C$47,IF(H20&gt;$A$48,$C$48,$C$49))))))/100</f>
        <v>0.193</v>
      </c>
      <c r="K20" s="101" t="n">
        <f aca="false">(MAX(B20:F20)-MIN(B20:F20))/H20*5</f>
        <v>0.235294117647059</v>
      </c>
      <c r="M20" s="37"/>
      <c r="P20" s="5"/>
      <c r="Q20" s="5"/>
      <c r="R20" s="80"/>
      <c r="S20" s="80"/>
      <c r="T20" s="80"/>
      <c r="U20" s="80"/>
      <c r="V20" s="80"/>
      <c r="W20" s="80"/>
      <c r="X20" s="80"/>
      <c r="Y20" s="80"/>
      <c r="Z20" s="80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</row>
    <row r="21" customFormat="false" ht="15.8" hidden="false" customHeight="false" outlineLevel="0" collapsed="false">
      <c r="A21" s="80" t="s">
        <v>157</v>
      </c>
      <c r="B21" s="0" t="n">
        <v>40</v>
      </c>
      <c r="C21" s="0" t="n">
        <v>38</v>
      </c>
      <c r="D21" s="0" t="n">
        <v>38</v>
      </c>
      <c r="E21" s="0" t="n">
        <v>32</v>
      </c>
      <c r="F21" s="0" t="n">
        <v>41</v>
      </c>
      <c r="G21" s="15" t="n">
        <f aca="false">AVERAGE(B21:F21)/AVERAGE(B$8:F$8)</f>
        <v>7.34463988181425</v>
      </c>
      <c r="H21" s="103" t="n">
        <f aca="false">G21*H$8</f>
        <v>189</v>
      </c>
      <c r="I21" s="101" t="n">
        <f aca="false">STDEVP(B21:F21)/AVERAGE(B21:F21)</f>
        <v>0.082648144718589</v>
      </c>
      <c r="J21" s="101" t="n">
        <f aca="false">IF(H21&gt;$A$43, $C$43, IF(H21&gt;$A$44, $C$44, IF(H21&gt;$A$45,$C$45,IF(H21&gt;$A$46,$C$46, IF(H21&gt;$A$47,$C$47,IF(H21&gt;$A$48,$C$48,$C$49))))))/100</f>
        <v>0.275</v>
      </c>
      <c r="K21" s="101" t="n">
        <f aca="false">(MAX(B21:F21)-MIN(B21:F21))/H21*5</f>
        <v>0.238095238095238</v>
      </c>
      <c r="M21" s="37"/>
      <c r="O21" s="5"/>
      <c r="R21" s="85"/>
      <c r="S21" s="85"/>
      <c r="T21" s="80"/>
      <c r="U21" s="80"/>
      <c r="V21" s="80"/>
      <c r="W21" s="80"/>
      <c r="X21" s="80"/>
      <c r="Y21" s="80"/>
      <c r="Z21" s="80"/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</row>
    <row r="22" customFormat="false" ht="15.8" hidden="false" customHeight="false" outlineLevel="0" collapsed="false">
      <c r="A22" s="80" t="s">
        <v>158</v>
      </c>
      <c r="B22" s="0" t="n">
        <v>36</v>
      </c>
      <c r="C22" s="0" t="n">
        <v>33</v>
      </c>
      <c r="D22" s="0" t="n">
        <v>34</v>
      </c>
      <c r="E22" s="0" t="n">
        <v>27</v>
      </c>
      <c r="F22" s="0" t="n">
        <v>32</v>
      </c>
      <c r="G22" s="15" t="n">
        <f aca="false">AVERAGE(B22:F22)/AVERAGE(B$8:F$8)</f>
        <v>6.29540561298364</v>
      </c>
      <c r="H22" s="103" t="n">
        <f aca="false">G22*H$8</f>
        <v>162</v>
      </c>
      <c r="I22" s="101" t="n">
        <f aca="false">STDEVP(B22:F22)/AVERAGE(B22:F22)</f>
        <v>0.0927981257924254</v>
      </c>
      <c r="J22" s="101" t="n">
        <f aca="false">IF(H22&gt;$A$43, $C$43, IF(H22&gt;$A$44, $C$44, IF(H22&gt;$A$45,$C$45,IF(H22&gt;$A$46,$C$46, IF(H22&gt;$A$47,$C$47,IF(H22&gt;$A$48,$C$48,$C$49))))))/100</f>
        <v>0.275</v>
      </c>
      <c r="K22" s="101" t="n">
        <f aca="false">(MAX(B22:F22)-MIN(B22:F22))/H22*5</f>
        <v>0.277777777777778</v>
      </c>
      <c r="M22" s="37"/>
      <c r="O22" s="85"/>
      <c r="P22" s="80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</row>
    <row r="23" customFormat="false" ht="15.8" hidden="false" customHeight="false" outlineLevel="0" collapsed="false">
      <c r="A23" s="80" t="s">
        <v>159</v>
      </c>
      <c r="B23" s="0" t="n">
        <v>34</v>
      </c>
      <c r="C23" s="0" t="n">
        <v>28</v>
      </c>
      <c r="D23" s="0" t="n">
        <v>28</v>
      </c>
      <c r="E23" s="0" t="n">
        <v>21</v>
      </c>
      <c r="F23" s="0" t="n">
        <v>26</v>
      </c>
      <c r="G23" s="15" t="n">
        <f aca="false">AVERAGE(B23:F23)/AVERAGE(B$8:F$8)</f>
        <v>5.32389240110345</v>
      </c>
      <c r="H23" s="103" t="n">
        <f aca="false">G23*H$8</f>
        <v>137</v>
      </c>
      <c r="I23" s="101" t="n">
        <f aca="false">STDEVP(B23:F23)/AVERAGE(B23:F23)</f>
        <v>0.152413233706723</v>
      </c>
      <c r="J23" s="101" t="n">
        <f aca="false">IF(H23&gt;$A$43, $C$43, IF(H23&gt;$A$44, $C$44, IF(H23&gt;$A$45,$C$45,IF(H23&gt;$A$46,$C$46, IF(H23&gt;$A$47,$C$47,IF(H23&gt;$A$48,$C$48,$C$49))))))/100</f>
        <v>0.275</v>
      </c>
      <c r="K23" s="101" t="n">
        <f aca="false">(MAX(B23:F23)-MIN(B23:F23))/H23*5</f>
        <v>0.474452554744526</v>
      </c>
      <c r="M23" s="37"/>
      <c r="O23" s="85"/>
      <c r="T23" s="79"/>
      <c r="U23" s="79"/>
      <c r="V23" s="79"/>
      <c r="W23" s="79"/>
      <c r="X23" s="79"/>
      <c r="Y23" s="79"/>
      <c r="Z23" s="79"/>
      <c r="AA23" s="79"/>
      <c r="AB23" s="79"/>
      <c r="AC23" s="79"/>
      <c r="AD23" s="79"/>
      <c r="AE23" s="79"/>
      <c r="AF23" s="79"/>
      <c r="AG23" s="79"/>
      <c r="AH23" s="79"/>
      <c r="AI23" s="79"/>
      <c r="AJ23" s="79"/>
      <c r="AK23" s="79"/>
      <c r="AL23" s="79"/>
      <c r="AM23" s="79"/>
      <c r="AN23" s="79"/>
      <c r="AO23" s="79"/>
      <c r="AP23" s="79"/>
      <c r="AQ23" s="79"/>
      <c r="AR23" s="79"/>
      <c r="AS23" s="79"/>
      <c r="AT23" s="79"/>
      <c r="AU23" s="79"/>
      <c r="AV23" s="79"/>
      <c r="AW23" s="79"/>
    </row>
    <row r="24" customFormat="false" ht="15.8" hidden="false" customHeight="false" outlineLevel="0" collapsed="false">
      <c r="A24" s="80" t="s">
        <v>160</v>
      </c>
      <c r="B24" s="0" t="n">
        <v>31</v>
      </c>
      <c r="C24" s="0" t="n">
        <v>23</v>
      </c>
      <c r="D24" s="0" t="n">
        <v>26</v>
      </c>
      <c r="E24" s="0" t="n">
        <v>17</v>
      </c>
      <c r="F24" s="0" t="n">
        <v>23</v>
      </c>
      <c r="G24" s="15" t="n">
        <f aca="false">AVERAGE(B24:F24)/AVERAGE(B$8:F$8)</f>
        <v>4.66326341702492</v>
      </c>
      <c r="H24" s="103" t="n">
        <f aca="false">G24*H$8</f>
        <v>120</v>
      </c>
      <c r="I24" s="101" t="n">
        <f aca="false">STDEVP(B24:F24)/AVERAGE(B24:F24)</f>
        <v>0.190029237516523</v>
      </c>
      <c r="J24" s="101" t="n">
        <f aca="false">IF(H24&gt;$A$43, $C$43, IF(H24&gt;$A$44, $C$44, IF(H24&gt;$A$45,$C$45,IF(H24&gt;$A$46,$C$46, IF(H24&gt;$A$47,$C$47,IF(H24&gt;$A$48,$C$48,$C$49))))))/100</f>
        <v>0.275</v>
      </c>
      <c r="K24" s="101" t="n">
        <f aca="false">(MAX(B24:F24)-MIN(B24:F24))/H24*5</f>
        <v>0.583333333333333</v>
      </c>
      <c r="M24" s="37"/>
      <c r="O24" s="85"/>
      <c r="T24" s="101"/>
      <c r="U24" s="101"/>
      <c r="V24" s="101"/>
      <c r="W24" s="101"/>
      <c r="X24" s="101"/>
      <c r="Y24" s="101"/>
      <c r="Z24" s="101"/>
      <c r="AA24" s="101"/>
      <c r="AB24" s="101"/>
      <c r="AC24" s="101"/>
      <c r="AD24" s="101"/>
      <c r="AE24" s="101"/>
      <c r="AF24" s="101"/>
      <c r="AG24" s="101"/>
      <c r="AH24" s="101"/>
      <c r="AI24" s="101"/>
      <c r="AJ24" s="101"/>
      <c r="AK24" s="101"/>
      <c r="AL24" s="101"/>
      <c r="AM24" s="101"/>
      <c r="AN24" s="101"/>
      <c r="AO24" s="101"/>
      <c r="AP24" s="101"/>
      <c r="AQ24" s="101"/>
      <c r="AR24" s="101"/>
      <c r="AS24" s="101"/>
      <c r="AT24" s="101"/>
      <c r="AU24" s="101"/>
      <c r="AV24" s="101"/>
      <c r="AW24" s="101"/>
    </row>
    <row r="25" customFormat="false" ht="15.8" hidden="false" customHeight="false" outlineLevel="0" collapsed="false">
      <c r="A25" s="80" t="s">
        <v>161</v>
      </c>
      <c r="B25" s="0" t="n">
        <v>23</v>
      </c>
      <c r="C25" s="0" t="n">
        <v>20</v>
      </c>
      <c r="D25" s="0" t="n">
        <v>24</v>
      </c>
      <c r="E25" s="0" t="n">
        <v>17</v>
      </c>
      <c r="F25" s="0" t="n">
        <v>18</v>
      </c>
      <c r="G25" s="15" t="n">
        <f aca="false">AVERAGE(B25:F25)/AVERAGE(B$8:F$8)</f>
        <v>3.96377390447118</v>
      </c>
      <c r="H25" s="103" t="n">
        <f aca="false">G25*H$8</f>
        <v>102</v>
      </c>
      <c r="I25" s="101" t="n">
        <f aca="false">STDEVP(B25:F25)/AVERAGE(B25:F25)</f>
        <v>0.13370766369594</v>
      </c>
      <c r="J25" s="101" t="n">
        <f aca="false">IF(H25&gt;$A$43, $C$43, IF(H25&gt;$A$44, $C$44, IF(H25&gt;$A$45,$C$45,IF(H25&gt;$A$46,$C$46, IF(H25&gt;$A$47,$C$47,IF(H25&gt;$A$48,$C$48,$C$49))))))/100</f>
        <v>0.275</v>
      </c>
      <c r="K25" s="101" t="n">
        <f aca="false">(MAX(B25:F25)-MIN(B25:F25))/H25*5</f>
        <v>0.343137254901961</v>
      </c>
      <c r="M25" s="37"/>
      <c r="O25" s="85"/>
      <c r="T25" s="79"/>
      <c r="U25" s="79"/>
      <c r="V25" s="79"/>
      <c r="W25" s="79"/>
      <c r="X25" s="79"/>
      <c r="Y25" s="79"/>
      <c r="Z25" s="79"/>
      <c r="AA25" s="79"/>
      <c r="AB25" s="79"/>
      <c r="AC25" s="79"/>
      <c r="AD25" s="79"/>
      <c r="AE25" s="79"/>
      <c r="AF25" s="79"/>
      <c r="AG25" s="79"/>
      <c r="AH25" s="79"/>
      <c r="AI25" s="79"/>
      <c r="AJ25" s="79"/>
      <c r="AK25" s="79"/>
      <c r="AL25" s="79"/>
      <c r="AM25" s="79"/>
      <c r="AN25" s="79"/>
      <c r="AO25" s="79"/>
      <c r="AP25" s="79"/>
      <c r="AQ25" s="79"/>
      <c r="AR25" s="79"/>
      <c r="AS25" s="79"/>
      <c r="AT25" s="79"/>
      <c r="AU25" s="79"/>
      <c r="AV25" s="79"/>
      <c r="AW25" s="79"/>
    </row>
    <row r="26" customFormat="false" ht="15.8" hidden="false" customHeight="false" outlineLevel="0" collapsed="false">
      <c r="A26" s="80" t="s">
        <v>162</v>
      </c>
      <c r="B26" s="0" t="n">
        <v>19</v>
      </c>
      <c r="C26" s="0" t="n">
        <v>15</v>
      </c>
      <c r="D26" s="0" t="n">
        <v>20</v>
      </c>
      <c r="E26" s="0" t="n">
        <v>13</v>
      </c>
      <c r="F26" s="0" t="n">
        <v>18</v>
      </c>
      <c r="G26" s="15" t="n">
        <f aca="false">AVERAGE(B26:F26)/AVERAGE(B$8:F$8)</f>
        <v>3.30314492039265</v>
      </c>
      <c r="H26" s="103" t="n">
        <f aca="false">G26*H$8</f>
        <v>85</v>
      </c>
      <c r="I26" s="101" t="n">
        <f aca="false">STDEVP(B26:F26)/AVERAGE(B26:F26)</f>
        <v>0.153392997769474</v>
      </c>
      <c r="J26" s="101" t="n">
        <f aca="false">IF(H26&gt;$A$43, $C$43, IF(H26&gt;$A$44, $C$44, IF(H26&gt;$A$45,$C$45,IF(H26&gt;$A$46,$C$46, IF(H26&gt;$A$47,$C$47,IF(H26&gt;$A$48,$C$48,$C$49))))))/100</f>
        <v>0.275</v>
      </c>
      <c r="K26" s="101" t="n">
        <f aca="false">(MAX(B26:F26)-MIN(B26:F26))/H26*5</f>
        <v>0.411764705882353</v>
      </c>
      <c r="M26" s="37"/>
    </row>
    <row r="27" customFormat="false" ht="15.8" hidden="false" customHeight="false" outlineLevel="0" collapsed="false">
      <c r="A27" s="80" t="s">
        <v>163</v>
      </c>
      <c r="B27" s="0" t="n">
        <v>17</v>
      </c>
      <c r="C27" s="0" t="n">
        <v>12</v>
      </c>
      <c r="D27" s="0" t="n">
        <v>17</v>
      </c>
      <c r="E27" s="0" t="n">
        <v>12</v>
      </c>
      <c r="F27" s="0" t="n">
        <v>16</v>
      </c>
      <c r="G27" s="15" t="n">
        <f aca="false">AVERAGE(B27:F27)/AVERAGE(B$8:F$8)</f>
        <v>2.87567910716537</v>
      </c>
      <c r="H27" s="103" t="n">
        <f aca="false">G27*H$8</f>
        <v>74</v>
      </c>
      <c r="I27" s="101" t="n">
        <f aca="false">STDEVP(B27:F27)/AVERAGE(B27:F27)</f>
        <v>0.156430228416084</v>
      </c>
      <c r="J27" s="101" t="n">
        <f aca="false">IF(H27&gt;$A$43, $C$43, IF(H27&gt;$A$44, $C$44, IF(H27&gt;$A$45,$C$45,IF(H27&gt;$A$46,$C$46, IF(H27&gt;$A$47,$C$47,IF(H27&gt;$A$48,$C$48,$C$49))))))/100</f>
        <v>0.275</v>
      </c>
      <c r="K27" s="101" t="n">
        <f aca="false">(MAX(B27:F27)-MIN(B27:F27))/H27*5</f>
        <v>0.337837837837838</v>
      </c>
      <c r="M27" s="37"/>
    </row>
    <row r="28" customFormat="false" ht="15.8" hidden="false" customHeight="false" outlineLevel="0" collapsed="false">
      <c r="A28" s="80" t="s">
        <v>164</v>
      </c>
      <c r="B28" s="0" t="n">
        <v>14</v>
      </c>
      <c r="C28" s="0" t="n">
        <v>11</v>
      </c>
      <c r="D28" s="0" t="n">
        <v>17</v>
      </c>
      <c r="E28" s="0" t="n">
        <v>11</v>
      </c>
      <c r="F28" s="0" t="n">
        <v>12</v>
      </c>
      <c r="G28" s="15" t="n">
        <f aca="false">AVERAGE(B28:F28)/AVERAGE(B$8:F$8)</f>
        <v>2.5259343508885</v>
      </c>
      <c r="H28" s="103" t="n">
        <f aca="false">G28*H$8</f>
        <v>65</v>
      </c>
      <c r="I28" s="101" t="n">
        <f aca="false">STDEVP(B28:F28)/AVERAGE(B28:F28)</f>
        <v>0.175411603861406</v>
      </c>
      <c r="J28" s="101" t="n">
        <f aca="false">IF(H28&gt;$A$43, $C$43, IF(H28&gt;$A$44, $C$44, IF(H28&gt;$A$45,$C$45,IF(H28&gt;$A$46,$C$46, IF(H28&gt;$A$47,$C$47,IF(H28&gt;$A$48,$C$48,$C$49))))))/100</f>
        <v>0.275</v>
      </c>
      <c r="K28" s="101" t="n">
        <f aca="false">(MAX(B28:F28)-MIN(B28:F28))/H28*5</f>
        <v>0.461538461538462</v>
      </c>
      <c r="M28" s="37"/>
    </row>
    <row r="29" customFormat="false" ht="15.8" hidden="false" customHeight="false" outlineLevel="0" collapsed="false">
      <c r="A29" s="80" t="s">
        <v>165</v>
      </c>
      <c r="B29" s="0" t="n">
        <v>13</v>
      </c>
      <c r="C29" s="0" t="n">
        <v>10</v>
      </c>
      <c r="D29" s="0" t="n">
        <v>16</v>
      </c>
      <c r="E29" s="0" t="n">
        <v>9</v>
      </c>
      <c r="F29" s="0" t="n">
        <v>11</v>
      </c>
      <c r="G29" s="15" t="n">
        <f aca="false">AVERAGE(B29:F29)/AVERAGE(B$8:F$8)</f>
        <v>2.29277118003725</v>
      </c>
      <c r="H29" s="103" t="n">
        <f aca="false">G29*H$8</f>
        <v>59</v>
      </c>
      <c r="I29" s="101" t="n">
        <f aca="false">STDEVP(B29:F29)/AVERAGE(B29:F29)</f>
        <v>0.210333451626964</v>
      </c>
      <c r="J29" s="101" t="n">
        <f aca="false">IF(H29&gt;$A$43, $C$43, IF(H29&gt;$A$44, $C$44, IF(H29&gt;$A$45,$C$45,IF(H29&gt;$A$46,$C$46, IF(H29&gt;$A$47,$C$47,IF(H29&gt;$A$48,$C$48,$C$49))))))/100</f>
        <v>0.275</v>
      </c>
      <c r="K29" s="101" t="n">
        <f aca="false">(MAX(B29:F29)-MIN(B29:F29))/H29*5</f>
        <v>0.593220338983051</v>
      </c>
      <c r="M29" s="37"/>
    </row>
    <row r="30" customFormat="false" ht="15.8" hidden="false" customHeight="false" outlineLevel="0" collapsed="false">
      <c r="A30" s="80" t="s">
        <v>166</v>
      </c>
      <c r="B30" s="0" t="n">
        <v>9</v>
      </c>
      <c r="C30" s="0" t="n">
        <v>9</v>
      </c>
      <c r="D30" s="0" t="n">
        <v>14</v>
      </c>
      <c r="E30" s="0" t="n">
        <v>7</v>
      </c>
      <c r="F30" s="0" t="n">
        <v>9</v>
      </c>
      <c r="G30" s="15" t="n">
        <f aca="false">AVERAGE(B30:F30)/AVERAGE(B$8:F$8)</f>
        <v>1.86530536680997</v>
      </c>
      <c r="H30" s="103" t="n">
        <f aca="false">G30*H$8</f>
        <v>48</v>
      </c>
      <c r="I30" s="101" t="n">
        <f aca="false">STDEVP(B30:F30)/AVERAGE(B30:F30)</f>
        <v>0.242956328951888</v>
      </c>
      <c r="J30" s="101" t="n">
        <f aca="false">IF(H30&gt;$A$43, $C$43, IF(H30&gt;$A$44, $C$44, IF(H30&gt;$A$45,$C$45,IF(H30&gt;$A$46,$C$46, IF(H30&gt;$A$47,$C$47,IF(H30&gt;$A$48,$C$48,$C$49))))))/100</f>
        <v>0.275</v>
      </c>
      <c r="K30" s="101" t="n">
        <f aca="false">(MAX(B30:F30)-MIN(B30:F30))/H30*5</f>
        <v>0.729166666666667</v>
      </c>
      <c r="M30" s="37"/>
    </row>
    <row r="31" customFormat="false" ht="15.8" hidden="false" customHeight="false" outlineLevel="0" collapsed="false">
      <c r="A31" s="80" t="s">
        <v>167</v>
      </c>
      <c r="B31" s="0" t="n">
        <v>8</v>
      </c>
      <c r="C31" s="0" t="n">
        <v>7</v>
      </c>
      <c r="D31" s="0" t="n">
        <v>13</v>
      </c>
      <c r="E31" s="0" t="n">
        <v>7</v>
      </c>
      <c r="F31" s="0" t="n">
        <v>7</v>
      </c>
      <c r="G31" s="15" t="n">
        <f aca="false">AVERAGE(B31:F31)/AVERAGE(B$8:F$8)</f>
        <v>1.63214219595872</v>
      </c>
      <c r="H31" s="103" t="n">
        <f aca="false">G31*H$8</f>
        <v>42</v>
      </c>
      <c r="I31" s="101" t="n">
        <f aca="false">STDEVP(B31:F31)/AVERAGE(B31:F31)</f>
        <v>0.277664375945014</v>
      </c>
      <c r="J31" s="101" t="n">
        <f aca="false">IF(H31&gt;$A$43, $C$43, IF(H31&gt;$A$44, $C$44, IF(H31&gt;$A$45,$C$45,IF(H31&gt;$A$46,$C$46, IF(H31&gt;$A$47,$C$47,IF(H31&gt;$A$48,$C$48,$C$49))))))/100</f>
        <v>0.275</v>
      </c>
      <c r="K31" s="101" t="n">
        <f aca="false">(MAX(B31:F31)-MIN(B31:F31))/H31*5</f>
        <v>0.714285714285714</v>
      </c>
      <c r="M31" s="37"/>
    </row>
    <row r="32" customFormat="false" ht="15.8" hidden="false" customHeight="false" outlineLevel="0" collapsed="false">
      <c r="A32" s="80" t="s">
        <v>168</v>
      </c>
      <c r="B32" s="0" t="n">
        <v>7</v>
      </c>
      <c r="C32" s="0" t="n">
        <v>5</v>
      </c>
      <c r="D32" s="0" t="n">
        <v>10</v>
      </c>
      <c r="E32" s="0" t="n">
        <v>5</v>
      </c>
      <c r="F32" s="0" t="n">
        <v>5</v>
      </c>
      <c r="G32" s="15" t="n">
        <f aca="false">AVERAGE(B32:F32)/AVERAGE(B$8:F$8)</f>
        <v>1.24353691120665</v>
      </c>
      <c r="H32" s="103" t="n">
        <f aca="false">G32*H$8</f>
        <v>32</v>
      </c>
      <c r="I32" s="101" t="n">
        <f aca="false">STDEVP(B32:F32)/AVERAGE(B32:F32)</f>
        <v>0.306186217847897</v>
      </c>
      <c r="J32" s="101" t="n">
        <f aca="false">IF(H32&gt;$A$43, $C$43, IF(H32&gt;$A$44, $C$44, IF(H32&gt;$A$45,$C$45,IF(H32&gt;$A$46,$C$46, IF(H32&gt;$A$47,$C$47,IF(H32&gt;$A$48,$C$48,$C$49))))))/100</f>
        <v>0.275</v>
      </c>
      <c r="K32" s="101" t="n">
        <f aca="false">(MAX(B32:F32)-MIN(B32:F32))/H32*5</f>
        <v>0.78125</v>
      </c>
      <c r="M32" s="37"/>
    </row>
    <row r="33" customFormat="false" ht="15.8" hidden="false" customHeight="false" outlineLevel="0" collapsed="false">
      <c r="A33" s="80" t="s">
        <v>169</v>
      </c>
      <c r="B33" s="0" t="n">
        <v>6</v>
      </c>
      <c r="C33" s="0" t="n">
        <v>5</v>
      </c>
      <c r="D33" s="0" t="n">
        <v>10</v>
      </c>
      <c r="E33" s="0" t="n">
        <v>5</v>
      </c>
      <c r="F33" s="0" t="n">
        <v>5</v>
      </c>
      <c r="G33" s="15" t="n">
        <f aca="false">AVERAGE(B33:F33)/AVERAGE(B$8:F$8)</f>
        <v>1.20467638273144</v>
      </c>
      <c r="H33" s="103" t="n">
        <f aca="false">G33*H$8</f>
        <v>31</v>
      </c>
      <c r="I33" s="101" t="n">
        <f aca="false">STDEVP(B33:F33)/AVERAGE(B33:F33)</f>
        <v>0.31275353918815</v>
      </c>
      <c r="J33" s="101" t="n">
        <f aca="false">IF(H33&gt;$A$43, $C$43, IF(H33&gt;$A$44, $C$44, IF(H33&gt;$A$45,$C$45,IF(H33&gt;$A$46,$C$46, IF(H33&gt;$A$47,$C$47,IF(H33&gt;$A$48,$C$48,$C$49))))))/100</f>
        <v>0.275</v>
      </c>
      <c r="K33" s="101" t="n">
        <f aca="false">(MAX(B33:F33)-MIN(B33:F33))/H33*5</f>
        <v>0.806451612903226</v>
      </c>
      <c r="M33" s="37"/>
    </row>
    <row r="34" customFormat="false" ht="15.8" hidden="false" customHeight="false" outlineLevel="0" collapsed="false">
      <c r="A34" s="80" t="s">
        <v>170</v>
      </c>
      <c r="B34" s="0" t="n">
        <v>5</v>
      </c>
      <c r="C34" s="0" t="n">
        <v>4</v>
      </c>
      <c r="D34" s="0" t="n">
        <v>10</v>
      </c>
      <c r="E34" s="0" t="n">
        <v>5</v>
      </c>
      <c r="F34" s="0" t="n">
        <v>5</v>
      </c>
      <c r="G34" s="15" t="n">
        <f aca="false">AVERAGE(B34:F34)/AVERAGE(B$8:F$8)</f>
        <v>1.12695532578102</v>
      </c>
      <c r="H34" s="103" t="n">
        <f aca="false">G34*H$8</f>
        <v>29</v>
      </c>
      <c r="I34" s="101" t="n">
        <f aca="false">STDEVP(B34:F34)/AVERAGE(B34:F34)</f>
        <v>0.368175112139011</v>
      </c>
      <c r="J34" s="101" t="n">
        <f aca="false">IF(H34&gt;$A$43, $C$43, IF(H34&gt;$A$44, $C$44, IF(H34&gt;$A$45,$C$45,IF(H34&gt;$A$46,$C$46, IF(H34&gt;$A$47,$C$47,IF(H34&gt;$A$48,$C$48,$C$49))))))/100</f>
        <v>0.275</v>
      </c>
      <c r="K34" s="101" t="n">
        <f aca="false">(MAX(B34:F34)-MIN(B34:F34))/H34*5</f>
        <v>1.03448275862069</v>
      </c>
      <c r="M34" s="37"/>
    </row>
    <row r="35" customFormat="false" ht="15.8" hidden="false" customHeight="false" outlineLevel="0" collapsed="false">
      <c r="A35" s="80" t="s">
        <v>171</v>
      </c>
      <c r="B35" s="0" t="n">
        <v>5</v>
      </c>
      <c r="C35" s="0" t="n">
        <v>3</v>
      </c>
      <c r="D35" s="0" t="n">
        <v>7</v>
      </c>
      <c r="E35" s="0" t="n">
        <v>5</v>
      </c>
      <c r="F35" s="0" t="n">
        <v>4</v>
      </c>
      <c r="G35" s="15" t="n">
        <f aca="false">AVERAGE(B35:F35)/AVERAGE(B$8:F$8)</f>
        <v>0.932652683404984</v>
      </c>
      <c r="H35" s="103" t="n">
        <f aca="false">G35*H$8</f>
        <v>24</v>
      </c>
      <c r="I35" s="101" t="n">
        <f aca="false">STDEVP(B35:F35)/AVERAGE(B35:F35)</f>
        <v>0.276385399196283</v>
      </c>
      <c r="J35" s="101" t="n">
        <f aca="false">IF(H35&gt;$A$43, $C$43, IF(H35&gt;$A$44, $C$44, IF(H35&gt;$A$45,$C$45,IF(H35&gt;$A$46,$C$46, IF(H35&gt;$A$47,$C$47,IF(H35&gt;$A$48,$C$48,$C$49))))))/100</f>
        <v>0.275</v>
      </c>
      <c r="K35" s="101" t="n">
        <f aca="false">(MAX(B35:F35)-MIN(B35:F35))/H35*5</f>
        <v>0.833333333333333</v>
      </c>
      <c r="M35" s="37"/>
    </row>
    <row r="36" customFormat="false" ht="15.8" hidden="false" customHeight="false" outlineLevel="0" collapsed="false">
      <c r="A36" s="80" t="s">
        <v>172</v>
      </c>
      <c r="B36" s="0" t="n">
        <v>4</v>
      </c>
      <c r="C36" s="0" t="n">
        <v>0</v>
      </c>
      <c r="D36" s="0" t="n">
        <v>2</v>
      </c>
      <c r="E36" s="0" t="n">
        <v>3</v>
      </c>
      <c r="F36" s="0" t="n">
        <v>3</v>
      </c>
      <c r="G36" s="15" t="n">
        <f aca="false">AVERAGE(B36:F36)/AVERAGE(B$8:F$8)</f>
        <v>0.466326341702492</v>
      </c>
      <c r="H36" s="103" t="n">
        <f aca="false">G36*H$8</f>
        <v>12</v>
      </c>
      <c r="I36" s="101" t="n">
        <f aca="false">STDEVP(B36:F36)/AVERAGE(B36:F36)</f>
        <v>0.565194165260439</v>
      </c>
      <c r="J36" s="101" t="n">
        <f aca="false">IF(H36&gt;$A$43, $C$43, IF(H36&gt;$A$44, $C$44, IF(H36&gt;$A$45,$C$45,IF(H36&gt;$A$46,$C$46, IF(H36&gt;$A$47,$C$47,IF(H36&gt;$A$48,$C$48,$C$49))))))/100</f>
        <v>0.275</v>
      </c>
      <c r="K36" s="101" t="n">
        <f aca="false">(MAX(B36:F36)-MIN(B36:F36))/H36*5</f>
        <v>1.66666666666667</v>
      </c>
      <c r="M36" s="37"/>
    </row>
    <row r="37" customFormat="false" ht="15.8" hidden="false" customHeight="false" outlineLevel="0" collapsed="false">
      <c r="A37" s="80" t="s">
        <v>173</v>
      </c>
      <c r="B37" s="0" t="n">
        <v>1</v>
      </c>
      <c r="C37" s="0" t="n">
        <v>0</v>
      </c>
      <c r="D37" s="0" t="n">
        <v>1</v>
      </c>
      <c r="E37" s="0" t="n">
        <v>1</v>
      </c>
      <c r="F37" s="0" t="n">
        <v>0</v>
      </c>
      <c r="G37" s="15" t="n">
        <f aca="false">AVERAGE(B37:F37)/AVERAGE(B$8:F$8)</f>
        <v>0.116581585425623</v>
      </c>
      <c r="H37" s="103" t="n">
        <f aca="false">G37*H$8</f>
        <v>3</v>
      </c>
      <c r="I37" s="101" t="n">
        <f aca="false">STDEVP(B37:F37)/AVERAGE(B37:F37)</f>
        <v>0.816496580927726</v>
      </c>
      <c r="J37" s="101" t="n">
        <f aca="false">IF(H37&gt;$A$43, $C$43, IF(H37&gt;$A$44, $C$44, IF(H37&gt;$A$45,$C$45,IF(H37&gt;$A$46,$C$46, IF(H37&gt;$A$47,$C$47,IF(H37&gt;$A$48,$C$48,$C$49))))))/100</f>
        <v>0.275</v>
      </c>
      <c r="K37" s="101" t="n">
        <f aca="false">(MAX(B37:F37)-MIN(B37:F37))/H37*5</f>
        <v>1.66666666666667</v>
      </c>
    </row>
    <row r="38" customFormat="false" ht="15.8" hidden="false" customHeight="false" outlineLevel="0" collapsed="false">
      <c r="A38" s="80" t="s">
        <v>174</v>
      </c>
      <c r="B38" s="0" t="n">
        <v>1</v>
      </c>
      <c r="C38" s="0" t="n">
        <v>0</v>
      </c>
      <c r="D38" s="0" t="n">
        <v>1</v>
      </c>
      <c r="E38" s="0" t="n">
        <v>1</v>
      </c>
      <c r="F38" s="0" t="n">
        <v>0</v>
      </c>
      <c r="G38" s="15" t="n">
        <f aca="false">AVERAGE(B38:F38)/AVERAGE(B$8:F$8)</f>
        <v>0.116581585425623</v>
      </c>
      <c r="H38" s="103" t="n">
        <f aca="false">G38*H$8</f>
        <v>3</v>
      </c>
      <c r="I38" s="101" t="n">
        <f aca="false">STDEVP(B38:F38)/AVERAGE(B38:F38)</f>
        <v>0.816496580927726</v>
      </c>
      <c r="J38" s="101" t="n">
        <f aca="false">IF(H38&gt;$A$43, $C$43, IF(H38&gt;$A$44, $C$44, IF(H38&gt;$A$45,$C$45,IF(H38&gt;$A$46,$C$46, IF(H38&gt;$A$47,$C$47,IF(H38&gt;$A$48,$C$48,$C$49))))))/100</f>
        <v>0.275</v>
      </c>
      <c r="K38" s="101" t="n">
        <f aca="false">(MAX(B38:F38)-MIN(B38:F38))/H38*5</f>
        <v>1.66666666666667</v>
      </c>
    </row>
    <row r="40" customFormat="false" ht="15.8" hidden="false" customHeight="false" outlineLevel="0" collapsed="false">
      <c r="A40" s="0" t="s">
        <v>175</v>
      </c>
    </row>
    <row r="41" customFormat="false" ht="15.8" hidden="false" customHeight="false" outlineLevel="0" collapsed="false">
      <c r="A41" s="104"/>
      <c r="B41" s="105" t="s">
        <v>176</v>
      </c>
      <c r="C41" s="104"/>
      <c r="D41" s="106" t="s">
        <v>177</v>
      </c>
      <c r="E41" s="107"/>
      <c r="F41" s="107"/>
      <c r="G41" s="107"/>
      <c r="H41" s="108"/>
    </row>
    <row r="42" customFormat="false" ht="15.8" hidden="false" customHeight="false" outlineLevel="0" collapsed="false">
      <c r="A42" s="109" t="s">
        <v>178</v>
      </c>
      <c r="B42" s="110" t="s">
        <v>179</v>
      </c>
      <c r="C42" s="109" t="s">
        <v>180</v>
      </c>
      <c r="D42" s="109" t="s">
        <v>181</v>
      </c>
      <c r="E42" s="110" t="s">
        <v>182</v>
      </c>
      <c r="F42" s="110" t="s">
        <v>183</v>
      </c>
      <c r="G42" s="110" t="s">
        <v>184</v>
      </c>
      <c r="H42" s="111" t="s">
        <v>185</v>
      </c>
    </row>
    <row r="43" customFormat="false" ht="15.8" hidden="false" customHeight="false" outlineLevel="0" collapsed="false">
      <c r="A43" s="112" t="n">
        <v>10000</v>
      </c>
      <c r="C43" s="112" t="n">
        <v>11</v>
      </c>
      <c r="D43" s="112" t="n">
        <v>7.8</v>
      </c>
      <c r="E43" s="0" t="n">
        <v>5.3</v>
      </c>
      <c r="F43" s="0" t="n">
        <v>4</v>
      </c>
      <c r="G43" s="0" t="n">
        <v>2.7</v>
      </c>
      <c r="H43" s="113" t="n">
        <v>1.8</v>
      </c>
    </row>
    <row r="44" customFormat="false" ht="15.8" hidden="false" customHeight="false" outlineLevel="0" collapsed="false">
      <c r="A44" s="112" t="n">
        <v>5000</v>
      </c>
      <c r="B44" s="0" t="n">
        <v>10000</v>
      </c>
      <c r="C44" s="112" t="n">
        <v>11.3</v>
      </c>
      <c r="D44" s="112" t="n">
        <v>7.8</v>
      </c>
      <c r="E44" s="0" t="n">
        <v>5.3</v>
      </c>
      <c r="F44" s="0" t="n">
        <v>4</v>
      </c>
      <c r="G44" s="0" t="n">
        <v>2.7</v>
      </c>
      <c r="H44" s="113" t="n">
        <v>1.9</v>
      </c>
    </row>
    <row r="45" customFormat="false" ht="15.8" hidden="false" customHeight="false" outlineLevel="0" collapsed="false">
      <c r="A45" s="112" t="n">
        <v>2000</v>
      </c>
      <c r="B45" s="0" t="n">
        <v>5000</v>
      </c>
      <c r="C45" s="112" t="n">
        <v>11.9</v>
      </c>
      <c r="D45" s="112" t="n">
        <v>7.9</v>
      </c>
      <c r="E45" s="0" t="n">
        <v>5.4</v>
      </c>
      <c r="F45" s="0" t="n">
        <v>4.1</v>
      </c>
      <c r="G45" s="0" t="n">
        <v>2.9</v>
      </c>
      <c r="H45" s="113" t="n">
        <v>2.1</v>
      </c>
    </row>
    <row r="46" customFormat="false" ht="15.8" hidden="false" customHeight="false" outlineLevel="0" collapsed="false">
      <c r="A46" s="112" t="n">
        <v>1000</v>
      </c>
      <c r="B46" s="0" t="n">
        <v>2000</v>
      </c>
      <c r="C46" s="112" t="n">
        <v>13.4</v>
      </c>
      <c r="D46" s="112" t="n">
        <v>8</v>
      </c>
      <c r="E46" s="0" t="n">
        <v>5.6</v>
      </c>
      <c r="F46" s="0" t="n">
        <v>4.3</v>
      </c>
      <c r="G46" s="0" t="n">
        <v>3.1</v>
      </c>
      <c r="H46" s="113" t="n">
        <v>2.4</v>
      </c>
    </row>
    <row r="47" customFormat="false" ht="15.8" hidden="false" customHeight="false" outlineLevel="0" collapsed="false">
      <c r="A47" s="112" t="n">
        <v>500</v>
      </c>
      <c r="B47" s="0" t="n">
        <v>1000</v>
      </c>
      <c r="C47" s="112" t="n">
        <v>15.6</v>
      </c>
      <c r="D47" s="112" t="n">
        <v>8.2</v>
      </c>
      <c r="E47" s="0" t="n">
        <v>5.9</v>
      </c>
      <c r="F47" s="0" t="n">
        <v>4.7</v>
      </c>
      <c r="G47" s="0" t="n">
        <v>3.6</v>
      </c>
      <c r="H47" s="113" t="n">
        <v>2.9</v>
      </c>
    </row>
    <row r="48" customFormat="false" ht="15.8" hidden="false" customHeight="false" outlineLevel="0" collapsed="false">
      <c r="A48" s="112" t="n">
        <v>200</v>
      </c>
      <c r="B48" s="0" t="n">
        <v>500</v>
      </c>
      <c r="C48" s="112" t="n">
        <v>19.3</v>
      </c>
      <c r="D48" s="112" t="n">
        <v>8.9</v>
      </c>
      <c r="E48" s="0" t="n">
        <v>6.8</v>
      </c>
      <c r="F48" s="0" t="n">
        <v>5.7</v>
      </c>
      <c r="G48" s="0" t="n">
        <v>4.7</v>
      </c>
      <c r="H48" s="113" t="n">
        <v>4.1</v>
      </c>
    </row>
    <row r="49" customFormat="false" ht="15.8" hidden="false" customHeight="false" outlineLevel="0" collapsed="false">
      <c r="A49" s="114" t="n">
        <v>100</v>
      </c>
      <c r="B49" s="115" t="n">
        <v>200</v>
      </c>
      <c r="C49" s="114" t="n">
        <v>27.5</v>
      </c>
      <c r="D49" s="114" t="n">
        <v>10</v>
      </c>
      <c r="E49" s="115" t="n">
        <v>8</v>
      </c>
      <c r="F49" s="115" t="n">
        <v>7</v>
      </c>
      <c r="G49" s="115" t="n">
        <v>6.1</v>
      </c>
      <c r="H49" s="116" t="n">
        <v>5.5</v>
      </c>
    </row>
    <row r="51" customFormat="false" ht="15.8" hidden="false" customHeight="false" outlineLevel="0" collapsed="false">
      <c r="A51" s="0" t="n">
        <v>4.923135</v>
      </c>
      <c r="B51" s="0" t="n">
        <v>29157</v>
      </c>
      <c r="C51" s="0" t="n">
        <v>17360</v>
      </c>
      <c r="D51" s="0" t="n">
        <v>9287</v>
      </c>
      <c r="E51" s="0" t="n">
        <v>4587</v>
      </c>
      <c r="F51" s="0" t="n">
        <v>2348</v>
      </c>
      <c r="G51" s="0" t="n">
        <v>1088</v>
      </c>
      <c r="H51" s="0" t="n">
        <v>532</v>
      </c>
      <c r="I51" s="0" t="n">
        <v>270</v>
      </c>
      <c r="J51" s="0" t="n">
        <v>164</v>
      </c>
      <c r="K51" s="0" t="n">
        <v>115</v>
      </c>
      <c r="L51" s="0" t="n">
        <v>70</v>
      </c>
      <c r="M51" s="0" t="n">
        <v>48</v>
      </c>
      <c r="N51" s="0" t="n">
        <v>40</v>
      </c>
      <c r="O51" s="0" t="n">
        <v>36</v>
      </c>
      <c r="P51" s="0" t="n">
        <v>34</v>
      </c>
      <c r="Q51" s="0" t="n">
        <v>31</v>
      </c>
      <c r="R51" s="0" t="n">
        <v>23</v>
      </c>
      <c r="S51" s="0" t="n">
        <v>19</v>
      </c>
      <c r="T51" s="0" t="n">
        <v>17</v>
      </c>
      <c r="U51" s="0" t="n">
        <v>14</v>
      </c>
      <c r="V51" s="0" t="n">
        <v>13</v>
      </c>
      <c r="W51" s="0" t="n">
        <v>9</v>
      </c>
      <c r="X51" s="0" t="n">
        <v>8</v>
      </c>
      <c r="Y51" s="0" t="n">
        <v>7</v>
      </c>
      <c r="Z51" s="0" t="n">
        <v>6</v>
      </c>
      <c r="AA51" s="0" t="n">
        <v>5</v>
      </c>
      <c r="AB51" s="0" t="n">
        <v>5</v>
      </c>
      <c r="AC51" s="0" t="n">
        <v>4</v>
      </c>
      <c r="AD51" s="0" t="n">
        <v>1</v>
      </c>
      <c r="AE51" s="0" t="n">
        <v>1</v>
      </c>
    </row>
    <row r="52" customFormat="false" ht="15.8" hidden="false" customHeight="false" outlineLevel="0" collapsed="false">
      <c r="A52" s="0" t="n">
        <v>5.228722</v>
      </c>
      <c r="B52" s="0" t="n">
        <v>30687</v>
      </c>
      <c r="C52" s="0" t="n">
        <v>18503</v>
      </c>
      <c r="D52" s="0" t="n">
        <v>9843</v>
      </c>
      <c r="E52" s="0" t="n">
        <v>4921</v>
      </c>
      <c r="F52" s="0" t="n">
        <v>2546</v>
      </c>
      <c r="G52" s="0" t="n">
        <v>1198</v>
      </c>
      <c r="H52" s="0" t="n">
        <v>560</v>
      </c>
      <c r="I52" s="0" t="n">
        <v>276</v>
      </c>
      <c r="J52" s="0" t="n">
        <v>149</v>
      </c>
      <c r="K52" s="0" t="n">
        <v>100</v>
      </c>
      <c r="L52" s="0" t="n">
        <v>66</v>
      </c>
      <c r="M52" s="0" t="n">
        <v>50</v>
      </c>
      <c r="N52" s="0" t="n">
        <v>38</v>
      </c>
      <c r="O52" s="0" t="n">
        <v>33</v>
      </c>
      <c r="P52" s="0" t="n">
        <v>28</v>
      </c>
      <c r="Q52" s="0" t="n">
        <v>23</v>
      </c>
      <c r="R52" s="0" t="n">
        <v>20</v>
      </c>
      <c r="S52" s="0" t="n">
        <v>15</v>
      </c>
      <c r="T52" s="0" t="n">
        <v>12</v>
      </c>
      <c r="U52" s="0" t="n">
        <v>11</v>
      </c>
      <c r="V52" s="0" t="n">
        <v>10</v>
      </c>
      <c r="W52" s="0" t="n">
        <v>9</v>
      </c>
      <c r="X52" s="0" t="n">
        <v>7</v>
      </c>
      <c r="Y52" s="0" t="n">
        <v>5</v>
      </c>
      <c r="Z52" s="0" t="n">
        <v>5</v>
      </c>
      <c r="AA52" s="0" t="n">
        <v>4</v>
      </c>
      <c r="AB52" s="0" t="n">
        <v>3</v>
      </c>
      <c r="AC52" s="0" t="n">
        <v>0</v>
      </c>
      <c r="AD52" s="0" t="n">
        <v>0</v>
      </c>
      <c r="AE52" s="0" t="n">
        <v>0</v>
      </c>
    </row>
    <row r="53" customFormat="false" ht="15.8" hidden="false" customHeight="false" outlineLevel="0" collapsed="false">
      <c r="A53" s="0" t="n">
        <v>5.174204</v>
      </c>
      <c r="B53" s="0" t="n">
        <v>30764</v>
      </c>
      <c r="C53" s="0" t="n">
        <v>18397</v>
      </c>
      <c r="D53" s="0" t="n">
        <v>9784</v>
      </c>
      <c r="E53" s="0" t="n">
        <v>4957</v>
      </c>
      <c r="F53" s="0" t="n">
        <v>2570</v>
      </c>
      <c r="G53" s="0" t="n">
        <v>1203</v>
      </c>
      <c r="H53" s="0" t="n">
        <v>561</v>
      </c>
      <c r="I53" s="0" t="n">
        <v>286</v>
      </c>
      <c r="J53" s="0" t="n">
        <v>163</v>
      </c>
      <c r="K53" s="0" t="n">
        <v>97</v>
      </c>
      <c r="L53" s="0" t="n">
        <v>67</v>
      </c>
      <c r="M53" s="0" t="n">
        <v>51</v>
      </c>
      <c r="N53" s="0" t="n">
        <v>38</v>
      </c>
      <c r="O53" s="0" t="n">
        <v>34</v>
      </c>
      <c r="P53" s="0" t="n">
        <v>28</v>
      </c>
      <c r="Q53" s="0" t="n">
        <v>26</v>
      </c>
      <c r="R53" s="0" t="n">
        <v>24</v>
      </c>
      <c r="S53" s="0" t="n">
        <v>20</v>
      </c>
      <c r="T53" s="0" t="n">
        <v>17</v>
      </c>
      <c r="U53" s="0" t="n">
        <v>17</v>
      </c>
      <c r="V53" s="0" t="n">
        <v>16</v>
      </c>
      <c r="W53" s="0" t="n">
        <v>14</v>
      </c>
      <c r="X53" s="0" t="n">
        <v>13</v>
      </c>
      <c r="Y53" s="0" t="n">
        <v>10</v>
      </c>
      <c r="Z53" s="0" t="n">
        <v>10</v>
      </c>
      <c r="AA53" s="0" t="n">
        <v>10</v>
      </c>
      <c r="AB53" s="0" t="n">
        <v>7</v>
      </c>
      <c r="AC53" s="0" t="n">
        <v>2</v>
      </c>
      <c r="AD53" s="0" t="n">
        <v>1</v>
      </c>
      <c r="AE53" s="0" t="n">
        <v>1</v>
      </c>
    </row>
    <row r="54" customFormat="false" ht="15.8" hidden="false" customHeight="false" outlineLevel="0" collapsed="false">
      <c r="A54" s="0" t="n">
        <v>5.179934</v>
      </c>
      <c r="B54" s="0" t="n">
        <v>30363</v>
      </c>
      <c r="C54" s="0" t="n">
        <v>18440</v>
      </c>
      <c r="D54" s="0" t="n">
        <v>9952</v>
      </c>
      <c r="E54" s="0" t="n">
        <v>5035</v>
      </c>
      <c r="F54" s="0" t="n">
        <v>2656</v>
      </c>
      <c r="G54" s="0" t="n">
        <v>1267</v>
      </c>
      <c r="H54" s="0" t="n">
        <v>572</v>
      </c>
      <c r="I54" s="0" t="n">
        <v>277</v>
      </c>
      <c r="J54" s="0" t="n">
        <v>149</v>
      </c>
      <c r="K54" s="0" t="n">
        <v>98</v>
      </c>
      <c r="L54" s="0" t="n">
        <v>64</v>
      </c>
      <c r="M54" s="0" t="n">
        <v>47</v>
      </c>
      <c r="N54" s="0" t="n">
        <v>32</v>
      </c>
      <c r="O54" s="0" t="n">
        <v>27</v>
      </c>
      <c r="P54" s="0" t="n">
        <v>21</v>
      </c>
      <c r="Q54" s="0" t="n">
        <v>17</v>
      </c>
      <c r="R54" s="0" t="n">
        <v>17</v>
      </c>
      <c r="S54" s="0" t="n">
        <v>13</v>
      </c>
      <c r="T54" s="0" t="n">
        <v>12</v>
      </c>
      <c r="U54" s="0" t="n">
        <v>11</v>
      </c>
      <c r="V54" s="0" t="n">
        <v>9</v>
      </c>
      <c r="W54" s="0" t="n">
        <v>7</v>
      </c>
      <c r="X54" s="0" t="n">
        <v>7</v>
      </c>
      <c r="Y54" s="0" t="n">
        <v>5</v>
      </c>
      <c r="Z54" s="0" t="n">
        <v>5</v>
      </c>
      <c r="AA54" s="0" t="n">
        <v>5</v>
      </c>
      <c r="AB54" s="0" t="n">
        <v>5</v>
      </c>
      <c r="AC54" s="0" t="n">
        <v>3</v>
      </c>
      <c r="AD54" s="0" t="n">
        <v>1</v>
      </c>
      <c r="AE54" s="0" t="n">
        <v>1</v>
      </c>
    </row>
    <row r="55" customFormat="false" ht="15.8" hidden="false" customHeight="false" outlineLevel="0" collapsed="false">
      <c r="A55" s="0" t="n">
        <v>5.227057</v>
      </c>
      <c r="B55" s="0" t="n">
        <v>30954</v>
      </c>
      <c r="C55" s="0" t="n">
        <v>18549</v>
      </c>
      <c r="D55" s="0" t="n">
        <v>9906</v>
      </c>
      <c r="E55" s="0" t="n">
        <v>4939</v>
      </c>
      <c r="F55" s="0" t="n">
        <v>2616</v>
      </c>
      <c r="G55" s="0" t="n">
        <v>1255</v>
      </c>
      <c r="H55" s="0" t="n">
        <v>588</v>
      </c>
      <c r="I55" s="0" t="n">
        <v>317</v>
      </c>
      <c r="J55" s="0" t="n">
        <v>180</v>
      </c>
      <c r="K55" s="0" t="n">
        <v>116</v>
      </c>
      <c r="L55" s="0" t="n">
        <v>81</v>
      </c>
      <c r="M55" s="0" t="n">
        <v>59</v>
      </c>
      <c r="N55" s="0" t="n">
        <v>41</v>
      </c>
      <c r="O55" s="0" t="n">
        <v>32</v>
      </c>
      <c r="P55" s="0" t="n">
        <v>26</v>
      </c>
      <c r="Q55" s="0" t="n">
        <v>23</v>
      </c>
      <c r="R55" s="0" t="n">
        <v>18</v>
      </c>
      <c r="S55" s="0" t="n">
        <v>18</v>
      </c>
      <c r="T55" s="0" t="n">
        <v>16</v>
      </c>
      <c r="U55" s="0" t="n">
        <v>12</v>
      </c>
      <c r="V55" s="0" t="n">
        <v>11</v>
      </c>
      <c r="W55" s="0" t="n">
        <v>9</v>
      </c>
      <c r="X55" s="0" t="n">
        <v>7</v>
      </c>
      <c r="Y55" s="0" t="n">
        <v>5</v>
      </c>
      <c r="Z55" s="0" t="n">
        <v>5</v>
      </c>
      <c r="AA55" s="0" t="n">
        <v>5</v>
      </c>
      <c r="AB55" s="0" t="n">
        <v>4</v>
      </c>
      <c r="AC55" s="0" t="n">
        <v>3</v>
      </c>
      <c r="AD55" s="0" t="n">
        <v>0</v>
      </c>
      <c r="AE55" s="0" t="n">
        <v>0</v>
      </c>
    </row>
    <row r="71" customFormat="false" ht="15.8" hidden="false" customHeight="false" outlineLevel="0" collapsed="false">
      <c r="H71" s="37"/>
      <c r="J71" s="37"/>
    </row>
    <row r="72" customFormat="false" ht="15.8" hidden="false" customHeight="false" outlineLevel="0" collapsed="false">
      <c r="G72" s="37"/>
      <c r="H72" s="37"/>
      <c r="I72" s="37"/>
      <c r="J72" s="37"/>
    </row>
    <row r="73" customFormat="false" ht="15.8" hidden="false" customHeight="false" outlineLevel="0" collapsed="false">
      <c r="A73" s="5"/>
    </row>
    <row r="77" customFormat="false" ht="15.8" hidden="false" customHeight="false" outlineLevel="0" collapsed="false">
      <c r="H77" s="79"/>
      <c r="J77" s="79"/>
    </row>
    <row r="78" customFormat="false" ht="15.8" hidden="false" customHeight="false" outlineLevel="0" collapsed="false">
      <c r="A78" s="5"/>
      <c r="H78" s="170"/>
      <c r="J78" s="170"/>
    </row>
    <row r="79" customFormat="false" ht="15.8" hidden="false" customHeight="false" outlineLevel="0" collapsed="false">
      <c r="K79" s="85"/>
    </row>
  </sheetData>
  <conditionalFormatting sqref="H9:H40">
    <cfRule type="cellIs" priority="2" operator="greaterThan" aboveAverage="0" equalAverage="0" bottom="0" percent="0" rank="0" text="" dxfId="0">
      <formula>1000</formula>
    </cfRule>
  </conditionalFormatting>
  <conditionalFormatting sqref="K9:K38">
    <cfRule type="cellIs" priority="3" operator="lessThan" aboveAverage="0" equalAverage="0" bottom="0" percent="0" rank="0" text="" dxfId="0">
      <formula>J11</formula>
    </cfRule>
  </conditionalFormatting>
  <printOptions headings="false" gridLines="false" gridLinesSet="true" horizontalCentered="false" verticalCentered="false"/>
  <pageMargins left="0.7875" right="0.7875" top="1.05277777777778" bottom="1.74166666666667" header="0.7875" footer="0.7875"/>
  <pageSetup paperSize="9" scale="110" fitToWidth="1" fitToHeight="1" pageOrder="downThenOver" orientation="landscape" blackAndWhite="false" draft="false" cellComments="none" horizontalDpi="300" verticalDpi="300" copies="1"/>
  <headerFooter differentFirst="false" differentOddEven="false">
    <oddHeader>&amp;C&amp;"Times New Roman,Regular"&amp;12&amp;Kffffff&amp;A</oddHeader>
    <oddFooter>&amp;C&amp;"Times New Roman,Regular"&amp;12&amp;KffffffPage &amp;P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MJ77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A58" activeCellId="0" sqref="A58"/>
    </sheetView>
  </sheetViews>
  <sheetFormatPr defaultColWidth="10.4921875" defaultRowHeight="12.8" zeroHeight="false" outlineLevelRow="0" outlineLevelCol="0"/>
  <cols>
    <col collapsed="false" customWidth="true" hidden="false" outlineLevel="0" max="1" min="1" style="0" width="23.31"/>
    <col collapsed="false" customWidth="true" hidden="false" outlineLevel="0" max="2" min="2" style="0" width="9.81"/>
  </cols>
  <sheetData>
    <row r="1" customFormat="false" ht="33.8" hidden="false" customHeight="true" outlineLevel="0" collapsed="false">
      <c r="A1" s="6" t="s">
        <v>17</v>
      </c>
      <c r="B1" s="6" t="s">
        <v>304</v>
      </c>
      <c r="C1" s="6" t="s">
        <v>19</v>
      </c>
      <c r="D1" s="6"/>
      <c r="E1" s="6"/>
      <c r="F1" s="6"/>
      <c r="G1" s="6"/>
      <c r="H1" s="6"/>
      <c r="I1" s="6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  <c r="CO1" s="7"/>
      <c r="CP1" s="7"/>
      <c r="CQ1" s="7"/>
      <c r="CR1" s="7"/>
      <c r="CS1" s="7"/>
      <c r="CT1" s="7"/>
      <c r="CU1" s="7"/>
      <c r="CV1" s="7"/>
      <c r="CW1" s="7"/>
      <c r="CX1" s="7"/>
      <c r="CY1" s="7"/>
      <c r="CZ1" s="7"/>
      <c r="DA1" s="7"/>
      <c r="DB1" s="7"/>
      <c r="DC1" s="7"/>
      <c r="DD1" s="7"/>
      <c r="DE1" s="7"/>
      <c r="DF1" s="7"/>
      <c r="DG1" s="7"/>
      <c r="DH1" s="7"/>
      <c r="DI1" s="7"/>
      <c r="DJ1" s="7"/>
      <c r="DK1" s="7"/>
      <c r="DL1" s="7"/>
      <c r="DM1" s="7"/>
      <c r="DN1" s="7"/>
      <c r="DO1" s="7"/>
      <c r="DP1" s="7"/>
      <c r="DQ1" s="7"/>
      <c r="DR1" s="7"/>
      <c r="DS1" s="7"/>
      <c r="DT1" s="7"/>
      <c r="DU1" s="7"/>
      <c r="DV1" s="7"/>
      <c r="DW1" s="7"/>
      <c r="DX1" s="7"/>
      <c r="DY1" s="7"/>
      <c r="DZ1" s="7"/>
      <c r="EA1" s="7"/>
      <c r="EB1" s="7"/>
      <c r="EC1" s="7"/>
      <c r="ED1" s="7"/>
      <c r="EE1" s="7"/>
      <c r="EF1" s="7"/>
      <c r="EG1" s="7"/>
      <c r="EH1" s="7"/>
      <c r="EI1" s="7"/>
      <c r="EJ1" s="7"/>
      <c r="EK1" s="7"/>
      <c r="EL1" s="7"/>
      <c r="EM1" s="7"/>
      <c r="EN1" s="7"/>
      <c r="EO1" s="7"/>
      <c r="EP1" s="7"/>
      <c r="EQ1" s="7"/>
      <c r="ER1" s="7"/>
      <c r="ES1" s="7"/>
      <c r="ET1" s="7"/>
      <c r="EU1" s="7"/>
      <c r="EV1" s="7"/>
      <c r="EW1" s="7"/>
      <c r="EX1" s="7"/>
      <c r="EY1" s="7"/>
      <c r="EZ1" s="7"/>
      <c r="FA1" s="7"/>
      <c r="FB1" s="7"/>
      <c r="FC1" s="7"/>
      <c r="FD1" s="7"/>
      <c r="FE1" s="7"/>
      <c r="FF1" s="7"/>
      <c r="FG1" s="7"/>
      <c r="FH1" s="7"/>
      <c r="FI1" s="7"/>
      <c r="FJ1" s="7"/>
      <c r="FK1" s="7"/>
      <c r="FL1" s="7"/>
      <c r="FM1" s="7"/>
      <c r="FN1" s="7"/>
      <c r="FO1" s="7"/>
      <c r="FP1" s="7"/>
      <c r="FQ1" s="7"/>
      <c r="FR1" s="7"/>
      <c r="FS1" s="7"/>
      <c r="FT1" s="7"/>
      <c r="FU1" s="7"/>
      <c r="FV1" s="7"/>
      <c r="FW1" s="7"/>
      <c r="FX1" s="7"/>
      <c r="FY1" s="7"/>
      <c r="FZ1" s="7"/>
      <c r="GA1" s="7"/>
      <c r="GB1" s="7"/>
      <c r="GC1" s="7"/>
      <c r="GD1" s="7"/>
      <c r="GE1" s="7"/>
      <c r="GF1" s="7"/>
      <c r="GG1" s="7"/>
      <c r="GH1" s="7"/>
      <c r="GI1" s="7"/>
      <c r="GJ1" s="7"/>
      <c r="GK1" s="7"/>
      <c r="GL1" s="7"/>
      <c r="GM1" s="7"/>
      <c r="GN1" s="7"/>
      <c r="GO1" s="7"/>
      <c r="GP1" s="7"/>
      <c r="GQ1" s="7"/>
      <c r="GR1" s="7"/>
      <c r="GS1" s="7"/>
      <c r="GT1" s="7"/>
      <c r="GU1" s="7"/>
      <c r="GV1" s="7"/>
      <c r="GW1" s="7"/>
      <c r="GX1" s="7"/>
      <c r="GY1" s="7"/>
      <c r="GZ1" s="7"/>
      <c r="HA1" s="7"/>
      <c r="HB1" s="7"/>
      <c r="HC1" s="7"/>
      <c r="HD1" s="7"/>
      <c r="HE1" s="7"/>
      <c r="HF1" s="7"/>
      <c r="HG1" s="7"/>
      <c r="HH1" s="7"/>
      <c r="HI1" s="7"/>
      <c r="HJ1" s="7"/>
      <c r="HK1" s="7"/>
      <c r="HL1" s="7"/>
      <c r="HM1" s="7"/>
      <c r="HN1" s="7"/>
      <c r="HO1" s="7"/>
      <c r="HP1" s="7"/>
      <c r="HQ1" s="7"/>
      <c r="HR1" s="7"/>
      <c r="HS1" s="7"/>
      <c r="HT1" s="7"/>
      <c r="HU1" s="7"/>
      <c r="HV1" s="7"/>
      <c r="HW1" s="7"/>
      <c r="HX1" s="7"/>
      <c r="HY1" s="7"/>
      <c r="HZ1" s="7"/>
      <c r="IA1" s="7"/>
      <c r="IB1" s="7"/>
      <c r="IC1" s="7"/>
      <c r="ID1" s="7"/>
      <c r="IE1" s="7"/>
      <c r="IF1" s="7"/>
      <c r="IG1" s="7"/>
      <c r="IH1" s="7"/>
      <c r="II1" s="7"/>
      <c r="IJ1" s="7"/>
      <c r="IK1" s="7"/>
      <c r="IL1" s="7"/>
      <c r="IM1" s="7"/>
      <c r="IN1" s="7"/>
      <c r="IO1" s="7"/>
      <c r="IP1" s="7"/>
      <c r="IQ1" s="7"/>
      <c r="IR1" s="7"/>
      <c r="IS1" s="7"/>
      <c r="IT1" s="7"/>
      <c r="IU1" s="7"/>
      <c r="IV1" s="7"/>
      <c r="IW1" s="7"/>
      <c r="IX1" s="7"/>
      <c r="IY1" s="7"/>
      <c r="IZ1" s="7"/>
      <c r="JA1" s="7"/>
      <c r="JB1" s="7"/>
      <c r="JC1" s="7"/>
      <c r="JD1" s="7"/>
      <c r="JE1" s="7"/>
      <c r="JF1" s="7"/>
      <c r="JG1" s="7"/>
      <c r="JH1" s="7"/>
      <c r="JI1" s="7"/>
      <c r="JJ1" s="7"/>
      <c r="JK1" s="7"/>
      <c r="JL1" s="7"/>
      <c r="JM1" s="7"/>
      <c r="JN1" s="7"/>
      <c r="JO1" s="7"/>
      <c r="JP1" s="7"/>
      <c r="JQ1" s="7"/>
      <c r="JR1" s="7"/>
      <c r="JS1" s="7"/>
      <c r="JT1" s="7"/>
      <c r="JU1" s="7"/>
      <c r="JV1" s="7"/>
      <c r="JW1" s="7"/>
      <c r="JX1" s="7"/>
      <c r="JY1" s="7"/>
      <c r="JZ1" s="7"/>
      <c r="KA1" s="7"/>
      <c r="KB1" s="7"/>
      <c r="KC1" s="7"/>
      <c r="KD1" s="7"/>
      <c r="KE1" s="7"/>
      <c r="KF1" s="7"/>
      <c r="KG1" s="7"/>
      <c r="KH1" s="7"/>
      <c r="KI1" s="7"/>
      <c r="KJ1" s="7"/>
      <c r="KK1" s="7"/>
      <c r="KL1" s="7"/>
      <c r="KM1" s="7"/>
      <c r="KN1" s="7"/>
      <c r="KO1" s="7"/>
      <c r="KP1" s="7"/>
      <c r="KQ1" s="7"/>
      <c r="KR1" s="7"/>
      <c r="KS1" s="7"/>
      <c r="KT1" s="7"/>
      <c r="KU1" s="7"/>
      <c r="KV1" s="7"/>
      <c r="KW1" s="7"/>
      <c r="KX1" s="7"/>
      <c r="KY1" s="7"/>
      <c r="KZ1" s="7"/>
      <c r="LA1" s="7"/>
      <c r="LB1" s="7"/>
      <c r="LC1" s="7"/>
      <c r="LD1" s="7"/>
      <c r="LE1" s="7"/>
      <c r="LF1" s="7"/>
      <c r="LG1" s="7"/>
      <c r="LH1" s="7"/>
      <c r="LI1" s="7"/>
      <c r="LJ1" s="7"/>
      <c r="LK1" s="7"/>
      <c r="LL1" s="7"/>
      <c r="LM1" s="7"/>
      <c r="LN1" s="7"/>
      <c r="LO1" s="7"/>
      <c r="LP1" s="7"/>
      <c r="LQ1" s="7"/>
      <c r="LR1" s="7"/>
      <c r="LS1" s="7"/>
      <c r="LT1" s="7"/>
      <c r="LU1" s="7"/>
      <c r="LV1" s="7"/>
      <c r="LW1" s="7"/>
      <c r="LX1" s="7"/>
      <c r="LY1" s="7"/>
      <c r="LZ1" s="7"/>
      <c r="MA1" s="7"/>
      <c r="MB1" s="7"/>
      <c r="MC1" s="7"/>
      <c r="MD1" s="7"/>
      <c r="ME1" s="7"/>
      <c r="MF1" s="7"/>
      <c r="MG1" s="7"/>
      <c r="MH1" s="7"/>
      <c r="MI1" s="7"/>
      <c r="MJ1" s="7"/>
      <c r="MK1" s="7"/>
      <c r="ML1" s="7"/>
      <c r="MM1" s="7"/>
      <c r="MN1" s="7"/>
      <c r="MO1" s="7"/>
      <c r="MP1" s="7"/>
      <c r="MQ1" s="7"/>
      <c r="MR1" s="7"/>
      <c r="MS1" s="7"/>
      <c r="MT1" s="7"/>
      <c r="MU1" s="7"/>
      <c r="MV1" s="7"/>
      <c r="MW1" s="7"/>
      <c r="MX1" s="7"/>
      <c r="MY1" s="7"/>
      <c r="MZ1" s="7"/>
      <c r="NA1" s="7"/>
      <c r="NB1" s="7"/>
      <c r="NC1" s="7"/>
      <c r="ND1" s="7"/>
      <c r="NE1" s="7"/>
      <c r="NF1" s="7"/>
      <c r="NG1" s="7"/>
      <c r="NH1" s="7"/>
      <c r="NI1" s="7"/>
      <c r="NJ1" s="7"/>
      <c r="NK1" s="7"/>
      <c r="NL1" s="7"/>
      <c r="NM1" s="7"/>
      <c r="NN1" s="7"/>
      <c r="NO1" s="7"/>
      <c r="NP1" s="7"/>
      <c r="NQ1" s="7"/>
      <c r="NR1" s="7"/>
      <c r="NS1" s="7"/>
      <c r="NT1" s="7"/>
      <c r="NU1" s="7"/>
      <c r="NV1" s="7"/>
      <c r="NW1" s="7"/>
      <c r="NX1" s="7"/>
      <c r="NY1" s="7"/>
      <c r="NZ1" s="7"/>
      <c r="OA1" s="7"/>
      <c r="OB1" s="7"/>
      <c r="OC1" s="7"/>
      <c r="OD1" s="7"/>
      <c r="OE1" s="7"/>
      <c r="OF1" s="7"/>
      <c r="OG1" s="7"/>
      <c r="OH1" s="7"/>
      <c r="OI1" s="7"/>
      <c r="OJ1" s="7"/>
      <c r="OK1" s="7"/>
      <c r="OL1" s="7"/>
      <c r="OM1" s="7"/>
      <c r="ON1" s="7"/>
      <c r="OO1" s="7"/>
      <c r="OP1" s="7"/>
      <c r="OQ1" s="7"/>
      <c r="OR1" s="7"/>
      <c r="OS1" s="7"/>
      <c r="OT1" s="7"/>
      <c r="OU1" s="7"/>
      <c r="OV1" s="7"/>
      <c r="OW1" s="7"/>
      <c r="OX1" s="7"/>
      <c r="OY1" s="7"/>
      <c r="OZ1" s="7"/>
      <c r="PA1" s="7"/>
      <c r="PB1" s="7"/>
      <c r="PC1" s="7"/>
      <c r="PD1" s="7"/>
      <c r="PE1" s="7"/>
      <c r="PF1" s="7"/>
      <c r="PG1" s="7"/>
      <c r="PH1" s="7"/>
      <c r="PI1" s="7"/>
      <c r="PJ1" s="7"/>
      <c r="PK1" s="7"/>
      <c r="PL1" s="7"/>
      <c r="PM1" s="7"/>
      <c r="PN1" s="7"/>
      <c r="PO1" s="7"/>
      <c r="PP1" s="7"/>
      <c r="PQ1" s="7"/>
      <c r="PR1" s="7"/>
      <c r="PS1" s="7"/>
      <c r="PT1" s="7"/>
      <c r="PU1" s="7"/>
      <c r="PV1" s="7"/>
      <c r="PW1" s="7"/>
      <c r="PX1" s="7"/>
      <c r="PY1" s="7"/>
      <c r="PZ1" s="7"/>
      <c r="QA1" s="7"/>
      <c r="QB1" s="7"/>
      <c r="QC1" s="7"/>
      <c r="QD1" s="7"/>
      <c r="QE1" s="7"/>
      <c r="QF1" s="7"/>
      <c r="QG1" s="7"/>
      <c r="QH1" s="7"/>
      <c r="QI1" s="7"/>
      <c r="QJ1" s="7"/>
      <c r="QK1" s="7"/>
      <c r="QL1" s="7"/>
      <c r="QM1" s="7"/>
      <c r="QN1" s="7"/>
      <c r="QO1" s="7"/>
      <c r="QP1" s="7"/>
      <c r="QQ1" s="7"/>
      <c r="QR1" s="7"/>
      <c r="QS1" s="7"/>
      <c r="QT1" s="7"/>
      <c r="QU1" s="7"/>
      <c r="QV1" s="7"/>
      <c r="QW1" s="7"/>
      <c r="QX1" s="7"/>
      <c r="QY1" s="7"/>
      <c r="QZ1" s="7"/>
      <c r="RA1" s="7"/>
      <c r="RB1" s="7"/>
      <c r="RC1" s="7"/>
      <c r="RD1" s="7"/>
      <c r="RE1" s="7"/>
      <c r="RF1" s="7"/>
      <c r="RG1" s="7"/>
      <c r="RH1" s="7"/>
      <c r="RI1" s="7"/>
      <c r="RJ1" s="7"/>
      <c r="RK1" s="7"/>
      <c r="RL1" s="7"/>
      <c r="RM1" s="7"/>
      <c r="RN1" s="7"/>
      <c r="RO1" s="7"/>
      <c r="RP1" s="7"/>
      <c r="RQ1" s="7"/>
      <c r="RR1" s="7"/>
      <c r="RS1" s="7"/>
      <c r="RT1" s="7"/>
      <c r="RU1" s="7"/>
      <c r="RV1" s="7"/>
      <c r="RW1" s="7"/>
      <c r="RX1" s="7"/>
      <c r="RY1" s="7"/>
      <c r="RZ1" s="7"/>
      <c r="SA1" s="7"/>
      <c r="SB1" s="7"/>
      <c r="SC1" s="7"/>
      <c r="SD1" s="7"/>
      <c r="SE1" s="7"/>
      <c r="SF1" s="7"/>
      <c r="SG1" s="7"/>
      <c r="SH1" s="7"/>
      <c r="SI1" s="7"/>
      <c r="SJ1" s="7"/>
      <c r="SK1" s="7"/>
      <c r="SL1" s="7"/>
      <c r="SM1" s="7"/>
      <c r="SN1" s="7"/>
      <c r="SO1" s="7"/>
      <c r="SP1" s="7"/>
      <c r="SQ1" s="7"/>
      <c r="SR1" s="7"/>
      <c r="SS1" s="7"/>
      <c r="ST1" s="7"/>
      <c r="SU1" s="7"/>
      <c r="SV1" s="7"/>
      <c r="SW1" s="7"/>
      <c r="SX1" s="7"/>
      <c r="SY1" s="7"/>
      <c r="SZ1" s="7"/>
      <c r="TA1" s="7"/>
      <c r="TB1" s="7"/>
      <c r="TC1" s="7"/>
      <c r="TD1" s="7"/>
      <c r="TE1" s="7"/>
      <c r="TF1" s="7"/>
      <c r="TG1" s="7"/>
      <c r="TH1" s="7"/>
      <c r="TI1" s="7"/>
      <c r="TJ1" s="7"/>
      <c r="TK1" s="7"/>
      <c r="TL1" s="7"/>
      <c r="TM1" s="7"/>
      <c r="TN1" s="7"/>
      <c r="TO1" s="7"/>
      <c r="TP1" s="7"/>
      <c r="TQ1" s="7"/>
      <c r="TR1" s="7"/>
      <c r="TS1" s="7"/>
      <c r="TT1" s="7"/>
      <c r="TU1" s="7"/>
      <c r="TV1" s="7"/>
      <c r="TW1" s="7"/>
      <c r="TX1" s="7"/>
      <c r="TY1" s="7"/>
      <c r="TZ1" s="7"/>
      <c r="UA1" s="7"/>
      <c r="UB1" s="7"/>
      <c r="UC1" s="7"/>
      <c r="UD1" s="7"/>
      <c r="UE1" s="7"/>
      <c r="UF1" s="7"/>
      <c r="UG1" s="7"/>
      <c r="UH1" s="7"/>
      <c r="UI1" s="7"/>
      <c r="UJ1" s="7"/>
      <c r="UK1" s="7"/>
      <c r="UL1" s="7"/>
      <c r="UM1" s="7"/>
      <c r="UN1" s="7"/>
      <c r="UO1" s="7"/>
      <c r="UP1" s="7"/>
      <c r="UQ1" s="7"/>
      <c r="UR1" s="7"/>
      <c r="US1" s="7"/>
      <c r="UT1" s="7"/>
      <c r="UU1" s="7"/>
      <c r="UV1" s="7"/>
      <c r="UW1" s="7"/>
      <c r="UX1" s="7"/>
      <c r="UY1" s="7"/>
      <c r="UZ1" s="7"/>
      <c r="VA1" s="7"/>
      <c r="VB1" s="7"/>
      <c r="VC1" s="7"/>
      <c r="VD1" s="7"/>
      <c r="VE1" s="7"/>
      <c r="VF1" s="7"/>
      <c r="VG1" s="7"/>
      <c r="VH1" s="7"/>
      <c r="VI1" s="7"/>
      <c r="VJ1" s="7"/>
      <c r="VK1" s="7"/>
      <c r="VL1" s="7"/>
      <c r="VM1" s="7"/>
      <c r="VN1" s="7"/>
      <c r="VO1" s="7"/>
      <c r="VP1" s="7"/>
      <c r="VQ1" s="7"/>
      <c r="VR1" s="7"/>
      <c r="VS1" s="7"/>
      <c r="VT1" s="7"/>
      <c r="VU1" s="7"/>
      <c r="VV1" s="7"/>
      <c r="VW1" s="7"/>
      <c r="VX1" s="7"/>
      <c r="VY1" s="7"/>
      <c r="VZ1" s="7"/>
      <c r="WA1" s="7"/>
      <c r="WB1" s="7"/>
      <c r="WC1" s="7"/>
      <c r="WD1" s="7"/>
      <c r="WE1" s="7"/>
      <c r="WF1" s="7"/>
      <c r="WG1" s="7"/>
      <c r="WH1" s="7"/>
      <c r="WI1" s="7"/>
      <c r="WJ1" s="7"/>
      <c r="WK1" s="7"/>
      <c r="WL1" s="7"/>
      <c r="WM1" s="7"/>
      <c r="WN1" s="7"/>
      <c r="WO1" s="7"/>
      <c r="WP1" s="7"/>
      <c r="WQ1" s="7"/>
      <c r="WR1" s="7"/>
      <c r="WS1" s="7"/>
      <c r="WT1" s="7"/>
      <c r="WU1" s="7"/>
      <c r="WV1" s="7"/>
      <c r="WW1" s="7"/>
      <c r="WX1" s="7"/>
      <c r="WY1" s="7"/>
      <c r="WZ1" s="7"/>
      <c r="XA1" s="7"/>
      <c r="XB1" s="7"/>
      <c r="XC1" s="7"/>
      <c r="XD1" s="7"/>
      <c r="XE1" s="7"/>
      <c r="XF1" s="7"/>
      <c r="XG1" s="7"/>
      <c r="XH1" s="7"/>
      <c r="XI1" s="7"/>
      <c r="XJ1" s="7"/>
      <c r="XK1" s="7"/>
      <c r="XL1" s="7"/>
      <c r="XM1" s="7"/>
      <c r="XN1" s="7"/>
      <c r="XO1" s="7"/>
      <c r="XP1" s="7"/>
      <c r="XQ1" s="7"/>
      <c r="XR1" s="7"/>
      <c r="XS1" s="7"/>
      <c r="XT1" s="7"/>
      <c r="XU1" s="7"/>
      <c r="XV1" s="7"/>
      <c r="XW1" s="7"/>
      <c r="XX1" s="7"/>
      <c r="XY1" s="7"/>
      <c r="XZ1" s="7"/>
      <c r="YA1" s="7"/>
      <c r="YB1" s="7"/>
      <c r="YC1" s="7"/>
      <c r="YD1" s="7"/>
      <c r="YE1" s="7"/>
      <c r="YF1" s="7"/>
      <c r="YG1" s="7"/>
      <c r="YH1" s="7"/>
      <c r="YI1" s="7"/>
      <c r="YJ1" s="7"/>
      <c r="YK1" s="7"/>
      <c r="YL1" s="7"/>
      <c r="YM1" s="7"/>
      <c r="YN1" s="7"/>
      <c r="YO1" s="7"/>
      <c r="YP1" s="7"/>
      <c r="YQ1" s="7"/>
      <c r="YR1" s="7"/>
      <c r="YS1" s="7"/>
      <c r="YT1" s="7"/>
      <c r="YU1" s="7"/>
      <c r="YV1" s="7"/>
      <c r="YW1" s="7"/>
      <c r="YX1" s="7"/>
      <c r="YY1" s="7"/>
      <c r="YZ1" s="7"/>
      <c r="ZA1" s="7"/>
      <c r="ZB1" s="7"/>
      <c r="ZC1" s="7"/>
      <c r="ZD1" s="7"/>
      <c r="ZE1" s="7"/>
      <c r="ZF1" s="7"/>
      <c r="ZG1" s="7"/>
      <c r="ZH1" s="7"/>
      <c r="ZI1" s="7"/>
      <c r="ZJ1" s="7"/>
      <c r="ZK1" s="7"/>
      <c r="ZL1" s="7"/>
      <c r="ZM1" s="7"/>
      <c r="ZN1" s="7"/>
      <c r="ZO1" s="7"/>
      <c r="ZP1" s="7"/>
      <c r="ZQ1" s="7"/>
      <c r="ZR1" s="7"/>
      <c r="ZS1" s="7"/>
      <c r="ZT1" s="7"/>
      <c r="ZU1" s="7"/>
      <c r="ZV1" s="7"/>
      <c r="ZW1" s="7"/>
      <c r="ZX1" s="7"/>
      <c r="ZY1" s="7"/>
      <c r="ZZ1" s="7"/>
      <c r="AAA1" s="7"/>
      <c r="AAB1" s="7"/>
      <c r="AAC1" s="7"/>
      <c r="AAD1" s="7"/>
      <c r="AAE1" s="7"/>
      <c r="AAF1" s="7"/>
      <c r="AAG1" s="7"/>
      <c r="AAH1" s="7"/>
      <c r="AAI1" s="7"/>
      <c r="AAJ1" s="7"/>
      <c r="AAK1" s="7"/>
      <c r="AAL1" s="7"/>
      <c r="AAM1" s="7"/>
      <c r="AAN1" s="7"/>
      <c r="AAO1" s="7"/>
      <c r="AAP1" s="7"/>
      <c r="AAQ1" s="7"/>
      <c r="AAR1" s="7"/>
      <c r="AAS1" s="7"/>
      <c r="AAT1" s="7"/>
      <c r="AAU1" s="7"/>
      <c r="AAV1" s="7"/>
      <c r="AAW1" s="7"/>
      <c r="AAX1" s="7"/>
      <c r="AAY1" s="7"/>
      <c r="AAZ1" s="7"/>
      <c r="ABA1" s="7"/>
      <c r="ABB1" s="7"/>
      <c r="ABC1" s="7"/>
      <c r="ABD1" s="7"/>
      <c r="ABE1" s="7"/>
      <c r="ABF1" s="7"/>
      <c r="ABG1" s="7"/>
      <c r="ABH1" s="7"/>
      <c r="ABI1" s="7"/>
      <c r="ABJ1" s="7"/>
      <c r="ABK1" s="7"/>
      <c r="ABL1" s="7"/>
      <c r="ABM1" s="7"/>
      <c r="ABN1" s="7"/>
      <c r="ABO1" s="7"/>
      <c r="ABP1" s="7"/>
      <c r="ABQ1" s="7"/>
      <c r="ABR1" s="7"/>
      <c r="ABS1" s="7"/>
      <c r="ABT1" s="7"/>
      <c r="ABU1" s="7"/>
      <c r="ABV1" s="7"/>
      <c r="ABW1" s="7"/>
      <c r="ABX1" s="7"/>
      <c r="ABY1" s="7"/>
      <c r="ABZ1" s="7"/>
      <c r="ACA1" s="7"/>
      <c r="ACB1" s="7"/>
      <c r="ACC1" s="7"/>
      <c r="ACD1" s="7"/>
      <c r="ACE1" s="7"/>
      <c r="ACF1" s="7"/>
      <c r="ACG1" s="7"/>
      <c r="ACH1" s="7"/>
      <c r="ACI1" s="7"/>
      <c r="ACJ1" s="7"/>
      <c r="ACK1" s="7"/>
      <c r="ACL1" s="7"/>
      <c r="ACM1" s="7"/>
      <c r="ACN1" s="7"/>
      <c r="ACO1" s="7"/>
      <c r="ACP1" s="7"/>
      <c r="ACQ1" s="7"/>
      <c r="ACR1" s="7"/>
      <c r="ACS1" s="7"/>
      <c r="ACT1" s="7"/>
      <c r="ACU1" s="7"/>
      <c r="ACV1" s="7"/>
      <c r="ACW1" s="7"/>
      <c r="ACX1" s="7"/>
      <c r="ACY1" s="7"/>
      <c r="ACZ1" s="7"/>
      <c r="ADA1" s="7"/>
      <c r="ADB1" s="7"/>
      <c r="ADC1" s="7"/>
      <c r="ADD1" s="7"/>
      <c r="ADE1" s="7"/>
      <c r="ADF1" s="7"/>
      <c r="ADG1" s="7"/>
      <c r="ADH1" s="7"/>
      <c r="ADI1" s="7"/>
      <c r="ADJ1" s="7"/>
      <c r="ADK1" s="7"/>
      <c r="ADL1" s="7"/>
      <c r="ADM1" s="7"/>
      <c r="ADN1" s="7"/>
      <c r="ADO1" s="7"/>
      <c r="ADP1" s="7"/>
      <c r="ADQ1" s="7"/>
      <c r="ADR1" s="7"/>
      <c r="ADS1" s="7"/>
      <c r="ADT1" s="7"/>
      <c r="ADU1" s="7"/>
      <c r="ADV1" s="7"/>
      <c r="ADW1" s="7"/>
      <c r="ADX1" s="7"/>
      <c r="ADY1" s="7"/>
      <c r="ADZ1" s="7"/>
      <c r="AEA1" s="7"/>
      <c r="AEB1" s="7"/>
      <c r="AEC1" s="7"/>
      <c r="AED1" s="7"/>
      <c r="AEE1" s="7"/>
      <c r="AEF1" s="7"/>
      <c r="AEG1" s="7"/>
      <c r="AEH1" s="7"/>
      <c r="AEI1" s="7"/>
      <c r="AEJ1" s="7"/>
      <c r="AEK1" s="7"/>
      <c r="AEL1" s="7"/>
      <c r="AEM1" s="7"/>
      <c r="AEN1" s="7"/>
      <c r="AEO1" s="7"/>
      <c r="AEP1" s="7"/>
      <c r="AEQ1" s="7"/>
      <c r="AER1" s="7"/>
      <c r="AES1" s="7"/>
      <c r="AET1" s="7"/>
      <c r="AEU1" s="7"/>
      <c r="AEV1" s="7"/>
      <c r="AEW1" s="7"/>
      <c r="AEX1" s="7"/>
      <c r="AEY1" s="7"/>
      <c r="AEZ1" s="7"/>
      <c r="AFA1" s="7"/>
      <c r="AFB1" s="7"/>
      <c r="AFC1" s="7"/>
      <c r="AFD1" s="7"/>
      <c r="AFE1" s="7"/>
      <c r="AFF1" s="7"/>
      <c r="AFG1" s="7"/>
      <c r="AFH1" s="7"/>
      <c r="AFI1" s="7"/>
      <c r="AFJ1" s="7"/>
      <c r="AFK1" s="7"/>
      <c r="AFL1" s="7"/>
      <c r="AFM1" s="7"/>
      <c r="AFN1" s="7"/>
      <c r="AFO1" s="7"/>
      <c r="AFP1" s="7"/>
      <c r="AFQ1" s="7"/>
      <c r="AFR1" s="7"/>
      <c r="AFS1" s="7"/>
      <c r="AFT1" s="7"/>
      <c r="AFU1" s="7"/>
      <c r="AFV1" s="7"/>
      <c r="AFW1" s="7"/>
      <c r="AFX1" s="7"/>
      <c r="AFY1" s="7"/>
      <c r="AFZ1" s="7"/>
      <c r="AGA1" s="7"/>
      <c r="AGB1" s="7"/>
      <c r="AGC1" s="7"/>
      <c r="AGD1" s="7"/>
      <c r="AGE1" s="7"/>
      <c r="AGF1" s="7"/>
      <c r="AGG1" s="7"/>
      <c r="AGH1" s="7"/>
      <c r="AGI1" s="7"/>
      <c r="AGJ1" s="7"/>
      <c r="AGK1" s="7"/>
      <c r="AGL1" s="7"/>
      <c r="AGM1" s="7"/>
      <c r="AGN1" s="7"/>
      <c r="AGO1" s="7"/>
      <c r="AGP1" s="7"/>
      <c r="AGQ1" s="7"/>
      <c r="AGR1" s="7"/>
      <c r="AGS1" s="7"/>
      <c r="AGT1" s="7"/>
      <c r="AGU1" s="7"/>
      <c r="AGV1" s="7"/>
      <c r="AGW1" s="7"/>
      <c r="AGX1" s="7"/>
      <c r="AGY1" s="7"/>
      <c r="AGZ1" s="7"/>
      <c r="AHA1" s="7"/>
      <c r="AHB1" s="7"/>
      <c r="AHC1" s="7"/>
      <c r="AHD1" s="7"/>
      <c r="AHE1" s="7"/>
      <c r="AHF1" s="7"/>
      <c r="AHG1" s="7"/>
      <c r="AHH1" s="7"/>
      <c r="AHI1" s="7"/>
      <c r="AHJ1" s="7"/>
      <c r="AHK1" s="7"/>
      <c r="AHL1" s="7"/>
      <c r="AHM1" s="7"/>
      <c r="AHN1" s="7"/>
      <c r="AHO1" s="7"/>
      <c r="AHP1" s="7"/>
      <c r="AHQ1" s="7"/>
      <c r="AHR1" s="7"/>
      <c r="AHS1" s="7"/>
      <c r="AHT1" s="7"/>
      <c r="AHU1" s="7"/>
      <c r="AHV1" s="7"/>
      <c r="AHW1" s="7"/>
      <c r="AHX1" s="7"/>
      <c r="AHY1" s="7"/>
      <c r="AHZ1" s="7"/>
      <c r="AIA1" s="7"/>
      <c r="AIB1" s="7"/>
      <c r="AIC1" s="7"/>
      <c r="AID1" s="7"/>
      <c r="AIE1" s="7"/>
      <c r="AIF1" s="7"/>
      <c r="AIG1" s="7"/>
      <c r="AIH1" s="7"/>
      <c r="AII1" s="7"/>
      <c r="AIJ1" s="7"/>
      <c r="AIK1" s="7"/>
      <c r="AIL1" s="7"/>
      <c r="AIM1" s="7"/>
      <c r="AIN1" s="7"/>
      <c r="AIO1" s="7"/>
      <c r="AIP1" s="7"/>
      <c r="AIQ1" s="7"/>
      <c r="AIR1" s="7"/>
      <c r="AIS1" s="7"/>
      <c r="AIT1" s="7"/>
      <c r="AIU1" s="7"/>
      <c r="AIV1" s="7"/>
      <c r="AIW1" s="7"/>
      <c r="AIX1" s="7"/>
      <c r="AIY1" s="7"/>
      <c r="AIZ1" s="7"/>
      <c r="AJA1" s="7"/>
      <c r="AJB1" s="7"/>
      <c r="AJC1" s="7"/>
      <c r="AJD1" s="7"/>
      <c r="AJE1" s="7"/>
      <c r="AJF1" s="7"/>
      <c r="AJG1" s="7"/>
      <c r="AJH1" s="7"/>
      <c r="AJI1" s="7"/>
      <c r="AJJ1" s="7"/>
      <c r="AJK1" s="7"/>
      <c r="AJL1" s="7"/>
      <c r="AJM1" s="7"/>
      <c r="AJN1" s="7"/>
      <c r="AJO1" s="7"/>
      <c r="AJP1" s="7"/>
      <c r="AJQ1" s="7"/>
      <c r="AJR1" s="7"/>
      <c r="AJS1" s="7"/>
      <c r="AJT1" s="7"/>
      <c r="AJU1" s="7"/>
      <c r="AJV1" s="7"/>
      <c r="AJW1" s="7"/>
      <c r="AJX1" s="7"/>
      <c r="AJY1" s="7"/>
      <c r="AJZ1" s="7"/>
      <c r="AKA1" s="7"/>
      <c r="AKB1" s="7"/>
      <c r="AKC1" s="7"/>
      <c r="AKD1" s="7"/>
      <c r="AKE1" s="7"/>
      <c r="AKF1" s="7"/>
      <c r="AKG1" s="7"/>
      <c r="AKH1" s="7"/>
      <c r="AKI1" s="7"/>
      <c r="AKJ1" s="7"/>
      <c r="AKK1" s="7"/>
      <c r="AKL1" s="7"/>
      <c r="AKM1" s="7"/>
      <c r="AKN1" s="7"/>
      <c r="AKO1" s="7"/>
      <c r="AKP1" s="7"/>
      <c r="AKQ1" s="7"/>
      <c r="AKR1" s="7"/>
      <c r="AKS1" s="7"/>
      <c r="AKT1" s="7"/>
      <c r="AKU1" s="7"/>
      <c r="AKV1" s="7"/>
      <c r="AKW1" s="7"/>
      <c r="AKX1" s="7"/>
      <c r="AKY1" s="7"/>
      <c r="AKZ1" s="7"/>
      <c r="ALA1" s="7"/>
      <c r="ALB1" s="7"/>
      <c r="ALC1" s="7"/>
      <c r="ALD1" s="7"/>
      <c r="ALE1" s="7"/>
      <c r="ALF1" s="7"/>
      <c r="ALG1" s="7"/>
      <c r="ALH1" s="7"/>
      <c r="ALI1" s="7"/>
      <c r="ALJ1" s="7"/>
      <c r="ALK1" s="7"/>
      <c r="ALL1" s="7"/>
      <c r="ALM1" s="7"/>
      <c r="ALN1" s="7"/>
      <c r="ALO1" s="7"/>
      <c r="ALP1" s="7"/>
      <c r="ALQ1" s="7"/>
      <c r="ALR1" s="7"/>
      <c r="ALS1" s="7"/>
      <c r="ALT1" s="7"/>
      <c r="ALU1" s="7"/>
      <c r="ALV1" s="7"/>
      <c r="ALW1" s="7"/>
      <c r="ALX1" s="7"/>
      <c r="ALY1" s="7"/>
      <c r="ALZ1" s="7"/>
      <c r="AMA1" s="7"/>
      <c r="AMB1" s="7"/>
      <c r="AMC1" s="7"/>
      <c r="AMD1" s="7"/>
      <c r="AME1" s="7"/>
      <c r="AMF1" s="7"/>
      <c r="AMG1" s="7"/>
      <c r="AMH1" s="7"/>
      <c r="AMI1" s="7"/>
      <c r="AMJ1" s="7"/>
    </row>
    <row r="2" customFormat="false" ht="15.8" hidden="false" customHeight="false" outlineLevel="0" collapsed="false"/>
    <row r="3" customFormat="false" ht="15.8" hidden="false" customHeight="false" outlineLevel="0" collapsed="false">
      <c r="A3" s="5" t="s">
        <v>120</v>
      </c>
      <c r="D3" s="80" t="s">
        <v>305</v>
      </c>
    </row>
    <row r="4" customFormat="false" ht="15.8" hidden="false" customHeight="false" outlineLevel="0" collapsed="false">
      <c r="A4" s="0" t="s">
        <v>21</v>
      </c>
      <c r="D4" s="80" t="s">
        <v>306</v>
      </c>
    </row>
    <row r="5" customFormat="false" ht="15.8" hidden="false" customHeight="false" outlineLevel="0" collapsed="false">
      <c r="A5" s="0" t="s">
        <v>23</v>
      </c>
      <c r="D5" s="80" t="s">
        <v>24</v>
      </c>
    </row>
    <row r="6" customFormat="false" ht="15.8" hidden="false" customHeight="false" outlineLevel="0" collapsed="false">
      <c r="A6" s="0" t="s">
        <v>25</v>
      </c>
      <c r="D6" s="80" t="s">
        <v>306</v>
      </c>
    </row>
    <row r="7" customFormat="false" ht="15.8" hidden="false" customHeight="false" outlineLevel="0" collapsed="false">
      <c r="A7" s="0" t="s">
        <v>26</v>
      </c>
      <c r="D7" s="80"/>
    </row>
    <row r="8" customFormat="false" ht="15.8" hidden="false" customHeight="false" outlineLevel="0" collapsed="false">
      <c r="A8" s="0" t="s">
        <v>27</v>
      </c>
      <c r="D8" s="171" t="n">
        <v>45797</v>
      </c>
    </row>
    <row r="9" customFormat="false" ht="15.8" hidden="false" customHeight="false" outlineLevel="0" collapsed="false">
      <c r="A9" s="0" t="s">
        <v>28</v>
      </c>
      <c r="D9" s="83" t="s">
        <v>29</v>
      </c>
    </row>
    <row r="10" customFormat="false" ht="15.8" hidden="false" customHeight="false" outlineLevel="0" collapsed="false">
      <c r="A10" s="0" t="s">
        <v>30</v>
      </c>
      <c r="D10" s="85" t="n">
        <v>36</v>
      </c>
    </row>
    <row r="11" customFormat="false" ht="15.8" hidden="false" customHeight="false" outlineLevel="0" collapsed="false">
      <c r="A11" s="0" t="s">
        <v>307</v>
      </c>
      <c r="D11" s="0" t="n">
        <v>1</v>
      </c>
    </row>
    <row r="12" customFormat="false" ht="15.8" hidden="false" customHeight="false" outlineLevel="0" collapsed="false"/>
    <row r="13" customFormat="false" ht="15.8" hidden="false" customHeight="false" outlineLevel="0" collapsed="false">
      <c r="A13" s="0" t="s">
        <v>308</v>
      </c>
      <c r="B13" s="0" t="n">
        <v>50</v>
      </c>
      <c r="C13" s="0" t="s">
        <v>64</v>
      </c>
    </row>
    <row r="14" customFormat="false" ht="15.8" hidden="false" customHeight="false" outlineLevel="0" collapsed="false">
      <c r="A14" s="0" t="s">
        <v>309</v>
      </c>
      <c r="B14" s="0" t="n">
        <v>5</v>
      </c>
    </row>
    <row r="15" customFormat="false" ht="15.8" hidden="false" customHeight="false" outlineLevel="0" collapsed="false">
      <c r="A15" s="0" t="s">
        <v>310</v>
      </c>
      <c r="B15" s="0" t="n">
        <f aca="false">B13/B14</f>
        <v>10</v>
      </c>
      <c r="C15" s="0" t="s">
        <v>64</v>
      </c>
    </row>
    <row r="16" customFormat="false" ht="15.8" hidden="false" customHeight="false" outlineLevel="0" collapsed="false">
      <c r="A16" s="0" t="s">
        <v>299</v>
      </c>
      <c r="B16" s="0" t="n">
        <v>0.7</v>
      </c>
    </row>
    <row r="17" customFormat="false" ht="15.8" hidden="false" customHeight="false" outlineLevel="0" collapsed="false">
      <c r="D17" s="80"/>
    </row>
    <row r="18" customFormat="false" ht="15.8" hidden="false" customHeight="false" outlineLevel="0" collapsed="false">
      <c r="A18" s="0" t="s">
        <v>311</v>
      </c>
      <c r="B18" s="0" t="n">
        <f aca="false">$B$16*$B$15/100</f>
        <v>0.07</v>
      </c>
    </row>
    <row r="19" customFormat="false" ht="15.8" hidden="false" customHeight="false" outlineLevel="0" collapsed="false">
      <c r="A19" s="88" t="s">
        <v>312</v>
      </c>
      <c r="B19" s="0" t="n">
        <f aca="false">B16*$B$13</f>
        <v>35</v>
      </c>
      <c r="C19" s="0" t="s">
        <v>64</v>
      </c>
    </row>
    <row r="20" customFormat="false" ht="15.8" hidden="false" customHeight="false" outlineLevel="0" collapsed="false">
      <c r="A20" s="0" t="s">
        <v>313</v>
      </c>
      <c r="B20" s="0" t="n">
        <f aca="false">B15*B16</f>
        <v>7</v>
      </c>
      <c r="C20" s="0" t="s">
        <v>64</v>
      </c>
    </row>
    <row r="21" customFormat="false" ht="15.8" hidden="false" customHeight="false" outlineLevel="0" collapsed="false"/>
    <row r="22" customFormat="false" ht="15.8" hidden="false" customHeight="false" outlineLevel="0" collapsed="false">
      <c r="A22" s="172" t="s">
        <v>240</v>
      </c>
      <c r="B22" s="172" t="s">
        <v>314</v>
      </c>
      <c r="C22" s="172" t="s">
        <v>315</v>
      </c>
      <c r="D22" s="172" t="s">
        <v>316</v>
      </c>
      <c r="E22" s="172" t="s">
        <v>317</v>
      </c>
      <c r="F22" s="172" t="s">
        <v>318</v>
      </c>
      <c r="G22" s="172" t="s">
        <v>319</v>
      </c>
      <c r="H22" s="172" t="s">
        <v>320</v>
      </c>
      <c r="I22" s="172" t="s">
        <v>39</v>
      </c>
    </row>
    <row r="23" customFormat="false" ht="15.8" hidden="false" customHeight="false" outlineLevel="0" collapsed="false">
      <c r="A23" s="173" t="n">
        <v>4</v>
      </c>
      <c r="B23" s="174" t="n">
        <f aca="false">'ANNEX E - B1'!$G$9</f>
        <v>5982.06185069115</v>
      </c>
      <c r="C23" s="174" t="n">
        <f aca="false">'ANNEX E - B2'!$G$9</f>
        <v>5938.48112903895</v>
      </c>
      <c r="D23" s="174" t="n">
        <f aca="false">'ANNEX E - B3'!$G$9</f>
        <v>5903.88578859593</v>
      </c>
      <c r="E23" s="37" t="n">
        <f aca="false">AVERAGE(B23:D23)</f>
        <v>5941.47625610868</v>
      </c>
      <c r="F23" s="151" t="n">
        <v>6300</v>
      </c>
      <c r="G23" s="0" t="n">
        <v>4553</v>
      </c>
      <c r="H23" s="0" t="n">
        <v>8713</v>
      </c>
      <c r="I23" s="101" t="n">
        <f aca="false">(E23-F23)/F23</f>
        <v>-0.0569085307764007</v>
      </c>
    </row>
    <row r="24" customFormat="false" ht="15.8" hidden="false" customHeight="false" outlineLevel="0" collapsed="false">
      <c r="A24" s="80" t="n">
        <v>5</v>
      </c>
      <c r="B24" s="174" t="n">
        <f aca="false">'ANNEX E - B1'!$G$10</f>
        <v>3600.39376807763</v>
      </c>
      <c r="C24" s="174" t="n">
        <f aca="false">'ANNEX E - B2'!$G$10</f>
        <v>3557.84946303926</v>
      </c>
      <c r="D24" s="174" t="n">
        <f aca="false">'ANNEX E - B3'!$G$10</f>
        <v>3545.98436283423</v>
      </c>
      <c r="E24" s="37" t="n">
        <f aca="false">AVERAGE(B24:D24)</f>
        <v>3568.07586465037</v>
      </c>
      <c r="F24" s="175" t="n">
        <v>3475</v>
      </c>
      <c r="G24" s="0" t="n">
        <v>2330</v>
      </c>
      <c r="H24" s="0" t="n">
        <v>5183</v>
      </c>
      <c r="I24" s="101" t="n">
        <f aca="false">(E24-F24)/F24</f>
        <v>0.0267844214821211</v>
      </c>
    </row>
    <row r="25" customFormat="false" ht="15.8" hidden="false" customHeight="false" outlineLevel="0" collapsed="false">
      <c r="A25" s="80" t="n">
        <v>6</v>
      </c>
      <c r="B25" s="174" t="n">
        <f aca="false">'ANNEX E - B1'!$G$11</f>
        <v>1929.32559219664</v>
      </c>
      <c r="C25" s="174" t="n">
        <f aca="false">'ANNEX E - B2'!$G$11</f>
        <v>1893.55701933341</v>
      </c>
      <c r="D25" s="174" t="n">
        <f aca="false">'ANNEX E - B3'!$G$11</f>
        <v>1895.30569479283</v>
      </c>
      <c r="E25" s="37" t="n">
        <f aca="false">AVERAGE(B25:D25)</f>
        <v>1906.06276877429</v>
      </c>
      <c r="F25" s="175" t="n">
        <v>1631</v>
      </c>
      <c r="G25" s="0" t="n">
        <v>938.2</v>
      </c>
      <c r="H25" s="0" t="n">
        <v>2834</v>
      </c>
      <c r="I25" s="101" t="n">
        <f aca="false">(E25-F25)/F25</f>
        <v>0.168646700658671</v>
      </c>
    </row>
    <row r="26" customFormat="false" ht="15.8" hidden="false" customHeight="false" outlineLevel="0" collapsed="false">
      <c r="A26" s="80" t="n">
        <v>7</v>
      </c>
      <c r="B26" s="174" t="n">
        <f aca="false">'ANNEX E - B1'!$G$12</f>
        <v>967.720488641221</v>
      </c>
      <c r="C26" s="174" t="n">
        <f aca="false">'ANNEX E - B2'!$G$12</f>
        <v>943.489316779818</v>
      </c>
      <c r="D26" s="174" t="n">
        <f aca="false">'ANNEX E - B3'!$G$12</f>
        <v>949.712455405601</v>
      </c>
      <c r="E26" s="37" t="n">
        <f aca="false">AVERAGE(B26:D26)</f>
        <v>953.64075360888</v>
      </c>
      <c r="F26" s="175" t="n">
        <v>769.8</v>
      </c>
      <c r="G26" s="0" t="n">
        <v>413.6</v>
      </c>
      <c r="H26" s="0" t="n">
        <v>1433</v>
      </c>
      <c r="I26" s="101" t="n">
        <f aca="false">(E26-F26)/F26</f>
        <v>0.238816255662353</v>
      </c>
    </row>
    <row r="27" customFormat="false" ht="15.8" hidden="false" customHeight="false" outlineLevel="0" collapsed="false">
      <c r="A27" s="80" t="n">
        <v>8</v>
      </c>
      <c r="B27" s="174" t="n">
        <f aca="false">'ANNEX E - B1'!$G$13</f>
        <v>502.951222120508</v>
      </c>
      <c r="C27" s="174" t="n">
        <f aca="false">'ANNEX E - B2'!$G$13</f>
        <v>503.217143899839</v>
      </c>
      <c r="D27" s="174" t="n">
        <f aca="false">'ANNEX E - B3'!$G$13</f>
        <v>504.603962250572</v>
      </c>
      <c r="E27" s="37" t="n">
        <f aca="false">AVERAGE(B27:D27)</f>
        <v>503.590776090306</v>
      </c>
      <c r="F27" s="175" t="n">
        <v>379.1</v>
      </c>
      <c r="G27" s="0" t="n">
        <v>179.7</v>
      </c>
      <c r="H27" s="0" t="n">
        <v>799.5</v>
      </c>
      <c r="I27" s="101" t="n">
        <f aca="false">(E27-F27)/F27</f>
        <v>0.328385059589307</v>
      </c>
    </row>
    <row r="28" customFormat="false" ht="15.8" hidden="false" customHeight="false" outlineLevel="0" collapsed="false">
      <c r="A28" s="110" t="n">
        <v>9</v>
      </c>
      <c r="B28" s="176" t="n">
        <f aca="false">'ANNEX E - B1'!$G$14</f>
        <v>236.971172074706</v>
      </c>
      <c r="C28" s="176" t="n">
        <f aca="false">'ANNEX E - B2'!$G$14</f>
        <v>238.955947526409</v>
      </c>
      <c r="D28" s="176" t="n">
        <f aca="false">'ANNEX E - B3'!$G$14</f>
        <v>239.137977104309</v>
      </c>
      <c r="E28" s="177" t="n">
        <f aca="false">AVERAGE(B28:D28)</f>
        <v>238.355032235141</v>
      </c>
      <c r="F28" s="178" t="n">
        <v>196.2</v>
      </c>
      <c r="G28" s="115" t="n">
        <v>76.57</v>
      </c>
      <c r="H28" s="115" t="n">
        <v>502.6</v>
      </c>
      <c r="I28" s="169" t="n">
        <f aca="false">(E28-F28)/F28</f>
        <v>0.214857452778499</v>
      </c>
    </row>
    <row r="29" customFormat="false" ht="15.8" hidden="false" customHeight="false" outlineLevel="0" collapsed="false">
      <c r="A29" s="5"/>
      <c r="B29" s="5"/>
      <c r="C29" s="179"/>
      <c r="D29" s="180"/>
      <c r="E29" s="180"/>
      <c r="J29" s="80"/>
    </row>
    <row r="30" customFormat="false" ht="15.8" hidden="false" customHeight="false" outlineLevel="0" collapsed="false">
      <c r="A30" s="0" t="s">
        <v>318</v>
      </c>
      <c r="C30" s="38"/>
    </row>
    <row r="31" customFormat="false" ht="15.8" hidden="false" customHeight="false" outlineLevel="0" collapsed="false">
      <c r="A31" s="172" t="s">
        <v>240</v>
      </c>
      <c r="B31" s="172" t="s">
        <v>321</v>
      </c>
      <c r="C31" s="172" t="s">
        <v>322</v>
      </c>
      <c r="D31" s="172" t="s">
        <v>323</v>
      </c>
    </row>
    <row r="32" customFormat="false" ht="15.8" hidden="false" customHeight="false" outlineLevel="0" collapsed="false">
      <c r="A32" s="0" t="n">
        <v>2</v>
      </c>
      <c r="B32" s="0" t="n">
        <v>20210</v>
      </c>
      <c r="C32" s="0" t="n">
        <v>14180</v>
      </c>
      <c r="D32" s="0" t="n">
        <v>28820</v>
      </c>
    </row>
    <row r="33" customFormat="false" ht="15.8" hidden="false" customHeight="false" outlineLevel="0" collapsed="false">
      <c r="A33" s="0" t="n">
        <v>3</v>
      </c>
      <c r="B33" s="0" t="n">
        <v>10700</v>
      </c>
      <c r="C33" s="0" t="n">
        <v>7928</v>
      </c>
      <c r="D33" s="0" t="n">
        <v>14440</v>
      </c>
      <c r="U33" s="31"/>
    </row>
    <row r="34" customFormat="false" ht="15.8" hidden="false" customHeight="false" outlineLevel="0" collapsed="false">
      <c r="A34" s="181" t="n">
        <v>4</v>
      </c>
      <c r="B34" s="181" t="n">
        <v>6300</v>
      </c>
      <c r="C34" s="181" t="n">
        <v>4553</v>
      </c>
      <c r="D34" s="181" t="n">
        <v>8713</v>
      </c>
    </row>
    <row r="35" customFormat="false" ht="15.8" hidden="false" customHeight="false" outlineLevel="0" collapsed="false">
      <c r="A35" s="0" t="n">
        <v>5</v>
      </c>
      <c r="B35" s="0" t="n">
        <v>3475</v>
      </c>
      <c r="C35" s="0" t="n">
        <v>2330</v>
      </c>
      <c r="D35" s="0" t="n">
        <v>5183</v>
      </c>
      <c r="E35" s="79"/>
      <c r="F35" s="37"/>
      <c r="G35" s="79"/>
      <c r="H35" s="37"/>
      <c r="I35" s="79"/>
      <c r="J35" s="37"/>
      <c r="K35" s="79"/>
    </row>
    <row r="36" customFormat="false" ht="15.8" hidden="false" customHeight="false" outlineLevel="0" collapsed="false">
      <c r="A36" s="181" t="n">
        <v>6</v>
      </c>
      <c r="B36" s="181" t="n">
        <v>1631</v>
      </c>
      <c r="C36" s="181" t="n">
        <v>938.2</v>
      </c>
      <c r="D36" s="181" t="n">
        <v>2834</v>
      </c>
      <c r="E36" s="79"/>
      <c r="F36" s="37"/>
      <c r="G36" s="79"/>
      <c r="H36" s="37"/>
      <c r="I36" s="79"/>
      <c r="J36" s="37"/>
      <c r="K36" s="79"/>
    </row>
    <row r="37" customFormat="false" ht="15.8" hidden="false" customHeight="false" outlineLevel="0" collapsed="false">
      <c r="A37" s="0" t="n">
        <v>7</v>
      </c>
      <c r="B37" s="0" t="n">
        <v>769.8</v>
      </c>
      <c r="C37" s="0" t="n">
        <v>413.6</v>
      </c>
      <c r="D37" s="0" t="n">
        <v>1433</v>
      </c>
      <c r="E37" s="79"/>
      <c r="F37" s="37"/>
      <c r="G37" s="79"/>
      <c r="H37" s="37"/>
      <c r="I37" s="79"/>
      <c r="J37" s="37"/>
      <c r="K37" s="79"/>
    </row>
    <row r="38" customFormat="false" ht="15.8" hidden="false" customHeight="false" outlineLevel="0" collapsed="false">
      <c r="A38" s="0" t="n">
        <v>8</v>
      </c>
      <c r="B38" s="0" t="n">
        <v>379.1</v>
      </c>
      <c r="C38" s="0" t="n">
        <v>179.7</v>
      </c>
      <c r="D38" s="0" t="n">
        <v>799.5</v>
      </c>
      <c r="E38" s="79"/>
      <c r="F38" s="37"/>
      <c r="G38" s="79"/>
      <c r="H38" s="37"/>
      <c r="I38" s="79"/>
      <c r="J38" s="37"/>
      <c r="K38" s="79"/>
    </row>
    <row r="39" customFormat="false" ht="15.8" hidden="false" customHeight="false" outlineLevel="0" collapsed="false">
      <c r="A39" s="0" t="n">
        <v>9</v>
      </c>
      <c r="B39" s="0" t="n">
        <v>196.2</v>
      </c>
      <c r="C39" s="0" t="n">
        <v>76.57</v>
      </c>
      <c r="D39" s="0" t="n">
        <v>502.6</v>
      </c>
      <c r="E39" s="79"/>
      <c r="F39" s="37"/>
      <c r="G39" s="79"/>
      <c r="H39" s="37"/>
      <c r="I39" s="79"/>
      <c r="J39" s="37"/>
      <c r="K39" s="79"/>
    </row>
    <row r="40" customFormat="false" ht="15.8" hidden="false" customHeight="false" outlineLevel="0" collapsed="false">
      <c r="A40" s="115" t="n">
        <v>10</v>
      </c>
      <c r="B40" s="115" t="n">
        <v>88.9</v>
      </c>
      <c r="C40" s="115" t="n">
        <v>27.89</v>
      </c>
      <c r="D40" s="115" t="n">
        <v>283.4</v>
      </c>
    </row>
    <row r="41" customFormat="false" ht="15.8" hidden="false" customHeight="false" outlineLevel="0" collapsed="false"/>
    <row r="42" customFormat="false" ht="15.8" hidden="false" customHeight="false" outlineLevel="0" collapsed="false">
      <c r="A42" s="0" t="s">
        <v>175</v>
      </c>
    </row>
    <row r="43" customFormat="false" ht="15.8" hidden="false" customHeight="false" outlineLevel="0" collapsed="false">
      <c r="A43" s="104"/>
      <c r="B43" s="105" t="s">
        <v>176</v>
      </c>
      <c r="C43" s="104"/>
      <c r="D43" s="106" t="s">
        <v>177</v>
      </c>
      <c r="E43" s="107"/>
      <c r="F43" s="107"/>
      <c r="G43" s="107"/>
      <c r="H43" s="108"/>
      <c r="U43" s="31"/>
    </row>
    <row r="44" customFormat="false" ht="15.8" hidden="false" customHeight="false" outlineLevel="0" collapsed="false">
      <c r="A44" s="109" t="s">
        <v>178</v>
      </c>
      <c r="B44" s="110" t="s">
        <v>179</v>
      </c>
      <c r="C44" s="109" t="s">
        <v>180</v>
      </c>
      <c r="D44" s="109" t="s">
        <v>181</v>
      </c>
      <c r="E44" s="110" t="s">
        <v>182</v>
      </c>
      <c r="F44" s="110" t="s">
        <v>183</v>
      </c>
      <c r="G44" s="110" t="s">
        <v>184</v>
      </c>
      <c r="H44" s="111" t="s">
        <v>185</v>
      </c>
      <c r="I44" s="37"/>
      <c r="J44" s="37"/>
    </row>
    <row r="45" customFormat="false" ht="15.8" hidden="false" customHeight="false" outlineLevel="0" collapsed="false">
      <c r="A45" s="112" t="n">
        <v>10000</v>
      </c>
      <c r="C45" s="112" t="n">
        <v>11</v>
      </c>
      <c r="D45" s="112" t="n">
        <v>7.8</v>
      </c>
      <c r="E45" s="0" t="n">
        <v>5.3</v>
      </c>
      <c r="F45" s="0" t="n">
        <v>4</v>
      </c>
      <c r="G45" s="0" t="n">
        <v>2.7</v>
      </c>
      <c r="H45" s="113" t="n">
        <v>1.8</v>
      </c>
      <c r="I45" s="37"/>
      <c r="J45" s="37"/>
    </row>
    <row r="46" customFormat="false" ht="15.8" hidden="false" customHeight="false" outlineLevel="0" collapsed="false">
      <c r="A46" s="112" t="n">
        <v>5000</v>
      </c>
      <c r="B46" s="0" t="n">
        <v>10000</v>
      </c>
      <c r="C46" s="112" t="n">
        <v>11.3</v>
      </c>
      <c r="D46" s="112" t="n">
        <v>7.8</v>
      </c>
      <c r="E46" s="0" t="n">
        <v>5.3</v>
      </c>
      <c r="F46" s="0" t="n">
        <v>4</v>
      </c>
      <c r="G46" s="0" t="n">
        <v>2.7</v>
      </c>
      <c r="H46" s="113" t="n">
        <v>1.9</v>
      </c>
    </row>
    <row r="47" customFormat="false" ht="15.8" hidden="false" customHeight="false" outlineLevel="0" collapsed="false">
      <c r="A47" s="112" t="n">
        <v>2000</v>
      </c>
      <c r="B47" s="0" t="n">
        <v>5000</v>
      </c>
      <c r="C47" s="112" t="n">
        <v>11.9</v>
      </c>
      <c r="D47" s="112" t="n">
        <v>7.9</v>
      </c>
      <c r="E47" s="0" t="n">
        <v>5.4</v>
      </c>
      <c r="F47" s="0" t="n">
        <v>4.1</v>
      </c>
      <c r="G47" s="0" t="n">
        <v>2.9</v>
      </c>
      <c r="H47" s="113" t="n">
        <v>2.1</v>
      </c>
      <c r="J47" s="37"/>
    </row>
    <row r="48" customFormat="false" ht="15.8" hidden="false" customHeight="false" outlineLevel="0" collapsed="false">
      <c r="A48" s="112" t="n">
        <v>1000</v>
      </c>
      <c r="B48" s="0" t="n">
        <v>2000</v>
      </c>
      <c r="C48" s="112" t="n">
        <v>13.4</v>
      </c>
      <c r="D48" s="112" t="n">
        <v>8</v>
      </c>
      <c r="E48" s="0" t="n">
        <v>5.6</v>
      </c>
      <c r="F48" s="0" t="n">
        <v>4.3</v>
      </c>
      <c r="G48" s="0" t="n">
        <v>3.1</v>
      </c>
      <c r="H48" s="113" t="n">
        <v>2.4</v>
      </c>
      <c r="J48" s="37"/>
    </row>
    <row r="49" customFormat="false" ht="15.8" hidden="false" customHeight="false" outlineLevel="0" collapsed="false">
      <c r="A49" s="112" t="n">
        <v>500</v>
      </c>
      <c r="B49" s="0" t="n">
        <v>1000</v>
      </c>
      <c r="C49" s="112" t="n">
        <v>15.6</v>
      </c>
      <c r="D49" s="112" t="n">
        <v>8.2</v>
      </c>
      <c r="E49" s="0" t="n">
        <v>5.9</v>
      </c>
      <c r="F49" s="0" t="n">
        <v>4.7</v>
      </c>
      <c r="G49" s="0" t="n">
        <v>3.6</v>
      </c>
      <c r="H49" s="113" t="n">
        <v>2.9</v>
      </c>
      <c r="I49" s="37"/>
      <c r="J49" s="37"/>
    </row>
    <row r="50" customFormat="false" ht="15.8" hidden="false" customHeight="false" outlineLevel="0" collapsed="false">
      <c r="A50" s="112" t="n">
        <v>200</v>
      </c>
      <c r="B50" s="0" t="n">
        <v>500</v>
      </c>
      <c r="C50" s="112" t="n">
        <v>19.3</v>
      </c>
      <c r="D50" s="112" t="n">
        <v>8.9</v>
      </c>
      <c r="E50" s="0" t="n">
        <v>6.8</v>
      </c>
      <c r="F50" s="0" t="n">
        <v>5.7</v>
      </c>
      <c r="G50" s="0" t="n">
        <v>4.7</v>
      </c>
      <c r="H50" s="113" t="n">
        <v>4.1</v>
      </c>
    </row>
    <row r="51" customFormat="false" ht="15.8" hidden="false" customHeight="false" outlineLevel="0" collapsed="false">
      <c r="A51" s="114" t="n">
        <v>100</v>
      </c>
      <c r="B51" s="115" t="n">
        <v>200</v>
      </c>
      <c r="C51" s="114" t="n">
        <v>27.5</v>
      </c>
      <c r="D51" s="114" t="n">
        <v>10</v>
      </c>
      <c r="E51" s="115" t="n">
        <v>8</v>
      </c>
      <c r="F51" s="115" t="n">
        <v>7</v>
      </c>
      <c r="G51" s="115" t="n">
        <v>6.1</v>
      </c>
      <c r="H51" s="116" t="n">
        <v>5.5</v>
      </c>
    </row>
    <row r="52" customFormat="false" ht="15.8" hidden="false" customHeight="false" outlineLevel="0" collapsed="false"/>
    <row r="53" customFormat="false" ht="26.45" hidden="false" customHeight="false" outlineLevel="0" collapsed="false">
      <c r="A53" s="182" t="s">
        <v>324</v>
      </c>
    </row>
    <row r="54" customFormat="false" ht="15.8" hidden="false" customHeight="false" outlineLevel="0" collapsed="false">
      <c r="B54" s="79"/>
      <c r="D54" s="79"/>
      <c r="F54" s="79"/>
      <c r="H54" s="79"/>
      <c r="J54" s="79"/>
    </row>
    <row r="55" customFormat="false" ht="15.8" hidden="false" customHeight="false" outlineLevel="0" collapsed="false">
      <c r="A55" s="5"/>
      <c r="B55" s="170"/>
      <c r="D55" s="170"/>
      <c r="F55" s="170"/>
      <c r="H55" s="170"/>
      <c r="J55" s="170"/>
    </row>
    <row r="56" customFormat="false" ht="15.8" hidden="false" customHeight="false" outlineLevel="0" collapsed="false">
      <c r="B56" s="79"/>
      <c r="D56" s="79"/>
      <c r="K56" s="85"/>
      <c r="L56" s="85"/>
    </row>
    <row r="57" customFormat="false" ht="15.8" hidden="false" customHeight="false" outlineLevel="0" collapsed="false"/>
    <row r="58" customFormat="false" ht="15.8" hidden="false" customHeight="false" outlineLevel="0" collapsed="false"/>
    <row r="59" customFormat="false" ht="15.8" hidden="false" customHeight="false" outlineLevel="0" collapsed="false"/>
    <row r="60" customFormat="false" ht="15.8" hidden="false" customHeight="false" outlineLevel="0" collapsed="false"/>
    <row r="61" customFormat="false" ht="15.8" hidden="false" customHeight="false" outlineLevel="0" collapsed="false"/>
    <row r="62" customFormat="false" ht="15.8" hidden="false" customHeight="false" outlineLevel="0" collapsed="false"/>
    <row r="63" customFormat="false" ht="15.8" hidden="false" customHeight="false" outlineLevel="0" collapsed="false"/>
    <row r="64" customFormat="false" ht="15.8" hidden="false" customHeight="false" outlineLevel="0" collapsed="false"/>
    <row r="65" customFormat="false" ht="15.8" hidden="false" customHeight="false" outlineLevel="0" collapsed="false"/>
    <row r="66" customFormat="false" ht="15.8" hidden="false" customHeight="false" outlineLevel="0" collapsed="false"/>
    <row r="67" customFormat="false" ht="15.8" hidden="false" customHeight="false" outlineLevel="0" collapsed="false"/>
    <row r="68" customFormat="false" ht="15.8" hidden="false" customHeight="false" outlineLevel="0" collapsed="false"/>
    <row r="69" customFormat="false" ht="15.8" hidden="false" customHeight="false" outlineLevel="0" collapsed="false"/>
    <row r="70" customFormat="false" ht="15.8" hidden="false" customHeight="false" outlineLevel="0" collapsed="false"/>
    <row r="71" customFormat="false" ht="15.8" hidden="false" customHeight="false" outlineLevel="0" collapsed="false"/>
    <row r="72" customFormat="false" ht="15.8" hidden="false" customHeight="false" outlineLevel="0" collapsed="false"/>
    <row r="73" customFormat="false" ht="15.8" hidden="false" customHeight="false" outlineLevel="0" collapsed="false"/>
    <row r="74" customFormat="false" ht="15.8" hidden="false" customHeight="false" outlineLevel="0" collapsed="false"/>
    <row r="75" customFormat="false" ht="15.8" hidden="false" customHeight="false" outlineLevel="0" collapsed="false"/>
    <row r="76" customFormat="false" ht="15.8" hidden="false" customHeight="false" outlineLevel="0" collapsed="false"/>
    <row r="77" customFormat="false" ht="15.8" hidden="false" customHeight="false" outlineLevel="0" collapsed="false"/>
  </sheetData>
  <mergeCells count="1">
    <mergeCell ref="C1:I1"/>
  </mergeCells>
  <conditionalFormatting sqref="A29">
    <cfRule type="cellIs" priority="2" operator="between" aboveAverage="0" equalAverage="0" bottom="0" percent="0" rank="0" text="" dxfId="0">
      <formula>$C$34</formula>
      <formula>$D$34</formula>
    </cfRule>
  </conditionalFormatting>
  <conditionalFormatting sqref="B29">
    <cfRule type="cellIs" priority="3" operator="between" aboveAverage="0" equalAverage="0" bottom="0" percent="0" rank="0" text="" dxfId="0">
      <formula>$C$36</formula>
      <formula>$D$36</formula>
    </cfRule>
  </conditionalFormatting>
  <conditionalFormatting sqref="B55 D55">
    <cfRule type="cellIs" priority="4" operator="lessThan" aboveAverage="0" equalAverage="0" bottom="0" percent="0" rank="0" text="" dxfId="0">
      <formula>B56</formula>
    </cfRule>
  </conditionalFormatting>
  <conditionalFormatting sqref="E23:E28">
    <cfRule type="cellIs" priority="5" operator="between" aboveAverage="0" equalAverage="0" bottom="0" percent="0" rank="0" text="" dxfId="0">
      <formula>G23</formula>
      <formula>H23</formula>
    </cfRule>
  </conditionalFormatting>
  <printOptions headings="false" gridLines="false" gridLinesSet="true" horizontalCentered="false" verticalCentered="false"/>
  <pageMargins left="0.7875" right="0.7875" top="1.05277777777778" bottom="1.74166666666667" header="0.7875" footer="0.7875"/>
  <pageSetup paperSize="9" scale="110" fitToWidth="1" fitToHeight="1" pageOrder="downThenOver" orientation="landscape" blackAndWhite="false" draft="false" cellComments="none" horizontalDpi="300" verticalDpi="300" copies="1"/>
  <headerFooter differentFirst="false" differentOddEven="false">
    <oddHeader>&amp;C&amp;"Times New Roman,Regular"&amp;12&amp;Kffffff&amp;A</oddHeader>
    <oddFooter>&amp;C&amp;"Times New Roman,Regular"&amp;12&amp;KffffffPage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13691</TotalTime>
  <Application>LibreOffice/7.6.4.1$Windows_X86_64 LibreOffice_project/e19e193f88cd6c0525a17fb7a176ed8e6a3e2aa1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2021-11-24T13:24:09Z</dcterms:created>
  <dc:creator/>
  <dc:description/>
  <dc:language>en-GB</dc:language>
  <cp:lastModifiedBy/>
  <dcterms:modified xsi:type="dcterms:W3CDTF">2025-06-17T12:16:45Z</dcterms:modified>
  <cp:revision>519</cp:revision>
  <dc:subject/>
  <dc:title>ISO111171:2020</dc:title>
</cp:coreProperties>
</file>